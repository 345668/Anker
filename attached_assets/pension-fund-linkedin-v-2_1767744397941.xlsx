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sion-Fund-Base-V1-Default-vi" sheetId="1" r:id="rId4"/>
  </sheets>
  <definedNames>
    <definedName localSheetId="0" name="ExternalData_1">'Pension-Fund-Base-V1-Default-vi'!$B$3:$AC$78</definedName>
  </definedNames>
  <calcPr/>
  <extLst>
    <ext uri="GoogleSheetsCustomDataVersion2">
      <go:sheetsCustomData xmlns:go="http://customooxmlschemas.google.com/" r:id="rId5" roundtripDataChecksum="Bev1TlcSooySWgIpEFBcObl56SE3fr0ORLzEmp98F4w="/>
    </ext>
  </extLst>
</workbook>
</file>

<file path=xl/sharedStrings.xml><?xml version="1.0" encoding="utf-8"?>
<sst xmlns="http://schemas.openxmlformats.org/spreadsheetml/2006/main" count="1859" uniqueCount="1355">
  <si>
    <t>This Pension Fund "Giveaway" file contains 75 records. You can request access to our Premium Datasets by e-mailing launch@polarityiq.com or by going to www.polarityiq.com</t>
  </si>
  <si>
    <t>Pension Fund Name</t>
  </si>
  <si>
    <t>Data Completeness Score (Visual)</t>
  </si>
  <si>
    <t>Pension Fund Description / Investing The</t>
  </si>
  <si>
    <t>Investor Type</t>
  </si>
  <si>
    <t>Pension Fund Linkedin Profile</t>
  </si>
  <si>
    <t>Preferred Country of Investment</t>
  </si>
  <si>
    <t>Preferred Continent of Investment</t>
  </si>
  <si>
    <t>Typical Ticket Size</t>
  </si>
  <si>
    <t>Preferred Asset Class</t>
  </si>
  <si>
    <t>AUM in USD (millions)</t>
  </si>
  <si>
    <t>AUM in USD</t>
  </si>
  <si>
    <t>Investor Address</t>
  </si>
  <si>
    <t>Investor City</t>
  </si>
  <si>
    <t>Investor State</t>
  </si>
  <si>
    <t>Investor Country</t>
  </si>
  <si>
    <t>First Name</t>
  </si>
  <si>
    <t>Last Name</t>
  </si>
  <si>
    <t>Full Name</t>
  </si>
  <si>
    <t>Job Title</t>
  </si>
  <si>
    <t>Location</t>
  </si>
  <si>
    <t>Pension Fund Domain</t>
  </si>
  <si>
    <t>LinkedIn Profile</t>
  </si>
  <si>
    <t>Primary Email</t>
  </si>
  <si>
    <t>Primary Email
Quality Assessment</t>
  </si>
  <si>
    <t>Primary Phone Number</t>
  </si>
  <si>
    <t>Secondary Phone Number</t>
  </si>
  <si>
    <t>Secondary Email</t>
  </si>
  <si>
    <t>Secondary Email 
Quality Assessment</t>
  </si>
  <si>
    <t>Walt Disney</t>
  </si>
  <si>
    <t>The Walt Disney Company is a leading diversified international family entertainment and media enterprise founded in 1923. Their mission is to entertain, inform, and inspire people around the globe through unparalleled storytelling. They focus on generating the best creative content, fostering innovation, and expanding into new markets globally. Currently led by CEO Robert A. Iger, the company is undergoing a significant transformation to enhance its creativity and position its streaming business for growth. Disney's goals include maximizing financial performance while emphasizing innovative growth, strategic investment, and a balanced approach to human resource development in their business models.</t>
  </si>
  <si>
    <t>Pension Fund (Top 1500 Institutional Investor)</t>
  </si>
  <si>
    <t>https://www.linkedin.com/company/the-walt-disney-company</t>
  </si>
  <si>
    <t>United States, Eurozone countries, Japan, United Kingdom, China, Canada</t>
  </si>
  <si>
    <t>North America, Europe, Asia</t>
  </si>
  <si>
    <t>$75M–$200M</t>
  </si>
  <si>
    <t>Public Equity, Fixed Income, Other Alternatives, Cash</t>
  </si>
  <si>
    <t>25282 million</t>
  </si>
  <si>
    <t>500 South Buena Vista Street</t>
  </si>
  <si>
    <t>Burbank</t>
  </si>
  <si>
    <t>California</t>
  </si>
  <si>
    <t>United States</t>
  </si>
  <si>
    <t>Amy</t>
  </si>
  <si>
    <t>Chan</t>
  </si>
  <si>
    <t>Amy Chang</t>
  </si>
  <si>
    <t>Board of Directors</t>
  </si>
  <si>
    <t>Palo Alto, California, United States</t>
  </si>
  <si>
    <t>disneycareers.com</t>
  </si>
  <si>
    <t>https://www.linkedin.com/in/changamy/</t>
  </si>
  <si>
    <t>amy.chang@ucsfmedctr.org</t>
  </si>
  <si>
    <t>Highest Quality</t>
  </si>
  <si>
    <t>(415) 476-1000</t>
  </si>
  <si>
    <t>amcchang@gmail.com</t>
  </si>
  <si>
    <t>Walmart</t>
  </si>
  <si>
    <t>Walmart is a global retail corporation operating more than 10,500 stores and eCommerce platforms in 19 countries. Its core mission is to help people save money so they can live better, emphasizing affordability and a commitment to customer service. Walmart's investment thesis is robust, focusing on stable growth, innovative omnichannel strategies, and expansion into higher-margin businesses, with a target price indicating substantial upside potential over the next few years.</t>
  </si>
  <si>
    <t>https://www.linkedin.com/company/walmart</t>
  </si>
  <si>
    <t>Public Equity, Cash, Fixed Income, Other Alternatives (Mutual Funds)</t>
  </si>
  <si>
    <t>31349 million</t>
  </si>
  <si>
    <t>702 SW 8th Street</t>
  </si>
  <si>
    <t>Bentonville</t>
  </si>
  <si>
    <t>Arkansas</t>
  </si>
  <si>
    <t>Gene</t>
  </si>
  <si>
    <t>Kent</t>
  </si>
  <si>
    <t>Gene Kent</t>
  </si>
  <si>
    <t>Managing Partner</t>
  </si>
  <si>
    <t>Salt Lake City, Utah, United States</t>
  </si>
  <si>
    <t>bit.ly</t>
  </si>
  <si>
    <t>https://www.linkedin.com/in/gene-kent-00823575/</t>
  </si>
  <si>
    <t>gene.kent@walmart.com</t>
  </si>
  <si>
    <t>Medium Quality</t>
  </si>
  <si>
    <t>(800) 925-6278</t>
  </si>
  <si>
    <t>genekent1@aol.com</t>
  </si>
  <si>
    <t>New York State Teachers Retirement System</t>
  </si>
  <si>
    <t>The New York State Teachers' Retirement System (NYSTRS) is one of the ten largest public pension funds in the United States, mainly serving eligible public school teachers and administrators in New York State. NYSTRS administers a defined benefit plan providing members with retirement, disability, and death benefits. Currently, it has 448,785 total members, including 268,058 active members and 180,727 retired members. It emphasizes strong ethical values, has a fiduciary responsibility to prudently manage its assets, and focuses on long-term investments across a diverse portfolio. The Retirement Board oversees the operations, ensuring that their investment approach is transparent and accountable, addressing risks such as climate change in their strategies. In 2022, they paid out $8.2 billion in annual benefits and continue to support their members with resources and guidance.</t>
  </si>
  <si>
    <t>Public Pension</t>
  </si>
  <si>
    <t>www.linkedin.com/company/nystrs</t>
  </si>
  <si>
    <t>United States primarily, with international equity covering multiple countries globally (implied by MSCI ACWI Ex-U.S. Index which includes developed and emerging markets globally excluding U.S.)</t>
  </si>
  <si>
    <t>North America, Europe, Asia, Global</t>
  </si>
  <si>
    <t>$200M–$500M+</t>
  </si>
  <si>
    <t>Public Equity, Fixed Income, Private Equity, Private Credit, Real Estate Equity, Real Estate Debt, Cash</t>
  </si>
  <si>
    <t>10 Corporate Woods Drive</t>
  </si>
  <si>
    <t>Albany</t>
  </si>
  <si>
    <t>New York</t>
  </si>
  <si>
    <t>Emily</t>
  </si>
  <si>
    <t>Ekland</t>
  </si>
  <si>
    <t>Emily Ekland</t>
  </si>
  <si>
    <t>Senior Advisor to the Executive Director &amp; Chief Investment Officer</t>
  </si>
  <si>
    <t>Albany, New York, United States</t>
  </si>
  <si>
    <t>nystrs.org</t>
  </si>
  <si>
    <t>https://www.linkedin.com/in/emily-ekland-1916b71a/</t>
  </si>
  <si>
    <t>emily.ekland@nystrs.org</t>
  </si>
  <si>
    <t>(800) 782-0289</t>
  </si>
  <si>
    <t>edekland@gmail.com</t>
  </si>
  <si>
    <t>Southern Co.</t>
  </si>
  <si>
    <t>Southern Company is a leading producer of clean, safe, reliable, and affordable energy, committed to building a sustainable future through innovation and investment in new energy technologies. They are focused on achieving net-zero greenhouse gas emissions by 2050 and currently rank as the 4th largest owner of renewable energy in the U.S. Their philosophy emphasizes environmental stewardship, community support, and operational integrity. The company's core values and strategic goals include reliability, resilience, affordability, and diversity, underpinned by a strong commitment to corporate responsibility. Southern Company operates through various subsidiaries, and has been recognized for its sustainability efforts and innovation initiatives.</t>
  </si>
  <si>
    <t>https://www.linkedin.com/company/southern-company</t>
  </si>
  <si>
    <t>United States</t>
  </si>
  <si>
    <t>North America</t>
  </si>
  <si>
    <t>$20M–$75M</t>
  </si>
  <si>
    <t>Public Equity, Fixed Income, Private Equity, Real Estate, Infrastructure, Private Credit, Cash, Other Alternatives</t>
  </si>
  <si>
    <t>21774 million</t>
  </si>
  <si>
    <t>30 Ivan Allen Jr Blvd NW</t>
  </si>
  <si>
    <t>Atlanta</t>
  </si>
  <si>
    <t>Georgia</t>
  </si>
  <si>
    <t>Dekia</t>
  </si>
  <si>
    <t>Scott, CFA</t>
  </si>
  <si>
    <t>Dekia Scott, CFA</t>
  </si>
  <si>
    <t>Trust Finance Vice President &amp; Chief Investment Officer</t>
  </si>
  <si>
    <t>Atlanta, Georgia, United States</t>
  </si>
  <si>
    <t>southerncompany.com</t>
  </si>
  <si>
    <t>https://www.linkedin.com/in/dekia-scott-cfa-ba48233/</t>
  </si>
  <si>
    <t>dscott@southernco.com</t>
  </si>
  <si>
    <t>(404) 506-5000</t>
  </si>
  <si>
    <t>dekia.scott@gmail.com</t>
  </si>
  <si>
    <t>General Dynamics</t>
  </si>
  <si>
    <t>General Dynamics is a prominent American aerospace and defense company founded in 1893 and headquartered in Reston, Virginia. It operates globally and is known for being one of the largest defense contractors by arms sales. The company has several divisions including Aerospace, Marine Systems, Combat Systems, and Technologies, offering a diverse range of products and services such as Gulfstream business jets, combat vehicles, nuclear-powered submarines, and communication systems. General Dynamics emphasizes corporate citizenship, sustainable practices, and community support as part of its philosophy. In terms of investment thesis, their recent performance indicates strong revenue growth and improvements in earnings, making it a potential investment opportunity, although growth rates may vary due to market conditions and external factors.</t>
  </si>
  <si>
    <t>https://www.linkedin.com/company/general-dynamics</t>
  </si>
  <si>
    <t>Public Equity, Fixed Income, Cash, Other Alternatives</t>
  </si>
  <si>
    <t>29467 million</t>
  </si>
  <si>
    <t>11011 Sunset Hills Rd</t>
  </si>
  <si>
    <t>Reston</t>
  </si>
  <si>
    <t>VA</t>
  </si>
  <si>
    <t>Jeff</t>
  </si>
  <si>
    <t>Sutton</t>
  </si>
  <si>
    <t>Jeff Sutton</t>
  </si>
  <si>
    <t>Asset Manager</t>
  </si>
  <si>
    <t>Homestead, Florida, United States</t>
  </si>
  <si>
    <t>generaldynamics.com</t>
  </si>
  <si>
    <t>https://www.linkedin.com/in/jeff-sutton-314b536/</t>
  </si>
  <si>
    <t>jeff.sutton@gd.com</t>
  </si>
  <si>
    <t>(786) 339-9897</t>
  </si>
  <si>
    <t>jswsupbra@yahoo.com</t>
  </si>
  <si>
    <t>Lower Quality</t>
  </si>
  <si>
    <t>Illinois State Universities</t>
  </si>
  <si>
    <t>Illinois State University (ISU) is a public research university in Normal, Illinois, founded in 1857. Originally named Illinois State Normal University, it was established as the first state university in Illinois. The institution emphasizes teaching and is recognized as one of the largest producers of teachers in the U.S. The university's motto is "Gladly We Learn and Teach," reflecting its commitment to education and research. ISU has an endowment of $204 million (2023) and a budget of $509.3 million. As of 2023, it enrolls 20,989 students, including 18,450 undergraduates and 2,539 postgraduates, across its 1,180-acre urban campus. The university is classified as an R2: Doctoral University, indicating high research activity. While specific goals, philosophical statements, and investment thesis were not retrieved, ISU's educational focus and commitment to teacher training are central to its operations.</t>
  </si>
  <si>
    <t>https://www.linkedin.com/company/surs</t>
  </si>
  <si>
    <t>United States, United Kingdom, Canada</t>
  </si>
  <si>
    <t>Public Equity, Fixed Income, Private Equity, Real Estate, Infrastructure, Private Credit, Other Alternatives, Cash</t>
  </si>
  <si>
    <t>25077 million</t>
  </si>
  <si>
    <t>100 North University Street</t>
  </si>
  <si>
    <t>Normal</t>
  </si>
  <si>
    <t>Illinois</t>
  </si>
  <si>
    <t>Michael</t>
  </si>
  <si>
    <t>Schlachter</t>
  </si>
  <si>
    <t>Michael Schlachter, CFA</t>
  </si>
  <si>
    <t>Chief Investment Officer designee</t>
  </si>
  <si>
    <t>Los Angeles, California, United States</t>
  </si>
  <si>
    <t>surs.org</t>
  </si>
  <si>
    <t>https://www.linkedin.com/in/michael-schlachter-cfa-a68b2467/</t>
  </si>
  <si>
    <t>mschlachter@surs.org</t>
  </si>
  <si>
    <t>(217) 378-8800</t>
  </si>
  <si>
    <t>michael.c.schlachter@gmail.com</t>
  </si>
  <si>
    <t>Johnson &amp; Johnson</t>
  </si>
  <si>
    <t>Johnson &amp; Johnson (J&amp;J), founded in 1886, is an American multinational corporation headquartered in New Brunswick, New Jersey. The company specializes in researching, developing, manufacturing, and selling pharmaceuticals, medical devices, and consumer health products. J&amp;J's mission is to improve health and wellness globally, underpinned by their Credo reflecting responsibility towards stakeholders - customers, employees, communities, and shareholders.### IntroductionJ&amp;J operates in three main segments: consumer health, pharmaceuticals, and medical devices. Key products include immunology medications, surgical products, and consumer health goods such as baby care and beauty products.### Goals and PhilosophyTheir philosophy emphasizes good health as the foundation for thriving lives and progressive communities. They are committed to sustainability and innovation, aiming to enhance access to healthcare while maintaining high ethical standards in operations.### Investing ThesisJ&amp;J presents a stable investment opportunity with strong fundamentals: $89.7B in revenue for 2024 and a market cap of approximately $384.2B. They maintain a notable dividend yield of 3.17%. The diversification in product offerings and recent acquisitions, like Yellow Jersey Therapeutics, support growth potential, despite facing competition from major pharmaceutical firms like Merck and Pfizer. J&amp;J's commitment to innovation and sustainability positions it favorably for future growth.### Recent Financials- Revenue (2022): $85.2B- Market Cap (2023): $376B- Dividend per Share: $4.81The leadership team includes CEO Joaquin Duato, who steers J&amp;J towards its strategic goals while addressing contemporary healthcare challenges.</t>
  </si>
  <si>
    <t>https://www.linkedin.com/company/johnson-&amp;-johnson</t>
  </si>
  <si>
    <t>United States, United Kingdom, Brazil</t>
  </si>
  <si>
    <t>North America, Europe, South America</t>
  </si>
  <si>
    <t>$75M-$200M,</t>
  </si>
  <si>
    <t>Public Equity, Fixed Income, Real Estate, Private Equity, Cash</t>
  </si>
  <si>
    <t>44371 million</t>
  </si>
  <si>
    <t>One Johnson &amp; Johnson Plaza</t>
  </si>
  <si>
    <t>New Brunswick</t>
  </si>
  <si>
    <t>New Jersey</t>
  </si>
  <si>
    <t>John</t>
  </si>
  <si>
    <t>Strainic</t>
  </si>
  <si>
    <t>John Strainic</t>
  </si>
  <si>
    <t>Chagrin Falls, Ohio, United States</t>
  </si>
  <si>
    <t>jnj.com</t>
  </si>
  <si>
    <t>https://www.linkedin.com/in/john-strainic-b188479/</t>
  </si>
  <si>
    <t>john.strainic@j-jconsulting.net</t>
  </si>
  <si>
    <t>(301) 922-4938</t>
  </si>
  <si>
    <t>Federal Reserve Employees</t>
  </si>
  <si>
    <t>The Federal Reserve is the central bank of the U.S., established by the Federal Reserve Act of 1913. Its key functions include conducting monetary policy, stabilizing the financial system, supervising financial institutions, ensuring payment system safety, and promoting consumer protection. The Federal Reserve aims to promote maximum employment and stable prices. Its philosophy revolves around economic stability and public interest, engaging in thorough data collection and analysis. The members of the Board of Governors, who oversee these functions, include prominent figures like Jerome H. Powell and Philip N. Jefferson. The Federal Reserve does not have an investing thesis typical of corporations; rather, it focuses on regulatory and economic functions to influence the broader economy.</t>
  </si>
  <si>
    <t>https://www.linkedin.com/company/federal-reserve-system</t>
  </si>
  <si>
    <t>United States, Japan, Korea, Canada</t>
  </si>
  <si>
    <t>North America, Asia</t>
  </si>
  <si>
    <t>$5M–$20M</t>
  </si>
  <si>
    <t>34035 million</t>
  </si>
  <si>
    <t>20th Street and Constitution Avenue N.W.</t>
  </si>
  <si>
    <t>Washington</t>
  </si>
  <si>
    <t>DC</t>
  </si>
  <si>
    <t>Pat</t>
  </si>
  <si>
    <t>Mcclanahan</t>
  </si>
  <si>
    <t>Pat McClanahan</t>
  </si>
  <si>
    <t>Chief Operating Officer</t>
  </si>
  <si>
    <t>Washington DC-Baltimore Area</t>
  </si>
  <si>
    <t>federalreserve.gov</t>
  </si>
  <si>
    <t>https://www.linkedin.com/in/pat-mcclanahan-790a558/</t>
  </si>
  <si>
    <t>patmcclanahan@federalreserve.gov</t>
  </si>
  <si>
    <t>(202) 452-3000</t>
  </si>
  <si>
    <t>Los Angeles County Empl.</t>
  </si>
  <si>
    <t>Los Angeles County Department of Human Resources is committed to providing innovative and efficient talent solutions, aiming to recruit, develop, and retain diverse talent for public service. The department emphasizes creating opportunities for professional and personal growth, advocating diversity, and maintaining a professional work environment. They consider themselves an 'employer of choice' with a strong focus on employee welfare through various benefits.</t>
  </si>
  <si>
    <t>www.linkedin.com/company/lacera</t>
  </si>
  <si>
    <t>United States, United Kingdom, Canada, Germany, Japan, China, Taiwan, India, South Korea, Brazil</t>
  </si>
  <si>
    <t>North America, Europe, Asia, South America</t>
  </si>
  <si>
    <t>Public Equity, Fixed Income, Private Equity, Real Estate, Infrastructure, Hedge Funds, Private Credit, Cash</t>
  </si>
  <si>
    <t>67616 million</t>
  </si>
  <si>
    <t>300 N. Lake Ave.</t>
  </si>
  <si>
    <t>Pasadena</t>
  </si>
  <si>
    <t>CA</t>
  </si>
  <si>
    <t>Herman</t>
  </si>
  <si>
    <t>Santos</t>
  </si>
  <si>
    <t>Herman Santos</t>
  </si>
  <si>
    <t>Chairman of the LACERA Board of Retirement.</t>
  </si>
  <si>
    <t>Chino Hills, California, United States</t>
  </si>
  <si>
    <t>lacera.com</t>
  </si>
  <si>
    <t>https://www.linkedin.com/in/herman-santos-a4098798/</t>
  </si>
  <si>
    <t>hsantos@lacera.com</t>
  </si>
  <si>
    <t>(626) 229-3500</t>
  </si>
  <si>
    <t>hbsantos1@verizon.net</t>
  </si>
  <si>
    <t>Missouri Schools &amp; Educ.</t>
  </si>
  <si>
    <t>Missouri Department of Elementary and Secondary Education is the official department responsible for education in Missouri.</t>
  </si>
  <si>
    <t>https://www.linkedin.com/company/psrspeers</t>
  </si>
  <si>
    <t>United States, Russia (exposure until halted), China (exposure until divestment vote), other unspecified countries due to Non-US public equities and private investments</t>
  </si>
  <si>
    <t>North America, Europe, Asia, likely multiple other continents due to non-US public equities and private equity investments</t>
  </si>
  <si>
    <t>Public Equity, Fixed Income, Private Equity, Real Estate, Private Credit, Cash, Hedge Funds</t>
  </si>
  <si>
    <t>51163 million</t>
  </si>
  <si>
    <t>3210 West Truman Boulevard</t>
  </si>
  <si>
    <t>Jefferson City</t>
  </si>
  <si>
    <t>MO</t>
  </si>
  <si>
    <t>Brenna</t>
  </si>
  <si>
    <t>Noble, CFA</t>
  </si>
  <si>
    <t>Brenna Noble, CFA</t>
  </si>
  <si>
    <t>Portfolio Manager</t>
  </si>
  <si>
    <t>psrs-peers.org</t>
  </si>
  <si>
    <t>https://www.linkedin.com/in/brennanoble/</t>
  </si>
  <si>
    <t>bnoble@psrs-peers.org</t>
  </si>
  <si>
    <t>(219) 210-3564</t>
  </si>
  <si>
    <t>brenna.noble@gmail.com</t>
  </si>
  <si>
    <t>Mass General Brigham</t>
  </si>
  <si>
    <t>**Mass General Brigham Overview**: Mass General Brigham is a not-for-profit integrated health care system based in Massachusetts, encompassing 16 hospitals and numerous community and specialty care resources. Notable components include Massachusetts General Hospital and Brigham and Women's Hospital. The system is focused on improving health and lives in the communities it serves, investing significantly in community initiatives and workforce development. **Goals and Philosophy**: The core mission of Mass General Brigham is to enhance patient care, invest in education and training for future healthcare leaders, and employ a coordinated care model emphasizing diversity, equity, and inclusion in health care practices. In 2021, for example, the organization channeled $225 million into community benefits. **Investing Thesis**: The Mass General Brigham Investment Office oversees institutional investments aimed at generating returns to fuel major health care advancements and projects, including capital developments and biotech research. They collaborate with leading global investment firms to create diverse and dynamic investment portfolios, ensuring long-term value preservation and operational support.</t>
  </si>
  <si>
    <t>https://www.linkedin.com/company/mass-general-brigham</t>
  </si>
  <si>
    <t>United States, various developed countries in Europe, various emerging markets in Asia</t>
  </si>
  <si>
    <t>$20M -$75M</t>
  </si>
  <si>
    <t>Public Equity, Fixed Income, Private Equity, Real Estate, Other Alternatives</t>
  </si>
  <si>
    <t>20014 million</t>
  </si>
  <si>
    <t>399 Revolution Drive</t>
  </si>
  <si>
    <t>Somerville</t>
  </si>
  <si>
    <t>Massachusetts</t>
  </si>
  <si>
    <t>Lisa</t>
  </si>
  <si>
    <t>Vazquez</t>
  </si>
  <si>
    <t>Lisa Vazquez</t>
  </si>
  <si>
    <t>Investment Portfolio Manager</t>
  </si>
  <si>
    <t>Boston, Massachusetts, United States</t>
  </si>
  <si>
    <t>danafarberbostonchildrens.org</t>
  </si>
  <si>
    <t>https://www.linkedin.com/in/lisa-vazquez-5455b25/</t>
  </si>
  <si>
    <t>lvazquez@partnersinvest.org</t>
  </si>
  <si>
    <t>(617) 248-6000</t>
  </si>
  <si>
    <t>lisa.m.vazquez@gmail.com</t>
  </si>
  <si>
    <t>Colorado Employees</t>
  </si>
  <si>
    <t>The Colorado Employee Ownership Office works to promote employee ownership as a sustainable business structure. The office focuses on establishing networks for training, support, and consulting for businesses interested in converting to employee ownership, thereby promoting higher wages, better job security, and lower turnover among employees.**Goals &amp; Philosophy:**- Establish technical support networks for businesses transitioning to employee ownership.- Educate about the benefits of employee-owned businesses, including higher wages and reduced turnover.- Encourage cooperative law and diverse employee ownership options within the state.- Provide funding opportunities to assist transitions to employee ownership, such as tax credits and grants.**Investment Thesis:**- Emphasizes the advantages of employee ownership, such as improved employee retention, reduced broker costs for business sales, and long-term sustainability of jobs.- By increasing access to employee ownership, Colorado aims to foster economic stability and growth by ensuring that businesses remain locally owned and managed. - Notably, employee-owned companies like New Belgium Brewing Co. exemplify the success of this model, showcasing increased performance and stability.</t>
  </si>
  <si>
    <t>https://www.linkedin.com/company/colorado-pera</t>
  </si>
  <si>
    <t>United States primarily, plus developed and emerging countries globally without specific country breakdown</t>
  </si>
  <si>
    <t>North America, Global (including developed and emerging markets in various continents)</t>
  </si>
  <si>
    <t>Public Equity, Fixed Income, Private Equity, Real Estate, Infrastructure, Private Credit, Hedge Funds, Other Alternatives, Cash</t>
  </si>
  <si>
    <t>$68.6B</t>
  </si>
  <si>
    <t>1301 Pennsylvania Street</t>
  </si>
  <si>
    <t>Denver</t>
  </si>
  <si>
    <t>Colorado</t>
  </si>
  <si>
    <t>Marcus</t>
  </si>
  <si>
    <t>Pennell</t>
  </si>
  <si>
    <t>Marcus Pennell</t>
  </si>
  <si>
    <t>Member Board of Trustees</t>
  </si>
  <si>
    <t>Golden, Colorado, United States</t>
  </si>
  <si>
    <t>copera.org</t>
  </si>
  <si>
    <t>https://www.linkedin.com/in/marcus-pennell-a7439a47/</t>
  </si>
  <si>
    <t>mpennell@copera.org</t>
  </si>
  <si>
    <t>(303) 832-9550</t>
  </si>
  <si>
    <t>marcusapennell@gmail.com</t>
  </si>
  <si>
    <t>Dow</t>
  </si>
  <si>
    <t>Dow Inc. is a materials science company founded in 1897, headquartered in Midland, Michigan. Its mission is to be the most innovative and sustainable materials science company worldwide. Dow emphasizes core values of integrity, respect, and community engagement and has a commitment to address social issues, including systemic racism. The company aims for a circular economy by elevating recycled materials and strives for net-zero emissions with innovative projects. Its investing thesis focuses on a diverse portfolio including plastics and chemicals, strong financial performance with 2022 revenue of $44.6 billion, and a commitment to sustainability and innovation in product offerings. Dow engages with stakeholders through transparency and aims to deliver long-term value while advancing its sustainability goals.</t>
  </si>
  <si>
    <t>https://www.linkedin.com/company/dow-chemical</t>
  </si>
  <si>
    <t>United States, United Kingdom, Netherlands, Switzerland, Canada, Japan</t>
  </si>
  <si>
    <t>Fixed Income, Public Equity, Private Equity, Real Estate, Infrastructure, Other Alternatives</t>
  </si>
  <si>
    <t>26610 million</t>
  </si>
  <si>
    <t>2211 H H Dow Way</t>
  </si>
  <si>
    <t>Midland</t>
  </si>
  <si>
    <t>Michigan</t>
  </si>
  <si>
    <t>James</t>
  </si>
  <si>
    <t>R. Fitterling</t>
  </si>
  <si>
    <t>Jim Fitterling</t>
  </si>
  <si>
    <t>Chair, Board of Directors</t>
  </si>
  <si>
    <t>Midland, Michigan, United States</t>
  </si>
  <si>
    <t>dow.com</t>
  </si>
  <si>
    <t>https://www.linkedin.com/in/jim-fitterling/</t>
  </si>
  <si>
    <t>jim.fitterling@dow.com</t>
  </si>
  <si>
    <t>(800) 258-2436</t>
  </si>
  <si>
    <t>jrfitter@yahoo.com</t>
  </si>
  <si>
    <t>California State Teachers Retirement System</t>
  </si>
  <si>
    <t>The California State Teachers Retirement System (CalSTRS) is the largest educator-only pension fund in the world, providing services such as retirement, disability, and survivor benefits to over 1 million public school educators and their families in California. CalSTRS aims to secure the financial future and sustain the trust of California’s educators through strong leadership and a commitment to accountability and customer service. Its investment philosophy prioritizes mitigating environmental, social, and governance risks, along with achieving long-term asset allocation targets diversified across various asset classes. Notable quotes include their focus on stewardship and risk assessment in investment decisions.</t>
  </si>
  <si>
    <t>Pension Fund</t>
  </si>
  <si>
    <t>United States, Canada, Japan, China, United Kingdom, Germany, France, Australia, Brazil, India, South Africa</t>
  </si>
  <si>
    <t>North America, Asia, Europe, Australia, South America, Africa</t>
  </si>
  <si>
    <t>$200M–$500M</t>
  </si>
  <si>
    <t>Public Equity, Fixed Income, Real Estate, Private Equity, Risk Mitigating Strategies (RMS), Inflation Sensitive, Cash/Liquidity, Collaborative Strategies, Strategic Overlay</t>
  </si>
  <si>
    <t>100 Waterfront Place</t>
  </si>
  <si>
    <t>West Sacramento</t>
  </si>
  <si>
    <t>McGowan, CRE</t>
  </si>
  <si>
    <t>Michael McGowan, CRE</t>
  </si>
  <si>
    <t>Sacramento, California, United States</t>
  </si>
  <si>
    <t>calstrs.com</t>
  </si>
  <si>
    <t>https://www.linkedin.com/in/michaelmmcgowan/</t>
  </si>
  <si>
    <t>mmcgowan@calstrs.com</t>
  </si>
  <si>
    <t>(800) 228-5453</t>
  </si>
  <si>
    <t>azurite1@icloud.com</t>
  </si>
  <si>
    <t>PepsiCo</t>
  </si>
  <si>
    <t>PepsiCo, Inc. is an American multinational food, snack, and beverage corporation headquartered in Harrison, New York. Founded in 1898, the company has grown to be one of the world's largest food and beverage companies, known for brands such as Lays, Mountain Dew, Doritos, and Tropicana.### Introduction:PepsiCo operates in over 200 countries and territories and employs around 300,000 people worldwide. The company generates a significant portion of its revenue from non-carbonated drinks and snack foods, illustrating a diversified business model.### Goals and Philosophy:PepsiCo aims to achieve net zero greenhouse gas emissions by 2040. This goal reflects their commitment to sustainability. The company focuses on creating sustainable growth through innovation and commitment to environmental conservation. Additionally, PepsiCo emphasizes corporate responsibility and community engagement.### Investing Thesis:PepsiCo’s strategy includes divesting from low-margin business areas to focus more on high-growth snack and healthier food segments. This was evident when they sold a majority stake in Tropicana for $3.3 billion to invest in health-oriented products. Their recent investment in energy drink maker Celsius further illustrates a strategic approach to capturing growth in popular beverage categories. Consequently, PepsiCo is positioning itself as a leader not only in snacks and beverages but also in nutritious food solutions. For more detailed information, you can visit PepsiCo’s [Wikipedia page](https://en.wikipedia.org/wiki/PepsiCo).</t>
  </si>
  <si>
    <t>https://www.linkedin.com/company/pepsico</t>
  </si>
  <si>
    <t>United States, United Kingdom, Canada, European countries excluding UK, Japan, Asian countries excluding Japan, emerging markets countries</t>
  </si>
  <si>
    <t>25699 million</t>
  </si>
  <si>
    <t>700 Anderson Hill Road</t>
  </si>
  <si>
    <t>Purchase</t>
  </si>
  <si>
    <t>Ramon</t>
  </si>
  <si>
    <t>Laguarta</t>
  </si>
  <si>
    <t>Ramon Laguarta</t>
  </si>
  <si>
    <t>Chairman of the Board of Directors</t>
  </si>
  <si>
    <t>Purchase, New York, United States</t>
  </si>
  <si>
    <t>pepsico.com</t>
  </si>
  <si>
    <t>https://www.linkedin.com/in/ramonlaguarta/</t>
  </si>
  <si>
    <t>ramon.laguarta@pepsico.com</t>
  </si>
  <si>
    <t>(914) 253-2000</t>
  </si>
  <si>
    <t>tktennis12@gmail.com</t>
  </si>
  <si>
    <t>Indiana Public Retirement</t>
  </si>
  <si>
    <t>The Indiana Public Retirement System (INPRS) is one of the largest pension systems in the United States, serving a total of 529,244 working members and retirees from over 1,318 employers, which include public universities, school corporations, and state agencies. INPRS has been recognized as one of the Best Places to Work in 2024 by the Indiana Chamber of Commerce.**Mission and Vision:** - **Vision:** Engaged members able to realize their retirement dreams.- **Mission:** As fiduciaries, INPRS is committed to educating stakeholders, collecting necessary contributions, and prudently managing member assets to deliver promised Defined Benefit (DB) and Defined Contribution (DC) benefits and services. As of June 30, 2021, INPRS had $47.961 billion in actuarial accrued liabilities and $34.479 billion in actuarial assets, managing a portfolio valued at $45.8 billion with an 89.0 percent funded actuarial value. In fiscal year 2021, the system paid out approximately $3.4 billion in benefits and received $3.2 billion in contributions.</t>
  </si>
  <si>
    <t>www.linkedin.com/company/indiana-public-retirement-system</t>
  </si>
  <si>
    <t>North America, Europe, Asia, Africa, South America, Australia (developed, emerging, frontier markets globally)</t>
  </si>
  <si>
    <t>$75M-$200M</t>
  </si>
  <si>
    <t>Public Equity, Private Markets, Fixed Income (Ex Inflation-Linked), Fixed Income (Inflation-Linked), Commodities, Real Assets, Absolute Return, Risk Parity</t>
  </si>
  <si>
    <t>42849 million</t>
  </si>
  <si>
    <t>1 N Capitol Ave, Ste 001</t>
  </si>
  <si>
    <t>Indianapolis</t>
  </si>
  <si>
    <t>IN</t>
  </si>
  <si>
    <t>Beth</t>
  </si>
  <si>
    <t>Romer, PMP, A-CSM</t>
  </si>
  <si>
    <t>Beth Romer, PMP, A-CSM</t>
  </si>
  <si>
    <t>Information Technology Portfolio Manager</t>
  </si>
  <si>
    <t>Indianapolis, Indiana, United States</t>
  </si>
  <si>
    <t>in.gov</t>
  </si>
  <si>
    <t>https://www.linkedin.com/in/beth-romer-pmp-a-csm-a6235511/</t>
  </si>
  <si>
    <t>bromer@in.gov</t>
  </si>
  <si>
    <t>(317) 232-4567</t>
  </si>
  <si>
    <t>beth.anne.reynolds@gmail.com</t>
  </si>
  <si>
    <t>Texas Employees</t>
  </si>
  <si>
    <t>Texas Employees, formally known as the Employees Retirement System of Texas (ERS), administers retirement benefits, health and insurance plans, and flexible benefit programs such as TexFlex and the Texa$aver 401(k)/457 Program on behalf of Texas state employees and retirees. They manage and invest trust funds solely for the benefit of their members, aiming to enhance the lives of those they serve. **Introduction:** ERS serves employees and retirees of State of Texas agencies and higher education institutions and is dedicated to providing competitive benefits that enhance the lives of its members.**Goals and Philosophy:** The mission of ERS is to offer competitive benefits, ensuring a positive impact on the lives of its members. **Investing Thesis:** While a specific investing thesis wasn't detailed, the ERS's investment approach emphasizes prudent management and investments aimed at securing the benefits for its members.**Specialties:** Investments, Retirement benefits, Health and other insurance benefits.</t>
  </si>
  <si>
    <t>https://www.linkedin.com/company/employees-retirement-system-of-texas</t>
  </si>
  <si>
    <t>North America primarily based on the nature of the fund and location of beneficiaries, but no specific country allocations were publicly disclosed.</t>
  </si>
  <si>
    <t>Public Equity, Private Equity, Public Credit, Private Credit, Private Real Estate, Private Infrastructure, Hedge Funds, Cash, Rates</t>
  </si>
  <si>
    <t>37200 million</t>
  </si>
  <si>
    <t>1000 Red River Street</t>
  </si>
  <si>
    <t>Austin</t>
  </si>
  <si>
    <t>Texas</t>
  </si>
  <si>
    <t>Anthony</t>
  </si>
  <si>
    <t>Curtiss</t>
  </si>
  <si>
    <t>Anthony Curtiss</t>
  </si>
  <si>
    <t>Deputy Chief Investment Officer</t>
  </si>
  <si>
    <t>Austin, Texas, United States</t>
  </si>
  <si>
    <t>texas.gov</t>
  </si>
  <si>
    <t>https://www.linkedin.com/in/anthony-curtiss-5135245/</t>
  </si>
  <si>
    <t>anthony.curtiss@ers.texas.gov</t>
  </si>
  <si>
    <t>(877) 275-4377</t>
  </si>
  <si>
    <t>anthony.curtiss@gmail.com</t>
  </si>
  <si>
    <t>Hydro-Quebec</t>
  </si>
  <si>
    <t>Hydro-Québec is a major electricity producer, transmitter and distributor in Canada, focusing primarily on renewable energy, particularly hydroelectric power. It operates under the ownership of the Quebec government and is comprised of four critical divisions: Hydro-Québec Production, Hydro-Québec TransÉnergie, Hydro-Québec Distribution, and Hydro-Québec Équipement. The company's commitment includes research into energy efficiency and the development of related technologies. Its primary goals revolve around delivering reliable energy supply, effective resource utilization, and sustainable energy practices.</t>
  </si>
  <si>
    <t>Canada, United States, multiple European countries</t>
  </si>
  <si>
    <t>North America, Europe</t>
  </si>
  <si>
    <t>Public Equity, Private Equity, Real Estate, Infrastructure, Fixed Income, Private Credit, Hedge Funds, Other Alternatives</t>
  </si>
  <si>
    <t>21426 million</t>
  </si>
  <si>
    <t>75, boulevard René-Lévesque Ouest</t>
  </si>
  <si>
    <t>Montréal</t>
  </si>
  <si>
    <t>Quebec</t>
  </si>
  <si>
    <t>Canada</t>
  </si>
  <si>
    <t>Jeanne</t>
  </si>
  <si>
    <t>Olivier</t>
  </si>
  <si>
    <t>Jeanne Olivier</t>
  </si>
  <si>
    <t>Directrice principale, cheffe de cabinet bureau du PDG / Chief of staff for the CEO</t>
  </si>
  <si>
    <t>hydroquebec.com</t>
  </si>
  <si>
    <t>https://www.linkedin.com/in/jeanne-olivier-9003a1106/</t>
  </si>
  <si>
    <t>olivier.jeanne@hydroquebec.com</t>
  </si>
  <si>
    <t>(514) 289-6244</t>
  </si>
  <si>
    <t>jeannemolivier@gmail.com</t>
  </si>
  <si>
    <t>J.P. Morgan Chase</t>
  </si>
  <si>
    <t>J.P. Morgan Chase is one of the world's oldest and largest financial institutions, founded in 1799. The company offers extensive financial services across global markets, focusing on asset management, commercial banking, consumer banking, and investment banking. Its philosophy revolves around delivering value to shareholders, fostering community growth, and promoting integrity and operational excellence in all business practices. The investment thesis for J.P. Morgan Chase highlights its broad scale and strength, predicting strong earnings potential and a buy rating from analysts due to its strong market position.</t>
  </si>
  <si>
    <t>www.linkedin.com/company/jpmorganchase</t>
  </si>
  <si>
    <t>United States, United Kingdom, Japan, Germany, France, China, India, Brazil, South Africa, Turkey, Mexico</t>
  </si>
  <si>
    <t>North America, Europe, Asia, South America, Africa</t>
  </si>
  <si>
    <t>$20M–$75M ,</t>
  </si>
  <si>
    <t>Public Equity, Fixed Income, Private Equity, Real Estate, Hedge Funds, Private Credit, Cash, Other Alternatives</t>
  </si>
  <si>
    <t>$62.8B</t>
  </si>
  <si>
    <t>270 Park Avenue</t>
  </si>
  <si>
    <t>Fotini</t>
  </si>
  <si>
    <t>Minasidis</t>
  </si>
  <si>
    <t>Fotini Minasidis</t>
  </si>
  <si>
    <t>Senior Fund Administrator</t>
  </si>
  <si>
    <t>Dedham, Massachusetts, United States</t>
  </si>
  <si>
    <t>jpmorganchase.com</t>
  </si>
  <si>
    <t>https://www.linkedin.com/in/fotini-minasidis-594800149/</t>
  </si>
  <si>
    <t>fotini.minasidis@jpmorgan.com</t>
  </si>
  <si>
    <t>(212) 270-6000</t>
  </si>
  <si>
    <t>fotinim@aol.com</t>
  </si>
  <si>
    <t>Millennium Inorganic Chemicals (UK) Pension Scheme</t>
  </si>
  <si>
    <t>Millennium Inorganic Chemicals (UK) Pension Scheme predominantly invests in pooled funds, specifically focusing on fixed income assets. The trustees of the scheme delegate the responsibility for voting and engagement activities to their investment managers. Key investment vehicles include the TwentyFour Absolute Return Credit Fund and the CVC Global Yield Fund. The trustees review voting information and engagement policies of their investment managers annually. Engagement activities primarily revolve around environmental, social, and governance (ESG) factors, with noteworthy interactions including discussions on carbon emissions reduction and gender diversity credentials with various companies.</t>
  </si>
  <si>
    <t>https://www.linkedin.com/company/millennium-inorganic-chemicals</t>
  </si>
  <si>
    <t>United Kingdom, India, Brazil, South Africa</t>
  </si>
  <si>
    <t>Europe, Asia, South America, Africa</t>
  </si>
  <si>
    <t>Laporte Road</t>
  </si>
  <si>
    <t>Grimsby</t>
  </si>
  <si>
    <t>North East Lincolnshire</t>
  </si>
  <si>
    <t>England</t>
  </si>
  <si>
    <t>Jean-FranAois</t>
  </si>
  <si>
    <t>Turgeon</t>
  </si>
  <si>
    <t>Jean-Francois Turgeon</t>
  </si>
  <si>
    <t>Co-Chief Executive Officer</t>
  </si>
  <si>
    <t>Stamford, Connecticut, United States</t>
  </si>
  <si>
    <t>tronox.com</t>
  </si>
  <si>
    <t>https://www.linkedin.com/in/jean-francois-turgeon-763b1a68/</t>
  </si>
  <si>
    <t>jean-francois.turgeon@tronox.com</t>
  </si>
  <si>
    <t>(203) 705-3800</t>
  </si>
  <si>
    <t>jfturgeon333@gmail.com</t>
  </si>
  <si>
    <t>Virginia Retirement</t>
  </si>
  <si>
    <t>The Virginia Retirement System (VRS) is an independent state agency established in 1952, responsible for administering pension plans and other benefits for Virginia's public sector employees. It was renamed in 1990 and is governed by a detailed legislative and oversight framework. VRS's philosophy emphasizes sound financial stewardship and superior customer service, ensuring that investments are managed solely for the benefit of its members. The system is committed to maximizing returns while managing risk through diversification, aiming to fund benefit payments primarily through investment earnings. In FY2023, VRS reported a total fund market value of $113.0 billion and an investment return assumption of 6.75%. The average added value from investments over the past decade is approximately $956 million annually. The VRS pays about $5.7 billion annually to its retirees and beneficiaries.</t>
  </si>
  <si>
    <t>https://www.linkedin.com/company/virginia-retirement-system</t>
  </si>
  <si>
    <t>United States, countries in Europe, countries in Asia Pacific, countries in Latin and South America</t>
  </si>
  <si>
    <t>North America, Europe, Asia, Latin America</t>
  </si>
  <si>
    <t>Public Equity, Private Equity, Real Assets, Credit Strategies, Fixed Income, Diversifying Strategies, Private Investment Partnerships, Exposure Management Portfolio, Cash</t>
  </si>
  <si>
    <t>$110.0B</t>
  </si>
  <si>
    <t>1200 East Main Street</t>
  </si>
  <si>
    <t>Richmond</t>
  </si>
  <si>
    <t>Virginia</t>
  </si>
  <si>
    <t>Vu</t>
  </si>
  <si>
    <t>Le</t>
  </si>
  <si>
    <t>Vu Le</t>
  </si>
  <si>
    <t>Richmond, Virginia, United States</t>
  </si>
  <si>
    <t>varetire.org</t>
  </si>
  <si>
    <t>https://www.linkedin.com/in/vumanhle/</t>
  </si>
  <si>
    <t>vle@varetire.org</t>
  </si>
  <si>
    <t>(804) 649-8059</t>
  </si>
  <si>
    <t>lmvu00@yahoo.com</t>
  </si>
  <si>
    <t>Oregon Public Employees</t>
  </si>
  <si>
    <t>The Oregon Public Employees Retirement System (PERS) administers public employee benefit trusts in Oregon and serves over 367,000 current and former employees. PERS is dedicated to integrity, professionalism, and respect in serving the public. Its investment philosophy focuses on maximizing returns while managing risks, aiming for net annualized returns. The asset allocation includes 55% in equities, with specific targets for fixed income, real estate, and alternatives. These values and policies guide their operations and investment decisions.</t>
  </si>
  <si>
    <t>United States (primary), Canada, European developed markets</t>
  </si>
  <si>
    <t>Public Equity, Fixed Income, Cash, Real Estate, Private Equity, Opportunity, Real Assets, Diversifying Strategies</t>
  </si>
  <si>
    <t>11410 SW 68th Parkway</t>
  </si>
  <si>
    <t>Tigard</t>
  </si>
  <si>
    <t>Oregon</t>
  </si>
  <si>
    <t>Micha</t>
  </si>
  <si>
    <t>Sinclair</t>
  </si>
  <si>
    <t>Micha Sinclair, MBA</t>
  </si>
  <si>
    <t>Chairman, LCB Board Of Directors</t>
  </si>
  <si>
    <t>Portland, Oregon, United States</t>
  </si>
  <si>
    <t>oregon.gov</t>
  </si>
  <si>
    <t>https://www.linkedin.com/in/michasinclair/</t>
  </si>
  <si>
    <t>micha.sinclair@oregon.gov</t>
  </si>
  <si>
    <t>(503) 378-3111</t>
  </si>
  <si>
    <t>constantinesinclair@gmail.com</t>
  </si>
  <si>
    <t>United Airlines Holdings</t>
  </si>
  <si>
    <t>United Airlines Holdings, Inc. is an airline holding company that offers air travel services for passengers and cargo across North America and internationally. Founded on April 6, 1926, the company is headquartered in Chicago, Illinois, and operates major hub airports including Newark Liberty International, Chicago O'Hare, and Denver International. United has a workforce of approximately 104,500 employees and generated a revenue of $53.7 billion in 2022. The company aims to connect people and unite the world with its vision and mission focused on safety, reliability, and sustainability in operations. United Airlines holds a strong position in the market with a competitive network among its main competitors like Delta and American Airlines. The company's investing philosophy emphasizes sustainability, aiming for net-zero greenhouse gas emissions by 2050. A commitment to ethical decision-making and community involvement is also central to their corporate philosophy. Their current strategy includes an emphasis on expanding their route network and improving customer experience through innovative services.</t>
  </si>
  <si>
    <t>https://www.linkedin.com/company/united-airlines</t>
  </si>
  <si>
    <t>United States, Japan, Canada, Norway, Netherlands, Australia, South Korea, United Kingdom, Singapore, Sweden, Denmark, China, Switzerland, Malaysia, Germany, Brazil, Chile, Colombia, France, Finland, India, Italy, Kuwait, Luxembourg, Mexico, New Zealand, Philippines, Portugal, Russia, South Africa, Taiwan, Thailand, Vietnam</t>
  </si>
  <si>
    <t>North America, Asia, Europe, Oceania, South America</t>
  </si>
  <si>
    <t>Fixed Income, Cash, Public Equity, Other Alternatives</t>
  </si>
  <si>
    <t>25200 million</t>
  </si>
  <si>
    <t>233 South Wacker Drive</t>
  </si>
  <si>
    <t>Chicago</t>
  </si>
  <si>
    <t>Mukul</t>
  </si>
  <si>
    <t>Hariharan</t>
  </si>
  <si>
    <t>Mukul Hariharan</t>
  </si>
  <si>
    <t>Houston, Texas, United States</t>
  </si>
  <si>
    <t>united.com</t>
  </si>
  <si>
    <t>https://www.linkedin.com/in/mukul-hariharan-49ba5912/</t>
  </si>
  <si>
    <t>mukul.hariharan@aa.com</t>
  </si>
  <si>
    <t>(800) 433-7300</t>
  </si>
  <si>
    <t>mukul.hariharan@gmail.com</t>
  </si>
  <si>
    <t>Andersen Corporation Employees' Pension and Retirement Plan</t>
  </si>
  <si>
    <t>The Andersen Corporation Employees' Pension and Retirement Plan is a defined-benefit plan established in 1950, located in Bayport, Minnesota. It covers all eligible employees and is a non-contributory pension plan that provides predetermined monthly retirement benefits based on credited years of service and salary. The retirement benefits generally start when employees reach normal retirement age. The plan does not maintain individual accounts, and benefits are typically expressed as monthly payments rather than lump sums.</t>
  </si>
  <si>
    <t>https://www.linkedin.com/company/andersen</t>
  </si>
  <si>
    <t>United States, Germany</t>
  </si>
  <si>
    <t>Public Equity, Fixed Income, Cash</t>
  </si>
  <si>
    <t>100 4th Avenue North</t>
  </si>
  <si>
    <t>Bayport</t>
  </si>
  <si>
    <t>MN</t>
  </si>
  <si>
    <t>Tom</t>
  </si>
  <si>
    <t>Andersen</t>
  </si>
  <si>
    <t>Tom Andersen</t>
  </si>
  <si>
    <t>Greenwich, Connecticut, United States</t>
  </si>
  <si>
    <t>andersenwindows.com</t>
  </si>
  <si>
    <t>https://www.linkedin.com/in/tom-andersen-8bb3ab56/</t>
  </si>
  <si>
    <t>tom@andersenfinancialgroup.com</t>
  </si>
  <si>
    <t>(203) 422-0166</t>
  </si>
  <si>
    <t>ander7902@aol.com</t>
  </si>
  <si>
    <t>Raytheon Technologies</t>
  </si>
  <si>
    <t>Raytheon Technologies, also known as RTX, is a prominent aerospace and defense company that aims to tackle significant challenges in aviation, space, and defense. They employ over 185,000 professionals across their primary businesses: Collins Aerospace, Pratt &amp; Whitney, and Raytheon. The company enhances safety and efficiency with innovative technologies, impacting aviation, defense, and space sectors substantially. RTX emphasizes sustainability, aiming for net-zero emissions, while advancing technologies addressing complex issues.RTX's corporate philosophy revolves around integrity, accountability, ethical business practices, and a commitment to product safety and quality. Leadership encourages a culture that prioritizes human rights and compliance. They are focused on resilience in business operations and fostering an accountable culture by promoting strong ethical standards through extensive training and programs.The investment thesis for Raytheon Technologies indicates strong growth potential, particularly in their defense and aerospace sectors, buoyed by a solid strategy involving share buybacks and dividends. Notably, they plan to repurchase $6 billion worth of shares and distribute $3 billion in dividends within 2023, representing about 6.3% of their market cap. Key growth drivers include maintenance needs in the civil aftermarket, steady cash flows from the Defense Missile Segment, and increased GTF engine deliveries. Recent performance shows a 5% year-over-year revenue increase, highlighting the company’s robust market position and potential for future earnings growth.</t>
  </si>
  <si>
    <t>https://www.linkedin.com/company/raytheon-technologies-co</t>
  </si>
  <si>
    <t>United States, Italy, Japan, Canada, United Kingdom, Spain</t>
  </si>
  <si>
    <t>$200M-$500M</t>
  </si>
  <si>
    <t>Public Equity, Fixed Income, Real Estate, Cash, Other Alternatives</t>
  </si>
  <si>
    <t>$108.9B</t>
  </si>
  <si>
    <t>1000 Wilson Blvd</t>
  </si>
  <si>
    <t>Arlington</t>
  </si>
  <si>
    <t>Neil</t>
  </si>
  <si>
    <t>Mitchill</t>
  </si>
  <si>
    <t>Neil Mitchill</t>
  </si>
  <si>
    <t>Chief Financial Officer</t>
  </si>
  <si>
    <t>Greater Hartford</t>
  </si>
  <si>
    <t>rtx.com</t>
  </si>
  <si>
    <t>https://www.linkedin.com/in/neil-mitchill-412b6213/</t>
  </si>
  <si>
    <t>neil.mitchill@pw.utc.com</t>
  </si>
  <si>
    <t>(860) 403-5000</t>
  </si>
  <si>
    <t>advdance@aol.com</t>
  </si>
  <si>
    <t>State Farm</t>
  </si>
  <si>
    <t>State Farm is a mutual insurance company founded in 1922, headquartered in Bloomington, Illinois. It is the largest property and casualty insurance provider and the largest auto insurance provider in the United States. The company's mission is to help people manage everyday risks, recover from the unexpected, and realize their dreams. Their goals include being the first and best choice for customers in insurance and financial services, and they emphasize values such as quality service, relationships, integrity, and financial strength. State Farm's financial services include banking and investing, with significant revenue and net income figures indicating a robust financial standing. In 2019, its revenue was approximately $79.4 billion, and it had a net income of about $5.6 billion. The company's operational strategy focuses on maintaining diverse services and a strong community presence through over 19,000 agents and numerous service centers. State Farm prioritizes mutual trust, fulfilling promises, and assisting in community strength as part of their overall philosophy.</t>
  </si>
  <si>
    <t>https://www.linkedin.com/company/state_farm</t>
  </si>
  <si>
    <t>European countries, Australia, Israel, New Zealand, Hong Kong, Japan, Singapore</t>
  </si>
  <si>
    <t>Europe, Asia, Oceania</t>
  </si>
  <si>
    <t>45793 million</t>
  </si>
  <si>
    <t>One State Farm Plaza</t>
  </si>
  <si>
    <t>Bloomington</t>
  </si>
  <si>
    <t>Steven</t>
  </si>
  <si>
    <t>Williams</t>
  </si>
  <si>
    <t>Steven Williams</t>
  </si>
  <si>
    <t>Member Board Of Directors</t>
  </si>
  <si>
    <t>Dallas-Fort Worth Metroplex</t>
  </si>
  <si>
    <t>statefarm.com</t>
  </si>
  <si>
    <t>https://www.linkedin.com/in/steven-williams-b4b8604/</t>
  </si>
  <si>
    <t>steven.williams@pepsico.com</t>
  </si>
  <si>
    <t>(800) 226-0083</t>
  </si>
  <si>
    <t>stevewilliamscpa@aol.com</t>
  </si>
  <si>
    <t>Duke Energy</t>
  </si>
  <si>
    <t>Duke Energy, a Fortune 150 company, provides electric and gas services to millions across several states, focusing on sustainable energy transitions, customer reliability, and emerging technologies. Its goals include achieving net-zero methane emissions by 2030 and net-zero carbon emissions from electricity generation by 2050, with a major emphasis on affordability, safety, and infrastructure investment.</t>
  </si>
  <si>
    <t>https://www.linkedin.com/company/duke-energy-corporation</t>
  </si>
  <si>
    <t>North America, Global (including unspecified countries)</t>
  </si>
  <si>
    <t>Public Equity, Fixed Income, Private Equity, Real Estate, Commodities, Cash, Other Alternatives</t>
  </si>
  <si>
    <t>17145 million</t>
  </si>
  <si>
    <t>525 South Tryon Street</t>
  </si>
  <si>
    <t>Charlotte</t>
  </si>
  <si>
    <t>North Carolina</t>
  </si>
  <si>
    <t>Marie</t>
  </si>
  <si>
    <t>McKee</t>
  </si>
  <si>
    <t>Marie McKee</t>
  </si>
  <si>
    <t>Sarasota, Florida, United States</t>
  </si>
  <si>
    <t>duke-energy.com</t>
  </si>
  <si>
    <t>https://www.linkedin.com/in/marie-mckee-ba95178/</t>
  </si>
  <si>
    <t>marie.mckee@duke-energy.com</t>
  </si>
  <si>
    <t>(877) 372-8477</t>
  </si>
  <si>
    <t>kmckee-cole@hotmail.com</t>
  </si>
  <si>
    <t>PSP Investments</t>
  </si>
  <si>
    <t>PSP Investments, or the Public Sector Pension Investment Board, is one of Canada's largest pension investment managers with CAD $264.9 billion in net assets under management. It was established in 1999 to manage pension funds for public service employees of the Canadian federal government, including the Canadian Armed Forces, the Royal Canadian Mounted Police, and the Reserve Force. The organization's primary mandate is to invest these funds with a view to achieving maximum returns while managing risks, in accordance with the Public Sector Pension Investment Act. The company's philosophy emphasizes long-term thinking, sustainability, and responsible investing, integrating environmental, social, and governance (ESG) factors into its investment processes. Unfortunately, detailed information about the specific investing thesis could not be extracted from available sources.</t>
  </si>
  <si>
    <t>https://www.linkedin.com/company/psp-investments</t>
  </si>
  <si>
    <t>United States, Canada, United Kingdom, Australia</t>
  </si>
  <si>
    <t>North America, Europe, Asia, Oceania, Africa, Central and South America</t>
  </si>
  <si>
    <t>Public Equity, Fixed Income, Private Equity, Real Estate, Infrastructure, Hedge Funds (Complementary Portfolio), Private Credit (Credit Investments), Cash, Other Alternatives (Natural Resources, Complementary Portfolio)</t>
  </si>
  <si>
    <t>135 Laurier Avenue, West</t>
  </si>
  <si>
    <t>Ottawa</t>
  </si>
  <si>
    <t>Ontario</t>
  </si>
  <si>
    <t>Jonathon</t>
  </si>
  <si>
    <t>Hammond</t>
  </si>
  <si>
    <t>Jonathon Hammond</t>
  </si>
  <si>
    <t>Director - Credit Investments</t>
  </si>
  <si>
    <t>New York, New York, United States</t>
  </si>
  <si>
    <t>investpsp.com</t>
  </si>
  <si>
    <t>https://www.linkedin.com/in/jonathon-hammond-06014b23/</t>
  </si>
  <si>
    <t>jhammond@investpsp.com</t>
  </si>
  <si>
    <t>(613) 782-3095</t>
  </si>
  <si>
    <t>jonathon.hammond@crescentcap.com</t>
  </si>
  <si>
    <t>Utah State Retirement</t>
  </si>
  <si>
    <t>Utah Retirement Systems (URS) serves as the retirement fund for Utah's public employees, managing pension and defined contribution benefits for over 250,000 members across 493 employers including state, local governments, and educational institutions. The organization administers eight defined benefit pension systems and four IRS-qualified retirement savings plans, ensuring fiduciary management of these funds. URS emphasizes its mission of delivering value, innovation, and excellence in service, alongside its commitment to responsible investing and financial security for its members. The investing philosophy involves a commitment to sound financial practices and transparency, with a focus on long-term sustainability and the fiduciary duty to manage retirement assets effectively. The organization conducts regular actuarial reports and comprehensive financial assessments to maintain accountability and performance.</t>
  </si>
  <si>
    <t>https://www.linkedin.com/company/utah-retirement-systems</t>
  </si>
  <si>
    <t>North America and Globally</t>
  </si>
  <si>
    <t>48181 million</t>
  </si>
  <si>
    <t>540 East 200 South</t>
  </si>
  <si>
    <t>Salt Lake City</t>
  </si>
  <si>
    <t>UT</t>
  </si>
  <si>
    <t>Jason</t>
  </si>
  <si>
    <t>Morrow</t>
  </si>
  <si>
    <t>Jason Morrow</t>
  </si>
  <si>
    <t>urs.org</t>
  </si>
  <si>
    <t>https://www.linkedin.com/in/jasonkmorrow/</t>
  </si>
  <si>
    <t>jason.morrow@urs.org</t>
  </si>
  <si>
    <t>(801) 366-7700</t>
  </si>
  <si>
    <t>granjamo@gmail.com</t>
  </si>
  <si>
    <t>California Public Employees</t>
  </si>
  <si>
    <t>California Public Employees' Retirement System (CalPERS) is a non-profit organization based in Sacramento, California. Established in 1932, CalPERS administers health and retirement benefits for over 3 million members including more than 1.6 million in their retirement system. The organization is dedicated to providing benefits to its members through careful investment and management of its funds. CalPERS has a total investment commitment exceeding $30 billion, focusing on areas such as venture capital and growth equity. The organization employs between 1,001 to 5,000 staff members, maintaining active operational status. Notably, CalPERS has invested in major technology stocks, including Intel and Nvidia.</t>
  </si>
  <si>
    <t>https://www.linkedin.com/company/calpers</t>
  </si>
  <si>
    <t>United States, China, India, Japan, various countries in Europe (e.g., United Kingdom, Germany, France), Australia, Canada</t>
  </si>
  <si>
    <t>North America, Europe, Asia, Australia, South America, Africa</t>
  </si>
  <si>
    <t>Public Equity, Fixed Income, Private Equity, Private Debt, Real Estate, Infrastructure, Opportunistic, Cash</t>
  </si>
  <si>
    <t>$496.8B</t>
  </si>
  <si>
    <t>400 Q St</t>
  </si>
  <si>
    <t>Sacramento</t>
  </si>
  <si>
    <t>Tamara</t>
  </si>
  <si>
    <t>Alexander, CFA, CAIA</t>
  </si>
  <si>
    <t>Tamara Alexander, CFA, CAIA</t>
  </si>
  <si>
    <t>Associate Investment Manager, Portfolio Strategies</t>
  </si>
  <si>
    <t>Walnut Creek, California, United States</t>
  </si>
  <si>
    <t>calpers.ca.gov</t>
  </si>
  <si>
    <t>https://www.linkedin.com/in/tamara-alexander-cfa-caia-04563ba/</t>
  </si>
  <si>
    <t>tamara.alexander@ca.gov</t>
  </si>
  <si>
    <t>(916) 795-3000</t>
  </si>
  <si>
    <t>vorobtsova@yahoo.com</t>
  </si>
  <si>
    <t>Chicago Teachers Pension Fund</t>
  </si>
  <si>
    <t>The Chicago Teachers' Pension Fund (CTPF) was established by the Illinois state legislature in 1895, making it the oldest public pension fund in Illinois. It manages assets for over 94,000 members, administering benefits that total more than $1.6 billion annually. CTPF is dedicated to the financial security of teachers, principals, and administrators serving or who have served the Chicago Public Schools, including charter and contract schools.**Goals and Philosophy:** CTPF's mission emphasizes the importance of securing retirement, survivor, and disability benefits for certified teachers and employees of the Chicago Public Schools. The organization is governed by a 12-member Board of Trustees, which includes members elected by active and retired teachers as well as appointed representatives. CTPF has a strategic plan in place for the years 2023-26 aimed at optimizing its resources for the benefit of its members.**Investing Thesis:** The CTPF Investment Department focuses on enhancing the total return of its investment portfolio through diversified long-term investments and meticulous risk management. Its Investment Policy outlines the framework for managing its defined benefit plan and establishes guidelines for investment objectives, policies, and responsibilities. The fund works closely with independent professional investment managers and consultants to achieve its investment goals and ensure strong governance practices.More details can be found on their official website: [CTPF](https://ctpf.org).</t>
  </si>
  <si>
    <t>United States, Canada, countries in Western Europe, countries in Asia Pacific region, African countries, countries in the Middle East</t>
  </si>
  <si>
    <t>North America, Europe, Asia, Africa, Middle East</t>
  </si>
  <si>
    <t>$20M-$75M</t>
  </si>
  <si>
    <t>Domestic Equity, Global ex-US Equity, Private Equity, U.S. Fixed Income, Real Estate, Private Credit, Infrastructure</t>
  </si>
  <si>
    <t>425 S. Financial Place, Chicago</t>
  </si>
  <si>
    <t>IL</t>
  </si>
  <si>
    <t>Freihammer</t>
  </si>
  <si>
    <t>John Freihammer, CAIA</t>
  </si>
  <si>
    <t>Greater Chicago Area</t>
  </si>
  <si>
    <t>ctpf.org</t>
  </si>
  <si>
    <t>https://www.linkedin.com/in/john-freihammer-caia-9a3b089/</t>
  </si>
  <si>
    <t>freihammerj@ctpf.org</t>
  </si>
  <si>
    <t>(847) 566-4221</t>
  </si>
  <si>
    <t>timothy.silvers@yahoo.com</t>
  </si>
  <si>
    <t>Estee Lauder Pension Plan (US)</t>
  </si>
  <si>
    <t>The Estee Lauder Pension Plan (US) is a domestic trust-based noncontributory qualified defined benefit pension plan located in New York, NY. It manages assets primarily for eligible employees of The Estée Lauder Companies, providing retirement benefits, as well as death and pension benefits. It is categorized as a private sector pension fund with investments across alternative asset classes including Private Equity, Venture Capital, Private Debt, Real Estate, Infrastructure, Natural Resources, and Hedge Funds. The executive team involved includes several high-profile executive positions focusing on various asset classes.</t>
  </si>
  <si>
    <t>https://www.linkedin.com/company/the-estee-lauder-companies-inc</t>
  </si>
  <si>
    <t>United States, China, Switzerland, South Korea, Canada</t>
  </si>
  <si>
    <t>North America, Asia, Europe</t>
  </si>
  <si>
    <t>18-01 Marilyn Monroe Blvd</t>
  </si>
  <si>
    <t>Melville</t>
  </si>
  <si>
    <t>David</t>
  </si>
  <si>
    <t>Vaughn</t>
  </si>
  <si>
    <t>Jane Sebastian</t>
  </si>
  <si>
    <t>bobbibrown.de</t>
  </si>
  <si>
    <t>https://www.linkedin.com/in/drvaughn/</t>
  </si>
  <si>
    <t>fdavidvaughn@ecbm.com</t>
  </si>
  <si>
    <t>(646) 837-0837</t>
  </si>
  <si>
    <t>vaughndr@gmail.com</t>
  </si>
  <si>
    <t>World Bank</t>
  </si>
  <si>
    <t>The World Bank is a unique global partnership comprising 189 member countries that focuses on sustainable solutions to reduce poverty and build shared prosperity in developing countries. Its vision is to create a world free of poverty on a livable planet, with a mission to end extreme poverty and promote shared prosperity. The World Bank operates through core values of impact, integrity, respect, teamwork, and innovation.</t>
  </si>
  <si>
    <t>https://www.linkedin.com/company/the-world-bank</t>
  </si>
  <si>
    <t>Africa, East Asia and Pacific, Europe and Central Asia, Latin America and Caribbean, Middle East and North Africa, South Asia</t>
  </si>
  <si>
    <t>Fixed Income, Public Equity, Private Equity, Real Assets, Private Credit, Absolute Return Strategies</t>
  </si>
  <si>
    <t>29597 million</t>
  </si>
  <si>
    <t>1818 H Street NW</t>
  </si>
  <si>
    <t>Natan</t>
  </si>
  <si>
    <t>Goldberger</t>
  </si>
  <si>
    <t>Natan Goldberger</t>
  </si>
  <si>
    <t>Arlington, Virginia, United States</t>
  </si>
  <si>
    <t>worldbank.org</t>
  </si>
  <si>
    <t>https://www.linkedin.com/in/natangoldberger/</t>
  </si>
  <si>
    <t>ngoldberger@worldbank.org</t>
  </si>
  <si>
    <t>(202) 473-1000</t>
  </si>
  <si>
    <t>natan.goldberger@gmail.com</t>
  </si>
  <si>
    <t>Exelon Corporation Pension Fund</t>
  </si>
  <si>
    <t>Exelon Corporation Pension Fund is a single-employer non-contributory defined benefit corporate pension fund based in Chicago, Illinois. Established in 1912, its primary purpose is to provide retirement benefits to Exelon's employees. As of the latest information, the fund has approximately $11 billion in assets under management and allocates its investments across 28% equity, 44% fixed income, and 28% alternatives. The fund has experienced a performance decrease of -18.69% in the past year. Key executives leading the organization include Chief Executive Calvin Butler and Chief Investment Officer Douglas Brown. The investment strategies focus on core areas such as private equity, real estate, and fixed income, aiming to ensure long-term sustainable growth and secure retirement benefits for its members. More information about Exelon Corporation, including its mission and values, indicates that it is a major player in the U.S. energy sector, emphasizing reliability, innovation, and customer service while operating to meet the needs of approximately 10 million customers.</t>
  </si>
  <si>
    <t>https://www.linkedin.com/company/exelon</t>
  </si>
  <si>
    <t>Cash, Fixed Income, Public Equity, Real Estate, Other Alternatives</t>
  </si>
  <si>
    <t>10 S Dearborn St.</t>
  </si>
  <si>
    <t>Brian</t>
  </si>
  <si>
    <t>Brian Andersen</t>
  </si>
  <si>
    <t>Chief Investment Officer</t>
  </si>
  <si>
    <t>constellationenergy.com</t>
  </si>
  <si>
    <t>https://www.linkedin.com/in/brian-andersen-87658b5/</t>
  </si>
  <si>
    <t>brian.andersen@constellation.com</t>
  </si>
  <si>
    <t>(312) 394-7945</t>
  </si>
  <si>
    <t>brian.andersen@hotmail.com</t>
  </si>
  <si>
    <t>Chevron</t>
  </si>
  <si>
    <t>Chevron Corporation is a leading integrated energy company with a global presence, incorporated in 1906 as Standard Oil Company (California) and headquartered in San Francisco, California. As one of the largest oil refiners in the U.S. and the fifth-largest oil company worldwide based on revenues, Chevron operates in approximately 100 countries and owns net reserves of nearly 4.2 billion barrels of oil and natural gas liquids. The company strives to exceed the performance of its competitors, aiming for stockholder returns averaging at least 15% annually.Chevron's philosophy revolves around integrity, diversity, partnerships, trust, and environmental protection, referred to as "The Chevron way.” The company values stakeholder interests, including those of employees, customers, and local communities, integrating these values into its strategic plans and operations. Meanwhile, Chevron made substantial revenues, with over $184 billion in sales volume in 2005, showcasing its significant impact in the energy sector. The company's vision is to be a leading global energy producer and a highly respected organization.</t>
  </si>
  <si>
    <t>https://www.linkedin.com/company/chevron</t>
  </si>
  <si>
    <t>United States, United Kingdom, Japan, Canada, Sweden, Switzerland</t>
  </si>
  <si>
    <t>North America, Europe, Asia, Oceania</t>
  </si>
  <si>
    <t>24762 million</t>
  </si>
  <si>
    <t>1400 Smith Street</t>
  </si>
  <si>
    <t>Houston</t>
  </si>
  <si>
    <t>TX</t>
  </si>
  <si>
    <t>Shajuan</t>
  </si>
  <si>
    <t>Burns</t>
  </si>
  <si>
    <t>Shajuan M Burns, MBA</t>
  </si>
  <si>
    <t>University Portfolio Manager</t>
  </si>
  <si>
    <t>Greater Houston</t>
  </si>
  <si>
    <t>chevron.com</t>
  </si>
  <si>
    <t>https://www.linkedin.com/in/shajuan-m-burns-mba-13a461144/</t>
  </si>
  <si>
    <t>shajuan.burns@chevron.com</t>
  </si>
  <si>
    <t>(925) 842-1000</t>
  </si>
  <si>
    <t>shajuan.burns@gmail.com</t>
  </si>
  <si>
    <t>Exxon Mobil</t>
  </si>
  <si>
    <t>Exxon Mobil Corporation, a leading global oil and gas company formed in 1999 through the merger of Exxon Corporation and Mobil Corporation, operates across all areas of the petroleum industry—from extraction to distribution, with major investments in natural gas, coal, and chemical production. It aims to be the world's premier petroleum and petrochemical company, focusing on superior financial results and ethical operations. The company is investing in low-carbon solutions with a goal of net-zero emissions by 2050. For investors, the company shows strong performance, a dividend yield of 3.2%, and growth prospects due to strategic investments and market adaptability.</t>
  </si>
  <si>
    <t>https://www.linkedin.com/company/exxonmobil</t>
  </si>
  <si>
    <t>United States, Canada, Netherlands, Germany, France, United Kingdom, Italy, Belgium, Mexico, China, Australia, Nigeria, Qatar, Saudi Arabia, Indonesia, Russia, Kazakhstan, Mozambique, Norway, United Arab Emirates, Kazakhstan, Thailand, Iraq</t>
  </si>
  <si>
    <t>North America, Europe, Asia, South America, Africa, Australia</t>
  </si>
  <si>
    <t>Public Equity, Fixed Income, Real Estate, Infrastructure, Cash</t>
  </si>
  <si>
    <t>28868 million</t>
  </si>
  <si>
    <t>22777 Springwoods Village Parkway</t>
  </si>
  <si>
    <t>Spring</t>
  </si>
  <si>
    <t>Angela</t>
  </si>
  <si>
    <t>Braly</t>
  </si>
  <si>
    <t>Angela Braly</t>
  </si>
  <si>
    <t>Member Board of Directors</t>
  </si>
  <si>
    <t>Greater Indianapolis</t>
  </si>
  <si>
    <t>exxonmobil.com</t>
  </si>
  <si>
    <t>https://www.linkedin.com/in/angelabraly/</t>
  </si>
  <si>
    <t>abraly@thepolicycircle.org</t>
  </si>
  <si>
    <t>(317) 722-0901</t>
  </si>
  <si>
    <t>kryderhm@gmail.com</t>
  </si>
  <si>
    <t>Aegon Companies Pension Plan</t>
  </si>
  <si>
    <t>Aegon Companies Pension Plan is part of Aegon, an international financial services group that offers various financial solutions which include insurance, pensions, and asset management services. The company is focused on supporting individuals in building financial security to navigate the opportunities and challenges of longer lifespans. Their strategic goals include creating long-term value for shareholders while providing diverse investment, protection, and retirement solutions. Aegon views changing life patterns and longevity as key opportunities for both customers and society.</t>
  </si>
  <si>
    <t>https://www.linkedin.com/company/aegon</t>
  </si>
  <si>
    <t>United States, United Kingdom, Spain, Brazil, China, Portugal, India, Bermuda, Singapore, Hong Kong</t>
  </si>
  <si>
    <t>Europe, Asia, North America, South America</t>
  </si>
  <si>
    <t>Aegonplein 50</t>
  </si>
  <si>
    <t>The Hague</t>
  </si>
  <si>
    <t>Zuid-Holland</t>
  </si>
  <si>
    <t>Netherlands</t>
  </si>
  <si>
    <t>DeMarest</t>
  </si>
  <si>
    <t>Barnette</t>
  </si>
  <si>
    <t>DeMarest Barnette</t>
  </si>
  <si>
    <t>Vice President Board Of Directors</t>
  </si>
  <si>
    <t>Alpharetta, Georgia, United States</t>
  </si>
  <si>
    <t>aegon.com</t>
  </si>
  <si>
    <t>https://www.linkedin.com/in/demarest-barnette-5300364/</t>
  </si>
  <si>
    <t>demarest.barnette@aegon.com</t>
  </si>
  <si>
    <t>(303) 324-7197</t>
  </si>
  <si>
    <t>CEOdeMar@yahoo.com</t>
  </si>
  <si>
    <t>British Columbia Investment Management Corporation</t>
  </si>
  <si>
    <t>British Columbia Investment Management Corporation (BCI) is a leading provider of investment management services to British Columbia's public sector, with $250.4 billion in gross assets under management as of March 31, 2024. Established under the Public Sector Pension Plans Act in 2000, BCI operates for the benefit of 29 public sector clients that include ten pension plans, three insurance funds, and 16 special purpose funds, serving a clientele of over 740,000 pension plan beneficiaries and 2.7 million workers in British Columbia.**Introduction:** BCI focuses on converting savings into productive capital to meet clients' risk and return requirements, integrating Environmental, Social, and Governance (ESG) factors in all investment decisions. Their investment strategies span across a wide array of asset classes, including public and private equity, infrastructure, renewable resources, real estate equity and debt, and fixed income. **Goals and Philosophy:** BCI's vision is to partner with clients to secure financial futures in a changing world. They operate under core values such as: Clients First, Performance Focused, World Class, Accountability, Transparency, and Integrity. BCI’s mission includes providing comprehensive fund management services on a cost recovery basis, operating transparently, and without external financial support. They prioritize client relationships and continuously strive for improvements in management practices to meet financial goals.**Investing Thesis:** As an active in-house asset manager, BCI emphasizes sophisticated investment strategies tailored to specific client needs, focusing on sustainable value creation even amid changing market conditions. Their goal is to grow and protect the long-term value of clients' funds while managing risks appropriately.</t>
  </si>
  <si>
    <t>www.linkedin.com/company/british-columbia-investment-management-corporation-bci</t>
  </si>
  <si>
    <t>Canada, United States, United Kingdom, Brazil, China, India, Korea, Mexico, South Africa, Taiwan, Hong Kong</t>
  </si>
  <si>
    <t>750 Pandora Ave</t>
  </si>
  <si>
    <t>Victoria</t>
  </si>
  <si>
    <t>British Columbia</t>
  </si>
  <si>
    <t>Kalina</t>
  </si>
  <si>
    <t>Berova</t>
  </si>
  <si>
    <t>Kalina Berova</t>
  </si>
  <si>
    <t>bci.ca</t>
  </si>
  <si>
    <t>https://www.linkedin.com/in/kalina-berova-635aa089/</t>
  </si>
  <si>
    <t>kalina.berova@bci.ca</t>
  </si>
  <si>
    <t>(401) 459-4591</t>
  </si>
  <si>
    <t>kalibtodorova@gmail.com</t>
  </si>
  <si>
    <t>CommonSpirit Health</t>
  </si>
  <si>
    <t>CommonSpirit Health is a non-profit, Catholic health system dedicated to advancing health for all people. It employs approximately 175,000 individuals, including over 25,000 physicians and advanced practice clinicians, and operates 140 hospitals alongside more than 2,200 care centers across 24 states. The organization is committed to serving the common good, delivering clinical excellence, and providing more than $4 billion annually in charity care and community benefits. Inspired by scripture, the name CommonSpirit emphasizes the collective healing gift of compassion and the organization's mission to serve the common good.CommonSpirit's mission embodies the healing presence of God by improving health, particularly for vulnerable populations, while promoting social justice. The organization envisions a healthier future powered by faith, innovation, and humanity, laying out its core values of compassion, inclusion, integrity, excellence, and collaboration. The approach includes a commitment to health equity and community health initiatives, including research and home health programs to enhance population health. The investment thesis focuses on innovative care delivery and addressing the changing needs of communities.</t>
  </si>
  <si>
    <t>https://www.linkedin.com/company/commonspirithealth</t>
  </si>
  <si>
    <t>Public Equity, Fixed Income, Private Equity, Hedge Funds, Real Estate (Real Assets), Cash</t>
  </si>
  <si>
    <t>23600 million</t>
  </si>
  <si>
    <t>444 W Lake St Ste 2500</t>
  </si>
  <si>
    <t>Wright</t>
  </si>
  <si>
    <t>Lassiter, III</t>
  </si>
  <si>
    <t>Wright Lassiter III</t>
  </si>
  <si>
    <t>Chief Executive Officer</t>
  </si>
  <si>
    <t>Chicago, Illinois, United States</t>
  </si>
  <si>
    <t>commonspirit.careers</t>
  </si>
  <si>
    <t>https://www.linkedin.com/in/wright-lassiter-iii/</t>
  </si>
  <si>
    <t>wlassiter@arsenalcapital.com</t>
  </si>
  <si>
    <t>(212) 771-1717</t>
  </si>
  <si>
    <t>wrightlassiter@gmail.com</t>
  </si>
  <si>
    <t>Pennsylvania School Empl.</t>
  </si>
  <si>
    <t>The Pennsylvania School Employees' Retirement System (PSERS) has been serving public school employees of Pennsylvania since 1917, experiencing growth in membership from 37,000 in 1919 to over 500,000 today. As of June 30, 2023, its assets increased from $6 billion in 1982 to approximately $72.8 billion. PSERS operates as a defined benefit plan and has expanded to include hybrid options.**Mission, Vision, and Values:** - **Mission:** To be a partner with our members to fulfill the promise of a secure retirement. - **Vision:** To be a trusted partner in delivering exceptional retirement services and benefits. - **Values:** - Public accountability and transparency. - Commitment to staff growth and development. - Exceptional levels of service. - Respect for members, stakeholders, and staff. - Stewardship of resources and investments. **Investment Philosophy:** Transparency is crucial, and PSERS takes its fiduciary duty seriously. It provides detailed information about investments, investment manager fees, performance, and policies. PSERS reviews its Investment Policy Statement (IPS) and Stand Alone Policies on at least an annual basis, ensuring adherence to investment guidelines and fiscal responsibility. They maintain a robust investment program, detailing asset allocation, managerial partnerships, and performance evaluations. The organization is dedicated to continuous improvement and effective resource management.</t>
  </si>
  <si>
    <t>https://www.linkedin.com/company/papsers</t>
  </si>
  <si>
    <t>United States, countries in Europe, countries in Asia, unspecified emerging market countries</t>
  </si>
  <si>
    <t>North America, Europe, Asia, Emerging Markets (Global)</t>
  </si>
  <si>
    <t>Public Equity, Private Equity, Public Fixed Income, Private Fixed Income, Public Real Assets, Private Real Assets, Tail Risk Mitigation, Opportunistic, Cash and Cash Equivalents</t>
  </si>
  <si>
    <t>65965 million</t>
  </si>
  <si>
    <t>5 North 5th Street</t>
  </si>
  <si>
    <t>Harrisburg</t>
  </si>
  <si>
    <t>Pennsylvania</t>
  </si>
  <si>
    <t>Patrick</t>
  </si>
  <si>
    <t>McCafferty, CFA</t>
  </si>
  <si>
    <t>Patrick McCafferty, CFA</t>
  </si>
  <si>
    <t>Investment Risk Manager</t>
  </si>
  <si>
    <t>Media, Pennsylvania, United States</t>
  </si>
  <si>
    <t>pa.gov</t>
  </si>
  <si>
    <t>https://www.linkedin.com/in/pmccafferty/</t>
  </si>
  <si>
    <t>pmccafferty@pa.gov</t>
  </si>
  <si>
    <t>(314) 291-5876</t>
  </si>
  <si>
    <t>pmccafferty@gmail.com</t>
  </si>
  <si>
    <t>Mayo Clinic</t>
  </si>
  <si>
    <t>Mayo Clinic is the largest integrated, not-for-profit medical group practice, with a mission to inspire hope and promote health through integrated clinical practice, education, and research. Founded nearly 150 years ago by Will and Charlie Mayo, it focuses on transforming healthcare and improving health equity. Mayo Clinic aims to spend $100 million to eliminate racism and advance equity and inclusion, with goals to reduce greenhouse gas emissions by 50% and energy usage by 20% within the next decade. Their primary value is that the needs of the patient come first, supported by core values of respect, integrity, compassion, healing, teamwork, innovation, excellence, and stewardship.In terms of investments, Mayo Clinic commits resources to cutting-edge start-ups and companies that can help transform healthcare, focusing on strategic investments aimed at addressing global patient needs.</t>
  </si>
  <si>
    <t>https://www.linkedin.com/company/mayo-clinic</t>
  </si>
  <si>
    <t>Public Equity, Fixed Income, Private Equity, Real Estate, Hedge Funds (Absolute Return), Other Alternatives (Real Assets)</t>
  </si>
  <si>
    <t>19291 million</t>
  </si>
  <si>
    <t>200 First Street SW</t>
  </si>
  <si>
    <t>Rochester</t>
  </si>
  <si>
    <t>Minnesota</t>
  </si>
  <si>
    <t>Ronning</t>
  </si>
  <si>
    <t>Jeff Ronning</t>
  </si>
  <si>
    <t>Contract Portfolio Manager</t>
  </si>
  <si>
    <t>Rochester, Minnesota, United States</t>
  </si>
  <si>
    <t>mayoclinic.org</t>
  </si>
  <si>
    <t>https://www.linkedin.com/in/jeff-ronning-b120a5a/</t>
  </si>
  <si>
    <t>jeff.ronning@mayoclinic.org</t>
  </si>
  <si>
    <t>(507) 284-2511</t>
  </si>
  <si>
    <t>jdronning@yahoo.com</t>
  </si>
  <si>
    <t>Afore Sura</t>
  </si>
  <si>
    <t>Afore Sura, S.A. de C.V. is a pension fund management company based in Mexico City, established in 1996. It manages individual pension funds for over 7 million workers and is part of Grupo SURA. The company aims to provide robust pension fund services and aims to expand its asset management offerings in line with its growth as the fourth largest Afore in Mexico, managing assets of approximately $38 billion. Afore Sura engages in investments across various asset classes including Private Equity, Debt, Real Estate, and Infrastructure, with a focus on delivering consistent returns for its clients. Their investment philosophy revolves around diversified investment strategies to cater to the long-term needs of their pension fund members and ensure the sustainability of the funds managed.</t>
  </si>
  <si>
    <t>https://www.linkedin.com/company/afore-sura</t>
  </si>
  <si>
    <t>Mexico, Chile, Peru, Colombia, Uruguay, El Salvador</t>
  </si>
  <si>
    <t>Latin America</t>
  </si>
  <si>
    <t>Public Equity, Fixed Income, Cash Equivalents, Other Alternatives</t>
  </si>
  <si>
    <t>41624 million</t>
  </si>
  <si>
    <t>Paseo de la Reforma 222, Piso 4</t>
  </si>
  <si>
    <t>Mexico City</t>
  </si>
  <si>
    <t>CDMX</t>
  </si>
  <si>
    <t>Mexico</t>
  </si>
  <si>
    <t>Enrique</t>
  </si>
  <si>
    <t>Solorzano</t>
  </si>
  <si>
    <t>Enrique Solorzano</t>
  </si>
  <si>
    <t>CEO</t>
  </si>
  <si>
    <t>Mexico City, Mexico</t>
  </si>
  <si>
    <t>aforesura.com.mx</t>
  </si>
  <si>
    <t>https://www.linkedin.com/in/enrique-solorzano/</t>
  </si>
  <si>
    <t>enrique.solorzano@bakerhughes.com</t>
  </si>
  <si>
    <t>(713) 439-8600</t>
  </si>
  <si>
    <t>exsolorzano@hotmail.com</t>
  </si>
  <si>
    <t>Ernst &amp; Young</t>
  </si>
  <si>
    <t>Ernst &amp; Young (EY) is a global leader in professional services, including assurance, tax, transaction, and advisory services. The company's core purpose is "Building a better working world," which they aim to achieve through the insights and quality services they provide, fostering trust and confidence in the capital markets while creating long-term value for clients, society, and their people. EY is dedicated to diversity and inclusiveness, investing significantly in skills and learning to empower their workforce and advance their professional development. In terms of an investing thesis, EY emphasizes value creation as a central commitment in their engagements, especially within private equity, where they assist firms in transforming their investment strategies to maximize growth and efficiency.</t>
  </si>
  <si>
    <t>https://www.linkedin.com/company/ernstandyoung</t>
  </si>
  <si>
    <t>Ireland, United Kingdom, United States</t>
  </si>
  <si>
    <t>Europe, North America</t>
  </si>
  <si>
    <t>22319 million</t>
  </si>
  <si>
    <t>1 More London Riverside</t>
  </si>
  <si>
    <t>London</t>
  </si>
  <si>
    <t>United Kingdom</t>
  </si>
  <si>
    <t>Ryan</t>
  </si>
  <si>
    <t>Cupersmith</t>
  </si>
  <si>
    <t>Ryan Cupersmith</t>
  </si>
  <si>
    <t>Las Vegas, Nevada, United States</t>
  </si>
  <si>
    <t>my.com</t>
  </si>
  <si>
    <t>https://www.linkedin.com/in/ryan-cupersmith-949956113/</t>
  </si>
  <si>
    <t>ryan.cupersmith@ey.com</t>
  </si>
  <si>
    <t>(212) 773-3000</t>
  </si>
  <si>
    <t>rcupersmith@gmail.com</t>
  </si>
  <si>
    <t>Wespath (UMC)</t>
  </si>
  <si>
    <t>Wespath Benefits and Investments is a pension fund management organization that has been supporting The United Methodist Church for over 100 years, serving more than 100,000 active and retired clergy and employees. Their mission focuses on providing benefit and investment services that honor the principles of The United Methodist Church, emphasizing sustainable investment practices that consider environmental, social, and governance (ESG) factors.### Introduction:Wespath serves as one of the largest faith-based pension funds globally, aiming to make a positive impact on society and the environment.### Goals and Philosophy:- **Core Mission**: Focuses on caring for those who serve by managing investment and benefit services.- **Sustainability Commitment**: Incorporates ESG factors into investment decisions, seeking to foster a positive influence on society and the environment.### Investing Thesis:- **Long-Term Perspective**: Aims for sustainable financial performance over time, eschewing shortsighted results for consistent above-benchmark returns.- **Diversification**: Utilizes a multi-manager fund approach to provide global diversification across various asset classes.- **Active Management**: Engages skilled active managers to optimize long-term results in less efficient markets.- **Sustainability Consideration**: Proactively integrates ESG considerations in investment practices.For detailed information, visit [Wespath](https://www.wespath.org/about-wespath/) and their [Investment Philosophy page](https://www.wespath.org/retirement-investments/investment-information/investment-philosophy).</t>
  </si>
  <si>
    <t>https://www.linkedin.com/company/wespath</t>
  </si>
  <si>
    <t>United States, Canada, Japan, Germany, Australia, Israel, Turkey, Morocco, China, Qatar, Russia, Philippines</t>
  </si>
  <si>
    <t>North America, Europe, Asia, Africa, South America, Oceania</t>
  </si>
  <si>
    <t>Public Equity, Fixed Income, Private Equity, Real Estate, Infrastructure, Hedge Funds, Private Credit, Cash, Other Alternatives</t>
  </si>
  <si>
    <t>20491 million</t>
  </si>
  <si>
    <t>1901 Chestnut Avenue</t>
  </si>
  <si>
    <t>Glenview</t>
  </si>
  <si>
    <t>Dale</t>
  </si>
  <si>
    <t>Jones</t>
  </si>
  <si>
    <t>Dale Jones</t>
  </si>
  <si>
    <t>Managing Director, Church Relations at Wespath Benefits and Investments</t>
  </si>
  <si>
    <t>Niles, Illinois, United States</t>
  </si>
  <si>
    <t>wespath.org</t>
  </si>
  <si>
    <t>https://www.linkedin.com/in/dale-jones-08b56548/</t>
  </si>
  <si>
    <t>djones@wespath.org</t>
  </si>
  <si>
    <t>(847) 866-4100</t>
  </si>
  <si>
    <t>jonesdale@att.net</t>
  </si>
  <si>
    <t>New York City Def. Comp.</t>
  </si>
  <si>
    <t>The New York City Deferred Compensation Plan (DCP) is aimed at helping eligible employees save for retirement through payroll deductions. It offers both a 457 Plan and a 401(k) Plan, providing pre-tax and Roth options. For employees in a City pension plan contributing less than 7.5%, it serves as a supplemental savings plan, while for those contributing 7.5% or more, it is the primary retirement plan. The DCP focuses on providing various investment options, which include pre-arranged portfolios for convenience and risk management, as well as core investment funds like Stable Income and Bond Index funds. The investment philosophy emphasizes diversification, automatic rebalancing, and risk assessment. For detailed financial planning, they offer consultations and have resources for understanding investment risks and options.</t>
  </si>
  <si>
    <t>https://www.linkedin.com/in/paulhellmancfp</t>
  </si>
  <si>
    <t>United States, countries in Europe, Australia, countries in Far East Asia, and developing countries in international emerging markets</t>
  </si>
  <si>
    <t>North America, Europe, Australia, Asia</t>
  </si>
  <si>
    <t>Fixed Income, Public Equity, Cash</t>
  </si>
  <si>
    <t>24669 million</t>
  </si>
  <si>
    <t>16-16 Whitestone Expressway</t>
  </si>
  <si>
    <t>Whitestone</t>
  </si>
  <si>
    <t>Syed</t>
  </si>
  <si>
    <t>Rizwan Azeem</t>
  </si>
  <si>
    <t>Syed Rizwan Azeem</t>
  </si>
  <si>
    <t>Chief Operating Officer (COO-DIIT)</t>
  </si>
  <si>
    <t>New York City Metropolitan Area</t>
  </si>
  <si>
    <t>nyc.gov</t>
  </si>
  <si>
    <t>https://www.linkedin.com/in/srazeem/</t>
  </si>
  <si>
    <t>sazeem@schools.nyc.gov</t>
  </si>
  <si>
    <t>(718) 935-4000</t>
  </si>
  <si>
    <t>srazeem@gmail.com</t>
  </si>
  <si>
    <t>Illinois Municipal Retirement Fund</t>
  </si>
  <si>
    <t>The Illinois Municipal Retirement Fund (IMRF) is a multi-employer public pension fund providing retirement, disability, and death benefits for employees of local governments in Illinois, except for the City of Chicago and Cook County. Established in 1941 and managed by an independently elected Board of Trustees, IMRF functions without state funding, relying on employee and employer contributions alongside investment returns. As of December 31, 2023, IMRF has over $52.1 billion in assets and is approximately 96.6% funded, serving over 181,205 active members and 154,554 retirees. IMRF aims for 100% funding and has a strategic planning process updated regularly since 2005, which emphasizes performance excellence. Key investment objectives include surpassing inflation and achieving robust returns across various asset categories, backed by a formal philosophy and performance metrics to ensure long-term sustainability.</t>
  </si>
  <si>
    <t>https://www.linkedin.com/company/imrf</t>
  </si>
  <si>
    <t>United States, Developed markets outside the US (EAFE regions), Emerging markets</t>
  </si>
  <si>
    <t>North America and International (including Developed Markets and Emerging Markets)</t>
  </si>
  <si>
    <t>Domestic Equity, International Equity, Fixed Income, Private Real Assets, Alternative Investments, Cash Equivalents</t>
  </si>
  <si>
    <t>2211 York Road</t>
  </si>
  <si>
    <t>Oak Brook</t>
  </si>
  <si>
    <t>Siddhesh</t>
  </si>
  <si>
    <t>Barot</t>
  </si>
  <si>
    <t>Siddhesh Barot</t>
  </si>
  <si>
    <t>imrf.org</t>
  </si>
  <si>
    <t>https://www.linkedin.com/in/siddhesh-barot-2a803a7/</t>
  </si>
  <si>
    <t>sbarot@imrf.org</t>
  </si>
  <si>
    <t>(630) 368-5359</t>
  </si>
  <si>
    <t>sidzonline@gmail.com</t>
  </si>
  <si>
    <t>Tennessee Consolidated</t>
  </si>
  <si>
    <t>Tennessee Consolidated Retirement System (TCRS) is a public pension fund established in 1972, based in Nashville, Tennessee. It provides defined benefit pension plans primarily for state employees, higher education personnel, teachers, and employees of political subdivisions. The system administers pension funds, encompassing various alternative asset classes including private equity, venture capital, private debt, real estate, infrastructure, natural resources, and hedge funds.TCRS aims to enhance retirement security for its members through strategic investments and sound management of assets. Recently, it has made substantial commitments, including $505 million in new private equity investments, indicating a growing focus on this asset class. Key investment commitments include allocations to several prominent private equity partnerships.While specific investment philosophies or detailed descriptions of the investing thesis weren't found, TCRS's goal appears centered around maximizing returns while safeguarding the retirement benefits of Tennessee's public servants. For more information, TCRS can be contacted at their headquarters located at the Andrew Jackson Building in Nashville. Their website [TCRS](http://www.treasury.tn.gov/tcrs) may provide additional insights and updates on their operations and objectives.</t>
  </si>
  <si>
    <t>Brazil, Chile, Colombia, Greece, India, Indonesia, South Korea, Malaysia, Mexico, Peru, Philippines, Poland, South Africa, Taiwan, Turkey, United States</t>
  </si>
  <si>
    <t>North America, Asia, Europe, South America, Africa</t>
  </si>
  <si>
    <t>Public Equity, Fixed Income, Private Equity, Real Estate, Private Credit, Cash</t>
  </si>
  <si>
    <t>600 Martin Luther King Jr. Blvd.</t>
  </si>
  <si>
    <t>Nashville</t>
  </si>
  <si>
    <t>TN</t>
  </si>
  <si>
    <t>Kristen</t>
  </si>
  <si>
    <t>Lynch</t>
  </si>
  <si>
    <t>Kristen Lynch</t>
  </si>
  <si>
    <t>Human Resources Business Partner</t>
  </si>
  <si>
    <t>Nashville, Tennessee, United States</t>
  </si>
  <si>
    <t>tn.gov</t>
  </si>
  <si>
    <t>https://www.linkedin.com/in/kristen-lynch-8b13421a/</t>
  </si>
  <si>
    <t>kristen.lynch@tn.gov</t>
  </si>
  <si>
    <t>(615) 741-2001</t>
  </si>
  <si>
    <t>klynch8387@gmail.com</t>
  </si>
  <si>
    <t>Episcopal Church</t>
  </si>
  <si>
    <t>The Episcopal Church is a mainline Anglican Christian church primarily located in the United States, but also active in various countries including Honduras, Taiwan, and parts of Europe. It offers a blend of Protestant and Catholic traditions, aiming to restore unity with God and one another through its mission. The church commits to socially responsible investing, focusing on investments that align with ethical values, and has a longstanding history of pursuing such investments since the 1960s.</t>
  </si>
  <si>
    <t>https://www.linkedin.com/company/churchpensiongroup</t>
  </si>
  <si>
    <t>Ecuador, Guatemala, India, Kazakhstan, Kenya, Mongolia, Nicaragua, Rwanda, Tanzania, Colombia, Cuba, Dominican Republic, Ecuador Central, Ecuador Litoral, Haiti, Honduras, Puerto Rico, Taiwan, Venezuela, British Virgin Islands, Costa Rica, El Salvador, Panama</t>
  </si>
  <si>
    <t>North America, South America, Asia, Africa</t>
  </si>
  <si>
    <t>Public Equity, Fixed Income, Private Equity, Real Estate, Other Alternatives (economically targeted investments, environmentally responsible investments)</t>
  </si>
  <si>
    <t>17954 million</t>
  </si>
  <si>
    <t>19 East 34th Street</t>
  </si>
  <si>
    <t>Ann</t>
  </si>
  <si>
    <t>Robinson</t>
  </si>
  <si>
    <t>Ann Sheu Robinson</t>
  </si>
  <si>
    <t>Managing Director and General Counsel - Investments</t>
  </si>
  <si>
    <t>cpg.org</t>
  </si>
  <si>
    <t>https://www.linkedin.com/in/ann-sheu-robinson-802bb4a/</t>
  </si>
  <si>
    <t>arobinson@cpg.org</t>
  </si>
  <si>
    <t>(866) 802-6333</t>
  </si>
  <si>
    <t>ann.sheu@gmail.com</t>
  </si>
  <si>
    <t>Canada Pension</t>
  </si>
  <si>
    <t>CPP Investments, also referred to as Canada Pension, is a professional investment management organization dedicated to enhancing financial security for Canadians in retirement through strategic investments across various asset classes. Its investment philosophy emphasizes long-term returns while managing risks efficiently. ### Introduction:CPP Investments is committed to ensuring the sustainability of the Canada Pension Plan (CPP) by investing across multiple asset classes including public equities, private equities, real estate, infrastructure, and fixed income instruments.### Goals and Philosophy:- **Core Investment Beliefs:** These beliefs are a foundation for long-term goals and involve taking calculated risks to maximize returns, emphasizing sound diversification, active investment selection, and world-class governance.- **Legislative Objective:** The organization is guided by the CPPIB Act, which mandates it to achieve maximum returns without undue risks. - **Key Beliefs:** Notable beliefs include the inseparability of risk and returns, opportunities from long-term investing, the necessity of diversification, and responsible governance. ### Investing Thesis:- **Strategy Overview:** CPP's investment strategy is focused on a well-balanced, globally diversified portfolio which targets sustainable long-term returns while mitigating risks. It aims to benefit from global economic growth without relying on one specific market.- **Active Management:** The focus is on adding value through active management while maintaining a long-term investment perspective. - **Total Portfolio Approach:** The strategy integrates diverse asset exposures while considering taxation implications, emphasizing the need to remain responsive to global economic changes. This comprehensive approach ensures that CPP Investments not only aims for high financial returns but also fosters sustainability and stability for its beneficiaries.</t>
  </si>
  <si>
    <t>https://www.linkedin.com/company/cppinvestmentsinvestissementsrpc</t>
  </si>
  <si>
    <t>Canada, United States, Brazil, Mexico, Peru, Chile, Colombia, United Kingdom, China, Japan, Taiwan, Singapore, Hong Kong, South Korea, Australia, Ireland, New Zealand, Spain, Germany, France, Mexico</t>
  </si>
  <si>
    <t>North America, Latin America, Europe, Asia Pacific</t>
  </si>
  <si>
    <t>$426.7B</t>
  </si>
  <si>
    <t>One Queen Street East, Suite 2500</t>
  </si>
  <si>
    <t>Toronto</t>
  </si>
  <si>
    <t>Maureen</t>
  </si>
  <si>
    <t>Maureen Morrow</t>
  </si>
  <si>
    <t>Investment Manager</t>
  </si>
  <si>
    <t>Columbus, Ohio, United States</t>
  </si>
  <si>
    <t>cppinvestments.com</t>
  </si>
  <si>
    <t>https://www.linkedin.com/in/maureen-morrow-7888674/</t>
  </si>
  <si>
    <t>mmorrow@sciotocc.com</t>
  </si>
  <si>
    <t>(614) 486-4341</t>
  </si>
  <si>
    <t>3M</t>
  </si>
  <si>
    <t>3M, or Minnesota Mining and Manufacturing Company, is widely recognized as an innovator in various industries, offering products like waterproof sandpaper and masking tape. The company's goals center around innovation, diversification to stabilize against market fluctuations, and strong employee support. Their investing thesis indicates the stock is undervalued, particularly in light of past legal challenges, with a significant dividend yield and a target price level of $90 for recovery momentum.</t>
  </si>
  <si>
    <t>https://www.linkedin.com/company/3m</t>
  </si>
  <si>
    <t>United States, Canada, United Kingdom, Australia, Netherlands</t>
  </si>
  <si>
    <t>North America, Europe, Australia</t>
  </si>
  <si>
    <t>27698 million</t>
  </si>
  <si>
    <t>3M Center</t>
  </si>
  <si>
    <t>St. Paul</t>
  </si>
  <si>
    <t>Wayde</t>
  </si>
  <si>
    <t>McMillan</t>
  </si>
  <si>
    <t>Wayde McMillan</t>
  </si>
  <si>
    <t>Chief Financial Officer, 3M Health Care Business Group</t>
  </si>
  <si>
    <t>Farmington, Connecticut, United States</t>
  </si>
  <si>
    <t>shop3m.com</t>
  </si>
  <si>
    <t>https://www.linkedin.com/in/wayde-mcmillan-9b233b33/</t>
  </si>
  <si>
    <t>wmcmillan@insulet.com</t>
  </si>
  <si>
    <t>(978) 600-7000</t>
  </si>
  <si>
    <t>waydemcmillan@yahoo.com</t>
  </si>
  <si>
    <t>UnitedHealth</t>
  </si>
  <si>
    <t>UnitedHealth Group is a diversified health care company based in Minnetonka, Minnesota, founded in 1974. It operates through four main segments: UnitedHealthcare (health benefit plans and services), Optum Health (care delivery and wellness services), Optum Insight (software and consulting), and Optum Rx (pharmacy care services). The company's mission is to help people live healthier lives and to make the health system work better for everyone. UnitedHealth is focused on enhancing the performance of the health system and improving health outcomes through various strategic initiatives, including investing in technology and health equity. Their investment thesis highlights strengths such as market share, cost efficiency, and strategic mergers. The 2023 revenue reached approximately $371.6 billion, marking a significant increase compared to previous years.</t>
  </si>
  <si>
    <t>www.linkedin.com/company/unitedhealth-group</t>
  </si>
  <si>
    <t>United States, countries in Europe, emerging markets likely including countries in Asia and South America</t>
  </si>
  <si>
    <t>17082 million</t>
  </si>
  <si>
    <t>12700 Whitewater Drive</t>
  </si>
  <si>
    <t>Minnetonka</t>
  </si>
  <si>
    <t>Scott</t>
  </si>
  <si>
    <t>Flannery</t>
  </si>
  <si>
    <t>Scott Flannery</t>
  </si>
  <si>
    <t>unitedhealthgroup.com</t>
  </si>
  <si>
    <t>https://www.linkedin.com/in/scottflannery/</t>
  </si>
  <si>
    <t>scott_f_flannery@uhc.com</t>
  </si>
  <si>
    <t>(202) 347-5165</t>
  </si>
  <si>
    <t>flandog30@yahoo.com</t>
  </si>
  <si>
    <t>HCA Healthcare</t>
  </si>
  <si>
    <t>HCA Healthcare is one of the largest healthcare providers in the U.S., operating 186 hospitals and around 2,400 care sites across 20 states and the UK. The company's mission is focused on the care and improvement of human life. Core goals include delivering exceptional healthcare built on inclusion, compassion, and respect for patients and each other. HCA emphasizes high-quality service and continuous improvement through technology and data analysis. Their investment thesis highlights consistent revenue growth, significant free cash flow, and strong competitive advantages in the healthcare market, making them an attractive option for investors, particularly in the for-profit sector. The company has demonstrated a 7% annual revenue growth rate and has a 12% NOPAT margin, reflecting its strong operational performance and market position.</t>
  </si>
  <si>
    <t>https://www.linkedin.com/company/hca</t>
  </si>
  <si>
    <t>United States, United Kingdom, Ireland</t>
  </si>
  <si>
    <t>17671 million</t>
  </si>
  <si>
    <t>1 Park Plaza</t>
  </si>
  <si>
    <t>Tennessee</t>
  </si>
  <si>
    <t>Jennifer</t>
  </si>
  <si>
    <t>Opsut</t>
  </si>
  <si>
    <t>Jennifer Opsut</t>
  </si>
  <si>
    <t>Anchorage, Alaska, United States</t>
  </si>
  <si>
    <t>hcahealthcare.com</t>
  </si>
  <si>
    <t>https://www.linkedin.com/in/jennifer-opsut-8119b57/</t>
  </si>
  <si>
    <t>jennifer.opsut@hcahealthcare.com</t>
  </si>
  <si>
    <t>(844) 422-5627</t>
  </si>
  <si>
    <t>jjd123c@yahoo.com</t>
  </si>
  <si>
    <t>Delta Air Lines</t>
  </si>
  <si>
    <t>Delta Air Lines is a significant player in the aviation industry, known for its expansive global network and commitment to customer satisfaction and social responsibility. Below is a detailed overview based on the collected information:### IntroductionDelta Air Lines, founded in 1925 and incorporated as Delta Air Corporation in 1928, is a major American airline headquartered in Atlanta, Georgia. It operates over 4,000 flights daily to more than 290 destinations globally, servicing over 190 million customers in 2023.### Goals and PhilosophyDelta's mission statement is "Connect the World. Reflect on the World. Respect the World." This highlights its dedication to:1. **Connecting People**: Responsibility to link individuals on a global scale.2. **Environmental Commitments**: Lowering carbon emissions and raising environmental awareness.3. **Diversity and Inclusion**: Emphasizing respect and equality for clients and employees.The vision statement is "To be the World's Most Trusted Airlines," focusing on reliability and meeting customer expectations to earn this trust. The company’s core values include honesty, integrity, respect, perseverance, and servant leadership.### Investing ThesisDelta's investing philosophy is deeply rooted in prioritizing people before profits. CEO Ed Bastian asserts that maintaining employee welfare leads to customer loyalty, ultimately benefiting shareholders. Delta is committed to community contributions, sustainable travel initiatives, and generous profit-sharing plans.Delta's approach to corporate responsibility, as outlined in the Business Roundtable declaration, aims at addressing the needs of all stakeholders—not just shareholders. This perspective became even more pronounced during the COVID-19 pandemic, which influenced a positive shift in corporate practices.### ConclusionIn summary, Delta Air Lines not only strives for operational excellence but is also dedicated to being a socially responsible company that values its employees and customers alike, fostering a sustainable, inclusive environment that benefits all stakeholders involved.</t>
  </si>
  <si>
    <t>https://www.linkedin.com/company/delta-air-lines</t>
  </si>
  <si>
    <t>Public Equity, Fixed Income, Private Equity, Real Estate, Hedge Funds, Cash, Other Alternatives</t>
  </si>
  <si>
    <t>42666 million</t>
  </si>
  <si>
    <t>1030 Delta Boulevard</t>
  </si>
  <si>
    <t>Mr.</t>
  </si>
  <si>
    <t>Rahul Samant</t>
  </si>
  <si>
    <t>Executive Vice President, Chief Information Officer</t>
  </si>
  <si>
    <t>delta.com</t>
  </si>
  <si>
    <t>https://www.linkedin.com/in/rahulsamant/</t>
  </si>
  <si>
    <t>rahul.samant@delta.com</t>
  </si>
  <si>
    <t>(800) 221-1212</t>
  </si>
  <si>
    <t>carolinapanther3@aol.com</t>
  </si>
  <si>
    <t>Deere</t>
  </si>
  <si>
    <t>Deere &amp; Company, known as John Deere, is an American corporation that manufactures agricultural machinery, heavy equipment, forestry machinery, diesel engines, drivetrains, and lawn care equipment. It has faced conflicts over repair issues with farmers and manufacturers. The company experienced layoffs affecting 610 production staff in Illinois and Iowa.</t>
  </si>
  <si>
    <t>https://www.linkedin.com/company/john-deere</t>
  </si>
  <si>
    <t>United States, Canada, select European countries, select countries in Asia-Pacific</t>
  </si>
  <si>
    <t>North America, Europe, Asia-Pacific</t>
  </si>
  <si>
    <t>Public Equity, Fixed Income, Private Equity, Real Estate, Hedge Funds, Other Alternatives</t>
  </si>
  <si>
    <t>21439 million</t>
  </si>
  <si>
    <t>One John Deere Place</t>
  </si>
  <si>
    <t>Moline</t>
  </si>
  <si>
    <t>John May</t>
  </si>
  <si>
    <t>John C. May</t>
  </si>
  <si>
    <t>Chairman of the Board of Directors and Chief Executive Officer</t>
  </si>
  <si>
    <t>Moline, Illinois, United States</t>
  </si>
  <si>
    <t>deere.com</t>
  </si>
  <si>
    <t>https://www.linkedin.com/in/john-c-may/</t>
  </si>
  <si>
    <t>jmay@deere.com</t>
  </si>
  <si>
    <t>(336) 292-9911</t>
  </si>
  <si>
    <t>johnmay73.jm@gmail.com</t>
  </si>
  <si>
    <t>Healthcare of Ontario</t>
  </si>
  <si>
    <t>Healthcare of Ontario Pension Plan (HOOPP) is a defined benefit pension plan established to provide reliable retirement income for healthcare workers in Ontario. It has been operational since 1960 and serves over 460,000 members from more than 670 employers. The plan manages net assets of $112.6 billion with a funded status of 115%, having been fully funded since 2009. HOOPP's investment strategy employs a Liability Driven Investing (LDI) approach, focusing on aligning investments with pension obligations. Their philosophy emphasizes sustainable investing with a commitment to achieving a net-zero economy by 2050, aimed at long-term value delivery to members rather than short-term gains.</t>
  </si>
  <si>
    <t>https://www.linkedin.com/company/hoopp/</t>
  </si>
  <si>
    <t>Canada, United States, United Kingdom, countries in Europe, countries in Asia-Pacific</t>
  </si>
  <si>
    <t>$90.5B</t>
  </si>
  <si>
    <t>1 York Street, Suite 1900</t>
  </si>
  <si>
    <t>Wendling</t>
  </si>
  <si>
    <t>Jeff Wendling</t>
  </si>
  <si>
    <t>President &amp; Chief Executive Officer</t>
  </si>
  <si>
    <t>Toronto, Ontario, Canada</t>
  </si>
  <si>
    <t>hoopp.com</t>
  </si>
  <si>
    <t>https://www.linkedin.com/in/jeff-wendling/</t>
  </si>
  <si>
    <t>jeff.wendling@kbx.com</t>
  </si>
  <si>
    <t>(920) 438-2442</t>
  </si>
  <si>
    <t>grafix_inc@hotmail.com</t>
  </si>
  <si>
    <t>Koch Industries</t>
  </si>
  <si>
    <t>Koch Industries is a diverse company involved in multiple industries aiming to improve life globally through responsible value creation and innovation. Their business philosophy, known as Market-Based Management (MBM), emphasizes creating value for society and empowering individuals. The company has an investment strategy focused on strategic acquisitions and investments across various industries to generate long-term value, having deployed over $60 billion across capital markets in the last decade.</t>
  </si>
  <si>
    <t>https://www.linkedin.com/company/kochindustries</t>
  </si>
  <si>
    <t>United States, Puerto Rico</t>
  </si>
  <si>
    <t>Cash, Public Equity (Common and Preferred Stocks), Fixed Income (Corporate Debt Instruments, Government Bonds), Private Equity (Limited Partnerships), Other Alternatives (Derivatives)</t>
  </si>
  <si>
    <t>16739 million</t>
  </si>
  <si>
    <t>4111 E 37th St N, Wichita</t>
  </si>
  <si>
    <t>Wichita</t>
  </si>
  <si>
    <t>KS</t>
  </si>
  <si>
    <t>Taylor</t>
  </si>
  <si>
    <t>J. McKittrick</t>
  </si>
  <si>
    <t>Taylor J. McKittrick</t>
  </si>
  <si>
    <t>Portfolio Manager-Director, Merger Arbitrage</t>
  </si>
  <si>
    <t>Dallas, Texas, United States</t>
  </si>
  <si>
    <t>angelsoft.com</t>
  </si>
  <si>
    <t>https://www.linkedin.com/in/taylormckittrick/</t>
  </si>
  <si>
    <t>jtaylor@kochind.com</t>
  </si>
  <si>
    <t>(316) 828-5500</t>
  </si>
  <si>
    <t>reneemckittrick@yahoo.com</t>
  </si>
  <si>
    <t>Wisconsin Investment Board</t>
  </si>
  <si>
    <t>The State of Wisconsin Investment Board (SWIB) is a prominent investment organization established in 1951, responsible for managing trust funds of the Wisconsin Retirement System (WRS), which ranks among the largest public pension funds in the U.S., and other investments including the State Investment Fund (SIF). It oversees approximately $165.6 billion in assets, primarily for retirement benefits impacting over 663,000 public employees. SWIB's mission is to foster strong financial futures for beneficiaries through disciplined investment management. Its vision emphasizes innovation, agility, and risk management to optimize returns over the long term. SWIB prides itself on being a trusted entity, showcasing a track record of respectable returns and adhering to fiduciary responsibilities. For more details, visit their [official website](https://www.swib.state.wi.us) and their [Wikipedia page](https://en.wikipedia.org/wiki/State_of_Wisconsin_Investment_Board).</t>
  </si>
  <si>
    <t>www.linkedin.com/company/the-state-of-wisconsin-investment-board</t>
  </si>
  <si>
    <t>United States, Mexico, Guatemala, Mongolia, Germany, Spain, Switzerland, United Kingdom, Australia, Canada, Denmark, Euro Member Countries, Hong Kong, Israel, Japan, New Zealand, Norway, Singapore, Sweden, Switzerland</t>
  </si>
  <si>
    <t>$30 million to$50 million</t>
  </si>
  <si>
    <t>Public Equity, Fixed Income, Private Equity, Real Estate, Inflation Sensitive (likely including Infrastructure and Private Credit but not explicitly detailed), Cash</t>
  </si>
  <si>
    <t>$147.9B</t>
  </si>
  <si>
    <t>4703 Madison Yards Way, Suite 700</t>
  </si>
  <si>
    <t>Madison</t>
  </si>
  <si>
    <t>WI</t>
  </si>
  <si>
    <t>Edwin</t>
  </si>
  <si>
    <t>Denson</t>
  </si>
  <si>
    <t>Edwin Denson</t>
  </si>
  <si>
    <t>Executive Director/Chief Investment Officer</t>
  </si>
  <si>
    <t>Madison, Wisconsin, United States</t>
  </si>
  <si>
    <t>state.wi.us</t>
  </si>
  <si>
    <t>https://www.linkedin.com/in/edwin-denson/</t>
  </si>
  <si>
    <t>edwin.denson@samsclub.com</t>
  </si>
  <si>
    <t>(888) 746-7726</t>
  </si>
  <si>
    <t>bnadjecd@aol.com</t>
  </si>
  <si>
    <t>The North Carolina Venture Capital Fund focuses on investing in startups and early-stage technology companies within North Carolina and the Southeastern U.S. They emphasize the importance of relationships and strive to empower entrepreneurs, aiming for significant impacts in the region. Their investment philosophy includes not just financial backing but active long-term support of portfolio companies, fostering growth and creating a strong network. The fund recognizes the lack of early-stage capital in North Carolina, capitalizing on the region's entrepreneurial spirit, especially in hubs like Research Triangle Park. Additionally, they commit 10% of the capital appreciation to educational and entrepreneurial programs in North Carolina, aligning their investments with ethical and social values.</t>
  </si>
  <si>
    <t>https://www.linkedin.com/company/north-carolina-department-of-state-treasurer</t>
  </si>
  <si>
    <t>North America, Europe, Asia, Oceania (inferred from international fund managers' typical global scope excluding the US)</t>
  </si>
  <si>
    <t>$137.1B</t>
  </si>
  <si>
    <t>4350 Congress Street Suite 1000</t>
  </si>
  <si>
    <t>Ming-Yu</t>
  </si>
  <si>
    <t>Xu, CFA, CAIA</t>
  </si>
  <si>
    <t>Ming-Yu Xu, CFA, CAIA</t>
  </si>
  <si>
    <t>Raleigh, North Carolina, United States</t>
  </si>
  <si>
    <t>nctreasurer.com</t>
  </si>
  <si>
    <t>https://www.linkedin.com/in/ming-yu-xu-cfa-caia-a351b0/</t>
  </si>
  <si>
    <t>ming-yu.xu@nctreasurer.com</t>
  </si>
  <si>
    <t>(919) 814-4000</t>
  </si>
  <si>
    <t>mingyu_xu@yahoo.com</t>
  </si>
  <si>
    <t>CVS Health</t>
  </si>
  <si>
    <t>CVS Health is a leading health solutions company dedicated to delivering integrated and accessible healthcare services. The company’s core purpose is to bring care to every aspect of a person's health, actively working to improve health and well-being. CVS Health emphasizes diversity, equity, and inclusion while collaborating with policymakers to enhance healthcare access and address disparities. Their operations include various channels for health care, with a strong focus on mobile technology for consumer ease. Key initiatives focus on health equity, community engagement, and environmental responsibility.For investors, CVS Health reported a diluted EPS of $3.14 in 2022, adjusted EPS of $8.69, and a 10% increase in quarterly dividends. The company is guided by five strategic imperatives aimed at long-term sustainability and healthcare innovation. Significant financial growth included 6.3 million new digital pharmacy accounts and a strong commitment to a Healthy 2030 ESG strategy, underlining the importance of social responsibility in their long-term strategy.</t>
  </si>
  <si>
    <t>https://www.linkedin.com/company/cvshealth</t>
  </si>
  <si>
    <t>Public Equity, Fixed Income, Stable Value Funds, CVS Health Stock Fund, Diversified Passive Index Funds, Actively Managed Funds</t>
  </si>
  <si>
    <t>29247 million</t>
  </si>
  <si>
    <t>1 CVS Drive</t>
  </si>
  <si>
    <t>Woonsocket</t>
  </si>
  <si>
    <t>Rhode Island</t>
  </si>
  <si>
    <t>Denise</t>
  </si>
  <si>
    <t>Vozzella</t>
  </si>
  <si>
    <t>Denise Vozzella</t>
  </si>
  <si>
    <t>Sagamore Beach, Massachusetts, United States</t>
  </si>
  <si>
    <t>aetnamedicare.com</t>
  </si>
  <si>
    <t>https://www.linkedin.com/in/denise-vozzella-b067071/</t>
  </si>
  <si>
    <t>denise.vozzella@cvshealth.com</t>
  </si>
  <si>
    <t>(888) 607-4287</t>
  </si>
  <si>
    <t>denisevozzella@gmail.com</t>
  </si>
  <si>
    <t>Exelon</t>
  </si>
  <si>
    <t>Exelon Corporation is a leading competitive energy provider in the United States, serving over 10.5 million customers through its six regulated utility companies. The company is known for its commitment to customer satisfaction and employs approximately 20,000 people. Its goals include enhancing energy delivery while focusing on workforce development, equity, and economic progress. The investment thesis emphasizes growth in transmission and distribution sectors, moving towards a zero-carbon future, with risks linked to regulation and climate factors. Exelon holds an AA ESG rating, indicating strong performance in environmental and social governance.</t>
  </si>
  <si>
    <t>27558 million</t>
  </si>
  <si>
    <t>10 S. Dearborn St., 54th Floor</t>
  </si>
  <si>
    <t>Derrick</t>
  </si>
  <si>
    <t>Ventre, MBA</t>
  </si>
  <si>
    <t>Derrick Ventre, MBA</t>
  </si>
  <si>
    <t>Manager Investment Management</t>
  </si>
  <si>
    <t>bgesmartenergy.com</t>
  </si>
  <si>
    <t>https://www.linkedin.com/in/derrick-ventre-mba/</t>
  </si>
  <si>
    <t>derrick.ventre@exeloncorp.com</t>
  </si>
  <si>
    <t>(800) 483-3220</t>
  </si>
  <si>
    <t>jventre1@msn.com</t>
  </si>
  <si>
    <t>Ohio Public Employees</t>
  </si>
  <si>
    <t>Ohio Public Employees Retirement System (OPERS) was established in 1935, providing retirement, disability, and survivor benefit programs for public employees across Ohio. The system is primarily focused on traditional, member-directed, and combined pension plans, with an emphasis on domestic and international stocks, bonds, real estate, and private equity investments. OPERS aims to secure members’ retirement benefits and health care through sustained investment performance. The organization's investment philosophy follows a 'prudent person' standard, governed by state statute, with a commitment to innovation, competitive costs, and excellence in investment management. However, it ranks low in sustainability measures, indicating areas for improvement in governance, environmental impact, and social responsibility.</t>
  </si>
  <si>
    <t>https://www.linkedin.com/company/opers</t>
  </si>
  <si>
    <t>North America, Europe, Asia, Africa, South America, Australia (Oceania)</t>
  </si>
  <si>
    <t>Public Equity, Fixed Income, Private Equity, Real Estate, Private Credit, Opportunistic, REITs, Commodities, Risk Parity, Risk Mitigation Strategies</t>
  </si>
  <si>
    <t>$121.6B</t>
  </si>
  <si>
    <t>277 E. Town Street</t>
  </si>
  <si>
    <t>Columbus</t>
  </si>
  <si>
    <t>OH</t>
  </si>
  <si>
    <t>Casebolt</t>
  </si>
  <si>
    <t>Ryan Casebolt, CFA, CAIA</t>
  </si>
  <si>
    <t>Columbus, Ohio Metropolitan Area</t>
  </si>
  <si>
    <t>opers.org</t>
  </si>
  <si>
    <t>https://www.linkedin.com/in/ryan-casebolt-cfa-caia-28960b65/</t>
  </si>
  <si>
    <t>rcasebolt@opers.org</t>
  </si>
  <si>
    <t>(614) 222-5684</t>
  </si>
  <si>
    <t>ryancasebolt@gmail.com</t>
  </si>
  <si>
    <t>Eli Lilly</t>
  </si>
  <si>
    <t>Eli Lilly and Company is a pharmaceutical company focused on turning scientific advancements into therapeutic solutions that contribute positively to global health. Founded nearly 150 years ago by Colonel Eli Lilly, the company's vision revolves around continually improving medical treatments. Its primary goals involve addressing significant health challenges, with a major focus on diseases such as Alzheimer's, cancer, diabetes, obesity, and autoimmune conditions. They emphasize innovation in research and development, branding, and patient support. Eli Lilly pursues a strategy of focused differentiation, particularly in diabetes, oncology, and immunology, which comprises the bulk of its revenue. Their recent advancements include the diabetes drug Mounjaro, which has gained popularity for its efficacy in weight management. The company aims to not only produce effective medications but also to ensure a strong brand presence and community trust.</t>
  </si>
  <si>
    <t>https://www.linkedin.com/company/eli-lilly-and-company</t>
  </si>
  <si>
    <t>United States, Canada, Germany, France, United Kingdom, India, Japan, Australia, Netherlands, Brazil, South Africa, Singapore, Malaysia, Philippines, Ireland, New Zealand, Taiwan, Belgium, Bosnia, Czech Republic, Denmark, Guatemala, Egypt, Austria, Croatia, Chile, Israel, Nigeria, Norway, Pakistan, Poland, Romania, Slovakia, Sweden, Venezuela, Cayman Islands, China, Hungary, Korea, Portugal, Mexico</t>
  </si>
  <si>
    <t>Asia, Europe, North America, South America, Africa, Oceania</t>
  </si>
  <si>
    <t>18941 million</t>
  </si>
  <si>
    <t>Lilly Corporate Center</t>
  </si>
  <si>
    <t>Jamal</t>
  </si>
  <si>
    <t>Handy</t>
  </si>
  <si>
    <t>Jamal Handy</t>
  </si>
  <si>
    <t>Portfolio Manager - IT</t>
  </si>
  <si>
    <t>lilly.com</t>
  </si>
  <si>
    <t>https://www.linkedin.com/in/jamal-handy-7782025/</t>
  </si>
  <si>
    <t>handy_jamal@lilly.com</t>
  </si>
  <si>
    <t>(317) 276-2000</t>
  </si>
  <si>
    <t>jhandyman0@gmail.com</t>
  </si>
  <si>
    <t>Costco Wholesale</t>
  </si>
  <si>
    <t>Costco Wholesale Corporation operates an international chain of membership warehouses offering quality merchandise at lower prices. Its philosophy is centered around delivering value to members through a unique business model that emphasizes competitive pricing and low operating costs. Key goals include maximizing shareholder value and maintaining high employee satisfaction. The investing thesis highlights Costco's consistent revenue growth, strong brand loyalty, and its effective membership model as foundational aspects that make it an attractive investment opportunity. Over the past five years, Costco has experienced significant net sales and membership fee growth, underpinned by a structured approach to employee compensation and benefits.</t>
  </si>
  <si>
    <t>https://www.linkedin.com/company/costco-wholesale</t>
  </si>
  <si>
    <t>United States, United Kingdom, Switzerland, Canada, Germany, Netherlands</t>
  </si>
  <si>
    <t>25116 million</t>
  </si>
  <si>
    <t>999 Lake Drive</t>
  </si>
  <si>
    <t>Issaquah</t>
  </si>
  <si>
    <t>WA</t>
  </si>
  <si>
    <t>Raikes</t>
  </si>
  <si>
    <t>Jeff Raikes</t>
  </si>
  <si>
    <t>Member Board of Directors, Chair Nominations &amp; Governance Committee</t>
  </si>
  <si>
    <t>Seattle, Washington, United States</t>
  </si>
  <si>
    <t>costco.com</t>
  </si>
  <si>
    <t>https://www.linkedin.com/in/jeffraikes/</t>
  </si>
  <si>
    <t>jeff.raikes@raikesfoundation.org</t>
  </si>
  <si>
    <t>(206) 971-0233</t>
  </si>
  <si>
    <t>Federal Retirement Thrift</t>
  </si>
  <si>
    <t>The Federal Retirement Thrift Investment Board (FRTIB) is an independent agency of the U.S. government established by the Federal Employees Retirement System Act of 1986 to administer the Thrift Savings Plan (TSP). The agency manages approximately $794.7 billion in assets for about 6.4 million participants. The FRTIB's mission is to help current and former federal employees and members of the uniformed services prepare for their retirement years via the TSP.**Goals and Philosophy:** FRTIB aims to improve retirement outcomes for its participants by providing high-quality investment options and services. Their strategic goals include enhancing decision-making by providing customized information, exploring plan design enhancements, and increasing public outreach. The overarching philosophy emphasizes research-driven and customer-oriented retirement services that prioritize participant interests.**Investing Thesis:** While specific details on an investing thesis are not explicitly stated, the agency focuses on administering the TSP in the best interest of participants, incorporating strategic insights from board members and experts to guide investment decisions that align with participant retirement goals. Recent changes have also been made to restrict investments in certain international markets, reflecting legislative pressures and market conditions.For further reference, you can visit the FRTIB [official website](https://www.frtib.gov/) and read their [strategic plan](https://www.frtib.gov/pdf/reading-room/StratPlan/FRTIB_FY22-26_Strategic_Plan.pdf).</t>
  </si>
  <si>
    <t>https://www.linkedin.com/company/federal-retirement-thrift-investment-board</t>
  </si>
  <si>
    <t>Japan, United Kingdom, Canada, France, India, Switzerland, Taiwan, Germany, Australia, Korea, Netherlands, Sweden, Denmark, Italy, Spain, Brazil, Saudi Arabia, Singapore, South Africa, Belgium, Finland, Israel, Mexico, Norway, Indonesia, Malaysia, Thailand, United Arab Emirates, Turkey, Poland, Kuwait, Qatar, Austria, Ireland, Philippines, New Zealand, Greece, Chile, Portugal, Peru, Hungary, Czech Republic, Colombia, Egypt</t>
  </si>
  <si>
    <t>Asia, Europe, North America, South America, Oceania, Middle East, Africa</t>
  </si>
  <si>
    <t>Cash (G Fund), Fixed Income (F Fund), Public Equity (C Fund, S Fund, I Fund), Other Alternatives (Lifecycle Funds - L Funds), Mutual Fund Window</t>
  </si>
  <si>
    <t>$774.2B</t>
  </si>
  <si>
    <t>77 K Street, N.E.</t>
  </si>
  <si>
    <t>District of Columbia</t>
  </si>
  <si>
    <t>Sahr</t>
  </si>
  <si>
    <t>Nyandemoh</t>
  </si>
  <si>
    <t>Sahr Nyandemoh, MBA</t>
  </si>
  <si>
    <t>Project Portfolio Manager</t>
  </si>
  <si>
    <t>Sterling, Virginia, United States</t>
  </si>
  <si>
    <t>frtib.gov</t>
  </si>
  <si>
    <t>https://www.linkedin.com/in/nyandemoh/</t>
  </si>
  <si>
    <t>sahr.nyandemoh@frtib.gov</t>
  </si>
  <si>
    <t>(866) 817-5023</t>
  </si>
  <si>
    <t>nyandemoh_sahr@yahoo.com</t>
  </si>
  <si>
    <t>FedEx</t>
  </si>
  <si>
    <t>FedEx is a global leader in logistics and transportation services, founded in 1973. It has significantly evolved, reporting revenue of $87.7 billion in fiscal year 2024. The company's mission focuses on providing high-quality logistics and transportation services while ensuring superior financial returns for shareholders. FedEx's philosophy, termed 'People-Service-Profit', emphasizes placing employees first to drive service quality and profitability. They aim for 100% customer satisfaction and prioritize safety and ethical conduct in operations. Key growth strategies include expanding core businesses, international growth, enhancing supply chain capabilities, leveraging e-commerce, and forming new alliances.</t>
  </si>
  <si>
    <t>United States, United Kingdom, other developed markets (not specifically listed in detail)</t>
  </si>
  <si>
    <t>North America, Europe, Asia (general global diversified)</t>
  </si>
  <si>
    <t>Public Equity, Fixed Income, Cash, Other Alternatives (including actively managed funds and brokerage options)</t>
  </si>
  <si>
    <t>$60.7B</t>
  </si>
  <si>
    <t>942 South Shady Grove Road , Memphis</t>
  </si>
  <si>
    <t>Memphis</t>
  </si>
  <si>
    <t>Temple</t>
  </si>
  <si>
    <t>Scott Temple</t>
  </si>
  <si>
    <t>President and CEO</t>
  </si>
  <si>
    <t>Clive, Iowa, United States</t>
  </si>
  <si>
    <t>fedex.com</t>
  </si>
  <si>
    <t>https://www.linkedin.com/in/scotttemple2/</t>
  </si>
  <si>
    <t>scott.temple@fedex.com</t>
  </si>
  <si>
    <t>(951) 699-1764</t>
  </si>
  <si>
    <t>scotttemple21@aol.com</t>
  </si>
  <si>
    <t>Ohio State Teachers</t>
  </si>
  <si>
    <t>The State Teachers Retirement System of Ohio (STRS Ohio) is one of the nation's leading retirement systems, serving approximately 536,751 active, inactive, and retired Ohio public educators. Founded in 1920, STRS Ohio aims to provide financial security to public educators in Ohio through its pension and health care coverage.</t>
  </si>
  <si>
    <t>https://www.linkedin.com/company/strs-ohio</t>
  </si>
  <si>
    <t>North America, Europe, Emerging Markets (unspecified countries)</t>
  </si>
  <si>
    <t>Public Equity, Fixed Income, Real Estate, Alternative Investments (likely includes Private Equity, Hedge Funds, Private Credit), Cash</t>
  </si>
  <si>
    <t>$95.1B</t>
  </si>
  <si>
    <t>275 E Broad St</t>
  </si>
  <si>
    <t>Ohio</t>
  </si>
  <si>
    <t>Justin</t>
  </si>
  <si>
    <t>Maurer</t>
  </si>
  <si>
    <t>Justin Maurer</t>
  </si>
  <si>
    <t>strsoh.org</t>
  </si>
  <si>
    <t>https://www.linkedin.com/in/justin-maurer/</t>
  </si>
  <si>
    <t>justin.maurer@reeceschool.org</t>
  </si>
  <si>
    <t>(212) 289-4872</t>
  </si>
  <si>
    <t>justindagame47@aol.com</t>
  </si>
  <si>
    <t>New York State Common</t>
  </si>
  <si>
    <t>The New York State Common Retirement Fund is committed to securing a pension for its beneficiaries through prudent asset management. Its mission is to provide beneficiaries with a secure pension. The organization seeks to be high-performing, emphasizing ethics and investment management. The core values include performance, accountability, diversity, expertise, perseverance, innovation, and fulfillment. **Investment Philosophy:** The Fund focuses on achieving the best risk-adjusted returns while managing risks through diversification and careful asset allocation. They consider the long-time horizon as an advantage to capture premiums through illiquid investments and prioritize internal development to lower costs. Market strategies are adjusted based on market efficiency. **Investing Goals:** The Fund actively invests in New York-based ventures with significant commitments, such as $2.5 billion in the In-State Private Equity Investment Program and substantial returns from prior investments. They also support small businesses and affordable housing initiatives, reflecting a broad commitment to economic and employment growth in New York State. For more detailed information, you can visit their website: [New York State Common Retirement Fund](https://www.osc.ny.gov/common-retirement-fund).</t>
  </si>
  <si>
    <t>https://www.linkedin.com/company/new-york-state-common-retirement-fund</t>
  </si>
  <si>
    <t>United States, Canada, Israel, United Kingdom, Germany, France, Spain, Sweden, Turkey, Russia (divested as of 2022), Austria, Switzerland, Benelux countries, Nordic countries, Japan, Australia, Brazil</t>
  </si>
  <si>
    <t>Europe, Asia, North America</t>
  </si>
  <si>
    <t>$250 million to$333 million</t>
  </si>
  <si>
    <t>Public Equity, Fixed Income, Private Equity, Real Estate, Infrastructure (included in Real Assets), Hedge Funds (part of Opportunistic/Absolute Return Strategies), Private Credit, Cash</t>
  </si>
  <si>
    <t>$267.8B</t>
  </si>
  <si>
    <t>110 State St</t>
  </si>
  <si>
    <t>Anastasia</t>
  </si>
  <si>
    <t>Titarchuk</t>
  </si>
  <si>
    <t>Anastasia Titarchuk</t>
  </si>
  <si>
    <t>Chief Investment Officer and Deputy Comptroller</t>
  </si>
  <si>
    <t>osc.state.ny.us</t>
  </si>
  <si>
    <t>https://www.linkedin.com/in/anastasia-titarchuk-3b739a32/</t>
  </si>
  <si>
    <t>atitarchuk@osc.state.ny.us</t>
  </si>
  <si>
    <t>(866) 805-0990</t>
  </si>
  <si>
    <t>anastasiatitarchuk@gmail.com</t>
  </si>
  <si>
    <t>Barclays Bank</t>
  </si>
  <si>
    <t>Barclays Bank is a British multinational banking and financial services company headquartered in London. Founded in 1690, Barclays has established a reputation as a leader in innovation, having introduced the world's first ATM and funded significant industrial projects. The company's philosophy is built around its five core values: Respect, Integrity, Service, Excellence, and Stewardship. These values drive its operations following the goal of helping clients achieve their ambitions responsibly. Its investment thesis focuses on delivering strong returns by streamlining operations (making Barclays Simpler), enhancing customer experiences (making it Better), and ensuring balanced capital allocation (making it More balanced). The target for 2026 includes improved operational performance and customer service. Overall, Barclays aims for sustainable shareholder returns while supporting clients' aspirations.</t>
  </si>
  <si>
    <t>https://uk.linkedin.com/company/barclays-bank</t>
  </si>
  <si>
    <t>United Kingdom, United States, Emerging Markets countries (not specifically named)</t>
  </si>
  <si>
    <t>Europe, North America, Asia</t>
  </si>
  <si>
    <t>Fixed Income, Real Estate, Infrastructure</t>
  </si>
  <si>
    <t>29821 million</t>
  </si>
  <si>
    <t>One Churchill Place</t>
  </si>
  <si>
    <t>Carol</t>
  </si>
  <si>
    <t>Mathis</t>
  </si>
  <si>
    <t>Carol Mathis</t>
  </si>
  <si>
    <t>Chief Financial Officer, Americas</t>
  </si>
  <si>
    <t>home.barclays</t>
  </si>
  <si>
    <t>https://www.linkedin.com/in/carol-mathis-25503621/</t>
  </si>
  <si>
    <t>carol.mathis@barclays.com</t>
  </si>
  <si>
    <t>(212) 526-7000</t>
  </si>
  <si>
    <t>rmm143@aol.com</t>
  </si>
  <si>
    <t>Northrop Grumman</t>
  </si>
  <si>
    <t>Northrop Grumman is a prominent aerospace and defense technology company headquartered in Falls Church, Virginia. Here is an overview of the company, its goals, philosophy, and investment thesis:### Company IntroductionNorthrop Grumman focuses on solving complex problems in space, aeronautics, defense, and cyberspace. With approximately 100,000 employees and over 550 facilities across the United States and 25 countries, the company generated $39.3 billion in sales in 2023 and holds a significant backlog of $84.2 billion.### Goals and PhilosophyThe company's mission is to advance global security and facilitate human discovery, primarily doing business with the U.S. government and its allies. Their corporate responsibility includes a commitment to environmental, social, and governance (ESG) practices, indicating a comprehensive approach toward sustainability.### Investing ThesisFinancially, Northrop Grumman shows strong fundamentals, with a free cash flow yield of 3.30% and a dividend yield of 1.59%. The company has experienced a three-year annualized revenue growth rate of 2.65% and boasts a trailing return on equity of 42.53%. Rated as bullish by analysts, Northrop Grumman presents a compelling investment opportunity with significant shareholder returns and stable financial metrics.</t>
  </si>
  <si>
    <t>https://www.linkedin.com/company/northrop-grumman-corporation</t>
  </si>
  <si>
    <t>United States, Australia, United Kingdom, Germany, France, Japan, Canada, Switzerland, Netherlands</t>
  </si>
  <si>
    <t>North America, Europe, Asia, Australia</t>
  </si>
  <si>
    <t>Public Equity, Fixed Income, Cash, Other Alternatives (including Balanced Fund, International Equity, Small Cap, Emerging Markets, Retirement Path Portfolios)</t>
  </si>
  <si>
    <t>$72.0B</t>
  </si>
  <si>
    <t>2980 Fairview Park Drive</t>
  </si>
  <si>
    <t>Falls Church</t>
  </si>
  <si>
    <t>Graham</t>
  </si>
  <si>
    <t>Graham Robinson</t>
  </si>
  <si>
    <t>Avon, Connecticut, United States</t>
  </si>
  <si>
    <t>northropgrumman.com</t>
  </si>
  <si>
    <t>https://www.linkedin.com/in/grahamneilrobinson/</t>
  </si>
  <si>
    <t>graham.robinson@stanleyblackanddecker.com</t>
  </si>
  <si>
    <t>(704) 789-7000</t>
  </si>
  <si>
    <t>grahamnrobinson@gmail.com</t>
  </si>
  <si>
    <t>Kansas Public Employees</t>
  </si>
  <si>
    <t>Kansas Public Employees' Retirement System (KPERS), established in 1962, provides retirement benefits for public servants employed by the state of Kansas. KPERS is located in Topeka, Kansas, and it operates as a public pension fund, managing assets in various alternative asset classes including private equity, venture capital, private debt, real estate, infrastructure, natural resources, and hedge funds.</t>
  </si>
  <si>
    <t>https://www.linkedin.com/company/kansas-public-employees-retirement-sytem</t>
  </si>
  <si>
    <t>United States primarily for domestic equities, international equities across developed and emerging markets globally (not specified by individual countries)</t>
  </si>
  <si>
    <t>North America, Asia, Europe, others (developed and emerging markets globally)</t>
  </si>
  <si>
    <t>Public Equity, Fixed Income, Private Equity, Real Estate, Infrastructure, Cash, Other Alternatives</t>
  </si>
  <si>
    <t>24767 million</t>
  </si>
  <si>
    <t>611 S. Kansas Ave, Suite 100</t>
  </si>
  <si>
    <t>Topeka</t>
  </si>
  <si>
    <t>Derek</t>
  </si>
  <si>
    <t>Kreifels</t>
  </si>
  <si>
    <t>Derek Kreifels</t>
  </si>
  <si>
    <t>Kansas City Metropolitan Area</t>
  </si>
  <si>
    <t>kpers.org</t>
  </si>
  <si>
    <t>https://www.linkedin.com/in/derekkreifels/</t>
  </si>
  <si>
    <t>derek@statefinancialofficers.org</t>
  </si>
  <si>
    <t>(913) 213-8866</t>
  </si>
  <si>
    <t>derek.kreifels@gmail.com</t>
  </si>
  <si>
    <t>Texas Teachers</t>
  </si>
  <si>
    <t>Texas Teachers is known as the nation's largest online teacher certification program. The organization provides a swift and affordable route to teacher certification, featuring fully online and in-person training that is flexible and self-paced. Their primary mission is to facilitate entry into the teaching profession and ensure success during teachers' internship years, offering guidance and mentorship throughout the process. They charge a low enrollment fee of $295, which only becomes payable upon securing a teaching position. Their success hinges on the success of their interns, demonstrating a deep commitment to educational quality and accessibility.</t>
  </si>
  <si>
    <t>www.linkedin.com/company/trsoftexas</t>
  </si>
  <si>
    <t>United States, China (indirect investments and divesting), Hong Kong, United Kingdom (office presence), various European countries</t>
  </si>
  <si>
    <t>Public Equity, Private Equity, Fixed Income (Government Bonds), Hedge Funds (Absolute Return, Stable Value Hedge Funds), Real Estate, Infrastructure (Energy, Natural Resources &amp; Infrastructure), Commodities, Cash, Risk Parity</t>
  </si>
  <si>
    <t>$196.7B</t>
  </si>
  <si>
    <t>Shayne</t>
  </si>
  <si>
    <t>McGuire</t>
  </si>
  <si>
    <t>Shayne McGuire</t>
  </si>
  <si>
    <t>Portfolio Manager, Emerging Markets &amp; Gold Fund</t>
  </si>
  <si>
    <t>https://www.linkedin.com/in/shayne-mcguire-1a486/</t>
  </si>
  <si>
    <t>shayne.mcguire@trs.texas.gov</t>
  </si>
  <si>
    <t>(800) 223-8778</t>
  </si>
  <si>
    <t>shaynehmcguire@gmail.com</t>
  </si>
  <si>
    <t>Ohio School Employees</t>
  </si>
  <si>
    <t>The School Employees Retirement System of Ohio (SERS) was established in 1937. It serves over 159,000 active members and 81,000 benefit recipients, providing retirement allowances, disability benefits, and healthcare access. SERS's mission is to offer valuable lifetime pension benefits and services, while focusing on accountability, communication, and collaboration. The organization initiated a five-year strategic plan in 2018 to ensure its sustainability and growth.In terms of investment strategy, SERS maintains a diversified portfolio, with a fiscal year 2023 net return of 7.39% on assets totaling $17.83 billion. Its investment categories include global equities, private equity, fixed income, real assets, and private credit. SERS aims for long-term growth and stability while adhering to compliance with ethical standards.</t>
  </si>
  <si>
    <t>www.linkedin.com/company/school-employees-retirement-system</t>
  </si>
  <si>
    <t>United States, Canada, United Kingdom, Germany, Japan, Australia, Brazil, South Africa</t>
  </si>
  <si>
    <t>North America, Europe, Asia, South America, Africa, Oceania</t>
  </si>
  <si>
    <t>Public Equity, Fixed Income, Private Equity, Real Estate, Infrastructure, Private Credit, Cash, Other Alternatives (Opportunistic)</t>
  </si>
  <si>
    <t>16527 million</t>
  </si>
  <si>
    <t>Not found</t>
  </si>
  <si>
    <t>Farouki</t>
  </si>
  <si>
    <t>Majeed</t>
  </si>
  <si>
    <t>Farouki Majeed, CFA</t>
  </si>
  <si>
    <t>ohsers.org</t>
  </si>
  <si>
    <t>https://www.linkedin.com/in/farouki-majeed-cfa-770b5825/</t>
  </si>
  <si>
    <t>fmajeed@ohsers.org</t>
  </si>
  <si>
    <t>(614) 222-5853</t>
  </si>
  <si>
    <t>zulimajeed@gmail.com</t>
  </si>
  <si>
    <t>L3Harris Technologies</t>
  </si>
  <si>
    <t>L3Harris Technologies is a global aerospace and defense technology company. Their mission is to be the 'Trusted Disruptor,' innovating relentlessly and delivering capabilities that meet the demands of customers for their most challenging missions. The company emphasizes integrity, excellence, and respect as core values, with a strong focus on innovation, customer relationships, and community impact. L3Harris aims to support local communities through strategic giving and volunteerism, particularly in STEM education and support for first responders and veterans. The investing thesis for L3Harris highlights its role as a leading defense contractor with a focus on long-term capital returns and an attractive valuation. In recent assessments, L3Harris is noted for its commitment to a diverse and inclusive work environment and for creating opportunities for career advancement for its employees.</t>
  </si>
  <si>
    <t>https://www.linkedin.com/company/l3harris-technologies</t>
  </si>
  <si>
    <t>20662 million</t>
  </si>
  <si>
    <t>1025 W NASA Boulevard</t>
  </si>
  <si>
    <t>Melbourne</t>
  </si>
  <si>
    <t>Florida</t>
  </si>
  <si>
    <t>Rachael</t>
  </si>
  <si>
    <t>Moore</t>
  </si>
  <si>
    <t>Rachael Moore</t>
  </si>
  <si>
    <t>Palm Bay, Florida, United States</t>
  </si>
  <si>
    <t>l3harris.com</t>
  </si>
  <si>
    <t>https://www.linkedin.com/in/rachael-moore-2018/</t>
  </si>
  <si>
    <t>rachael.moore@l3harris.com</t>
  </si>
  <si>
    <t>(972) 772-7501</t>
  </si>
  <si>
    <t>nevaeh.destiny1107412@gmail.com</t>
  </si>
  <si>
    <t>Texas County &amp; District</t>
  </si>
  <si>
    <t>**Company Overview:** The Texas County &amp; District Retirement System (TCDRS) is a not-for-profit public trust established in 1968, aiming to provide pension, disability, and death benefits to employees of participating counties and districts in Texas. Each county and district is treated as an individual retirement plan, pooling assets collectively to manage funds effectively.**Goals and Philosophy:** TCDRS is committed to managing retirement benefits responsibly and sustainably, focusing on ensuring the long-term financial health of the retirement system for its members. The organization aims to achieve its long-term return goals through diversified investments across various asset classes.**Investment Thesis:** The investment strategy of TCDRS emphasizes a balanced approach to asset allocation, involving:- Credit Investments: Direct Lending (16%), Strategic Credit (9%), Distressed Debt (4%) - Equities: U.S. (11.5%), International Emerging Markets (6%), International Developed Markets (5%), Global (2.5%) - Private Equity - Real Assets: Private Real Estate (6%), REITs (2%) - Hedge Funds - Investment-Grade Bonds &amp; Cash: Bonds (3%), Cash (2%). This strategy aims to mitigate risks while pursuing substantial returns for the fund, positively impacting the retirement benefits it provides. Additional details show that TCDRS has commitments exceeding $450 million to various private equity and venture capital funds, reinforcing its proactive investment in growth opportunities.</t>
  </si>
  <si>
    <t>https://www.linkedin.com/company/tcdrs</t>
  </si>
  <si>
    <t>Australia, Canada, Denmark, France, Germany, Hong Kong, Italy, Japan, Netherlands, South Korea, Spain, Sweden, Switzerland, United Kingdom, United States</t>
  </si>
  <si>
    <t>$75 million</t>
  </si>
  <si>
    <t>40380 million</t>
  </si>
  <si>
    <t>901 S. MoPac Expy</t>
  </si>
  <si>
    <t>Casey</t>
  </si>
  <si>
    <t>Wolf</t>
  </si>
  <si>
    <t>Casey Wolf</t>
  </si>
  <si>
    <t>Austin, Texas Metropolitan Area</t>
  </si>
  <si>
    <t>tcdrs.org</t>
  </si>
  <si>
    <t>https://www.linkedin.com/in/casey-wolf-485a47176/</t>
  </si>
  <si>
    <t>casey@tcdrs.org</t>
  </si>
  <si>
    <t>(210) 548-5482</t>
  </si>
  <si>
    <t>wolfjc@netzero.net</t>
  </si>
  <si>
    <t>Texas Municipal Retirement</t>
  </si>
  <si>
    <t>The Texas Municipal Retirement System (TMRS) is a statewide retirement system that serves over 210,000 active members, retirees, and their beneficiaries across more than 930 participating cities in Texas. TMRS is a voluntary cash-balance retirement plan designed for Texas cities, established in 1947. It provides retirement, disability, and survivor benefits without receiving state funds or administering a health care plan. Each participating city creates its own retirement plan tailored to its specific needs.**Mission, Vision, and Values:** TMRS aims to provide secure lifetime income for its members through partnerships with cities. Its vision is to be the model public pension plan, guided by values of accountability, excellence, integrity, innovation, and collaboration.**Investment Philosophy:** TMRS invests to ensure that the promised benefits are provided to its members at reasonable and predictable costs. The investment approach adheres to statutory guidelines defined in the Texas Government Code, focusing on a total return investment objective, which includes dividends, interest, and capital appreciation while considering portfolio risk and liquidity.**Investment Strategy:** TMRS adheres to strict standards of care, making investment decisions based on prudence and discretion, while seeking to achieve a future total return that meets the needs of members and employers alike.</t>
  </si>
  <si>
    <t>https://www.linkedin.com/company/texas-municipal-retirement</t>
  </si>
  <si>
    <t>United States (explicit as domestic pension fund), Global (no specific countries listed)</t>
  </si>
  <si>
    <t>North America, Europe, Asia (inferred from public equity indices and global investment descriptions)</t>
  </si>
  <si>
    <t>Public Equity, Fixed Income, Private Equity, Real Estate, Infrastructure, Hedge Funds (captured in Tactical Opportunities), Private Credit, Cash</t>
  </si>
  <si>
    <t>34796 million</t>
  </si>
  <si>
    <t>1200 N. Interstate 35</t>
  </si>
  <si>
    <t>Yup</t>
  </si>
  <si>
    <t>S. Kim</t>
  </si>
  <si>
    <t>Yup S. Kim</t>
  </si>
  <si>
    <t>tmrs.com</t>
  </si>
  <si>
    <t>https://www.linkedin.com/in/yup-s-kim-ab19347/</t>
  </si>
  <si>
    <t>yup@aya.yale.edu</t>
  </si>
  <si>
    <t>(212) 371-1522</t>
  </si>
  <si>
    <t>yup.s.kim@gmail.com</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</si>
</sst>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Aptos Narrow"/>
      <scheme val="minor"/>
    </font>
    <font>
      <sz val="11.0"/>
      <color theme="1"/>
      <name val="Aptos Narrow"/>
    </font>
    <font>
      <b/>
      <sz val="10.0"/>
      <color theme="1"/>
      <name val="Quattrocento Sans"/>
    </font>
    <font>
      <sz val="16.0"/>
      <color rgb="FFFFFFFF"/>
      <name val="Aptos Narrow"/>
    </font>
    <font>
      <color theme="1"/>
      <name val="Aptos Narrow"/>
      <scheme val="minor"/>
    </font>
    <font>
      <u/>
      <sz val="11.0"/>
      <color theme="10"/>
      <name val="Aptos Narrow"/>
    </font>
  </fonts>
  <fills count="5">
    <fill>
      <patternFill patternType="none"/>
    </fill>
    <fill>
      <patternFill patternType="lightGray"/>
    </fill>
    <fill>
      <patternFill patternType="solid">
        <fgColor rgb="FFAEAEAE"/>
        <bgColor rgb="FFAEAEAE"/>
      </patternFill>
    </fill>
    <fill>
      <patternFill patternType="solid">
        <fgColor rgb="FF84E291"/>
        <bgColor rgb="FF84E291"/>
      </patternFill>
    </fill>
    <fill>
      <patternFill patternType="solid">
        <fgColor rgb="FF0E2841"/>
        <bgColor rgb="FF0E2841"/>
      </patternFill>
    </fill>
  </fills>
  <borders count="4">
    <border/>
    <border>
      <left/>
      <right/>
      <top/>
      <bottom/>
    </border>
    <border>
      <left style="medium">
        <color rgb="FF000000"/>
      </left>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ont="1">
      <alignment horizontal="center"/>
    </xf>
    <xf borderId="2" fillId="3" fontId="2" numFmtId="0" xfId="0" applyAlignment="1" applyBorder="1" applyFill="1" applyFont="1">
      <alignment vertical="center"/>
    </xf>
    <xf borderId="3" fillId="4" fontId="3" numFmtId="0" xfId="0" applyAlignment="1" applyBorder="1" applyFill="1" applyFont="1">
      <alignment horizontal="center" shrinkToFit="0" vertical="center" wrapText="1"/>
    </xf>
    <xf borderId="0" fillId="0" fontId="4" numFmtId="0" xfId="0" applyFont="1"/>
    <xf borderId="0" fillId="0" fontId="5" numFmtId="0" xfId="0" applyFont="1"/>
    <xf borderId="0" fillId="0" fontId="4" numFmtId="0" xfId="0" applyAlignment="1" applyFont="1">
      <alignment readingOrder="0"/>
    </xf>
    <xf borderId="0" fillId="0" fontId="1" numFmtId="0" xfId="0" applyAlignment="1" applyFont="1">
      <alignment horizontal="center"/>
    </xf>
  </cellXfs>
  <cellStyles count="1">
    <cellStyle xfId="0" name="Normal" builtinId="0"/>
  </cellStyles>
  <dxfs count="8">
    <dxf>
      <font/>
      <fill>
        <patternFill patternType="none"/>
      </fill>
      <border/>
    </dxf>
    <dxf>
      <font/>
      <fill>
        <patternFill patternType="solid">
          <fgColor theme="4"/>
          <bgColor theme="4"/>
        </patternFill>
      </fill>
      <border/>
    </dxf>
    <dxf>
      <font/>
      <fill>
        <patternFill patternType="solid">
          <fgColor rgb="FFD8D8D8"/>
          <bgColor rgb="FFD8D8D8"/>
        </patternFill>
      </fill>
      <border/>
    </dxf>
    <dxf>
      <font/>
      <fill>
        <patternFill patternType="solid">
          <fgColor theme="0"/>
          <bgColor theme="0"/>
        </patternFill>
      </fill>
      <border/>
    </dxf>
    <dxf>
      <font>
        <b/>
        <i/>
      </font>
      <fill>
        <patternFill patternType="solid">
          <fgColor rgb="FF4D94D8"/>
          <bgColor rgb="FF4D94D8"/>
        </patternFill>
      </fill>
      <border/>
    </dxf>
    <dxf>
      <font/>
      <fill>
        <patternFill patternType="solid">
          <fgColor rgb="FFD9F2D0"/>
          <bgColor rgb="FFD9F2D0"/>
        </patternFill>
      </fill>
      <border/>
    </dxf>
    <dxf>
      <font/>
      <fill>
        <patternFill patternType="solid">
          <fgColor rgb="FFB3E5A1"/>
          <bgColor rgb="FFB3E5A1"/>
        </patternFill>
      </fill>
      <border/>
    </dxf>
    <dxf>
      <font/>
      <fill>
        <patternFill patternType="solid">
          <fgColor rgb="FF8ED873"/>
          <bgColor rgb="FF8ED873"/>
        </patternFill>
      </fill>
      <border/>
    </dxf>
  </dxfs>
  <tableStyles count="1">
    <tableStyle count="3" pivot="0" name="Pension-Fund-Base-V1-Default-vi-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0</xdr:rowOff>
    </xdr:from>
    <xdr:ext cx="3076575" cy="1304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0</xdr:row>
      <xdr:rowOff>0</xdr:rowOff>
    </xdr:from>
    <xdr:ext cx="3057525" cy="1304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0</xdr:row>
      <xdr:rowOff>0</xdr:rowOff>
    </xdr:from>
    <xdr:ext cx="3028950" cy="1304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21</xdr:col>
      <xdr:colOff>0</xdr:colOff>
      <xdr:row>0</xdr:row>
      <xdr:rowOff>0</xdr:rowOff>
    </xdr:from>
    <xdr:ext cx="2981325" cy="1304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25</xdr:col>
      <xdr:colOff>0</xdr:colOff>
      <xdr:row>0</xdr:row>
      <xdr:rowOff>0</xdr:rowOff>
    </xdr:from>
    <xdr:ext cx="2943225" cy="1304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0</xdr:row>
      <xdr:rowOff>0</xdr:rowOff>
    </xdr:from>
    <xdr:ext cx="2705100" cy="1304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ref="B3:AC78" displayName="Table_1" name="Table_1" id="1">
  <tableColumns count="28">
    <tableColumn name="Pension Fund Name" id="1"/>
    <tableColumn name="Data Completeness Score (Visual)" id="2"/>
    <tableColumn name="Pension Fund Description / Investing The" id="3"/>
    <tableColumn name="Investor Type" id="4"/>
    <tableColumn name="Pension Fund Linkedin Profile" id="5"/>
    <tableColumn name="Preferred Country of Investment" id="6"/>
    <tableColumn name="Preferred Continent of Investment" id="7"/>
    <tableColumn name="Typical Ticket Size" id="8"/>
    <tableColumn name="Preferred Asset Class" id="9"/>
    <tableColumn name="AUM in USD (millions)" id="10"/>
    <tableColumn name="AUM in USD" id="11"/>
    <tableColumn name="Investor Address" id="12"/>
    <tableColumn name="Investor City" id="13"/>
    <tableColumn name="Investor State" id="14"/>
    <tableColumn name="Investor Country" id="15"/>
    <tableColumn name="First Name" id="16"/>
    <tableColumn name="Last Name" id="17"/>
    <tableColumn name="Full Name" id="18"/>
    <tableColumn name="Job Title" id="19"/>
    <tableColumn name="Location" id="20"/>
    <tableColumn name="Pension Fund Domain" id="21"/>
    <tableColumn name="LinkedIn Profile" id="22"/>
    <tableColumn name="Primary Email" id="23"/>
    <tableColumn name="Primary Email_x000a_Quality Assessment" id="24"/>
    <tableColumn name="Primary Phone Number" id="25"/>
    <tableColumn name="Secondary Phone Number" id="26"/>
    <tableColumn name="Secondary Email" id="27"/>
    <tableColumn name="Secondary Email _x000a_Quality Assessment" id="28"/>
  </tableColumns>
  <tableStyleInfo name="Pension-Fund-Base-V1-Default-vi-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linkedin.com/in/vumanhle/" TargetMode="External"/><Relationship Id="rId42" Type="http://schemas.openxmlformats.org/officeDocument/2006/relationships/hyperlink" Target="https://www.linkedin.com/company/united-airlines" TargetMode="External"/><Relationship Id="rId41" Type="http://schemas.openxmlformats.org/officeDocument/2006/relationships/hyperlink" Target="https://www.linkedin.com/in/michasinclair/" TargetMode="External"/><Relationship Id="rId44" Type="http://schemas.openxmlformats.org/officeDocument/2006/relationships/hyperlink" Target="https://www.linkedin.com/company/andersen" TargetMode="External"/><Relationship Id="rId43" Type="http://schemas.openxmlformats.org/officeDocument/2006/relationships/hyperlink" Target="https://www.linkedin.com/in/mukul-hariharan-49ba5912/" TargetMode="External"/><Relationship Id="rId46" Type="http://schemas.openxmlformats.org/officeDocument/2006/relationships/hyperlink" Target="https://www.linkedin.com/company/raytheon-technologies-co" TargetMode="External"/><Relationship Id="rId45" Type="http://schemas.openxmlformats.org/officeDocument/2006/relationships/hyperlink" Target="https://www.linkedin.com/in/tom-andersen-8bb3ab56/" TargetMode="External"/><Relationship Id="rId107" Type="http://schemas.openxmlformats.org/officeDocument/2006/relationships/hyperlink" Target="https://www.linkedin.com/in/taylormckittrick/" TargetMode="External"/><Relationship Id="rId106" Type="http://schemas.openxmlformats.org/officeDocument/2006/relationships/hyperlink" Target="https://www.linkedin.com/company/kochindustries" TargetMode="External"/><Relationship Id="rId105" Type="http://schemas.openxmlformats.org/officeDocument/2006/relationships/hyperlink" Target="https://www.linkedin.com/in/jeff-wendling/" TargetMode="External"/><Relationship Id="rId104" Type="http://schemas.openxmlformats.org/officeDocument/2006/relationships/hyperlink" Target="https://www.linkedin.com/company/hoopp/" TargetMode="External"/><Relationship Id="rId109" Type="http://schemas.openxmlformats.org/officeDocument/2006/relationships/hyperlink" Target="https://www.linkedin.com/in/edwin-denson/" TargetMode="External"/><Relationship Id="rId108" Type="http://schemas.openxmlformats.org/officeDocument/2006/relationships/hyperlink" Target="https://www.linkedin.com/company/the-state-of-wisconsin-investment-board" TargetMode="External"/><Relationship Id="rId48" Type="http://schemas.openxmlformats.org/officeDocument/2006/relationships/hyperlink" Target="https://www.linkedin.com/company/state_farm" TargetMode="External"/><Relationship Id="rId47" Type="http://schemas.openxmlformats.org/officeDocument/2006/relationships/hyperlink" Target="https://www.linkedin.com/in/neil-mitchill-412b6213/" TargetMode="External"/><Relationship Id="rId49" Type="http://schemas.openxmlformats.org/officeDocument/2006/relationships/hyperlink" Target="https://www.linkedin.com/in/steven-williams-b4b8604/" TargetMode="External"/><Relationship Id="rId103" Type="http://schemas.openxmlformats.org/officeDocument/2006/relationships/hyperlink" Target="https://www.linkedin.com/in/john-c-may/" TargetMode="External"/><Relationship Id="rId102" Type="http://schemas.openxmlformats.org/officeDocument/2006/relationships/hyperlink" Target="https://www.linkedin.com/company/john-deere" TargetMode="External"/><Relationship Id="rId101" Type="http://schemas.openxmlformats.org/officeDocument/2006/relationships/hyperlink" Target="https://www.linkedin.com/in/rahulsamant/" TargetMode="External"/><Relationship Id="rId100" Type="http://schemas.openxmlformats.org/officeDocument/2006/relationships/hyperlink" Target="https://www.linkedin.com/company/delta-air-lines" TargetMode="External"/><Relationship Id="rId31" Type="http://schemas.openxmlformats.org/officeDocument/2006/relationships/hyperlink" Target="https://www.linkedin.com/in/beth-romer-pmp-a-csm-a6235511/" TargetMode="External"/><Relationship Id="rId30" Type="http://schemas.openxmlformats.org/officeDocument/2006/relationships/hyperlink" Target="https://www.linkedin.com/company/indiana-public-retirement-system" TargetMode="External"/><Relationship Id="rId33" Type="http://schemas.openxmlformats.org/officeDocument/2006/relationships/hyperlink" Target="https://www.linkedin.com/in/anthony-curtiss-5135245/" TargetMode="External"/><Relationship Id="rId32" Type="http://schemas.openxmlformats.org/officeDocument/2006/relationships/hyperlink" Target="https://www.linkedin.com/company/employees-retirement-system-of-texas" TargetMode="External"/><Relationship Id="rId35" Type="http://schemas.openxmlformats.org/officeDocument/2006/relationships/hyperlink" Target="https://www.linkedin.com/company/jpmorganchase" TargetMode="External"/><Relationship Id="rId34" Type="http://schemas.openxmlformats.org/officeDocument/2006/relationships/hyperlink" Target="https://www.linkedin.com/in/jeanne-olivier-9003a1106/" TargetMode="External"/><Relationship Id="rId37" Type="http://schemas.openxmlformats.org/officeDocument/2006/relationships/hyperlink" Target="https://www.linkedin.com/company/millennium-inorganic-chemicals" TargetMode="External"/><Relationship Id="rId36" Type="http://schemas.openxmlformats.org/officeDocument/2006/relationships/hyperlink" Target="https://www.linkedin.com/in/fotini-minasidis-594800149/" TargetMode="External"/><Relationship Id="rId39" Type="http://schemas.openxmlformats.org/officeDocument/2006/relationships/hyperlink" Target="https://www.linkedin.com/company/virginia-retirement-system" TargetMode="External"/><Relationship Id="rId38" Type="http://schemas.openxmlformats.org/officeDocument/2006/relationships/hyperlink" Target="https://www.linkedin.com/in/jean-francois-turgeon-763b1a68/" TargetMode="External"/><Relationship Id="rId20" Type="http://schemas.openxmlformats.org/officeDocument/2006/relationships/hyperlink" Target="https://www.linkedin.com/in/brennanoble/" TargetMode="External"/><Relationship Id="rId22" Type="http://schemas.openxmlformats.org/officeDocument/2006/relationships/hyperlink" Target="https://www.linkedin.com/in/lisa-vazquez-5455b25/" TargetMode="External"/><Relationship Id="rId21" Type="http://schemas.openxmlformats.org/officeDocument/2006/relationships/hyperlink" Target="https://www.linkedin.com/company/mass-general-brigham" TargetMode="External"/><Relationship Id="rId24" Type="http://schemas.openxmlformats.org/officeDocument/2006/relationships/hyperlink" Target="https://www.linkedin.com/in/marcus-pennell-a7439a47/" TargetMode="External"/><Relationship Id="rId23" Type="http://schemas.openxmlformats.org/officeDocument/2006/relationships/hyperlink" Target="https://www.linkedin.com/company/colorado-pera" TargetMode="External"/><Relationship Id="rId129" Type="http://schemas.openxmlformats.org/officeDocument/2006/relationships/hyperlink" Target="https://uk.linkedin.com/company/barclays-bank" TargetMode="External"/><Relationship Id="rId128" Type="http://schemas.openxmlformats.org/officeDocument/2006/relationships/hyperlink" Target="https://www.linkedin.com/in/anastasia-titarchuk-3b739a32/" TargetMode="External"/><Relationship Id="rId127" Type="http://schemas.openxmlformats.org/officeDocument/2006/relationships/hyperlink" Target="https://www.linkedin.com/company/new-york-state-common-retirement-fund" TargetMode="External"/><Relationship Id="rId126" Type="http://schemas.openxmlformats.org/officeDocument/2006/relationships/hyperlink" Target="https://www.linkedin.com/in/justin-maurer/" TargetMode="External"/><Relationship Id="rId26" Type="http://schemas.openxmlformats.org/officeDocument/2006/relationships/hyperlink" Target="https://www.linkedin.com/in/jim-fitterling/" TargetMode="External"/><Relationship Id="rId121" Type="http://schemas.openxmlformats.org/officeDocument/2006/relationships/hyperlink" Target="https://www.linkedin.com/in/jeffraikes/" TargetMode="External"/><Relationship Id="rId25" Type="http://schemas.openxmlformats.org/officeDocument/2006/relationships/hyperlink" Target="https://www.linkedin.com/company/dow-chemical" TargetMode="External"/><Relationship Id="rId120" Type="http://schemas.openxmlformats.org/officeDocument/2006/relationships/hyperlink" Target="https://www.linkedin.com/company/costco-wholesale" TargetMode="External"/><Relationship Id="rId28" Type="http://schemas.openxmlformats.org/officeDocument/2006/relationships/hyperlink" Target="https://www.linkedin.com/company/pepsico" TargetMode="External"/><Relationship Id="rId27" Type="http://schemas.openxmlformats.org/officeDocument/2006/relationships/hyperlink" Target="https://www.linkedin.com/in/michaelmmcgowan/" TargetMode="External"/><Relationship Id="rId125" Type="http://schemas.openxmlformats.org/officeDocument/2006/relationships/hyperlink" Target="https://www.linkedin.com/company/strs-ohio" TargetMode="External"/><Relationship Id="rId29" Type="http://schemas.openxmlformats.org/officeDocument/2006/relationships/hyperlink" Target="https://www.linkedin.com/in/ramonlaguarta/" TargetMode="External"/><Relationship Id="rId124" Type="http://schemas.openxmlformats.org/officeDocument/2006/relationships/hyperlink" Target="https://www.linkedin.com/in/scotttemple2/" TargetMode="External"/><Relationship Id="rId123" Type="http://schemas.openxmlformats.org/officeDocument/2006/relationships/hyperlink" Target="https://www.linkedin.com/in/nyandemoh/" TargetMode="External"/><Relationship Id="rId122" Type="http://schemas.openxmlformats.org/officeDocument/2006/relationships/hyperlink" Target="https://www.linkedin.com/company/federal-retirement-thrift-investment-board" TargetMode="External"/><Relationship Id="rId95" Type="http://schemas.openxmlformats.org/officeDocument/2006/relationships/hyperlink" Target="https://www.linkedin.com/in/wayde-mcmillan-9b233b33/" TargetMode="External"/><Relationship Id="rId94" Type="http://schemas.openxmlformats.org/officeDocument/2006/relationships/hyperlink" Target="https://www.linkedin.com/company/3m" TargetMode="External"/><Relationship Id="rId97" Type="http://schemas.openxmlformats.org/officeDocument/2006/relationships/hyperlink" Target="https://www.linkedin.com/in/scottflannery/" TargetMode="External"/><Relationship Id="rId96" Type="http://schemas.openxmlformats.org/officeDocument/2006/relationships/hyperlink" Target="https://www.linkedin.com/company/unitedhealth-group" TargetMode="External"/><Relationship Id="rId11" Type="http://schemas.openxmlformats.org/officeDocument/2006/relationships/hyperlink" Target="https://www.linkedin.com/company/surs" TargetMode="External"/><Relationship Id="rId99" Type="http://schemas.openxmlformats.org/officeDocument/2006/relationships/hyperlink" Target="https://www.linkedin.com/in/jennifer-opsut-8119b57/" TargetMode="External"/><Relationship Id="rId10" Type="http://schemas.openxmlformats.org/officeDocument/2006/relationships/hyperlink" Target="https://www.linkedin.com/in/jeff-sutton-314b536/" TargetMode="External"/><Relationship Id="rId98" Type="http://schemas.openxmlformats.org/officeDocument/2006/relationships/hyperlink" Target="https://www.linkedin.com/company/hca" TargetMode="External"/><Relationship Id="rId13" Type="http://schemas.openxmlformats.org/officeDocument/2006/relationships/hyperlink" Target="https://www.linkedin.com/company/johnson-&amp;-johnson" TargetMode="External"/><Relationship Id="rId12" Type="http://schemas.openxmlformats.org/officeDocument/2006/relationships/hyperlink" Target="https://www.linkedin.com/in/michael-schlachter-cfa-a68b2467/" TargetMode="External"/><Relationship Id="rId91" Type="http://schemas.openxmlformats.org/officeDocument/2006/relationships/hyperlink" Target="https://www.linkedin.com/in/ann-sheu-robinson-802bb4a/" TargetMode="External"/><Relationship Id="rId90" Type="http://schemas.openxmlformats.org/officeDocument/2006/relationships/hyperlink" Target="https://www.linkedin.com/company/churchpensiongroup" TargetMode="External"/><Relationship Id="rId93" Type="http://schemas.openxmlformats.org/officeDocument/2006/relationships/hyperlink" Target="https://www.linkedin.com/in/maureen-morrow-7888674/" TargetMode="External"/><Relationship Id="rId92" Type="http://schemas.openxmlformats.org/officeDocument/2006/relationships/hyperlink" Target="https://www.linkedin.com/company/cppinvestmentsinvestissementsrpc" TargetMode="External"/><Relationship Id="rId118" Type="http://schemas.openxmlformats.org/officeDocument/2006/relationships/hyperlink" Target="https://www.linkedin.com/company/eli-lilly-and-company" TargetMode="External"/><Relationship Id="rId117" Type="http://schemas.openxmlformats.org/officeDocument/2006/relationships/hyperlink" Target="https://www.linkedin.com/in/ryan-casebolt-cfa-caia-28960b65/" TargetMode="External"/><Relationship Id="rId116" Type="http://schemas.openxmlformats.org/officeDocument/2006/relationships/hyperlink" Target="https://www.linkedin.com/company/opers" TargetMode="External"/><Relationship Id="rId115" Type="http://schemas.openxmlformats.org/officeDocument/2006/relationships/hyperlink" Target="https://www.linkedin.com/in/derrick-ventre-mba/" TargetMode="External"/><Relationship Id="rId119" Type="http://schemas.openxmlformats.org/officeDocument/2006/relationships/hyperlink" Target="https://www.linkedin.com/in/jamal-handy-7782025/" TargetMode="External"/><Relationship Id="rId15" Type="http://schemas.openxmlformats.org/officeDocument/2006/relationships/hyperlink" Target="https://www.linkedin.com/company/federal-reserve-system" TargetMode="External"/><Relationship Id="rId110" Type="http://schemas.openxmlformats.org/officeDocument/2006/relationships/hyperlink" Target="https://www.linkedin.com/company/north-carolina-department-of-state-treasurer" TargetMode="External"/><Relationship Id="rId14" Type="http://schemas.openxmlformats.org/officeDocument/2006/relationships/hyperlink" Target="https://www.linkedin.com/in/john-strainic-b188479/" TargetMode="External"/><Relationship Id="rId17" Type="http://schemas.openxmlformats.org/officeDocument/2006/relationships/hyperlink" Target="https://www.linkedin.com/company/lacera" TargetMode="External"/><Relationship Id="rId16" Type="http://schemas.openxmlformats.org/officeDocument/2006/relationships/hyperlink" Target="https://www.linkedin.com/in/pat-mcclanahan-790a558/" TargetMode="External"/><Relationship Id="rId19" Type="http://schemas.openxmlformats.org/officeDocument/2006/relationships/hyperlink" Target="https://www.linkedin.com/company/psrspeers" TargetMode="External"/><Relationship Id="rId114" Type="http://schemas.openxmlformats.org/officeDocument/2006/relationships/hyperlink" Target="https://www.linkedin.com/company/exelon" TargetMode="External"/><Relationship Id="rId18" Type="http://schemas.openxmlformats.org/officeDocument/2006/relationships/hyperlink" Target="https://www.linkedin.com/in/herman-santos-a4098798/" TargetMode="External"/><Relationship Id="rId113" Type="http://schemas.openxmlformats.org/officeDocument/2006/relationships/hyperlink" Target="https://www.linkedin.com/in/denise-vozzella-b067071/" TargetMode="External"/><Relationship Id="rId112" Type="http://schemas.openxmlformats.org/officeDocument/2006/relationships/hyperlink" Target="https://www.linkedin.com/company/cvshealth" TargetMode="External"/><Relationship Id="rId111" Type="http://schemas.openxmlformats.org/officeDocument/2006/relationships/hyperlink" Target="https://www.linkedin.com/in/ming-yu-xu-cfa-caia-a351b0/" TargetMode="External"/><Relationship Id="rId84" Type="http://schemas.openxmlformats.org/officeDocument/2006/relationships/hyperlink" Target="https://www.linkedin.com/in/dale-jones-08b56548/" TargetMode="External"/><Relationship Id="rId83" Type="http://schemas.openxmlformats.org/officeDocument/2006/relationships/hyperlink" Target="https://www.linkedin.com/company/wespath" TargetMode="External"/><Relationship Id="rId86" Type="http://schemas.openxmlformats.org/officeDocument/2006/relationships/hyperlink" Target="https://www.linkedin.com/in/srazeem/" TargetMode="External"/><Relationship Id="rId85" Type="http://schemas.openxmlformats.org/officeDocument/2006/relationships/hyperlink" Target="https://www.linkedin.com/in/paulhellmancfp" TargetMode="External"/><Relationship Id="rId88" Type="http://schemas.openxmlformats.org/officeDocument/2006/relationships/hyperlink" Target="https://www.linkedin.com/in/siddhesh-barot-2a803a7/" TargetMode="External"/><Relationship Id="rId87" Type="http://schemas.openxmlformats.org/officeDocument/2006/relationships/hyperlink" Target="https://www.linkedin.com/company/imrf" TargetMode="External"/><Relationship Id="rId89" Type="http://schemas.openxmlformats.org/officeDocument/2006/relationships/hyperlink" Target="https://www.linkedin.com/in/kristen-lynch-8b13421a/" TargetMode="External"/><Relationship Id="rId80" Type="http://schemas.openxmlformats.org/officeDocument/2006/relationships/hyperlink" Target="https://www.linkedin.com/in/enrique-solorzano/" TargetMode="External"/><Relationship Id="rId82" Type="http://schemas.openxmlformats.org/officeDocument/2006/relationships/hyperlink" Target="https://www.linkedin.com/in/ryan-cupersmith-949956113/" TargetMode="External"/><Relationship Id="rId81" Type="http://schemas.openxmlformats.org/officeDocument/2006/relationships/hyperlink" Target="https://www.linkedin.com/company/ernstandyoung" TargetMode="External"/><Relationship Id="rId1" Type="http://schemas.openxmlformats.org/officeDocument/2006/relationships/hyperlink" Target="https://www.linkedin.com/company/the-walt-disney-company" TargetMode="External"/><Relationship Id="rId2" Type="http://schemas.openxmlformats.org/officeDocument/2006/relationships/hyperlink" Target="https://www.linkedin.com/in/changamy/" TargetMode="External"/><Relationship Id="rId3" Type="http://schemas.openxmlformats.org/officeDocument/2006/relationships/hyperlink" Target="https://www.linkedin.com/company/walmart" TargetMode="External"/><Relationship Id="rId4" Type="http://schemas.openxmlformats.org/officeDocument/2006/relationships/hyperlink" Target="https://www.linkedin.com/in/gene-kent-00823575/" TargetMode="External"/><Relationship Id="rId9" Type="http://schemas.openxmlformats.org/officeDocument/2006/relationships/hyperlink" Target="https://www.linkedin.com/company/general-dynamics" TargetMode="External"/><Relationship Id="rId143" Type="http://schemas.openxmlformats.org/officeDocument/2006/relationships/hyperlink" Target="https://www.linkedin.com/company/texas-municipal-retirement" TargetMode="External"/><Relationship Id="rId142" Type="http://schemas.openxmlformats.org/officeDocument/2006/relationships/hyperlink" Target="https://www.linkedin.com/in/casey-wolf-485a47176/" TargetMode="External"/><Relationship Id="rId141" Type="http://schemas.openxmlformats.org/officeDocument/2006/relationships/hyperlink" Target="https://www.linkedin.com/company/tcdrs" TargetMode="External"/><Relationship Id="rId140" Type="http://schemas.openxmlformats.org/officeDocument/2006/relationships/hyperlink" Target="https://www.linkedin.com/in/rachael-moore-2018/" TargetMode="External"/><Relationship Id="rId5" Type="http://schemas.openxmlformats.org/officeDocument/2006/relationships/hyperlink" Target="https://www.linkedin.com/company/nystrs" TargetMode="External"/><Relationship Id="rId147" Type="http://schemas.openxmlformats.org/officeDocument/2006/relationships/table" Target="../tables/table1.xml"/><Relationship Id="rId6" Type="http://schemas.openxmlformats.org/officeDocument/2006/relationships/hyperlink" Target="https://www.linkedin.com/in/emily-ekland-1916b71a/" TargetMode="External"/><Relationship Id="rId7" Type="http://schemas.openxmlformats.org/officeDocument/2006/relationships/hyperlink" Target="https://www.linkedin.com/company/southern-company" TargetMode="External"/><Relationship Id="rId145" Type="http://schemas.openxmlformats.org/officeDocument/2006/relationships/drawing" Target="../drawings/drawing1.xml"/><Relationship Id="rId8" Type="http://schemas.openxmlformats.org/officeDocument/2006/relationships/hyperlink" Target="https://www.linkedin.com/in/dekia-scott-cfa-ba48233/" TargetMode="External"/><Relationship Id="rId144" Type="http://schemas.openxmlformats.org/officeDocument/2006/relationships/hyperlink" Target="https://www.linkedin.com/in/yup-s-kim-ab19347/" TargetMode="External"/><Relationship Id="rId73" Type="http://schemas.openxmlformats.org/officeDocument/2006/relationships/hyperlink" Target="https://www.linkedin.com/company/commonspirithealth" TargetMode="External"/><Relationship Id="rId72" Type="http://schemas.openxmlformats.org/officeDocument/2006/relationships/hyperlink" Target="https://www.linkedin.com/in/kalina-berova-635aa089/" TargetMode="External"/><Relationship Id="rId75" Type="http://schemas.openxmlformats.org/officeDocument/2006/relationships/hyperlink" Target="https://www.linkedin.com/company/papsers" TargetMode="External"/><Relationship Id="rId74" Type="http://schemas.openxmlformats.org/officeDocument/2006/relationships/hyperlink" Target="https://www.linkedin.com/in/wright-lassiter-iii/" TargetMode="External"/><Relationship Id="rId77" Type="http://schemas.openxmlformats.org/officeDocument/2006/relationships/hyperlink" Target="https://www.linkedin.com/company/mayo-clinic" TargetMode="External"/><Relationship Id="rId76" Type="http://schemas.openxmlformats.org/officeDocument/2006/relationships/hyperlink" Target="https://www.linkedin.com/in/pmccafferty/" TargetMode="External"/><Relationship Id="rId79" Type="http://schemas.openxmlformats.org/officeDocument/2006/relationships/hyperlink" Target="https://www.linkedin.com/company/afore-sura" TargetMode="External"/><Relationship Id="rId78" Type="http://schemas.openxmlformats.org/officeDocument/2006/relationships/hyperlink" Target="https://www.linkedin.com/in/jeff-ronning-b120a5a/" TargetMode="External"/><Relationship Id="rId71" Type="http://schemas.openxmlformats.org/officeDocument/2006/relationships/hyperlink" Target="https://www.linkedin.com/company/british-columbia-investment-management-corporation-bci" TargetMode="External"/><Relationship Id="rId70" Type="http://schemas.openxmlformats.org/officeDocument/2006/relationships/hyperlink" Target="https://www.linkedin.com/in/demarest-barnette-5300364/" TargetMode="External"/><Relationship Id="rId139" Type="http://schemas.openxmlformats.org/officeDocument/2006/relationships/hyperlink" Target="https://www.linkedin.com/company/l3harris-technologies" TargetMode="External"/><Relationship Id="rId138" Type="http://schemas.openxmlformats.org/officeDocument/2006/relationships/hyperlink" Target="https://www.linkedin.com/in/farouki-majeed-cfa-770b5825/" TargetMode="External"/><Relationship Id="rId137" Type="http://schemas.openxmlformats.org/officeDocument/2006/relationships/hyperlink" Target="https://www.linkedin.com/company/school-employees-retirement-system" TargetMode="External"/><Relationship Id="rId132" Type="http://schemas.openxmlformats.org/officeDocument/2006/relationships/hyperlink" Target="https://www.linkedin.com/in/grahamneilrobinson/" TargetMode="External"/><Relationship Id="rId131" Type="http://schemas.openxmlformats.org/officeDocument/2006/relationships/hyperlink" Target="https://www.linkedin.com/company/northrop-grumman-corporation" TargetMode="External"/><Relationship Id="rId130" Type="http://schemas.openxmlformats.org/officeDocument/2006/relationships/hyperlink" Target="https://www.linkedin.com/in/carol-mathis-25503621/" TargetMode="External"/><Relationship Id="rId136" Type="http://schemas.openxmlformats.org/officeDocument/2006/relationships/hyperlink" Target="https://www.linkedin.com/in/shayne-mcguire-1a486/" TargetMode="External"/><Relationship Id="rId135" Type="http://schemas.openxmlformats.org/officeDocument/2006/relationships/hyperlink" Target="https://www.linkedin.com/company/trsoftexas" TargetMode="External"/><Relationship Id="rId134" Type="http://schemas.openxmlformats.org/officeDocument/2006/relationships/hyperlink" Target="https://www.linkedin.com/in/derekkreifels/" TargetMode="External"/><Relationship Id="rId133" Type="http://schemas.openxmlformats.org/officeDocument/2006/relationships/hyperlink" Target="https://www.linkedin.com/company/kansas-public-employees-retirement-sytem" TargetMode="External"/><Relationship Id="rId62" Type="http://schemas.openxmlformats.org/officeDocument/2006/relationships/hyperlink" Target="https://www.linkedin.com/in/natangoldberger/" TargetMode="External"/><Relationship Id="rId61" Type="http://schemas.openxmlformats.org/officeDocument/2006/relationships/hyperlink" Target="https://www.linkedin.com/company/the-world-bank" TargetMode="External"/><Relationship Id="rId64" Type="http://schemas.openxmlformats.org/officeDocument/2006/relationships/hyperlink" Target="https://www.linkedin.com/in/brian-andersen-87658b5/" TargetMode="External"/><Relationship Id="rId63" Type="http://schemas.openxmlformats.org/officeDocument/2006/relationships/hyperlink" Target="https://www.linkedin.com/company/exelon" TargetMode="External"/><Relationship Id="rId66" Type="http://schemas.openxmlformats.org/officeDocument/2006/relationships/hyperlink" Target="https://www.linkedin.com/in/shajuan-m-burns-mba-13a461144/" TargetMode="External"/><Relationship Id="rId65" Type="http://schemas.openxmlformats.org/officeDocument/2006/relationships/hyperlink" Target="https://www.linkedin.com/company/chevron" TargetMode="External"/><Relationship Id="rId68" Type="http://schemas.openxmlformats.org/officeDocument/2006/relationships/hyperlink" Target="https://www.linkedin.com/in/angelabraly/" TargetMode="External"/><Relationship Id="rId67" Type="http://schemas.openxmlformats.org/officeDocument/2006/relationships/hyperlink" Target="https://www.linkedin.com/company/exxonmobil" TargetMode="External"/><Relationship Id="rId60" Type="http://schemas.openxmlformats.org/officeDocument/2006/relationships/hyperlink" Target="https://www.linkedin.com/in/drvaughn/" TargetMode="External"/><Relationship Id="rId69" Type="http://schemas.openxmlformats.org/officeDocument/2006/relationships/hyperlink" Target="https://www.linkedin.com/company/aegon" TargetMode="External"/><Relationship Id="rId51" Type="http://schemas.openxmlformats.org/officeDocument/2006/relationships/hyperlink" Target="https://www.linkedin.com/in/marie-mckee-ba95178/" TargetMode="External"/><Relationship Id="rId50" Type="http://schemas.openxmlformats.org/officeDocument/2006/relationships/hyperlink" Target="https://www.linkedin.com/company/duke-energy-corporation" TargetMode="External"/><Relationship Id="rId53" Type="http://schemas.openxmlformats.org/officeDocument/2006/relationships/hyperlink" Target="https://www.linkedin.com/in/jonathon-hammond-06014b23/" TargetMode="External"/><Relationship Id="rId52" Type="http://schemas.openxmlformats.org/officeDocument/2006/relationships/hyperlink" Target="https://www.linkedin.com/company/psp-investments" TargetMode="External"/><Relationship Id="rId55" Type="http://schemas.openxmlformats.org/officeDocument/2006/relationships/hyperlink" Target="https://www.linkedin.com/in/jasonkmorrow/" TargetMode="External"/><Relationship Id="rId54" Type="http://schemas.openxmlformats.org/officeDocument/2006/relationships/hyperlink" Target="https://www.linkedin.com/company/utah-retirement-systems" TargetMode="External"/><Relationship Id="rId57" Type="http://schemas.openxmlformats.org/officeDocument/2006/relationships/hyperlink" Target="https://www.linkedin.com/in/tamara-alexander-cfa-caia-04563ba/" TargetMode="External"/><Relationship Id="rId56" Type="http://schemas.openxmlformats.org/officeDocument/2006/relationships/hyperlink" Target="https://www.linkedin.com/company/calpers" TargetMode="External"/><Relationship Id="rId59" Type="http://schemas.openxmlformats.org/officeDocument/2006/relationships/hyperlink" Target="https://www.linkedin.com/company/the-estee-lauder-companies-inc" TargetMode="External"/><Relationship Id="rId58" Type="http://schemas.openxmlformats.org/officeDocument/2006/relationships/hyperlink" Target="https://www.linkedin.com/in/john-freihammer-caia-9a3b08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0"/>
  <cols>
    <col customWidth="1" min="1" max="1" width="2.75"/>
    <col customWidth="1" min="2" max="2" width="41.25"/>
    <col customWidth="1" min="3" max="3" width="26.38"/>
    <col customWidth="1" min="4" max="4" width="38.0"/>
    <col customWidth="1" min="5" max="5" width="26.88"/>
    <col customWidth="1" min="6" max="6" width="27.13"/>
    <col customWidth="1" min="7" max="7" width="38.75"/>
    <col customWidth="1" min="8" max="8" width="37.63"/>
    <col customWidth="1" min="9" max="9" width="28.13"/>
    <col customWidth="1" min="10" max="10" width="34.75"/>
    <col customWidth="1" min="11" max="11" width="23.13"/>
    <col customWidth="1" min="12" max="12" width="13.75"/>
    <col customWidth="1" min="13" max="13" width="37.25"/>
    <col customWidth="1" min="14" max="14" width="16.88"/>
    <col customWidth="1" min="15" max="15" width="21.88"/>
    <col customWidth="1" min="16" max="16" width="18.63"/>
    <col customWidth="1" min="17" max="17" width="15.38"/>
    <col customWidth="1" min="18" max="18" width="23.13"/>
    <col customWidth="1" min="19" max="19" width="29.0"/>
    <col customWidth="1" min="20" max="20" width="34.13"/>
    <col customWidth="1" min="21" max="21" width="28.38"/>
    <col customWidth="1" min="22" max="22" width="29.25"/>
    <col customWidth="1" min="23" max="23" width="29.0"/>
    <col customWidth="1" min="24" max="24" width="36.0"/>
    <col customWidth="1" min="25" max="25" width="36.13"/>
    <col customWidth="1" min="26" max="26" width="24.88"/>
    <col customWidth="1" min="27" max="27" width="27.25"/>
    <col customWidth="1" min="28" max="28" width="27.0"/>
    <col customWidth="1" min="29" max="29" width="36.38"/>
    <col customWidth="1" min="30" max="30" width="37.75"/>
  </cols>
  <sheetData>
    <row r="1" ht="124.5" customHeight="1">
      <c r="A1" s="1"/>
      <c r="B1" s="1"/>
      <c r="C1" s="1"/>
      <c r="D1" s="1"/>
      <c r="E1" s="1"/>
      <c r="F1" s="1"/>
      <c r="G1" s="1"/>
      <c r="H1" s="1"/>
      <c r="I1" s="1"/>
      <c r="J1" s="1"/>
      <c r="K1" s="1"/>
      <c r="L1" s="1"/>
      <c r="M1" s="1"/>
      <c r="N1" s="1"/>
      <c r="O1" s="1"/>
      <c r="P1" s="1"/>
      <c r="Q1" s="1"/>
      <c r="R1" s="1"/>
      <c r="S1" s="1"/>
      <c r="T1" s="1"/>
      <c r="U1" s="1"/>
      <c r="V1" s="1"/>
      <c r="W1" s="1"/>
      <c r="X1" s="1"/>
      <c r="Y1" s="1"/>
      <c r="Z1" s="2"/>
      <c r="AA1" s="2"/>
      <c r="AB1" s="2"/>
      <c r="AC1" s="1"/>
      <c r="AD1" s="2"/>
    </row>
    <row r="2">
      <c r="A2" s="1"/>
      <c r="B2" s="3" t="s">
        <v>0</v>
      </c>
      <c r="C2" s="3"/>
      <c r="D2" s="3"/>
      <c r="E2" s="3"/>
      <c r="F2" s="3"/>
      <c r="G2" s="3"/>
      <c r="H2" s="1"/>
      <c r="I2" s="1"/>
      <c r="J2" s="1"/>
      <c r="K2" s="1"/>
      <c r="L2" s="1"/>
      <c r="M2" s="1"/>
      <c r="N2" s="1"/>
      <c r="O2" s="1"/>
      <c r="P2" s="1"/>
      <c r="Q2" s="1"/>
      <c r="R2" s="1"/>
      <c r="S2" s="1"/>
      <c r="T2" s="1"/>
      <c r="U2" s="1"/>
      <c r="V2" s="1"/>
      <c r="W2" s="1"/>
      <c r="X2" s="1"/>
      <c r="Y2" s="1"/>
      <c r="Z2" s="2"/>
      <c r="AA2" s="2"/>
      <c r="AB2" s="2"/>
      <c r="AC2" s="1"/>
      <c r="AD2" s="2"/>
    </row>
    <row r="3" ht="45.0" customHeight="1">
      <c r="A3" s="1"/>
      <c r="B3" s="4" t="s">
        <v>1</v>
      </c>
      <c r="C3" s="4" t="s">
        <v>2</v>
      </c>
      <c r="D3" s="4" t="s">
        <v>3</v>
      </c>
      <c r="E3" s="4" t="s">
        <v>4</v>
      </c>
      <c r="F3" s="4" t="s">
        <v>5</v>
      </c>
      <c r="G3" s="4" t="s">
        <v>6</v>
      </c>
      <c r="H3" s="4" t="s">
        <v>7</v>
      </c>
      <c r="I3" s="4" t="s">
        <v>8</v>
      </c>
      <c r="J3" s="4" t="s">
        <v>9</v>
      </c>
      <c r="K3" s="4" t="s">
        <v>10</v>
      </c>
      <c r="L3" s="4" t="s">
        <v>11</v>
      </c>
      <c r="M3" s="4" t="s">
        <v>12</v>
      </c>
      <c r="N3" s="4" t="s">
        <v>13</v>
      </c>
      <c r="O3" s="4" t="s">
        <v>14</v>
      </c>
      <c r="P3" s="4" t="s">
        <v>15</v>
      </c>
      <c r="Q3" s="4" t="s">
        <v>16</v>
      </c>
      <c r="R3" s="4" t="s">
        <v>17</v>
      </c>
      <c r="S3" s="4" t="s">
        <v>18</v>
      </c>
      <c r="T3" s="4" t="s">
        <v>19</v>
      </c>
      <c r="U3" s="4" t="s">
        <v>20</v>
      </c>
      <c r="V3" s="4" t="s">
        <v>21</v>
      </c>
      <c r="W3" s="4" t="s">
        <v>22</v>
      </c>
      <c r="X3" s="4" t="s">
        <v>23</v>
      </c>
      <c r="Y3" s="4" t="s">
        <v>24</v>
      </c>
      <c r="Z3" s="4" t="s">
        <v>25</v>
      </c>
      <c r="AA3" s="4" t="s">
        <v>26</v>
      </c>
      <c r="AB3" s="4" t="s">
        <v>27</v>
      </c>
      <c r="AC3" s="4" t="s">
        <v>28</v>
      </c>
      <c r="AD3" s="1"/>
    </row>
    <row r="4">
      <c r="A4" s="1"/>
      <c r="B4" s="5" t="s">
        <v>29</v>
      </c>
      <c r="C4" s="5">
        <f>COUNTA('Pension-Fund-Base-V1-Default-vi'!$D4:$AC4)</f>
        <v>26</v>
      </c>
      <c r="D4" s="5" t="s">
        <v>30</v>
      </c>
      <c r="E4" s="5" t="s">
        <v>31</v>
      </c>
      <c r="F4" s="6" t="s">
        <v>32</v>
      </c>
      <c r="G4" s="5" t="s">
        <v>33</v>
      </c>
      <c r="H4" s="5" t="s">
        <v>34</v>
      </c>
      <c r="I4" s="5" t="s">
        <v>35</v>
      </c>
      <c r="J4" s="5" t="s">
        <v>36</v>
      </c>
      <c r="K4" s="5" t="s">
        <v>37</v>
      </c>
      <c r="L4" s="5">
        <v>2.5282E10</v>
      </c>
      <c r="M4" s="5" t="s">
        <v>38</v>
      </c>
      <c r="N4" s="5" t="s">
        <v>39</v>
      </c>
      <c r="O4" s="5" t="s">
        <v>40</v>
      </c>
      <c r="P4" s="7" t="s">
        <v>41</v>
      </c>
      <c r="Q4" s="5" t="s">
        <v>42</v>
      </c>
      <c r="R4" s="5" t="s">
        <v>43</v>
      </c>
      <c r="S4" s="5" t="s">
        <v>44</v>
      </c>
      <c r="T4" s="5" t="s">
        <v>45</v>
      </c>
      <c r="U4" s="5" t="s">
        <v>46</v>
      </c>
      <c r="V4" s="5" t="s">
        <v>47</v>
      </c>
      <c r="W4" s="6" t="s">
        <v>48</v>
      </c>
      <c r="X4" s="5" t="s">
        <v>49</v>
      </c>
      <c r="Y4" s="8" t="s">
        <v>50</v>
      </c>
      <c r="Z4" s="8">
        <v>1.6507997988E10</v>
      </c>
      <c r="AA4" s="8" t="s">
        <v>51</v>
      </c>
      <c r="AB4" s="5" t="s">
        <v>52</v>
      </c>
      <c r="AC4" s="8" t="s">
        <v>50</v>
      </c>
      <c r="AD4" s="1"/>
    </row>
    <row r="5">
      <c r="A5" s="1"/>
      <c r="B5" s="5" t="s">
        <v>53</v>
      </c>
      <c r="C5" s="5">
        <f>COUNTA('Pension-Fund-Base-V1-Default-vi'!$D5:$AC5)</f>
        <v>24</v>
      </c>
      <c r="D5" s="5" t="s">
        <v>54</v>
      </c>
      <c r="E5" s="5" t="s">
        <v>31</v>
      </c>
      <c r="F5" s="6" t="s">
        <v>55</v>
      </c>
      <c r="G5" s="5"/>
      <c r="H5" s="5"/>
      <c r="I5" s="5" t="s">
        <v>35</v>
      </c>
      <c r="J5" s="5" t="s">
        <v>56</v>
      </c>
      <c r="K5" s="5" t="s">
        <v>57</v>
      </c>
      <c r="L5" s="5">
        <v>3.1349E10</v>
      </c>
      <c r="M5" s="5" t="s">
        <v>58</v>
      </c>
      <c r="N5" s="5" t="s">
        <v>59</v>
      </c>
      <c r="O5" s="5" t="s">
        <v>60</v>
      </c>
      <c r="P5" s="7" t="s">
        <v>41</v>
      </c>
      <c r="Q5" s="5" t="s">
        <v>61</v>
      </c>
      <c r="R5" s="5" t="s">
        <v>62</v>
      </c>
      <c r="S5" s="5" t="s">
        <v>63</v>
      </c>
      <c r="T5" s="5" t="s">
        <v>64</v>
      </c>
      <c r="U5" s="5" t="s">
        <v>65</v>
      </c>
      <c r="V5" s="5" t="s">
        <v>66</v>
      </c>
      <c r="W5" s="6" t="s">
        <v>67</v>
      </c>
      <c r="X5" s="5" t="s">
        <v>68</v>
      </c>
      <c r="Y5" s="8" t="s">
        <v>69</v>
      </c>
      <c r="Z5" s="8">
        <v>1.8016372944E10</v>
      </c>
      <c r="AA5" s="8" t="s">
        <v>70</v>
      </c>
      <c r="AB5" s="5" t="s">
        <v>71</v>
      </c>
      <c r="AC5" s="8" t="s">
        <v>50</v>
      </c>
      <c r="AD5" s="1"/>
    </row>
    <row r="6">
      <c r="A6" s="1"/>
      <c r="B6" s="5" t="s">
        <v>72</v>
      </c>
      <c r="C6" s="5">
        <f>COUNTA('Pension-Fund-Base-V1-Default-vi'!$D6:$AC6)</f>
        <v>24</v>
      </c>
      <c r="D6" s="5" t="s">
        <v>73</v>
      </c>
      <c r="E6" s="5" t="s">
        <v>74</v>
      </c>
      <c r="F6" s="6" t="s">
        <v>75</v>
      </c>
      <c r="G6" s="5" t="s">
        <v>76</v>
      </c>
      <c r="H6" s="5" t="s">
        <v>77</v>
      </c>
      <c r="I6" s="5" t="s">
        <v>78</v>
      </c>
      <c r="J6" s="5" t="s">
        <v>79</v>
      </c>
      <c r="K6" s="5"/>
      <c r="L6" s="5"/>
      <c r="M6" s="5" t="s">
        <v>80</v>
      </c>
      <c r="N6" s="5" t="s">
        <v>81</v>
      </c>
      <c r="O6" s="7" t="s">
        <v>82</v>
      </c>
      <c r="P6" s="7" t="s">
        <v>41</v>
      </c>
      <c r="Q6" s="5" t="s">
        <v>83</v>
      </c>
      <c r="R6" s="5" t="s">
        <v>84</v>
      </c>
      <c r="S6" s="5" t="s">
        <v>85</v>
      </c>
      <c r="T6" s="5" t="s">
        <v>86</v>
      </c>
      <c r="U6" s="5" t="s">
        <v>87</v>
      </c>
      <c r="V6" s="5" t="s">
        <v>88</v>
      </c>
      <c r="W6" s="6" t="s">
        <v>89</v>
      </c>
      <c r="X6" s="5" t="s">
        <v>90</v>
      </c>
      <c r="Y6" s="8" t="s">
        <v>50</v>
      </c>
      <c r="Z6" s="8">
        <v>1.5187631999E10</v>
      </c>
      <c r="AA6" s="8" t="s">
        <v>91</v>
      </c>
      <c r="AB6" s="5" t="s">
        <v>92</v>
      </c>
      <c r="AC6" s="8" t="s">
        <v>50</v>
      </c>
      <c r="AD6" s="1"/>
    </row>
    <row r="7">
      <c r="A7" s="1"/>
      <c r="B7" s="5" t="s">
        <v>93</v>
      </c>
      <c r="C7" s="5">
        <f>COUNTA('Pension-Fund-Base-V1-Default-vi'!$D7:$AC7)</f>
        <v>26</v>
      </c>
      <c r="D7" s="5" t="s">
        <v>94</v>
      </c>
      <c r="E7" s="5" t="s">
        <v>31</v>
      </c>
      <c r="F7" s="6" t="s">
        <v>95</v>
      </c>
      <c r="G7" s="5" t="s">
        <v>96</v>
      </c>
      <c r="H7" s="5" t="s">
        <v>97</v>
      </c>
      <c r="I7" s="5" t="s">
        <v>98</v>
      </c>
      <c r="J7" s="5" t="s">
        <v>99</v>
      </c>
      <c r="K7" s="5" t="s">
        <v>100</v>
      </c>
      <c r="L7" s="5">
        <v>2.1774E10</v>
      </c>
      <c r="M7" s="5" t="s">
        <v>101</v>
      </c>
      <c r="N7" s="5" t="s">
        <v>102</v>
      </c>
      <c r="O7" s="5" t="s">
        <v>103</v>
      </c>
      <c r="P7" s="7" t="s">
        <v>41</v>
      </c>
      <c r="Q7" s="5" t="s">
        <v>104</v>
      </c>
      <c r="R7" s="5" t="s">
        <v>105</v>
      </c>
      <c r="S7" s="5" t="s">
        <v>106</v>
      </c>
      <c r="T7" s="5" t="s">
        <v>107</v>
      </c>
      <c r="U7" s="5" t="s">
        <v>108</v>
      </c>
      <c r="V7" s="5" t="s">
        <v>109</v>
      </c>
      <c r="W7" s="6" t="s">
        <v>110</v>
      </c>
      <c r="X7" s="5" t="s">
        <v>111</v>
      </c>
      <c r="Y7" s="8" t="s">
        <v>69</v>
      </c>
      <c r="Z7" s="8">
        <v>1.4046444838E10</v>
      </c>
      <c r="AA7" s="8" t="s">
        <v>112</v>
      </c>
      <c r="AB7" s="5" t="s">
        <v>113</v>
      </c>
      <c r="AC7" s="8" t="s">
        <v>50</v>
      </c>
      <c r="AD7" s="1"/>
    </row>
    <row r="8">
      <c r="A8" s="1"/>
      <c r="B8" s="5" t="s">
        <v>114</v>
      </c>
      <c r="C8" s="5">
        <f>COUNTA('Pension-Fund-Base-V1-Default-vi'!$D8:$AC8)</f>
        <v>24</v>
      </c>
      <c r="D8" s="5" t="s">
        <v>115</v>
      </c>
      <c r="E8" s="5" t="s">
        <v>31</v>
      </c>
      <c r="F8" s="6" t="s">
        <v>116</v>
      </c>
      <c r="G8" s="5"/>
      <c r="H8" s="5"/>
      <c r="I8" s="5" t="s">
        <v>98</v>
      </c>
      <c r="J8" s="5" t="s">
        <v>117</v>
      </c>
      <c r="K8" s="5" t="s">
        <v>118</v>
      </c>
      <c r="L8" s="5">
        <v>2.9467E10</v>
      </c>
      <c r="M8" s="5" t="s">
        <v>119</v>
      </c>
      <c r="N8" s="5" t="s">
        <v>120</v>
      </c>
      <c r="O8" s="5" t="s">
        <v>121</v>
      </c>
      <c r="P8" s="7" t="s">
        <v>41</v>
      </c>
      <c r="Q8" s="5" t="s">
        <v>122</v>
      </c>
      <c r="R8" s="5" t="s">
        <v>123</v>
      </c>
      <c r="S8" s="5" t="s">
        <v>124</v>
      </c>
      <c r="T8" s="5" t="s">
        <v>125</v>
      </c>
      <c r="U8" s="5" t="s">
        <v>126</v>
      </c>
      <c r="V8" s="5" t="s">
        <v>127</v>
      </c>
      <c r="W8" s="6" t="s">
        <v>128</v>
      </c>
      <c r="X8" s="5" t="s">
        <v>129</v>
      </c>
      <c r="Y8" s="8" t="s">
        <v>69</v>
      </c>
      <c r="Z8" s="8">
        <v>1.7864720336E10</v>
      </c>
      <c r="AA8" s="8" t="s">
        <v>130</v>
      </c>
      <c r="AB8" s="5" t="s">
        <v>131</v>
      </c>
      <c r="AC8" s="8" t="s">
        <v>132</v>
      </c>
      <c r="AD8" s="1"/>
    </row>
    <row r="9">
      <c r="A9" s="1"/>
      <c r="B9" s="5" t="s">
        <v>133</v>
      </c>
      <c r="C9" s="5">
        <f>COUNTA('Pension-Fund-Base-V1-Default-vi'!$D9:$AC9)</f>
        <v>25</v>
      </c>
      <c r="D9" s="5" t="s">
        <v>134</v>
      </c>
      <c r="E9" s="5" t="s">
        <v>31</v>
      </c>
      <c r="F9" s="6" t="s">
        <v>135</v>
      </c>
      <c r="G9" s="5" t="s">
        <v>136</v>
      </c>
      <c r="H9" s="5" t="s">
        <v>34</v>
      </c>
      <c r="I9" s="5" t="s">
        <v>35</v>
      </c>
      <c r="J9" s="5" t="s">
        <v>137</v>
      </c>
      <c r="K9" s="5" t="s">
        <v>138</v>
      </c>
      <c r="L9" s="5">
        <v>2.5077E10</v>
      </c>
      <c r="M9" s="5" t="s">
        <v>139</v>
      </c>
      <c r="N9" s="5" t="s">
        <v>140</v>
      </c>
      <c r="O9" s="5" t="s">
        <v>141</v>
      </c>
      <c r="P9" s="7" t="s">
        <v>41</v>
      </c>
      <c r="Q9" s="5" t="s">
        <v>142</v>
      </c>
      <c r="R9" s="5" t="s">
        <v>143</v>
      </c>
      <c r="S9" s="5" t="s">
        <v>144</v>
      </c>
      <c r="T9" s="5" t="s">
        <v>145</v>
      </c>
      <c r="U9" s="5" t="s">
        <v>146</v>
      </c>
      <c r="V9" s="5" t="s">
        <v>147</v>
      </c>
      <c r="W9" s="6" t="s">
        <v>148</v>
      </c>
      <c r="X9" s="5" t="s">
        <v>149</v>
      </c>
      <c r="Y9" s="8" t="s">
        <v>69</v>
      </c>
      <c r="Z9" s="8"/>
      <c r="AA9" s="8" t="s">
        <v>150</v>
      </c>
      <c r="AB9" s="5" t="s">
        <v>151</v>
      </c>
      <c r="AC9" s="8" t="s">
        <v>50</v>
      </c>
      <c r="AD9" s="1"/>
    </row>
    <row r="10">
      <c r="A10" s="1"/>
      <c r="B10" s="5" t="s">
        <v>152</v>
      </c>
      <c r="C10" s="5">
        <f>COUNTA('Pension-Fund-Base-V1-Default-vi'!$D10:$AC10)</f>
        <v>24</v>
      </c>
      <c r="D10" s="5" t="s">
        <v>153</v>
      </c>
      <c r="E10" s="5" t="s">
        <v>31</v>
      </c>
      <c r="F10" s="6" t="s">
        <v>154</v>
      </c>
      <c r="G10" s="5" t="s">
        <v>155</v>
      </c>
      <c r="H10" s="5" t="s">
        <v>156</v>
      </c>
      <c r="I10" s="5" t="s">
        <v>157</v>
      </c>
      <c r="J10" s="5" t="s">
        <v>158</v>
      </c>
      <c r="K10" s="5" t="s">
        <v>159</v>
      </c>
      <c r="L10" s="5">
        <v>4.4371E10</v>
      </c>
      <c r="M10" s="5" t="s">
        <v>160</v>
      </c>
      <c r="N10" s="5" t="s">
        <v>161</v>
      </c>
      <c r="O10" s="5" t="s">
        <v>162</v>
      </c>
      <c r="P10" s="7" t="s">
        <v>41</v>
      </c>
      <c r="Q10" s="5" t="s">
        <v>163</v>
      </c>
      <c r="R10" s="5" t="s">
        <v>164</v>
      </c>
      <c r="S10" s="5" t="s">
        <v>165</v>
      </c>
      <c r="T10" s="5" t="s">
        <v>64</v>
      </c>
      <c r="U10" s="5" t="s">
        <v>166</v>
      </c>
      <c r="V10" s="5" t="s">
        <v>167</v>
      </c>
      <c r="W10" s="6" t="s">
        <v>168</v>
      </c>
      <c r="X10" s="5" t="s">
        <v>169</v>
      </c>
      <c r="Y10" s="8" t="s">
        <v>69</v>
      </c>
      <c r="Z10" s="8">
        <v>1.216346703E10</v>
      </c>
      <c r="AA10" s="8" t="s">
        <v>170</v>
      </c>
      <c r="AB10" s="5"/>
      <c r="AC10" s="8"/>
      <c r="AD10" s="1"/>
    </row>
    <row r="11">
      <c r="A11" s="1"/>
      <c r="B11" s="5" t="s">
        <v>171</v>
      </c>
      <c r="C11" s="5">
        <f>COUNTA('Pension-Fund-Base-V1-Default-vi'!$D11:$AC11)</f>
        <v>23</v>
      </c>
      <c r="D11" s="5" t="s">
        <v>172</v>
      </c>
      <c r="E11" s="5" t="s">
        <v>31</v>
      </c>
      <c r="F11" s="6" t="s">
        <v>173</v>
      </c>
      <c r="G11" s="5" t="s">
        <v>174</v>
      </c>
      <c r="H11" s="5" t="s">
        <v>175</v>
      </c>
      <c r="I11" s="5" t="s">
        <v>176</v>
      </c>
      <c r="J11" s="5"/>
      <c r="K11" s="5" t="s">
        <v>177</v>
      </c>
      <c r="L11" s="5">
        <v>3.4035E10</v>
      </c>
      <c r="M11" s="5" t="s">
        <v>178</v>
      </c>
      <c r="N11" s="5" t="s">
        <v>179</v>
      </c>
      <c r="O11" s="5" t="s">
        <v>180</v>
      </c>
      <c r="P11" s="7" t="s">
        <v>41</v>
      </c>
      <c r="Q11" s="5" t="s">
        <v>181</v>
      </c>
      <c r="R11" s="5" t="s">
        <v>182</v>
      </c>
      <c r="S11" s="5" t="s">
        <v>183</v>
      </c>
      <c r="T11" s="5" t="s">
        <v>184</v>
      </c>
      <c r="U11" s="5" t="s">
        <v>185</v>
      </c>
      <c r="V11" s="5" t="s">
        <v>186</v>
      </c>
      <c r="W11" s="6" t="s">
        <v>187</v>
      </c>
      <c r="X11" s="5" t="s">
        <v>188</v>
      </c>
      <c r="Y11" s="8" t="s">
        <v>69</v>
      </c>
      <c r="Z11" s="8">
        <v>1.7039462914E10</v>
      </c>
      <c r="AA11" s="8" t="s">
        <v>189</v>
      </c>
      <c r="AB11" s="5"/>
      <c r="AC11" s="8"/>
      <c r="AD11" s="1"/>
    </row>
    <row r="12">
      <c r="A12" s="1"/>
      <c r="B12" s="5" t="s">
        <v>190</v>
      </c>
      <c r="C12" s="5">
        <f>COUNTA('Pension-Fund-Base-V1-Default-vi'!$D12:$AC12)</f>
        <v>26</v>
      </c>
      <c r="D12" s="5" t="s">
        <v>191</v>
      </c>
      <c r="E12" s="5" t="s">
        <v>31</v>
      </c>
      <c r="F12" s="6" t="s">
        <v>192</v>
      </c>
      <c r="G12" s="5" t="s">
        <v>193</v>
      </c>
      <c r="H12" s="5" t="s">
        <v>194</v>
      </c>
      <c r="I12" s="5" t="s">
        <v>35</v>
      </c>
      <c r="J12" s="5" t="s">
        <v>195</v>
      </c>
      <c r="K12" s="5" t="s">
        <v>196</v>
      </c>
      <c r="L12" s="5">
        <v>6.7616E10</v>
      </c>
      <c r="M12" s="5" t="s">
        <v>197</v>
      </c>
      <c r="N12" s="5" t="s">
        <v>198</v>
      </c>
      <c r="O12" s="5" t="s">
        <v>199</v>
      </c>
      <c r="P12" s="7" t="s">
        <v>41</v>
      </c>
      <c r="Q12" s="5" t="s">
        <v>200</v>
      </c>
      <c r="R12" s="5" t="s">
        <v>201</v>
      </c>
      <c r="S12" s="5" t="s">
        <v>202</v>
      </c>
      <c r="T12" s="5" t="s">
        <v>203</v>
      </c>
      <c r="U12" s="5" t="s">
        <v>204</v>
      </c>
      <c r="V12" s="5" t="s">
        <v>205</v>
      </c>
      <c r="W12" s="6" t="s">
        <v>206</v>
      </c>
      <c r="X12" s="5" t="s">
        <v>207</v>
      </c>
      <c r="Y12" s="8" t="s">
        <v>50</v>
      </c>
      <c r="Z12" s="8">
        <v>1.9097313701E10</v>
      </c>
      <c r="AA12" s="8" t="s">
        <v>208</v>
      </c>
      <c r="AB12" s="5" t="s">
        <v>209</v>
      </c>
      <c r="AC12" s="8" t="s">
        <v>132</v>
      </c>
      <c r="AD12" s="1"/>
    </row>
    <row r="13">
      <c r="A13" s="1"/>
      <c r="B13" s="5" t="s">
        <v>210</v>
      </c>
      <c r="C13" s="5">
        <f>COUNTA('Pension-Fund-Base-V1-Default-vi'!$D13:$AC13)</f>
        <v>26</v>
      </c>
      <c r="D13" s="5" t="s">
        <v>211</v>
      </c>
      <c r="E13" s="5" t="s">
        <v>31</v>
      </c>
      <c r="F13" s="6" t="s">
        <v>212</v>
      </c>
      <c r="G13" s="5" t="s">
        <v>213</v>
      </c>
      <c r="H13" s="5" t="s">
        <v>214</v>
      </c>
      <c r="I13" s="5" t="s">
        <v>35</v>
      </c>
      <c r="J13" s="5" t="s">
        <v>215</v>
      </c>
      <c r="K13" s="5" t="s">
        <v>216</v>
      </c>
      <c r="L13" s="5">
        <v>5.1163E10</v>
      </c>
      <c r="M13" s="5" t="s">
        <v>217</v>
      </c>
      <c r="N13" s="5" t="s">
        <v>218</v>
      </c>
      <c r="O13" s="5" t="s">
        <v>219</v>
      </c>
      <c r="P13" s="7" t="s">
        <v>41</v>
      </c>
      <c r="Q13" s="5" t="s">
        <v>220</v>
      </c>
      <c r="R13" s="5" t="s">
        <v>221</v>
      </c>
      <c r="S13" s="5" t="s">
        <v>222</v>
      </c>
      <c r="T13" s="5" t="s">
        <v>223</v>
      </c>
      <c r="U13" s="5" t="s">
        <v>96</v>
      </c>
      <c r="V13" s="5" t="s">
        <v>224</v>
      </c>
      <c r="W13" s="6" t="s">
        <v>225</v>
      </c>
      <c r="X13" s="5" t="s">
        <v>226</v>
      </c>
      <c r="Y13" s="8" t="s">
        <v>50</v>
      </c>
      <c r="Z13" s="8">
        <v>1.5737016733E10</v>
      </c>
      <c r="AA13" s="8" t="s">
        <v>227</v>
      </c>
      <c r="AB13" s="5" t="s">
        <v>228</v>
      </c>
      <c r="AC13" s="8" t="s">
        <v>50</v>
      </c>
      <c r="AD13" s="1"/>
    </row>
    <row r="14">
      <c r="A14" s="1"/>
      <c r="B14" s="5" t="s">
        <v>229</v>
      </c>
      <c r="C14" s="5">
        <f>COUNTA('Pension-Fund-Base-V1-Default-vi'!$D14:$AC14)</f>
        <v>25</v>
      </c>
      <c r="D14" s="5" t="s">
        <v>230</v>
      </c>
      <c r="E14" s="5" t="s">
        <v>31</v>
      </c>
      <c r="F14" s="6" t="s">
        <v>231</v>
      </c>
      <c r="G14" s="5" t="s">
        <v>232</v>
      </c>
      <c r="H14" s="5" t="s">
        <v>34</v>
      </c>
      <c r="I14" s="5" t="s">
        <v>233</v>
      </c>
      <c r="J14" s="5" t="s">
        <v>234</v>
      </c>
      <c r="K14" s="5" t="s">
        <v>235</v>
      </c>
      <c r="L14" s="5">
        <v>2.0014E10</v>
      </c>
      <c r="M14" s="5" t="s">
        <v>236</v>
      </c>
      <c r="N14" s="5" t="s">
        <v>237</v>
      </c>
      <c r="O14" s="5" t="s">
        <v>238</v>
      </c>
      <c r="P14" s="7" t="s">
        <v>41</v>
      </c>
      <c r="Q14" s="5" t="s">
        <v>239</v>
      </c>
      <c r="R14" s="5" t="s">
        <v>240</v>
      </c>
      <c r="S14" s="5" t="s">
        <v>241</v>
      </c>
      <c r="T14" s="5" t="s">
        <v>242</v>
      </c>
      <c r="U14" s="5" t="s">
        <v>243</v>
      </c>
      <c r="V14" s="5" t="s">
        <v>244</v>
      </c>
      <c r="W14" s="6" t="s">
        <v>245</v>
      </c>
      <c r="X14" s="5" t="s">
        <v>246</v>
      </c>
      <c r="Y14" s="8" t="s">
        <v>50</v>
      </c>
      <c r="Z14" s="8"/>
      <c r="AA14" s="8" t="s">
        <v>247</v>
      </c>
      <c r="AB14" s="5" t="s">
        <v>248</v>
      </c>
      <c r="AC14" s="8" t="s">
        <v>50</v>
      </c>
      <c r="AD14" s="1"/>
    </row>
    <row r="15">
      <c r="A15" s="1"/>
      <c r="B15" s="5" t="s">
        <v>249</v>
      </c>
      <c r="C15" s="5">
        <f>COUNTA('Pension-Fund-Base-V1-Default-vi'!$D15:$AC15)</f>
        <v>26</v>
      </c>
      <c r="D15" s="5" t="s">
        <v>250</v>
      </c>
      <c r="E15" s="5" t="s">
        <v>31</v>
      </c>
      <c r="F15" s="6" t="s">
        <v>251</v>
      </c>
      <c r="G15" s="5" t="s">
        <v>252</v>
      </c>
      <c r="H15" s="5" t="s">
        <v>253</v>
      </c>
      <c r="I15" s="5" t="s">
        <v>35</v>
      </c>
      <c r="J15" s="5" t="s">
        <v>254</v>
      </c>
      <c r="K15" s="5" t="s">
        <v>255</v>
      </c>
      <c r="L15" s="5">
        <v>6.86E10</v>
      </c>
      <c r="M15" s="5" t="s">
        <v>256</v>
      </c>
      <c r="N15" s="5" t="s">
        <v>257</v>
      </c>
      <c r="O15" s="5" t="s">
        <v>258</v>
      </c>
      <c r="P15" s="7" t="s">
        <v>41</v>
      </c>
      <c r="Q15" s="5" t="s">
        <v>259</v>
      </c>
      <c r="R15" s="5" t="s">
        <v>260</v>
      </c>
      <c r="S15" s="5" t="s">
        <v>261</v>
      </c>
      <c r="T15" s="5" t="s">
        <v>262</v>
      </c>
      <c r="U15" s="5" t="s">
        <v>263</v>
      </c>
      <c r="V15" s="5" t="s">
        <v>264</v>
      </c>
      <c r="W15" s="6" t="s">
        <v>265</v>
      </c>
      <c r="X15" s="5" t="s">
        <v>266</v>
      </c>
      <c r="Y15" s="8" t="s">
        <v>69</v>
      </c>
      <c r="Z15" s="8">
        <v>1.3036679035E10</v>
      </c>
      <c r="AA15" s="8" t="s">
        <v>267</v>
      </c>
      <c r="AB15" s="5" t="s">
        <v>268</v>
      </c>
      <c r="AC15" s="8" t="s">
        <v>50</v>
      </c>
      <c r="AD15" s="1"/>
    </row>
    <row r="16">
      <c r="A16" s="1"/>
      <c r="B16" s="5" t="s">
        <v>269</v>
      </c>
      <c r="C16" s="5">
        <f>COUNTA('Pension-Fund-Base-V1-Default-vi'!$D16:$AC16)</f>
        <v>26</v>
      </c>
      <c r="D16" s="5" t="s">
        <v>270</v>
      </c>
      <c r="E16" s="5" t="s">
        <v>31</v>
      </c>
      <c r="F16" s="6" t="s">
        <v>271</v>
      </c>
      <c r="G16" s="5" t="s">
        <v>272</v>
      </c>
      <c r="H16" s="5" t="s">
        <v>34</v>
      </c>
      <c r="I16" s="5" t="s">
        <v>78</v>
      </c>
      <c r="J16" s="5" t="s">
        <v>273</v>
      </c>
      <c r="K16" s="5" t="s">
        <v>274</v>
      </c>
      <c r="L16" s="5">
        <v>2.661E10</v>
      </c>
      <c r="M16" s="5" t="s">
        <v>275</v>
      </c>
      <c r="N16" s="5" t="s">
        <v>276</v>
      </c>
      <c r="O16" s="5" t="s">
        <v>277</v>
      </c>
      <c r="P16" s="7" t="s">
        <v>41</v>
      </c>
      <c r="Q16" s="5" t="s">
        <v>278</v>
      </c>
      <c r="R16" s="5" t="s">
        <v>279</v>
      </c>
      <c r="S16" s="5" t="s">
        <v>280</v>
      </c>
      <c r="T16" s="5" t="s">
        <v>281</v>
      </c>
      <c r="U16" s="5" t="s">
        <v>282</v>
      </c>
      <c r="V16" s="5" t="s">
        <v>283</v>
      </c>
      <c r="W16" s="6" t="s">
        <v>284</v>
      </c>
      <c r="X16" s="5" t="s">
        <v>285</v>
      </c>
      <c r="Y16" s="8" t="s">
        <v>50</v>
      </c>
      <c r="Z16" s="8">
        <v>1.9899484988E10</v>
      </c>
      <c r="AA16" s="8" t="s">
        <v>286</v>
      </c>
      <c r="AB16" s="5" t="s">
        <v>287</v>
      </c>
      <c r="AC16" s="8" t="s">
        <v>50</v>
      </c>
      <c r="AD16" s="1"/>
    </row>
    <row r="17">
      <c r="A17" s="1"/>
      <c r="B17" s="5" t="s">
        <v>288</v>
      </c>
      <c r="C17" s="5">
        <f>COUNTA('Pension-Fund-Base-V1-Default-vi'!$D17:$AC17)</f>
        <v>23</v>
      </c>
      <c r="D17" s="5" t="s">
        <v>289</v>
      </c>
      <c r="E17" s="5" t="s">
        <v>290</v>
      </c>
      <c r="F17" s="6"/>
      <c r="G17" s="5" t="s">
        <v>291</v>
      </c>
      <c r="H17" s="5" t="s">
        <v>292</v>
      </c>
      <c r="I17" s="5" t="s">
        <v>293</v>
      </c>
      <c r="J17" s="5" t="s">
        <v>294</v>
      </c>
      <c r="K17" s="5"/>
      <c r="L17" s="5"/>
      <c r="M17" s="5" t="s">
        <v>295</v>
      </c>
      <c r="N17" s="5" t="s">
        <v>296</v>
      </c>
      <c r="O17" s="5" t="s">
        <v>40</v>
      </c>
      <c r="P17" s="7" t="s">
        <v>41</v>
      </c>
      <c r="Q17" s="5" t="s">
        <v>142</v>
      </c>
      <c r="R17" s="5" t="s">
        <v>297</v>
      </c>
      <c r="S17" s="5" t="s">
        <v>298</v>
      </c>
      <c r="T17" s="5" t="s">
        <v>223</v>
      </c>
      <c r="U17" s="5" t="s">
        <v>299</v>
      </c>
      <c r="V17" s="5" t="s">
        <v>300</v>
      </c>
      <c r="W17" s="6" t="s">
        <v>301</v>
      </c>
      <c r="X17" s="5" t="s">
        <v>302</v>
      </c>
      <c r="Y17" s="8" t="s">
        <v>50</v>
      </c>
      <c r="Z17" s="8">
        <v>1.9252121823E10</v>
      </c>
      <c r="AA17" s="8" t="s">
        <v>303</v>
      </c>
      <c r="AB17" s="5" t="s">
        <v>304</v>
      </c>
      <c r="AC17" s="8" t="s">
        <v>50</v>
      </c>
      <c r="AD17" s="1"/>
    </row>
    <row r="18">
      <c r="A18" s="1"/>
      <c r="B18" s="5" t="s">
        <v>305</v>
      </c>
      <c r="C18" s="5">
        <f>COUNTA('Pension-Fund-Base-V1-Default-vi'!$D18:$AC18)</f>
        <v>24</v>
      </c>
      <c r="D18" s="5" t="s">
        <v>306</v>
      </c>
      <c r="E18" s="5" t="s">
        <v>31</v>
      </c>
      <c r="F18" s="6" t="s">
        <v>307</v>
      </c>
      <c r="G18" s="5" t="s">
        <v>308</v>
      </c>
      <c r="H18" s="5" t="s">
        <v>34</v>
      </c>
      <c r="I18" s="5" t="s">
        <v>98</v>
      </c>
      <c r="J18" s="5"/>
      <c r="K18" s="5" t="s">
        <v>309</v>
      </c>
      <c r="L18" s="5">
        <v>2.5699E10</v>
      </c>
      <c r="M18" s="5" t="s">
        <v>310</v>
      </c>
      <c r="N18" s="5" t="s">
        <v>311</v>
      </c>
      <c r="O18" s="7" t="s">
        <v>82</v>
      </c>
      <c r="P18" s="7" t="s">
        <v>41</v>
      </c>
      <c r="Q18" s="5" t="s">
        <v>312</v>
      </c>
      <c r="R18" s="5" t="s">
        <v>313</v>
      </c>
      <c r="S18" s="5" t="s">
        <v>314</v>
      </c>
      <c r="T18" s="5" t="s">
        <v>315</v>
      </c>
      <c r="U18" s="5" t="s">
        <v>316</v>
      </c>
      <c r="V18" s="5" t="s">
        <v>317</v>
      </c>
      <c r="W18" s="6" t="s">
        <v>318</v>
      </c>
      <c r="X18" s="5" t="s">
        <v>319</v>
      </c>
      <c r="Y18" s="8" t="s">
        <v>69</v>
      </c>
      <c r="Z18" s="8"/>
      <c r="AA18" s="8" t="s">
        <v>320</v>
      </c>
      <c r="AB18" s="5" t="s">
        <v>321</v>
      </c>
      <c r="AC18" s="8" t="s">
        <v>50</v>
      </c>
      <c r="AD18" s="1"/>
    </row>
    <row r="19">
      <c r="A19" s="1"/>
      <c r="B19" s="5" t="s">
        <v>322</v>
      </c>
      <c r="C19" s="5">
        <f>COUNTA('Pension-Fund-Base-V1-Default-vi'!$D19:$AC19)</f>
        <v>24</v>
      </c>
      <c r="D19" s="5" t="s">
        <v>323</v>
      </c>
      <c r="E19" s="5" t="s">
        <v>31</v>
      </c>
      <c r="F19" s="6" t="s">
        <v>324</v>
      </c>
      <c r="G19" s="5"/>
      <c r="H19" s="5" t="s">
        <v>325</v>
      </c>
      <c r="I19" s="5" t="s">
        <v>326</v>
      </c>
      <c r="J19" s="5" t="s">
        <v>327</v>
      </c>
      <c r="K19" s="5" t="s">
        <v>328</v>
      </c>
      <c r="L19" s="5">
        <v>4.2849E10</v>
      </c>
      <c r="M19" s="5" t="s">
        <v>329</v>
      </c>
      <c r="N19" s="5" t="s">
        <v>330</v>
      </c>
      <c r="O19" s="5" t="s">
        <v>331</v>
      </c>
      <c r="P19" s="7" t="s">
        <v>41</v>
      </c>
      <c r="Q19" s="5" t="s">
        <v>332</v>
      </c>
      <c r="R19" s="5" t="s">
        <v>333</v>
      </c>
      <c r="S19" s="5" t="s">
        <v>334</v>
      </c>
      <c r="T19" s="5" t="s">
        <v>335</v>
      </c>
      <c r="U19" s="5" t="s">
        <v>336</v>
      </c>
      <c r="V19" s="5" t="s">
        <v>337</v>
      </c>
      <c r="W19" s="6" t="s">
        <v>338</v>
      </c>
      <c r="X19" s="5" t="s">
        <v>339</v>
      </c>
      <c r="Y19" s="8" t="s">
        <v>69</v>
      </c>
      <c r="Z19" s="8"/>
      <c r="AA19" s="8" t="s">
        <v>340</v>
      </c>
      <c r="AB19" s="5" t="s">
        <v>341</v>
      </c>
      <c r="AC19" s="8" t="s">
        <v>50</v>
      </c>
      <c r="AD19" s="1"/>
    </row>
    <row r="20">
      <c r="A20" s="1"/>
      <c r="B20" s="5" t="s">
        <v>342</v>
      </c>
      <c r="C20" s="5">
        <f>COUNTA('Pension-Fund-Base-V1-Default-vi'!$D20:$AC20)</f>
        <v>25</v>
      </c>
      <c r="D20" s="5" t="s">
        <v>343</v>
      </c>
      <c r="E20" s="5" t="s">
        <v>31</v>
      </c>
      <c r="F20" s="6" t="s">
        <v>344</v>
      </c>
      <c r="G20" s="5"/>
      <c r="H20" s="5" t="s">
        <v>345</v>
      </c>
      <c r="I20" s="5" t="s">
        <v>326</v>
      </c>
      <c r="J20" s="5" t="s">
        <v>346</v>
      </c>
      <c r="K20" s="5" t="s">
        <v>347</v>
      </c>
      <c r="L20" s="5">
        <v>3.72E10</v>
      </c>
      <c r="M20" s="5" t="s">
        <v>348</v>
      </c>
      <c r="N20" s="5" t="s">
        <v>349</v>
      </c>
      <c r="O20" s="5" t="s">
        <v>350</v>
      </c>
      <c r="P20" s="7" t="s">
        <v>41</v>
      </c>
      <c r="Q20" s="5" t="s">
        <v>351</v>
      </c>
      <c r="R20" s="5" t="s">
        <v>352</v>
      </c>
      <c r="S20" s="5" t="s">
        <v>353</v>
      </c>
      <c r="T20" s="5" t="s">
        <v>354</v>
      </c>
      <c r="U20" s="5" t="s">
        <v>355</v>
      </c>
      <c r="V20" s="5" t="s">
        <v>356</v>
      </c>
      <c r="W20" s="6" t="s">
        <v>357</v>
      </c>
      <c r="X20" s="5" t="s">
        <v>358</v>
      </c>
      <c r="Y20" s="8" t="s">
        <v>50</v>
      </c>
      <c r="Z20" s="8">
        <v>1.8324893897E10</v>
      </c>
      <c r="AA20" s="8" t="s">
        <v>359</v>
      </c>
      <c r="AB20" s="5" t="s">
        <v>360</v>
      </c>
      <c r="AC20" s="8" t="s">
        <v>50</v>
      </c>
      <c r="AD20" s="1"/>
    </row>
    <row r="21" ht="15.75" customHeight="1">
      <c r="A21" s="1"/>
      <c r="B21" s="5" t="s">
        <v>361</v>
      </c>
      <c r="C21" s="5">
        <f>COUNTA('Pension-Fund-Base-V1-Default-vi'!$D21:$AC21)</f>
        <v>24</v>
      </c>
      <c r="D21" s="5" t="s">
        <v>362</v>
      </c>
      <c r="E21" s="5" t="s">
        <v>31</v>
      </c>
      <c r="F21" s="6"/>
      <c r="G21" s="5" t="s">
        <v>363</v>
      </c>
      <c r="H21" s="5" t="s">
        <v>364</v>
      </c>
      <c r="I21" s="5" t="s">
        <v>35</v>
      </c>
      <c r="J21" s="5" t="s">
        <v>365</v>
      </c>
      <c r="K21" s="5" t="s">
        <v>366</v>
      </c>
      <c r="L21" s="5">
        <v>2.1426E10</v>
      </c>
      <c r="M21" s="5" t="s">
        <v>367</v>
      </c>
      <c r="N21" s="5" t="s">
        <v>368</v>
      </c>
      <c r="O21" s="5" t="s">
        <v>369</v>
      </c>
      <c r="P21" s="5" t="s">
        <v>370</v>
      </c>
      <c r="Q21" s="5" t="s">
        <v>371</v>
      </c>
      <c r="R21" s="5" t="s">
        <v>372</v>
      </c>
      <c r="S21" s="5" t="s">
        <v>373</v>
      </c>
      <c r="T21" s="5" t="s">
        <v>374</v>
      </c>
      <c r="U21" s="5" t="s">
        <v>370</v>
      </c>
      <c r="V21" s="5" t="s">
        <v>375</v>
      </c>
      <c r="W21" s="6" t="s">
        <v>376</v>
      </c>
      <c r="X21" s="5" t="s">
        <v>377</v>
      </c>
      <c r="Y21" s="8" t="s">
        <v>50</v>
      </c>
      <c r="Z21" s="8"/>
      <c r="AA21" s="8" t="s">
        <v>378</v>
      </c>
      <c r="AB21" s="5" t="s">
        <v>379</v>
      </c>
      <c r="AC21" s="8" t="s">
        <v>50</v>
      </c>
      <c r="AD21" s="1"/>
    </row>
    <row r="22" ht="15.75" customHeight="1">
      <c r="A22" s="1"/>
      <c r="B22" s="5" t="s">
        <v>380</v>
      </c>
      <c r="C22" s="5">
        <f>COUNTA('Pension-Fund-Base-V1-Default-vi'!$D22:$AC22)</f>
        <v>26</v>
      </c>
      <c r="D22" s="5" t="s">
        <v>381</v>
      </c>
      <c r="E22" s="5" t="s">
        <v>31</v>
      </c>
      <c r="F22" s="6" t="s">
        <v>382</v>
      </c>
      <c r="G22" s="5" t="s">
        <v>383</v>
      </c>
      <c r="H22" s="5" t="s">
        <v>384</v>
      </c>
      <c r="I22" s="5" t="s">
        <v>385</v>
      </c>
      <c r="J22" s="5" t="s">
        <v>386</v>
      </c>
      <c r="K22" s="5" t="s">
        <v>387</v>
      </c>
      <c r="L22" s="5">
        <v>6.28E10</v>
      </c>
      <c r="M22" s="5" t="s">
        <v>388</v>
      </c>
      <c r="N22" s="5" t="s">
        <v>82</v>
      </c>
      <c r="O22" s="7" t="s">
        <v>82</v>
      </c>
      <c r="P22" s="7" t="s">
        <v>41</v>
      </c>
      <c r="Q22" s="5" t="s">
        <v>389</v>
      </c>
      <c r="R22" s="5" t="s">
        <v>390</v>
      </c>
      <c r="S22" s="5" t="s">
        <v>391</v>
      </c>
      <c r="T22" s="5" t="s">
        <v>392</v>
      </c>
      <c r="U22" s="5" t="s">
        <v>393</v>
      </c>
      <c r="V22" s="5" t="s">
        <v>394</v>
      </c>
      <c r="W22" s="6" t="s">
        <v>395</v>
      </c>
      <c r="X22" s="5" t="s">
        <v>396</v>
      </c>
      <c r="Y22" s="8" t="s">
        <v>69</v>
      </c>
      <c r="Z22" s="8">
        <v>1.6173354085E10</v>
      </c>
      <c r="AA22" s="8" t="s">
        <v>397</v>
      </c>
      <c r="AB22" s="5" t="s">
        <v>398</v>
      </c>
      <c r="AC22" s="8" t="s">
        <v>50</v>
      </c>
      <c r="AD22" s="1"/>
    </row>
    <row r="23" ht="15.75" customHeight="1">
      <c r="A23" s="1"/>
      <c r="B23" s="5" t="s">
        <v>399</v>
      </c>
      <c r="C23" s="5">
        <f>COUNTA('Pension-Fund-Base-V1-Default-vi'!$D23:$AC23)</f>
        <v>24</v>
      </c>
      <c r="D23" s="5" t="s">
        <v>400</v>
      </c>
      <c r="E23" s="5" t="s">
        <v>290</v>
      </c>
      <c r="F23" s="6" t="s">
        <v>401</v>
      </c>
      <c r="G23" s="5" t="s">
        <v>402</v>
      </c>
      <c r="H23" s="5" t="s">
        <v>403</v>
      </c>
      <c r="I23" s="5" t="s">
        <v>176</v>
      </c>
      <c r="J23" s="5" t="s">
        <v>117</v>
      </c>
      <c r="K23" s="5"/>
      <c r="L23" s="5"/>
      <c r="M23" s="5" t="s">
        <v>404</v>
      </c>
      <c r="N23" s="5" t="s">
        <v>405</v>
      </c>
      <c r="O23" s="5" t="s">
        <v>406</v>
      </c>
      <c r="P23" s="5" t="s">
        <v>407</v>
      </c>
      <c r="Q23" s="5" t="s">
        <v>408</v>
      </c>
      <c r="R23" s="5" t="s">
        <v>409</v>
      </c>
      <c r="S23" s="5" t="s">
        <v>410</v>
      </c>
      <c r="T23" s="5" t="s">
        <v>411</v>
      </c>
      <c r="U23" s="5" t="s">
        <v>412</v>
      </c>
      <c r="V23" s="5" t="s">
        <v>413</v>
      </c>
      <c r="W23" s="6" t="s">
        <v>414</v>
      </c>
      <c r="X23" s="5" t="s">
        <v>415</v>
      </c>
      <c r="Y23" s="8" t="s">
        <v>69</v>
      </c>
      <c r="Z23" s="8">
        <v>1.2037053768E10</v>
      </c>
      <c r="AA23" s="8" t="s">
        <v>416</v>
      </c>
      <c r="AB23" s="5" t="s">
        <v>417</v>
      </c>
      <c r="AC23" s="8" t="s">
        <v>50</v>
      </c>
      <c r="AD23" s="1"/>
    </row>
    <row r="24" ht="15.75" customHeight="1">
      <c r="A24" s="1"/>
      <c r="B24" s="5" t="s">
        <v>418</v>
      </c>
      <c r="C24" s="5">
        <f>COUNTA('Pension-Fund-Base-V1-Default-vi'!$D24:$AC24)</f>
        <v>26</v>
      </c>
      <c r="D24" s="5" t="s">
        <v>419</v>
      </c>
      <c r="E24" s="5" t="s">
        <v>31</v>
      </c>
      <c r="F24" s="6" t="s">
        <v>420</v>
      </c>
      <c r="G24" s="5" t="s">
        <v>421</v>
      </c>
      <c r="H24" s="5" t="s">
        <v>422</v>
      </c>
      <c r="I24" s="5" t="s">
        <v>293</v>
      </c>
      <c r="J24" s="5" t="s">
        <v>423</v>
      </c>
      <c r="K24" s="5" t="s">
        <v>424</v>
      </c>
      <c r="L24" s="5">
        <v>1.1E11</v>
      </c>
      <c r="M24" s="5" t="s">
        <v>425</v>
      </c>
      <c r="N24" s="5" t="s">
        <v>426</v>
      </c>
      <c r="O24" s="5" t="s">
        <v>427</v>
      </c>
      <c r="P24" s="7" t="s">
        <v>41</v>
      </c>
      <c r="Q24" s="5" t="s">
        <v>428</v>
      </c>
      <c r="R24" s="5" t="s">
        <v>429</v>
      </c>
      <c r="S24" s="5" t="s">
        <v>430</v>
      </c>
      <c r="T24" s="5" t="s">
        <v>223</v>
      </c>
      <c r="U24" s="5" t="s">
        <v>431</v>
      </c>
      <c r="V24" s="5" t="s">
        <v>432</v>
      </c>
      <c r="W24" s="6" t="s">
        <v>433</v>
      </c>
      <c r="X24" s="5" t="s">
        <v>434</v>
      </c>
      <c r="Y24" s="8" t="s">
        <v>69</v>
      </c>
      <c r="Z24" s="8">
        <v>1.8046158491E10</v>
      </c>
      <c r="AA24" s="8" t="s">
        <v>435</v>
      </c>
      <c r="AB24" s="5" t="s">
        <v>436</v>
      </c>
      <c r="AC24" s="8" t="s">
        <v>50</v>
      </c>
      <c r="AD24" s="1"/>
    </row>
    <row r="25" ht="15.75" customHeight="1">
      <c r="A25" s="1"/>
      <c r="B25" s="5" t="s">
        <v>437</v>
      </c>
      <c r="C25" s="5">
        <f>COUNTA('Pension-Fund-Base-V1-Default-vi'!$D25:$AC25)</f>
        <v>23</v>
      </c>
      <c r="D25" s="5" t="s">
        <v>438</v>
      </c>
      <c r="E25" s="5" t="s">
        <v>290</v>
      </c>
      <c r="F25" s="6"/>
      <c r="G25" s="5" t="s">
        <v>439</v>
      </c>
      <c r="H25" s="5" t="s">
        <v>364</v>
      </c>
      <c r="I25" s="5" t="s">
        <v>78</v>
      </c>
      <c r="J25" s="5" t="s">
        <v>440</v>
      </c>
      <c r="K25" s="5"/>
      <c r="L25" s="5"/>
      <c r="M25" s="5" t="s">
        <v>441</v>
      </c>
      <c r="N25" s="5" t="s">
        <v>442</v>
      </c>
      <c r="O25" s="5" t="s">
        <v>443</v>
      </c>
      <c r="P25" s="7" t="s">
        <v>41</v>
      </c>
      <c r="Q25" s="5" t="s">
        <v>444</v>
      </c>
      <c r="R25" s="5" t="s">
        <v>445</v>
      </c>
      <c r="S25" s="5" t="s">
        <v>446</v>
      </c>
      <c r="T25" s="5" t="s">
        <v>447</v>
      </c>
      <c r="U25" s="5" t="s">
        <v>448</v>
      </c>
      <c r="V25" s="5" t="s">
        <v>449</v>
      </c>
      <c r="W25" s="6" t="s">
        <v>450</v>
      </c>
      <c r="X25" s="5" t="s">
        <v>451</v>
      </c>
      <c r="Y25" s="8" t="s">
        <v>50</v>
      </c>
      <c r="Z25" s="8">
        <v>1.5034599541E10</v>
      </c>
      <c r="AA25" s="8" t="s">
        <v>452</v>
      </c>
      <c r="AB25" s="5" t="s">
        <v>453</v>
      </c>
      <c r="AC25" s="8" t="s">
        <v>50</v>
      </c>
      <c r="AD25" s="1"/>
    </row>
    <row r="26" ht="15.75" customHeight="1">
      <c r="A26" s="1"/>
      <c r="B26" s="5" t="s">
        <v>454</v>
      </c>
      <c r="C26" s="5">
        <f>COUNTA('Pension-Fund-Base-V1-Default-vi'!$D26:$AC26)</f>
        <v>25</v>
      </c>
      <c r="D26" s="5" t="s">
        <v>455</v>
      </c>
      <c r="E26" s="5" t="s">
        <v>31</v>
      </c>
      <c r="F26" s="6" t="s">
        <v>456</v>
      </c>
      <c r="G26" s="5" t="s">
        <v>457</v>
      </c>
      <c r="H26" s="5" t="s">
        <v>458</v>
      </c>
      <c r="I26" s="5"/>
      <c r="J26" s="5" t="s">
        <v>459</v>
      </c>
      <c r="K26" s="5" t="s">
        <v>460</v>
      </c>
      <c r="L26" s="5">
        <v>2.52E10</v>
      </c>
      <c r="M26" s="5" t="s">
        <v>461</v>
      </c>
      <c r="N26" s="5" t="s">
        <v>462</v>
      </c>
      <c r="O26" s="5" t="s">
        <v>141</v>
      </c>
      <c r="P26" s="7" t="s">
        <v>41</v>
      </c>
      <c r="Q26" s="5" t="s">
        <v>463</v>
      </c>
      <c r="R26" s="5" t="s">
        <v>464</v>
      </c>
      <c r="S26" s="5" t="s">
        <v>465</v>
      </c>
      <c r="T26" s="5" t="s">
        <v>64</v>
      </c>
      <c r="U26" s="5" t="s">
        <v>466</v>
      </c>
      <c r="V26" s="5" t="s">
        <v>467</v>
      </c>
      <c r="W26" s="6" t="s">
        <v>468</v>
      </c>
      <c r="X26" s="5" t="s">
        <v>469</v>
      </c>
      <c r="Y26" s="8" t="s">
        <v>69</v>
      </c>
      <c r="Z26" s="8">
        <v>1.5122948639E10</v>
      </c>
      <c r="AA26" s="8" t="s">
        <v>470</v>
      </c>
      <c r="AB26" s="5" t="s">
        <v>471</v>
      </c>
      <c r="AC26" s="8" t="s">
        <v>50</v>
      </c>
      <c r="AD26" s="1"/>
    </row>
    <row r="27" ht="15.75" customHeight="1">
      <c r="A27" s="1"/>
      <c r="B27" s="5" t="s">
        <v>472</v>
      </c>
      <c r="C27" s="5">
        <f>COUNTA('Pension-Fund-Base-V1-Default-vi'!$D27:$AC27)</f>
        <v>23</v>
      </c>
      <c r="D27" s="5" t="s">
        <v>473</v>
      </c>
      <c r="E27" s="5" t="s">
        <v>290</v>
      </c>
      <c r="F27" s="6" t="s">
        <v>474</v>
      </c>
      <c r="G27" s="5" t="s">
        <v>475</v>
      </c>
      <c r="H27" s="5" t="s">
        <v>364</v>
      </c>
      <c r="I27" s="5" t="s">
        <v>176</v>
      </c>
      <c r="J27" s="5" t="s">
        <v>476</v>
      </c>
      <c r="K27" s="5"/>
      <c r="L27" s="5"/>
      <c r="M27" s="5" t="s">
        <v>477</v>
      </c>
      <c r="N27" s="5" t="s">
        <v>478</v>
      </c>
      <c r="O27" s="5" t="s">
        <v>479</v>
      </c>
      <c r="P27" s="7" t="s">
        <v>41</v>
      </c>
      <c r="Q27" s="5" t="s">
        <v>480</v>
      </c>
      <c r="R27" s="5" t="s">
        <v>481</v>
      </c>
      <c r="S27" s="5" t="s">
        <v>482</v>
      </c>
      <c r="T27" s="5" t="s">
        <v>64</v>
      </c>
      <c r="U27" s="5" t="s">
        <v>483</v>
      </c>
      <c r="V27" s="5" t="s">
        <v>484</v>
      </c>
      <c r="W27" s="6" t="s">
        <v>485</v>
      </c>
      <c r="X27" s="5" t="s">
        <v>486</v>
      </c>
      <c r="Y27" s="8" t="s">
        <v>50</v>
      </c>
      <c r="Z27" s="8"/>
      <c r="AA27" s="8" t="s">
        <v>487</v>
      </c>
      <c r="AB27" s="5" t="s">
        <v>488</v>
      </c>
      <c r="AC27" s="8" t="s">
        <v>50</v>
      </c>
      <c r="AD27" s="1"/>
    </row>
    <row r="28" ht="15.75" customHeight="1">
      <c r="A28" s="1"/>
      <c r="B28" s="5" t="s">
        <v>489</v>
      </c>
      <c r="C28" s="5">
        <f>COUNTA('Pension-Fund-Base-V1-Default-vi'!$D28:$AC28)</f>
        <v>25</v>
      </c>
      <c r="D28" s="5" t="s">
        <v>490</v>
      </c>
      <c r="E28" s="5" t="s">
        <v>31</v>
      </c>
      <c r="F28" s="6" t="s">
        <v>491</v>
      </c>
      <c r="G28" s="5" t="s">
        <v>492</v>
      </c>
      <c r="H28" s="5" t="s">
        <v>34</v>
      </c>
      <c r="I28" s="5" t="s">
        <v>493</v>
      </c>
      <c r="J28" s="5" t="s">
        <v>494</v>
      </c>
      <c r="K28" s="5" t="s">
        <v>495</v>
      </c>
      <c r="L28" s="5">
        <v>1.089E11</v>
      </c>
      <c r="M28" s="5" t="s">
        <v>496</v>
      </c>
      <c r="N28" s="5" t="s">
        <v>497</v>
      </c>
      <c r="O28" s="5" t="s">
        <v>427</v>
      </c>
      <c r="P28" s="7" t="s">
        <v>41</v>
      </c>
      <c r="Q28" s="5" t="s">
        <v>498</v>
      </c>
      <c r="R28" s="5" t="s">
        <v>499</v>
      </c>
      <c r="S28" s="5" t="s">
        <v>500</v>
      </c>
      <c r="T28" s="5" t="s">
        <v>501</v>
      </c>
      <c r="U28" s="5" t="s">
        <v>502</v>
      </c>
      <c r="V28" s="5" t="s">
        <v>503</v>
      </c>
      <c r="W28" s="6" t="s">
        <v>504</v>
      </c>
      <c r="X28" s="5" t="s">
        <v>505</v>
      </c>
      <c r="Y28" s="8" t="s">
        <v>50</v>
      </c>
      <c r="Z28" s="8"/>
      <c r="AA28" s="8" t="s">
        <v>506</v>
      </c>
      <c r="AB28" s="5" t="s">
        <v>507</v>
      </c>
      <c r="AC28" s="8" t="s">
        <v>50</v>
      </c>
      <c r="AD28" s="1"/>
    </row>
    <row r="29" ht="15.75" customHeight="1">
      <c r="A29" s="1"/>
      <c r="B29" s="5" t="s">
        <v>508</v>
      </c>
      <c r="C29" s="5">
        <f>COUNTA('Pension-Fund-Base-V1-Default-vi'!$D29:$AC29)</f>
        <v>25</v>
      </c>
      <c r="D29" s="5" t="s">
        <v>509</v>
      </c>
      <c r="E29" s="5" t="s">
        <v>31</v>
      </c>
      <c r="F29" s="6" t="s">
        <v>510</v>
      </c>
      <c r="G29" s="5" t="s">
        <v>511</v>
      </c>
      <c r="H29" s="5" t="s">
        <v>512</v>
      </c>
      <c r="I29" s="5" t="s">
        <v>98</v>
      </c>
      <c r="J29" s="5" t="s">
        <v>476</v>
      </c>
      <c r="K29" s="5" t="s">
        <v>513</v>
      </c>
      <c r="L29" s="5">
        <v>4.5793E10</v>
      </c>
      <c r="M29" s="5" t="s">
        <v>514</v>
      </c>
      <c r="N29" s="5" t="s">
        <v>515</v>
      </c>
      <c r="O29" s="5" t="s">
        <v>141</v>
      </c>
      <c r="P29" s="7" t="s">
        <v>41</v>
      </c>
      <c r="Q29" s="5" t="s">
        <v>516</v>
      </c>
      <c r="R29" s="5" t="s">
        <v>517</v>
      </c>
      <c r="S29" s="5" t="s">
        <v>518</v>
      </c>
      <c r="T29" s="5" t="s">
        <v>519</v>
      </c>
      <c r="U29" s="5" t="s">
        <v>520</v>
      </c>
      <c r="V29" s="5" t="s">
        <v>521</v>
      </c>
      <c r="W29" s="6" t="s">
        <v>522</v>
      </c>
      <c r="X29" s="5" t="s">
        <v>523</v>
      </c>
      <c r="Y29" s="8" t="s">
        <v>69</v>
      </c>
      <c r="Z29" s="8"/>
      <c r="AA29" s="8" t="s">
        <v>524</v>
      </c>
      <c r="AB29" s="5" t="s">
        <v>525</v>
      </c>
      <c r="AC29" s="8" t="s">
        <v>50</v>
      </c>
      <c r="AD29" s="1"/>
    </row>
    <row r="30" ht="15.75" customHeight="1">
      <c r="A30" s="1"/>
      <c r="B30" s="5" t="s">
        <v>526</v>
      </c>
      <c r="C30" s="5">
        <f>COUNTA('Pension-Fund-Base-V1-Default-vi'!$D30:$AC30)</f>
        <v>26</v>
      </c>
      <c r="D30" s="5" t="s">
        <v>527</v>
      </c>
      <c r="E30" s="5" t="s">
        <v>31</v>
      </c>
      <c r="F30" s="6" t="s">
        <v>528</v>
      </c>
      <c r="G30" s="5" t="s">
        <v>96</v>
      </c>
      <c r="H30" s="5" t="s">
        <v>529</v>
      </c>
      <c r="I30" s="5" t="s">
        <v>35</v>
      </c>
      <c r="J30" s="5" t="s">
        <v>530</v>
      </c>
      <c r="K30" s="5" t="s">
        <v>531</v>
      </c>
      <c r="L30" s="5">
        <v>1.7145E10</v>
      </c>
      <c r="M30" s="5" t="s">
        <v>532</v>
      </c>
      <c r="N30" s="5" t="s">
        <v>533</v>
      </c>
      <c r="O30" s="5" t="s">
        <v>534</v>
      </c>
      <c r="P30" s="7" t="s">
        <v>41</v>
      </c>
      <c r="Q30" s="5" t="s">
        <v>535</v>
      </c>
      <c r="R30" s="5" t="s">
        <v>536</v>
      </c>
      <c r="S30" s="5" t="s">
        <v>537</v>
      </c>
      <c r="T30" s="5" t="s">
        <v>45</v>
      </c>
      <c r="U30" s="5" t="s">
        <v>538</v>
      </c>
      <c r="V30" s="5" t="s">
        <v>539</v>
      </c>
      <c r="W30" s="6" t="s">
        <v>540</v>
      </c>
      <c r="X30" s="5" t="s">
        <v>541</v>
      </c>
      <c r="Y30" s="8" t="s">
        <v>69</v>
      </c>
      <c r="Z30" s="8">
        <v>1.6077658209E10</v>
      </c>
      <c r="AA30" s="8" t="s">
        <v>542</v>
      </c>
      <c r="AB30" s="5" t="s">
        <v>543</v>
      </c>
      <c r="AC30" s="8" t="s">
        <v>132</v>
      </c>
      <c r="AD30" s="1"/>
    </row>
    <row r="31" ht="15.75" customHeight="1">
      <c r="A31" s="1"/>
      <c r="B31" s="5" t="s">
        <v>544</v>
      </c>
      <c r="C31" s="5">
        <f>COUNTA('Pension-Fund-Base-V1-Default-vi'!$D31:$AC31)</f>
        <v>23</v>
      </c>
      <c r="D31" s="5" t="s">
        <v>545</v>
      </c>
      <c r="E31" s="5" t="s">
        <v>74</v>
      </c>
      <c r="F31" s="6" t="s">
        <v>546</v>
      </c>
      <c r="G31" s="5" t="s">
        <v>547</v>
      </c>
      <c r="H31" s="5" t="s">
        <v>548</v>
      </c>
      <c r="I31" s="5" t="s">
        <v>78</v>
      </c>
      <c r="J31" s="5" t="s">
        <v>549</v>
      </c>
      <c r="K31" s="5"/>
      <c r="L31" s="5"/>
      <c r="M31" s="5" t="s">
        <v>550</v>
      </c>
      <c r="N31" s="5" t="s">
        <v>551</v>
      </c>
      <c r="O31" s="5" t="s">
        <v>552</v>
      </c>
      <c r="P31" s="5" t="s">
        <v>370</v>
      </c>
      <c r="Q31" s="5" t="s">
        <v>553</v>
      </c>
      <c r="R31" s="5" t="s">
        <v>554</v>
      </c>
      <c r="S31" s="5" t="s">
        <v>555</v>
      </c>
      <c r="T31" s="5" t="s">
        <v>556</v>
      </c>
      <c r="U31" s="5" t="s">
        <v>557</v>
      </c>
      <c r="V31" s="5" t="s">
        <v>558</v>
      </c>
      <c r="W31" s="6" t="s">
        <v>559</v>
      </c>
      <c r="X31" s="5" t="s">
        <v>560</v>
      </c>
      <c r="Y31" s="8" t="s">
        <v>50</v>
      </c>
      <c r="Z31" s="8"/>
      <c r="AA31" s="8" t="s">
        <v>561</v>
      </c>
      <c r="AB31" s="5" t="s">
        <v>562</v>
      </c>
      <c r="AC31" s="8" t="s">
        <v>50</v>
      </c>
      <c r="AD31" s="1"/>
    </row>
    <row r="32" ht="15.75" customHeight="1">
      <c r="A32" s="1"/>
      <c r="B32" s="5" t="s">
        <v>563</v>
      </c>
      <c r="C32" s="5">
        <f>COUNTA('Pension-Fund-Base-V1-Default-vi'!$D32:$AC32)</f>
        <v>24</v>
      </c>
      <c r="D32" s="5" t="s">
        <v>564</v>
      </c>
      <c r="E32" s="5" t="s">
        <v>31</v>
      </c>
      <c r="F32" s="6" t="s">
        <v>565</v>
      </c>
      <c r="G32" s="5"/>
      <c r="H32" s="5" t="s">
        <v>566</v>
      </c>
      <c r="I32" s="5" t="s">
        <v>35</v>
      </c>
      <c r="J32" s="5" t="s">
        <v>195</v>
      </c>
      <c r="K32" s="5" t="s">
        <v>567</v>
      </c>
      <c r="L32" s="5">
        <v>4.8181E10</v>
      </c>
      <c r="M32" s="5" t="s">
        <v>568</v>
      </c>
      <c r="N32" s="5" t="s">
        <v>569</v>
      </c>
      <c r="O32" s="5" t="s">
        <v>570</v>
      </c>
      <c r="P32" s="7" t="s">
        <v>41</v>
      </c>
      <c r="Q32" s="5" t="s">
        <v>571</v>
      </c>
      <c r="R32" s="5" t="s">
        <v>572</v>
      </c>
      <c r="S32" s="5" t="s">
        <v>573</v>
      </c>
      <c r="T32" s="5" t="s">
        <v>354</v>
      </c>
      <c r="U32" s="5" t="s">
        <v>65</v>
      </c>
      <c r="V32" s="5" t="s">
        <v>574</v>
      </c>
      <c r="W32" s="6" t="s">
        <v>575</v>
      </c>
      <c r="X32" s="5" t="s">
        <v>576</v>
      </c>
      <c r="Y32" s="8" t="s">
        <v>50</v>
      </c>
      <c r="Z32" s="8"/>
      <c r="AA32" s="8" t="s">
        <v>577</v>
      </c>
      <c r="AB32" s="5" t="s">
        <v>578</v>
      </c>
      <c r="AC32" s="8" t="s">
        <v>50</v>
      </c>
      <c r="AD32" s="1"/>
    </row>
    <row r="33" ht="15.75" customHeight="1">
      <c r="A33" s="1"/>
      <c r="B33" s="5" t="s">
        <v>579</v>
      </c>
      <c r="C33" s="5">
        <f>COUNTA('Pension-Fund-Base-V1-Default-vi'!$D33:$AC33)</f>
        <v>26</v>
      </c>
      <c r="D33" s="5" t="s">
        <v>580</v>
      </c>
      <c r="E33" s="5" t="s">
        <v>31</v>
      </c>
      <c r="F33" s="6" t="s">
        <v>581</v>
      </c>
      <c r="G33" s="5" t="s">
        <v>582</v>
      </c>
      <c r="H33" s="5" t="s">
        <v>583</v>
      </c>
      <c r="I33" s="5" t="s">
        <v>293</v>
      </c>
      <c r="J33" s="5" t="s">
        <v>584</v>
      </c>
      <c r="K33" s="5" t="s">
        <v>585</v>
      </c>
      <c r="L33" s="5">
        <v>4.968E11</v>
      </c>
      <c r="M33" s="5" t="s">
        <v>586</v>
      </c>
      <c r="N33" s="5" t="s">
        <v>587</v>
      </c>
      <c r="O33" s="5" t="s">
        <v>40</v>
      </c>
      <c r="P33" s="7" t="s">
        <v>41</v>
      </c>
      <c r="Q33" s="5" t="s">
        <v>588</v>
      </c>
      <c r="R33" s="5" t="s">
        <v>589</v>
      </c>
      <c r="S33" s="5" t="s">
        <v>590</v>
      </c>
      <c r="T33" s="5" t="s">
        <v>591</v>
      </c>
      <c r="U33" s="5" t="s">
        <v>592</v>
      </c>
      <c r="V33" s="5" t="s">
        <v>593</v>
      </c>
      <c r="W33" s="6" t="s">
        <v>594</v>
      </c>
      <c r="X33" s="5" t="s">
        <v>595</v>
      </c>
      <c r="Y33" s="8" t="s">
        <v>132</v>
      </c>
      <c r="Z33" s="8">
        <v>1.9165190012E10</v>
      </c>
      <c r="AA33" s="8" t="s">
        <v>596</v>
      </c>
      <c r="AB33" s="5" t="s">
        <v>597</v>
      </c>
      <c r="AC33" s="8" t="s">
        <v>50</v>
      </c>
      <c r="AD33" s="1"/>
    </row>
    <row r="34" ht="15.75" customHeight="1">
      <c r="A34" s="1"/>
      <c r="B34" s="5" t="s">
        <v>598</v>
      </c>
      <c r="C34" s="5">
        <f>COUNTA('Pension-Fund-Base-V1-Default-vi'!$D34:$AC34)</f>
        <v>23</v>
      </c>
      <c r="D34" s="5" t="s">
        <v>599</v>
      </c>
      <c r="E34" s="5" t="s">
        <v>290</v>
      </c>
      <c r="F34" s="6"/>
      <c r="G34" s="5" t="s">
        <v>600</v>
      </c>
      <c r="H34" s="5" t="s">
        <v>601</v>
      </c>
      <c r="I34" s="5" t="s">
        <v>602</v>
      </c>
      <c r="J34" s="5" t="s">
        <v>603</v>
      </c>
      <c r="K34" s="5"/>
      <c r="L34" s="5"/>
      <c r="M34" s="5" t="s">
        <v>604</v>
      </c>
      <c r="N34" s="5" t="s">
        <v>462</v>
      </c>
      <c r="O34" s="5" t="s">
        <v>605</v>
      </c>
      <c r="P34" s="7" t="s">
        <v>41</v>
      </c>
      <c r="Q34" s="5" t="s">
        <v>163</v>
      </c>
      <c r="R34" s="5" t="s">
        <v>606</v>
      </c>
      <c r="S34" s="5" t="s">
        <v>607</v>
      </c>
      <c r="T34" s="5" t="s">
        <v>223</v>
      </c>
      <c r="U34" s="5" t="s">
        <v>608</v>
      </c>
      <c r="V34" s="5" t="s">
        <v>609</v>
      </c>
      <c r="W34" s="6" t="s">
        <v>610</v>
      </c>
      <c r="X34" s="5" t="s">
        <v>611</v>
      </c>
      <c r="Y34" s="8" t="s">
        <v>69</v>
      </c>
      <c r="Z34" s="8">
        <v>1.3127051376E10</v>
      </c>
      <c r="AA34" s="8" t="s">
        <v>612</v>
      </c>
      <c r="AB34" s="5" t="s">
        <v>613</v>
      </c>
      <c r="AC34" s="8" t="s">
        <v>132</v>
      </c>
      <c r="AD34" s="1"/>
    </row>
    <row r="35" ht="15.75" customHeight="1">
      <c r="A35" s="1"/>
      <c r="B35" s="5" t="s">
        <v>614</v>
      </c>
      <c r="C35" s="5">
        <f>COUNTA('Pension-Fund-Base-V1-Default-vi'!$D35:$AC35)</f>
        <v>24</v>
      </c>
      <c r="D35" s="5" t="s">
        <v>615</v>
      </c>
      <c r="E35" s="5" t="s">
        <v>290</v>
      </c>
      <c r="F35" s="6" t="s">
        <v>616</v>
      </c>
      <c r="G35" s="5" t="s">
        <v>617</v>
      </c>
      <c r="H35" s="5" t="s">
        <v>618</v>
      </c>
      <c r="I35" s="5" t="s">
        <v>176</v>
      </c>
      <c r="J35" s="5" t="s">
        <v>117</v>
      </c>
      <c r="K35" s="5"/>
      <c r="L35" s="5"/>
      <c r="M35" s="5" t="s">
        <v>619</v>
      </c>
      <c r="N35" s="5" t="s">
        <v>620</v>
      </c>
      <c r="O35" s="7" t="s">
        <v>82</v>
      </c>
      <c r="P35" s="7" t="s">
        <v>41</v>
      </c>
      <c r="Q35" s="5" t="s">
        <v>621</v>
      </c>
      <c r="R35" s="5" t="s">
        <v>622</v>
      </c>
      <c r="S35" s="5" t="s">
        <v>623</v>
      </c>
      <c r="T35" s="5" t="s">
        <v>184</v>
      </c>
      <c r="U35" s="5" t="s">
        <v>557</v>
      </c>
      <c r="V35" s="5" t="s">
        <v>624</v>
      </c>
      <c r="W35" s="6" t="s">
        <v>625</v>
      </c>
      <c r="X35" s="5" t="s">
        <v>626</v>
      </c>
      <c r="Y35" s="8" t="s">
        <v>69</v>
      </c>
      <c r="Z35" s="8">
        <v>1.7578314934E10</v>
      </c>
      <c r="AA35" s="8" t="s">
        <v>627</v>
      </c>
      <c r="AB35" s="5" t="s">
        <v>628</v>
      </c>
      <c r="AC35" s="8" t="s">
        <v>132</v>
      </c>
      <c r="AD35" s="1"/>
    </row>
    <row r="36" ht="15.75" customHeight="1">
      <c r="A36" s="1"/>
      <c r="B36" s="5" t="s">
        <v>629</v>
      </c>
      <c r="C36" s="5">
        <f>COUNTA('Pension-Fund-Base-V1-Default-vi'!$D36:$AC36)</f>
        <v>24</v>
      </c>
      <c r="D36" s="5" t="s">
        <v>630</v>
      </c>
      <c r="E36" s="5" t="s">
        <v>31</v>
      </c>
      <c r="F36" s="6" t="s">
        <v>631</v>
      </c>
      <c r="G36" s="5"/>
      <c r="H36" s="5" t="s">
        <v>632</v>
      </c>
      <c r="I36" s="5" t="s">
        <v>98</v>
      </c>
      <c r="J36" s="5" t="s">
        <v>633</v>
      </c>
      <c r="K36" s="5" t="s">
        <v>634</v>
      </c>
      <c r="L36" s="5">
        <v>2.9597E10</v>
      </c>
      <c r="M36" s="5" t="s">
        <v>635</v>
      </c>
      <c r="N36" s="5" t="s">
        <v>179</v>
      </c>
      <c r="O36" s="5" t="s">
        <v>180</v>
      </c>
      <c r="P36" s="7" t="s">
        <v>41</v>
      </c>
      <c r="Q36" s="5" t="s">
        <v>636</v>
      </c>
      <c r="R36" s="5" t="s">
        <v>637</v>
      </c>
      <c r="S36" s="5" t="s">
        <v>638</v>
      </c>
      <c r="T36" s="5" t="s">
        <v>223</v>
      </c>
      <c r="U36" s="5" t="s">
        <v>639</v>
      </c>
      <c r="V36" s="5" t="s">
        <v>640</v>
      </c>
      <c r="W36" s="6" t="s">
        <v>641</v>
      </c>
      <c r="X36" s="5" t="s">
        <v>642</v>
      </c>
      <c r="Y36" s="8" t="s">
        <v>69</v>
      </c>
      <c r="Z36" s="8"/>
      <c r="AA36" s="8" t="s">
        <v>643</v>
      </c>
      <c r="AB36" s="5" t="s">
        <v>644</v>
      </c>
      <c r="AC36" s="8" t="s">
        <v>50</v>
      </c>
      <c r="AD36" s="1"/>
    </row>
    <row r="37" ht="15.75" customHeight="1">
      <c r="A37" s="1"/>
      <c r="B37" s="5" t="s">
        <v>645</v>
      </c>
      <c r="C37" s="5">
        <f>COUNTA('Pension-Fund-Base-V1-Default-vi'!$D37:$AC37)</f>
        <v>24</v>
      </c>
      <c r="D37" s="5" t="s">
        <v>646</v>
      </c>
      <c r="E37" s="5" t="s">
        <v>290</v>
      </c>
      <c r="F37" s="6" t="s">
        <v>647</v>
      </c>
      <c r="G37" s="5" t="s">
        <v>96</v>
      </c>
      <c r="H37" s="5" t="s">
        <v>97</v>
      </c>
      <c r="I37" s="5" t="s">
        <v>98</v>
      </c>
      <c r="J37" s="5" t="s">
        <v>648</v>
      </c>
      <c r="K37" s="5"/>
      <c r="L37" s="5"/>
      <c r="M37" s="5" t="s">
        <v>649</v>
      </c>
      <c r="N37" s="5" t="s">
        <v>462</v>
      </c>
      <c r="O37" s="5" t="s">
        <v>605</v>
      </c>
      <c r="P37" s="7" t="s">
        <v>41</v>
      </c>
      <c r="Q37" s="5" t="s">
        <v>650</v>
      </c>
      <c r="R37" s="5" t="s">
        <v>481</v>
      </c>
      <c r="S37" s="5" t="s">
        <v>651</v>
      </c>
      <c r="T37" s="5" t="s">
        <v>652</v>
      </c>
      <c r="U37" s="5" t="s">
        <v>608</v>
      </c>
      <c r="V37" s="5" t="s">
        <v>653</v>
      </c>
      <c r="W37" s="6" t="s">
        <v>654</v>
      </c>
      <c r="X37" s="5" t="s">
        <v>655</v>
      </c>
      <c r="Y37" s="8" t="s">
        <v>50</v>
      </c>
      <c r="Z37" s="8">
        <v>1.3127873791E10</v>
      </c>
      <c r="AA37" s="8" t="s">
        <v>656</v>
      </c>
      <c r="AB37" s="5" t="s">
        <v>657</v>
      </c>
      <c r="AC37" s="8" t="s">
        <v>50</v>
      </c>
      <c r="AD37" s="1"/>
    </row>
    <row r="38" ht="15.75" customHeight="1">
      <c r="A38" s="1"/>
      <c r="B38" s="5" t="s">
        <v>658</v>
      </c>
      <c r="C38" s="5">
        <f>COUNTA('Pension-Fund-Base-V1-Default-vi'!$D38:$AC38)</f>
        <v>25</v>
      </c>
      <c r="D38" s="5" t="s">
        <v>659</v>
      </c>
      <c r="E38" s="5" t="s">
        <v>31</v>
      </c>
      <c r="F38" s="6" t="s">
        <v>660</v>
      </c>
      <c r="G38" s="5" t="s">
        <v>661</v>
      </c>
      <c r="H38" s="5" t="s">
        <v>662</v>
      </c>
      <c r="I38" s="5" t="s">
        <v>98</v>
      </c>
      <c r="J38" s="5" t="s">
        <v>117</v>
      </c>
      <c r="K38" s="5" t="s">
        <v>663</v>
      </c>
      <c r="L38" s="5">
        <v>2.4762E10</v>
      </c>
      <c r="M38" s="5" t="s">
        <v>664</v>
      </c>
      <c r="N38" s="5" t="s">
        <v>665</v>
      </c>
      <c r="O38" s="5" t="s">
        <v>666</v>
      </c>
      <c r="P38" s="7" t="s">
        <v>41</v>
      </c>
      <c r="Q38" s="5" t="s">
        <v>667</v>
      </c>
      <c r="R38" s="5" t="s">
        <v>668</v>
      </c>
      <c r="S38" s="5" t="s">
        <v>669</v>
      </c>
      <c r="T38" s="5" t="s">
        <v>670</v>
      </c>
      <c r="U38" s="5" t="s">
        <v>671</v>
      </c>
      <c r="V38" s="5" t="s">
        <v>672</v>
      </c>
      <c r="W38" s="6" t="s">
        <v>673</v>
      </c>
      <c r="X38" s="5" t="s">
        <v>674</v>
      </c>
      <c r="Y38" s="8" t="s">
        <v>50</v>
      </c>
      <c r="Z38" s="8"/>
      <c r="AA38" s="8" t="s">
        <v>675</v>
      </c>
      <c r="AB38" s="5" t="s">
        <v>676</v>
      </c>
      <c r="AC38" s="8" t="s">
        <v>50</v>
      </c>
      <c r="AD38" s="1"/>
    </row>
    <row r="39" ht="15.75" customHeight="1">
      <c r="A39" s="1"/>
      <c r="B39" s="5" t="s">
        <v>677</v>
      </c>
      <c r="C39" s="5">
        <f>COUNTA('Pension-Fund-Base-V1-Default-vi'!$D39:$AC39)</f>
        <v>26</v>
      </c>
      <c r="D39" s="5" t="s">
        <v>678</v>
      </c>
      <c r="E39" s="5" t="s">
        <v>31</v>
      </c>
      <c r="F39" s="6" t="s">
        <v>679</v>
      </c>
      <c r="G39" s="5" t="s">
        <v>680</v>
      </c>
      <c r="H39" s="5" t="s">
        <v>681</v>
      </c>
      <c r="I39" s="5" t="s">
        <v>35</v>
      </c>
      <c r="J39" s="5" t="s">
        <v>682</v>
      </c>
      <c r="K39" s="5" t="s">
        <v>683</v>
      </c>
      <c r="L39" s="5">
        <v>2.8868E10</v>
      </c>
      <c r="M39" s="5" t="s">
        <v>684</v>
      </c>
      <c r="N39" s="5" t="s">
        <v>685</v>
      </c>
      <c r="O39" s="5" t="s">
        <v>350</v>
      </c>
      <c r="P39" s="7" t="s">
        <v>41</v>
      </c>
      <c r="Q39" s="5" t="s">
        <v>686</v>
      </c>
      <c r="R39" s="5" t="s">
        <v>687</v>
      </c>
      <c r="S39" s="5" t="s">
        <v>688</v>
      </c>
      <c r="T39" s="5" t="s">
        <v>689</v>
      </c>
      <c r="U39" s="5" t="s">
        <v>690</v>
      </c>
      <c r="V39" s="5" t="s">
        <v>691</v>
      </c>
      <c r="W39" s="6" t="s">
        <v>692</v>
      </c>
      <c r="X39" s="5" t="s">
        <v>693</v>
      </c>
      <c r="Y39" s="8" t="s">
        <v>50</v>
      </c>
      <c r="Z39" s="8">
        <v>1.3177220901E10</v>
      </c>
      <c r="AA39" s="8" t="s">
        <v>694</v>
      </c>
      <c r="AB39" s="5" t="s">
        <v>695</v>
      </c>
      <c r="AC39" s="8" t="s">
        <v>50</v>
      </c>
      <c r="AD39" s="1"/>
    </row>
    <row r="40" ht="15.75" customHeight="1">
      <c r="A40" s="1"/>
      <c r="B40" s="5" t="s">
        <v>696</v>
      </c>
      <c r="C40" s="5">
        <f>COUNTA('Pension-Fund-Base-V1-Default-vi'!$D40:$AC40)</f>
        <v>24</v>
      </c>
      <c r="D40" s="5" t="s">
        <v>697</v>
      </c>
      <c r="E40" s="5" t="s">
        <v>290</v>
      </c>
      <c r="F40" s="6" t="s">
        <v>698</v>
      </c>
      <c r="G40" s="5" t="s">
        <v>699</v>
      </c>
      <c r="H40" s="5" t="s">
        <v>700</v>
      </c>
      <c r="I40" s="5" t="s">
        <v>35</v>
      </c>
      <c r="J40" s="5" t="s">
        <v>476</v>
      </c>
      <c r="K40" s="5"/>
      <c r="L40" s="5"/>
      <c r="M40" s="5" t="s">
        <v>701</v>
      </c>
      <c r="N40" s="5" t="s">
        <v>702</v>
      </c>
      <c r="O40" s="5" t="s">
        <v>703</v>
      </c>
      <c r="P40" s="5" t="s">
        <v>704</v>
      </c>
      <c r="Q40" s="5" t="s">
        <v>705</v>
      </c>
      <c r="R40" s="5" t="s">
        <v>706</v>
      </c>
      <c r="S40" s="5" t="s">
        <v>707</v>
      </c>
      <c r="T40" s="5" t="s">
        <v>708</v>
      </c>
      <c r="U40" s="5" t="s">
        <v>709</v>
      </c>
      <c r="V40" s="5" t="s">
        <v>710</v>
      </c>
      <c r="W40" s="6" t="s">
        <v>711</v>
      </c>
      <c r="X40" s="5" t="s">
        <v>712</v>
      </c>
      <c r="Y40" s="8" t="s">
        <v>69</v>
      </c>
      <c r="Z40" s="8">
        <v>1.6784630555E10</v>
      </c>
      <c r="AA40" s="8" t="s">
        <v>713</v>
      </c>
      <c r="AB40" s="5" t="s">
        <v>714</v>
      </c>
      <c r="AC40" s="8" t="s">
        <v>132</v>
      </c>
      <c r="AD40" s="1"/>
    </row>
    <row r="41" ht="15.75" customHeight="1">
      <c r="A41" s="1"/>
      <c r="B41" s="5" t="s">
        <v>715</v>
      </c>
      <c r="C41" s="5">
        <f>COUNTA('Pension-Fund-Base-V1-Default-vi'!$D41:$AC41)</f>
        <v>23</v>
      </c>
      <c r="D41" s="5" t="s">
        <v>716</v>
      </c>
      <c r="E41" s="5" t="s">
        <v>74</v>
      </c>
      <c r="F41" s="6" t="s">
        <v>717</v>
      </c>
      <c r="G41" s="5" t="s">
        <v>718</v>
      </c>
      <c r="H41" s="5" t="s">
        <v>384</v>
      </c>
      <c r="I41" s="5" t="s">
        <v>293</v>
      </c>
      <c r="J41" s="5" t="s">
        <v>99</v>
      </c>
      <c r="K41" s="5"/>
      <c r="L41" s="5"/>
      <c r="M41" s="5" t="s">
        <v>719</v>
      </c>
      <c r="N41" s="5" t="s">
        <v>720</v>
      </c>
      <c r="O41" s="5" t="s">
        <v>721</v>
      </c>
      <c r="P41" s="5" t="s">
        <v>370</v>
      </c>
      <c r="Q41" s="5" t="s">
        <v>722</v>
      </c>
      <c r="R41" s="5" t="s">
        <v>723</v>
      </c>
      <c r="S41" s="5" t="s">
        <v>724</v>
      </c>
      <c r="T41" s="5" t="s">
        <v>223</v>
      </c>
      <c r="U41" s="5" t="s">
        <v>557</v>
      </c>
      <c r="V41" s="5" t="s">
        <v>725</v>
      </c>
      <c r="W41" s="6" t="s">
        <v>726</v>
      </c>
      <c r="X41" s="5" t="s">
        <v>727</v>
      </c>
      <c r="Y41" s="8" t="s">
        <v>69</v>
      </c>
      <c r="Z41" s="8"/>
      <c r="AA41" s="8" t="s">
        <v>728</v>
      </c>
      <c r="AB41" s="5" t="s">
        <v>729</v>
      </c>
      <c r="AC41" s="8" t="s">
        <v>50</v>
      </c>
      <c r="AD41" s="1"/>
    </row>
    <row r="42" ht="15.75" customHeight="1">
      <c r="A42" s="1"/>
      <c r="B42" s="5" t="s">
        <v>730</v>
      </c>
      <c r="C42" s="5">
        <f>COUNTA('Pension-Fund-Base-V1-Default-vi'!$D42:$AC42)</f>
        <v>26</v>
      </c>
      <c r="D42" s="5" t="s">
        <v>731</v>
      </c>
      <c r="E42" s="5" t="s">
        <v>31</v>
      </c>
      <c r="F42" s="6" t="s">
        <v>732</v>
      </c>
      <c r="G42" s="5" t="s">
        <v>96</v>
      </c>
      <c r="H42" s="5" t="s">
        <v>97</v>
      </c>
      <c r="I42" s="5" t="s">
        <v>35</v>
      </c>
      <c r="J42" s="5" t="s">
        <v>733</v>
      </c>
      <c r="K42" s="5" t="s">
        <v>734</v>
      </c>
      <c r="L42" s="5">
        <v>2.36E10</v>
      </c>
      <c r="M42" s="5" t="s">
        <v>735</v>
      </c>
      <c r="N42" s="5" t="s">
        <v>462</v>
      </c>
      <c r="O42" s="5" t="s">
        <v>605</v>
      </c>
      <c r="P42" s="7" t="s">
        <v>41</v>
      </c>
      <c r="Q42" s="5" t="s">
        <v>736</v>
      </c>
      <c r="R42" s="5" t="s">
        <v>737</v>
      </c>
      <c r="S42" s="5" t="s">
        <v>738</v>
      </c>
      <c r="T42" s="5" t="s">
        <v>739</v>
      </c>
      <c r="U42" s="5" t="s">
        <v>740</v>
      </c>
      <c r="V42" s="5" t="s">
        <v>741</v>
      </c>
      <c r="W42" s="6" t="s">
        <v>742</v>
      </c>
      <c r="X42" s="5" t="s">
        <v>743</v>
      </c>
      <c r="Y42" s="8" t="s">
        <v>69</v>
      </c>
      <c r="Z42" s="8">
        <v>1.5104682947E10</v>
      </c>
      <c r="AA42" s="8" t="s">
        <v>744</v>
      </c>
      <c r="AB42" s="5" t="s">
        <v>745</v>
      </c>
      <c r="AC42" s="8" t="s">
        <v>50</v>
      </c>
      <c r="AD42" s="1"/>
    </row>
    <row r="43" ht="15.75" customHeight="1">
      <c r="A43" s="1"/>
      <c r="B43" s="5" t="s">
        <v>746</v>
      </c>
      <c r="C43" s="5">
        <f>COUNTA('Pension-Fund-Base-V1-Default-vi'!$D43:$AC43)</f>
        <v>26</v>
      </c>
      <c r="D43" s="5" t="s">
        <v>747</v>
      </c>
      <c r="E43" s="5" t="s">
        <v>31</v>
      </c>
      <c r="F43" s="6" t="s">
        <v>748</v>
      </c>
      <c r="G43" s="5" t="s">
        <v>749</v>
      </c>
      <c r="H43" s="5" t="s">
        <v>750</v>
      </c>
      <c r="I43" s="5" t="s">
        <v>35</v>
      </c>
      <c r="J43" s="5" t="s">
        <v>751</v>
      </c>
      <c r="K43" s="5" t="s">
        <v>752</v>
      </c>
      <c r="L43" s="5">
        <v>6.5965E10</v>
      </c>
      <c r="M43" s="5" t="s">
        <v>753</v>
      </c>
      <c r="N43" s="5" t="s">
        <v>754</v>
      </c>
      <c r="O43" s="5" t="s">
        <v>755</v>
      </c>
      <c r="P43" s="7" t="s">
        <v>41</v>
      </c>
      <c r="Q43" s="5" t="s">
        <v>756</v>
      </c>
      <c r="R43" s="5" t="s">
        <v>757</v>
      </c>
      <c r="S43" s="5" t="s">
        <v>758</v>
      </c>
      <c r="T43" s="5" t="s">
        <v>759</v>
      </c>
      <c r="U43" s="5" t="s">
        <v>760</v>
      </c>
      <c r="V43" s="5" t="s">
        <v>761</v>
      </c>
      <c r="W43" s="6" t="s">
        <v>762</v>
      </c>
      <c r="X43" s="5" t="s">
        <v>763</v>
      </c>
      <c r="Y43" s="8" t="s">
        <v>69</v>
      </c>
      <c r="Z43" s="8">
        <v>1.4847587911E10</v>
      </c>
      <c r="AA43" s="8" t="s">
        <v>764</v>
      </c>
      <c r="AB43" s="5" t="s">
        <v>765</v>
      </c>
      <c r="AC43" s="8" t="s">
        <v>50</v>
      </c>
      <c r="AD43" s="1"/>
    </row>
    <row r="44" ht="15.75" customHeight="1">
      <c r="A44" s="1"/>
      <c r="B44" s="5" t="s">
        <v>766</v>
      </c>
      <c r="C44" s="5">
        <f>COUNTA('Pension-Fund-Base-V1-Default-vi'!$D44:$AC44)</f>
        <v>26</v>
      </c>
      <c r="D44" s="5" t="s">
        <v>767</v>
      </c>
      <c r="E44" s="5" t="s">
        <v>31</v>
      </c>
      <c r="F44" s="6" t="s">
        <v>768</v>
      </c>
      <c r="G44" s="5" t="s">
        <v>96</v>
      </c>
      <c r="H44" s="5" t="s">
        <v>97</v>
      </c>
      <c r="I44" s="5" t="s">
        <v>602</v>
      </c>
      <c r="J44" s="5" t="s">
        <v>769</v>
      </c>
      <c r="K44" s="5" t="s">
        <v>770</v>
      </c>
      <c r="L44" s="5">
        <v>1.9291E10</v>
      </c>
      <c r="M44" s="5" t="s">
        <v>771</v>
      </c>
      <c r="N44" s="5" t="s">
        <v>772</v>
      </c>
      <c r="O44" s="5" t="s">
        <v>773</v>
      </c>
      <c r="P44" s="7" t="s">
        <v>41</v>
      </c>
      <c r="Q44" s="5" t="s">
        <v>122</v>
      </c>
      <c r="R44" s="5" t="s">
        <v>774</v>
      </c>
      <c r="S44" s="5" t="s">
        <v>775</v>
      </c>
      <c r="T44" s="5" t="s">
        <v>776</v>
      </c>
      <c r="U44" s="5" t="s">
        <v>777</v>
      </c>
      <c r="V44" s="5" t="s">
        <v>778</v>
      </c>
      <c r="W44" s="6" t="s">
        <v>779</v>
      </c>
      <c r="X44" s="5" t="s">
        <v>780</v>
      </c>
      <c r="Y44" s="8" t="s">
        <v>69</v>
      </c>
      <c r="Z44" s="8">
        <v>1.5078846278E10</v>
      </c>
      <c r="AA44" s="8" t="s">
        <v>781</v>
      </c>
      <c r="AB44" s="5" t="s">
        <v>782</v>
      </c>
      <c r="AC44" s="8" t="s">
        <v>50</v>
      </c>
      <c r="AD44" s="1"/>
    </row>
    <row r="45" ht="15.75" customHeight="1">
      <c r="A45" s="1"/>
      <c r="B45" s="5" t="s">
        <v>783</v>
      </c>
      <c r="C45" s="5">
        <f>COUNTA('Pension-Fund-Base-V1-Default-vi'!$D45:$AC45)</f>
        <v>25</v>
      </c>
      <c r="D45" s="5" t="s">
        <v>784</v>
      </c>
      <c r="E45" s="5" t="s">
        <v>31</v>
      </c>
      <c r="F45" s="6" t="s">
        <v>785</v>
      </c>
      <c r="G45" s="5" t="s">
        <v>786</v>
      </c>
      <c r="H45" s="5" t="s">
        <v>787</v>
      </c>
      <c r="I45" s="5" t="s">
        <v>98</v>
      </c>
      <c r="J45" s="5" t="s">
        <v>788</v>
      </c>
      <c r="K45" s="5" t="s">
        <v>789</v>
      </c>
      <c r="L45" s="5">
        <v>4.1624E10</v>
      </c>
      <c r="M45" s="5" t="s">
        <v>790</v>
      </c>
      <c r="N45" s="5" t="s">
        <v>791</v>
      </c>
      <c r="O45" s="5" t="s">
        <v>792</v>
      </c>
      <c r="P45" s="5" t="s">
        <v>793</v>
      </c>
      <c r="Q45" s="5" t="s">
        <v>794</v>
      </c>
      <c r="R45" s="5" t="s">
        <v>795</v>
      </c>
      <c r="S45" s="5" t="s">
        <v>796</v>
      </c>
      <c r="T45" s="5" t="s">
        <v>797</v>
      </c>
      <c r="U45" s="5" t="s">
        <v>798</v>
      </c>
      <c r="V45" s="5" t="s">
        <v>799</v>
      </c>
      <c r="W45" s="6" t="s">
        <v>800</v>
      </c>
      <c r="X45" s="5" t="s">
        <v>801</v>
      </c>
      <c r="Y45" s="8" t="s">
        <v>50</v>
      </c>
      <c r="Z45" s="8"/>
      <c r="AA45" s="8" t="s">
        <v>802</v>
      </c>
      <c r="AB45" s="5" t="s">
        <v>803</v>
      </c>
      <c r="AC45" s="8" t="s">
        <v>50</v>
      </c>
      <c r="AD45" s="1"/>
    </row>
    <row r="46" ht="15.75" customHeight="1">
      <c r="A46" s="1"/>
      <c r="B46" s="5" t="s">
        <v>804</v>
      </c>
      <c r="C46" s="5">
        <f>COUNTA('Pension-Fund-Base-V1-Default-vi'!$D46:$AC46)</f>
        <v>25</v>
      </c>
      <c r="D46" s="5" t="s">
        <v>805</v>
      </c>
      <c r="E46" s="5" t="s">
        <v>31</v>
      </c>
      <c r="F46" s="6" t="s">
        <v>806</v>
      </c>
      <c r="G46" s="5" t="s">
        <v>807</v>
      </c>
      <c r="H46" s="5" t="s">
        <v>808</v>
      </c>
      <c r="I46" s="5" t="s">
        <v>98</v>
      </c>
      <c r="J46" s="5"/>
      <c r="K46" s="5" t="s">
        <v>809</v>
      </c>
      <c r="L46" s="5">
        <v>2.2319E10</v>
      </c>
      <c r="M46" s="5" t="s">
        <v>810</v>
      </c>
      <c r="N46" s="5" t="s">
        <v>811</v>
      </c>
      <c r="O46" s="5" t="s">
        <v>407</v>
      </c>
      <c r="P46" s="5" t="s">
        <v>812</v>
      </c>
      <c r="Q46" s="5" t="s">
        <v>813</v>
      </c>
      <c r="R46" s="5" t="s">
        <v>814</v>
      </c>
      <c r="S46" s="5" t="s">
        <v>815</v>
      </c>
      <c r="T46" s="5" t="s">
        <v>64</v>
      </c>
      <c r="U46" s="5" t="s">
        <v>816</v>
      </c>
      <c r="V46" s="5" t="s">
        <v>817</v>
      </c>
      <c r="W46" s="6" t="s">
        <v>818</v>
      </c>
      <c r="X46" s="5" t="s">
        <v>819</v>
      </c>
      <c r="Y46" s="8" t="s">
        <v>50</v>
      </c>
      <c r="Z46" s="8">
        <v>1.7024274121E10</v>
      </c>
      <c r="AA46" s="8" t="s">
        <v>820</v>
      </c>
      <c r="AB46" s="5" t="s">
        <v>821</v>
      </c>
      <c r="AC46" s="8" t="s">
        <v>50</v>
      </c>
      <c r="AD46" s="1"/>
    </row>
    <row r="47" ht="15.75" customHeight="1">
      <c r="A47" s="1"/>
      <c r="B47" s="5" t="s">
        <v>822</v>
      </c>
      <c r="C47" s="5">
        <f>COUNTA('Pension-Fund-Base-V1-Default-vi'!$D47:$AC47)</f>
        <v>26</v>
      </c>
      <c r="D47" s="5" t="s">
        <v>823</v>
      </c>
      <c r="E47" s="5" t="s">
        <v>31</v>
      </c>
      <c r="F47" s="6" t="s">
        <v>824</v>
      </c>
      <c r="G47" s="5" t="s">
        <v>825</v>
      </c>
      <c r="H47" s="5" t="s">
        <v>826</v>
      </c>
      <c r="I47" s="5" t="s">
        <v>35</v>
      </c>
      <c r="J47" s="5" t="s">
        <v>827</v>
      </c>
      <c r="K47" s="5" t="s">
        <v>828</v>
      </c>
      <c r="L47" s="5">
        <v>2.0491E10</v>
      </c>
      <c r="M47" s="5" t="s">
        <v>829</v>
      </c>
      <c r="N47" s="5" t="s">
        <v>830</v>
      </c>
      <c r="O47" s="5" t="s">
        <v>605</v>
      </c>
      <c r="P47" s="7" t="s">
        <v>41</v>
      </c>
      <c r="Q47" s="5" t="s">
        <v>831</v>
      </c>
      <c r="R47" s="5" t="s">
        <v>832</v>
      </c>
      <c r="S47" s="5" t="s">
        <v>833</v>
      </c>
      <c r="T47" s="5" t="s">
        <v>834</v>
      </c>
      <c r="U47" s="5" t="s">
        <v>835</v>
      </c>
      <c r="V47" s="5" t="s">
        <v>836</v>
      </c>
      <c r="W47" s="6" t="s">
        <v>837</v>
      </c>
      <c r="X47" s="5" t="s">
        <v>838</v>
      </c>
      <c r="Y47" s="8" t="s">
        <v>69</v>
      </c>
      <c r="Z47" s="8">
        <v>1.2604148955E10</v>
      </c>
      <c r="AA47" s="8" t="s">
        <v>839</v>
      </c>
      <c r="AB47" s="5" t="s">
        <v>840</v>
      </c>
      <c r="AC47" s="8" t="s">
        <v>69</v>
      </c>
      <c r="AD47" s="1"/>
    </row>
    <row r="48" ht="15.75" customHeight="1">
      <c r="A48" s="1"/>
      <c r="B48" s="5" t="s">
        <v>841</v>
      </c>
      <c r="C48" s="5">
        <f>COUNTA('Pension-Fund-Base-V1-Default-vi'!$D48:$AC48)</f>
        <v>26</v>
      </c>
      <c r="D48" s="5" t="s">
        <v>842</v>
      </c>
      <c r="E48" s="5" t="s">
        <v>31</v>
      </c>
      <c r="F48" s="6" t="s">
        <v>843</v>
      </c>
      <c r="G48" s="5" t="s">
        <v>844</v>
      </c>
      <c r="H48" s="5" t="s">
        <v>845</v>
      </c>
      <c r="I48" s="5" t="s">
        <v>602</v>
      </c>
      <c r="J48" s="5" t="s">
        <v>846</v>
      </c>
      <c r="K48" s="5" t="s">
        <v>847</v>
      </c>
      <c r="L48" s="5">
        <v>2.4669E10</v>
      </c>
      <c r="M48" s="5" t="s">
        <v>848</v>
      </c>
      <c r="N48" s="5" t="s">
        <v>849</v>
      </c>
      <c r="O48" s="7" t="s">
        <v>82</v>
      </c>
      <c r="P48" s="7" t="s">
        <v>41</v>
      </c>
      <c r="Q48" s="5" t="s">
        <v>850</v>
      </c>
      <c r="R48" s="5" t="s">
        <v>851</v>
      </c>
      <c r="S48" s="5" t="s">
        <v>852</v>
      </c>
      <c r="T48" s="5" t="s">
        <v>853</v>
      </c>
      <c r="U48" s="5" t="s">
        <v>854</v>
      </c>
      <c r="V48" s="5" t="s">
        <v>855</v>
      </c>
      <c r="W48" s="6" t="s">
        <v>856</v>
      </c>
      <c r="X48" s="5" t="s">
        <v>857</v>
      </c>
      <c r="Y48" s="8" t="s">
        <v>69</v>
      </c>
      <c r="Z48" s="8">
        <v>1.908705393E10</v>
      </c>
      <c r="AA48" s="8" t="s">
        <v>858</v>
      </c>
      <c r="AB48" s="5" t="s">
        <v>859</v>
      </c>
      <c r="AC48" s="8" t="s">
        <v>50</v>
      </c>
      <c r="AD48" s="1"/>
    </row>
    <row r="49" ht="15.75" customHeight="1">
      <c r="A49" s="1"/>
      <c r="B49" s="5" t="s">
        <v>860</v>
      </c>
      <c r="C49" s="5">
        <f>COUNTA('Pension-Fund-Base-V1-Default-vi'!$D49:$AC49)</f>
        <v>24</v>
      </c>
      <c r="D49" s="5" t="s">
        <v>861</v>
      </c>
      <c r="E49" s="5" t="s">
        <v>74</v>
      </c>
      <c r="F49" s="6" t="s">
        <v>862</v>
      </c>
      <c r="G49" s="5" t="s">
        <v>863</v>
      </c>
      <c r="H49" s="5" t="s">
        <v>864</v>
      </c>
      <c r="I49" s="5" t="s">
        <v>35</v>
      </c>
      <c r="J49" s="5" t="s">
        <v>865</v>
      </c>
      <c r="K49" s="5"/>
      <c r="L49" s="5"/>
      <c r="M49" s="5" t="s">
        <v>866</v>
      </c>
      <c r="N49" s="5" t="s">
        <v>867</v>
      </c>
      <c r="O49" s="5" t="s">
        <v>605</v>
      </c>
      <c r="P49" s="7" t="s">
        <v>41</v>
      </c>
      <c r="Q49" s="5" t="s">
        <v>868</v>
      </c>
      <c r="R49" s="5" t="s">
        <v>869</v>
      </c>
      <c r="S49" s="5" t="s">
        <v>870</v>
      </c>
      <c r="T49" s="5" t="s">
        <v>223</v>
      </c>
      <c r="U49" s="5" t="s">
        <v>608</v>
      </c>
      <c r="V49" s="5" t="s">
        <v>871</v>
      </c>
      <c r="W49" s="6" t="s">
        <v>872</v>
      </c>
      <c r="X49" s="5" t="s">
        <v>873</v>
      </c>
      <c r="Y49" s="8" t="s">
        <v>50</v>
      </c>
      <c r="Z49" s="8">
        <v>1.9125313664E10</v>
      </c>
      <c r="AA49" s="8" t="s">
        <v>874</v>
      </c>
      <c r="AB49" s="5" t="s">
        <v>875</v>
      </c>
      <c r="AC49" s="8" t="s">
        <v>50</v>
      </c>
      <c r="AD49" s="1"/>
    </row>
    <row r="50" ht="15.75" customHeight="1">
      <c r="A50" s="1"/>
      <c r="B50" s="5" t="s">
        <v>876</v>
      </c>
      <c r="C50" s="5">
        <f>COUNTA('Pension-Fund-Base-V1-Default-vi'!$D50:$AC50)</f>
        <v>23</v>
      </c>
      <c r="D50" s="5" t="s">
        <v>877</v>
      </c>
      <c r="E50" s="5" t="s">
        <v>290</v>
      </c>
      <c r="F50" s="6"/>
      <c r="G50" s="5" t="s">
        <v>878</v>
      </c>
      <c r="H50" s="5" t="s">
        <v>879</v>
      </c>
      <c r="I50" s="5" t="s">
        <v>326</v>
      </c>
      <c r="J50" s="5" t="s">
        <v>880</v>
      </c>
      <c r="K50" s="5"/>
      <c r="L50" s="5"/>
      <c r="M50" s="5" t="s">
        <v>881</v>
      </c>
      <c r="N50" s="5" t="s">
        <v>882</v>
      </c>
      <c r="O50" s="5" t="s">
        <v>883</v>
      </c>
      <c r="P50" s="7" t="s">
        <v>41</v>
      </c>
      <c r="Q50" s="5" t="s">
        <v>884</v>
      </c>
      <c r="R50" s="5" t="s">
        <v>885</v>
      </c>
      <c r="S50" s="5" t="s">
        <v>886</v>
      </c>
      <c r="T50" s="5" t="s">
        <v>887</v>
      </c>
      <c r="U50" s="5" t="s">
        <v>888</v>
      </c>
      <c r="V50" s="5" t="s">
        <v>889</v>
      </c>
      <c r="W50" s="6" t="s">
        <v>890</v>
      </c>
      <c r="X50" s="5" t="s">
        <v>891</v>
      </c>
      <c r="Y50" s="8" t="s">
        <v>50</v>
      </c>
      <c r="Z50" s="8">
        <v>1.6155858239E10</v>
      </c>
      <c r="AA50" s="8" t="s">
        <v>892</v>
      </c>
      <c r="AB50" s="5" t="s">
        <v>893</v>
      </c>
      <c r="AC50" s="8" t="s">
        <v>50</v>
      </c>
      <c r="AD50" s="1"/>
    </row>
    <row r="51" ht="15.75" customHeight="1">
      <c r="A51" s="1"/>
      <c r="B51" s="5" t="s">
        <v>894</v>
      </c>
      <c r="C51" s="5">
        <f>COUNTA('Pension-Fund-Base-V1-Default-vi'!$D51:$AC51)</f>
        <v>25</v>
      </c>
      <c r="D51" s="5" t="s">
        <v>895</v>
      </c>
      <c r="E51" s="5" t="s">
        <v>31</v>
      </c>
      <c r="F51" s="6" t="s">
        <v>896</v>
      </c>
      <c r="G51" s="5" t="s">
        <v>897</v>
      </c>
      <c r="H51" s="5" t="s">
        <v>898</v>
      </c>
      <c r="I51" s="5" t="s">
        <v>98</v>
      </c>
      <c r="J51" s="5" t="s">
        <v>899</v>
      </c>
      <c r="K51" s="5" t="s">
        <v>900</v>
      </c>
      <c r="L51" s="5">
        <v>1.7954E10</v>
      </c>
      <c r="M51" s="5" t="s">
        <v>901</v>
      </c>
      <c r="N51" s="5" t="s">
        <v>82</v>
      </c>
      <c r="O51" s="7" t="s">
        <v>82</v>
      </c>
      <c r="P51" s="7" t="s">
        <v>41</v>
      </c>
      <c r="Q51" s="5" t="s">
        <v>902</v>
      </c>
      <c r="R51" s="5" t="s">
        <v>903</v>
      </c>
      <c r="S51" s="5" t="s">
        <v>904</v>
      </c>
      <c r="T51" s="5" t="s">
        <v>905</v>
      </c>
      <c r="U51" s="5" t="s">
        <v>854</v>
      </c>
      <c r="V51" s="5" t="s">
        <v>906</v>
      </c>
      <c r="W51" s="6" t="s">
        <v>907</v>
      </c>
      <c r="X51" s="5" t="s">
        <v>908</v>
      </c>
      <c r="Y51" s="8" t="s">
        <v>69</v>
      </c>
      <c r="Z51" s="8"/>
      <c r="AA51" s="8" t="s">
        <v>909</v>
      </c>
      <c r="AB51" s="5" t="s">
        <v>910</v>
      </c>
      <c r="AC51" s="8" t="s">
        <v>50</v>
      </c>
      <c r="AD51" s="1"/>
    </row>
    <row r="52" ht="15.75" customHeight="1">
      <c r="A52" s="1"/>
      <c r="B52" s="5" t="s">
        <v>911</v>
      </c>
      <c r="C52" s="5">
        <f>COUNTA('Pension-Fund-Base-V1-Default-vi'!$D52:$AC52)</f>
        <v>25</v>
      </c>
      <c r="D52" s="5" t="s">
        <v>912</v>
      </c>
      <c r="E52" s="5" t="s">
        <v>31</v>
      </c>
      <c r="F52" s="6" t="s">
        <v>913</v>
      </c>
      <c r="G52" s="5" t="s">
        <v>914</v>
      </c>
      <c r="H52" s="5" t="s">
        <v>915</v>
      </c>
      <c r="I52" s="5" t="s">
        <v>78</v>
      </c>
      <c r="J52" s="5" t="s">
        <v>827</v>
      </c>
      <c r="K52" s="5" t="s">
        <v>916</v>
      </c>
      <c r="L52" s="5">
        <v>4.267E11</v>
      </c>
      <c r="M52" s="5" t="s">
        <v>917</v>
      </c>
      <c r="N52" s="5" t="s">
        <v>918</v>
      </c>
      <c r="O52" s="5" t="s">
        <v>552</v>
      </c>
      <c r="P52" s="5" t="s">
        <v>370</v>
      </c>
      <c r="Q52" s="5" t="s">
        <v>919</v>
      </c>
      <c r="R52" s="5" t="s">
        <v>572</v>
      </c>
      <c r="S52" s="5" t="s">
        <v>920</v>
      </c>
      <c r="T52" s="5" t="s">
        <v>921</v>
      </c>
      <c r="U52" s="5" t="s">
        <v>922</v>
      </c>
      <c r="V52" s="5" t="s">
        <v>923</v>
      </c>
      <c r="W52" s="6" t="s">
        <v>924</v>
      </c>
      <c r="X52" s="5" t="s">
        <v>925</v>
      </c>
      <c r="Y52" s="8" t="s">
        <v>50</v>
      </c>
      <c r="Z52" s="8"/>
      <c r="AA52" s="8" t="s">
        <v>926</v>
      </c>
      <c r="AB52" s="5" t="s">
        <v>925</v>
      </c>
      <c r="AC52" s="8" t="s">
        <v>50</v>
      </c>
      <c r="AD52" s="1"/>
    </row>
    <row r="53" ht="15.75" customHeight="1">
      <c r="A53" s="1"/>
      <c r="B53" s="5" t="s">
        <v>927</v>
      </c>
      <c r="C53" s="5">
        <f>COUNTA('Pension-Fund-Base-V1-Default-vi'!$D53:$AC53)</f>
        <v>26</v>
      </c>
      <c r="D53" s="5" t="s">
        <v>928</v>
      </c>
      <c r="E53" s="5" t="s">
        <v>31</v>
      </c>
      <c r="F53" s="6" t="s">
        <v>929</v>
      </c>
      <c r="G53" s="5" t="s">
        <v>930</v>
      </c>
      <c r="H53" s="5" t="s">
        <v>931</v>
      </c>
      <c r="I53" s="5" t="s">
        <v>35</v>
      </c>
      <c r="J53" s="5" t="s">
        <v>36</v>
      </c>
      <c r="K53" s="5" t="s">
        <v>932</v>
      </c>
      <c r="L53" s="5">
        <v>2.7698E10</v>
      </c>
      <c r="M53" s="5" t="s">
        <v>933</v>
      </c>
      <c r="N53" s="5" t="s">
        <v>934</v>
      </c>
      <c r="O53" s="5" t="s">
        <v>773</v>
      </c>
      <c r="P53" s="7" t="s">
        <v>41</v>
      </c>
      <c r="Q53" s="5" t="s">
        <v>935</v>
      </c>
      <c r="R53" s="5" t="s">
        <v>936</v>
      </c>
      <c r="S53" s="5" t="s">
        <v>937</v>
      </c>
      <c r="T53" s="5" t="s">
        <v>938</v>
      </c>
      <c r="U53" s="5" t="s">
        <v>939</v>
      </c>
      <c r="V53" s="5" t="s">
        <v>940</v>
      </c>
      <c r="W53" s="6" t="s">
        <v>941</v>
      </c>
      <c r="X53" s="5" t="s">
        <v>942</v>
      </c>
      <c r="Y53" s="8" t="s">
        <v>69</v>
      </c>
      <c r="Z53" s="8">
        <v>1.9787600946E10</v>
      </c>
      <c r="AA53" s="8" t="s">
        <v>943</v>
      </c>
      <c r="AB53" s="5" t="s">
        <v>944</v>
      </c>
      <c r="AC53" s="8" t="s">
        <v>50</v>
      </c>
      <c r="AD53" s="1"/>
    </row>
    <row r="54" ht="15.75" customHeight="1">
      <c r="A54" s="1"/>
      <c r="B54" s="5" t="s">
        <v>945</v>
      </c>
      <c r="C54" s="5">
        <f>COUNTA('Pension-Fund-Base-V1-Default-vi'!$D54:$AC54)</f>
        <v>25</v>
      </c>
      <c r="D54" s="5" t="s">
        <v>946</v>
      </c>
      <c r="E54" s="5" t="s">
        <v>31</v>
      </c>
      <c r="F54" s="6" t="s">
        <v>947</v>
      </c>
      <c r="G54" s="5" t="s">
        <v>948</v>
      </c>
      <c r="H54" s="5" t="s">
        <v>34</v>
      </c>
      <c r="I54" s="5" t="s">
        <v>98</v>
      </c>
      <c r="J54" s="5"/>
      <c r="K54" s="5" t="s">
        <v>949</v>
      </c>
      <c r="L54" s="5">
        <v>1.7082E10</v>
      </c>
      <c r="M54" s="5" t="s">
        <v>950</v>
      </c>
      <c r="N54" s="5" t="s">
        <v>951</v>
      </c>
      <c r="O54" s="5" t="s">
        <v>479</v>
      </c>
      <c r="P54" s="7" t="s">
        <v>41</v>
      </c>
      <c r="Q54" s="5" t="s">
        <v>952</v>
      </c>
      <c r="R54" s="5" t="s">
        <v>953</v>
      </c>
      <c r="S54" s="5" t="s">
        <v>954</v>
      </c>
      <c r="T54" s="5" t="s">
        <v>739</v>
      </c>
      <c r="U54" s="5" t="s">
        <v>520</v>
      </c>
      <c r="V54" s="5" t="s">
        <v>955</v>
      </c>
      <c r="W54" s="6" t="s">
        <v>956</v>
      </c>
      <c r="X54" s="5" t="s">
        <v>957</v>
      </c>
      <c r="Y54" s="8" t="s">
        <v>50</v>
      </c>
      <c r="Z54" s="8">
        <v>1.9726721213E10</v>
      </c>
      <c r="AA54" s="8" t="s">
        <v>958</v>
      </c>
      <c r="AB54" s="5" t="s">
        <v>959</v>
      </c>
      <c r="AC54" s="8" t="s">
        <v>50</v>
      </c>
      <c r="AD54" s="1"/>
    </row>
    <row r="55" ht="15.75" customHeight="1">
      <c r="A55" s="1"/>
      <c r="B55" s="5" t="s">
        <v>960</v>
      </c>
      <c r="C55" s="5">
        <f>COUNTA('Pension-Fund-Base-V1-Default-vi'!$D55:$AC55)</f>
        <v>25</v>
      </c>
      <c r="D55" s="5" t="s">
        <v>961</v>
      </c>
      <c r="E55" s="5" t="s">
        <v>31</v>
      </c>
      <c r="F55" s="6" t="s">
        <v>962</v>
      </c>
      <c r="G55" s="5" t="s">
        <v>963</v>
      </c>
      <c r="H55" s="5" t="s">
        <v>364</v>
      </c>
      <c r="I55" s="5" t="s">
        <v>98</v>
      </c>
      <c r="J55" s="5"/>
      <c r="K55" s="5" t="s">
        <v>964</v>
      </c>
      <c r="L55" s="5">
        <v>1.7671E10</v>
      </c>
      <c r="M55" s="5" t="s">
        <v>965</v>
      </c>
      <c r="N55" s="5" t="s">
        <v>882</v>
      </c>
      <c r="O55" s="5" t="s">
        <v>966</v>
      </c>
      <c r="P55" s="7" t="s">
        <v>41</v>
      </c>
      <c r="Q55" s="5" t="s">
        <v>967</v>
      </c>
      <c r="R55" s="5" t="s">
        <v>968</v>
      </c>
      <c r="S55" s="5" t="s">
        <v>969</v>
      </c>
      <c r="T55" s="5" t="s">
        <v>739</v>
      </c>
      <c r="U55" s="5" t="s">
        <v>970</v>
      </c>
      <c r="V55" s="5" t="s">
        <v>971</v>
      </c>
      <c r="W55" s="6" t="s">
        <v>972</v>
      </c>
      <c r="X55" s="5" t="s">
        <v>973</v>
      </c>
      <c r="Y55" s="8" t="s">
        <v>69</v>
      </c>
      <c r="Z55" s="8">
        <v>1.2082499145E10</v>
      </c>
      <c r="AA55" s="8" t="s">
        <v>974</v>
      </c>
      <c r="AB55" s="5" t="s">
        <v>975</v>
      </c>
      <c r="AC55" s="8" t="s">
        <v>50</v>
      </c>
      <c r="AD55" s="1"/>
    </row>
    <row r="56" ht="15.75" customHeight="1">
      <c r="A56" s="1"/>
      <c r="B56" s="5" t="s">
        <v>976</v>
      </c>
      <c r="C56" s="5">
        <f>COUNTA('Pension-Fund-Base-V1-Default-vi'!$D56:$AC56)</f>
        <v>26</v>
      </c>
      <c r="D56" s="5" t="s">
        <v>977</v>
      </c>
      <c r="E56" s="5" t="s">
        <v>31</v>
      </c>
      <c r="F56" s="6" t="s">
        <v>978</v>
      </c>
      <c r="G56" s="5" t="s">
        <v>96</v>
      </c>
      <c r="H56" s="5" t="s">
        <v>97</v>
      </c>
      <c r="I56" s="5" t="s">
        <v>326</v>
      </c>
      <c r="J56" s="5" t="s">
        <v>979</v>
      </c>
      <c r="K56" s="5" t="s">
        <v>980</v>
      </c>
      <c r="L56" s="5">
        <v>4.2666E10</v>
      </c>
      <c r="M56" s="5" t="s">
        <v>981</v>
      </c>
      <c r="N56" s="5" t="s">
        <v>102</v>
      </c>
      <c r="O56" s="5" t="s">
        <v>103</v>
      </c>
      <c r="P56" s="7" t="s">
        <v>41</v>
      </c>
      <c r="Q56" s="5" t="s">
        <v>982</v>
      </c>
      <c r="R56" s="5" t="s">
        <v>983</v>
      </c>
      <c r="S56" s="5" t="s">
        <v>983</v>
      </c>
      <c r="T56" s="5" t="s">
        <v>984</v>
      </c>
      <c r="U56" s="5" t="s">
        <v>108</v>
      </c>
      <c r="V56" s="5" t="s">
        <v>985</v>
      </c>
      <c r="W56" s="6" t="s">
        <v>986</v>
      </c>
      <c r="X56" s="5" t="s">
        <v>987</v>
      </c>
      <c r="Y56" s="8" t="s">
        <v>69</v>
      </c>
      <c r="Z56" s="8">
        <v>1.7046505965E10</v>
      </c>
      <c r="AA56" s="8" t="s">
        <v>988</v>
      </c>
      <c r="AB56" s="5" t="s">
        <v>989</v>
      </c>
      <c r="AC56" s="8" t="s">
        <v>50</v>
      </c>
      <c r="AD56" s="1"/>
    </row>
    <row r="57" ht="15.75" customHeight="1">
      <c r="A57" s="1"/>
      <c r="B57" s="5" t="s">
        <v>990</v>
      </c>
      <c r="C57" s="5">
        <f>COUNTA('Pension-Fund-Base-V1-Default-vi'!$D57:$AC57)</f>
        <v>25</v>
      </c>
      <c r="D57" s="5" t="s">
        <v>991</v>
      </c>
      <c r="E57" s="5" t="s">
        <v>31</v>
      </c>
      <c r="F57" s="6" t="s">
        <v>992</v>
      </c>
      <c r="G57" s="5" t="s">
        <v>993</v>
      </c>
      <c r="H57" s="5" t="s">
        <v>994</v>
      </c>
      <c r="I57" s="5" t="s">
        <v>35</v>
      </c>
      <c r="J57" s="5" t="s">
        <v>995</v>
      </c>
      <c r="K57" s="5" t="s">
        <v>996</v>
      </c>
      <c r="L57" s="5">
        <v>2.1439E10</v>
      </c>
      <c r="M57" s="5" t="s">
        <v>997</v>
      </c>
      <c r="N57" s="5" t="s">
        <v>998</v>
      </c>
      <c r="O57" s="5" t="s">
        <v>141</v>
      </c>
      <c r="P57" s="7" t="s">
        <v>41</v>
      </c>
      <c r="Q57" s="5" t="s">
        <v>982</v>
      </c>
      <c r="R57" s="5" t="s">
        <v>999</v>
      </c>
      <c r="S57" s="5" t="s">
        <v>1000</v>
      </c>
      <c r="T57" s="5" t="s">
        <v>1001</v>
      </c>
      <c r="U57" s="5" t="s">
        <v>1002</v>
      </c>
      <c r="V57" s="5" t="s">
        <v>1003</v>
      </c>
      <c r="W57" s="6" t="s">
        <v>1004</v>
      </c>
      <c r="X57" s="5" t="s">
        <v>1005</v>
      </c>
      <c r="Y57" s="8" t="s">
        <v>69</v>
      </c>
      <c r="Z57" s="8"/>
      <c r="AA57" s="8" t="s">
        <v>1006</v>
      </c>
      <c r="AB57" s="5" t="s">
        <v>1007</v>
      </c>
      <c r="AC57" s="8" t="s">
        <v>50</v>
      </c>
      <c r="AD57" s="1"/>
    </row>
    <row r="58" ht="15.75" customHeight="1">
      <c r="A58" s="1"/>
      <c r="B58" s="5" t="s">
        <v>1008</v>
      </c>
      <c r="C58" s="5">
        <f>COUNTA('Pension-Fund-Base-V1-Default-vi'!$D58:$AC58)</f>
        <v>26</v>
      </c>
      <c r="D58" s="5" t="s">
        <v>1009</v>
      </c>
      <c r="E58" s="5" t="s">
        <v>31</v>
      </c>
      <c r="F58" s="6" t="s">
        <v>1010</v>
      </c>
      <c r="G58" s="5" t="s">
        <v>1011</v>
      </c>
      <c r="H58" s="5" t="s">
        <v>34</v>
      </c>
      <c r="I58" s="5" t="s">
        <v>293</v>
      </c>
      <c r="J58" s="5" t="s">
        <v>99</v>
      </c>
      <c r="K58" s="5" t="s">
        <v>1012</v>
      </c>
      <c r="L58" s="5">
        <v>9.05E10</v>
      </c>
      <c r="M58" s="5" t="s">
        <v>1013</v>
      </c>
      <c r="N58" s="5" t="s">
        <v>918</v>
      </c>
      <c r="O58" s="5" t="s">
        <v>552</v>
      </c>
      <c r="P58" s="5" t="s">
        <v>370</v>
      </c>
      <c r="Q58" s="5" t="s">
        <v>122</v>
      </c>
      <c r="R58" s="5" t="s">
        <v>1014</v>
      </c>
      <c r="S58" s="5" t="s">
        <v>1015</v>
      </c>
      <c r="T58" s="5" t="s">
        <v>1016</v>
      </c>
      <c r="U58" s="5" t="s">
        <v>1017</v>
      </c>
      <c r="V58" s="5" t="s">
        <v>1018</v>
      </c>
      <c r="W58" s="6" t="s">
        <v>1019</v>
      </c>
      <c r="X58" s="5" t="s">
        <v>1020</v>
      </c>
      <c r="Y58" s="8" t="s">
        <v>50</v>
      </c>
      <c r="Z58" s="8">
        <v>1.3167067042E10</v>
      </c>
      <c r="AA58" s="8" t="s">
        <v>1021</v>
      </c>
      <c r="AB58" s="5" t="s">
        <v>1022</v>
      </c>
      <c r="AC58" s="8" t="s">
        <v>50</v>
      </c>
      <c r="AD58" s="1"/>
    </row>
    <row r="59" ht="15.75" customHeight="1">
      <c r="A59" s="1"/>
      <c r="B59" s="5" t="s">
        <v>1023</v>
      </c>
      <c r="C59" s="5">
        <f>COUNTA('Pension-Fund-Base-V1-Default-vi'!$D59:$AC59)</f>
        <v>26</v>
      </c>
      <c r="D59" s="5" t="s">
        <v>1024</v>
      </c>
      <c r="E59" s="5" t="s">
        <v>31</v>
      </c>
      <c r="F59" s="6" t="s">
        <v>1025</v>
      </c>
      <c r="G59" s="5" t="s">
        <v>1026</v>
      </c>
      <c r="H59" s="5" t="s">
        <v>97</v>
      </c>
      <c r="I59" s="5" t="s">
        <v>602</v>
      </c>
      <c r="J59" s="5" t="s">
        <v>1027</v>
      </c>
      <c r="K59" s="5" t="s">
        <v>1028</v>
      </c>
      <c r="L59" s="5">
        <v>1.6739E10</v>
      </c>
      <c r="M59" s="5" t="s">
        <v>1029</v>
      </c>
      <c r="N59" s="5" t="s">
        <v>1030</v>
      </c>
      <c r="O59" s="5" t="s">
        <v>1031</v>
      </c>
      <c r="P59" s="7" t="s">
        <v>41</v>
      </c>
      <c r="Q59" s="5" t="s">
        <v>1032</v>
      </c>
      <c r="R59" s="5" t="s">
        <v>1033</v>
      </c>
      <c r="S59" s="5" t="s">
        <v>1034</v>
      </c>
      <c r="T59" s="5" t="s">
        <v>1035</v>
      </c>
      <c r="U59" s="5" t="s">
        <v>1036</v>
      </c>
      <c r="V59" s="5" t="s">
        <v>1037</v>
      </c>
      <c r="W59" s="6" t="s">
        <v>1038</v>
      </c>
      <c r="X59" s="5" t="s">
        <v>1039</v>
      </c>
      <c r="Y59" s="8" t="s">
        <v>50</v>
      </c>
      <c r="Z59" s="8">
        <v>1.8179255222E10</v>
      </c>
      <c r="AA59" s="8" t="s">
        <v>1040</v>
      </c>
      <c r="AB59" s="5" t="s">
        <v>1041</v>
      </c>
      <c r="AC59" s="8" t="s">
        <v>50</v>
      </c>
      <c r="AD59" s="1"/>
    </row>
    <row r="60" ht="15.75" customHeight="1">
      <c r="A60" s="1"/>
      <c r="B60" s="5" t="s">
        <v>1042</v>
      </c>
      <c r="C60" s="5">
        <f>COUNTA('Pension-Fund-Base-V1-Default-vi'!$D60:$AC60)</f>
        <v>25</v>
      </c>
      <c r="D60" s="5" t="s">
        <v>1043</v>
      </c>
      <c r="E60" s="5" t="s">
        <v>31</v>
      </c>
      <c r="F60" s="6" t="s">
        <v>1044</v>
      </c>
      <c r="G60" s="5" t="s">
        <v>1045</v>
      </c>
      <c r="H60" s="5" t="s">
        <v>662</v>
      </c>
      <c r="I60" s="5" t="s">
        <v>1046</v>
      </c>
      <c r="J60" s="5" t="s">
        <v>1047</v>
      </c>
      <c r="K60" s="5" t="s">
        <v>1048</v>
      </c>
      <c r="L60" s="5">
        <v>1.479E11</v>
      </c>
      <c r="M60" s="5" t="s">
        <v>1049</v>
      </c>
      <c r="N60" s="5" t="s">
        <v>1050</v>
      </c>
      <c r="O60" s="5" t="s">
        <v>1051</v>
      </c>
      <c r="P60" s="7" t="s">
        <v>41</v>
      </c>
      <c r="Q60" s="5" t="s">
        <v>1052</v>
      </c>
      <c r="R60" s="5" t="s">
        <v>1053</v>
      </c>
      <c r="S60" s="5" t="s">
        <v>1054</v>
      </c>
      <c r="T60" s="5" t="s">
        <v>1055</v>
      </c>
      <c r="U60" s="5" t="s">
        <v>1056</v>
      </c>
      <c r="V60" s="5" t="s">
        <v>1057</v>
      </c>
      <c r="W60" s="6" t="s">
        <v>1058</v>
      </c>
      <c r="X60" s="5" t="s">
        <v>1059</v>
      </c>
      <c r="Y60" s="8" t="s">
        <v>69</v>
      </c>
      <c r="Z60" s="8"/>
      <c r="AA60" s="8" t="s">
        <v>1060</v>
      </c>
      <c r="AB60" s="5" t="s">
        <v>1061</v>
      </c>
      <c r="AC60" s="8" t="s">
        <v>50</v>
      </c>
      <c r="AD60" s="1"/>
    </row>
    <row r="61" ht="15.75" customHeight="1">
      <c r="A61" s="1"/>
      <c r="B61" s="5" t="s">
        <v>534</v>
      </c>
      <c r="C61" s="5">
        <f>COUNTA('Pension-Fund-Base-V1-Default-vi'!$D61:$AC61)</f>
        <v>24</v>
      </c>
      <c r="D61" s="5" t="s">
        <v>1062</v>
      </c>
      <c r="E61" s="5" t="s">
        <v>31</v>
      </c>
      <c r="F61" s="6" t="s">
        <v>1063</v>
      </c>
      <c r="G61" s="5"/>
      <c r="H61" s="5" t="s">
        <v>1064</v>
      </c>
      <c r="I61" s="5" t="s">
        <v>293</v>
      </c>
      <c r="J61" s="5" t="s">
        <v>827</v>
      </c>
      <c r="K61" s="5" t="s">
        <v>1065</v>
      </c>
      <c r="L61" s="5">
        <v>1.371E11</v>
      </c>
      <c r="M61" s="5" t="s">
        <v>1066</v>
      </c>
      <c r="N61" s="5" t="s">
        <v>533</v>
      </c>
      <c r="O61" s="5" t="s">
        <v>534</v>
      </c>
      <c r="P61" s="7" t="s">
        <v>41</v>
      </c>
      <c r="Q61" s="5" t="s">
        <v>1067</v>
      </c>
      <c r="R61" s="5" t="s">
        <v>1068</v>
      </c>
      <c r="S61" s="5" t="s">
        <v>1069</v>
      </c>
      <c r="T61" s="5" t="s">
        <v>223</v>
      </c>
      <c r="U61" s="5" t="s">
        <v>1070</v>
      </c>
      <c r="V61" s="5" t="s">
        <v>1071</v>
      </c>
      <c r="W61" s="6" t="s">
        <v>1072</v>
      </c>
      <c r="X61" s="5" t="s">
        <v>1073</v>
      </c>
      <c r="Y61" s="8" t="s">
        <v>69</v>
      </c>
      <c r="Z61" s="8"/>
      <c r="AA61" s="8" t="s">
        <v>1074</v>
      </c>
      <c r="AB61" s="5" t="s">
        <v>1075</v>
      </c>
      <c r="AC61" s="8" t="s">
        <v>50</v>
      </c>
      <c r="AD61" s="1"/>
    </row>
    <row r="62" ht="15.75" customHeight="1">
      <c r="A62" s="1"/>
      <c r="B62" s="5" t="s">
        <v>1076</v>
      </c>
      <c r="C62" s="5">
        <f>COUNTA('Pension-Fund-Base-V1-Default-vi'!$D62:$AC62)</f>
        <v>26</v>
      </c>
      <c r="D62" s="5" t="s">
        <v>1077</v>
      </c>
      <c r="E62" s="5" t="s">
        <v>31</v>
      </c>
      <c r="F62" s="6" t="s">
        <v>1078</v>
      </c>
      <c r="G62" s="5" t="s">
        <v>96</v>
      </c>
      <c r="H62" s="5" t="s">
        <v>97</v>
      </c>
      <c r="I62" s="5" t="s">
        <v>602</v>
      </c>
      <c r="J62" s="5" t="s">
        <v>1079</v>
      </c>
      <c r="K62" s="5" t="s">
        <v>1080</v>
      </c>
      <c r="L62" s="5">
        <v>2.9247E10</v>
      </c>
      <c r="M62" s="5" t="s">
        <v>1081</v>
      </c>
      <c r="N62" s="5" t="s">
        <v>1082</v>
      </c>
      <c r="O62" s="5" t="s">
        <v>1083</v>
      </c>
      <c r="P62" s="7" t="s">
        <v>41</v>
      </c>
      <c r="Q62" s="5" t="s">
        <v>1084</v>
      </c>
      <c r="R62" s="5" t="s">
        <v>1085</v>
      </c>
      <c r="S62" s="5" t="s">
        <v>1086</v>
      </c>
      <c r="T62" s="5" t="s">
        <v>223</v>
      </c>
      <c r="U62" s="5" t="s">
        <v>1087</v>
      </c>
      <c r="V62" s="5" t="s">
        <v>1088</v>
      </c>
      <c r="W62" s="6" t="s">
        <v>1089</v>
      </c>
      <c r="X62" s="5" t="s">
        <v>1090</v>
      </c>
      <c r="Y62" s="8" t="s">
        <v>69</v>
      </c>
      <c r="Z62" s="8">
        <v>1.617785818E10</v>
      </c>
      <c r="AA62" s="8" t="s">
        <v>1091</v>
      </c>
      <c r="AB62" s="5" t="s">
        <v>1092</v>
      </c>
      <c r="AC62" s="8" t="s">
        <v>50</v>
      </c>
      <c r="AD62" s="1"/>
    </row>
    <row r="63" ht="15.75" customHeight="1">
      <c r="A63" s="1"/>
      <c r="B63" s="5" t="s">
        <v>1093</v>
      </c>
      <c r="C63" s="5">
        <f>COUNTA('Pension-Fund-Base-V1-Default-vi'!$D63:$AC63)</f>
        <v>26</v>
      </c>
      <c r="D63" s="5" t="s">
        <v>1094</v>
      </c>
      <c r="E63" s="5" t="s">
        <v>31</v>
      </c>
      <c r="F63" s="6" t="s">
        <v>647</v>
      </c>
      <c r="G63" s="5" t="s">
        <v>96</v>
      </c>
      <c r="H63" s="5" t="s">
        <v>97</v>
      </c>
      <c r="I63" s="5" t="s">
        <v>602</v>
      </c>
      <c r="J63" s="5" t="s">
        <v>648</v>
      </c>
      <c r="K63" s="5" t="s">
        <v>1095</v>
      </c>
      <c r="L63" s="5">
        <v>2.7558E10</v>
      </c>
      <c r="M63" s="5" t="s">
        <v>1096</v>
      </c>
      <c r="N63" s="5" t="s">
        <v>462</v>
      </c>
      <c r="O63" s="5" t="s">
        <v>141</v>
      </c>
      <c r="P63" s="7" t="s">
        <v>41</v>
      </c>
      <c r="Q63" s="5" t="s">
        <v>1097</v>
      </c>
      <c r="R63" s="5" t="s">
        <v>1098</v>
      </c>
      <c r="S63" s="5" t="s">
        <v>1099</v>
      </c>
      <c r="T63" s="5" t="s">
        <v>1100</v>
      </c>
      <c r="U63" s="5" t="s">
        <v>760</v>
      </c>
      <c r="V63" s="5" t="s">
        <v>1101</v>
      </c>
      <c r="W63" s="6" t="s">
        <v>1102</v>
      </c>
      <c r="X63" s="5" t="s">
        <v>1103</v>
      </c>
      <c r="Y63" s="8" t="s">
        <v>50</v>
      </c>
      <c r="Z63" s="8">
        <v>1.5133129134E10</v>
      </c>
      <c r="AA63" s="8" t="s">
        <v>1104</v>
      </c>
      <c r="AB63" s="5" t="s">
        <v>1105</v>
      </c>
      <c r="AC63" s="8" t="s">
        <v>132</v>
      </c>
      <c r="AD63" s="1"/>
    </row>
    <row r="64" ht="15.75" customHeight="1">
      <c r="A64" s="1"/>
      <c r="B64" s="5" t="s">
        <v>1106</v>
      </c>
      <c r="C64" s="5">
        <f>COUNTA('Pension-Fund-Base-V1-Default-vi'!$D64:$AC64)</f>
        <v>25</v>
      </c>
      <c r="D64" s="5" t="s">
        <v>1107</v>
      </c>
      <c r="E64" s="5" t="s">
        <v>31</v>
      </c>
      <c r="F64" s="6" t="s">
        <v>1108</v>
      </c>
      <c r="G64" s="5"/>
      <c r="H64" s="5" t="s">
        <v>1109</v>
      </c>
      <c r="I64" s="5" t="s">
        <v>293</v>
      </c>
      <c r="J64" s="5" t="s">
        <v>1110</v>
      </c>
      <c r="K64" s="5" t="s">
        <v>1111</v>
      </c>
      <c r="L64" s="5">
        <v>1.216E11</v>
      </c>
      <c r="M64" s="5" t="s">
        <v>1112</v>
      </c>
      <c r="N64" s="5" t="s">
        <v>1113</v>
      </c>
      <c r="O64" s="5" t="s">
        <v>1114</v>
      </c>
      <c r="P64" s="7" t="s">
        <v>41</v>
      </c>
      <c r="Q64" s="5" t="s">
        <v>813</v>
      </c>
      <c r="R64" s="5" t="s">
        <v>1115</v>
      </c>
      <c r="S64" s="5" t="s">
        <v>1116</v>
      </c>
      <c r="T64" s="5" t="s">
        <v>223</v>
      </c>
      <c r="U64" s="5" t="s">
        <v>1117</v>
      </c>
      <c r="V64" s="5" t="s">
        <v>1118</v>
      </c>
      <c r="W64" s="6" t="s">
        <v>1119</v>
      </c>
      <c r="X64" s="5" t="s">
        <v>1120</v>
      </c>
      <c r="Y64" s="8" t="s">
        <v>69</v>
      </c>
      <c r="Z64" s="8">
        <v>1.6145884006E10</v>
      </c>
      <c r="AA64" s="8" t="s">
        <v>1121</v>
      </c>
      <c r="AB64" s="5" t="s">
        <v>1122</v>
      </c>
      <c r="AC64" s="8" t="s">
        <v>50</v>
      </c>
      <c r="AD64" s="1"/>
    </row>
    <row r="65" ht="15.75" customHeight="1">
      <c r="A65" s="1"/>
      <c r="B65" s="5" t="s">
        <v>1123</v>
      </c>
      <c r="C65" s="5">
        <f>COUNTA('Pension-Fund-Base-V1-Default-vi'!$D65:$AC65)</f>
        <v>25</v>
      </c>
      <c r="D65" s="5" t="s">
        <v>1124</v>
      </c>
      <c r="E65" s="5" t="s">
        <v>31</v>
      </c>
      <c r="F65" s="6" t="s">
        <v>1125</v>
      </c>
      <c r="G65" s="5" t="s">
        <v>1126</v>
      </c>
      <c r="H65" s="5" t="s">
        <v>1127</v>
      </c>
      <c r="I65" s="5" t="s">
        <v>35</v>
      </c>
      <c r="J65" s="5"/>
      <c r="K65" s="5" t="s">
        <v>1128</v>
      </c>
      <c r="L65" s="5">
        <v>1.8941E10</v>
      </c>
      <c r="M65" s="5" t="s">
        <v>1129</v>
      </c>
      <c r="N65" s="5" t="s">
        <v>330</v>
      </c>
      <c r="O65" s="5" t="s">
        <v>331</v>
      </c>
      <c r="P65" s="7" t="s">
        <v>41</v>
      </c>
      <c r="Q65" s="5" t="s">
        <v>1130</v>
      </c>
      <c r="R65" s="5" t="s">
        <v>1131</v>
      </c>
      <c r="S65" s="5" t="s">
        <v>1132</v>
      </c>
      <c r="T65" s="5" t="s">
        <v>1133</v>
      </c>
      <c r="U65" s="5" t="s">
        <v>690</v>
      </c>
      <c r="V65" s="5" t="s">
        <v>1134</v>
      </c>
      <c r="W65" s="6" t="s">
        <v>1135</v>
      </c>
      <c r="X65" s="5" t="s">
        <v>1136</v>
      </c>
      <c r="Y65" s="8" t="s">
        <v>50</v>
      </c>
      <c r="Z65" s="8">
        <v>1.317435833E10</v>
      </c>
      <c r="AA65" s="8" t="s">
        <v>1137</v>
      </c>
      <c r="AB65" s="5" t="s">
        <v>1138</v>
      </c>
      <c r="AC65" s="8" t="s">
        <v>50</v>
      </c>
      <c r="AD65" s="1"/>
    </row>
    <row r="66" ht="15.75" customHeight="1">
      <c r="A66" s="1"/>
      <c r="B66" s="5" t="s">
        <v>1139</v>
      </c>
      <c r="C66" s="5">
        <f>COUNTA('Pension-Fund-Base-V1-Default-vi'!$D66:$AC66)</f>
        <v>26</v>
      </c>
      <c r="D66" s="5" t="s">
        <v>1140</v>
      </c>
      <c r="E66" s="5" t="s">
        <v>31</v>
      </c>
      <c r="F66" s="6" t="s">
        <v>1141</v>
      </c>
      <c r="G66" s="5" t="s">
        <v>1142</v>
      </c>
      <c r="H66" s="5" t="s">
        <v>364</v>
      </c>
      <c r="I66" s="5" t="s">
        <v>176</v>
      </c>
      <c r="J66" s="5" t="s">
        <v>117</v>
      </c>
      <c r="K66" s="5" t="s">
        <v>1143</v>
      </c>
      <c r="L66" s="5">
        <v>2.5116E10</v>
      </c>
      <c r="M66" s="5" t="s">
        <v>1144</v>
      </c>
      <c r="N66" s="5" t="s">
        <v>1145</v>
      </c>
      <c r="O66" s="5" t="s">
        <v>1146</v>
      </c>
      <c r="P66" s="7" t="s">
        <v>41</v>
      </c>
      <c r="Q66" s="5" t="s">
        <v>122</v>
      </c>
      <c r="R66" s="5" t="s">
        <v>1147</v>
      </c>
      <c r="S66" s="5" t="s">
        <v>1148</v>
      </c>
      <c r="T66" s="5" t="s">
        <v>1149</v>
      </c>
      <c r="U66" s="5" t="s">
        <v>1150</v>
      </c>
      <c r="V66" s="5" t="s">
        <v>1151</v>
      </c>
      <c r="W66" s="6" t="s">
        <v>1152</v>
      </c>
      <c r="X66" s="5" t="s">
        <v>1153</v>
      </c>
      <c r="Y66" s="8" t="s">
        <v>50</v>
      </c>
      <c r="Z66" s="8">
        <v>1.2064848855E10</v>
      </c>
      <c r="AA66" s="8" t="s">
        <v>1154</v>
      </c>
      <c r="AB66" s="5" t="s">
        <v>1153</v>
      </c>
      <c r="AC66" s="8" t="s">
        <v>50</v>
      </c>
      <c r="AD66" s="1"/>
    </row>
    <row r="67" ht="15.75" customHeight="1">
      <c r="A67" s="1"/>
      <c r="B67" s="5" t="s">
        <v>1155</v>
      </c>
      <c r="C67" s="5">
        <f>COUNTA('Pension-Fund-Base-V1-Default-vi'!$D67:$AC67)</f>
        <v>26</v>
      </c>
      <c r="D67" s="5" t="s">
        <v>1156</v>
      </c>
      <c r="E67" s="5" t="s">
        <v>31</v>
      </c>
      <c r="F67" s="6" t="s">
        <v>1157</v>
      </c>
      <c r="G67" s="5" t="s">
        <v>1158</v>
      </c>
      <c r="H67" s="5" t="s">
        <v>1159</v>
      </c>
      <c r="I67" s="5" t="s">
        <v>493</v>
      </c>
      <c r="J67" s="5" t="s">
        <v>1160</v>
      </c>
      <c r="K67" s="5" t="s">
        <v>1161</v>
      </c>
      <c r="L67" s="5">
        <v>7.742E11</v>
      </c>
      <c r="M67" s="5" t="s">
        <v>1162</v>
      </c>
      <c r="N67" s="5" t="s">
        <v>179</v>
      </c>
      <c r="O67" s="5" t="s">
        <v>1163</v>
      </c>
      <c r="P67" s="7" t="s">
        <v>41</v>
      </c>
      <c r="Q67" s="5" t="s">
        <v>1164</v>
      </c>
      <c r="R67" s="5" t="s">
        <v>1165</v>
      </c>
      <c r="S67" s="5" t="s">
        <v>1166</v>
      </c>
      <c r="T67" s="5" t="s">
        <v>1167</v>
      </c>
      <c r="U67" s="5" t="s">
        <v>1168</v>
      </c>
      <c r="V67" s="5" t="s">
        <v>1169</v>
      </c>
      <c r="W67" s="6" t="s">
        <v>1170</v>
      </c>
      <c r="X67" s="5" t="s">
        <v>1171</v>
      </c>
      <c r="Y67" s="8" t="s">
        <v>69</v>
      </c>
      <c r="Z67" s="8">
        <v>1.4127201988E10</v>
      </c>
      <c r="AA67" s="8" t="s">
        <v>1172</v>
      </c>
      <c r="AB67" s="5" t="s">
        <v>1173</v>
      </c>
      <c r="AC67" s="8" t="s">
        <v>50</v>
      </c>
      <c r="AD67" s="1"/>
    </row>
    <row r="68" ht="15.75" customHeight="1">
      <c r="A68" s="1"/>
      <c r="B68" s="5" t="s">
        <v>1174</v>
      </c>
      <c r="C68" s="5">
        <f>COUNTA('Pension-Fund-Base-V1-Default-vi'!$D68:$AC68)</f>
        <v>25</v>
      </c>
      <c r="D68" s="5" t="s">
        <v>1175</v>
      </c>
      <c r="E68" s="5" t="s">
        <v>31</v>
      </c>
      <c r="F68" s="6"/>
      <c r="G68" s="5" t="s">
        <v>1176</v>
      </c>
      <c r="H68" s="5" t="s">
        <v>1177</v>
      </c>
      <c r="I68" s="5" t="s">
        <v>35</v>
      </c>
      <c r="J68" s="5" t="s">
        <v>1178</v>
      </c>
      <c r="K68" s="5" t="s">
        <v>1179</v>
      </c>
      <c r="L68" s="5">
        <v>6.07E10</v>
      </c>
      <c r="M68" s="5" t="s">
        <v>1180</v>
      </c>
      <c r="N68" s="5" t="s">
        <v>1181</v>
      </c>
      <c r="O68" s="5" t="s">
        <v>966</v>
      </c>
      <c r="P68" s="7" t="s">
        <v>41</v>
      </c>
      <c r="Q68" s="5" t="s">
        <v>952</v>
      </c>
      <c r="R68" s="5" t="s">
        <v>1182</v>
      </c>
      <c r="S68" s="5" t="s">
        <v>1183</v>
      </c>
      <c r="T68" s="5" t="s">
        <v>1184</v>
      </c>
      <c r="U68" s="5" t="s">
        <v>1185</v>
      </c>
      <c r="V68" s="5" t="s">
        <v>1186</v>
      </c>
      <c r="W68" s="6" t="s">
        <v>1187</v>
      </c>
      <c r="X68" s="5" t="s">
        <v>1188</v>
      </c>
      <c r="Y68" s="8" t="s">
        <v>69</v>
      </c>
      <c r="Z68" s="8">
        <v>1.7177986504E10</v>
      </c>
      <c r="AA68" s="8" t="s">
        <v>1189</v>
      </c>
      <c r="AB68" s="5" t="s">
        <v>1190</v>
      </c>
      <c r="AC68" s="8" t="s">
        <v>50</v>
      </c>
      <c r="AD68" s="1"/>
    </row>
    <row r="69" ht="15.75" customHeight="1">
      <c r="A69" s="1"/>
      <c r="B69" s="5" t="s">
        <v>1191</v>
      </c>
      <c r="C69" s="5">
        <f>COUNTA('Pension-Fund-Base-V1-Default-vi'!$D69:$AC69)</f>
        <v>24</v>
      </c>
      <c r="D69" s="5" t="s">
        <v>1192</v>
      </c>
      <c r="E69" s="5" t="s">
        <v>31</v>
      </c>
      <c r="F69" s="6" t="s">
        <v>1193</v>
      </c>
      <c r="G69" s="5"/>
      <c r="H69" s="5" t="s">
        <v>1194</v>
      </c>
      <c r="I69" s="5" t="s">
        <v>35</v>
      </c>
      <c r="J69" s="5" t="s">
        <v>1195</v>
      </c>
      <c r="K69" s="5" t="s">
        <v>1196</v>
      </c>
      <c r="L69" s="5">
        <v>9.51E10</v>
      </c>
      <c r="M69" s="5" t="s">
        <v>1197</v>
      </c>
      <c r="N69" s="5" t="s">
        <v>1113</v>
      </c>
      <c r="O69" s="5" t="s">
        <v>1198</v>
      </c>
      <c r="P69" s="7" t="s">
        <v>41</v>
      </c>
      <c r="Q69" s="5" t="s">
        <v>1199</v>
      </c>
      <c r="R69" s="5" t="s">
        <v>1200</v>
      </c>
      <c r="S69" s="5" t="s">
        <v>1201</v>
      </c>
      <c r="T69" s="5" t="s">
        <v>223</v>
      </c>
      <c r="U69" s="5" t="s">
        <v>922</v>
      </c>
      <c r="V69" s="5" t="s">
        <v>1202</v>
      </c>
      <c r="W69" s="6" t="s">
        <v>1203</v>
      </c>
      <c r="X69" s="5" t="s">
        <v>1204</v>
      </c>
      <c r="Y69" s="8" t="s">
        <v>50</v>
      </c>
      <c r="Z69" s="8"/>
      <c r="AA69" s="8" t="s">
        <v>1205</v>
      </c>
      <c r="AB69" s="5" t="s">
        <v>1206</v>
      </c>
      <c r="AC69" s="8" t="s">
        <v>132</v>
      </c>
      <c r="AD69" s="1"/>
    </row>
    <row r="70" ht="15.75" customHeight="1">
      <c r="A70" s="1"/>
      <c r="B70" s="5" t="s">
        <v>1207</v>
      </c>
      <c r="C70" s="5">
        <f>COUNTA('Pension-Fund-Base-V1-Default-vi'!$D70:$AC70)</f>
        <v>25</v>
      </c>
      <c r="D70" s="5" t="s">
        <v>1208</v>
      </c>
      <c r="E70" s="5" t="s">
        <v>31</v>
      </c>
      <c r="F70" s="6" t="s">
        <v>1209</v>
      </c>
      <c r="G70" s="5" t="s">
        <v>1210</v>
      </c>
      <c r="H70" s="5" t="s">
        <v>1211</v>
      </c>
      <c r="I70" s="5" t="s">
        <v>1212</v>
      </c>
      <c r="J70" s="5" t="s">
        <v>1213</v>
      </c>
      <c r="K70" s="5" t="s">
        <v>1214</v>
      </c>
      <c r="L70" s="5">
        <v>2.678E11</v>
      </c>
      <c r="M70" s="5" t="s">
        <v>1215</v>
      </c>
      <c r="N70" s="5" t="s">
        <v>81</v>
      </c>
      <c r="O70" s="7" t="s">
        <v>82</v>
      </c>
      <c r="P70" s="7" t="s">
        <v>41</v>
      </c>
      <c r="Q70" s="5" t="s">
        <v>1216</v>
      </c>
      <c r="R70" s="5" t="s">
        <v>1217</v>
      </c>
      <c r="S70" s="5" t="s">
        <v>1218</v>
      </c>
      <c r="T70" s="5" t="s">
        <v>1219</v>
      </c>
      <c r="U70" s="5" t="s">
        <v>557</v>
      </c>
      <c r="V70" s="5" t="s">
        <v>1220</v>
      </c>
      <c r="W70" s="6" t="s">
        <v>1221</v>
      </c>
      <c r="X70" s="5" t="s">
        <v>1222</v>
      </c>
      <c r="Y70" s="8" t="s">
        <v>50</v>
      </c>
      <c r="Z70" s="8"/>
      <c r="AA70" s="8" t="s">
        <v>1223</v>
      </c>
      <c r="AB70" s="5" t="s">
        <v>1224</v>
      </c>
      <c r="AC70" s="8" t="s">
        <v>50</v>
      </c>
      <c r="AD70" s="1"/>
    </row>
    <row r="71" ht="15.75" customHeight="1">
      <c r="A71" s="1"/>
      <c r="B71" s="5" t="s">
        <v>1225</v>
      </c>
      <c r="C71" s="5">
        <f>COUNTA('Pension-Fund-Base-V1-Default-vi'!$D71:$AC71)</f>
        <v>25</v>
      </c>
      <c r="D71" s="5" t="s">
        <v>1226</v>
      </c>
      <c r="E71" s="5" t="s">
        <v>31</v>
      </c>
      <c r="F71" s="6" t="s">
        <v>1227</v>
      </c>
      <c r="G71" s="5" t="s">
        <v>1228</v>
      </c>
      <c r="H71" s="5" t="s">
        <v>1229</v>
      </c>
      <c r="I71" s="5" t="s">
        <v>35</v>
      </c>
      <c r="J71" s="5" t="s">
        <v>1230</v>
      </c>
      <c r="K71" s="5" t="s">
        <v>1231</v>
      </c>
      <c r="L71" s="5">
        <v>2.9821E10</v>
      </c>
      <c r="M71" s="5" t="s">
        <v>1232</v>
      </c>
      <c r="N71" s="5" t="s">
        <v>811</v>
      </c>
      <c r="O71" s="5"/>
      <c r="P71" s="5" t="s">
        <v>812</v>
      </c>
      <c r="Q71" s="5" t="s">
        <v>1233</v>
      </c>
      <c r="R71" s="5" t="s">
        <v>1234</v>
      </c>
      <c r="S71" s="5" t="s">
        <v>1235</v>
      </c>
      <c r="T71" s="5" t="s">
        <v>1236</v>
      </c>
      <c r="U71" s="5" t="s">
        <v>854</v>
      </c>
      <c r="V71" s="5" t="s">
        <v>1237</v>
      </c>
      <c r="W71" s="6" t="s">
        <v>1238</v>
      </c>
      <c r="X71" s="5" t="s">
        <v>1239</v>
      </c>
      <c r="Y71" s="8" t="s">
        <v>50</v>
      </c>
      <c r="Z71" s="8">
        <v>1.917543357E10</v>
      </c>
      <c r="AA71" s="8" t="s">
        <v>1240</v>
      </c>
      <c r="AB71" s="5" t="s">
        <v>1241</v>
      </c>
      <c r="AC71" s="8" t="s">
        <v>50</v>
      </c>
      <c r="AD71" s="1"/>
    </row>
    <row r="72" ht="15.75" customHeight="1">
      <c r="A72" s="1"/>
      <c r="B72" s="5" t="s">
        <v>1242</v>
      </c>
      <c r="C72" s="5">
        <f>COUNTA('Pension-Fund-Base-V1-Default-vi'!$D72:$AC72)</f>
        <v>25</v>
      </c>
      <c r="D72" s="5" t="s">
        <v>1243</v>
      </c>
      <c r="E72" s="5" t="s">
        <v>31</v>
      </c>
      <c r="F72" s="6" t="s">
        <v>1244</v>
      </c>
      <c r="G72" s="5" t="s">
        <v>1245</v>
      </c>
      <c r="H72" s="5" t="s">
        <v>1246</v>
      </c>
      <c r="I72" s="5"/>
      <c r="J72" s="5" t="s">
        <v>1247</v>
      </c>
      <c r="K72" s="5" t="s">
        <v>1248</v>
      </c>
      <c r="L72" s="5">
        <v>7.2E10</v>
      </c>
      <c r="M72" s="5" t="s">
        <v>1249</v>
      </c>
      <c r="N72" s="5" t="s">
        <v>1250</v>
      </c>
      <c r="O72" s="5" t="s">
        <v>427</v>
      </c>
      <c r="P72" s="7" t="s">
        <v>41</v>
      </c>
      <c r="Q72" s="5" t="s">
        <v>1251</v>
      </c>
      <c r="R72" s="5" t="s">
        <v>903</v>
      </c>
      <c r="S72" s="5" t="s">
        <v>1252</v>
      </c>
      <c r="T72" s="5" t="s">
        <v>519</v>
      </c>
      <c r="U72" s="5" t="s">
        <v>1253</v>
      </c>
      <c r="V72" s="5" t="s">
        <v>1254</v>
      </c>
      <c r="W72" s="6" t="s">
        <v>1255</v>
      </c>
      <c r="X72" s="5" t="s">
        <v>1256</v>
      </c>
      <c r="Y72" s="8" t="s">
        <v>69</v>
      </c>
      <c r="Z72" s="8">
        <v>1.2088636589E10</v>
      </c>
      <c r="AA72" s="8" t="s">
        <v>1257</v>
      </c>
      <c r="AB72" s="5" t="s">
        <v>1258</v>
      </c>
      <c r="AC72" s="8" t="s">
        <v>50</v>
      </c>
      <c r="AD72" s="1"/>
    </row>
    <row r="73" ht="15.75" customHeight="1">
      <c r="A73" s="1"/>
      <c r="B73" s="5" t="s">
        <v>1259</v>
      </c>
      <c r="C73" s="5">
        <f>COUNTA('Pension-Fund-Base-V1-Default-vi'!$D73:$AC73)</f>
        <v>26</v>
      </c>
      <c r="D73" s="5" t="s">
        <v>1260</v>
      </c>
      <c r="E73" s="5" t="s">
        <v>31</v>
      </c>
      <c r="F73" s="6" t="s">
        <v>1261</v>
      </c>
      <c r="G73" s="5" t="s">
        <v>1262</v>
      </c>
      <c r="H73" s="5" t="s">
        <v>1263</v>
      </c>
      <c r="I73" s="5" t="s">
        <v>35</v>
      </c>
      <c r="J73" s="5" t="s">
        <v>1264</v>
      </c>
      <c r="K73" s="5" t="s">
        <v>1265</v>
      </c>
      <c r="L73" s="5">
        <v>2.4767E10</v>
      </c>
      <c r="M73" s="5" t="s">
        <v>1266</v>
      </c>
      <c r="N73" s="5" t="s">
        <v>1267</v>
      </c>
      <c r="O73" s="5" t="s">
        <v>1031</v>
      </c>
      <c r="P73" s="7" t="s">
        <v>41</v>
      </c>
      <c r="Q73" s="5" t="s">
        <v>1268</v>
      </c>
      <c r="R73" s="5" t="s">
        <v>1269</v>
      </c>
      <c r="S73" s="5" t="s">
        <v>1270</v>
      </c>
      <c r="T73" s="5" t="s">
        <v>262</v>
      </c>
      <c r="U73" s="5" t="s">
        <v>1271</v>
      </c>
      <c r="V73" s="5" t="s">
        <v>1272</v>
      </c>
      <c r="W73" s="6" t="s">
        <v>1273</v>
      </c>
      <c r="X73" s="5" t="s">
        <v>1274</v>
      </c>
      <c r="Y73" s="8" t="s">
        <v>50</v>
      </c>
      <c r="Z73" s="8">
        <v>1.9134881454E10</v>
      </c>
      <c r="AA73" s="8" t="s">
        <v>1275</v>
      </c>
      <c r="AB73" s="5" t="s">
        <v>1276</v>
      </c>
      <c r="AC73" s="8" t="s">
        <v>50</v>
      </c>
      <c r="AD73" s="1"/>
    </row>
    <row r="74" ht="15.75" customHeight="1">
      <c r="A74" s="1"/>
      <c r="B74" s="5" t="s">
        <v>1277</v>
      </c>
      <c r="C74" s="5">
        <f>COUNTA('Pension-Fund-Base-V1-Default-vi'!$D74:$AC74)</f>
        <v>26</v>
      </c>
      <c r="D74" s="5" t="s">
        <v>1278</v>
      </c>
      <c r="E74" s="5" t="s">
        <v>31</v>
      </c>
      <c r="F74" s="6" t="s">
        <v>1279</v>
      </c>
      <c r="G74" s="5" t="s">
        <v>1280</v>
      </c>
      <c r="H74" s="5" t="s">
        <v>618</v>
      </c>
      <c r="I74" s="5" t="s">
        <v>293</v>
      </c>
      <c r="J74" s="5" t="s">
        <v>1281</v>
      </c>
      <c r="K74" s="5" t="s">
        <v>1282</v>
      </c>
      <c r="L74" s="5">
        <v>1.967E11</v>
      </c>
      <c r="M74" s="5" t="s">
        <v>348</v>
      </c>
      <c r="N74" s="5" t="s">
        <v>349</v>
      </c>
      <c r="O74" s="5" t="s">
        <v>350</v>
      </c>
      <c r="P74" s="7" t="s">
        <v>41</v>
      </c>
      <c r="Q74" s="5" t="s">
        <v>1283</v>
      </c>
      <c r="R74" s="5" t="s">
        <v>1284</v>
      </c>
      <c r="S74" s="5" t="s">
        <v>1285</v>
      </c>
      <c r="T74" s="5" t="s">
        <v>1286</v>
      </c>
      <c r="U74" s="5" t="s">
        <v>355</v>
      </c>
      <c r="V74" s="5" t="s">
        <v>356</v>
      </c>
      <c r="W74" s="6" t="s">
        <v>1287</v>
      </c>
      <c r="X74" s="5" t="s">
        <v>1288</v>
      </c>
      <c r="Y74" s="8" t="s">
        <v>69</v>
      </c>
      <c r="Z74" s="8">
        <v>1.5126598509E10</v>
      </c>
      <c r="AA74" s="8" t="s">
        <v>1289</v>
      </c>
      <c r="AB74" s="5" t="s">
        <v>1290</v>
      </c>
      <c r="AC74" s="8" t="s">
        <v>50</v>
      </c>
      <c r="AD74" s="1"/>
    </row>
    <row r="75" ht="15.75" customHeight="1">
      <c r="A75" s="1"/>
      <c r="B75" s="5" t="s">
        <v>1291</v>
      </c>
      <c r="C75" s="5">
        <f>COUNTA('Pension-Fund-Base-V1-Default-vi'!$D75:$AC75)</f>
        <v>26</v>
      </c>
      <c r="D75" s="5" t="s">
        <v>1292</v>
      </c>
      <c r="E75" s="5" t="s">
        <v>31</v>
      </c>
      <c r="F75" s="6" t="s">
        <v>1293</v>
      </c>
      <c r="G75" s="5" t="s">
        <v>1294</v>
      </c>
      <c r="H75" s="5" t="s">
        <v>1295</v>
      </c>
      <c r="I75" s="5" t="s">
        <v>98</v>
      </c>
      <c r="J75" s="5" t="s">
        <v>1296</v>
      </c>
      <c r="K75" s="5" t="s">
        <v>1297</v>
      </c>
      <c r="L75" s="5">
        <v>1.6527E10</v>
      </c>
      <c r="M75" s="5" t="s">
        <v>1298</v>
      </c>
      <c r="N75" s="5" t="s">
        <v>1113</v>
      </c>
      <c r="O75" s="5" t="s">
        <v>1198</v>
      </c>
      <c r="P75" s="7" t="s">
        <v>41</v>
      </c>
      <c r="Q75" s="5" t="s">
        <v>1299</v>
      </c>
      <c r="R75" s="5" t="s">
        <v>1300</v>
      </c>
      <c r="S75" s="5" t="s">
        <v>1301</v>
      </c>
      <c r="T75" s="5" t="s">
        <v>652</v>
      </c>
      <c r="U75" s="5" t="s">
        <v>922</v>
      </c>
      <c r="V75" s="5" t="s">
        <v>1302</v>
      </c>
      <c r="W75" s="6" t="s">
        <v>1303</v>
      </c>
      <c r="X75" s="5" t="s">
        <v>1304</v>
      </c>
      <c r="Y75" s="8" t="s">
        <v>50</v>
      </c>
      <c r="Z75" s="8">
        <v>1.9169037301E10</v>
      </c>
      <c r="AA75" s="8" t="s">
        <v>1305</v>
      </c>
      <c r="AB75" s="5" t="s">
        <v>1306</v>
      </c>
      <c r="AC75" s="8" t="s">
        <v>50</v>
      </c>
      <c r="AD75" s="1"/>
    </row>
    <row r="76" ht="15.75" customHeight="1">
      <c r="A76" s="1"/>
      <c r="B76" s="5" t="s">
        <v>1307</v>
      </c>
      <c r="C76" s="5">
        <f>COUNTA('Pension-Fund-Base-V1-Default-vi'!$D76:$AC76)</f>
        <v>23</v>
      </c>
      <c r="D76" s="5" t="s">
        <v>1308</v>
      </c>
      <c r="E76" s="5" t="s">
        <v>31</v>
      </c>
      <c r="F76" s="6" t="s">
        <v>1309</v>
      </c>
      <c r="G76" s="5"/>
      <c r="H76" s="5"/>
      <c r="I76" s="5" t="s">
        <v>98</v>
      </c>
      <c r="J76" s="5" t="s">
        <v>979</v>
      </c>
      <c r="K76" s="5" t="s">
        <v>1310</v>
      </c>
      <c r="L76" s="5">
        <v>2.0662E10</v>
      </c>
      <c r="M76" s="5" t="s">
        <v>1311</v>
      </c>
      <c r="N76" s="5" t="s">
        <v>1312</v>
      </c>
      <c r="O76" s="5" t="s">
        <v>1313</v>
      </c>
      <c r="P76" s="7" t="s">
        <v>41</v>
      </c>
      <c r="Q76" s="5" t="s">
        <v>1314</v>
      </c>
      <c r="R76" s="5" t="s">
        <v>1315</v>
      </c>
      <c r="S76" s="5" t="s">
        <v>1316</v>
      </c>
      <c r="T76" s="5" t="s">
        <v>223</v>
      </c>
      <c r="U76" s="5" t="s">
        <v>1317</v>
      </c>
      <c r="V76" s="5" t="s">
        <v>1318</v>
      </c>
      <c r="W76" s="6" t="s">
        <v>1319</v>
      </c>
      <c r="X76" s="5" t="s">
        <v>1320</v>
      </c>
      <c r="Y76" s="8" t="s">
        <v>50</v>
      </c>
      <c r="Z76" s="8"/>
      <c r="AA76" s="8" t="s">
        <v>1321</v>
      </c>
      <c r="AB76" s="5" t="s">
        <v>1322</v>
      </c>
      <c r="AC76" s="8" t="s">
        <v>50</v>
      </c>
      <c r="AD76" s="1"/>
    </row>
    <row r="77" ht="15.75" customHeight="1">
      <c r="A77" s="1"/>
      <c r="B77" s="5" t="s">
        <v>1323</v>
      </c>
      <c r="C77" s="5">
        <f>COUNTA('Pension-Fund-Base-V1-Default-vi'!$D77:$AC77)</f>
        <v>26</v>
      </c>
      <c r="D77" s="5" t="s">
        <v>1324</v>
      </c>
      <c r="E77" s="5" t="s">
        <v>31</v>
      </c>
      <c r="F77" s="6" t="s">
        <v>1325</v>
      </c>
      <c r="G77" s="5" t="s">
        <v>1326</v>
      </c>
      <c r="H77" s="5" t="s">
        <v>1246</v>
      </c>
      <c r="I77" s="5" t="s">
        <v>1327</v>
      </c>
      <c r="J77" s="5" t="s">
        <v>827</v>
      </c>
      <c r="K77" s="5" t="s">
        <v>1328</v>
      </c>
      <c r="L77" s="5">
        <v>4.038E10</v>
      </c>
      <c r="M77" s="5" t="s">
        <v>1329</v>
      </c>
      <c r="N77" s="5" t="s">
        <v>349</v>
      </c>
      <c r="O77" s="5" t="s">
        <v>350</v>
      </c>
      <c r="P77" s="7" t="s">
        <v>41</v>
      </c>
      <c r="Q77" s="5" t="s">
        <v>1330</v>
      </c>
      <c r="R77" s="5" t="s">
        <v>1331</v>
      </c>
      <c r="S77" s="5" t="s">
        <v>1332</v>
      </c>
      <c r="T77" s="5" t="s">
        <v>652</v>
      </c>
      <c r="U77" s="5" t="s">
        <v>1333</v>
      </c>
      <c r="V77" s="5" t="s">
        <v>1334</v>
      </c>
      <c r="W77" s="6" t="s">
        <v>1335</v>
      </c>
      <c r="X77" s="5" t="s">
        <v>1336</v>
      </c>
      <c r="Y77" s="8" t="s">
        <v>69</v>
      </c>
      <c r="Z77" s="8">
        <v>1.5127314806E10</v>
      </c>
      <c r="AA77" s="8" t="s">
        <v>1337</v>
      </c>
      <c r="AB77" s="5" t="s">
        <v>1338</v>
      </c>
      <c r="AC77" s="8" t="s">
        <v>69</v>
      </c>
      <c r="AD77" s="1"/>
    </row>
    <row r="78" ht="15.75" customHeight="1">
      <c r="A78" s="1"/>
      <c r="B78" s="5" t="s">
        <v>1339</v>
      </c>
      <c r="C78" s="5">
        <f>COUNTA('Pension-Fund-Base-V1-Default-vi'!$D78:$AC78)</f>
        <v>26</v>
      </c>
      <c r="D78" s="5" t="s">
        <v>1340</v>
      </c>
      <c r="E78" s="5" t="s">
        <v>31</v>
      </c>
      <c r="F78" s="6" t="s">
        <v>1341</v>
      </c>
      <c r="G78" s="5" t="s">
        <v>1342</v>
      </c>
      <c r="H78" s="5" t="s">
        <v>1343</v>
      </c>
      <c r="I78" s="5" t="s">
        <v>35</v>
      </c>
      <c r="J78" s="5" t="s">
        <v>1344</v>
      </c>
      <c r="K78" s="5" t="s">
        <v>1345</v>
      </c>
      <c r="L78" s="5">
        <v>3.4796E10</v>
      </c>
      <c r="M78" s="5" t="s">
        <v>1346</v>
      </c>
      <c r="N78" s="5" t="s">
        <v>349</v>
      </c>
      <c r="O78" s="5" t="s">
        <v>350</v>
      </c>
      <c r="P78" s="7" t="s">
        <v>41</v>
      </c>
      <c r="Q78" s="5" t="s">
        <v>1347</v>
      </c>
      <c r="R78" s="5" t="s">
        <v>1348</v>
      </c>
      <c r="S78" s="5" t="s">
        <v>1349</v>
      </c>
      <c r="T78" s="5" t="s">
        <v>652</v>
      </c>
      <c r="U78" s="5" t="s">
        <v>299</v>
      </c>
      <c r="V78" s="5" t="s">
        <v>1350</v>
      </c>
      <c r="W78" s="6" t="s">
        <v>1351</v>
      </c>
      <c r="X78" s="5" t="s">
        <v>1352</v>
      </c>
      <c r="Y78" s="8" t="s">
        <v>50</v>
      </c>
      <c r="Z78" s="8">
        <v>1.2032524549E10</v>
      </c>
      <c r="AA78" s="8" t="s">
        <v>1353</v>
      </c>
      <c r="AB78" s="5" t="s">
        <v>1354</v>
      </c>
      <c r="AC78" s="8" t="s">
        <v>50</v>
      </c>
      <c r="AD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2"/>
      <c r="AA79" s="2"/>
      <c r="AB79" s="2"/>
      <c r="AC79" s="1"/>
      <c r="AD79" s="2"/>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2"/>
      <c r="AA80" s="2"/>
      <c r="AB80" s="2"/>
      <c r="AC80" s="1"/>
      <c r="AD80" s="2"/>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2"/>
      <c r="AA81" s="2"/>
      <c r="AB81" s="2"/>
      <c r="AC81" s="1"/>
      <c r="AD81" s="2"/>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2"/>
      <c r="AA82" s="2"/>
      <c r="AB82" s="2"/>
      <c r="AC82" s="1"/>
      <c r="AD82" s="2"/>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2"/>
      <c r="AA83" s="2"/>
      <c r="AB83" s="2"/>
      <c r="AC83" s="1"/>
      <c r="AD83" s="2"/>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2"/>
      <c r="AA84" s="2"/>
      <c r="AB84" s="2"/>
      <c r="AC84" s="1"/>
      <c r="AD84" s="2"/>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2"/>
      <c r="AA85" s="2"/>
      <c r="AB85" s="2"/>
      <c r="AC85" s="1"/>
      <c r="AD85" s="2"/>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2"/>
      <c r="AA86" s="2"/>
      <c r="AB86" s="2"/>
      <c r="AC86" s="1"/>
      <c r="AD86" s="2"/>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2"/>
      <c r="AA87" s="2"/>
      <c r="AB87" s="2"/>
      <c r="AC87" s="1"/>
      <c r="AD87" s="2"/>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2"/>
      <c r="AA88" s="2"/>
      <c r="AB88" s="2"/>
      <c r="AC88" s="1"/>
      <c r="AD88" s="2"/>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2"/>
      <c r="AA89" s="2"/>
      <c r="AB89" s="2"/>
      <c r="AC89" s="1"/>
      <c r="AD89" s="2"/>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2"/>
      <c r="AA90" s="2"/>
      <c r="AB90" s="2"/>
      <c r="AC90" s="1"/>
      <c r="AD90" s="2"/>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2"/>
      <c r="AA91" s="2"/>
      <c r="AB91" s="2"/>
      <c r="AC91" s="1"/>
      <c r="AD91" s="2"/>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2"/>
      <c r="AA92" s="2"/>
      <c r="AB92" s="2"/>
      <c r="AC92" s="1"/>
      <c r="AD92" s="2"/>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2"/>
      <c r="AA93" s="2"/>
      <c r="AB93" s="2"/>
      <c r="AC93" s="1"/>
      <c r="AD93" s="2"/>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2"/>
      <c r="AA94" s="2"/>
      <c r="AB94" s="2"/>
      <c r="AC94" s="1"/>
      <c r="AD94" s="2"/>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2"/>
      <c r="AA95" s="2"/>
      <c r="AB95" s="2"/>
      <c r="AC95" s="1"/>
      <c r="AD95" s="2"/>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2"/>
      <c r="AA96" s="2"/>
      <c r="AB96" s="2"/>
      <c r="AC96" s="1"/>
      <c r="AD96" s="2"/>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2"/>
      <c r="AA97" s="2"/>
      <c r="AB97" s="2"/>
      <c r="AC97" s="1"/>
      <c r="AD97" s="2"/>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2"/>
      <c r="AA98" s="2"/>
      <c r="AB98" s="2"/>
      <c r="AC98" s="1"/>
      <c r="AD98" s="2"/>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2"/>
      <c r="AA99" s="2"/>
      <c r="AB99" s="2"/>
      <c r="AC99" s="1"/>
      <c r="AD99" s="2"/>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2"/>
      <c r="AA100" s="2"/>
      <c r="AB100" s="2"/>
      <c r="AC100" s="1"/>
      <c r="AD100" s="2"/>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2"/>
      <c r="AA101" s="2"/>
      <c r="AB101" s="2"/>
      <c r="AC101" s="1"/>
      <c r="AD101" s="2"/>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2"/>
      <c r="AA102" s="2"/>
      <c r="AB102" s="2"/>
      <c r="AC102" s="1"/>
      <c r="AD102" s="2"/>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2"/>
      <c r="AA103" s="2"/>
      <c r="AB103" s="2"/>
      <c r="AC103" s="1"/>
      <c r="AD103" s="2"/>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2"/>
      <c r="AA104" s="2"/>
      <c r="AB104" s="2"/>
      <c r="AC104" s="1"/>
      <c r="AD104" s="2"/>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2"/>
      <c r="AA105" s="2"/>
      <c r="AB105" s="2"/>
      <c r="AC105" s="1"/>
      <c r="AD105" s="2"/>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2"/>
      <c r="AA106" s="2"/>
      <c r="AB106" s="2"/>
      <c r="AC106" s="1"/>
      <c r="AD106" s="2"/>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2"/>
      <c r="AA107" s="2"/>
      <c r="AB107" s="2"/>
      <c r="AC107" s="1"/>
      <c r="AD107" s="2"/>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2"/>
      <c r="AA108" s="2"/>
      <c r="AB108" s="2"/>
      <c r="AC108" s="1"/>
      <c r="AD108" s="2"/>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2"/>
      <c r="AA109" s="2"/>
      <c r="AB109" s="2"/>
      <c r="AC109" s="1"/>
      <c r="AD109" s="2"/>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2"/>
      <c r="AA110" s="2"/>
      <c r="AB110" s="2"/>
      <c r="AC110" s="1"/>
      <c r="AD110" s="2"/>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2"/>
      <c r="AA111" s="2"/>
      <c r="AB111" s="2"/>
      <c r="AC111" s="1"/>
      <c r="AD111" s="2"/>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2"/>
      <c r="AA112" s="2"/>
      <c r="AB112" s="2"/>
      <c r="AC112" s="1"/>
      <c r="AD112" s="2"/>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2"/>
      <c r="AA113" s="2"/>
      <c r="AB113" s="2"/>
      <c r="AC113" s="1"/>
      <c r="AD113" s="2"/>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2"/>
      <c r="AA114" s="2"/>
      <c r="AB114" s="2"/>
      <c r="AC114" s="1"/>
      <c r="AD114" s="2"/>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2"/>
      <c r="AA115" s="2"/>
      <c r="AB115" s="2"/>
      <c r="AC115" s="1"/>
      <c r="AD115" s="2"/>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2"/>
      <c r="AA116" s="2"/>
      <c r="AB116" s="2"/>
      <c r="AC116" s="1"/>
      <c r="AD116" s="2"/>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2"/>
      <c r="AA117" s="2"/>
      <c r="AB117" s="2"/>
      <c r="AC117" s="1"/>
      <c r="AD117" s="2"/>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2"/>
      <c r="AA118" s="2"/>
      <c r="AB118" s="2"/>
      <c r="AC118" s="1"/>
      <c r="AD118" s="2"/>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2"/>
      <c r="AA119" s="2"/>
      <c r="AB119" s="2"/>
      <c r="AC119" s="1"/>
      <c r="AD119" s="2"/>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2"/>
      <c r="AA120" s="2"/>
      <c r="AB120" s="2"/>
      <c r="AC120" s="1"/>
      <c r="AD120" s="2"/>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2"/>
      <c r="AA121" s="2"/>
      <c r="AB121" s="2"/>
      <c r="AC121" s="1"/>
      <c r="AD121" s="2"/>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2"/>
      <c r="AA122" s="2"/>
      <c r="AB122" s="2"/>
      <c r="AC122" s="1"/>
      <c r="AD122" s="2"/>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2"/>
      <c r="AA123" s="2"/>
      <c r="AB123" s="2"/>
      <c r="AC123" s="1"/>
      <c r="AD123" s="2"/>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2"/>
      <c r="AA124" s="2"/>
      <c r="AB124" s="2"/>
      <c r="AC124" s="1"/>
      <c r="AD124" s="2"/>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2"/>
      <c r="AA125" s="2"/>
      <c r="AB125" s="2"/>
      <c r="AC125" s="1"/>
      <c r="AD125" s="2"/>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2"/>
      <c r="AA126" s="2"/>
      <c r="AB126" s="2"/>
      <c r="AC126" s="1"/>
      <c r="AD126" s="2"/>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2"/>
      <c r="AA127" s="2"/>
      <c r="AB127" s="2"/>
      <c r="AC127" s="1"/>
      <c r="AD127" s="2"/>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2"/>
      <c r="AA128" s="2"/>
      <c r="AB128" s="2"/>
      <c r="AC128" s="1"/>
      <c r="AD128" s="2"/>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2"/>
      <c r="AA129" s="2"/>
      <c r="AB129" s="2"/>
      <c r="AC129" s="1"/>
      <c r="AD129" s="2"/>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2"/>
      <c r="AA130" s="2"/>
      <c r="AB130" s="2"/>
      <c r="AC130" s="1"/>
      <c r="AD130" s="2"/>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2"/>
      <c r="AA131" s="2"/>
      <c r="AB131" s="2"/>
      <c r="AC131" s="1"/>
      <c r="AD131" s="2"/>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2"/>
      <c r="AA132" s="2"/>
      <c r="AB132" s="2"/>
      <c r="AC132" s="1"/>
      <c r="AD132" s="2"/>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2"/>
      <c r="AA133" s="2"/>
      <c r="AB133" s="2"/>
      <c r="AC133" s="1"/>
      <c r="AD133" s="2"/>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2"/>
      <c r="AA134" s="2"/>
      <c r="AB134" s="2"/>
      <c r="AC134" s="1"/>
      <c r="AD134" s="2"/>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2"/>
      <c r="AA135" s="2"/>
      <c r="AB135" s="2"/>
      <c r="AC135" s="1"/>
      <c r="AD135" s="2"/>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2"/>
      <c r="AA136" s="2"/>
      <c r="AB136" s="2"/>
      <c r="AC136" s="1"/>
      <c r="AD136" s="2"/>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2"/>
      <c r="AA137" s="2"/>
      <c r="AB137" s="2"/>
      <c r="AC137" s="1"/>
      <c r="AD137" s="2"/>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2"/>
      <c r="AA138" s="2"/>
      <c r="AB138" s="2"/>
      <c r="AC138" s="1"/>
      <c r="AD138" s="2"/>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2"/>
      <c r="AA139" s="2"/>
      <c r="AB139" s="2"/>
      <c r="AC139" s="1"/>
      <c r="AD139" s="2"/>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2"/>
      <c r="AA140" s="2"/>
      <c r="AB140" s="2"/>
      <c r="AC140" s="1"/>
      <c r="AD140" s="2"/>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2"/>
      <c r="AA141" s="2"/>
      <c r="AB141" s="2"/>
      <c r="AC141" s="1"/>
      <c r="AD141" s="2"/>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2"/>
      <c r="AA142" s="2"/>
      <c r="AB142" s="2"/>
      <c r="AC142" s="1"/>
      <c r="AD142" s="2"/>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2"/>
      <c r="AA143" s="2"/>
      <c r="AB143" s="2"/>
      <c r="AC143" s="1"/>
      <c r="AD143" s="2"/>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2"/>
      <c r="AA144" s="2"/>
      <c r="AB144" s="2"/>
      <c r="AC144" s="1"/>
      <c r="AD144" s="2"/>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2"/>
      <c r="AA145" s="2"/>
      <c r="AB145" s="2"/>
      <c r="AC145" s="1"/>
      <c r="AD145" s="2"/>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2"/>
      <c r="AA146" s="2"/>
      <c r="AB146" s="2"/>
      <c r="AC146" s="1"/>
      <c r="AD146" s="2"/>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2"/>
      <c r="AA147" s="2"/>
      <c r="AB147" s="2"/>
      <c r="AC147" s="1"/>
      <c r="AD147" s="2"/>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2"/>
      <c r="AA148" s="2"/>
      <c r="AB148" s="2"/>
      <c r="AC148" s="1"/>
      <c r="AD148" s="2"/>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2"/>
      <c r="AA149" s="2"/>
      <c r="AB149" s="2"/>
      <c r="AC149" s="1"/>
      <c r="AD149" s="2"/>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2"/>
      <c r="AA150" s="2"/>
      <c r="AB150" s="2"/>
      <c r="AC150" s="1"/>
      <c r="AD150" s="2"/>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2"/>
      <c r="AA151" s="2"/>
      <c r="AB151" s="2"/>
      <c r="AC151" s="1"/>
      <c r="AD151" s="2"/>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2"/>
      <c r="AA152" s="2"/>
      <c r="AB152" s="2"/>
      <c r="AC152" s="1"/>
      <c r="AD152" s="2"/>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2"/>
      <c r="AA153" s="2"/>
      <c r="AB153" s="2"/>
      <c r="AC153" s="1"/>
      <c r="AD153" s="2"/>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2"/>
      <c r="AA154" s="2"/>
      <c r="AB154" s="2"/>
      <c r="AC154" s="1"/>
      <c r="AD154" s="2"/>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2"/>
      <c r="AA155" s="2"/>
      <c r="AB155" s="2"/>
      <c r="AC155" s="1"/>
      <c r="AD155" s="2"/>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2"/>
      <c r="AA156" s="2"/>
      <c r="AB156" s="2"/>
      <c r="AC156" s="1"/>
      <c r="AD156" s="2"/>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2"/>
      <c r="AA157" s="2"/>
      <c r="AB157" s="2"/>
      <c r="AC157" s="1"/>
      <c r="AD157" s="2"/>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2"/>
      <c r="AA158" s="2"/>
      <c r="AB158" s="2"/>
      <c r="AC158" s="1"/>
      <c r="AD158" s="2"/>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2"/>
      <c r="AA159" s="2"/>
      <c r="AB159" s="2"/>
      <c r="AC159" s="1"/>
      <c r="AD159" s="2"/>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2"/>
      <c r="AA160" s="2"/>
      <c r="AB160" s="2"/>
      <c r="AC160" s="1"/>
      <c r="AD160" s="2"/>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2"/>
      <c r="AA161" s="2"/>
      <c r="AB161" s="2"/>
      <c r="AC161" s="1"/>
      <c r="AD161" s="2"/>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2"/>
      <c r="AA162" s="2"/>
      <c r="AB162" s="2"/>
      <c r="AC162" s="1"/>
      <c r="AD162" s="2"/>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2"/>
      <c r="AA163" s="2"/>
      <c r="AB163" s="2"/>
      <c r="AC163" s="1"/>
      <c r="AD163" s="2"/>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2"/>
      <c r="AA164" s="2"/>
      <c r="AB164" s="2"/>
      <c r="AC164" s="1"/>
      <c r="AD164" s="2"/>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2"/>
      <c r="AA165" s="2"/>
      <c r="AB165" s="2"/>
      <c r="AC165" s="1"/>
      <c r="AD165" s="2"/>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2"/>
      <c r="AA166" s="2"/>
      <c r="AB166" s="2"/>
      <c r="AC166" s="1"/>
      <c r="AD166" s="2"/>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2"/>
      <c r="AA167" s="2"/>
      <c r="AB167" s="2"/>
      <c r="AC167" s="1"/>
      <c r="AD167" s="2"/>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2"/>
      <c r="AA168" s="2"/>
      <c r="AB168" s="2"/>
      <c r="AC168" s="1"/>
      <c r="AD168" s="2"/>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2"/>
      <c r="AA169" s="2"/>
      <c r="AB169" s="2"/>
      <c r="AC169" s="1"/>
      <c r="AD169" s="2"/>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2"/>
      <c r="AA170" s="2"/>
      <c r="AB170" s="2"/>
      <c r="AC170" s="1"/>
      <c r="AD170" s="2"/>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2"/>
      <c r="AA171" s="2"/>
      <c r="AB171" s="2"/>
      <c r="AC171" s="1"/>
      <c r="AD171" s="2"/>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2"/>
      <c r="AA172" s="2"/>
      <c r="AB172" s="2"/>
      <c r="AC172" s="1"/>
      <c r="AD172" s="2"/>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2"/>
      <c r="AA173" s="2"/>
      <c r="AB173" s="2"/>
      <c r="AC173" s="1"/>
      <c r="AD173" s="2"/>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2"/>
      <c r="AA174" s="2"/>
      <c r="AB174" s="2"/>
      <c r="AC174" s="1"/>
      <c r="AD174" s="2"/>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2"/>
      <c r="AA175" s="2"/>
      <c r="AB175" s="2"/>
      <c r="AC175" s="1"/>
      <c r="AD175" s="2"/>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2"/>
      <c r="AA176" s="2"/>
      <c r="AB176" s="2"/>
      <c r="AC176" s="1"/>
      <c r="AD176" s="2"/>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2"/>
      <c r="AA177" s="2"/>
      <c r="AB177" s="2"/>
      <c r="AC177" s="1"/>
      <c r="AD177" s="2"/>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2"/>
      <c r="AA178" s="2"/>
      <c r="AB178" s="2"/>
      <c r="AC178" s="1"/>
      <c r="AD178" s="2"/>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2"/>
      <c r="AA179" s="2"/>
      <c r="AB179" s="2"/>
      <c r="AC179" s="1"/>
      <c r="AD179" s="2"/>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2"/>
      <c r="AA180" s="2"/>
      <c r="AB180" s="2"/>
      <c r="AC180" s="1"/>
      <c r="AD180" s="2"/>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2"/>
      <c r="AA181" s="2"/>
      <c r="AB181" s="2"/>
      <c r="AC181" s="1"/>
      <c r="AD181" s="2"/>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2"/>
      <c r="AA182" s="2"/>
      <c r="AB182" s="2"/>
      <c r="AC182" s="1"/>
      <c r="AD182" s="2"/>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2"/>
      <c r="AA183" s="2"/>
      <c r="AB183" s="2"/>
      <c r="AC183" s="1"/>
      <c r="AD183" s="2"/>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2"/>
      <c r="AA184" s="2"/>
      <c r="AB184" s="2"/>
      <c r="AC184" s="1"/>
      <c r="AD184" s="2"/>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2"/>
      <c r="AA185" s="2"/>
      <c r="AB185" s="2"/>
      <c r="AC185" s="1"/>
      <c r="AD185" s="2"/>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2"/>
      <c r="AA186" s="2"/>
      <c r="AB186" s="2"/>
      <c r="AC186" s="1"/>
      <c r="AD186" s="2"/>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2"/>
      <c r="AA187" s="2"/>
      <c r="AB187" s="2"/>
      <c r="AC187" s="1"/>
      <c r="AD187" s="2"/>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2"/>
      <c r="AA188" s="2"/>
      <c r="AB188" s="2"/>
      <c r="AC188" s="1"/>
      <c r="AD188" s="2"/>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2"/>
      <c r="AA189" s="2"/>
      <c r="AB189" s="2"/>
      <c r="AC189" s="1"/>
      <c r="AD189" s="2"/>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2"/>
      <c r="AA190" s="2"/>
      <c r="AB190" s="2"/>
      <c r="AC190" s="1"/>
      <c r="AD190" s="2"/>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2"/>
      <c r="AA191" s="2"/>
      <c r="AB191" s="2"/>
      <c r="AC191" s="1"/>
      <c r="AD191" s="2"/>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2"/>
      <c r="AA192" s="2"/>
      <c r="AB192" s="2"/>
      <c r="AC192" s="1"/>
      <c r="AD192" s="2"/>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2"/>
      <c r="AA193" s="2"/>
      <c r="AB193" s="2"/>
      <c r="AC193" s="1"/>
      <c r="AD193" s="2"/>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2"/>
      <c r="AA194" s="2"/>
      <c r="AB194" s="2"/>
      <c r="AC194" s="1"/>
      <c r="AD194" s="2"/>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2"/>
      <c r="AA195" s="2"/>
      <c r="AB195" s="2"/>
      <c r="AC195" s="1"/>
      <c r="AD195" s="2"/>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2"/>
      <c r="AA196" s="2"/>
      <c r="AB196" s="2"/>
      <c r="AC196" s="1"/>
      <c r="AD196" s="2"/>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2"/>
      <c r="AA197" s="2"/>
      <c r="AB197" s="2"/>
      <c r="AC197" s="1"/>
      <c r="AD197" s="2"/>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2"/>
      <c r="AA198" s="2"/>
      <c r="AB198" s="2"/>
      <c r="AC198" s="1"/>
      <c r="AD198" s="2"/>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2"/>
      <c r="AA199" s="2"/>
      <c r="AB199" s="2"/>
      <c r="AC199" s="1"/>
      <c r="AD199" s="2"/>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2"/>
      <c r="AA200" s="2"/>
      <c r="AB200" s="2"/>
      <c r="AC200" s="1"/>
      <c r="AD200" s="2"/>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2"/>
      <c r="AA201" s="2"/>
      <c r="AB201" s="2"/>
      <c r="AC201" s="1"/>
      <c r="AD201" s="2"/>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2"/>
      <c r="AA202" s="2"/>
      <c r="AB202" s="2"/>
      <c r="AC202" s="1"/>
      <c r="AD202" s="2"/>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2"/>
      <c r="AA203" s="2"/>
      <c r="AB203" s="2"/>
      <c r="AC203" s="1"/>
      <c r="AD203" s="2"/>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2"/>
      <c r="AA204" s="2"/>
      <c r="AB204" s="2"/>
      <c r="AC204" s="1"/>
      <c r="AD204" s="2"/>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2"/>
      <c r="AA205" s="2"/>
      <c r="AB205" s="2"/>
      <c r="AC205" s="1"/>
      <c r="AD205" s="2"/>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2"/>
      <c r="AA206" s="2"/>
      <c r="AB206" s="2"/>
      <c r="AC206" s="1"/>
      <c r="AD206" s="2"/>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2"/>
      <c r="AA207" s="2"/>
      <c r="AB207" s="2"/>
      <c r="AC207" s="1"/>
      <c r="AD207" s="2"/>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2"/>
      <c r="AA208" s="2"/>
      <c r="AB208" s="2"/>
      <c r="AC208" s="1"/>
      <c r="AD208" s="2"/>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2"/>
      <c r="AA209" s="2"/>
      <c r="AB209" s="2"/>
      <c r="AC209" s="1"/>
      <c r="AD209" s="2"/>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2"/>
      <c r="AA210" s="2"/>
      <c r="AB210" s="2"/>
      <c r="AC210" s="1"/>
      <c r="AD210" s="2"/>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2"/>
      <c r="AA211" s="2"/>
      <c r="AB211" s="2"/>
      <c r="AC211" s="1"/>
      <c r="AD211" s="2"/>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2"/>
      <c r="AA212" s="2"/>
      <c r="AB212" s="2"/>
      <c r="AC212" s="1"/>
      <c r="AD212" s="2"/>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2"/>
      <c r="AA213" s="2"/>
      <c r="AB213" s="2"/>
      <c r="AC213" s="1"/>
      <c r="AD213" s="2"/>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2"/>
      <c r="AA214" s="2"/>
      <c r="AB214" s="2"/>
      <c r="AC214" s="1"/>
      <c r="AD214" s="2"/>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2"/>
      <c r="AA215" s="2"/>
      <c r="AB215" s="2"/>
      <c r="AC215" s="1"/>
      <c r="AD215" s="2"/>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2"/>
      <c r="AA216" s="2"/>
      <c r="AB216" s="2"/>
      <c r="AC216" s="1"/>
      <c r="AD216" s="2"/>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2"/>
      <c r="AA217" s="2"/>
      <c r="AB217" s="2"/>
      <c r="AC217" s="1"/>
      <c r="AD217" s="2"/>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2"/>
      <c r="AA218" s="2"/>
      <c r="AB218" s="2"/>
      <c r="AC218" s="1"/>
      <c r="AD218" s="2"/>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2"/>
      <c r="AA219" s="2"/>
      <c r="AB219" s="2"/>
      <c r="AC219" s="1"/>
      <c r="AD219" s="2"/>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2"/>
      <c r="AA220" s="2"/>
      <c r="AB220" s="2"/>
      <c r="AC220" s="1"/>
      <c r="AD220" s="2"/>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2"/>
      <c r="AA221" s="2"/>
      <c r="AB221" s="2"/>
      <c r="AC221" s="1"/>
      <c r="AD221" s="2"/>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2"/>
      <c r="AA222" s="2"/>
      <c r="AB222" s="2"/>
      <c r="AC222" s="1"/>
      <c r="AD222" s="2"/>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2"/>
      <c r="AA223" s="2"/>
      <c r="AB223" s="2"/>
      <c r="AC223" s="1"/>
      <c r="AD223" s="2"/>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2"/>
      <c r="AA224" s="2"/>
      <c r="AB224" s="2"/>
      <c r="AC224" s="1"/>
      <c r="AD224" s="2"/>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2"/>
      <c r="AA225" s="2"/>
      <c r="AB225" s="2"/>
      <c r="AC225" s="1"/>
      <c r="AD225" s="2"/>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2"/>
      <c r="AA226" s="2"/>
      <c r="AB226" s="2"/>
      <c r="AC226" s="1"/>
      <c r="AD226" s="2"/>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2"/>
      <c r="AA227" s="2"/>
      <c r="AB227" s="2"/>
      <c r="AC227" s="1"/>
      <c r="AD227" s="2"/>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2"/>
      <c r="AA228" s="2"/>
      <c r="AB228" s="2"/>
      <c r="AC228" s="1"/>
      <c r="AD228" s="2"/>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2"/>
      <c r="AA229" s="2"/>
      <c r="AB229" s="2"/>
      <c r="AC229" s="1"/>
      <c r="AD229" s="2"/>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2"/>
      <c r="AA230" s="2"/>
      <c r="AB230" s="2"/>
      <c r="AC230" s="1"/>
      <c r="AD230" s="2"/>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2"/>
      <c r="AA231" s="2"/>
      <c r="AB231" s="2"/>
      <c r="AC231" s="1"/>
      <c r="AD231" s="2"/>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2"/>
      <c r="AA232" s="2"/>
      <c r="AB232" s="2"/>
      <c r="AC232" s="1"/>
      <c r="AD232" s="2"/>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2"/>
      <c r="AA233" s="2"/>
      <c r="AB233" s="2"/>
      <c r="AC233" s="1"/>
      <c r="AD233" s="2"/>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2"/>
      <c r="AA234" s="2"/>
      <c r="AB234" s="2"/>
      <c r="AC234" s="1"/>
      <c r="AD234" s="2"/>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2"/>
      <c r="AA235" s="2"/>
      <c r="AB235" s="2"/>
      <c r="AC235" s="1"/>
      <c r="AD235" s="2"/>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2"/>
      <c r="AA236" s="2"/>
      <c r="AB236" s="2"/>
      <c r="AC236" s="1"/>
      <c r="AD236" s="2"/>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2"/>
      <c r="AA237" s="2"/>
      <c r="AB237" s="2"/>
      <c r="AC237" s="1"/>
      <c r="AD237" s="2"/>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2"/>
      <c r="AA238" s="2"/>
      <c r="AB238" s="2"/>
      <c r="AC238" s="1"/>
      <c r="AD238" s="2"/>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2"/>
      <c r="AA239" s="2"/>
      <c r="AB239" s="2"/>
      <c r="AC239" s="1"/>
      <c r="AD239" s="2"/>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2"/>
      <c r="AA240" s="2"/>
      <c r="AB240" s="2"/>
      <c r="AC240" s="1"/>
      <c r="AD240" s="2"/>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2"/>
      <c r="AA241" s="2"/>
      <c r="AB241" s="2"/>
      <c r="AC241" s="1"/>
      <c r="AD241" s="2"/>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2"/>
      <c r="AA242" s="2"/>
      <c r="AB242" s="2"/>
      <c r="AC242" s="1"/>
      <c r="AD242" s="2"/>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2"/>
      <c r="AA243" s="2"/>
      <c r="AB243" s="2"/>
      <c r="AC243" s="1"/>
      <c r="AD243" s="2"/>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2"/>
      <c r="AA244" s="2"/>
      <c r="AB244" s="2"/>
      <c r="AC244" s="1"/>
      <c r="AD244" s="2"/>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2"/>
      <c r="AA245" s="2"/>
      <c r="AB245" s="2"/>
      <c r="AC245" s="1"/>
      <c r="AD245" s="2"/>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2"/>
      <c r="AA246" s="2"/>
      <c r="AB246" s="2"/>
      <c r="AC246" s="1"/>
      <c r="AD246" s="2"/>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2"/>
      <c r="AA247" s="2"/>
      <c r="AB247" s="2"/>
      <c r="AC247" s="1"/>
      <c r="AD247" s="2"/>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2"/>
      <c r="AA248" s="2"/>
      <c r="AB248" s="2"/>
      <c r="AC248" s="1"/>
      <c r="AD248" s="2"/>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2"/>
      <c r="AA249" s="2"/>
      <c r="AB249" s="2"/>
      <c r="AC249" s="1"/>
      <c r="AD249" s="2"/>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2"/>
      <c r="AA250" s="2"/>
      <c r="AB250" s="2"/>
      <c r="AC250" s="1"/>
      <c r="AD250" s="2"/>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2"/>
      <c r="AA251" s="2"/>
      <c r="AB251" s="2"/>
      <c r="AC251" s="1"/>
      <c r="AD251" s="2"/>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2"/>
      <c r="AA252" s="2"/>
      <c r="AB252" s="2"/>
      <c r="AC252" s="1"/>
      <c r="AD252" s="2"/>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2"/>
      <c r="AA253" s="2"/>
      <c r="AB253" s="2"/>
      <c r="AC253" s="1"/>
      <c r="AD253" s="2"/>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2"/>
      <c r="AA254" s="2"/>
      <c r="AB254" s="2"/>
      <c r="AC254" s="1"/>
      <c r="AD254" s="2"/>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2"/>
      <c r="AA255" s="2"/>
      <c r="AB255" s="2"/>
      <c r="AC255" s="1"/>
      <c r="AD255" s="2"/>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2"/>
      <c r="AA256" s="2"/>
      <c r="AB256" s="2"/>
      <c r="AC256" s="1"/>
      <c r="AD256" s="2"/>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2"/>
      <c r="AA257" s="2"/>
      <c r="AB257" s="2"/>
      <c r="AC257" s="1"/>
      <c r="AD257" s="2"/>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2"/>
      <c r="AA258" s="2"/>
      <c r="AB258" s="2"/>
      <c r="AC258" s="1"/>
      <c r="AD258" s="2"/>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2"/>
      <c r="AA259" s="2"/>
      <c r="AB259" s="2"/>
      <c r="AC259" s="1"/>
      <c r="AD259" s="2"/>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2"/>
      <c r="AA260" s="2"/>
      <c r="AB260" s="2"/>
      <c r="AC260" s="1"/>
      <c r="AD260" s="2"/>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2"/>
      <c r="AA261" s="2"/>
      <c r="AB261" s="2"/>
      <c r="AC261" s="1"/>
      <c r="AD261" s="2"/>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2"/>
      <c r="AA262" s="2"/>
      <c r="AB262" s="2"/>
      <c r="AC262" s="1"/>
      <c r="AD262" s="2"/>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2"/>
      <c r="AA263" s="2"/>
      <c r="AB263" s="2"/>
      <c r="AC263" s="1"/>
      <c r="AD263" s="2"/>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2"/>
      <c r="AA264" s="2"/>
      <c r="AB264" s="2"/>
      <c r="AC264" s="1"/>
      <c r="AD264" s="2"/>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2"/>
      <c r="AA265" s="2"/>
      <c r="AB265" s="2"/>
      <c r="AC265" s="1"/>
      <c r="AD265" s="2"/>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2"/>
      <c r="AA266" s="2"/>
      <c r="AB266" s="2"/>
      <c r="AC266" s="1"/>
      <c r="AD266" s="2"/>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2"/>
      <c r="AA267" s="2"/>
      <c r="AB267" s="2"/>
      <c r="AC267" s="1"/>
      <c r="AD267" s="2"/>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2"/>
      <c r="AA268" s="2"/>
      <c r="AB268" s="2"/>
      <c r="AC268" s="1"/>
      <c r="AD268" s="2"/>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2"/>
      <c r="AA269" s="2"/>
      <c r="AB269" s="2"/>
      <c r="AC269" s="1"/>
      <c r="AD269" s="2"/>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2"/>
      <c r="AA270" s="2"/>
      <c r="AB270" s="2"/>
      <c r="AC270" s="1"/>
      <c r="AD270" s="2"/>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2"/>
      <c r="AA271" s="2"/>
      <c r="AB271" s="2"/>
      <c r="AC271" s="1"/>
      <c r="AD271" s="2"/>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2"/>
      <c r="AA272" s="2"/>
      <c r="AB272" s="2"/>
      <c r="AC272" s="1"/>
      <c r="AD272" s="2"/>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2"/>
      <c r="AA273" s="2"/>
      <c r="AB273" s="2"/>
      <c r="AC273" s="1"/>
      <c r="AD273" s="2"/>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2"/>
      <c r="AA274" s="2"/>
      <c r="AB274" s="2"/>
      <c r="AC274" s="1"/>
      <c r="AD274" s="2"/>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2"/>
      <c r="AA275" s="2"/>
      <c r="AB275" s="2"/>
      <c r="AC275" s="1"/>
      <c r="AD275" s="2"/>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2"/>
      <c r="AA276" s="2"/>
      <c r="AB276" s="2"/>
      <c r="AC276" s="1"/>
      <c r="AD276" s="2"/>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2"/>
      <c r="AA277" s="2"/>
      <c r="AB277" s="2"/>
      <c r="AC277" s="1"/>
      <c r="AD277" s="2"/>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2"/>
      <c r="AA278" s="2"/>
      <c r="AB278" s="2"/>
      <c r="AC278" s="1"/>
      <c r="AD278" s="2"/>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2"/>
      <c r="AA279" s="2"/>
      <c r="AB279" s="2"/>
      <c r="AC279" s="1"/>
      <c r="AD279" s="2"/>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2"/>
      <c r="AA280" s="2"/>
      <c r="AB280" s="2"/>
      <c r="AC280" s="1"/>
      <c r="AD280" s="2"/>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2"/>
      <c r="AA281" s="2"/>
      <c r="AB281" s="2"/>
      <c r="AC281" s="1"/>
      <c r="AD281" s="2"/>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2"/>
      <c r="AA282" s="2"/>
      <c r="AB282" s="2"/>
      <c r="AC282" s="1"/>
      <c r="AD282" s="2"/>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2"/>
      <c r="AA283" s="2"/>
      <c r="AB283" s="2"/>
      <c r="AC283" s="1"/>
      <c r="AD283" s="2"/>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2"/>
      <c r="AA284" s="2"/>
      <c r="AB284" s="2"/>
      <c r="AC284" s="1"/>
      <c r="AD284" s="2"/>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2"/>
      <c r="AA285" s="2"/>
      <c r="AB285" s="2"/>
      <c r="AC285" s="1"/>
      <c r="AD285" s="2"/>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2"/>
      <c r="AA286" s="2"/>
      <c r="AB286" s="2"/>
      <c r="AC286" s="1"/>
      <c r="AD286" s="2"/>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2"/>
      <c r="AA287" s="2"/>
      <c r="AB287" s="2"/>
      <c r="AC287" s="1"/>
      <c r="AD287" s="2"/>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2"/>
      <c r="AA288" s="2"/>
      <c r="AB288" s="2"/>
      <c r="AC288" s="1"/>
      <c r="AD288" s="2"/>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2"/>
      <c r="AA289" s="2"/>
      <c r="AB289" s="2"/>
      <c r="AC289" s="1"/>
      <c r="AD289" s="2"/>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2"/>
      <c r="AA290" s="2"/>
      <c r="AB290" s="2"/>
      <c r="AC290" s="1"/>
      <c r="AD290" s="2"/>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2"/>
      <c r="AA291" s="2"/>
      <c r="AB291" s="2"/>
      <c r="AC291" s="1"/>
      <c r="AD291" s="2"/>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2"/>
      <c r="AA292" s="2"/>
      <c r="AB292" s="2"/>
      <c r="AC292" s="1"/>
      <c r="AD292" s="2"/>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2"/>
      <c r="AA293" s="2"/>
      <c r="AB293" s="2"/>
      <c r="AC293" s="1"/>
      <c r="AD293" s="2"/>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2"/>
      <c r="AA294" s="2"/>
      <c r="AB294" s="2"/>
      <c r="AC294" s="1"/>
      <c r="AD294" s="2"/>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2"/>
      <c r="AA295" s="2"/>
      <c r="AB295" s="2"/>
      <c r="AC295" s="1"/>
      <c r="AD295" s="2"/>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2"/>
      <c r="AA296" s="2"/>
      <c r="AB296" s="2"/>
      <c r="AC296" s="1"/>
      <c r="AD296" s="2"/>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2"/>
      <c r="AA297" s="2"/>
      <c r="AB297" s="2"/>
      <c r="AC297" s="1"/>
      <c r="AD297" s="2"/>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2"/>
      <c r="AA298" s="2"/>
      <c r="AB298" s="2"/>
      <c r="AC298" s="1"/>
      <c r="AD298" s="2"/>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2"/>
      <c r="AA299" s="2"/>
      <c r="AB299" s="2"/>
      <c r="AC299" s="1"/>
      <c r="AD299" s="2"/>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2"/>
      <c r="AA300" s="2"/>
      <c r="AB300" s="2"/>
      <c r="AC300" s="1"/>
      <c r="AD300" s="2"/>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2"/>
      <c r="AA301" s="2"/>
      <c r="AB301" s="2"/>
      <c r="AC301" s="1"/>
      <c r="AD301" s="2"/>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2"/>
      <c r="AA302" s="2"/>
      <c r="AB302" s="2"/>
      <c r="AC302" s="1"/>
      <c r="AD302" s="2"/>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2"/>
      <c r="AA303" s="2"/>
      <c r="AB303" s="2"/>
      <c r="AC303" s="1"/>
      <c r="AD303" s="2"/>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2"/>
      <c r="AA304" s="2"/>
      <c r="AB304" s="2"/>
      <c r="AC304" s="1"/>
      <c r="AD304" s="2"/>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2"/>
      <c r="AA305" s="2"/>
      <c r="AB305" s="2"/>
      <c r="AC305" s="1"/>
      <c r="AD305" s="2"/>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2"/>
      <c r="AA306" s="2"/>
      <c r="AB306" s="2"/>
      <c r="AC306" s="1"/>
      <c r="AD306" s="2"/>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2"/>
      <c r="AA307" s="2"/>
      <c r="AB307" s="2"/>
      <c r="AC307" s="1"/>
      <c r="AD307" s="2"/>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2"/>
      <c r="AA308" s="2"/>
      <c r="AB308" s="2"/>
      <c r="AC308" s="1"/>
      <c r="AD308" s="2"/>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2"/>
      <c r="AA309" s="2"/>
      <c r="AB309" s="2"/>
      <c r="AC309" s="1"/>
      <c r="AD309" s="2"/>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2"/>
      <c r="AA310" s="2"/>
      <c r="AB310" s="2"/>
      <c r="AC310" s="1"/>
      <c r="AD310" s="2"/>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2"/>
      <c r="AA311" s="2"/>
      <c r="AB311" s="2"/>
      <c r="AC311" s="1"/>
      <c r="AD311" s="2"/>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2"/>
      <c r="AA312" s="2"/>
      <c r="AB312" s="2"/>
      <c r="AC312" s="1"/>
      <c r="AD312" s="2"/>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2"/>
      <c r="AA313" s="2"/>
      <c r="AB313" s="2"/>
      <c r="AC313" s="1"/>
      <c r="AD313" s="2"/>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2"/>
      <c r="AA314" s="2"/>
      <c r="AB314" s="2"/>
      <c r="AC314" s="1"/>
      <c r="AD314" s="2"/>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2"/>
      <c r="AA315" s="2"/>
      <c r="AB315" s="2"/>
      <c r="AC315" s="1"/>
      <c r="AD315" s="2"/>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2"/>
      <c r="AA316" s="2"/>
      <c r="AB316" s="2"/>
      <c r="AC316" s="1"/>
      <c r="AD316" s="2"/>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2"/>
      <c r="AA317" s="2"/>
      <c r="AB317" s="2"/>
      <c r="AC317" s="1"/>
      <c r="AD317" s="2"/>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2"/>
      <c r="AA318" s="2"/>
      <c r="AB318" s="2"/>
      <c r="AC318" s="1"/>
      <c r="AD318" s="2"/>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2"/>
      <c r="AA319" s="2"/>
      <c r="AB319" s="2"/>
      <c r="AC319" s="1"/>
      <c r="AD319" s="2"/>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2"/>
      <c r="AA320" s="2"/>
      <c r="AB320" s="2"/>
      <c r="AC320" s="1"/>
      <c r="AD320" s="2"/>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2"/>
      <c r="AA321" s="2"/>
      <c r="AB321" s="2"/>
      <c r="AC321" s="1"/>
      <c r="AD321" s="2"/>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2"/>
      <c r="AA322" s="2"/>
      <c r="AB322" s="2"/>
      <c r="AC322" s="1"/>
      <c r="AD322" s="2"/>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2"/>
      <c r="AA323" s="2"/>
      <c r="AB323" s="2"/>
      <c r="AC323" s="1"/>
      <c r="AD323" s="2"/>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2"/>
      <c r="AA324" s="2"/>
      <c r="AB324" s="2"/>
      <c r="AC324" s="1"/>
      <c r="AD324" s="2"/>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2"/>
      <c r="AA325" s="2"/>
      <c r="AB325" s="2"/>
      <c r="AC325" s="1"/>
      <c r="AD325" s="2"/>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2"/>
      <c r="AA326" s="2"/>
      <c r="AB326" s="2"/>
      <c r="AC326" s="1"/>
      <c r="AD326" s="2"/>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2"/>
      <c r="AA327" s="2"/>
      <c r="AB327" s="2"/>
      <c r="AC327" s="1"/>
      <c r="AD327" s="2"/>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2"/>
      <c r="AA328" s="2"/>
      <c r="AB328" s="2"/>
      <c r="AC328" s="1"/>
      <c r="AD328" s="2"/>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2"/>
      <c r="AA329" s="2"/>
      <c r="AB329" s="2"/>
      <c r="AC329" s="1"/>
      <c r="AD329" s="2"/>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2"/>
      <c r="AA330" s="2"/>
      <c r="AB330" s="2"/>
      <c r="AC330" s="1"/>
      <c r="AD330" s="2"/>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2"/>
      <c r="AA331" s="2"/>
      <c r="AB331" s="2"/>
      <c r="AC331" s="1"/>
      <c r="AD331" s="2"/>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2"/>
      <c r="AA332" s="2"/>
      <c r="AB332" s="2"/>
      <c r="AC332" s="1"/>
      <c r="AD332" s="2"/>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2"/>
      <c r="AA333" s="2"/>
      <c r="AB333" s="2"/>
      <c r="AC333" s="1"/>
      <c r="AD333" s="2"/>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2"/>
      <c r="AA334" s="2"/>
      <c r="AB334" s="2"/>
      <c r="AC334" s="1"/>
      <c r="AD334" s="2"/>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2"/>
      <c r="AA335" s="2"/>
      <c r="AB335" s="2"/>
      <c r="AC335" s="1"/>
      <c r="AD335" s="2"/>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2"/>
      <c r="AA336" s="2"/>
      <c r="AB336" s="2"/>
      <c r="AC336" s="1"/>
      <c r="AD336" s="2"/>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2"/>
      <c r="AA337" s="2"/>
      <c r="AB337" s="2"/>
      <c r="AC337" s="1"/>
      <c r="AD337" s="2"/>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2"/>
      <c r="AA338" s="2"/>
      <c r="AB338" s="2"/>
      <c r="AC338" s="1"/>
      <c r="AD338" s="2"/>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2"/>
      <c r="AA339" s="2"/>
      <c r="AB339" s="2"/>
      <c r="AC339" s="1"/>
      <c r="AD339" s="2"/>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2"/>
      <c r="AA340" s="2"/>
      <c r="AB340" s="2"/>
      <c r="AC340" s="1"/>
      <c r="AD340" s="2"/>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2"/>
      <c r="AA341" s="2"/>
      <c r="AB341" s="2"/>
      <c r="AC341" s="1"/>
      <c r="AD341" s="2"/>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2"/>
      <c r="AA342" s="2"/>
      <c r="AB342" s="2"/>
      <c r="AC342" s="1"/>
      <c r="AD342" s="2"/>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2"/>
      <c r="AA343" s="2"/>
      <c r="AB343" s="2"/>
      <c r="AC343" s="1"/>
      <c r="AD343" s="2"/>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2"/>
      <c r="AA344" s="2"/>
      <c r="AB344" s="2"/>
      <c r="AC344" s="1"/>
      <c r="AD344" s="2"/>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2"/>
      <c r="AA345" s="2"/>
      <c r="AB345" s="2"/>
      <c r="AC345" s="1"/>
      <c r="AD345" s="2"/>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2"/>
      <c r="AA346" s="2"/>
      <c r="AB346" s="2"/>
      <c r="AC346" s="1"/>
      <c r="AD346" s="2"/>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2"/>
      <c r="AA347" s="2"/>
      <c r="AB347" s="2"/>
      <c r="AC347" s="1"/>
      <c r="AD347" s="2"/>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2"/>
      <c r="AA348" s="2"/>
      <c r="AB348" s="2"/>
      <c r="AC348" s="1"/>
      <c r="AD348" s="2"/>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2"/>
      <c r="AA349" s="2"/>
      <c r="AB349" s="2"/>
      <c r="AC349" s="1"/>
      <c r="AD349" s="2"/>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2"/>
      <c r="AA350" s="2"/>
      <c r="AB350" s="2"/>
      <c r="AC350" s="1"/>
      <c r="AD350" s="2"/>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2"/>
      <c r="AA351" s="2"/>
      <c r="AB351" s="2"/>
      <c r="AC351" s="1"/>
      <c r="AD351" s="2"/>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2"/>
      <c r="AA352" s="2"/>
      <c r="AB352" s="2"/>
      <c r="AC352" s="1"/>
      <c r="AD352" s="2"/>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2"/>
      <c r="AA353" s="2"/>
      <c r="AB353" s="2"/>
      <c r="AC353" s="1"/>
      <c r="AD353" s="2"/>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2"/>
      <c r="AA354" s="2"/>
      <c r="AB354" s="2"/>
      <c r="AC354" s="1"/>
      <c r="AD354" s="2"/>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2"/>
      <c r="AA355" s="2"/>
      <c r="AB355" s="2"/>
      <c r="AC355" s="1"/>
      <c r="AD355" s="2"/>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2"/>
      <c r="AA356" s="2"/>
      <c r="AB356" s="2"/>
      <c r="AC356" s="1"/>
      <c r="AD356" s="2"/>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2"/>
      <c r="AA357" s="2"/>
      <c r="AB357" s="2"/>
      <c r="AC357" s="1"/>
      <c r="AD357" s="2"/>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2"/>
      <c r="AA358" s="2"/>
      <c r="AB358" s="2"/>
      <c r="AC358" s="1"/>
      <c r="AD358" s="2"/>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2"/>
      <c r="AA359" s="2"/>
      <c r="AB359" s="2"/>
      <c r="AC359" s="1"/>
      <c r="AD359" s="2"/>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2"/>
      <c r="AA360" s="2"/>
      <c r="AB360" s="2"/>
      <c r="AC360" s="1"/>
      <c r="AD360" s="2"/>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2"/>
      <c r="AA361" s="2"/>
      <c r="AB361" s="2"/>
      <c r="AC361" s="1"/>
      <c r="AD361" s="2"/>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2"/>
      <c r="AA362" s="2"/>
      <c r="AB362" s="2"/>
      <c r="AC362" s="1"/>
      <c r="AD362" s="2"/>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2"/>
      <c r="AA363" s="2"/>
      <c r="AB363" s="2"/>
      <c r="AC363" s="1"/>
      <c r="AD363" s="2"/>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2"/>
      <c r="AA364" s="2"/>
      <c r="AB364" s="2"/>
      <c r="AC364" s="1"/>
      <c r="AD364" s="2"/>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2"/>
      <c r="AA365" s="2"/>
      <c r="AB365" s="2"/>
      <c r="AC365" s="1"/>
      <c r="AD365" s="2"/>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2"/>
      <c r="AA366" s="2"/>
      <c r="AB366" s="2"/>
      <c r="AC366" s="1"/>
      <c r="AD366" s="2"/>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2"/>
      <c r="AA367" s="2"/>
      <c r="AB367" s="2"/>
      <c r="AC367" s="1"/>
      <c r="AD367" s="2"/>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2"/>
      <c r="AA368" s="2"/>
      <c r="AB368" s="2"/>
      <c r="AC368" s="1"/>
      <c r="AD368" s="2"/>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2"/>
      <c r="AA369" s="2"/>
      <c r="AB369" s="2"/>
      <c r="AC369" s="1"/>
      <c r="AD369" s="2"/>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2"/>
      <c r="AA370" s="2"/>
      <c r="AB370" s="2"/>
      <c r="AC370" s="1"/>
      <c r="AD370" s="2"/>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2"/>
      <c r="AA371" s="2"/>
      <c r="AB371" s="2"/>
      <c r="AC371" s="1"/>
      <c r="AD371" s="2"/>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2"/>
      <c r="AA372" s="2"/>
      <c r="AB372" s="2"/>
      <c r="AC372" s="1"/>
      <c r="AD372" s="2"/>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2"/>
      <c r="AA373" s="2"/>
      <c r="AB373" s="2"/>
      <c r="AC373" s="1"/>
      <c r="AD373" s="2"/>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2"/>
      <c r="AA374" s="2"/>
      <c r="AB374" s="2"/>
      <c r="AC374" s="1"/>
      <c r="AD374" s="2"/>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2"/>
      <c r="AA375" s="2"/>
      <c r="AB375" s="2"/>
      <c r="AC375" s="1"/>
      <c r="AD375" s="2"/>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2"/>
      <c r="AA376" s="2"/>
      <c r="AB376" s="2"/>
      <c r="AC376" s="1"/>
      <c r="AD376" s="2"/>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2"/>
      <c r="AA377" s="2"/>
      <c r="AB377" s="2"/>
      <c r="AC377" s="1"/>
      <c r="AD377" s="2"/>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2"/>
      <c r="AA378" s="2"/>
      <c r="AB378" s="2"/>
      <c r="AC378" s="1"/>
      <c r="AD378" s="2"/>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2"/>
      <c r="AA379" s="2"/>
      <c r="AB379" s="2"/>
      <c r="AC379" s="1"/>
      <c r="AD379" s="2"/>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2"/>
      <c r="AA380" s="2"/>
      <c r="AB380" s="2"/>
      <c r="AC380" s="1"/>
      <c r="AD380" s="2"/>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2"/>
      <c r="AA381" s="2"/>
      <c r="AB381" s="2"/>
      <c r="AC381" s="1"/>
      <c r="AD381" s="2"/>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2"/>
      <c r="AA382" s="2"/>
      <c r="AB382" s="2"/>
      <c r="AC382" s="1"/>
      <c r="AD382" s="2"/>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2"/>
      <c r="AA383" s="2"/>
      <c r="AB383" s="2"/>
      <c r="AC383" s="1"/>
      <c r="AD383" s="2"/>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2"/>
      <c r="AA384" s="2"/>
      <c r="AB384" s="2"/>
      <c r="AC384" s="1"/>
      <c r="AD384" s="2"/>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2"/>
      <c r="AA385" s="2"/>
      <c r="AB385" s="2"/>
      <c r="AC385" s="1"/>
      <c r="AD385" s="2"/>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2"/>
      <c r="AA386" s="2"/>
      <c r="AB386" s="2"/>
      <c r="AC386" s="1"/>
      <c r="AD386" s="2"/>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2"/>
      <c r="AA387" s="2"/>
      <c r="AB387" s="2"/>
      <c r="AC387" s="1"/>
      <c r="AD387" s="2"/>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2"/>
      <c r="AA388" s="2"/>
      <c r="AB388" s="2"/>
      <c r="AC388" s="1"/>
      <c r="AD388" s="2"/>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2"/>
      <c r="AA389" s="2"/>
      <c r="AB389" s="2"/>
      <c r="AC389" s="1"/>
      <c r="AD389" s="2"/>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2"/>
      <c r="AA390" s="2"/>
      <c r="AB390" s="2"/>
      <c r="AC390" s="1"/>
      <c r="AD390" s="2"/>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2"/>
      <c r="AA391" s="2"/>
      <c r="AB391" s="2"/>
      <c r="AC391" s="1"/>
      <c r="AD391" s="2"/>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2"/>
      <c r="AA392" s="2"/>
      <c r="AB392" s="2"/>
      <c r="AC392" s="1"/>
      <c r="AD392" s="2"/>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2"/>
      <c r="AA393" s="2"/>
      <c r="AB393" s="2"/>
      <c r="AC393" s="1"/>
      <c r="AD393" s="2"/>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2"/>
      <c r="AA394" s="2"/>
      <c r="AB394" s="2"/>
      <c r="AC394" s="1"/>
      <c r="AD394" s="2"/>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2"/>
      <c r="AA395" s="2"/>
      <c r="AB395" s="2"/>
      <c r="AC395" s="1"/>
      <c r="AD395" s="2"/>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2"/>
      <c r="AA396" s="2"/>
      <c r="AB396" s="2"/>
      <c r="AC396" s="1"/>
      <c r="AD396" s="2"/>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2"/>
      <c r="AA397" s="2"/>
      <c r="AB397" s="2"/>
      <c r="AC397" s="1"/>
      <c r="AD397" s="2"/>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2"/>
      <c r="AA398" s="2"/>
      <c r="AB398" s="2"/>
      <c r="AC398" s="1"/>
      <c r="AD398" s="2"/>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2"/>
      <c r="AA399" s="2"/>
      <c r="AB399" s="2"/>
      <c r="AC399" s="1"/>
      <c r="AD399" s="2"/>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2"/>
      <c r="AA400" s="2"/>
      <c r="AB400" s="2"/>
      <c r="AC400" s="1"/>
      <c r="AD400" s="2"/>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2"/>
      <c r="AA401" s="2"/>
      <c r="AB401" s="2"/>
      <c r="AC401" s="1"/>
      <c r="AD401" s="2"/>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2"/>
      <c r="AA402" s="2"/>
      <c r="AB402" s="2"/>
      <c r="AC402" s="1"/>
      <c r="AD402" s="2"/>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2"/>
      <c r="AA403" s="2"/>
      <c r="AB403" s="2"/>
      <c r="AC403" s="1"/>
      <c r="AD403" s="2"/>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2"/>
      <c r="AA404" s="2"/>
      <c r="AB404" s="2"/>
      <c r="AC404" s="1"/>
      <c r="AD404" s="2"/>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2"/>
      <c r="AA405" s="2"/>
      <c r="AB405" s="2"/>
      <c r="AC405" s="1"/>
      <c r="AD405" s="2"/>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2"/>
      <c r="AA406" s="2"/>
      <c r="AB406" s="2"/>
      <c r="AC406" s="1"/>
      <c r="AD406" s="2"/>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2"/>
      <c r="AA407" s="2"/>
      <c r="AB407" s="2"/>
      <c r="AC407" s="1"/>
      <c r="AD407" s="2"/>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2"/>
      <c r="AA408" s="2"/>
      <c r="AB408" s="2"/>
      <c r="AC408" s="1"/>
      <c r="AD408" s="2"/>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2"/>
      <c r="AA409" s="2"/>
      <c r="AB409" s="2"/>
      <c r="AC409" s="1"/>
      <c r="AD409" s="2"/>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2"/>
      <c r="AA410" s="2"/>
      <c r="AB410" s="2"/>
      <c r="AC410" s="1"/>
      <c r="AD410" s="2"/>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2"/>
      <c r="AA411" s="2"/>
      <c r="AB411" s="2"/>
      <c r="AC411" s="1"/>
      <c r="AD411" s="2"/>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2"/>
      <c r="AA412" s="2"/>
      <c r="AB412" s="2"/>
      <c r="AC412" s="1"/>
      <c r="AD412" s="2"/>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2"/>
      <c r="AA413" s="2"/>
      <c r="AB413" s="2"/>
      <c r="AC413" s="1"/>
      <c r="AD413" s="2"/>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2"/>
      <c r="AA414" s="2"/>
      <c r="AB414" s="2"/>
      <c r="AC414" s="1"/>
      <c r="AD414" s="2"/>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2"/>
      <c r="AA415" s="2"/>
      <c r="AB415" s="2"/>
      <c r="AC415" s="1"/>
      <c r="AD415" s="2"/>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2"/>
      <c r="AA416" s="2"/>
      <c r="AB416" s="2"/>
      <c r="AC416" s="1"/>
      <c r="AD416" s="2"/>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2"/>
      <c r="AA417" s="2"/>
      <c r="AB417" s="2"/>
      <c r="AC417" s="1"/>
      <c r="AD417" s="2"/>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2"/>
      <c r="AA418" s="2"/>
      <c r="AB418" s="2"/>
      <c r="AC418" s="1"/>
      <c r="AD418" s="2"/>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2"/>
      <c r="AA419" s="2"/>
      <c r="AB419" s="2"/>
      <c r="AC419" s="1"/>
      <c r="AD419" s="2"/>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2"/>
      <c r="AA420" s="2"/>
      <c r="AB420" s="2"/>
      <c r="AC420" s="1"/>
      <c r="AD420" s="2"/>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2"/>
      <c r="AA421" s="2"/>
      <c r="AB421" s="2"/>
      <c r="AC421" s="1"/>
      <c r="AD421" s="2"/>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2"/>
      <c r="AA422" s="2"/>
      <c r="AB422" s="2"/>
      <c r="AC422" s="1"/>
      <c r="AD422" s="2"/>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2"/>
      <c r="AA423" s="2"/>
      <c r="AB423" s="2"/>
      <c r="AC423" s="1"/>
      <c r="AD423" s="2"/>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2"/>
      <c r="AA424" s="2"/>
      <c r="AB424" s="2"/>
      <c r="AC424" s="1"/>
      <c r="AD424" s="2"/>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2"/>
      <c r="AA425" s="2"/>
      <c r="AB425" s="2"/>
      <c r="AC425" s="1"/>
      <c r="AD425" s="2"/>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2"/>
      <c r="AA426" s="2"/>
      <c r="AB426" s="2"/>
      <c r="AC426" s="1"/>
      <c r="AD426" s="2"/>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2"/>
      <c r="AA427" s="2"/>
      <c r="AB427" s="2"/>
      <c r="AC427" s="1"/>
      <c r="AD427" s="2"/>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2"/>
      <c r="AA428" s="2"/>
      <c r="AB428" s="2"/>
      <c r="AC428" s="1"/>
      <c r="AD428" s="2"/>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2"/>
      <c r="AA429" s="2"/>
      <c r="AB429" s="2"/>
      <c r="AC429" s="1"/>
      <c r="AD429" s="2"/>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2"/>
      <c r="AA430" s="2"/>
      <c r="AB430" s="2"/>
      <c r="AC430" s="1"/>
      <c r="AD430" s="2"/>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2"/>
      <c r="AA431" s="2"/>
      <c r="AB431" s="2"/>
      <c r="AC431" s="1"/>
      <c r="AD431" s="2"/>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2"/>
      <c r="AA432" s="2"/>
      <c r="AB432" s="2"/>
      <c r="AC432" s="1"/>
      <c r="AD432" s="2"/>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2"/>
      <c r="AA433" s="2"/>
      <c r="AB433" s="2"/>
      <c r="AC433" s="1"/>
      <c r="AD433" s="2"/>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2"/>
      <c r="AA434" s="2"/>
      <c r="AB434" s="2"/>
      <c r="AC434" s="1"/>
      <c r="AD434" s="2"/>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2"/>
      <c r="AA435" s="2"/>
      <c r="AB435" s="2"/>
      <c r="AC435" s="1"/>
      <c r="AD435" s="2"/>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2"/>
      <c r="AA436" s="2"/>
      <c r="AB436" s="2"/>
      <c r="AC436" s="1"/>
      <c r="AD436" s="2"/>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2"/>
      <c r="AA437" s="2"/>
      <c r="AB437" s="2"/>
      <c r="AC437" s="1"/>
      <c r="AD437" s="2"/>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2"/>
      <c r="AA438" s="2"/>
      <c r="AB438" s="2"/>
      <c r="AC438" s="1"/>
      <c r="AD438" s="2"/>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2"/>
      <c r="AA439" s="2"/>
      <c r="AB439" s="2"/>
      <c r="AC439" s="1"/>
      <c r="AD439" s="2"/>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2"/>
      <c r="AA440" s="2"/>
      <c r="AB440" s="2"/>
      <c r="AC440" s="1"/>
      <c r="AD440" s="2"/>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2"/>
      <c r="AA441" s="2"/>
      <c r="AB441" s="2"/>
      <c r="AC441" s="1"/>
      <c r="AD441" s="2"/>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2"/>
      <c r="AA442" s="2"/>
      <c r="AB442" s="2"/>
      <c r="AC442" s="1"/>
      <c r="AD442" s="2"/>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2"/>
      <c r="AA443" s="2"/>
      <c r="AB443" s="2"/>
      <c r="AC443" s="1"/>
      <c r="AD443" s="2"/>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2"/>
      <c r="AA444" s="2"/>
      <c r="AB444" s="2"/>
      <c r="AC444" s="1"/>
      <c r="AD444" s="2"/>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2"/>
      <c r="AA445" s="2"/>
      <c r="AB445" s="2"/>
      <c r="AC445" s="1"/>
      <c r="AD445" s="2"/>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2"/>
      <c r="AA446" s="2"/>
      <c r="AB446" s="2"/>
      <c r="AC446" s="1"/>
      <c r="AD446" s="2"/>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2"/>
      <c r="AA447" s="2"/>
      <c r="AB447" s="2"/>
      <c r="AC447" s="1"/>
      <c r="AD447" s="2"/>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2"/>
      <c r="AA448" s="2"/>
      <c r="AB448" s="2"/>
      <c r="AC448" s="1"/>
      <c r="AD448" s="2"/>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2"/>
      <c r="AA449" s="2"/>
      <c r="AB449" s="2"/>
      <c r="AC449" s="1"/>
      <c r="AD449" s="2"/>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2"/>
      <c r="AA450" s="2"/>
      <c r="AB450" s="2"/>
      <c r="AC450" s="1"/>
      <c r="AD450" s="2"/>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2"/>
      <c r="AA451" s="2"/>
      <c r="AB451" s="2"/>
      <c r="AC451" s="1"/>
      <c r="AD451" s="2"/>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2"/>
      <c r="AA452" s="2"/>
      <c r="AB452" s="2"/>
      <c r="AC452" s="1"/>
      <c r="AD452" s="2"/>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2"/>
      <c r="AA453" s="2"/>
      <c r="AB453" s="2"/>
      <c r="AC453" s="1"/>
      <c r="AD453" s="2"/>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2"/>
      <c r="AA454" s="2"/>
      <c r="AB454" s="2"/>
      <c r="AC454" s="1"/>
      <c r="AD454" s="2"/>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2"/>
      <c r="AA455" s="2"/>
      <c r="AB455" s="2"/>
      <c r="AC455" s="1"/>
      <c r="AD455" s="2"/>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2"/>
      <c r="AA456" s="2"/>
      <c r="AB456" s="2"/>
      <c r="AC456" s="1"/>
      <c r="AD456" s="2"/>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2"/>
      <c r="AA457" s="2"/>
      <c r="AB457" s="2"/>
      <c r="AC457" s="1"/>
      <c r="AD457" s="2"/>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2"/>
      <c r="AA458" s="2"/>
      <c r="AB458" s="2"/>
      <c r="AC458" s="1"/>
      <c r="AD458" s="2"/>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2"/>
      <c r="AA459" s="2"/>
      <c r="AB459" s="2"/>
      <c r="AC459" s="1"/>
      <c r="AD459" s="2"/>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2"/>
      <c r="AA460" s="2"/>
      <c r="AB460" s="2"/>
      <c r="AC460" s="1"/>
      <c r="AD460" s="2"/>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2"/>
      <c r="AA461" s="2"/>
      <c r="AB461" s="2"/>
      <c r="AC461" s="1"/>
      <c r="AD461" s="2"/>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2"/>
      <c r="AA462" s="2"/>
      <c r="AB462" s="2"/>
      <c r="AC462" s="1"/>
      <c r="AD462" s="2"/>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2"/>
      <c r="AA463" s="2"/>
      <c r="AB463" s="2"/>
      <c r="AC463" s="1"/>
      <c r="AD463" s="2"/>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2"/>
      <c r="AA464" s="2"/>
      <c r="AB464" s="2"/>
      <c r="AC464" s="1"/>
      <c r="AD464" s="2"/>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2"/>
      <c r="AA465" s="2"/>
      <c r="AB465" s="2"/>
      <c r="AC465" s="1"/>
      <c r="AD465" s="2"/>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2"/>
      <c r="AA466" s="2"/>
      <c r="AB466" s="2"/>
      <c r="AC466" s="1"/>
      <c r="AD466" s="2"/>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2"/>
      <c r="AA467" s="2"/>
      <c r="AB467" s="2"/>
      <c r="AC467" s="1"/>
      <c r="AD467" s="2"/>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2"/>
      <c r="AA468" s="2"/>
      <c r="AB468" s="2"/>
      <c r="AC468" s="1"/>
      <c r="AD468" s="2"/>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2"/>
      <c r="AA469" s="2"/>
      <c r="AB469" s="2"/>
      <c r="AC469" s="1"/>
      <c r="AD469" s="2"/>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2"/>
      <c r="AA470" s="2"/>
      <c r="AB470" s="2"/>
      <c r="AC470" s="1"/>
      <c r="AD470" s="2"/>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2"/>
      <c r="AA471" s="2"/>
      <c r="AB471" s="2"/>
      <c r="AC471" s="1"/>
      <c r="AD471" s="2"/>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2"/>
      <c r="AA472" s="2"/>
      <c r="AB472" s="2"/>
      <c r="AC472" s="1"/>
      <c r="AD472" s="2"/>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2"/>
      <c r="AA473" s="2"/>
      <c r="AB473" s="2"/>
      <c r="AC473" s="1"/>
      <c r="AD473" s="2"/>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2"/>
      <c r="AA474" s="2"/>
      <c r="AB474" s="2"/>
      <c r="AC474" s="1"/>
      <c r="AD474" s="2"/>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2"/>
      <c r="AA475" s="2"/>
      <c r="AB475" s="2"/>
      <c r="AC475" s="1"/>
      <c r="AD475" s="2"/>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2"/>
      <c r="AA476" s="2"/>
      <c r="AB476" s="2"/>
      <c r="AC476" s="1"/>
      <c r="AD476" s="2"/>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2"/>
      <c r="AA477" s="2"/>
      <c r="AB477" s="2"/>
      <c r="AC477" s="1"/>
      <c r="AD477" s="2"/>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2"/>
      <c r="AA478" s="2"/>
      <c r="AB478" s="2"/>
      <c r="AC478" s="1"/>
      <c r="AD478" s="2"/>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2"/>
      <c r="AA479" s="2"/>
      <c r="AB479" s="2"/>
      <c r="AC479" s="1"/>
      <c r="AD479" s="2"/>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2"/>
      <c r="AA480" s="2"/>
      <c r="AB480" s="2"/>
      <c r="AC480" s="1"/>
      <c r="AD480" s="2"/>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2"/>
      <c r="AA481" s="2"/>
      <c r="AB481" s="2"/>
      <c r="AC481" s="1"/>
      <c r="AD481" s="2"/>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2"/>
      <c r="AA482" s="2"/>
      <c r="AB482" s="2"/>
      <c r="AC482" s="1"/>
      <c r="AD482" s="2"/>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2"/>
      <c r="AA483" s="2"/>
      <c r="AB483" s="2"/>
      <c r="AC483" s="1"/>
      <c r="AD483" s="2"/>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2"/>
      <c r="AA484" s="2"/>
      <c r="AB484" s="2"/>
      <c r="AC484" s="1"/>
      <c r="AD484" s="2"/>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2"/>
      <c r="AA485" s="2"/>
      <c r="AB485" s="2"/>
      <c r="AC485" s="1"/>
      <c r="AD485" s="2"/>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2"/>
      <c r="AA486" s="2"/>
      <c r="AB486" s="2"/>
      <c r="AC486" s="1"/>
      <c r="AD486" s="2"/>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2"/>
      <c r="AA487" s="2"/>
      <c r="AB487" s="2"/>
      <c r="AC487" s="1"/>
      <c r="AD487" s="2"/>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2"/>
      <c r="AA488" s="2"/>
      <c r="AB488" s="2"/>
      <c r="AC488" s="1"/>
      <c r="AD488" s="2"/>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2"/>
      <c r="AA489" s="2"/>
      <c r="AB489" s="2"/>
      <c r="AC489" s="1"/>
      <c r="AD489" s="2"/>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2"/>
      <c r="AA490" s="2"/>
      <c r="AB490" s="2"/>
      <c r="AC490" s="1"/>
      <c r="AD490" s="2"/>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2"/>
      <c r="AA491" s="2"/>
      <c r="AB491" s="2"/>
      <c r="AC491" s="1"/>
      <c r="AD491" s="2"/>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2"/>
      <c r="AA492" s="2"/>
      <c r="AB492" s="2"/>
      <c r="AC492" s="1"/>
      <c r="AD492" s="2"/>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2"/>
      <c r="AA493" s="2"/>
      <c r="AB493" s="2"/>
      <c r="AC493" s="1"/>
      <c r="AD493" s="2"/>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2"/>
      <c r="AA494" s="2"/>
      <c r="AB494" s="2"/>
      <c r="AC494" s="1"/>
      <c r="AD494" s="2"/>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2"/>
      <c r="AA495" s="2"/>
      <c r="AB495" s="2"/>
      <c r="AC495" s="1"/>
      <c r="AD495" s="2"/>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2"/>
      <c r="AA496" s="2"/>
      <c r="AB496" s="2"/>
      <c r="AC496" s="1"/>
      <c r="AD496" s="2"/>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2"/>
      <c r="AA497" s="2"/>
      <c r="AB497" s="2"/>
      <c r="AC497" s="1"/>
      <c r="AD497" s="2"/>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2"/>
      <c r="AA498" s="2"/>
      <c r="AB498" s="2"/>
      <c r="AC498" s="1"/>
      <c r="AD498" s="2"/>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2"/>
      <c r="AA499" s="2"/>
      <c r="AB499" s="2"/>
      <c r="AC499" s="1"/>
      <c r="AD499" s="2"/>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2"/>
      <c r="AA500" s="2"/>
      <c r="AB500" s="2"/>
      <c r="AC500" s="1"/>
      <c r="AD500" s="2"/>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2"/>
      <c r="AA501" s="2"/>
      <c r="AB501" s="2"/>
      <c r="AC501" s="1"/>
      <c r="AD501" s="2"/>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2"/>
      <c r="AA502" s="2"/>
      <c r="AB502" s="2"/>
      <c r="AC502" s="1"/>
      <c r="AD502" s="2"/>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2"/>
      <c r="AA503" s="2"/>
      <c r="AB503" s="2"/>
      <c r="AC503" s="1"/>
      <c r="AD503" s="2"/>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2"/>
      <c r="AA504" s="2"/>
      <c r="AB504" s="2"/>
      <c r="AC504" s="1"/>
      <c r="AD504" s="2"/>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2"/>
      <c r="AA505" s="2"/>
      <c r="AB505" s="2"/>
      <c r="AC505" s="1"/>
      <c r="AD505" s="2"/>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2"/>
      <c r="AA506" s="2"/>
      <c r="AB506" s="2"/>
      <c r="AC506" s="1"/>
      <c r="AD506" s="2"/>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2"/>
      <c r="AA507" s="2"/>
      <c r="AB507" s="2"/>
      <c r="AC507" s="1"/>
      <c r="AD507" s="2"/>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2"/>
      <c r="AA508" s="2"/>
      <c r="AB508" s="2"/>
      <c r="AC508" s="1"/>
      <c r="AD508" s="2"/>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2"/>
      <c r="AA509" s="2"/>
      <c r="AB509" s="2"/>
      <c r="AC509" s="1"/>
      <c r="AD509" s="2"/>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2"/>
      <c r="AA510" s="2"/>
      <c r="AB510" s="2"/>
      <c r="AC510" s="1"/>
      <c r="AD510" s="2"/>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2"/>
      <c r="AA511" s="2"/>
      <c r="AB511" s="2"/>
      <c r="AC511" s="1"/>
      <c r="AD511" s="2"/>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2"/>
      <c r="AA512" s="2"/>
      <c r="AB512" s="2"/>
      <c r="AC512" s="1"/>
      <c r="AD512" s="2"/>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2"/>
      <c r="AA513" s="2"/>
      <c r="AB513" s="2"/>
      <c r="AC513" s="1"/>
      <c r="AD513" s="2"/>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2"/>
      <c r="AA514" s="2"/>
      <c r="AB514" s="2"/>
      <c r="AC514" s="1"/>
      <c r="AD514" s="2"/>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2"/>
      <c r="AA515" s="2"/>
      <c r="AB515" s="2"/>
      <c r="AC515" s="1"/>
      <c r="AD515" s="2"/>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2"/>
      <c r="AA516" s="2"/>
      <c r="AB516" s="2"/>
      <c r="AC516" s="1"/>
      <c r="AD516" s="2"/>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2"/>
      <c r="AA517" s="2"/>
      <c r="AB517" s="2"/>
      <c r="AC517" s="1"/>
      <c r="AD517" s="2"/>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2"/>
      <c r="AA518" s="2"/>
      <c r="AB518" s="2"/>
      <c r="AC518" s="1"/>
      <c r="AD518" s="2"/>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2"/>
      <c r="AA519" s="2"/>
      <c r="AB519" s="2"/>
      <c r="AC519" s="1"/>
      <c r="AD519" s="2"/>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2"/>
      <c r="AA520" s="2"/>
      <c r="AB520" s="2"/>
      <c r="AC520" s="1"/>
      <c r="AD520" s="2"/>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2"/>
      <c r="AA521" s="2"/>
      <c r="AB521" s="2"/>
      <c r="AC521" s="1"/>
      <c r="AD521" s="2"/>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2"/>
      <c r="AA522" s="2"/>
      <c r="AB522" s="2"/>
      <c r="AC522" s="1"/>
      <c r="AD522" s="2"/>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2"/>
      <c r="AA523" s="2"/>
      <c r="AB523" s="2"/>
      <c r="AC523" s="1"/>
      <c r="AD523" s="2"/>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2"/>
      <c r="AA524" s="2"/>
      <c r="AB524" s="2"/>
      <c r="AC524" s="1"/>
      <c r="AD524" s="2"/>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2"/>
      <c r="AA525" s="2"/>
      <c r="AB525" s="2"/>
      <c r="AC525" s="1"/>
      <c r="AD525" s="2"/>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2"/>
      <c r="AA526" s="2"/>
      <c r="AB526" s="2"/>
      <c r="AC526" s="1"/>
      <c r="AD526" s="2"/>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2"/>
      <c r="AA527" s="2"/>
      <c r="AB527" s="2"/>
      <c r="AC527" s="1"/>
      <c r="AD527" s="2"/>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2"/>
      <c r="AA528" s="2"/>
      <c r="AB528" s="2"/>
      <c r="AC528" s="1"/>
      <c r="AD528" s="2"/>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2"/>
      <c r="AA529" s="2"/>
      <c r="AB529" s="2"/>
      <c r="AC529" s="1"/>
      <c r="AD529" s="2"/>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2"/>
      <c r="AA530" s="2"/>
      <c r="AB530" s="2"/>
      <c r="AC530" s="1"/>
      <c r="AD530" s="2"/>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2"/>
      <c r="AA531" s="2"/>
      <c r="AB531" s="2"/>
      <c r="AC531" s="1"/>
      <c r="AD531" s="2"/>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2"/>
      <c r="AA532" s="2"/>
      <c r="AB532" s="2"/>
      <c r="AC532" s="1"/>
      <c r="AD532" s="2"/>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2"/>
      <c r="AA533" s="2"/>
      <c r="AB533" s="2"/>
      <c r="AC533" s="1"/>
      <c r="AD533" s="2"/>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2"/>
      <c r="AA534" s="2"/>
      <c r="AB534" s="2"/>
      <c r="AC534" s="1"/>
      <c r="AD534" s="2"/>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2"/>
      <c r="AA535" s="2"/>
      <c r="AB535" s="2"/>
      <c r="AC535" s="1"/>
      <c r="AD535" s="2"/>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2"/>
      <c r="AA536" s="2"/>
      <c r="AB536" s="2"/>
      <c r="AC536" s="1"/>
      <c r="AD536" s="2"/>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2"/>
      <c r="AA537" s="2"/>
      <c r="AB537" s="2"/>
      <c r="AC537" s="1"/>
      <c r="AD537" s="2"/>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2"/>
      <c r="AA538" s="2"/>
      <c r="AB538" s="2"/>
      <c r="AC538" s="1"/>
      <c r="AD538" s="2"/>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2"/>
      <c r="AA539" s="2"/>
      <c r="AB539" s="2"/>
      <c r="AC539" s="1"/>
      <c r="AD539" s="2"/>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2"/>
      <c r="AA540" s="2"/>
      <c r="AB540" s="2"/>
      <c r="AC540" s="1"/>
      <c r="AD540" s="2"/>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2"/>
      <c r="AA541" s="2"/>
      <c r="AB541" s="2"/>
      <c r="AC541" s="1"/>
      <c r="AD541" s="2"/>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2"/>
      <c r="AA542" s="2"/>
      <c r="AB542" s="2"/>
      <c r="AC542" s="1"/>
      <c r="AD542" s="2"/>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2"/>
      <c r="AA543" s="2"/>
      <c r="AB543" s="2"/>
      <c r="AC543" s="1"/>
      <c r="AD543" s="2"/>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2"/>
      <c r="AA544" s="2"/>
      <c r="AB544" s="2"/>
      <c r="AC544" s="1"/>
      <c r="AD544" s="2"/>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2"/>
      <c r="AA545" s="2"/>
      <c r="AB545" s="2"/>
      <c r="AC545" s="1"/>
      <c r="AD545" s="2"/>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2"/>
      <c r="AA546" s="2"/>
      <c r="AB546" s="2"/>
      <c r="AC546" s="1"/>
      <c r="AD546" s="2"/>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2"/>
      <c r="AA547" s="2"/>
      <c r="AB547" s="2"/>
      <c r="AC547" s="1"/>
      <c r="AD547" s="2"/>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2"/>
      <c r="AA548" s="2"/>
      <c r="AB548" s="2"/>
      <c r="AC548" s="1"/>
      <c r="AD548" s="2"/>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2"/>
      <c r="AA549" s="2"/>
      <c r="AB549" s="2"/>
      <c r="AC549" s="1"/>
      <c r="AD549" s="2"/>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2"/>
      <c r="AA550" s="2"/>
      <c r="AB550" s="2"/>
      <c r="AC550" s="1"/>
      <c r="AD550" s="2"/>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2"/>
      <c r="AA551" s="2"/>
      <c r="AB551" s="2"/>
      <c r="AC551" s="1"/>
      <c r="AD551" s="2"/>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2"/>
      <c r="AA552" s="2"/>
      <c r="AB552" s="2"/>
      <c r="AC552" s="1"/>
      <c r="AD552" s="2"/>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2"/>
      <c r="AA553" s="2"/>
      <c r="AB553" s="2"/>
      <c r="AC553" s="1"/>
      <c r="AD553" s="2"/>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2"/>
      <c r="AA554" s="2"/>
      <c r="AB554" s="2"/>
      <c r="AC554" s="1"/>
      <c r="AD554" s="2"/>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2"/>
      <c r="AA555" s="2"/>
      <c r="AB555" s="2"/>
      <c r="AC555" s="1"/>
      <c r="AD555" s="2"/>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2"/>
      <c r="AA556" s="2"/>
      <c r="AB556" s="2"/>
      <c r="AC556" s="1"/>
      <c r="AD556" s="2"/>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2"/>
      <c r="AA557" s="2"/>
      <c r="AB557" s="2"/>
      <c r="AC557" s="1"/>
      <c r="AD557" s="2"/>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2"/>
      <c r="AA558" s="2"/>
      <c r="AB558" s="2"/>
      <c r="AC558" s="1"/>
      <c r="AD558" s="2"/>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2"/>
      <c r="AA559" s="2"/>
      <c r="AB559" s="2"/>
      <c r="AC559" s="1"/>
      <c r="AD559" s="2"/>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2"/>
      <c r="AA560" s="2"/>
      <c r="AB560" s="2"/>
      <c r="AC560" s="1"/>
      <c r="AD560" s="2"/>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2"/>
      <c r="AA561" s="2"/>
      <c r="AB561" s="2"/>
      <c r="AC561" s="1"/>
      <c r="AD561" s="2"/>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2"/>
      <c r="AA562" s="2"/>
      <c r="AB562" s="2"/>
      <c r="AC562" s="1"/>
      <c r="AD562" s="2"/>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2"/>
      <c r="AA563" s="2"/>
      <c r="AB563" s="2"/>
      <c r="AC563" s="1"/>
      <c r="AD563" s="2"/>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2"/>
      <c r="AA564" s="2"/>
      <c r="AB564" s="2"/>
      <c r="AC564" s="1"/>
      <c r="AD564" s="2"/>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2"/>
      <c r="AA565" s="2"/>
      <c r="AB565" s="2"/>
      <c r="AC565" s="1"/>
      <c r="AD565" s="2"/>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2"/>
      <c r="AA566" s="2"/>
      <c r="AB566" s="2"/>
      <c r="AC566" s="1"/>
      <c r="AD566" s="2"/>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2"/>
      <c r="AA567" s="2"/>
      <c r="AB567" s="2"/>
      <c r="AC567" s="1"/>
      <c r="AD567" s="2"/>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2"/>
      <c r="AA568" s="2"/>
      <c r="AB568" s="2"/>
      <c r="AC568" s="1"/>
      <c r="AD568" s="2"/>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2"/>
      <c r="AA569" s="2"/>
      <c r="AB569" s="2"/>
      <c r="AC569" s="1"/>
      <c r="AD569" s="2"/>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2"/>
      <c r="AA570" s="2"/>
      <c r="AB570" s="2"/>
      <c r="AC570" s="1"/>
      <c r="AD570" s="2"/>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2"/>
      <c r="AA571" s="2"/>
      <c r="AB571" s="2"/>
      <c r="AC571" s="1"/>
      <c r="AD571" s="2"/>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2"/>
      <c r="AA572" s="2"/>
      <c r="AB572" s="2"/>
      <c r="AC572" s="1"/>
      <c r="AD572" s="2"/>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2"/>
      <c r="AA573" s="2"/>
      <c r="AB573" s="2"/>
      <c r="AC573" s="1"/>
      <c r="AD573" s="2"/>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2"/>
      <c r="AA574" s="2"/>
      <c r="AB574" s="2"/>
      <c r="AC574" s="1"/>
      <c r="AD574" s="2"/>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2"/>
      <c r="AA575" s="2"/>
      <c r="AB575" s="2"/>
      <c r="AC575" s="1"/>
      <c r="AD575" s="2"/>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2"/>
      <c r="AA576" s="2"/>
      <c r="AB576" s="2"/>
      <c r="AC576" s="1"/>
      <c r="AD576" s="2"/>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2"/>
      <c r="AA577" s="2"/>
      <c r="AB577" s="2"/>
      <c r="AC577" s="1"/>
      <c r="AD577" s="2"/>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2"/>
      <c r="AA578" s="2"/>
      <c r="AB578" s="2"/>
      <c r="AC578" s="1"/>
      <c r="AD578" s="2"/>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2"/>
      <c r="AA579" s="2"/>
      <c r="AB579" s="2"/>
      <c r="AC579" s="1"/>
      <c r="AD579" s="2"/>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2"/>
      <c r="AA580" s="2"/>
      <c r="AB580" s="2"/>
      <c r="AC580" s="1"/>
      <c r="AD580" s="2"/>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2"/>
      <c r="AA581" s="2"/>
      <c r="AB581" s="2"/>
      <c r="AC581" s="1"/>
      <c r="AD581" s="2"/>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2"/>
      <c r="AA582" s="2"/>
      <c r="AB582" s="2"/>
      <c r="AC582" s="1"/>
      <c r="AD582" s="2"/>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2"/>
      <c r="AA583" s="2"/>
      <c r="AB583" s="2"/>
      <c r="AC583" s="1"/>
      <c r="AD583" s="2"/>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2"/>
      <c r="AA584" s="2"/>
      <c r="AB584" s="2"/>
      <c r="AC584" s="1"/>
      <c r="AD584" s="2"/>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2"/>
      <c r="AA585" s="2"/>
      <c r="AB585" s="2"/>
      <c r="AC585" s="1"/>
      <c r="AD585" s="2"/>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2"/>
      <c r="AA586" s="2"/>
      <c r="AB586" s="2"/>
      <c r="AC586" s="1"/>
      <c r="AD586" s="2"/>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2"/>
      <c r="AA587" s="2"/>
      <c r="AB587" s="2"/>
      <c r="AC587" s="1"/>
      <c r="AD587" s="2"/>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2"/>
      <c r="AA588" s="2"/>
      <c r="AB588" s="2"/>
      <c r="AC588" s="1"/>
      <c r="AD588" s="2"/>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2"/>
      <c r="AA589" s="2"/>
      <c r="AB589" s="2"/>
      <c r="AC589" s="1"/>
      <c r="AD589" s="2"/>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2"/>
      <c r="AA590" s="2"/>
      <c r="AB590" s="2"/>
      <c r="AC590" s="1"/>
      <c r="AD590" s="2"/>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2"/>
      <c r="AA591" s="2"/>
      <c r="AB591" s="2"/>
      <c r="AC591" s="1"/>
      <c r="AD591" s="2"/>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2"/>
      <c r="AA592" s="2"/>
      <c r="AB592" s="2"/>
      <c r="AC592" s="1"/>
      <c r="AD592" s="2"/>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2"/>
      <c r="AA593" s="2"/>
      <c r="AB593" s="2"/>
      <c r="AC593" s="1"/>
      <c r="AD593" s="2"/>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2"/>
      <c r="AA594" s="2"/>
      <c r="AB594" s="2"/>
      <c r="AC594" s="1"/>
      <c r="AD594" s="2"/>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2"/>
      <c r="AA595" s="2"/>
      <c r="AB595" s="2"/>
      <c r="AC595" s="1"/>
      <c r="AD595" s="2"/>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2"/>
      <c r="AA596" s="2"/>
      <c r="AB596" s="2"/>
      <c r="AC596" s="1"/>
      <c r="AD596" s="2"/>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2"/>
      <c r="AA597" s="2"/>
      <c r="AB597" s="2"/>
      <c r="AC597" s="1"/>
      <c r="AD597" s="2"/>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2"/>
      <c r="AA598" s="2"/>
      <c r="AB598" s="2"/>
      <c r="AC598" s="1"/>
      <c r="AD598" s="2"/>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2"/>
      <c r="AA599" s="2"/>
      <c r="AB599" s="2"/>
      <c r="AC599" s="1"/>
      <c r="AD599" s="2"/>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2"/>
      <c r="AA600" s="2"/>
      <c r="AB600" s="2"/>
      <c r="AC600" s="1"/>
      <c r="AD600" s="2"/>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2"/>
      <c r="AA601" s="2"/>
      <c r="AB601" s="2"/>
      <c r="AC601" s="1"/>
      <c r="AD601" s="2"/>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2"/>
      <c r="AA602" s="2"/>
      <c r="AB602" s="2"/>
      <c r="AC602" s="1"/>
      <c r="AD602" s="2"/>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2"/>
      <c r="AA603" s="2"/>
      <c r="AB603" s="2"/>
      <c r="AC603" s="1"/>
      <c r="AD603" s="2"/>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2"/>
      <c r="AA604" s="2"/>
      <c r="AB604" s="2"/>
      <c r="AC604" s="1"/>
      <c r="AD604" s="2"/>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2"/>
      <c r="AA605" s="2"/>
      <c r="AB605" s="2"/>
      <c r="AC605" s="1"/>
      <c r="AD605" s="2"/>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2"/>
      <c r="AA606" s="2"/>
      <c r="AB606" s="2"/>
      <c r="AC606" s="1"/>
      <c r="AD606" s="2"/>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2"/>
      <c r="AA607" s="2"/>
      <c r="AB607" s="2"/>
      <c r="AC607" s="1"/>
      <c r="AD607" s="2"/>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2"/>
      <c r="AA608" s="2"/>
      <c r="AB608" s="2"/>
      <c r="AC608" s="1"/>
      <c r="AD608" s="2"/>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2"/>
      <c r="AA609" s="2"/>
      <c r="AB609" s="2"/>
      <c r="AC609" s="1"/>
      <c r="AD609" s="2"/>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2"/>
      <c r="AA610" s="2"/>
      <c r="AB610" s="2"/>
      <c r="AC610" s="1"/>
      <c r="AD610" s="2"/>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2"/>
      <c r="AA611" s="2"/>
      <c r="AB611" s="2"/>
      <c r="AC611" s="1"/>
      <c r="AD611" s="2"/>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2"/>
      <c r="AA612" s="2"/>
      <c r="AB612" s="2"/>
      <c r="AC612" s="1"/>
      <c r="AD612" s="2"/>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2"/>
      <c r="AA613" s="2"/>
      <c r="AB613" s="2"/>
      <c r="AC613" s="1"/>
      <c r="AD613" s="2"/>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2"/>
      <c r="AA614" s="2"/>
      <c r="AB614" s="2"/>
      <c r="AC614" s="1"/>
      <c r="AD614" s="2"/>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2"/>
      <c r="AA615" s="2"/>
      <c r="AB615" s="2"/>
      <c r="AC615" s="1"/>
      <c r="AD615" s="2"/>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2"/>
      <c r="AA616" s="2"/>
      <c r="AB616" s="2"/>
      <c r="AC616" s="1"/>
      <c r="AD616" s="2"/>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2"/>
      <c r="AA617" s="2"/>
      <c r="AB617" s="2"/>
      <c r="AC617" s="1"/>
      <c r="AD617" s="2"/>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2"/>
      <c r="AA618" s="2"/>
      <c r="AB618" s="2"/>
      <c r="AC618" s="1"/>
      <c r="AD618" s="2"/>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2"/>
      <c r="AA619" s="2"/>
      <c r="AB619" s="2"/>
      <c r="AC619" s="1"/>
      <c r="AD619" s="2"/>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2"/>
      <c r="AA620" s="2"/>
      <c r="AB620" s="2"/>
      <c r="AC620" s="1"/>
      <c r="AD620" s="2"/>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2"/>
      <c r="AA621" s="2"/>
      <c r="AB621" s="2"/>
      <c r="AC621" s="1"/>
      <c r="AD621" s="2"/>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2"/>
      <c r="AA622" s="2"/>
      <c r="AB622" s="2"/>
      <c r="AC622" s="1"/>
      <c r="AD622" s="2"/>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2"/>
      <c r="AA623" s="2"/>
      <c r="AB623" s="2"/>
      <c r="AC623" s="1"/>
      <c r="AD623" s="2"/>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2"/>
      <c r="AA624" s="2"/>
      <c r="AB624" s="2"/>
      <c r="AC624" s="1"/>
      <c r="AD624" s="2"/>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2"/>
      <c r="AA625" s="2"/>
      <c r="AB625" s="2"/>
      <c r="AC625" s="1"/>
      <c r="AD625" s="2"/>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2"/>
      <c r="AA626" s="2"/>
      <c r="AB626" s="2"/>
      <c r="AC626" s="1"/>
      <c r="AD626" s="2"/>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2"/>
      <c r="AA627" s="2"/>
      <c r="AB627" s="2"/>
      <c r="AC627" s="1"/>
      <c r="AD627" s="2"/>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2"/>
      <c r="AA628" s="2"/>
      <c r="AB628" s="2"/>
      <c r="AC628" s="1"/>
      <c r="AD628" s="2"/>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2"/>
      <c r="AA629" s="2"/>
      <c r="AB629" s="2"/>
      <c r="AC629" s="1"/>
      <c r="AD629" s="2"/>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2"/>
      <c r="AA630" s="2"/>
      <c r="AB630" s="2"/>
      <c r="AC630" s="1"/>
      <c r="AD630" s="2"/>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2"/>
      <c r="AA631" s="2"/>
      <c r="AB631" s="2"/>
      <c r="AC631" s="1"/>
      <c r="AD631" s="2"/>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2"/>
      <c r="AA632" s="2"/>
      <c r="AB632" s="2"/>
      <c r="AC632" s="1"/>
      <c r="AD632" s="2"/>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2"/>
      <c r="AA633" s="2"/>
      <c r="AB633" s="2"/>
      <c r="AC633" s="1"/>
      <c r="AD633" s="2"/>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2"/>
      <c r="AA634" s="2"/>
      <c r="AB634" s="2"/>
      <c r="AC634" s="1"/>
      <c r="AD634" s="2"/>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2"/>
      <c r="AA635" s="2"/>
      <c r="AB635" s="2"/>
      <c r="AC635" s="1"/>
      <c r="AD635" s="2"/>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2"/>
      <c r="AA636" s="2"/>
      <c r="AB636" s="2"/>
      <c r="AC636" s="1"/>
      <c r="AD636" s="2"/>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2"/>
      <c r="AA637" s="2"/>
      <c r="AB637" s="2"/>
      <c r="AC637" s="1"/>
      <c r="AD637" s="2"/>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2"/>
      <c r="AA638" s="2"/>
      <c r="AB638" s="2"/>
      <c r="AC638" s="1"/>
      <c r="AD638" s="2"/>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2"/>
      <c r="AA639" s="2"/>
      <c r="AB639" s="2"/>
      <c r="AC639" s="1"/>
      <c r="AD639" s="2"/>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2"/>
      <c r="AA640" s="2"/>
      <c r="AB640" s="2"/>
      <c r="AC640" s="1"/>
      <c r="AD640" s="2"/>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2"/>
      <c r="AA641" s="2"/>
      <c r="AB641" s="2"/>
      <c r="AC641" s="1"/>
      <c r="AD641" s="2"/>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2"/>
      <c r="AA642" s="2"/>
      <c r="AB642" s="2"/>
      <c r="AC642" s="1"/>
      <c r="AD642" s="2"/>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2"/>
      <c r="AA643" s="2"/>
      <c r="AB643" s="2"/>
      <c r="AC643" s="1"/>
      <c r="AD643" s="2"/>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2"/>
      <c r="AA644" s="2"/>
      <c r="AB644" s="2"/>
      <c r="AC644" s="1"/>
      <c r="AD644" s="2"/>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2"/>
      <c r="AA645" s="2"/>
      <c r="AB645" s="2"/>
      <c r="AC645" s="1"/>
      <c r="AD645" s="2"/>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2"/>
      <c r="AA646" s="2"/>
      <c r="AB646" s="2"/>
      <c r="AC646" s="1"/>
      <c r="AD646" s="2"/>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2"/>
      <c r="AA647" s="2"/>
      <c r="AB647" s="2"/>
      <c r="AC647" s="1"/>
      <c r="AD647" s="2"/>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2"/>
      <c r="AA648" s="2"/>
      <c r="AB648" s="2"/>
      <c r="AC648" s="1"/>
      <c r="AD648" s="2"/>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2"/>
      <c r="AA649" s="2"/>
      <c r="AB649" s="2"/>
      <c r="AC649" s="1"/>
      <c r="AD649" s="2"/>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2"/>
      <c r="AA650" s="2"/>
      <c r="AB650" s="2"/>
      <c r="AC650" s="1"/>
      <c r="AD650" s="2"/>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2"/>
      <c r="AA651" s="2"/>
      <c r="AB651" s="2"/>
      <c r="AC651" s="1"/>
      <c r="AD651" s="2"/>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2"/>
      <c r="AA652" s="2"/>
      <c r="AB652" s="2"/>
      <c r="AC652" s="1"/>
      <c r="AD652" s="2"/>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2"/>
      <c r="AA653" s="2"/>
      <c r="AB653" s="2"/>
      <c r="AC653" s="1"/>
      <c r="AD653" s="2"/>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2"/>
      <c r="AA654" s="2"/>
      <c r="AB654" s="2"/>
      <c r="AC654" s="1"/>
      <c r="AD654" s="2"/>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2"/>
      <c r="AA655" s="2"/>
      <c r="AB655" s="2"/>
      <c r="AC655" s="1"/>
      <c r="AD655" s="2"/>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2"/>
      <c r="AA656" s="2"/>
      <c r="AB656" s="2"/>
      <c r="AC656" s="1"/>
      <c r="AD656" s="2"/>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2"/>
      <c r="AA657" s="2"/>
      <c r="AB657" s="2"/>
      <c r="AC657" s="1"/>
      <c r="AD657" s="2"/>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2"/>
      <c r="AA658" s="2"/>
      <c r="AB658" s="2"/>
      <c r="AC658" s="1"/>
      <c r="AD658" s="2"/>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2"/>
      <c r="AA659" s="2"/>
      <c r="AB659" s="2"/>
      <c r="AC659" s="1"/>
      <c r="AD659" s="2"/>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2"/>
      <c r="AA660" s="2"/>
      <c r="AB660" s="2"/>
      <c r="AC660" s="1"/>
      <c r="AD660" s="2"/>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2"/>
      <c r="AA661" s="2"/>
      <c r="AB661" s="2"/>
      <c r="AC661" s="1"/>
      <c r="AD661" s="2"/>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2"/>
      <c r="AA662" s="2"/>
      <c r="AB662" s="2"/>
      <c r="AC662" s="1"/>
      <c r="AD662" s="2"/>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2"/>
      <c r="AA663" s="2"/>
      <c r="AB663" s="2"/>
      <c r="AC663" s="1"/>
      <c r="AD663" s="2"/>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2"/>
      <c r="AA664" s="2"/>
      <c r="AB664" s="2"/>
      <c r="AC664" s="1"/>
      <c r="AD664" s="2"/>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2"/>
      <c r="AA665" s="2"/>
      <c r="AB665" s="2"/>
      <c r="AC665" s="1"/>
      <c r="AD665" s="2"/>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2"/>
      <c r="AA666" s="2"/>
      <c r="AB666" s="2"/>
      <c r="AC666" s="1"/>
      <c r="AD666" s="2"/>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2"/>
      <c r="AA667" s="2"/>
      <c r="AB667" s="2"/>
      <c r="AC667" s="1"/>
      <c r="AD667" s="2"/>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2"/>
      <c r="AA668" s="2"/>
      <c r="AB668" s="2"/>
      <c r="AC668" s="1"/>
      <c r="AD668" s="2"/>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2"/>
      <c r="AA669" s="2"/>
      <c r="AB669" s="2"/>
      <c r="AC669" s="1"/>
      <c r="AD669" s="2"/>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2"/>
      <c r="AA670" s="2"/>
      <c r="AB670" s="2"/>
      <c r="AC670" s="1"/>
      <c r="AD670" s="2"/>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2"/>
      <c r="AA671" s="2"/>
      <c r="AB671" s="2"/>
      <c r="AC671" s="1"/>
      <c r="AD671" s="2"/>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2"/>
      <c r="AA672" s="2"/>
      <c r="AB672" s="2"/>
      <c r="AC672" s="1"/>
      <c r="AD672" s="2"/>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2"/>
      <c r="AA673" s="2"/>
      <c r="AB673" s="2"/>
      <c r="AC673" s="1"/>
      <c r="AD673" s="2"/>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2"/>
      <c r="AA674" s="2"/>
      <c r="AB674" s="2"/>
      <c r="AC674" s="1"/>
      <c r="AD674" s="2"/>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2"/>
      <c r="AA675" s="2"/>
      <c r="AB675" s="2"/>
      <c r="AC675" s="1"/>
      <c r="AD675" s="2"/>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2"/>
      <c r="AA676" s="2"/>
      <c r="AB676" s="2"/>
      <c r="AC676" s="1"/>
      <c r="AD676" s="2"/>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2"/>
      <c r="AA677" s="2"/>
      <c r="AB677" s="2"/>
      <c r="AC677" s="1"/>
      <c r="AD677" s="2"/>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2"/>
      <c r="AA678" s="2"/>
      <c r="AB678" s="2"/>
      <c r="AC678" s="1"/>
      <c r="AD678" s="2"/>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2"/>
      <c r="AA679" s="2"/>
      <c r="AB679" s="2"/>
      <c r="AC679" s="1"/>
      <c r="AD679" s="2"/>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2"/>
      <c r="AA680" s="2"/>
      <c r="AB680" s="2"/>
      <c r="AC680" s="1"/>
      <c r="AD680" s="2"/>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2"/>
      <c r="AA681" s="2"/>
      <c r="AB681" s="2"/>
      <c r="AC681" s="1"/>
      <c r="AD681" s="2"/>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2"/>
      <c r="AA682" s="2"/>
      <c r="AB682" s="2"/>
      <c r="AC682" s="1"/>
      <c r="AD682" s="2"/>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2"/>
      <c r="AA683" s="2"/>
      <c r="AB683" s="2"/>
      <c r="AC683" s="1"/>
      <c r="AD683" s="2"/>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2"/>
      <c r="AA684" s="2"/>
      <c r="AB684" s="2"/>
      <c r="AC684" s="1"/>
      <c r="AD684" s="2"/>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2"/>
      <c r="AA685" s="2"/>
      <c r="AB685" s="2"/>
      <c r="AC685" s="1"/>
      <c r="AD685" s="2"/>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2"/>
      <c r="AA686" s="2"/>
      <c r="AB686" s="2"/>
      <c r="AC686" s="1"/>
      <c r="AD686" s="2"/>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2"/>
      <c r="AA687" s="2"/>
      <c r="AB687" s="2"/>
      <c r="AC687" s="1"/>
      <c r="AD687" s="2"/>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2"/>
      <c r="AA688" s="2"/>
      <c r="AB688" s="2"/>
      <c r="AC688" s="1"/>
      <c r="AD688" s="2"/>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2"/>
      <c r="AA689" s="2"/>
      <c r="AB689" s="2"/>
      <c r="AC689" s="1"/>
      <c r="AD689" s="2"/>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2"/>
      <c r="AA690" s="2"/>
      <c r="AB690" s="2"/>
      <c r="AC690" s="1"/>
      <c r="AD690" s="2"/>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2"/>
      <c r="AA691" s="2"/>
      <c r="AB691" s="2"/>
      <c r="AC691" s="1"/>
      <c r="AD691" s="2"/>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2"/>
      <c r="AA692" s="2"/>
      <c r="AB692" s="2"/>
      <c r="AC692" s="1"/>
      <c r="AD692" s="2"/>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2"/>
      <c r="AA693" s="2"/>
      <c r="AB693" s="2"/>
      <c r="AC693" s="1"/>
      <c r="AD693" s="2"/>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2"/>
      <c r="AA694" s="2"/>
      <c r="AB694" s="2"/>
      <c r="AC694" s="1"/>
      <c r="AD694" s="2"/>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2"/>
      <c r="AA695" s="2"/>
      <c r="AB695" s="2"/>
      <c r="AC695" s="1"/>
      <c r="AD695" s="2"/>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2"/>
      <c r="AA696" s="2"/>
      <c r="AB696" s="2"/>
      <c r="AC696" s="1"/>
      <c r="AD696" s="2"/>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2"/>
      <c r="AA697" s="2"/>
      <c r="AB697" s="2"/>
      <c r="AC697" s="1"/>
      <c r="AD697" s="2"/>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2"/>
      <c r="AA698" s="2"/>
      <c r="AB698" s="2"/>
      <c r="AC698" s="1"/>
      <c r="AD698" s="2"/>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2"/>
      <c r="AA699" s="2"/>
      <c r="AB699" s="2"/>
      <c r="AC699" s="1"/>
      <c r="AD699" s="2"/>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2"/>
      <c r="AA700" s="2"/>
      <c r="AB700" s="2"/>
      <c r="AC700" s="1"/>
      <c r="AD700" s="2"/>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2"/>
      <c r="AA701" s="2"/>
      <c r="AB701" s="2"/>
      <c r="AC701" s="1"/>
      <c r="AD701" s="2"/>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2"/>
      <c r="AA702" s="2"/>
      <c r="AB702" s="2"/>
      <c r="AC702" s="1"/>
      <c r="AD702" s="2"/>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2"/>
      <c r="AA703" s="2"/>
      <c r="AB703" s="2"/>
      <c r="AC703" s="1"/>
      <c r="AD703" s="2"/>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2"/>
      <c r="AA704" s="2"/>
      <c r="AB704" s="2"/>
      <c r="AC704" s="1"/>
      <c r="AD704" s="2"/>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2"/>
      <c r="AA705" s="2"/>
      <c r="AB705" s="2"/>
      <c r="AC705" s="1"/>
      <c r="AD705" s="2"/>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2"/>
      <c r="AA706" s="2"/>
      <c r="AB706" s="2"/>
      <c r="AC706" s="1"/>
      <c r="AD706" s="2"/>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2"/>
      <c r="AA707" s="2"/>
      <c r="AB707" s="2"/>
      <c r="AC707" s="1"/>
      <c r="AD707" s="2"/>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2"/>
      <c r="AA708" s="2"/>
      <c r="AB708" s="2"/>
      <c r="AC708" s="1"/>
      <c r="AD708" s="2"/>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2"/>
      <c r="AA709" s="2"/>
      <c r="AB709" s="2"/>
      <c r="AC709" s="1"/>
      <c r="AD709" s="2"/>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2"/>
      <c r="AA710" s="2"/>
      <c r="AB710" s="2"/>
      <c r="AC710" s="1"/>
      <c r="AD710" s="2"/>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2"/>
      <c r="AA711" s="2"/>
      <c r="AB711" s="2"/>
      <c r="AC711" s="1"/>
      <c r="AD711" s="2"/>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2"/>
      <c r="AA712" s="2"/>
      <c r="AB712" s="2"/>
      <c r="AC712" s="1"/>
      <c r="AD712" s="2"/>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2"/>
      <c r="AA713" s="2"/>
      <c r="AB713" s="2"/>
      <c r="AC713" s="1"/>
      <c r="AD713" s="2"/>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2"/>
      <c r="AA714" s="2"/>
      <c r="AB714" s="2"/>
      <c r="AC714" s="1"/>
      <c r="AD714" s="2"/>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2"/>
      <c r="AA715" s="2"/>
      <c r="AB715" s="2"/>
      <c r="AC715" s="1"/>
      <c r="AD715" s="2"/>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2"/>
      <c r="AA716" s="2"/>
      <c r="AB716" s="2"/>
      <c r="AC716" s="1"/>
      <c r="AD716" s="2"/>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2"/>
      <c r="AA717" s="2"/>
      <c r="AB717" s="2"/>
      <c r="AC717" s="1"/>
      <c r="AD717" s="2"/>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2"/>
      <c r="AA718" s="2"/>
      <c r="AB718" s="2"/>
      <c r="AC718" s="1"/>
      <c r="AD718" s="2"/>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2"/>
      <c r="AA719" s="2"/>
      <c r="AB719" s="2"/>
      <c r="AC719" s="1"/>
      <c r="AD719" s="2"/>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2"/>
      <c r="AA720" s="2"/>
      <c r="AB720" s="2"/>
      <c r="AC720" s="1"/>
      <c r="AD720" s="2"/>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2"/>
      <c r="AA721" s="2"/>
      <c r="AB721" s="2"/>
      <c r="AC721" s="1"/>
      <c r="AD721" s="2"/>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2"/>
      <c r="AA722" s="2"/>
      <c r="AB722" s="2"/>
      <c r="AC722" s="1"/>
      <c r="AD722" s="2"/>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2"/>
      <c r="AA723" s="2"/>
      <c r="AB723" s="2"/>
      <c r="AC723" s="1"/>
      <c r="AD723" s="2"/>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2"/>
      <c r="AA724" s="2"/>
      <c r="AB724" s="2"/>
      <c r="AC724" s="1"/>
      <c r="AD724" s="2"/>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2"/>
      <c r="AA725" s="2"/>
      <c r="AB725" s="2"/>
      <c r="AC725" s="1"/>
      <c r="AD725" s="2"/>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2"/>
      <c r="AA726" s="2"/>
      <c r="AB726" s="2"/>
      <c r="AC726" s="1"/>
      <c r="AD726" s="2"/>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2"/>
      <c r="AA727" s="2"/>
      <c r="AB727" s="2"/>
      <c r="AC727" s="1"/>
      <c r="AD727" s="2"/>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2"/>
      <c r="AA728" s="2"/>
      <c r="AB728" s="2"/>
      <c r="AC728" s="1"/>
      <c r="AD728" s="2"/>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2"/>
      <c r="AA729" s="2"/>
      <c r="AB729" s="2"/>
      <c r="AC729" s="1"/>
      <c r="AD729" s="2"/>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2"/>
      <c r="AA730" s="2"/>
      <c r="AB730" s="2"/>
      <c r="AC730" s="1"/>
      <c r="AD730" s="2"/>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2"/>
      <c r="AA731" s="2"/>
      <c r="AB731" s="2"/>
      <c r="AC731" s="1"/>
      <c r="AD731" s="2"/>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2"/>
      <c r="AA732" s="2"/>
      <c r="AB732" s="2"/>
      <c r="AC732" s="1"/>
      <c r="AD732" s="2"/>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2"/>
      <c r="AA733" s="2"/>
      <c r="AB733" s="2"/>
      <c r="AC733" s="1"/>
      <c r="AD733" s="2"/>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2"/>
      <c r="AA734" s="2"/>
      <c r="AB734" s="2"/>
      <c r="AC734" s="1"/>
      <c r="AD734" s="2"/>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2"/>
      <c r="AA735" s="2"/>
      <c r="AB735" s="2"/>
      <c r="AC735" s="1"/>
      <c r="AD735" s="2"/>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2"/>
      <c r="AA736" s="2"/>
      <c r="AB736" s="2"/>
      <c r="AC736" s="1"/>
      <c r="AD736" s="2"/>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2"/>
      <c r="AA737" s="2"/>
      <c r="AB737" s="2"/>
      <c r="AC737" s="1"/>
      <c r="AD737" s="2"/>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2"/>
      <c r="AA738" s="2"/>
      <c r="AB738" s="2"/>
      <c r="AC738" s="1"/>
      <c r="AD738" s="2"/>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2"/>
      <c r="AA739" s="2"/>
      <c r="AB739" s="2"/>
      <c r="AC739" s="1"/>
      <c r="AD739" s="2"/>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2"/>
      <c r="AA740" s="2"/>
      <c r="AB740" s="2"/>
      <c r="AC740" s="1"/>
      <c r="AD740" s="2"/>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2"/>
      <c r="AA741" s="2"/>
      <c r="AB741" s="2"/>
      <c r="AC741" s="1"/>
      <c r="AD741" s="2"/>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2"/>
      <c r="AA742" s="2"/>
      <c r="AB742" s="2"/>
      <c r="AC742" s="1"/>
      <c r="AD742" s="2"/>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2"/>
      <c r="AA743" s="2"/>
      <c r="AB743" s="2"/>
      <c r="AC743" s="1"/>
      <c r="AD743" s="2"/>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2"/>
      <c r="AA744" s="2"/>
      <c r="AB744" s="2"/>
      <c r="AC744" s="1"/>
      <c r="AD744" s="2"/>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2"/>
      <c r="AA745" s="2"/>
      <c r="AB745" s="2"/>
      <c r="AC745" s="1"/>
      <c r="AD745" s="2"/>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2"/>
      <c r="AA746" s="2"/>
      <c r="AB746" s="2"/>
      <c r="AC746" s="1"/>
      <c r="AD746" s="2"/>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2"/>
      <c r="AA747" s="2"/>
      <c r="AB747" s="2"/>
      <c r="AC747" s="1"/>
      <c r="AD747" s="2"/>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2"/>
      <c r="AA748" s="2"/>
      <c r="AB748" s="2"/>
      <c r="AC748" s="1"/>
      <c r="AD748" s="2"/>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2"/>
      <c r="AA749" s="2"/>
      <c r="AB749" s="2"/>
      <c r="AC749" s="1"/>
      <c r="AD749" s="2"/>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2"/>
      <c r="AA750" s="2"/>
      <c r="AB750" s="2"/>
      <c r="AC750" s="1"/>
      <c r="AD750" s="2"/>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2"/>
      <c r="AA751" s="2"/>
      <c r="AB751" s="2"/>
      <c r="AC751" s="1"/>
      <c r="AD751" s="2"/>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2"/>
      <c r="AA752" s="2"/>
      <c r="AB752" s="2"/>
      <c r="AC752" s="1"/>
      <c r="AD752" s="2"/>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2"/>
      <c r="AA753" s="2"/>
      <c r="AB753" s="2"/>
      <c r="AC753" s="1"/>
      <c r="AD753" s="2"/>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2"/>
      <c r="AA754" s="2"/>
      <c r="AB754" s="2"/>
      <c r="AC754" s="1"/>
      <c r="AD754" s="2"/>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2"/>
      <c r="AA755" s="2"/>
      <c r="AB755" s="2"/>
      <c r="AC755" s="1"/>
      <c r="AD755" s="2"/>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2"/>
      <c r="AA756" s="2"/>
      <c r="AB756" s="2"/>
      <c r="AC756" s="1"/>
      <c r="AD756" s="2"/>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2"/>
      <c r="AA757" s="2"/>
      <c r="AB757" s="2"/>
      <c r="AC757" s="1"/>
      <c r="AD757" s="2"/>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2"/>
      <c r="AA758" s="2"/>
      <c r="AB758" s="2"/>
      <c r="AC758" s="1"/>
      <c r="AD758" s="2"/>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2"/>
      <c r="AA759" s="2"/>
      <c r="AB759" s="2"/>
      <c r="AC759" s="1"/>
      <c r="AD759" s="2"/>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2"/>
      <c r="AA760" s="2"/>
      <c r="AB760" s="2"/>
      <c r="AC760" s="1"/>
      <c r="AD760" s="2"/>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2"/>
      <c r="AA761" s="2"/>
      <c r="AB761" s="2"/>
      <c r="AC761" s="1"/>
      <c r="AD761" s="2"/>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2"/>
      <c r="AA762" s="2"/>
      <c r="AB762" s="2"/>
      <c r="AC762" s="1"/>
      <c r="AD762" s="2"/>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2"/>
      <c r="AA763" s="2"/>
      <c r="AB763" s="2"/>
      <c r="AC763" s="1"/>
      <c r="AD763" s="2"/>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2"/>
      <c r="AA764" s="2"/>
      <c r="AB764" s="2"/>
      <c r="AC764" s="1"/>
      <c r="AD764" s="2"/>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2"/>
      <c r="AA765" s="2"/>
      <c r="AB765" s="2"/>
      <c r="AC765" s="1"/>
      <c r="AD765" s="2"/>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2"/>
      <c r="AA766" s="2"/>
      <c r="AB766" s="2"/>
      <c r="AC766" s="1"/>
      <c r="AD766" s="2"/>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2"/>
      <c r="AA767" s="2"/>
      <c r="AB767" s="2"/>
      <c r="AC767" s="1"/>
      <c r="AD767" s="2"/>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2"/>
      <c r="AA768" s="2"/>
      <c r="AB768" s="2"/>
      <c r="AC768" s="1"/>
      <c r="AD768" s="2"/>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2"/>
      <c r="AA769" s="2"/>
      <c r="AB769" s="2"/>
      <c r="AC769" s="1"/>
      <c r="AD769" s="2"/>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2"/>
      <c r="AA770" s="2"/>
      <c r="AB770" s="2"/>
      <c r="AC770" s="1"/>
      <c r="AD770" s="2"/>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2"/>
      <c r="AA771" s="2"/>
      <c r="AB771" s="2"/>
      <c r="AC771" s="1"/>
      <c r="AD771" s="2"/>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2"/>
      <c r="AA772" s="2"/>
      <c r="AB772" s="2"/>
      <c r="AC772" s="1"/>
      <c r="AD772" s="2"/>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2"/>
      <c r="AA773" s="2"/>
      <c r="AB773" s="2"/>
      <c r="AC773" s="1"/>
      <c r="AD773" s="2"/>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2"/>
      <c r="AA774" s="2"/>
      <c r="AB774" s="2"/>
      <c r="AC774" s="1"/>
      <c r="AD774" s="2"/>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2"/>
      <c r="AA775" s="2"/>
      <c r="AB775" s="2"/>
      <c r="AC775" s="1"/>
      <c r="AD775" s="2"/>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2"/>
      <c r="AA776" s="2"/>
      <c r="AB776" s="2"/>
      <c r="AC776" s="1"/>
      <c r="AD776" s="2"/>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2"/>
      <c r="AA777" s="2"/>
      <c r="AB777" s="2"/>
      <c r="AC777" s="1"/>
      <c r="AD777" s="2"/>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2"/>
      <c r="AA778" s="2"/>
      <c r="AB778" s="2"/>
      <c r="AC778" s="1"/>
      <c r="AD778" s="2"/>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2"/>
      <c r="AA779" s="2"/>
      <c r="AB779" s="2"/>
      <c r="AC779" s="1"/>
      <c r="AD779" s="2"/>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2"/>
      <c r="AA780" s="2"/>
      <c r="AB780" s="2"/>
      <c r="AC780" s="1"/>
      <c r="AD780" s="2"/>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2"/>
      <c r="AA781" s="2"/>
      <c r="AB781" s="2"/>
      <c r="AC781" s="1"/>
      <c r="AD781" s="2"/>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2"/>
      <c r="AA782" s="2"/>
      <c r="AB782" s="2"/>
      <c r="AC782" s="1"/>
      <c r="AD782" s="2"/>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2"/>
      <c r="AA783" s="2"/>
      <c r="AB783" s="2"/>
      <c r="AC783" s="1"/>
      <c r="AD783" s="2"/>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2"/>
      <c r="AA784" s="2"/>
      <c r="AB784" s="2"/>
      <c r="AC784" s="1"/>
      <c r="AD784" s="2"/>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2"/>
      <c r="AA785" s="2"/>
      <c r="AB785" s="2"/>
      <c r="AC785" s="1"/>
      <c r="AD785" s="2"/>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2"/>
      <c r="AA786" s="2"/>
      <c r="AB786" s="2"/>
      <c r="AC786" s="1"/>
      <c r="AD786" s="2"/>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2"/>
      <c r="AA787" s="2"/>
      <c r="AB787" s="2"/>
      <c r="AC787" s="1"/>
      <c r="AD787" s="2"/>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2"/>
      <c r="AA788" s="2"/>
      <c r="AB788" s="2"/>
      <c r="AC788" s="1"/>
      <c r="AD788" s="2"/>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2"/>
      <c r="AA789" s="2"/>
      <c r="AB789" s="2"/>
      <c r="AC789" s="1"/>
      <c r="AD789" s="2"/>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2"/>
      <c r="AA790" s="2"/>
      <c r="AB790" s="2"/>
      <c r="AC790" s="1"/>
      <c r="AD790" s="2"/>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2"/>
      <c r="AA791" s="2"/>
      <c r="AB791" s="2"/>
      <c r="AC791" s="1"/>
      <c r="AD791" s="2"/>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2"/>
      <c r="AA792" s="2"/>
      <c r="AB792" s="2"/>
      <c r="AC792" s="1"/>
      <c r="AD792" s="2"/>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2"/>
      <c r="AA793" s="2"/>
      <c r="AB793" s="2"/>
      <c r="AC793" s="1"/>
      <c r="AD793" s="2"/>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2"/>
      <c r="AA794" s="2"/>
      <c r="AB794" s="2"/>
      <c r="AC794" s="1"/>
      <c r="AD794" s="2"/>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2"/>
      <c r="AA795" s="2"/>
      <c r="AB795" s="2"/>
      <c r="AC795" s="1"/>
      <c r="AD795" s="2"/>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2"/>
      <c r="AA796" s="2"/>
      <c r="AB796" s="2"/>
      <c r="AC796" s="1"/>
      <c r="AD796" s="2"/>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2"/>
      <c r="AA797" s="2"/>
      <c r="AB797" s="2"/>
      <c r="AC797" s="1"/>
      <c r="AD797" s="2"/>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2"/>
      <c r="AA798" s="2"/>
      <c r="AB798" s="2"/>
      <c r="AC798" s="1"/>
      <c r="AD798" s="2"/>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2"/>
      <c r="AA799" s="2"/>
      <c r="AB799" s="2"/>
      <c r="AC799" s="1"/>
      <c r="AD799" s="2"/>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2"/>
      <c r="AA800" s="2"/>
      <c r="AB800" s="2"/>
      <c r="AC800" s="1"/>
      <c r="AD800" s="2"/>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2"/>
      <c r="AA801" s="2"/>
      <c r="AB801" s="2"/>
      <c r="AC801" s="1"/>
      <c r="AD801" s="2"/>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2"/>
      <c r="AA802" s="2"/>
      <c r="AB802" s="2"/>
      <c r="AC802" s="1"/>
      <c r="AD802" s="2"/>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2"/>
      <c r="AA803" s="2"/>
      <c r="AB803" s="2"/>
      <c r="AC803" s="1"/>
      <c r="AD803" s="2"/>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2"/>
      <c r="AA804" s="2"/>
      <c r="AB804" s="2"/>
      <c r="AC804" s="1"/>
      <c r="AD804" s="2"/>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2"/>
      <c r="AA805" s="2"/>
      <c r="AB805" s="2"/>
      <c r="AC805" s="1"/>
      <c r="AD805" s="2"/>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2"/>
      <c r="AA806" s="2"/>
      <c r="AB806" s="2"/>
      <c r="AC806" s="1"/>
      <c r="AD806" s="2"/>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2"/>
      <c r="AA807" s="2"/>
      <c r="AB807" s="2"/>
      <c r="AC807" s="1"/>
      <c r="AD807" s="2"/>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2"/>
      <c r="AA808" s="2"/>
      <c r="AB808" s="2"/>
      <c r="AC808" s="1"/>
      <c r="AD808" s="2"/>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2"/>
      <c r="AA809" s="2"/>
      <c r="AB809" s="2"/>
      <c r="AC809" s="1"/>
      <c r="AD809" s="2"/>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2"/>
      <c r="AA810" s="2"/>
      <c r="AB810" s="2"/>
      <c r="AC810" s="1"/>
      <c r="AD810" s="2"/>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2"/>
      <c r="AA811" s="2"/>
      <c r="AB811" s="2"/>
      <c r="AC811" s="1"/>
      <c r="AD811" s="2"/>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2"/>
      <c r="AA812" s="2"/>
      <c r="AB812" s="2"/>
      <c r="AC812" s="1"/>
      <c r="AD812" s="2"/>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2"/>
      <c r="AA813" s="2"/>
      <c r="AB813" s="2"/>
      <c r="AC813" s="1"/>
      <c r="AD813" s="2"/>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2"/>
      <c r="AA814" s="2"/>
      <c r="AB814" s="2"/>
      <c r="AC814" s="1"/>
      <c r="AD814" s="2"/>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2"/>
      <c r="AA815" s="2"/>
      <c r="AB815" s="2"/>
      <c r="AC815" s="1"/>
      <c r="AD815" s="2"/>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2"/>
      <c r="AA816" s="2"/>
      <c r="AB816" s="2"/>
      <c r="AC816" s="1"/>
      <c r="AD816" s="2"/>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2"/>
      <c r="AA817" s="2"/>
      <c r="AB817" s="2"/>
      <c r="AC817" s="1"/>
      <c r="AD817" s="2"/>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2"/>
      <c r="AA818" s="2"/>
      <c r="AB818" s="2"/>
      <c r="AC818" s="1"/>
      <c r="AD818" s="2"/>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2"/>
      <c r="AA819" s="2"/>
      <c r="AB819" s="2"/>
      <c r="AC819" s="1"/>
      <c r="AD819" s="2"/>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2"/>
      <c r="AA820" s="2"/>
      <c r="AB820" s="2"/>
      <c r="AC820" s="1"/>
      <c r="AD820" s="2"/>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2"/>
      <c r="AA821" s="2"/>
      <c r="AB821" s="2"/>
      <c r="AC821" s="1"/>
      <c r="AD821" s="2"/>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2"/>
      <c r="AA822" s="2"/>
      <c r="AB822" s="2"/>
      <c r="AC822" s="1"/>
      <c r="AD822" s="2"/>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2"/>
      <c r="AA823" s="2"/>
      <c r="AB823" s="2"/>
      <c r="AC823" s="1"/>
      <c r="AD823" s="2"/>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2"/>
      <c r="AA824" s="2"/>
      <c r="AB824" s="2"/>
      <c r="AC824" s="1"/>
      <c r="AD824" s="2"/>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2"/>
      <c r="AA825" s="2"/>
      <c r="AB825" s="2"/>
      <c r="AC825" s="1"/>
      <c r="AD825" s="2"/>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2"/>
      <c r="AA826" s="2"/>
      <c r="AB826" s="2"/>
      <c r="AC826" s="1"/>
      <c r="AD826" s="2"/>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2"/>
      <c r="AA827" s="2"/>
      <c r="AB827" s="2"/>
      <c r="AC827" s="1"/>
      <c r="AD827" s="2"/>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2"/>
      <c r="AA828" s="2"/>
      <c r="AB828" s="2"/>
      <c r="AC828" s="1"/>
      <c r="AD828" s="2"/>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2"/>
      <c r="AA829" s="2"/>
      <c r="AB829" s="2"/>
      <c r="AC829" s="1"/>
      <c r="AD829" s="2"/>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2"/>
      <c r="AA830" s="2"/>
      <c r="AB830" s="2"/>
      <c r="AC830" s="1"/>
      <c r="AD830" s="2"/>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2"/>
      <c r="AA831" s="2"/>
      <c r="AB831" s="2"/>
      <c r="AC831" s="1"/>
      <c r="AD831" s="2"/>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2"/>
      <c r="AA832" s="2"/>
      <c r="AB832" s="2"/>
      <c r="AC832" s="1"/>
      <c r="AD832" s="2"/>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2"/>
      <c r="AA833" s="2"/>
      <c r="AB833" s="2"/>
      <c r="AC833" s="1"/>
      <c r="AD833" s="2"/>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2"/>
      <c r="AA834" s="2"/>
      <c r="AB834" s="2"/>
      <c r="AC834" s="1"/>
      <c r="AD834" s="2"/>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2"/>
      <c r="AA835" s="2"/>
      <c r="AB835" s="2"/>
      <c r="AC835" s="1"/>
      <c r="AD835" s="2"/>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2"/>
      <c r="AA836" s="2"/>
      <c r="AB836" s="2"/>
      <c r="AC836" s="1"/>
      <c r="AD836" s="2"/>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2"/>
      <c r="AA837" s="2"/>
      <c r="AB837" s="2"/>
      <c r="AC837" s="1"/>
      <c r="AD837" s="2"/>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2"/>
      <c r="AA838" s="2"/>
      <c r="AB838" s="2"/>
      <c r="AC838" s="1"/>
      <c r="AD838" s="2"/>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2"/>
      <c r="AA839" s="2"/>
      <c r="AB839" s="2"/>
      <c r="AC839" s="1"/>
      <c r="AD839" s="2"/>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2"/>
      <c r="AA840" s="2"/>
      <c r="AB840" s="2"/>
      <c r="AC840" s="1"/>
      <c r="AD840" s="2"/>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2"/>
      <c r="AA841" s="2"/>
      <c r="AB841" s="2"/>
      <c r="AC841" s="1"/>
      <c r="AD841" s="2"/>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2"/>
      <c r="AA842" s="2"/>
      <c r="AB842" s="2"/>
      <c r="AC842" s="1"/>
      <c r="AD842" s="2"/>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2"/>
      <c r="AA843" s="2"/>
      <c r="AB843" s="2"/>
      <c r="AC843" s="1"/>
      <c r="AD843" s="2"/>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2"/>
      <c r="AA844" s="2"/>
      <c r="AB844" s="2"/>
      <c r="AC844" s="1"/>
      <c r="AD844" s="2"/>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2"/>
      <c r="AA845" s="2"/>
      <c r="AB845" s="2"/>
      <c r="AC845" s="1"/>
      <c r="AD845" s="2"/>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2"/>
      <c r="AA846" s="2"/>
      <c r="AB846" s="2"/>
      <c r="AC846" s="1"/>
      <c r="AD846" s="2"/>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2"/>
      <c r="AA847" s="2"/>
      <c r="AB847" s="2"/>
      <c r="AC847" s="1"/>
      <c r="AD847" s="2"/>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2"/>
      <c r="AA848" s="2"/>
      <c r="AB848" s="2"/>
      <c r="AC848" s="1"/>
      <c r="AD848" s="2"/>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2"/>
      <c r="AA849" s="2"/>
      <c r="AB849" s="2"/>
      <c r="AC849" s="1"/>
      <c r="AD849" s="2"/>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2"/>
      <c r="AA850" s="2"/>
      <c r="AB850" s="2"/>
      <c r="AC850" s="1"/>
      <c r="AD850" s="2"/>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2"/>
      <c r="AA851" s="2"/>
      <c r="AB851" s="2"/>
      <c r="AC851" s="1"/>
      <c r="AD851" s="2"/>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2"/>
      <c r="AA852" s="2"/>
      <c r="AB852" s="2"/>
      <c r="AC852" s="1"/>
      <c r="AD852" s="2"/>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2"/>
      <c r="AA853" s="2"/>
      <c r="AB853" s="2"/>
      <c r="AC853" s="1"/>
      <c r="AD853" s="2"/>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2"/>
      <c r="AA854" s="2"/>
      <c r="AB854" s="2"/>
      <c r="AC854" s="1"/>
      <c r="AD854" s="2"/>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2"/>
      <c r="AA855" s="2"/>
      <c r="AB855" s="2"/>
      <c r="AC855" s="1"/>
      <c r="AD855" s="2"/>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2"/>
      <c r="AA856" s="2"/>
      <c r="AB856" s="2"/>
      <c r="AC856" s="1"/>
      <c r="AD856" s="2"/>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2"/>
      <c r="AA857" s="2"/>
      <c r="AB857" s="2"/>
      <c r="AC857" s="1"/>
      <c r="AD857" s="2"/>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2"/>
      <c r="AA858" s="2"/>
      <c r="AB858" s="2"/>
      <c r="AC858" s="1"/>
      <c r="AD858" s="2"/>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2"/>
      <c r="AA859" s="2"/>
      <c r="AB859" s="2"/>
      <c r="AC859" s="1"/>
      <c r="AD859" s="2"/>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2"/>
      <c r="AA860" s="2"/>
      <c r="AB860" s="2"/>
      <c r="AC860" s="1"/>
      <c r="AD860" s="2"/>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2"/>
      <c r="AA861" s="2"/>
      <c r="AB861" s="2"/>
      <c r="AC861" s="1"/>
      <c r="AD861" s="2"/>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2"/>
      <c r="AA862" s="2"/>
      <c r="AB862" s="2"/>
      <c r="AC862" s="1"/>
      <c r="AD862" s="2"/>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2"/>
      <c r="AA863" s="2"/>
      <c r="AB863" s="2"/>
      <c r="AC863" s="1"/>
      <c r="AD863" s="2"/>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2"/>
      <c r="AA864" s="2"/>
      <c r="AB864" s="2"/>
      <c r="AC864" s="1"/>
      <c r="AD864" s="2"/>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2"/>
      <c r="AA865" s="2"/>
      <c r="AB865" s="2"/>
      <c r="AC865" s="1"/>
      <c r="AD865" s="2"/>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2"/>
      <c r="AA866" s="2"/>
      <c r="AB866" s="2"/>
      <c r="AC866" s="1"/>
      <c r="AD866" s="2"/>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2"/>
      <c r="AA867" s="2"/>
      <c r="AB867" s="2"/>
      <c r="AC867" s="1"/>
      <c r="AD867" s="2"/>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2"/>
      <c r="AA868" s="2"/>
      <c r="AB868" s="2"/>
      <c r="AC868" s="1"/>
      <c r="AD868" s="2"/>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2"/>
      <c r="AA869" s="2"/>
      <c r="AB869" s="2"/>
      <c r="AC869" s="1"/>
      <c r="AD869" s="2"/>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2"/>
      <c r="AA870" s="2"/>
      <c r="AB870" s="2"/>
      <c r="AC870" s="1"/>
      <c r="AD870" s="2"/>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2"/>
      <c r="AA871" s="2"/>
      <c r="AB871" s="2"/>
      <c r="AC871" s="1"/>
      <c r="AD871" s="2"/>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2"/>
      <c r="AA872" s="2"/>
      <c r="AB872" s="2"/>
      <c r="AC872" s="1"/>
      <c r="AD872" s="2"/>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2"/>
      <c r="AA873" s="2"/>
      <c r="AB873" s="2"/>
      <c r="AC873" s="1"/>
      <c r="AD873" s="2"/>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2"/>
      <c r="AA874" s="2"/>
      <c r="AB874" s="2"/>
      <c r="AC874" s="1"/>
      <c r="AD874" s="2"/>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2"/>
      <c r="AA875" s="2"/>
      <c r="AB875" s="2"/>
      <c r="AC875" s="1"/>
      <c r="AD875" s="2"/>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2"/>
      <c r="AA876" s="2"/>
      <c r="AB876" s="2"/>
      <c r="AC876" s="1"/>
      <c r="AD876" s="2"/>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2"/>
      <c r="AA877" s="2"/>
      <c r="AB877" s="2"/>
      <c r="AC877" s="1"/>
      <c r="AD877" s="2"/>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2"/>
      <c r="AA878" s="2"/>
      <c r="AB878" s="2"/>
      <c r="AC878" s="1"/>
      <c r="AD878" s="2"/>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2"/>
      <c r="AA879" s="2"/>
      <c r="AB879" s="2"/>
      <c r="AC879" s="1"/>
      <c r="AD879" s="2"/>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2"/>
      <c r="AA880" s="2"/>
      <c r="AB880" s="2"/>
      <c r="AC880" s="1"/>
      <c r="AD880" s="2"/>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2"/>
      <c r="AA881" s="2"/>
      <c r="AB881" s="2"/>
      <c r="AC881" s="1"/>
      <c r="AD881" s="2"/>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2"/>
      <c r="AA882" s="2"/>
      <c r="AB882" s="2"/>
      <c r="AC882" s="1"/>
      <c r="AD882" s="2"/>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2"/>
      <c r="AA883" s="2"/>
      <c r="AB883" s="2"/>
      <c r="AC883" s="1"/>
      <c r="AD883" s="2"/>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2"/>
      <c r="AA884" s="2"/>
      <c r="AB884" s="2"/>
      <c r="AC884" s="1"/>
      <c r="AD884" s="2"/>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2"/>
      <c r="AA885" s="2"/>
      <c r="AB885" s="2"/>
      <c r="AC885" s="1"/>
      <c r="AD885" s="2"/>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2"/>
      <c r="AA886" s="2"/>
      <c r="AB886" s="2"/>
      <c r="AC886" s="1"/>
      <c r="AD886" s="2"/>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2"/>
      <c r="AA887" s="2"/>
      <c r="AB887" s="2"/>
      <c r="AC887" s="1"/>
      <c r="AD887" s="2"/>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2"/>
      <c r="AA888" s="2"/>
      <c r="AB888" s="2"/>
      <c r="AC888" s="1"/>
      <c r="AD888" s="2"/>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2"/>
      <c r="AA889" s="2"/>
      <c r="AB889" s="2"/>
      <c r="AC889" s="1"/>
      <c r="AD889" s="2"/>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2"/>
      <c r="AA890" s="2"/>
      <c r="AB890" s="2"/>
      <c r="AC890" s="1"/>
      <c r="AD890" s="2"/>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2"/>
      <c r="AA891" s="2"/>
      <c r="AB891" s="2"/>
      <c r="AC891" s="1"/>
      <c r="AD891" s="2"/>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2"/>
      <c r="AA892" s="2"/>
      <c r="AB892" s="2"/>
      <c r="AC892" s="1"/>
      <c r="AD892" s="2"/>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2"/>
      <c r="AA893" s="2"/>
      <c r="AB893" s="2"/>
      <c r="AC893" s="1"/>
      <c r="AD893" s="2"/>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2"/>
      <c r="AA894" s="2"/>
      <c r="AB894" s="2"/>
      <c r="AC894" s="1"/>
      <c r="AD894" s="2"/>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2"/>
      <c r="AA895" s="2"/>
      <c r="AB895" s="2"/>
      <c r="AC895" s="1"/>
      <c r="AD895" s="2"/>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2"/>
      <c r="AA896" s="2"/>
      <c r="AB896" s="2"/>
      <c r="AC896" s="1"/>
      <c r="AD896" s="2"/>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2"/>
      <c r="AA897" s="2"/>
      <c r="AB897" s="2"/>
      <c r="AC897" s="1"/>
      <c r="AD897" s="2"/>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2"/>
      <c r="AA898" s="2"/>
      <c r="AB898" s="2"/>
      <c r="AC898" s="1"/>
      <c r="AD898" s="2"/>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2"/>
      <c r="AA899" s="2"/>
      <c r="AB899" s="2"/>
      <c r="AC899" s="1"/>
      <c r="AD899" s="2"/>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2"/>
      <c r="AA900" s="2"/>
      <c r="AB900" s="2"/>
      <c r="AC900" s="1"/>
      <c r="AD900" s="2"/>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2"/>
      <c r="AA901" s="2"/>
      <c r="AB901" s="2"/>
      <c r="AC901" s="1"/>
      <c r="AD901" s="2"/>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2"/>
      <c r="AA902" s="2"/>
      <c r="AB902" s="2"/>
      <c r="AC902" s="1"/>
      <c r="AD902" s="2"/>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2"/>
      <c r="AA903" s="2"/>
      <c r="AB903" s="2"/>
      <c r="AC903" s="1"/>
      <c r="AD903" s="2"/>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2"/>
      <c r="AA904" s="2"/>
      <c r="AB904" s="2"/>
      <c r="AC904" s="1"/>
      <c r="AD904" s="2"/>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2"/>
      <c r="AA905" s="2"/>
      <c r="AB905" s="2"/>
      <c r="AC905" s="1"/>
      <c r="AD905" s="2"/>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2"/>
      <c r="AA906" s="2"/>
      <c r="AB906" s="2"/>
      <c r="AC906" s="1"/>
      <c r="AD906" s="2"/>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2"/>
      <c r="AA907" s="2"/>
      <c r="AB907" s="2"/>
      <c r="AC907" s="1"/>
      <c r="AD907" s="2"/>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2"/>
      <c r="AA908" s="2"/>
      <c r="AB908" s="2"/>
      <c r="AC908" s="1"/>
      <c r="AD908" s="2"/>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2"/>
      <c r="AA909" s="2"/>
      <c r="AB909" s="2"/>
      <c r="AC909" s="1"/>
      <c r="AD909" s="2"/>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2"/>
      <c r="AA910" s="2"/>
      <c r="AB910" s="2"/>
      <c r="AC910" s="1"/>
      <c r="AD910" s="2"/>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2"/>
      <c r="AA911" s="2"/>
      <c r="AB911" s="2"/>
      <c r="AC911" s="1"/>
      <c r="AD911" s="2"/>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2"/>
      <c r="AA912" s="2"/>
      <c r="AB912" s="2"/>
      <c r="AC912" s="1"/>
      <c r="AD912" s="2"/>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2"/>
      <c r="AA913" s="2"/>
      <c r="AB913" s="2"/>
      <c r="AC913" s="1"/>
      <c r="AD913" s="2"/>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2"/>
      <c r="AA914" s="2"/>
      <c r="AB914" s="2"/>
      <c r="AC914" s="1"/>
      <c r="AD914" s="2"/>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2"/>
      <c r="AA915" s="2"/>
      <c r="AB915" s="2"/>
      <c r="AC915" s="1"/>
      <c r="AD915" s="2"/>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2"/>
      <c r="AA916" s="2"/>
      <c r="AB916" s="2"/>
      <c r="AC916" s="1"/>
      <c r="AD916" s="2"/>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2"/>
      <c r="AA917" s="2"/>
      <c r="AB917" s="2"/>
      <c r="AC917" s="1"/>
      <c r="AD917" s="2"/>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2"/>
      <c r="AA918" s="2"/>
      <c r="AB918" s="2"/>
      <c r="AC918" s="1"/>
      <c r="AD918" s="2"/>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2"/>
      <c r="AA919" s="2"/>
      <c r="AB919" s="2"/>
      <c r="AC919" s="1"/>
      <c r="AD919" s="2"/>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2"/>
      <c r="AA920" s="2"/>
      <c r="AB920" s="2"/>
      <c r="AC920" s="1"/>
      <c r="AD920" s="2"/>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2"/>
      <c r="AA921" s="2"/>
      <c r="AB921" s="2"/>
      <c r="AC921" s="1"/>
      <c r="AD921" s="2"/>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2"/>
      <c r="AA922" s="2"/>
      <c r="AB922" s="2"/>
      <c r="AC922" s="1"/>
      <c r="AD922" s="2"/>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2"/>
      <c r="AA923" s="2"/>
      <c r="AB923" s="2"/>
      <c r="AC923" s="1"/>
      <c r="AD923" s="2"/>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2"/>
      <c r="AA924" s="2"/>
      <c r="AB924" s="2"/>
      <c r="AC924" s="1"/>
      <c r="AD924" s="2"/>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2"/>
      <c r="AA925" s="2"/>
      <c r="AB925" s="2"/>
      <c r="AC925" s="1"/>
      <c r="AD925" s="2"/>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2"/>
      <c r="AA926" s="2"/>
      <c r="AB926" s="2"/>
      <c r="AC926" s="1"/>
      <c r="AD926" s="2"/>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2"/>
      <c r="AA927" s="2"/>
      <c r="AB927" s="2"/>
      <c r="AC927" s="1"/>
      <c r="AD927" s="2"/>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2"/>
      <c r="AA928" s="2"/>
      <c r="AB928" s="2"/>
      <c r="AC928" s="1"/>
      <c r="AD928" s="2"/>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2"/>
      <c r="AA929" s="2"/>
      <c r="AB929" s="2"/>
      <c r="AC929" s="1"/>
      <c r="AD929" s="2"/>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2"/>
      <c r="AA930" s="2"/>
      <c r="AB930" s="2"/>
      <c r="AC930" s="1"/>
      <c r="AD930" s="2"/>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2"/>
      <c r="AA931" s="2"/>
      <c r="AB931" s="2"/>
      <c r="AC931" s="1"/>
      <c r="AD931" s="2"/>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2"/>
      <c r="AA932" s="2"/>
      <c r="AB932" s="2"/>
      <c r="AC932" s="1"/>
      <c r="AD932" s="2"/>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2"/>
      <c r="AA933" s="2"/>
      <c r="AB933" s="2"/>
      <c r="AC933" s="1"/>
      <c r="AD933" s="2"/>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2"/>
      <c r="AA934" s="2"/>
      <c r="AB934" s="2"/>
      <c r="AC934" s="1"/>
      <c r="AD934" s="2"/>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2"/>
      <c r="AA935" s="2"/>
      <c r="AB935" s="2"/>
      <c r="AC935" s="1"/>
      <c r="AD935" s="2"/>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2"/>
      <c r="AA936" s="2"/>
      <c r="AB936" s="2"/>
      <c r="AC936" s="1"/>
      <c r="AD936" s="2"/>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2"/>
      <c r="AA937" s="2"/>
      <c r="AB937" s="2"/>
      <c r="AC937" s="1"/>
      <c r="AD937" s="2"/>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2"/>
      <c r="AA938" s="2"/>
      <c r="AB938" s="2"/>
      <c r="AC938" s="1"/>
      <c r="AD938" s="2"/>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2"/>
      <c r="AA939" s="2"/>
      <c r="AB939" s="2"/>
      <c r="AC939" s="1"/>
      <c r="AD939" s="2"/>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2"/>
      <c r="AA940" s="2"/>
      <c r="AB940" s="2"/>
      <c r="AC940" s="1"/>
      <c r="AD940" s="2"/>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2"/>
      <c r="AA941" s="2"/>
      <c r="AB941" s="2"/>
      <c r="AC941" s="1"/>
      <c r="AD941" s="2"/>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2"/>
      <c r="AA942" s="2"/>
      <c r="AB942" s="2"/>
      <c r="AC942" s="1"/>
      <c r="AD942" s="2"/>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2"/>
      <c r="AA943" s="2"/>
      <c r="AB943" s="2"/>
      <c r="AC943" s="1"/>
      <c r="AD943" s="2"/>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2"/>
      <c r="AA944" s="2"/>
      <c r="AB944" s="2"/>
      <c r="AC944" s="1"/>
      <c r="AD944" s="2"/>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2"/>
      <c r="AA945" s="2"/>
      <c r="AB945" s="2"/>
      <c r="AC945" s="1"/>
      <c r="AD945" s="2"/>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2"/>
      <c r="AA946" s="2"/>
      <c r="AB946" s="2"/>
      <c r="AC946" s="1"/>
      <c r="AD946" s="2"/>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2"/>
      <c r="AA947" s="2"/>
      <c r="AB947" s="2"/>
      <c r="AC947" s="1"/>
      <c r="AD947" s="2"/>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2"/>
      <c r="AA948" s="2"/>
      <c r="AB948" s="2"/>
      <c r="AC948" s="1"/>
      <c r="AD948" s="2"/>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2"/>
      <c r="AA949" s="2"/>
      <c r="AB949" s="2"/>
      <c r="AC949" s="1"/>
      <c r="AD949" s="2"/>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2"/>
      <c r="AA950" s="2"/>
      <c r="AB950" s="2"/>
      <c r="AC950" s="1"/>
      <c r="AD950" s="2"/>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2"/>
      <c r="AA951" s="2"/>
      <c r="AB951" s="2"/>
      <c r="AC951" s="1"/>
      <c r="AD951" s="2"/>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2"/>
      <c r="AA952" s="2"/>
      <c r="AB952" s="2"/>
      <c r="AC952" s="1"/>
      <c r="AD952" s="2"/>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2"/>
      <c r="AA953" s="2"/>
      <c r="AB953" s="2"/>
      <c r="AC953" s="1"/>
      <c r="AD953" s="2"/>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2"/>
      <c r="AA954" s="2"/>
      <c r="AB954" s="2"/>
      <c r="AC954" s="1"/>
      <c r="AD954" s="2"/>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2"/>
      <c r="AA955" s="2"/>
      <c r="AB955" s="2"/>
      <c r="AC955" s="1"/>
      <c r="AD955" s="2"/>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2"/>
      <c r="AA956" s="2"/>
      <c r="AB956" s="2"/>
      <c r="AC956" s="1"/>
      <c r="AD956" s="2"/>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2"/>
      <c r="AA957" s="2"/>
      <c r="AB957" s="2"/>
      <c r="AC957" s="1"/>
      <c r="AD957" s="2"/>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2"/>
      <c r="AA958" s="2"/>
      <c r="AB958" s="2"/>
      <c r="AC958" s="1"/>
      <c r="AD958" s="2"/>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2"/>
      <c r="AA959" s="2"/>
      <c r="AB959" s="2"/>
      <c r="AC959" s="1"/>
      <c r="AD959" s="2"/>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2"/>
      <c r="AA960" s="2"/>
      <c r="AB960" s="2"/>
      <c r="AC960" s="1"/>
      <c r="AD960" s="2"/>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2"/>
      <c r="AA961" s="2"/>
      <c r="AB961" s="2"/>
      <c r="AC961" s="1"/>
      <c r="AD961" s="2"/>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2"/>
      <c r="AA962" s="2"/>
      <c r="AB962" s="2"/>
      <c r="AC962" s="1"/>
      <c r="AD962" s="2"/>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2"/>
      <c r="AA963" s="2"/>
      <c r="AB963" s="2"/>
      <c r="AC963" s="1"/>
      <c r="AD963" s="2"/>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2"/>
      <c r="AA964" s="2"/>
      <c r="AB964" s="2"/>
      <c r="AC964" s="1"/>
      <c r="AD964" s="2"/>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2"/>
      <c r="AA965" s="2"/>
      <c r="AB965" s="2"/>
      <c r="AC965" s="1"/>
      <c r="AD965" s="2"/>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2"/>
      <c r="AA966" s="2"/>
      <c r="AB966" s="2"/>
      <c r="AC966" s="1"/>
      <c r="AD966" s="2"/>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2"/>
      <c r="AA967" s="2"/>
      <c r="AB967" s="2"/>
      <c r="AC967" s="1"/>
      <c r="AD967" s="2"/>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2"/>
      <c r="AA968" s="2"/>
      <c r="AB968" s="2"/>
      <c r="AC968" s="1"/>
      <c r="AD968" s="2"/>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2"/>
      <c r="AA969" s="2"/>
      <c r="AB969" s="2"/>
      <c r="AC969" s="1"/>
      <c r="AD969" s="2"/>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2"/>
      <c r="AA970" s="2"/>
      <c r="AB970" s="2"/>
      <c r="AC970" s="1"/>
      <c r="AD970" s="2"/>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2"/>
      <c r="AA971" s="2"/>
      <c r="AB971" s="2"/>
      <c r="AC971" s="1"/>
      <c r="AD971" s="2"/>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2"/>
      <c r="AA972" s="2"/>
      <c r="AB972" s="2"/>
      <c r="AC972" s="1"/>
      <c r="AD972" s="2"/>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2"/>
      <c r="AA973" s="2"/>
      <c r="AB973" s="2"/>
      <c r="AC973" s="1"/>
      <c r="AD973" s="2"/>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2"/>
      <c r="AA974" s="2"/>
      <c r="AB974" s="2"/>
      <c r="AC974" s="1"/>
      <c r="AD974" s="2"/>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2"/>
      <c r="AA975" s="2"/>
      <c r="AB975" s="2"/>
      <c r="AC975" s="1"/>
      <c r="AD975" s="2"/>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2"/>
      <c r="AA976" s="2"/>
      <c r="AB976" s="2"/>
      <c r="AC976" s="1"/>
      <c r="AD976" s="2"/>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2"/>
      <c r="AA977" s="2"/>
      <c r="AB977" s="2"/>
      <c r="AC977" s="1"/>
      <c r="AD977" s="2"/>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2"/>
      <c r="AA978" s="2"/>
      <c r="AB978" s="2"/>
      <c r="AC978" s="1"/>
      <c r="AD978" s="2"/>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2"/>
      <c r="AA979" s="2"/>
      <c r="AB979" s="2"/>
      <c r="AC979" s="1"/>
      <c r="AD979" s="2"/>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2"/>
      <c r="AA980" s="2"/>
      <c r="AB980" s="2"/>
      <c r="AC980" s="1"/>
      <c r="AD980" s="2"/>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2"/>
      <c r="AA981" s="2"/>
      <c r="AB981" s="2"/>
      <c r="AC981" s="1"/>
      <c r="AD981" s="2"/>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2"/>
      <c r="AA982" s="2"/>
      <c r="AB982" s="2"/>
      <c r="AC982" s="1"/>
      <c r="AD982" s="2"/>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2"/>
      <c r="AA983" s="2"/>
      <c r="AB983" s="2"/>
      <c r="AC983" s="1"/>
      <c r="AD983" s="2"/>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2"/>
      <c r="AA984" s="2"/>
      <c r="AB984" s="2"/>
      <c r="AC984" s="1"/>
      <c r="AD984" s="2"/>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2"/>
      <c r="AA985" s="2"/>
      <c r="AB985" s="2"/>
      <c r="AC985" s="1"/>
      <c r="AD985" s="2"/>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2"/>
      <c r="AA986" s="2"/>
      <c r="AB986" s="2"/>
      <c r="AC986" s="1"/>
      <c r="AD986" s="2"/>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2"/>
      <c r="AA987" s="2"/>
      <c r="AB987" s="2"/>
      <c r="AC987" s="1"/>
      <c r="AD987" s="2"/>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2"/>
      <c r="AA988" s="2"/>
      <c r="AB988" s="2"/>
      <c r="AC988" s="1"/>
      <c r="AD988" s="2"/>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2"/>
      <c r="AA989" s="2"/>
      <c r="AB989" s="2"/>
      <c r="AC989" s="1"/>
      <c r="AD989" s="2"/>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2"/>
      <c r="AA990" s="2"/>
      <c r="AB990" s="2"/>
      <c r="AC990" s="1"/>
      <c r="AD990" s="2"/>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2"/>
      <c r="AA991" s="2"/>
      <c r="AB991" s="2"/>
      <c r="AC991" s="1"/>
      <c r="AD991" s="2"/>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2"/>
      <c r="AA992" s="2"/>
      <c r="AB992" s="2"/>
      <c r="AC992" s="1"/>
      <c r="AD992" s="2"/>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2"/>
      <c r="AA993" s="2"/>
      <c r="AB993" s="2"/>
      <c r="AC993" s="1"/>
      <c r="AD993" s="2"/>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2"/>
      <c r="AA994" s="2"/>
      <c r="AB994" s="2"/>
      <c r="AC994" s="1"/>
      <c r="AD994" s="2"/>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2"/>
      <c r="AA995" s="2"/>
      <c r="AB995" s="2"/>
      <c r="AC995" s="1"/>
      <c r="AD995" s="2"/>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2"/>
      <c r="AA996" s="2"/>
      <c r="AB996" s="2"/>
      <c r="AC996" s="1"/>
      <c r="AD996" s="2"/>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2"/>
      <c r="AA997" s="2"/>
      <c r="AB997" s="2"/>
      <c r="AC997" s="1"/>
      <c r="AD997" s="2"/>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2"/>
      <c r="AA998" s="2"/>
      <c r="AB998" s="2"/>
      <c r="AC998" s="1"/>
      <c r="AD998" s="2"/>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2"/>
      <c r="AA999" s="2"/>
      <c r="AB999" s="2"/>
      <c r="AC999" s="1"/>
      <c r="AD999" s="2"/>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2"/>
      <c r="AA1000" s="2"/>
      <c r="AB1000" s="2"/>
      <c r="AC1000" s="1"/>
      <c r="AD1000" s="2"/>
    </row>
  </sheetData>
  <conditionalFormatting sqref="E4:E78">
    <cfRule type="containsText" dxfId="4" priority="1" operator="containsText" text="Pension Fund (Top 1500 Institutional Investor)">
      <formula>NOT(ISERROR(SEARCH(("Pension Fund (Top 1500 Institutional Investor)"),(E4))))</formula>
    </cfRule>
  </conditionalFormatting>
  <conditionalFormatting sqref="Y1:Y1000 AC1:AC1000">
    <cfRule type="containsText" dxfId="5" priority="2" operator="containsText" text="lower">
      <formula>NOT(ISERROR(SEARCH(("lower"),(Y1))))</formula>
    </cfRule>
  </conditionalFormatting>
  <conditionalFormatting sqref="Y1:Y1000 AC1:AC1000">
    <cfRule type="containsText" dxfId="6" priority="3" operator="containsText" text="medium">
      <formula>NOT(ISERROR(SEARCH(("medium"),(Y1))))</formula>
    </cfRule>
  </conditionalFormatting>
  <conditionalFormatting sqref="Y1:Y1000 AC1:AC1000">
    <cfRule type="containsText" dxfId="7" priority="4" operator="containsText" text="highest">
      <formula>NOT(ISERROR(SEARCH(("highest"),(Y1))))</formula>
    </cfRule>
  </conditionalFormatting>
  <hyperlinks>
    <hyperlink r:id="rId1" ref="F4"/>
    <hyperlink r:id="rId2" ref="W4"/>
    <hyperlink r:id="rId3" ref="F5"/>
    <hyperlink r:id="rId4" ref="W5"/>
    <hyperlink r:id="rId5" ref="F6"/>
    <hyperlink r:id="rId6" ref="W6"/>
    <hyperlink r:id="rId7" ref="F7"/>
    <hyperlink r:id="rId8" ref="W7"/>
    <hyperlink r:id="rId9" ref="F8"/>
    <hyperlink r:id="rId10" ref="W8"/>
    <hyperlink r:id="rId11" ref="F9"/>
    <hyperlink r:id="rId12" ref="W9"/>
    <hyperlink r:id="rId13" ref="F10"/>
    <hyperlink r:id="rId14" ref="W10"/>
    <hyperlink r:id="rId15" ref="F11"/>
    <hyperlink r:id="rId16" ref="W11"/>
    <hyperlink r:id="rId17" ref="F12"/>
    <hyperlink r:id="rId18" ref="W12"/>
    <hyperlink r:id="rId19" ref="F13"/>
    <hyperlink r:id="rId20" ref="W13"/>
    <hyperlink r:id="rId21" ref="F14"/>
    <hyperlink r:id="rId22" ref="W14"/>
    <hyperlink r:id="rId23" ref="F15"/>
    <hyperlink r:id="rId24" ref="W15"/>
    <hyperlink r:id="rId25" ref="F16"/>
    <hyperlink r:id="rId26" ref="W16"/>
    <hyperlink r:id="rId27" ref="W17"/>
    <hyperlink r:id="rId28" ref="F18"/>
    <hyperlink r:id="rId29" ref="W18"/>
    <hyperlink r:id="rId30" ref="F19"/>
    <hyperlink r:id="rId31" ref="W19"/>
    <hyperlink r:id="rId32" ref="F20"/>
    <hyperlink r:id="rId33" ref="W20"/>
    <hyperlink r:id="rId34" ref="W21"/>
    <hyperlink r:id="rId35" ref="F22"/>
    <hyperlink r:id="rId36" ref="W22"/>
    <hyperlink r:id="rId37" ref="F23"/>
    <hyperlink r:id="rId38" ref="W23"/>
    <hyperlink r:id="rId39" ref="F24"/>
    <hyperlink r:id="rId40" ref="W24"/>
    <hyperlink r:id="rId41" ref="W25"/>
    <hyperlink r:id="rId42" ref="F26"/>
    <hyperlink r:id="rId43" ref="W26"/>
    <hyperlink r:id="rId44" ref="F27"/>
    <hyperlink r:id="rId45" ref="W27"/>
    <hyperlink r:id="rId46" ref="F28"/>
    <hyperlink r:id="rId47" ref="W28"/>
    <hyperlink r:id="rId48" ref="F29"/>
    <hyperlink r:id="rId49" ref="W29"/>
    <hyperlink r:id="rId50" ref="F30"/>
    <hyperlink r:id="rId51" ref="W30"/>
    <hyperlink r:id="rId52" ref="F31"/>
    <hyperlink r:id="rId53" ref="W31"/>
    <hyperlink r:id="rId54" ref="F32"/>
    <hyperlink r:id="rId55" ref="W32"/>
    <hyperlink r:id="rId56" ref="F33"/>
    <hyperlink r:id="rId57" ref="W33"/>
    <hyperlink r:id="rId58" ref="W34"/>
    <hyperlink r:id="rId59" ref="F35"/>
    <hyperlink r:id="rId60" ref="W35"/>
    <hyperlink r:id="rId61" ref="F36"/>
    <hyperlink r:id="rId62" ref="W36"/>
    <hyperlink r:id="rId63" ref="F37"/>
    <hyperlink r:id="rId64" ref="W37"/>
    <hyperlink r:id="rId65" ref="F38"/>
    <hyperlink r:id="rId66" ref="W38"/>
    <hyperlink r:id="rId67" ref="F39"/>
    <hyperlink r:id="rId68" ref="W39"/>
    <hyperlink r:id="rId69" ref="F40"/>
    <hyperlink r:id="rId70" ref="W40"/>
    <hyperlink r:id="rId71" ref="F41"/>
    <hyperlink r:id="rId72" ref="W41"/>
    <hyperlink r:id="rId73" ref="F42"/>
    <hyperlink r:id="rId74" ref="W42"/>
    <hyperlink r:id="rId75" ref="F43"/>
    <hyperlink r:id="rId76" ref="W43"/>
    <hyperlink r:id="rId77" ref="F44"/>
    <hyperlink r:id="rId78" ref="W44"/>
    <hyperlink r:id="rId79" ref="F45"/>
    <hyperlink r:id="rId80" ref="W45"/>
    <hyperlink r:id="rId81" ref="F46"/>
    <hyperlink r:id="rId82" ref="W46"/>
    <hyperlink r:id="rId83" ref="F47"/>
    <hyperlink r:id="rId84" ref="W47"/>
    <hyperlink r:id="rId85" ref="F48"/>
    <hyperlink r:id="rId86" ref="W48"/>
    <hyperlink r:id="rId87" ref="F49"/>
    <hyperlink r:id="rId88" ref="W49"/>
    <hyperlink r:id="rId89" ref="W50"/>
    <hyperlink r:id="rId90" ref="F51"/>
    <hyperlink r:id="rId91" ref="W51"/>
    <hyperlink r:id="rId92" ref="F52"/>
    <hyperlink r:id="rId93" ref="W52"/>
    <hyperlink r:id="rId94" ref="F53"/>
    <hyperlink r:id="rId95" ref="W53"/>
    <hyperlink r:id="rId96" ref="F54"/>
    <hyperlink r:id="rId97" ref="W54"/>
    <hyperlink r:id="rId98" ref="F55"/>
    <hyperlink r:id="rId99" ref="W55"/>
    <hyperlink r:id="rId100" ref="F56"/>
    <hyperlink r:id="rId101" ref="W56"/>
    <hyperlink r:id="rId102" ref="F57"/>
    <hyperlink r:id="rId103" ref="W57"/>
    <hyperlink r:id="rId104" ref="F58"/>
    <hyperlink r:id="rId105" ref="W58"/>
    <hyperlink r:id="rId106" ref="F59"/>
    <hyperlink r:id="rId107" ref="W59"/>
    <hyperlink r:id="rId108" ref="F60"/>
    <hyperlink r:id="rId109" ref="W60"/>
    <hyperlink r:id="rId110" ref="F61"/>
    <hyperlink r:id="rId111" ref="W61"/>
    <hyperlink r:id="rId112" ref="F62"/>
    <hyperlink r:id="rId113" ref="W62"/>
    <hyperlink r:id="rId114" ref="F63"/>
    <hyperlink r:id="rId115" ref="W63"/>
    <hyperlink r:id="rId116" ref="F64"/>
    <hyperlink r:id="rId117" ref="W64"/>
    <hyperlink r:id="rId118" ref="F65"/>
    <hyperlink r:id="rId119" ref="W65"/>
    <hyperlink r:id="rId120" ref="F66"/>
    <hyperlink r:id="rId121" ref="W66"/>
    <hyperlink r:id="rId122" ref="F67"/>
    <hyperlink r:id="rId123" ref="W67"/>
    <hyperlink r:id="rId124" ref="W68"/>
    <hyperlink r:id="rId125" ref="F69"/>
    <hyperlink r:id="rId126" ref="W69"/>
    <hyperlink r:id="rId127" ref="F70"/>
    <hyperlink r:id="rId128" ref="W70"/>
    <hyperlink r:id="rId129" ref="F71"/>
    <hyperlink r:id="rId130" ref="W71"/>
    <hyperlink r:id="rId131" ref="F72"/>
    <hyperlink r:id="rId132" ref="W72"/>
    <hyperlink r:id="rId133" ref="F73"/>
    <hyperlink r:id="rId134" ref="W73"/>
    <hyperlink r:id="rId135" ref="F74"/>
    <hyperlink r:id="rId136" ref="W74"/>
    <hyperlink r:id="rId137" ref="F75"/>
    <hyperlink r:id="rId138" ref="W75"/>
    <hyperlink r:id="rId139" ref="F76"/>
    <hyperlink r:id="rId140" ref="W76"/>
    <hyperlink r:id="rId141" ref="F77"/>
    <hyperlink r:id="rId142" ref="W77"/>
    <hyperlink r:id="rId143" ref="F78"/>
    <hyperlink r:id="rId144" ref="W78"/>
  </hyperlinks>
  <printOptions/>
  <pageMargins bottom="0.75" footer="0.0" header="0.0" left="0.7" right="0.7" top="0.75"/>
  <pageSetup orientation="landscape"/>
  <drawing r:id="rId145"/>
  <tableParts count="1">
    <tablePart r:id="rId147"/>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2025-07-09T20:30:38Z</dcterms:created>
  <dc:creator>Ahmed Bin Faisal</dc:creator>
</cp:coreProperties>
</file>