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taylordavidson/Downloads/"/>
    </mc:Choice>
  </mc:AlternateContent>
  <xr:revisionPtr revIDLastSave="0" documentId="13_ncr:1_{D6848953-18D0-D249-80B3-7A53A9C82E62}" xr6:coauthVersionLast="47" xr6:coauthVersionMax="47" xr10:uidLastSave="{00000000-0000-0000-0000-000000000000}"/>
  <bookViews>
    <workbookView xWindow="0" yWindow="0" windowWidth="28800" windowHeight="18000" xr2:uid="{00000000-000D-0000-FFFF-FFFF00000000}"/>
  </bookViews>
  <sheets>
    <sheet name="README" sheetId="1" r:id="rId1"/>
    <sheet name="License" sheetId="2" r:id="rId2"/>
    <sheet name="Disclaimer" sheetId="3" r:id="rId3"/>
    <sheet name="Get Started" sheetId="4" r:id="rId4"/>
    <sheet name="Key Reports" sheetId="5" r:id="rId5"/>
    <sheet name="Forecast" sheetId="6" r:id="rId6"/>
    <sheet name="Model Comparison" sheetId="7" r:id="rId7"/>
    <sheet name="Changelog"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6" l="1"/>
  <c r="C43" i="6"/>
  <c r="C42" i="6"/>
  <c r="M41" i="6"/>
  <c r="C41" i="6"/>
  <c r="C38" i="6"/>
  <c r="C37" i="6"/>
  <c r="B34" i="6"/>
  <c r="B33" i="6"/>
  <c r="E15" i="6"/>
  <c r="AU12" i="6"/>
  <c r="BG12" i="6" s="1"/>
  <c r="BS12" i="6" s="1"/>
  <c r="AI12" i="6"/>
  <c r="X12" i="6"/>
  <c r="Y12" i="6" s="1"/>
  <c r="Z6" i="6"/>
  <c r="AA6" i="6" s="1"/>
  <c r="AB6" i="6" s="1"/>
  <c r="AC6" i="6" s="1"/>
  <c r="AD6" i="6" s="1"/>
  <c r="AE6" i="6" s="1"/>
  <c r="AF6" i="6" s="1"/>
  <c r="AG6" i="6" s="1"/>
  <c r="AH6" i="6" s="1"/>
  <c r="AI6" i="6" s="1"/>
  <c r="AJ6" i="6" s="1"/>
  <c r="AK6" i="6" s="1"/>
  <c r="AL6" i="6" s="1"/>
  <c r="AM6" i="6" s="1"/>
  <c r="AN6" i="6" s="1"/>
  <c r="AO6" i="6" s="1"/>
  <c r="AP6" i="6" s="1"/>
  <c r="AQ6" i="6" s="1"/>
  <c r="AR6" i="6" s="1"/>
  <c r="AS6" i="6" s="1"/>
  <c r="AT6" i="6" s="1"/>
  <c r="AU6" i="6" s="1"/>
  <c r="AV6" i="6" s="1"/>
  <c r="AW6" i="6" s="1"/>
  <c r="AX6" i="6" s="1"/>
  <c r="AY6" i="6" s="1"/>
  <c r="AZ6" i="6" s="1"/>
  <c r="BA6" i="6" s="1"/>
  <c r="BB6" i="6" s="1"/>
  <c r="BC6" i="6" s="1"/>
  <c r="BD6" i="6" s="1"/>
  <c r="BE6" i="6" s="1"/>
  <c r="BF6" i="6" s="1"/>
  <c r="BG6" i="6" s="1"/>
  <c r="BH6" i="6" s="1"/>
  <c r="BI6" i="6" s="1"/>
  <c r="BJ6" i="6" s="1"/>
  <c r="BK6" i="6" s="1"/>
  <c r="BL6" i="6" s="1"/>
  <c r="BM6" i="6" s="1"/>
  <c r="BN6" i="6" s="1"/>
  <c r="BO6" i="6" s="1"/>
  <c r="BP6" i="6" s="1"/>
  <c r="BQ6" i="6" s="1"/>
  <c r="BR6" i="6" s="1"/>
  <c r="BS6" i="6" s="1"/>
  <c r="D6" i="6" s="1"/>
  <c r="Y6" i="6"/>
  <c r="X6" i="6"/>
  <c r="V6" i="6"/>
  <c r="X5" i="6"/>
  <c r="Y5" i="6" s="1"/>
  <c r="Z5" i="6" s="1"/>
  <c r="AA5" i="6" s="1"/>
  <c r="AB5" i="6" s="1"/>
  <c r="AC5" i="6" s="1"/>
  <c r="AD5" i="6" s="1"/>
  <c r="AE5" i="6" s="1"/>
  <c r="AF5" i="6" s="1"/>
  <c r="AG5" i="6" s="1"/>
  <c r="AH5" i="6" s="1"/>
  <c r="AI5" i="6" s="1"/>
  <c r="AJ5" i="6" s="1"/>
  <c r="AK5" i="6" s="1"/>
  <c r="AL5" i="6" s="1"/>
  <c r="AM5" i="6" s="1"/>
  <c r="AN5" i="6" s="1"/>
  <c r="AO5" i="6" s="1"/>
  <c r="AP5" i="6" s="1"/>
  <c r="AQ5" i="6" s="1"/>
  <c r="AR5" i="6" s="1"/>
  <c r="AS5" i="6" s="1"/>
  <c r="AT5" i="6" s="1"/>
  <c r="AU5" i="6" s="1"/>
  <c r="AV5" i="6" s="1"/>
  <c r="AW5" i="6" s="1"/>
  <c r="AX5" i="6" s="1"/>
  <c r="AY5" i="6" s="1"/>
  <c r="AZ5" i="6" s="1"/>
  <c r="BA5" i="6" s="1"/>
  <c r="BB5" i="6" s="1"/>
  <c r="BC5" i="6" s="1"/>
  <c r="BD5" i="6" s="1"/>
  <c r="BE5" i="6" s="1"/>
  <c r="BF5" i="6" s="1"/>
  <c r="BG5" i="6" s="1"/>
  <c r="BH5" i="6" s="1"/>
  <c r="BI5" i="6" s="1"/>
  <c r="BJ5" i="6" s="1"/>
  <c r="BK5" i="6" s="1"/>
  <c r="BL5" i="6" s="1"/>
  <c r="BM5" i="6" s="1"/>
  <c r="BN5" i="6" s="1"/>
  <c r="BO5" i="6" s="1"/>
  <c r="BP5" i="6" s="1"/>
  <c r="BQ5" i="6" s="1"/>
  <c r="BR5" i="6" s="1"/>
  <c r="BS5" i="6" s="1"/>
  <c r="W4" i="6"/>
  <c r="W7" i="6" s="1" a="1"/>
  <c r="W7" i="6" s="1"/>
  <c r="D8" i="4"/>
  <c r="B4" i="3"/>
  <c r="W11" i="6" l="1"/>
  <c r="W8" i="6" s="1"/>
  <c r="W9" i="6" s="1"/>
  <c r="X4" i="6"/>
  <c r="Z12" i="6"/>
  <c r="AK12" i="6"/>
  <c r="AW12" i="6" s="1"/>
  <c r="BI12" i="6" s="1"/>
  <c r="V4" i="6"/>
  <c r="H17" i="6"/>
  <c r="W10" i="6"/>
  <c r="W17" i="6"/>
  <c r="AJ12" i="6"/>
  <c r="AV12" i="6" s="1"/>
  <c r="BH12" i="6" s="1"/>
  <c r="X17" i="6" l="1"/>
  <c r="X7" i="6" a="1"/>
  <c r="X7" i="6" s="1"/>
  <c r="X11" i="6"/>
  <c r="X8" i="6" s="1"/>
  <c r="X10" i="6"/>
  <c r="Y4" i="6"/>
  <c r="V7" i="6"/>
  <c r="V10" i="6"/>
  <c r="V11" i="6"/>
  <c r="V8" i="6" s="1"/>
  <c r="V9" i="6" s="1"/>
  <c r="I17" i="6"/>
  <c r="H18" i="6"/>
  <c r="AL12" i="6"/>
  <c r="AX12" i="6" s="1"/>
  <c r="BJ12" i="6" s="1"/>
  <c r="AA12" i="6"/>
  <c r="Y17" i="6" l="1"/>
  <c r="Y11" i="6"/>
  <c r="Y8" i="6" s="1"/>
  <c r="Z4" i="6"/>
  <c r="Y10" i="6"/>
  <c r="Y7" i="6" a="1"/>
  <c r="Y7" i="6" s="1"/>
  <c r="I18" i="6"/>
  <c r="H19" i="6"/>
  <c r="W18" i="6"/>
  <c r="X9" i="6"/>
  <c r="AB12" i="6"/>
  <c r="AM12" i="6"/>
  <c r="AY12" i="6" s="1"/>
  <c r="BK12" i="6" s="1"/>
  <c r="X18" i="6"/>
  <c r="Y18" i="6" l="1"/>
  <c r="I19" i="6"/>
  <c r="H20" i="6"/>
  <c r="W19" i="6"/>
  <c r="Z7" i="6" a="1"/>
  <c r="Z7" i="6" s="1"/>
  <c r="Z10" i="6"/>
  <c r="Z17" i="6"/>
  <c r="AA4" i="6"/>
  <c r="Z20" i="6"/>
  <c r="Z11" i="6"/>
  <c r="Z8" i="6" s="1"/>
  <c r="Y19" i="6"/>
  <c r="Z19" i="6" s="1"/>
  <c r="Y9" i="6"/>
  <c r="AC12" i="6"/>
  <c r="AN12" i="6"/>
  <c r="AZ12" i="6" s="1"/>
  <c r="BL12" i="6" s="1"/>
  <c r="AA10" i="6" l="1"/>
  <c r="AA20" i="6"/>
  <c r="AA19" i="6"/>
  <c r="AA17" i="6"/>
  <c r="AA11" i="6"/>
  <c r="AA8" i="6" s="1"/>
  <c r="AA9" i="6" s="1"/>
  <c r="AA7" i="6" a="1"/>
  <c r="AA7" i="6" s="1"/>
  <c r="AB4" i="6"/>
  <c r="Z18" i="6"/>
  <c r="AA18" i="6" s="1"/>
  <c r="I20" i="6"/>
  <c r="H21" i="6"/>
  <c r="W20" i="6"/>
  <c r="X20" i="6"/>
  <c r="Y20" i="6" s="1"/>
  <c r="AD12" i="6"/>
  <c r="AO12" i="6"/>
  <c r="BA12" i="6" s="1"/>
  <c r="BM12" i="6" s="1"/>
  <c r="Z9" i="6"/>
  <c r="X19" i="6"/>
  <c r="AB20" i="6" l="1"/>
  <c r="AB19" i="6"/>
  <c r="AB18" i="6"/>
  <c r="AB17" i="6"/>
  <c r="AB7" i="6" a="1"/>
  <c r="AB7" i="6" s="1"/>
  <c r="AB11" i="6"/>
  <c r="AB8" i="6" s="1"/>
  <c r="AB9" i="6" s="1"/>
  <c r="AB10" i="6"/>
  <c r="AC4" i="6"/>
  <c r="H22" i="6"/>
  <c r="I21" i="6"/>
  <c r="W21" i="6"/>
  <c r="X21" i="6" s="1"/>
  <c r="AP12" i="6"/>
  <c r="BB12" i="6" s="1"/>
  <c r="BN12" i="6" s="1"/>
  <c r="AE12" i="6"/>
  <c r="AA21" i="6"/>
  <c r="AB21" i="6" s="1"/>
  <c r="Y21" i="6" l="1"/>
  <c r="I22" i="6"/>
  <c r="H23" i="6"/>
  <c r="W22" i="6"/>
  <c r="AF12" i="6"/>
  <c r="AQ12" i="6"/>
  <c r="BC12" i="6" s="1"/>
  <c r="BO12" i="6" s="1"/>
  <c r="AC23" i="6"/>
  <c r="AC21" i="6"/>
  <c r="AC20" i="6"/>
  <c r="AC19" i="6"/>
  <c r="AC18" i="6"/>
  <c r="AC17" i="6"/>
  <c r="AC11" i="6"/>
  <c r="AC8" i="6" s="1"/>
  <c r="AC10" i="6"/>
  <c r="AC7" i="6" a="1"/>
  <c r="AC7" i="6" s="1"/>
  <c r="AD4" i="6"/>
  <c r="AB22" i="6"/>
  <c r="AC22" i="6" s="1"/>
  <c r="AC9" i="6" l="1"/>
  <c r="AG12" i="6"/>
  <c r="AR12" i="6"/>
  <c r="BD12" i="6" s="1"/>
  <c r="BP12" i="6" s="1"/>
  <c r="AD23" i="6"/>
  <c r="AD22" i="6"/>
  <c r="AD7" i="6" a="1"/>
  <c r="AD7" i="6" s="1"/>
  <c r="AD10" i="6"/>
  <c r="AD20" i="6"/>
  <c r="AE4" i="6"/>
  <c r="AD19" i="6"/>
  <c r="AD21" i="6"/>
  <c r="AD17" i="6"/>
  <c r="AD11" i="6"/>
  <c r="AD8" i="6" s="1"/>
  <c r="AD9" i="6" s="1"/>
  <c r="AD18" i="6"/>
  <c r="X22" i="6"/>
  <c r="Z21" i="6"/>
  <c r="I23" i="6"/>
  <c r="H24" i="6"/>
  <c r="W23" i="6"/>
  <c r="I24" i="6" l="1"/>
  <c r="H25" i="6"/>
  <c r="W24" i="6"/>
  <c r="X24" i="6" s="1"/>
  <c r="Y24" i="6" s="1"/>
  <c r="Z24" i="6" s="1"/>
  <c r="AA24" i="6" s="1"/>
  <c r="AB24" i="6" s="1"/>
  <c r="AC24" i="6" s="1"/>
  <c r="Y22" i="6"/>
  <c r="AD24" i="6"/>
  <c r="AH12" i="6"/>
  <c r="AT12" i="6" s="1"/>
  <c r="BF12" i="6" s="1"/>
  <c r="BR12" i="6" s="1"/>
  <c r="AS12" i="6"/>
  <c r="BE12" i="6" s="1"/>
  <c r="BQ12" i="6" s="1"/>
  <c r="X23" i="6"/>
  <c r="Y23" i="6" s="1"/>
  <c r="Z23" i="6" s="1"/>
  <c r="AA23" i="6" s="1"/>
  <c r="AB23" i="6" s="1"/>
  <c r="AE25" i="6"/>
  <c r="AE23" i="6"/>
  <c r="AE22" i="6"/>
  <c r="AE10" i="6"/>
  <c r="AE21" i="6"/>
  <c r="AE20" i="6"/>
  <c r="AE19" i="6"/>
  <c r="AE18" i="6"/>
  <c r="AE17" i="6"/>
  <c r="AE7" i="6" a="1"/>
  <c r="AE7" i="6" s="1"/>
  <c r="AF4" i="6"/>
  <c r="AE11" i="6"/>
  <c r="AE8" i="6" s="1"/>
  <c r="AE9" i="6" s="1"/>
  <c r="I25" i="6" l="1"/>
  <c r="H26" i="6"/>
  <c r="W25" i="6"/>
  <c r="X25" i="6" s="1"/>
  <c r="Y25" i="6" s="1"/>
  <c r="Z22" i="6"/>
  <c r="AF25" i="6"/>
  <c r="AF23" i="6"/>
  <c r="AF22" i="6"/>
  <c r="AF26" i="6"/>
  <c r="AF21" i="6"/>
  <c r="AF20" i="6"/>
  <c r="AF19" i="6"/>
  <c r="AF18" i="6"/>
  <c r="AF17" i="6"/>
  <c r="AF7" i="6" a="1"/>
  <c r="AF7" i="6" s="1"/>
  <c r="AF11" i="6"/>
  <c r="AF8" i="6" s="1"/>
  <c r="AF10" i="6"/>
  <c r="AG4" i="6"/>
  <c r="AE24" i="6"/>
  <c r="Z25" i="6" l="1"/>
  <c r="AA25" i="6" s="1"/>
  <c r="AB25" i="6" s="1"/>
  <c r="AF24" i="6"/>
  <c r="AA22" i="6"/>
  <c r="AF9" i="6"/>
  <c r="AG25" i="6"/>
  <c r="AG23" i="6"/>
  <c r="AG22" i="6"/>
  <c r="AG26" i="6"/>
  <c r="AG21" i="6"/>
  <c r="AG20" i="6"/>
  <c r="AG19" i="6"/>
  <c r="AG18" i="6"/>
  <c r="AG17" i="6"/>
  <c r="AG11" i="6"/>
  <c r="AG8" i="6" s="1"/>
  <c r="AG9" i="6" s="1"/>
  <c r="AH4" i="6"/>
  <c r="AG10" i="6"/>
  <c r="AG7" i="6" a="1"/>
  <c r="AG7" i="6" s="1"/>
  <c r="H27" i="6"/>
  <c r="I26" i="6"/>
  <c r="W26" i="6"/>
  <c r="X26" i="6" s="1"/>
  <c r="Y26" i="6" s="1"/>
  <c r="Z26" i="6" s="1"/>
  <c r="AA26" i="6" l="1"/>
  <c r="AB26" i="6" s="1"/>
  <c r="AC26" i="6" s="1"/>
  <c r="AD26" i="6" s="1"/>
  <c r="AE26" i="6" s="1"/>
  <c r="AC25" i="6"/>
  <c r="H28" i="6"/>
  <c r="AH28" i="6" s="1"/>
  <c r="I27" i="6"/>
  <c r="W27" i="6"/>
  <c r="X27" i="6" s="1"/>
  <c r="Y27" i="6" s="1"/>
  <c r="Z27" i="6" s="1"/>
  <c r="AG27" i="6"/>
  <c r="AH27" i="6" s="1"/>
  <c r="AG24" i="6"/>
  <c r="AH26" i="6"/>
  <c r="AH25" i="6"/>
  <c r="AH23" i="6"/>
  <c r="AH11" i="6"/>
  <c r="AH8" i="6" s="1"/>
  <c r="AH7" i="6" a="1"/>
  <c r="AH7" i="6" s="1"/>
  <c r="AH10" i="6"/>
  <c r="AH19" i="6"/>
  <c r="AI4" i="6"/>
  <c r="AH22" i="6"/>
  <c r="AH18" i="6"/>
  <c r="AH20" i="6"/>
  <c r="AH21" i="6"/>
  <c r="AH17" i="6"/>
  <c r="AA27" i="6" l="1"/>
  <c r="AH24" i="6"/>
  <c r="I28" i="6"/>
  <c r="H29" i="6"/>
  <c r="W28" i="6"/>
  <c r="X28" i="6" s="1"/>
  <c r="Y28" i="6" s="1"/>
  <c r="Z28" i="6" s="1"/>
  <c r="AA28" i="6" s="1"/>
  <c r="AB28" i="6" s="1"/>
  <c r="AC28" i="6" s="1"/>
  <c r="AD28" i="6" s="1"/>
  <c r="AE28" i="6" s="1"/>
  <c r="AF28" i="6" s="1"/>
  <c r="AG28" i="6" s="1"/>
  <c r="AI26" i="6"/>
  <c r="AI27" i="6"/>
  <c r="AI28" i="6"/>
  <c r="AI24" i="6"/>
  <c r="AI23" i="6"/>
  <c r="AI22" i="6"/>
  <c r="AI29" i="6"/>
  <c r="AI25" i="6"/>
  <c r="AI10" i="6"/>
  <c r="AI21" i="6"/>
  <c r="AI20" i="6"/>
  <c r="AI19" i="6"/>
  <c r="AI18" i="6"/>
  <c r="AI17" i="6"/>
  <c r="AI11" i="6"/>
  <c r="AI8" i="6" s="1"/>
  <c r="AI9" i="6" s="1"/>
  <c r="AI7" i="6" a="1"/>
  <c r="AI7" i="6" s="1"/>
  <c r="AJ4" i="6"/>
  <c r="AH9" i="6"/>
  <c r="AD25" i="6"/>
  <c r="AJ27" i="6" l="1"/>
  <c r="AJ28" i="6"/>
  <c r="AJ24" i="6"/>
  <c r="AJ23" i="6"/>
  <c r="AJ22" i="6"/>
  <c r="AJ29" i="6"/>
  <c r="AJ25" i="6"/>
  <c r="AJ26" i="6"/>
  <c r="AJ21" i="6"/>
  <c r="AJ20" i="6"/>
  <c r="AJ19" i="6"/>
  <c r="AJ18" i="6"/>
  <c r="AJ17" i="6"/>
  <c r="AJ7" i="6" a="1"/>
  <c r="AJ7" i="6" s="1"/>
  <c r="AJ11" i="6"/>
  <c r="AJ8" i="6" s="1"/>
  <c r="AJ9" i="6" s="1"/>
  <c r="AJ10" i="6"/>
  <c r="AK4" i="6"/>
  <c r="AB27" i="6"/>
  <c r="H30" i="6"/>
  <c r="AJ30" i="6" s="1"/>
  <c r="I29" i="6"/>
  <c r="W29" i="6"/>
  <c r="AK30" i="6" l="1"/>
  <c r="AK28" i="6"/>
  <c r="AK24" i="6"/>
  <c r="AK23" i="6"/>
  <c r="AK22" i="6"/>
  <c r="AK29" i="6"/>
  <c r="AK25" i="6"/>
  <c r="AK26" i="6"/>
  <c r="AK27" i="6"/>
  <c r="AK21" i="6"/>
  <c r="AK20" i="6"/>
  <c r="AK19" i="6"/>
  <c r="AK18" i="6"/>
  <c r="AK17" i="6"/>
  <c r="AK11" i="6"/>
  <c r="AK8" i="6" s="1"/>
  <c r="AK10" i="6"/>
  <c r="AK7" i="6" a="1"/>
  <c r="AK7" i="6" s="1"/>
  <c r="AL4" i="6"/>
  <c r="AC27" i="6"/>
  <c r="AJ38" i="6"/>
  <c r="AJ43" i="6" s="1"/>
  <c r="AJ36" i="6"/>
  <c r="AJ34" i="6"/>
  <c r="I30" i="6"/>
  <c r="AJ37" i="6" s="1"/>
  <c r="AJ42" i="6" s="1"/>
  <c r="W30" i="6"/>
  <c r="X29" i="6"/>
  <c r="Y29" i="6" s="1"/>
  <c r="Z29" i="6" s="1"/>
  <c r="AA29" i="6" s="1"/>
  <c r="W36" i="6" l="1"/>
  <c r="W37" i="6"/>
  <c r="W34" i="6"/>
  <c r="W33" i="6" s="1"/>
  <c r="W38" i="6"/>
  <c r="AL30" i="6"/>
  <c r="AL29" i="6"/>
  <c r="AL28" i="6"/>
  <c r="AL27" i="6"/>
  <c r="AL26" i="6"/>
  <c r="AL25" i="6"/>
  <c r="AL24" i="6"/>
  <c r="AL23" i="6"/>
  <c r="AL11" i="6"/>
  <c r="AL8" i="6" s="1"/>
  <c r="AL7" i="6" a="1"/>
  <c r="AL7" i="6" s="1"/>
  <c r="AL22" i="6"/>
  <c r="AL10" i="6"/>
  <c r="AL18" i="6"/>
  <c r="AM4" i="6"/>
  <c r="AL21" i="6"/>
  <c r="AL17" i="6"/>
  <c r="AL19" i="6"/>
  <c r="AL20" i="6"/>
  <c r="AK37" i="6"/>
  <c r="AK42" i="6" s="1"/>
  <c r="AK38" i="6"/>
  <c r="AK43" i="6" s="1"/>
  <c r="AK36" i="6"/>
  <c r="AK34" i="6"/>
  <c r="AK33" i="6" s="1"/>
  <c r="AD27" i="6"/>
  <c r="AB29" i="6"/>
  <c r="X30" i="6"/>
  <c r="AK9" i="6"/>
  <c r="AM30" i="6" l="1"/>
  <c r="AM29" i="6"/>
  <c r="AM25" i="6"/>
  <c r="AM26" i="6"/>
  <c r="AM27" i="6"/>
  <c r="AM23" i="6"/>
  <c r="AM22" i="6"/>
  <c r="AM28" i="6"/>
  <c r="AM24" i="6"/>
  <c r="AM10" i="6"/>
  <c r="AM21" i="6"/>
  <c r="AM20" i="6"/>
  <c r="AM19" i="6"/>
  <c r="AM18" i="6"/>
  <c r="AM17" i="6"/>
  <c r="AM11" i="6"/>
  <c r="AM8" i="6" s="1"/>
  <c r="AM9" i="6" s="1"/>
  <c r="AM7" i="6" a="1"/>
  <c r="AM7" i="6" s="1"/>
  <c r="AN4" i="6"/>
  <c r="W42" i="6"/>
  <c r="AC29" i="6"/>
  <c r="AL9" i="6"/>
  <c r="X37" i="6"/>
  <c r="X42" i="6" s="1"/>
  <c r="X34" i="6"/>
  <c r="X33" i="6" s="1"/>
  <c r="X38" i="6"/>
  <c r="X43" i="6" s="1"/>
  <c r="X36" i="6"/>
  <c r="Y30" i="6"/>
  <c r="AE27" i="6"/>
  <c r="AL36" i="6"/>
  <c r="AL37" i="6"/>
  <c r="AL42" i="6" s="1"/>
  <c r="AL38" i="6"/>
  <c r="AL43" i="6" s="1"/>
  <c r="AL34" i="6"/>
  <c r="AL33" i="6" s="1"/>
  <c r="W43" i="6"/>
  <c r="AF27" i="6" l="1"/>
  <c r="W44" i="6"/>
  <c r="X41" i="6" s="1"/>
  <c r="X44" i="6" s="1"/>
  <c r="Y41" i="6" s="1"/>
  <c r="AM37" i="6"/>
  <c r="AM42" i="6" s="1"/>
  <c r="AM38" i="6"/>
  <c r="AM43" i="6" s="1"/>
  <c r="AM34" i="6"/>
  <c r="AM33" i="6" s="1"/>
  <c r="AM36" i="6"/>
  <c r="Y37" i="6"/>
  <c r="Y38" i="6"/>
  <c r="Y43" i="6" s="1"/>
  <c r="Y34" i="6"/>
  <c r="Y33" i="6" s="1"/>
  <c r="Y36" i="6"/>
  <c r="Z30" i="6"/>
  <c r="AN30" i="6"/>
  <c r="AN26" i="6"/>
  <c r="AN27" i="6"/>
  <c r="AN23" i="6"/>
  <c r="AN22" i="6"/>
  <c r="AN28" i="6"/>
  <c r="AN24" i="6"/>
  <c r="AN29" i="6"/>
  <c r="AN25" i="6"/>
  <c r="AN21" i="6"/>
  <c r="AN20" i="6"/>
  <c r="AN19" i="6"/>
  <c r="AN18" i="6"/>
  <c r="AN17" i="6"/>
  <c r="AN7" i="6" a="1"/>
  <c r="AN7" i="6" s="1"/>
  <c r="AN11" i="6"/>
  <c r="AN8" i="6" s="1"/>
  <c r="AN9" i="6" s="1"/>
  <c r="AN10" i="6"/>
  <c r="AO4" i="6"/>
  <c r="AD29" i="6"/>
  <c r="Y42" i="6" l="1"/>
  <c r="Z36" i="6"/>
  <c r="Z38" i="6"/>
  <c r="Z43" i="6" s="1"/>
  <c r="Z37" i="6"/>
  <c r="Z42" i="6" s="1"/>
  <c r="Z34" i="6"/>
  <c r="Z33" i="6" s="1"/>
  <c r="AA30" i="6"/>
  <c r="AE29" i="6"/>
  <c r="AO30" i="6"/>
  <c r="AO27" i="6"/>
  <c r="AO23" i="6"/>
  <c r="AO22" i="6"/>
  <c r="AO28" i="6"/>
  <c r="AO24" i="6"/>
  <c r="AO29" i="6"/>
  <c r="AO25" i="6"/>
  <c r="AO26" i="6"/>
  <c r="AO21" i="6"/>
  <c r="AO20" i="6"/>
  <c r="AO19" i="6"/>
  <c r="AO18" i="6"/>
  <c r="AO17" i="6"/>
  <c r="AO11" i="6"/>
  <c r="AO8" i="6" s="1"/>
  <c r="AP4" i="6"/>
  <c r="AO10" i="6"/>
  <c r="AO7" i="6" a="1"/>
  <c r="AO7" i="6" s="1"/>
  <c r="AN38" i="6"/>
  <c r="AN43" i="6" s="1"/>
  <c r="AN34" i="6"/>
  <c r="AN33" i="6" s="1"/>
  <c r="AN36" i="6"/>
  <c r="AN37" i="6"/>
  <c r="AN42" i="6" s="1"/>
  <c r="Y44" i="6"/>
  <c r="Z41" i="6" s="1"/>
  <c r="Z44" i="6" s="1"/>
  <c r="AA41" i="6" s="1"/>
  <c r="AF29" i="6" l="1"/>
  <c r="AO38" i="6"/>
  <c r="AO43" i="6" s="1"/>
  <c r="AO36" i="6"/>
  <c r="AO37" i="6"/>
  <c r="AO42" i="6" s="1"/>
  <c r="AO34" i="6"/>
  <c r="AO33" i="6" s="1"/>
  <c r="AP30" i="6"/>
  <c r="AP29" i="6"/>
  <c r="AP28" i="6"/>
  <c r="AP27" i="6"/>
  <c r="AP26" i="6"/>
  <c r="AP25" i="6"/>
  <c r="AP24" i="6"/>
  <c r="AP23" i="6"/>
  <c r="AP11" i="6"/>
  <c r="AP8" i="6" s="1"/>
  <c r="AP22" i="6"/>
  <c r="AP7" i="6" a="1"/>
  <c r="AP7" i="6" s="1"/>
  <c r="AP10" i="6"/>
  <c r="AP21" i="6"/>
  <c r="AP17" i="6"/>
  <c r="AQ4" i="6"/>
  <c r="AP20" i="6"/>
  <c r="AP18" i="6"/>
  <c r="AP19" i="6"/>
  <c r="AO9" i="6"/>
  <c r="AB30" i="6"/>
  <c r="AA38" i="6"/>
  <c r="AA43" i="6" s="1"/>
  <c r="AA37" i="6"/>
  <c r="AA36" i="6"/>
  <c r="AA34" i="6"/>
  <c r="AA33" i="6" s="1"/>
  <c r="AA42" i="6" l="1"/>
  <c r="AB37" i="6"/>
  <c r="AB42" i="6" s="1"/>
  <c r="AC30" i="6"/>
  <c r="AB38" i="6"/>
  <c r="AB43" i="6" s="1"/>
  <c r="AB34" i="6"/>
  <c r="AB33" i="6" s="1"/>
  <c r="AB36" i="6"/>
  <c r="AP36" i="6"/>
  <c r="AP37" i="6"/>
  <c r="AP42" i="6" s="1"/>
  <c r="AP34" i="6"/>
  <c r="AP33" i="6" s="1"/>
  <c r="AP38" i="6"/>
  <c r="AP43" i="6" s="1"/>
  <c r="AQ30" i="6"/>
  <c r="AQ28" i="6"/>
  <c r="AQ24" i="6"/>
  <c r="AQ29" i="6"/>
  <c r="AQ25" i="6"/>
  <c r="AQ26" i="6"/>
  <c r="AQ23" i="6"/>
  <c r="AQ22" i="6"/>
  <c r="AQ27" i="6"/>
  <c r="AQ10" i="6"/>
  <c r="AQ21" i="6"/>
  <c r="AQ20" i="6"/>
  <c r="AQ19" i="6"/>
  <c r="AQ18" i="6"/>
  <c r="AQ17" i="6"/>
  <c r="AQ11" i="6"/>
  <c r="AQ8" i="6" s="1"/>
  <c r="AQ7" i="6" a="1"/>
  <c r="AQ7" i="6" s="1"/>
  <c r="AR4" i="6"/>
  <c r="AP9" i="6"/>
  <c r="AG29" i="6"/>
  <c r="AQ37" i="6" l="1"/>
  <c r="AQ42" i="6" s="1"/>
  <c r="AQ34" i="6"/>
  <c r="AQ33" i="6" s="1"/>
  <c r="AQ38" i="6"/>
  <c r="AQ43" i="6" s="1"/>
  <c r="AQ36" i="6"/>
  <c r="AR30" i="6"/>
  <c r="AR29" i="6"/>
  <c r="AR25" i="6"/>
  <c r="AR26" i="6"/>
  <c r="AR23" i="6"/>
  <c r="AR22" i="6"/>
  <c r="AR27" i="6"/>
  <c r="AR28" i="6"/>
  <c r="AR24" i="6"/>
  <c r="AR21" i="6"/>
  <c r="AR20" i="6"/>
  <c r="AR19" i="6"/>
  <c r="AR18" i="6"/>
  <c r="AR17" i="6"/>
  <c r="AR7" i="6" a="1"/>
  <c r="AR7" i="6" s="1"/>
  <c r="AR11" i="6"/>
  <c r="AR8" i="6" s="1"/>
  <c r="AR9" i="6" s="1"/>
  <c r="AR10" i="6"/>
  <c r="AS4" i="6"/>
  <c r="AH29" i="6"/>
  <c r="AQ9" i="6"/>
  <c r="AD30" i="6"/>
  <c r="AC34" i="6"/>
  <c r="AC33" i="6" s="1"/>
  <c r="AC36" i="6"/>
  <c r="AC38" i="6"/>
  <c r="AC43" i="6" s="1"/>
  <c r="AC37" i="6"/>
  <c r="AC42" i="6" s="1"/>
  <c r="AA44" i="6"/>
  <c r="AB41" i="6" s="1"/>
  <c r="AB44" i="6" s="1"/>
  <c r="AC41" i="6" s="1"/>
  <c r="AC44" i="6" l="1"/>
  <c r="AD41" i="6" s="1"/>
  <c r="AE30" i="6"/>
  <c r="AD37" i="6"/>
  <c r="AD42" i="6" s="1"/>
  <c r="AD36" i="6"/>
  <c r="AD38" i="6"/>
  <c r="AD43" i="6" s="1"/>
  <c r="AD34" i="6"/>
  <c r="AD33" i="6" s="1"/>
  <c r="AS30" i="6"/>
  <c r="AS26" i="6"/>
  <c r="AS23" i="6"/>
  <c r="AS22" i="6"/>
  <c r="AS27" i="6"/>
  <c r="AS28" i="6"/>
  <c r="AS24" i="6"/>
  <c r="AS29" i="6"/>
  <c r="AS25" i="6"/>
  <c r="AS21" i="6"/>
  <c r="AS20" i="6"/>
  <c r="AS19" i="6"/>
  <c r="AS18" i="6"/>
  <c r="AS17" i="6"/>
  <c r="AS11" i="6"/>
  <c r="AS8" i="6" s="1"/>
  <c r="AS10" i="6"/>
  <c r="AS7" i="6" a="1"/>
  <c r="AS7" i="6" s="1"/>
  <c r="AT4" i="6"/>
  <c r="AR38" i="6"/>
  <c r="AR43" i="6" s="1"/>
  <c r="AR37" i="6"/>
  <c r="AR42" i="6" s="1"/>
  <c r="AR34" i="6"/>
  <c r="AR33" i="6" s="1"/>
  <c r="AR36" i="6"/>
  <c r="AF30" i="6" l="1"/>
  <c r="AE37" i="6"/>
  <c r="AE42" i="6" s="1"/>
  <c r="AE36" i="6"/>
  <c r="AE38" i="6"/>
  <c r="AE43" i="6" s="1"/>
  <c r="AE34" i="6"/>
  <c r="AE33" i="6" s="1"/>
  <c r="AS38" i="6"/>
  <c r="AS43" i="6" s="1"/>
  <c r="AS36" i="6"/>
  <c r="AS37" i="6"/>
  <c r="AS42" i="6" s="1"/>
  <c r="AS34" i="6"/>
  <c r="AS33" i="6" s="1"/>
  <c r="AS9" i="6"/>
  <c r="AD44" i="6"/>
  <c r="AE41" i="6" s="1"/>
  <c r="AT30" i="6"/>
  <c r="AT29" i="6"/>
  <c r="AT28" i="6"/>
  <c r="AT27" i="6"/>
  <c r="AT26" i="6"/>
  <c r="AT25" i="6"/>
  <c r="AT24" i="6"/>
  <c r="AT23" i="6"/>
  <c r="AT22" i="6"/>
  <c r="AT11" i="6"/>
  <c r="AT8" i="6" s="1"/>
  <c r="AT7" i="6" a="1"/>
  <c r="AT7" i="6" s="1"/>
  <c r="AT10" i="6"/>
  <c r="AT20" i="6"/>
  <c r="AU4" i="6"/>
  <c r="AT19" i="6"/>
  <c r="AT21" i="6"/>
  <c r="AT17" i="6"/>
  <c r="AT18" i="6"/>
  <c r="AE44" i="6" l="1"/>
  <c r="AF41" i="6" s="1"/>
  <c r="AT36" i="6"/>
  <c r="AT38" i="6"/>
  <c r="AT43" i="6" s="1"/>
  <c r="AT37" i="6"/>
  <c r="AT42" i="6" s="1"/>
  <c r="AT34" i="6"/>
  <c r="AT33" i="6" s="1"/>
  <c r="AU30" i="6"/>
  <c r="AU27" i="6"/>
  <c r="AU28" i="6"/>
  <c r="AU24" i="6"/>
  <c r="AU29" i="6"/>
  <c r="AU25" i="6"/>
  <c r="AU23" i="6"/>
  <c r="AU22" i="6"/>
  <c r="AU26" i="6"/>
  <c r="AU10" i="6"/>
  <c r="AU21" i="6"/>
  <c r="AU20" i="6"/>
  <c r="AU19" i="6"/>
  <c r="AU18" i="6"/>
  <c r="AU17" i="6"/>
  <c r="AU7" i="6" a="1"/>
  <c r="AU7" i="6" s="1"/>
  <c r="AV4" i="6"/>
  <c r="AU11" i="6"/>
  <c r="AU8" i="6" s="1"/>
  <c r="AU9" i="6" s="1"/>
  <c r="AT9" i="6"/>
  <c r="AG30" i="6"/>
  <c r="AF34" i="6"/>
  <c r="AF33" i="6" s="1"/>
  <c r="AF38" i="6"/>
  <c r="AF43" i="6" s="1"/>
  <c r="AF36" i="6"/>
  <c r="AF37" i="6"/>
  <c r="AF42" i="6" s="1"/>
  <c r="AU37" i="6" l="1"/>
  <c r="AU42" i="6" s="1"/>
  <c r="AU36" i="6"/>
  <c r="AU34" i="6"/>
  <c r="AU33" i="6" s="1"/>
  <c r="AU38" i="6"/>
  <c r="AU43" i="6" s="1"/>
  <c r="AV30" i="6"/>
  <c r="AV28" i="6"/>
  <c r="AV24" i="6"/>
  <c r="AV29" i="6"/>
  <c r="AV25" i="6"/>
  <c r="AV23" i="6"/>
  <c r="AV22" i="6"/>
  <c r="AV26" i="6"/>
  <c r="AV27" i="6"/>
  <c r="AV21" i="6"/>
  <c r="AV20" i="6"/>
  <c r="AV19" i="6"/>
  <c r="AV18" i="6"/>
  <c r="AV17" i="6"/>
  <c r="AV7" i="6" a="1"/>
  <c r="AV7" i="6" s="1"/>
  <c r="AV11" i="6"/>
  <c r="AV8" i="6" s="1"/>
  <c r="AV9" i="6" s="1"/>
  <c r="AV10" i="6"/>
  <c r="AW4" i="6"/>
  <c r="AH30" i="6"/>
  <c r="AG38" i="6"/>
  <c r="AG43" i="6" s="1"/>
  <c r="AG34" i="6"/>
  <c r="AG33" i="6" s="1"/>
  <c r="AG37" i="6"/>
  <c r="AG42" i="6" s="1"/>
  <c r="AG36" i="6"/>
  <c r="AF44" i="6"/>
  <c r="AG41" i="6" s="1"/>
  <c r="AG44" i="6" s="1"/>
  <c r="AH41" i="6" s="1"/>
  <c r="AI30" i="6" l="1"/>
  <c r="AH34" i="6"/>
  <c r="AH33" i="6" s="1"/>
  <c r="AH36" i="6"/>
  <c r="AH37" i="6"/>
  <c r="AH42" i="6" s="1"/>
  <c r="AH38" i="6"/>
  <c r="AH43" i="6" s="1"/>
  <c r="AW30" i="6"/>
  <c r="AW29" i="6"/>
  <c r="AW25" i="6"/>
  <c r="AW23" i="6"/>
  <c r="AW22" i="6"/>
  <c r="AW26" i="6"/>
  <c r="AW27" i="6"/>
  <c r="AW28" i="6"/>
  <c r="AW24" i="6"/>
  <c r="AW21" i="6"/>
  <c r="AW20" i="6"/>
  <c r="AW19" i="6"/>
  <c r="AW18" i="6"/>
  <c r="AW17" i="6"/>
  <c r="AW11" i="6"/>
  <c r="AW8" i="6" s="1"/>
  <c r="AW9" i="6" s="1"/>
  <c r="AX4" i="6"/>
  <c r="AW10" i="6"/>
  <c r="AW7" i="6" a="1"/>
  <c r="AW7" i="6" s="1"/>
  <c r="AV38" i="6"/>
  <c r="AV43" i="6" s="1"/>
  <c r="AV34" i="6"/>
  <c r="AV33" i="6" s="1"/>
  <c r="AV37" i="6"/>
  <c r="AV42" i="6" s="1"/>
  <c r="AV36" i="6"/>
  <c r="AH44" i="6"/>
  <c r="AI41" i="6" s="1"/>
  <c r="AW37" i="6" l="1"/>
  <c r="AW42" i="6" s="1"/>
  <c r="AW38" i="6"/>
  <c r="AW43" i="6" s="1"/>
  <c r="AW36" i="6"/>
  <c r="AW34" i="6"/>
  <c r="AW33" i="6" s="1"/>
  <c r="AX30" i="6"/>
  <c r="AX29" i="6"/>
  <c r="AX28" i="6"/>
  <c r="AX27" i="6"/>
  <c r="AX26" i="6"/>
  <c r="AX25" i="6"/>
  <c r="AX24" i="6"/>
  <c r="AX23" i="6"/>
  <c r="AX22" i="6"/>
  <c r="AX11" i="6"/>
  <c r="AX8" i="6" s="1"/>
  <c r="AX9" i="6" s="1"/>
  <c r="AX7" i="6" a="1"/>
  <c r="AX7" i="6" s="1"/>
  <c r="AX10" i="6"/>
  <c r="AX19" i="6"/>
  <c r="AY4" i="6"/>
  <c r="AX18" i="6"/>
  <c r="AX20" i="6"/>
  <c r="AX21" i="6"/>
  <c r="AX17" i="6"/>
  <c r="AI34" i="6"/>
  <c r="AI37" i="6"/>
  <c r="AI42" i="6" s="1"/>
  <c r="AI44" i="6" s="1"/>
  <c r="AJ41" i="6" s="1"/>
  <c r="AJ44" i="6" s="1"/>
  <c r="AK41" i="6" s="1"/>
  <c r="AK44" i="6" s="1"/>
  <c r="AL41" i="6" s="1"/>
  <c r="AL44" i="6" s="1"/>
  <c r="AM41" i="6" s="1"/>
  <c r="AM44" i="6" s="1"/>
  <c r="AN41" i="6" s="1"/>
  <c r="AN44" i="6" s="1"/>
  <c r="AO41" i="6" s="1"/>
  <c r="AO44" i="6" s="1"/>
  <c r="AP41" i="6" s="1"/>
  <c r="AP44" i="6" s="1"/>
  <c r="AQ41" i="6" s="1"/>
  <c r="AQ44" i="6" s="1"/>
  <c r="AR41" i="6" s="1"/>
  <c r="AR44" i="6" s="1"/>
  <c r="AS41" i="6" s="1"/>
  <c r="AS44" i="6" s="1"/>
  <c r="AT41" i="6" s="1"/>
  <c r="AT44" i="6" s="1"/>
  <c r="AU41" i="6" s="1"/>
  <c r="AU44" i="6" s="1"/>
  <c r="AV41" i="6" s="1"/>
  <c r="AV44" i="6" s="1"/>
  <c r="AW41" i="6" s="1"/>
  <c r="AW44" i="6" s="1"/>
  <c r="AX41" i="6" s="1"/>
  <c r="AI36" i="6"/>
  <c r="AI38" i="6"/>
  <c r="AI43" i="6" s="1"/>
  <c r="AI33" i="6" l="1"/>
  <c r="AJ33" i="6"/>
  <c r="AX36" i="6"/>
  <c r="AX38" i="6"/>
  <c r="AX43" i="6" s="1"/>
  <c r="AX34" i="6"/>
  <c r="AX33" i="6" s="1"/>
  <c r="AX37" i="6"/>
  <c r="AX42" i="6" s="1"/>
  <c r="AX44" i="6" s="1"/>
  <c r="AY41" i="6" s="1"/>
  <c r="AY30" i="6"/>
  <c r="AY26" i="6"/>
  <c r="AY27" i="6"/>
  <c r="AY28" i="6"/>
  <c r="AY24" i="6"/>
  <c r="AY23" i="6"/>
  <c r="AY22" i="6"/>
  <c r="AY29" i="6"/>
  <c r="AY25" i="6"/>
  <c r="AY10" i="6"/>
  <c r="AY21" i="6"/>
  <c r="AY20" i="6"/>
  <c r="AY19" i="6"/>
  <c r="AY18" i="6"/>
  <c r="AY17" i="6"/>
  <c r="AY11" i="6"/>
  <c r="AY8" i="6" s="1"/>
  <c r="AY7" i="6" a="1"/>
  <c r="AY7" i="6" s="1"/>
  <c r="AZ4" i="6"/>
  <c r="AY9" i="6" l="1"/>
  <c r="AY37" i="6"/>
  <c r="AY42" i="6" s="1"/>
  <c r="AY44" i="6" s="1"/>
  <c r="AZ41" i="6" s="1"/>
  <c r="AY38" i="6"/>
  <c r="AY43" i="6" s="1"/>
  <c r="AY36" i="6"/>
  <c r="AY34" i="6"/>
  <c r="AY33" i="6" s="1"/>
  <c r="AZ30" i="6"/>
  <c r="AZ27" i="6"/>
  <c r="AZ28" i="6"/>
  <c r="AZ24" i="6"/>
  <c r="AZ23" i="6"/>
  <c r="AZ22" i="6"/>
  <c r="AZ29" i="6"/>
  <c r="AZ25" i="6"/>
  <c r="AZ26" i="6"/>
  <c r="AZ21" i="6"/>
  <c r="AZ20" i="6"/>
  <c r="AZ19" i="6"/>
  <c r="AZ18" i="6"/>
  <c r="AZ17" i="6"/>
  <c r="AZ7" i="6" a="1"/>
  <c r="AZ7" i="6" s="1"/>
  <c r="AZ11" i="6"/>
  <c r="AZ8" i="6" s="1"/>
  <c r="AZ10" i="6"/>
  <c r="BA4" i="6"/>
  <c r="BA30" i="6" l="1"/>
  <c r="BA28" i="6"/>
  <c r="BA24" i="6"/>
  <c r="BA23" i="6"/>
  <c r="BA22" i="6"/>
  <c r="BA29" i="6"/>
  <c r="BA25" i="6"/>
  <c r="BA26" i="6"/>
  <c r="BA27" i="6"/>
  <c r="BA21" i="6"/>
  <c r="BA20" i="6"/>
  <c r="BA19" i="6"/>
  <c r="BA18" i="6"/>
  <c r="BA17" i="6"/>
  <c r="BA11" i="6"/>
  <c r="BA8" i="6" s="1"/>
  <c r="BA10" i="6"/>
  <c r="BA7" i="6" a="1"/>
  <c r="BA7" i="6" s="1"/>
  <c r="BB4" i="6"/>
  <c r="AZ38" i="6"/>
  <c r="AZ43" i="6" s="1"/>
  <c r="AZ36" i="6"/>
  <c r="AZ34" i="6"/>
  <c r="AZ33" i="6" s="1"/>
  <c r="AZ37" i="6"/>
  <c r="AZ42" i="6" s="1"/>
  <c r="AZ44" i="6" s="1"/>
  <c r="BA41" i="6" s="1"/>
  <c r="AZ9" i="6"/>
  <c r="BA9" i="6" l="1"/>
  <c r="BB30" i="6"/>
  <c r="BB29" i="6"/>
  <c r="BB28" i="6"/>
  <c r="BB27" i="6"/>
  <c r="BB26" i="6"/>
  <c r="BB25" i="6"/>
  <c r="BB24" i="6"/>
  <c r="BB23" i="6"/>
  <c r="BB22" i="6"/>
  <c r="BB11" i="6"/>
  <c r="BB8" i="6" s="1"/>
  <c r="BB7" i="6" a="1"/>
  <c r="BB7" i="6" s="1"/>
  <c r="BB10" i="6"/>
  <c r="BB18" i="6"/>
  <c r="BC4" i="6"/>
  <c r="BB21" i="6"/>
  <c r="BB17" i="6"/>
  <c r="BB19" i="6"/>
  <c r="BB20" i="6"/>
  <c r="BA37" i="6"/>
  <c r="BA42" i="6" s="1"/>
  <c r="BA44" i="6" s="1"/>
  <c r="BB41" i="6" s="1"/>
  <c r="BA38" i="6"/>
  <c r="BA43" i="6" s="1"/>
  <c r="BA36" i="6"/>
  <c r="BA34" i="6"/>
  <c r="BA33" i="6" s="1"/>
  <c r="BC30" i="6" l="1"/>
  <c r="BC29" i="6"/>
  <c r="BC25" i="6"/>
  <c r="BC26" i="6"/>
  <c r="BC27" i="6"/>
  <c r="BC23" i="6"/>
  <c r="BC22" i="6"/>
  <c r="BC28" i="6"/>
  <c r="BC24" i="6"/>
  <c r="BC10" i="6"/>
  <c r="BC21" i="6"/>
  <c r="BC20" i="6"/>
  <c r="BC19" i="6"/>
  <c r="BC18" i="6"/>
  <c r="BC17" i="6"/>
  <c r="BC11" i="6"/>
  <c r="BC8" i="6" s="1"/>
  <c r="BC9" i="6" s="1"/>
  <c r="BC7" i="6" a="1"/>
  <c r="BC7" i="6" s="1"/>
  <c r="BD4" i="6"/>
  <c r="BB9" i="6"/>
  <c r="BB36" i="6"/>
  <c r="BB37" i="6"/>
  <c r="BB42" i="6" s="1"/>
  <c r="BB44" i="6" s="1"/>
  <c r="BC41" i="6" s="1"/>
  <c r="BB38" i="6"/>
  <c r="BB43" i="6" s="1"/>
  <c r="BB34" i="6"/>
  <c r="BB33" i="6" s="1"/>
  <c r="BC37" i="6" l="1"/>
  <c r="BC42" i="6" s="1"/>
  <c r="BC44" i="6" s="1"/>
  <c r="BD41" i="6" s="1"/>
  <c r="BC38" i="6"/>
  <c r="BC43" i="6" s="1"/>
  <c r="BC34" i="6"/>
  <c r="BC33" i="6" s="1"/>
  <c r="BC36" i="6"/>
  <c r="BD30" i="6"/>
  <c r="BD26" i="6"/>
  <c r="BD27" i="6"/>
  <c r="BD23" i="6"/>
  <c r="BD22" i="6"/>
  <c r="BD28" i="6"/>
  <c r="BD24" i="6"/>
  <c r="BD29" i="6"/>
  <c r="BD25" i="6"/>
  <c r="BD21" i="6"/>
  <c r="BD20" i="6"/>
  <c r="BD19" i="6"/>
  <c r="BD18" i="6"/>
  <c r="BD17" i="6"/>
  <c r="BD7" i="6" a="1"/>
  <c r="BD7" i="6" s="1"/>
  <c r="BD11" i="6"/>
  <c r="BD8" i="6" s="1"/>
  <c r="BD10" i="6"/>
  <c r="BE4" i="6"/>
  <c r="BD38" i="6" l="1"/>
  <c r="BD43" i="6" s="1"/>
  <c r="BD34" i="6"/>
  <c r="BD33" i="6" s="1"/>
  <c r="BD36" i="6"/>
  <c r="BD37" i="6"/>
  <c r="BD42" i="6" s="1"/>
  <c r="BD44" i="6" s="1"/>
  <c r="BE41" i="6" s="1"/>
  <c r="BE30" i="6"/>
  <c r="BE27" i="6"/>
  <c r="BE23" i="6"/>
  <c r="BE22" i="6"/>
  <c r="BE28" i="6"/>
  <c r="BE24" i="6"/>
  <c r="BE29" i="6"/>
  <c r="BE25" i="6"/>
  <c r="BE26" i="6"/>
  <c r="BE21" i="6"/>
  <c r="BE20" i="6"/>
  <c r="BE19" i="6"/>
  <c r="BE18" i="6"/>
  <c r="BE17" i="6"/>
  <c r="BE11" i="6"/>
  <c r="BE8" i="6" s="1"/>
  <c r="BE9" i="6" s="1"/>
  <c r="BF4" i="6"/>
  <c r="BE10" i="6"/>
  <c r="BE7" i="6" a="1"/>
  <c r="BE7" i="6" s="1"/>
  <c r="BD9" i="6"/>
  <c r="BE44" i="6" l="1"/>
  <c r="BF41" i="6" s="1"/>
  <c r="BE38" i="6"/>
  <c r="BE43" i="6" s="1"/>
  <c r="BE36" i="6"/>
  <c r="BE37" i="6"/>
  <c r="BE42" i="6" s="1"/>
  <c r="BE34" i="6"/>
  <c r="BE33" i="6" s="1"/>
  <c r="BF30" i="6"/>
  <c r="BF29" i="6"/>
  <c r="BF28" i="6"/>
  <c r="BF27" i="6"/>
  <c r="BF26" i="6"/>
  <c r="BF25" i="6"/>
  <c r="BF24" i="6"/>
  <c r="BF23" i="6"/>
  <c r="BF22" i="6"/>
  <c r="BF11" i="6"/>
  <c r="BF8" i="6" s="1"/>
  <c r="BF7" i="6" a="1"/>
  <c r="BF7" i="6" s="1"/>
  <c r="BF10" i="6"/>
  <c r="BF21" i="6"/>
  <c r="BF17" i="6"/>
  <c r="BG4" i="6"/>
  <c r="BF20" i="6"/>
  <c r="BF18" i="6"/>
  <c r="BF19" i="6"/>
  <c r="BF36" i="6" l="1"/>
  <c r="BF37" i="6"/>
  <c r="BF42" i="6" s="1"/>
  <c r="BF44" i="6" s="1"/>
  <c r="BG41" i="6" s="1"/>
  <c r="BF34" i="6"/>
  <c r="BF33" i="6" s="1"/>
  <c r="BF38" i="6"/>
  <c r="BF43" i="6" s="1"/>
  <c r="BG30" i="6"/>
  <c r="BG28" i="6"/>
  <c r="BG24" i="6"/>
  <c r="BG29" i="6"/>
  <c r="BG25" i="6"/>
  <c r="BG26" i="6"/>
  <c r="BG23" i="6"/>
  <c r="BG22" i="6"/>
  <c r="BG27" i="6"/>
  <c r="BG10" i="6"/>
  <c r="BG21" i="6"/>
  <c r="BG20" i="6"/>
  <c r="BG19" i="6"/>
  <c r="BG18" i="6"/>
  <c r="BG17" i="6"/>
  <c r="BG11" i="6"/>
  <c r="BG8" i="6" s="1"/>
  <c r="BG7" i="6" a="1"/>
  <c r="BG7" i="6" s="1"/>
  <c r="BH4" i="6"/>
  <c r="BF9" i="6"/>
  <c r="BH30" i="6" l="1"/>
  <c r="BH29" i="6"/>
  <c r="BH25" i="6"/>
  <c r="BH26" i="6"/>
  <c r="BH23" i="6"/>
  <c r="BH22" i="6"/>
  <c r="BH27" i="6"/>
  <c r="BH28" i="6"/>
  <c r="BH24" i="6"/>
  <c r="BH21" i="6"/>
  <c r="BH20" i="6"/>
  <c r="BH19" i="6"/>
  <c r="BH18" i="6"/>
  <c r="BH17" i="6"/>
  <c r="BH7" i="6" a="1"/>
  <c r="BH7" i="6" s="1"/>
  <c r="BH11" i="6"/>
  <c r="BH8" i="6" s="1"/>
  <c r="BH10" i="6"/>
  <c r="BI4" i="6"/>
  <c r="BG9" i="6"/>
  <c r="BG37" i="6"/>
  <c r="BG42" i="6" s="1"/>
  <c r="BG44" i="6" s="1"/>
  <c r="BH41" i="6" s="1"/>
  <c r="BG34" i="6"/>
  <c r="BG33" i="6" s="1"/>
  <c r="BG38" i="6"/>
  <c r="BG43" i="6" s="1"/>
  <c r="BG36" i="6"/>
  <c r="BH38" i="6" l="1"/>
  <c r="BH43" i="6" s="1"/>
  <c r="BH37" i="6"/>
  <c r="BH42" i="6" s="1"/>
  <c r="BH44" i="6" s="1"/>
  <c r="BI41" i="6" s="1"/>
  <c r="BH34" i="6"/>
  <c r="BH33" i="6" s="1"/>
  <c r="BH36" i="6"/>
  <c r="BI30" i="6"/>
  <c r="BI26" i="6"/>
  <c r="BI23" i="6"/>
  <c r="BI22" i="6"/>
  <c r="BI27" i="6"/>
  <c r="BI28" i="6"/>
  <c r="BI24" i="6"/>
  <c r="BI29" i="6"/>
  <c r="BI25" i="6"/>
  <c r="BI21" i="6"/>
  <c r="BI20" i="6"/>
  <c r="BI19" i="6"/>
  <c r="BI18" i="6"/>
  <c r="BI17" i="6"/>
  <c r="BI11" i="6"/>
  <c r="BI8" i="6" s="1"/>
  <c r="BI9" i="6" s="1"/>
  <c r="BI10" i="6"/>
  <c r="BI7" i="6" a="1"/>
  <c r="BI7" i="6" s="1"/>
  <c r="BJ4" i="6"/>
  <c r="BH9" i="6"/>
  <c r="BI44" i="6" l="1"/>
  <c r="BJ41" i="6" s="1"/>
  <c r="BJ30" i="6"/>
  <c r="BJ29" i="6"/>
  <c r="BJ28" i="6"/>
  <c r="BJ27" i="6"/>
  <c r="BJ26" i="6"/>
  <c r="BJ25" i="6"/>
  <c r="BJ24" i="6"/>
  <c r="BJ23" i="6"/>
  <c r="BJ22" i="6"/>
  <c r="BJ11" i="6"/>
  <c r="BJ8" i="6" s="1"/>
  <c r="BJ7" i="6" a="1"/>
  <c r="BJ7" i="6" s="1"/>
  <c r="BJ10" i="6"/>
  <c r="BJ20" i="6"/>
  <c r="BK4" i="6"/>
  <c r="BJ19" i="6"/>
  <c r="BJ21" i="6"/>
  <c r="BJ17" i="6"/>
  <c r="BJ18" i="6"/>
  <c r="BI38" i="6"/>
  <c r="BI43" i="6" s="1"/>
  <c r="BI36" i="6"/>
  <c r="BI37" i="6"/>
  <c r="BI42" i="6" s="1"/>
  <c r="BI34" i="6"/>
  <c r="BI33" i="6" s="1"/>
  <c r="BK30" i="6" l="1"/>
  <c r="BK27" i="6"/>
  <c r="BK28" i="6"/>
  <c r="BK24" i="6"/>
  <c r="BK29" i="6"/>
  <c r="BK25" i="6"/>
  <c r="BK23" i="6"/>
  <c r="BK22" i="6"/>
  <c r="BK21" i="6"/>
  <c r="BK26" i="6"/>
  <c r="BK10" i="6"/>
  <c r="BK20" i="6"/>
  <c r="BK19" i="6"/>
  <c r="BK18" i="6"/>
  <c r="BK17" i="6"/>
  <c r="BK7" i="6" a="1"/>
  <c r="BK7" i="6" s="1"/>
  <c r="BL4" i="6"/>
  <c r="BK11" i="6"/>
  <c r="BK8" i="6" s="1"/>
  <c r="BJ9" i="6"/>
  <c r="BJ36" i="6"/>
  <c r="BJ38" i="6"/>
  <c r="BJ43" i="6" s="1"/>
  <c r="BJ37" i="6"/>
  <c r="BJ42" i="6" s="1"/>
  <c r="BJ34" i="6"/>
  <c r="BJ33" i="6" s="1"/>
  <c r="BJ44" i="6"/>
  <c r="BK41" i="6" s="1"/>
  <c r="BK37" i="6" l="1"/>
  <c r="BK42" i="6" s="1"/>
  <c r="BK36" i="6"/>
  <c r="BK34" i="6"/>
  <c r="BK33" i="6" s="1"/>
  <c r="BK38" i="6"/>
  <c r="BK43" i="6" s="1"/>
  <c r="BK9" i="6"/>
  <c r="BK44" i="6"/>
  <c r="BL41" i="6" s="1"/>
  <c r="BL30" i="6"/>
  <c r="BL28" i="6"/>
  <c r="BL24" i="6"/>
  <c r="BL29" i="6"/>
  <c r="BL25" i="6"/>
  <c r="BL23" i="6"/>
  <c r="BL22" i="6"/>
  <c r="BL26" i="6"/>
  <c r="BL27" i="6"/>
  <c r="BL20" i="6"/>
  <c r="BL19" i="6"/>
  <c r="BL18" i="6"/>
  <c r="BL17" i="6"/>
  <c r="BL7" i="6" a="1"/>
  <c r="BL7" i="6" s="1"/>
  <c r="BL21" i="6"/>
  <c r="BL11" i="6"/>
  <c r="BL8" i="6" s="1"/>
  <c r="BL9" i="6" s="1"/>
  <c r="BL10" i="6"/>
  <c r="BM4" i="6"/>
  <c r="BM30" i="6" l="1"/>
  <c r="BM29" i="6"/>
  <c r="BM25" i="6"/>
  <c r="BM23" i="6"/>
  <c r="BM22" i="6"/>
  <c r="BM26" i="6"/>
  <c r="BM27" i="6"/>
  <c r="BM28" i="6"/>
  <c r="BM24" i="6"/>
  <c r="BM20" i="6"/>
  <c r="BM19" i="6"/>
  <c r="BM18" i="6"/>
  <c r="BM17" i="6"/>
  <c r="BM21" i="6"/>
  <c r="BM11" i="6"/>
  <c r="BM8" i="6" s="1"/>
  <c r="BN4" i="6"/>
  <c r="BM10" i="6"/>
  <c r="BM7" i="6" a="1"/>
  <c r="BM7" i="6" s="1"/>
  <c r="BL38" i="6"/>
  <c r="BL43" i="6" s="1"/>
  <c r="BL34" i="6"/>
  <c r="BL33" i="6" s="1"/>
  <c r="BL37" i="6"/>
  <c r="BL42" i="6" s="1"/>
  <c r="BL44" i="6" s="1"/>
  <c r="BM41" i="6" s="1"/>
  <c r="BL36" i="6"/>
  <c r="BN30" i="6" l="1"/>
  <c r="BN29" i="6"/>
  <c r="BN28" i="6"/>
  <c r="BN27" i="6"/>
  <c r="BN26" i="6"/>
  <c r="BN25" i="6"/>
  <c r="BN24" i="6"/>
  <c r="BN23" i="6"/>
  <c r="BN22" i="6"/>
  <c r="BN21" i="6"/>
  <c r="BN11" i="6"/>
  <c r="BN8" i="6" s="1"/>
  <c r="BN7" i="6" a="1"/>
  <c r="BN7" i="6" s="1"/>
  <c r="BN10" i="6"/>
  <c r="BN19" i="6"/>
  <c r="BO4" i="6"/>
  <c r="BN18" i="6"/>
  <c r="BN20" i="6"/>
  <c r="BN17" i="6"/>
  <c r="BM9" i="6"/>
  <c r="BM37" i="6"/>
  <c r="BM42" i="6" s="1"/>
  <c r="BM44" i="6" s="1"/>
  <c r="BN41" i="6" s="1"/>
  <c r="BM38" i="6"/>
  <c r="BM43" i="6" s="1"/>
  <c r="BM36" i="6"/>
  <c r="BM34" i="6"/>
  <c r="BM33" i="6" s="1"/>
  <c r="BO30" i="6" l="1"/>
  <c r="BO26" i="6"/>
  <c r="BO27" i="6"/>
  <c r="BO28" i="6"/>
  <c r="BO24" i="6"/>
  <c r="BO23" i="6"/>
  <c r="BO22" i="6"/>
  <c r="BO21" i="6"/>
  <c r="BO29" i="6"/>
  <c r="BO25" i="6"/>
  <c r="BO10" i="6"/>
  <c r="BO20" i="6"/>
  <c r="BO19" i="6"/>
  <c r="BO18" i="6"/>
  <c r="BO17" i="6"/>
  <c r="BO11" i="6"/>
  <c r="BO8" i="6" s="1"/>
  <c r="BO7" i="6" a="1"/>
  <c r="BO7" i="6" s="1"/>
  <c r="BP4" i="6"/>
  <c r="BN9" i="6"/>
  <c r="BN36" i="6"/>
  <c r="BN38" i="6"/>
  <c r="BN43" i="6" s="1"/>
  <c r="BN34" i="6"/>
  <c r="BN33" i="6" s="1"/>
  <c r="BN37" i="6"/>
  <c r="BN42" i="6" s="1"/>
  <c r="BN44" i="6" s="1"/>
  <c r="BO41" i="6" s="1"/>
  <c r="BO37" i="6" l="1"/>
  <c r="BO42" i="6" s="1"/>
  <c r="BO44" i="6" s="1"/>
  <c r="BP41" i="6" s="1"/>
  <c r="BO38" i="6"/>
  <c r="BO43" i="6" s="1"/>
  <c r="BO36" i="6"/>
  <c r="BO34" i="6"/>
  <c r="BO33" i="6" s="1"/>
  <c r="BP30" i="6"/>
  <c r="BP27" i="6"/>
  <c r="BP28" i="6"/>
  <c r="BP24" i="6"/>
  <c r="BP23" i="6"/>
  <c r="BP22" i="6"/>
  <c r="BP21" i="6"/>
  <c r="BP29" i="6"/>
  <c r="BP25" i="6"/>
  <c r="BP26" i="6"/>
  <c r="BP20" i="6"/>
  <c r="BP19" i="6"/>
  <c r="BP18" i="6"/>
  <c r="BP17" i="6"/>
  <c r="BP7" i="6" a="1"/>
  <c r="BP7" i="6" s="1"/>
  <c r="BP11" i="6"/>
  <c r="BP8" i="6" s="1"/>
  <c r="BP10" i="6"/>
  <c r="BQ4" i="6"/>
  <c r="BO9" i="6"/>
  <c r="BQ30" i="6" l="1"/>
  <c r="BQ28" i="6"/>
  <c r="BQ24" i="6"/>
  <c r="BQ23" i="6"/>
  <c r="BQ22" i="6"/>
  <c r="BQ21" i="6"/>
  <c r="BQ29" i="6"/>
  <c r="BQ25" i="6"/>
  <c r="BQ26" i="6"/>
  <c r="BQ27" i="6"/>
  <c r="BQ20" i="6"/>
  <c r="BQ19" i="6"/>
  <c r="BQ18" i="6"/>
  <c r="BQ17" i="6"/>
  <c r="BQ11" i="6"/>
  <c r="BQ8" i="6" s="1"/>
  <c r="BQ9" i="6" s="1"/>
  <c r="BQ10" i="6"/>
  <c r="BQ7" i="6" a="1"/>
  <c r="BQ7" i="6" s="1"/>
  <c r="BR4" i="6"/>
  <c r="BP38" i="6"/>
  <c r="BP43" i="6" s="1"/>
  <c r="BP36" i="6"/>
  <c r="BP34" i="6"/>
  <c r="BP33" i="6" s="1"/>
  <c r="BP37" i="6"/>
  <c r="BP42" i="6" s="1"/>
  <c r="BP44" i="6" s="1"/>
  <c r="BQ41" i="6" s="1"/>
  <c r="BP9" i="6"/>
  <c r="BR30" i="6" l="1"/>
  <c r="BR29" i="6"/>
  <c r="BR28" i="6"/>
  <c r="BR27" i="6"/>
  <c r="BR26" i="6"/>
  <c r="BR25" i="6"/>
  <c r="BR24" i="6"/>
  <c r="BR23" i="6"/>
  <c r="BR22" i="6"/>
  <c r="BR11" i="6"/>
  <c r="BR8" i="6" s="1"/>
  <c r="BR7" i="6" a="1"/>
  <c r="BR7" i="6" s="1"/>
  <c r="BR10" i="6"/>
  <c r="BR18" i="6"/>
  <c r="BS4" i="6"/>
  <c r="BR17" i="6"/>
  <c r="BR19" i="6"/>
  <c r="BR21" i="6"/>
  <c r="BR20" i="6"/>
  <c r="BQ37" i="6"/>
  <c r="BQ42" i="6" s="1"/>
  <c r="BQ44" i="6" s="1"/>
  <c r="BR41" i="6" s="1"/>
  <c r="BQ38" i="6"/>
  <c r="BQ43" i="6" s="1"/>
  <c r="BQ36" i="6"/>
  <c r="BQ34" i="6"/>
  <c r="BQ33" i="6" s="1"/>
  <c r="BR36" i="6" l="1"/>
  <c r="BR37" i="6"/>
  <c r="BR42" i="6" s="1"/>
  <c r="BR44" i="6" s="1"/>
  <c r="BS41" i="6" s="1"/>
  <c r="BR38" i="6"/>
  <c r="BR43" i="6" s="1"/>
  <c r="BR34" i="6"/>
  <c r="BR33" i="6" s="1"/>
  <c r="BS30" i="6"/>
  <c r="M30" i="6" s="1"/>
  <c r="BS29" i="6"/>
  <c r="M29" i="6" s="1"/>
  <c r="BS25" i="6"/>
  <c r="M25" i="6" s="1"/>
  <c r="BS26" i="6"/>
  <c r="M26" i="6" s="1"/>
  <c r="BS27" i="6"/>
  <c r="M27" i="6" s="1"/>
  <c r="BS23" i="6"/>
  <c r="M23" i="6" s="1"/>
  <c r="BS22" i="6"/>
  <c r="M22" i="6" s="1"/>
  <c r="BS21" i="6"/>
  <c r="M21" i="6" s="1"/>
  <c r="BS28" i="6"/>
  <c r="M28" i="6" s="1"/>
  <c r="BS24" i="6"/>
  <c r="M24" i="6" s="1"/>
  <c r="BS10" i="6"/>
  <c r="BS20" i="6"/>
  <c r="M20" i="6" s="1"/>
  <c r="BS19" i="6"/>
  <c r="M19" i="6" s="1"/>
  <c r="BS18" i="6"/>
  <c r="M18" i="6" s="1"/>
  <c r="BS17" i="6"/>
  <c r="BS11" i="6"/>
  <c r="BS8" i="6" s="1"/>
  <c r="BS7" i="6" a="1"/>
  <c r="BS7" i="6" s="1"/>
  <c r="BR9" i="6"/>
  <c r="BS37" i="6" l="1"/>
  <c r="BS38" i="6"/>
  <c r="BS34" i="6"/>
  <c r="BS33" i="6" s="1"/>
  <c r="BS36" i="6"/>
  <c r="M36" i="6" s="1"/>
  <c r="M17" i="6"/>
  <c r="BS9" i="6"/>
  <c r="BS43" i="6" l="1"/>
  <c r="M43" i="6" s="1"/>
  <c r="M38" i="6"/>
  <c r="BS42" i="6"/>
  <c r="M37" i="6"/>
  <c r="M42" i="6" l="1"/>
  <c r="BS44" i="6"/>
  <c r="M44" i="6" s="1"/>
</calcChain>
</file>

<file path=xl/sharedStrings.xml><?xml version="1.0" encoding="utf-8"?>
<sst xmlns="http://schemas.openxmlformats.org/spreadsheetml/2006/main" count="264" uniqueCount="199">
  <si>
    <t>Enterprise SaaS Forecasting Tool, by Foresight</t>
  </si>
  <si>
    <t>A basic tool to help you model the revenues and costs of an SaaS business.</t>
  </si>
  <si>
    <t>Copyright &amp; Contact</t>
  </si>
  <si>
    <t>License</t>
  </si>
  <si>
    <r>
      <rPr>
        <sz val="10"/>
        <color rgb="FF000000"/>
        <rFont val="Arial"/>
      </rPr>
      <t xml:space="preserve">tl:dr; You can modify, edit, use, and share within your company (and with third-parties as needed to operate your business). You may not redistribute, resell, give away to others. </t>
    </r>
    <r>
      <rPr>
        <u/>
        <sz val="10"/>
        <color rgb="FF1155CC"/>
        <rFont val="Arial"/>
      </rPr>
      <t xml:space="preserve">Full license.
</t>
    </r>
  </si>
  <si>
    <t>Goal</t>
  </si>
  <si>
    <t xml:space="preserve">Goal of this model is to create an easy way for anyone to model the basic revenue operations of an SaaS business. The model uses external market data where applicable and estimates when necessary. You should adjust all metrics and inputs to fit your business.
</t>
  </si>
  <si>
    <t>Copy to Google Sheets or Download to Excel</t>
  </si>
  <si>
    <r>
      <rPr>
        <sz val="10"/>
        <rFont val="Arial"/>
      </rPr>
      <t xml:space="preserve">File &gt; Make a Copy to copy it to your own Google Drive, or File &gt; Download to download this to use in Excel or other spreadsheet programs. </t>
    </r>
    <r>
      <rPr>
        <u/>
        <sz val="10"/>
        <color rgb="FF1155CC"/>
        <rFont val="Arial"/>
      </rPr>
      <t xml:space="preserve">See License for warranties and liabilities.
</t>
    </r>
  </si>
  <si>
    <t>Support</t>
  </si>
  <si>
    <r>
      <rPr>
        <sz val="10"/>
        <rFont val="Arial"/>
      </rPr>
      <t xml:space="preserve">Questions, happy to assist, contact anytime. More details on how I provide support: </t>
    </r>
    <r>
      <rPr>
        <u/>
        <sz val="10"/>
        <color rgb="FF1155CC"/>
        <rFont val="Arial"/>
      </rPr>
      <t xml:space="preserve">https://foresight.is/learn/support
</t>
    </r>
  </si>
  <si>
    <t>Missing a feature you need?</t>
  </si>
  <si>
    <r>
      <rPr>
        <sz val="10"/>
        <rFont val="Arial"/>
      </rPr>
      <t xml:space="preserve">Check out </t>
    </r>
    <r>
      <rPr>
        <u/>
        <sz val="10"/>
        <color rgb="FF1155CC"/>
        <rFont val="Arial"/>
      </rPr>
      <t>Alternatives to Foresight</t>
    </r>
    <r>
      <rPr>
        <sz val="10"/>
        <rFont val="Arial"/>
      </rPr>
      <t xml:space="preserve"> for more modeling tools, and check out Foresight's </t>
    </r>
    <r>
      <rPr>
        <u/>
        <sz val="10"/>
        <color rgb="FF1155CC"/>
        <rFont val="Arial"/>
      </rPr>
      <t>Standard Financial Model</t>
    </r>
    <r>
      <rPr>
        <sz val="10"/>
        <rFont val="Arial"/>
      </rPr>
      <t xml:space="preserve"> for a more comprehensive model with extensive prebuilt options for different revenue models, MRR and ARR, historical financials, budget variances, and more.
</t>
    </r>
  </si>
  <si>
    <t>Quickstart</t>
  </si>
  <si>
    <t>1) Any number in blue with grey shaded background is an input (i.e. an assumption or data point that can be changed), anything in black is the result of a formula. Change blue at will, change anything in black with caution.
2) All cells and formulas are unlocked - as in all Foresight models - so that you can make edits as needed and completely understand what is going on.
3) All assumptions are illustrative ONLY, do not assume they are market data or standard.
4) As with all templates, feel free to create your own model from scratch, using this as a guide. 
5) The model is constructed to fit a wide variety of businesses, and therefore, some sections may or may not be relevant to yours. I have grouped together sections on all sheets so that you can review different sections and see all the possibilities, but also easily hide the sections not relevant for you. Simply click on the "+" button on the left-hand side to unhide a section, and click on the "-" button to hide it.</t>
  </si>
  <si>
    <t>Outline</t>
  </si>
  <si>
    <t>README</t>
  </si>
  <si>
    <t>Contact into, overview on model. Safe to delete or hide.</t>
  </si>
  <si>
    <t xml:space="preserve">   Formatting and Colors Overview</t>
  </si>
  <si>
    <r>
      <rPr>
        <sz val="10"/>
        <rFont val="Arial"/>
      </rPr>
      <t xml:space="preserve">Details on what the colors and formatting in the model mean. </t>
    </r>
    <r>
      <rPr>
        <u/>
        <sz val="10"/>
        <color rgb="FF1155CC"/>
        <rFont val="Arial"/>
      </rPr>
      <t>https://foresight.is/learn/colors-and-formatting</t>
    </r>
  </si>
  <si>
    <r>
      <rPr>
        <sz val="10"/>
        <rFont val="Arial"/>
      </rPr>
      <t xml:space="preserve">Terms of use of the model. Safe to delete or hide. </t>
    </r>
    <r>
      <rPr>
        <u/>
        <sz val="10"/>
        <color rgb="FF1155CC"/>
        <rFont val="Arial"/>
      </rPr>
      <t>https://foresight.is/license</t>
    </r>
  </si>
  <si>
    <t>Get Started</t>
  </si>
  <si>
    <t>Assumptions used in the model</t>
  </si>
  <si>
    <t>Forecast</t>
  </si>
  <si>
    <t>Calculations for the model, with a couple detailed optional assumptions.</t>
  </si>
  <si>
    <t>Key Reports</t>
  </si>
  <si>
    <t>Key charts, using data from the Forecast sheet</t>
  </si>
  <si>
    <t>Model Comparison</t>
  </si>
  <si>
    <t>Informational sheet with links to other models available to use. Safe to delete or hide.</t>
  </si>
  <si>
    <t>Glossary</t>
  </si>
  <si>
    <t>Informational sheet on common financial terms used in the model. Safe to delete or hide.</t>
  </si>
  <si>
    <t>Changelog</t>
  </si>
  <si>
    <t>List of what has been changed in model versions. Safe to delete or hide, although I'd advise to hide (instead of delete) so can always check to see what model version you are using to compare to future changes.</t>
  </si>
  <si>
    <t>License Agreement</t>
  </si>
  <si>
    <t>Available on website</t>
  </si>
  <si>
    <t>This License Agreement (“the Agreement”) between you, the licensee, and Unstructured Ventures, LLC (the “Company”) a limited liability corporation headquartered and registered in the Commonwealth of Pennsylvania and organized under the laws of the state of Delaware. The Company owns the financial model (the “Product”) and any edits, additions, or customizations (the "Service") delivered under this Agreement. This Agreement grants you a non-exclusive, non-transferable right to use and incorporate the Product and Service in personal and corporate projects for the organization that purchased the Product and/or Service.</t>
  </si>
  <si>
    <t>You agree as follows:</t>
  </si>
  <si>
    <t>1. Scope of use</t>
  </si>
  <si>
    <t>* Use and incorporate the Product and/or Service in personal and commercial projects for your company including financial models, business plans, pitch decks, etc.</t>
  </si>
  <si>
    <t>* You may modify the Product and/or Service to better serve your project.</t>
  </si>
  <si>
    <t>* You are granted unlimited usage of the Product and/or Service purchased in your organization.</t>
  </si>
  <si>
    <t>* If an organization is the licensee, all employees of the organization may use the same license.</t>
  </si>
  <si>
    <t>2. Limitations and non-use</t>
  </si>
  <si>
    <t>* You may not redistribute, sublicense or resell the Product and/or Service.</t>
  </si>
  <si>
    <t>* You may not distribute, license or sell derivative, recompiled, reverse engineered, or modified versions of the Product and/or Service.</t>
  </si>
  <si>
    <t>* You may not use the Product and/or Service as in projects for other organizations.</t>
  </si>
  <si>
    <t>* If your customers would like to use the Product and/or Service as a part of their own product, you must obtain a separate license for each client.</t>
  </si>
  <si>
    <t>* The Product and/or Service is provided “as is” without a warranty of any kind, either expressed or implied.</t>
  </si>
  <si>
    <t>* The Company owns all right, title, intellectual property, and interest in the Product and/or Service.</t>
  </si>
  <si>
    <t>* The design, text, graphics, selection and arrangement in the Product and/or Service are the copyright © of the Company, all rights reserved.</t>
  </si>
  <si>
    <t>The Company’s liability to you for costs, damages, or other losses arising from your use of the Product and/or Service — including third-party claims against you — is limited to a refund of your license fee of the Product and/or the fees paid in the 12 months preceding the Service in question. The Company may not be held liable for any consequential damages related to your use of the Product and/orService. We are not financial advisors, planners, brokers, or tax advisors, and the Company, Product, and Service are not intended to provide legal, tax, or financial advice. Your financial situation is unique, and any information and advice obtained through the Product and/or Service may not be appropriate for your situation. Accordingly, before making any final decisions or implementing any financial strategy, you should consider obtaining additional information and advice from your accountant or other financial advisers who are fully aware of your individual situation.</t>
  </si>
  <si>
    <t>TO THE FULLEST EXTENT PERMITTED BY LAW, WE AND OUR AFFILIATES, SUPPLIERS AND DISTRIBUTORS MAKE NO WARRANTIES, EITHER EXPRESS OR IMPLIED, ABOUT THE PRODUCTS AND SERVICES. THE PRODUCTS AND SERVICES ARE PROVIDED "AS IS." WE ALSO DISCLAIM ANY WARRANTIES OF MERCHANTABILITY, FITNESS FOR A PARTICULAR PURPOSE AND NON-INFRINGEMENT.  INFORMATION AND OPINIONS RECEIVED VIA THE PRODUCT, SERVICE, AND WEBSITE SHOULD NOT BE RELIED UPON FOR PERSONAL, MEDICAL, LEGAL OR FINANCIAL DECISIONS AND YOU SHOULD CONSULT AN APPROPRIATE PROFESSIONAL FOR SPECIFIC ADVICE TAILORED TO YOUR SITUATION.</t>
  </si>
  <si>
    <t>TO THE FULLEST EXTENT PERMITTED BY LAW, IN NO EVENT WILL WE, OUR AFFILIATES, SUPPLIERS OR DISTRIBUTORS BE LIABLE FOR ANY INDIRECT, SPECIAL, INCIDENTAL, PUNITIVE, EXEMPLARY OR CONSEQUENTIAL DAMAGES OR ANY LOSS OF USE, DATA, BUSINESS, OR PROFITS, REGARDLESS OF LEGAL THEORY, WHETHER OR NOT WE HAVE BEEN WARNED OF THE POSSIBILITY OF SUCH DAMAGES, AND EVEN IF A REMEDY FAILS OF ITS ESSENTIAL PURPOSE.</t>
  </si>
  <si>
    <t>This Agreement is governed by the laws of the Commonwealth of Pennsylvania and the applicable laws of the United States of America. Legal proceedings related to this Agreement may only be brought in the courts of Pennsylvania. You agree to service of process at the e-mail address on your original order. Notices may be sent to Unstructured Ventures, LLC by email to hello@unstructuredventures.com or by post to Unstructured Ventures, LLC, 6360 Broad St, #5226, Pittsburgh, PA, 15206, USA.</t>
  </si>
  <si>
    <t>Disclaimer</t>
  </si>
  <si>
    <t>Investments in the Company, if offered, will only be offered to a selected number of accredited investors, and only on the basis of a private offering memorandum for the Company. There are significant risks that are not presented and disclosed in this Investor Presentation.  These risks could have a significant negative impact on the performance of the Company.</t>
  </si>
  <si>
    <t>This Investor Presentation contains forward-looking statements regarding our business plans and prospects and financial conditions, all statements, other than statements of historical fact, in this Investor Presentation, and the attached exhibits, including, among other things, statements regarding our competitive strengths, business strategy, financial projections and plans and objectives of management are forward-looking statements. Although we believe that the expectations reflected in such forward-looking statements are reasonable, there can be no assurance that such expectations will prove to be correct.  Forward-looking statements are inherently subject to risks and uncertainties, many of which cannot be predicted with accuracy and some of which might not even be anticipated.  Future events and actual results, financial or otherwise, could differ materially from those set forth in, or contemplated by, the forward-looking statements in this Investor Presentation, and, as such, the forward-looking statements contained herein should not be relied upon when making your investment decision.  We undertake no obligation to update or revise any forward-looking statements.</t>
  </si>
  <si>
    <t>The financial projections in this Investor Presentation present, to the best of management’s knowledge and belief, the Company’s expected financial position, results of operations, and cash flows for the forecast period.  Accordingly, the financial projections reflect its judgment, as of the date of these financial projections, of the expected conditions and its expected course of action following the sale of securities by the Company.  The assumptions disclosed herein are those that management believes are significant to the financial projections.  There will usually be differences between the projected and actual results, because events and circumstances frequently do not occur as expected, and those differences may be material.  Since the projections are based upon assumptions about circumstances and events that have not yet taken place regarding costs, income, expenses and federal tax matters, which are subject to variations and economic events as future operations actually occur, they do not necessarily reflect the results that will be achieved and should not be relied upon. In all cases, the targeted returns are not predictions or projections that the results in the pro forma financials will be achieved nor of the performance of any investment, and are expressly subject to all assumptions embedded in the pro forma financials and the risk factors disclosed herein. This investment has a high degree of risk, and there can be no assurances that all or any of the assumptions will be true or that an investment’s actual performance will bear any relation to these hypothetical illustrations.</t>
  </si>
  <si>
    <t xml:space="preserve">This information contained in this Investor Presentation includes proprietary information, is strictly confidential, and is not to be used or distributed to others without the express written consent of the Company. </t>
  </si>
  <si>
    <t>This document has been prepared solely for information purposes and is being furnished solely for use by prospective purchasers in considering their interest in obtaining additional information and making their own evaluation of the Company and does not contain all of the information that a prospective purchaser may desire.  This information reflects various assumptions by the Company concerning anticipated results, which assumptions may or may not prove to be correct, and the Company has no obligation to update such information.  The only information that will have any legal effect will be that specifically contained in definitive documentation. This Investor Presentation has been submitted confidentially to a limited number of investors so that they can consider their interest in obtaining additional information and making their own evaluation of the Company.  No offers to purchase the securities of the Company will be accepted prior to (1) the receipt by recipient of a complete private offering memorandum and (2) determination by the Company that the recipient is an appropriate purchaser in light of standards contained in U.S. Securities laws after a full evaluation of recipient by the Company.  The Company has not authorized its use for any other purpose.  This Investor Presentation may not be copied or reproduced in whole or in part.  By accepting a copy of this Investor Presentation, the recipient agrees that neither it nor any of its representatives, agents or employees shall use it for any other purpose or divulge to any party any confidential information about the Company.</t>
  </si>
  <si>
    <t>Setup and timescale</t>
  </si>
  <si>
    <t>What is the name of your company?</t>
  </si>
  <si>
    <t>Company</t>
  </si>
  <si>
    <t>This is used in the Legal Disclaimer sheet, which is purely optional, but something many people choose to include in their projections when they provide them to potential investors</t>
  </si>
  <si>
    <t>What is the first date you want to forecast?</t>
  </si>
  <si>
    <t>First month in the model; if this model is entirely a forecast of the future, input the first month you want to forecast from.</t>
  </si>
  <si>
    <t>What is the fiscal year end of the first year modeled?</t>
  </si>
  <si>
    <t>Define the month that is the fiscal year end of the first year in the model. This allows you to set the fiscal years in the model, and thus the # of months in the first year forecasted in the model. The default setting uses a formula to return the year end (in December) from the first month in the forecast. Feel free to overwrite this to set a different fiscal year end, just overwrite the formula with a date.</t>
  </si>
  <si>
    <t>Aggregation Options</t>
  </si>
  <si>
    <t>only used for the aggregation options column (sum, average, initial, final)</t>
  </si>
  <si>
    <t>initial</t>
  </si>
  <si>
    <t>returns the value from the beginning of a period</t>
  </si>
  <si>
    <t>final</t>
  </si>
  <si>
    <t>returns the value from the end of a period</t>
  </si>
  <si>
    <t>sum</t>
  </si>
  <si>
    <t>returns the total during the period</t>
  </si>
  <si>
    <t>average</t>
  </si>
  <si>
    <t>returns the simple average during the period; averages are not weighted-averages, and for % growths, do not represent the average growth over the time period.</t>
  </si>
  <si>
    <t>Clients, Revenues</t>
  </si>
  <si>
    <t>Clients</t>
  </si>
  <si>
    <t>total clients and total revenues, per period</t>
  </si>
  <si>
    <t>new per period, and total, end of period</t>
  </si>
  <si>
    <t>Revenues and Deferred Revenue</t>
  </si>
  <si>
    <t>during and at end of each period; helps understand future revenues to be recognized from deferred revenues</t>
  </si>
  <si>
    <t>Date</t>
  </si>
  <si>
    <t>Unit</t>
  </si>
  <si>
    <t>Note</t>
  </si>
  <si>
    <t>Timestep</t>
  </si>
  <si>
    <t>#</t>
  </si>
  <si>
    <t>where the first month in the period = 0</t>
  </si>
  <si>
    <t>Month # in Model</t>
  </si>
  <si>
    <t>Fiscal Year</t>
  </si>
  <si>
    <t>the fiscal year can vary from the calendar year, this is calculated based on the assumption for fiscal year end</t>
  </si>
  <si>
    <t>Quarter in Fiscal Year</t>
  </si>
  <si>
    <t>text</t>
  </si>
  <si>
    <t>the quarters of the year vary according by the fiscal year end</t>
  </si>
  <si>
    <t>Quarter / Year</t>
  </si>
  <si>
    <t>quarters and year, reported in text form for some charts and graphs</t>
  </si>
  <si>
    <t>Month (Text)</t>
  </si>
  <si>
    <t>the month of the calendar year, used for reporting and seasonality calculations</t>
  </si>
  <si>
    <t>Month # in Fiscal year</t>
  </si>
  <si>
    <t>the month # in the fiscal year. This rolls over to 1 at the start of each fiscal year</t>
  </si>
  <si>
    <t>Year of Operations</t>
  </si>
  <si>
    <t>the year of operations. Used for some reports based on time of operations, not calendar year</t>
  </si>
  <si>
    <t>Client</t>
  </si>
  <si>
    <t>% Likelihood to Close</t>
  </si>
  <si>
    <t>Contract Cycle</t>
  </si>
  <si>
    <t>Billing Cycle</t>
  </si>
  <si>
    <t>Start Date</t>
  </si>
  <si>
    <t># Month Start</t>
  </si>
  <si>
    <t>% Revenue Churn or % Expansion</t>
  </si>
  <si>
    <t>months</t>
  </si>
  <si>
    <t>at end of contract cycle</t>
  </si>
  <si>
    <t>Example: Enterprise Customer</t>
  </si>
  <si>
    <t>Example: Channel Partner</t>
  </si>
  <si>
    <t>Example: Total all Q2 2023 new Customers</t>
  </si>
  <si>
    <t>TBD</t>
  </si>
  <si>
    <t>Insert additional rows to insert more clients *above* the last row</t>
  </si>
  <si>
    <t>current period number of clients less previous period. Does not use likelihood to close % to weight</t>
  </si>
  <si>
    <t>sums all active clients, using the logic of revenues &gt; 0, then it's a client. Does not use liklihood to close % to weight. Can alter for your specific business</t>
  </si>
  <si>
    <t>Bookings</t>
  </si>
  <si>
    <t>$</t>
  </si>
  <si>
    <t>for all new, assumes bookings = contract length, in months * average monthly revenue * liklihood to close. Includes renewed bookings</t>
  </si>
  <si>
    <t>Billings</t>
  </si>
  <si>
    <t>billings uses the billing cycle assumptions to calculate billings per month.</t>
  </si>
  <si>
    <t>Revenues</t>
  </si>
  <si>
    <t>sums all revenues from above, can be broken out into categories if desired, contact hello@foresight.is</t>
  </si>
  <si>
    <t>Deferred Revenues</t>
  </si>
  <si>
    <t>Deferred Revenues, beginning of period</t>
  </si>
  <si>
    <t>deferred revenues at beginning of period</t>
  </si>
  <si>
    <t>billings during period</t>
  </si>
  <si>
    <t>recognized revenues during period, * -1</t>
  </si>
  <si>
    <t>Deferred Revenues, end of period</t>
  </si>
  <si>
    <t>deferred revenues at end of period</t>
  </si>
  <si>
    <t>Foresight Template Comparison</t>
  </si>
  <si>
    <t>I offer a range of templates for venture funds and angels. Here's a breakdown of the models and how they compare.</t>
  </si>
  <si>
    <t>Template</t>
  </si>
  <si>
    <t>Link</t>
  </si>
  <si>
    <t>Software</t>
  </si>
  <si>
    <t>Usecase</t>
  </si>
  <si>
    <t>Price</t>
  </si>
  <si>
    <t>Time Scale</t>
  </si>
  <si>
    <t>Prebuilt Revenue Model</t>
  </si>
  <si>
    <t>Operating Expenses</t>
  </si>
  <si>
    <t>Hiring Plan</t>
  </si>
  <si>
    <t>Consolidated Financials</t>
  </si>
  <si>
    <t>Charts and Graphs</t>
  </si>
  <si>
    <t>Key Performance Metrics</t>
  </si>
  <si>
    <t>Historical Financials and Budget Variances</t>
  </si>
  <si>
    <t>Prebuilt Inventory Calcs</t>
  </si>
  <si>
    <t>Capital Structure (Equity, Debt, Grants, etc.)</t>
  </si>
  <si>
    <t>Cap Table and Valuation</t>
  </si>
  <si>
    <t>Runway and Cash Forecasting Tool</t>
  </si>
  <si>
    <t>https://foresight.is/runway-cash-forecasting</t>
  </si>
  <si>
    <t>Google Sheets, download to Excel</t>
  </si>
  <si>
    <t>Seed-stage companies building first model</t>
  </si>
  <si>
    <t>Free</t>
  </si>
  <si>
    <t>3 years</t>
  </si>
  <si>
    <t>Starter Financial Model</t>
  </si>
  <si>
    <t>https://foresight.is/starter-financial-model</t>
  </si>
  <si>
    <t>Excel, upload to Google Sheets</t>
  </si>
  <si>
    <t>Seed - A stage companies building their own custom revenue model</t>
  </si>
  <si>
    <t>$74 USD</t>
  </si>
  <si>
    <t>5 years</t>
  </si>
  <si>
    <t>Standard Financial Model</t>
  </si>
  <si>
    <t>https://foresight.is/standard-financial-model</t>
  </si>
  <si>
    <t>Seed - B stage companies leveraging the prebuilt revenue model or building their own</t>
  </si>
  <si>
    <t>$149 USD</t>
  </si>
  <si>
    <t>Standard Financial Model for SaaS</t>
  </si>
  <si>
    <r>
      <rPr>
        <u/>
        <sz val="10"/>
        <color rgb="FF1155CC"/>
        <rFont val="Arial"/>
      </rPr>
      <t>https://foresight</t>
    </r>
    <r>
      <rPr>
        <sz val="10"/>
        <rFont val="Arial"/>
      </rPr>
      <t>.is/saas-financial-model</t>
    </r>
  </si>
  <si>
    <t>Companies with SaaS business models</t>
  </si>
  <si>
    <t>Standard Financial Model for Ecommerce</t>
  </si>
  <si>
    <t>https://foresight.is/ecommerce-financial-model</t>
  </si>
  <si>
    <t>Companies with Ecommerce business models</t>
  </si>
  <si>
    <t>SaaS Forecasting Tool</t>
  </si>
  <si>
    <t>https://foresight.is/saas-forecasting-tool</t>
  </si>
  <si>
    <t>Seed-stage entrepreneurs wanting to understand how to forecast SaaS businesses</t>
  </si>
  <si>
    <t>Ecommerce ForecastingTool</t>
  </si>
  <si>
    <t>https://foresight.is/ecommerce-forecasting-tool</t>
  </si>
  <si>
    <t>Seed-stage entrepreneurs wanting to understand how to forecast Ecommerce businesses</t>
  </si>
  <si>
    <t>Unit Economics Tool</t>
  </si>
  <si>
    <t>https://foresight.is/unit-economics-template</t>
  </si>
  <si>
    <t>Seed - B stage companies wanting to detail their unit economics, LTV, and cash flows on a per-user (subscriber, client, customer, etc.) basis.</t>
  </si>
  <si>
    <t>~</t>
  </si>
  <si>
    <t>Enterprise SaaS Forecasting Tool</t>
  </si>
  <si>
    <t>https://foresight.is/enterprise-saas-template</t>
  </si>
  <si>
    <t>Enterprise SaaS businesses wanting to use an enterprise pipeline and specific customer method to forecast their revenues</t>
  </si>
  <si>
    <t>Here's what has changed.</t>
  </si>
  <si>
    <t>v1.03 - December 22, 2023</t>
  </si>
  <si>
    <t>Edits to Forecast sheet to remove the use of the liklihood to close on every renewal cycle, and just use once on the first customer period.</t>
  </si>
  <si>
    <t>Edit to Forecast to remove the liklihood to close in the bookings, billings, and revenue structure; if the liklihood to close is being used in the per-period revenues, no need to apply it a second time.</t>
  </si>
  <si>
    <t>v1.02 - September 23, 2022</t>
  </si>
  <si>
    <t>Small styling edits, to changes to core structure</t>
  </si>
  <si>
    <t>v1.01 - July 30, 2021</t>
  </si>
  <si>
    <t>Forecast: Edited to remove usage of OFFSET function. Standardizing across templates to replace use of volative OFFSET with INDEX MATCH</t>
  </si>
  <si>
    <t>v1.00 - August 11, 2020</t>
  </si>
  <si>
    <t>First version of the Enterprise SaaS Forecasting Tool, which leverages the Pipeline built into the Standard Model, detailed at https://foresight.is/learn/pipeline</t>
  </si>
  <si>
    <t>Questions, ask hello@foresight.is anytime.</t>
  </si>
  <si>
    <t xml:space="preserve">This was created by Taylor Davidson (@tdavidson) of Foresight.
© 2023, Unstructured Ventures, LLC.
Questions, contact taylor@foresight.is or @tdavidson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</si>
</sst>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1" formatCode="_(* #,##0_);_(* \(#,##0\);_(* &quot;-&quot;_);_(@_)"/>
    <numFmt numFmtId="43" formatCode="_(* #,##0.00_);_(* \(#,##0.00\);_(* &quot;-&quot;??_);_(@_)"/>
    <numFmt numFmtId="164" formatCode="_-* #,##0.00_-;\-* #,##0.00_-;_-* &quot;-&quot;??_-;_-@"/>
    <numFmt numFmtId="165" formatCode="_-* #,##0_-;\-* #,##0_-;_-* &quot;-&quot;??_-;_-@"/>
    <numFmt numFmtId="166" formatCode="[$-409]mmm\-yy"/>
    <numFmt numFmtId="167" formatCode="_(* #,##0_);_(* \(#,##0\);_(* &quot;-&quot;??_);_(@_)"/>
    <numFmt numFmtId="168" formatCode="_(* #,##0.00_);_(* \(#,##0.00\);_(* &quot;-&quot;_);_(@_)"/>
  </numFmts>
  <fonts count="26">
    <font>
      <sz val="12"/>
      <color theme="1"/>
      <name val="Arial"/>
      <scheme val="minor"/>
    </font>
    <font>
      <sz val="10"/>
      <color theme="1"/>
      <name val="Arial"/>
      <scheme val="minor"/>
    </font>
    <font>
      <b/>
      <sz val="14"/>
      <color theme="1"/>
      <name val="Arial"/>
      <scheme val="minor"/>
    </font>
    <font>
      <sz val="10"/>
      <color rgb="FF666666"/>
      <name val="Arial"/>
      <scheme val="minor"/>
    </font>
    <font>
      <sz val="10"/>
      <color rgb="FF000000"/>
      <name val="Arial"/>
      <scheme val="minor"/>
    </font>
    <font>
      <b/>
      <sz val="10"/>
      <color theme="1"/>
      <name val="Arial"/>
      <scheme val="minor"/>
    </font>
    <font>
      <sz val="10"/>
      <color rgb="FF000000"/>
      <name val="Arial"/>
    </font>
    <font>
      <u/>
      <sz val="10"/>
      <color rgb="FF0000FF"/>
      <name val="Arial"/>
    </font>
    <font>
      <b/>
      <sz val="12"/>
      <color theme="1"/>
      <name val="Arial"/>
      <scheme val="minor"/>
    </font>
    <font>
      <i/>
      <sz val="10"/>
      <color rgb="FF000000"/>
      <name val="&quot;Avenir Book&quot;"/>
    </font>
    <font>
      <u/>
      <sz val="10"/>
      <color rgb="FF1155CC"/>
      <name val="Arial"/>
    </font>
    <font>
      <sz val="10"/>
      <color rgb="FF000000"/>
      <name val="&quot;Avenir Book&quot;"/>
    </font>
    <font>
      <sz val="10"/>
      <color rgb="FF666666"/>
      <name val="Arial"/>
    </font>
    <font>
      <sz val="10"/>
      <color rgb="FF0000FF"/>
      <name val="Arial"/>
      <scheme val="minor"/>
    </font>
    <font>
      <sz val="10"/>
      <color theme="1"/>
      <name val="Arial"/>
    </font>
    <font>
      <i/>
      <sz val="10"/>
      <color theme="1"/>
      <name val="Arial"/>
    </font>
    <font>
      <b/>
      <sz val="10"/>
      <color theme="1"/>
      <name val="Arial"/>
    </font>
    <font>
      <sz val="10"/>
      <color rgb="FF7F7F7F"/>
      <name val="Arial"/>
    </font>
    <font>
      <b/>
      <sz val="14"/>
      <color theme="1"/>
      <name val="Arial"/>
    </font>
    <font>
      <sz val="10"/>
      <color rgb="FF0000FF"/>
      <name val="Arial"/>
    </font>
    <font>
      <sz val="8"/>
      <color theme="1"/>
      <name val="Arial"/>
    </font>
    <font>
      <u/>
      <sz val="10"/>
      <color rgb="FF0000FF"/>
      <name val="Arial"/>
    </font>
    <font>
      <u/>
      <sz val="10"/>
      <color rgb="FF1155CC"/>
      <name val="Arial"/>
    </font>
    <font>
      <u/>
      <sz val="10"/>
      <color rgb="FF0000FF"/>
      <name val="Arial"/>
    </font>
    <font>
      <sz val="10"/>
      <name val="Arial"/>
    </font>
    <font>
      <sz val="10"/>
      <color rgb="FF000000"/>
      <name val="Arial"/>
      <family val="2"/>
      <scheme val="minor"/>
    </font>
  </fonts>
  <fills count="3">
    <fill>
      <patternFill patternType="none"/>
    </fill>
    <fill>
      <patternFill patternType="gray125"/>
    </fill>
    <fill>
      <patternFill patternType="solid">
        <fgColor rgb="FFF2F2F2"/>
        <bgColor rgb="FFF2F2F2"/>
      </patternFill>
    </fill>
  </fills>
  <borders count="4">
    <border>
      <left/>
      <right/>
      <top/>
      <bottom/>
      <diagonal/>
    </border>
    <border>
      <left/>
      <right/>
      <top/>
      <bottom/>
      <diagonal/>
    </border>
    <border>
      <left/>
      <right/>
      <top/>
      <bottom style="thin">
        <color rgb="FF000000"/>
      </bottom>
      <diagonal/>
    </border>
    <border>
      <left/>
      <right/>
      <top/>
      <bottom style="thin">
        <color rgb="FF000000"/>
      </bottom>
      <diagonal/>
    </border>
  </borders>
  <cellStyleXfs count="1">
    <xf numFmtId="0" fontId="0" fillId="0" borderId="0"/>
  </cellStyleXfs>
  <cellXfs count="7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top" wrapText="1"/>
    </xf>
    <xf numFmtId="0" fontId="4" fillId="0" borderId="0" xfId="0" applyFont="1" applyAlignment="1">
      <alignment wrapText="1"/>
    </xf>
    <xf numFmtId="0" fontId="6" fillId="0" borderId="0" xfId="0" applyFont="1" applyAlignment="1">
      <alignment vertical="top" wrapText="1"/>
    </xf>
    <xf numFmtId="0" fontId="1"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1" fillId="0" borderId="0" xfId="0" applyFont="1" applyAlignment="1">
      <alignment vertical="top"/>
    </xf>
    <xf numFmtId="0" fontId="4" fillId="0" borderId="0" xfId="0" applyFont="1" applyAlignment="1">
      <alignment vertical="top"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164" fontId="1" fillId="0" borderId="0" xfId="0" applyNumberFormat="1" applyFont="1"/>
    <xf numFmtId="164" fontId="1" fillId="0" borderId="0" xfId="0" applyNumberFormat="1" applyFont="1" applyAlignment="1">
      <alignment horizontal="center"/>
    </xf>
    <xf numFmtId="0" fontId="1" fillId="0" borderId="0" xfId="0" applyFont="1" applyAlignment="1">
      <alignment wrapText="1"/>
    </xf>
    <xf numFmtId="164" fontId="2" fillId="0" borderId="0" xfId="0" applyNumberFormat="1" applyFont="1"/>
    <xf numFmtId="164" fontId="5" fillId="0" borderId="0" xfId="0" applyNumberFormat="1" applyFont="1" applyAlignment="1">
      <alignment horizontal="center"/>
    </xf>
    <xf numFmtId="0" fontId="12" fillId="0" borderId="0" xfId="0" applyFont="1"/>
    <xf numFmtId="165" fontId="13" fillId="2" borderId="1" xfId="0" applyNumberFormat="1" applyFont="1" applyFill="1" applyBorder="1" applyAlignment="1">
      <alignment horizontal="right"/>
    </xf>
    <xf numFmtId="164" fontId="14" fillId="0" borderId="0" xfId="0" applyNumberFormat="1" applyFont="1"/>
    <xf numFmtId="17" fontId="13" fillId="2" borderId="1" xfId="0" applyNumberFormat="1" applyFont="1" applyFill="1" applyBorder="1"/>
    <xf numFmtId="164" fontId="15" fillId="0" borderId="0" xfId="0" applyNumberFormat="1" applyFont="1"/>
    <xf numFmtId="0" fontId="14" fillId="0" borderId="0" xfId="0" applyFont="1"/>
    <xf numFmtId="164" fontId="16" fillId="0" borderId="0" xfId="0" applyNumberFormat="1" applyFont="1"/>
    <xf numFmtId="164" fontId="17" fillId="0" borderId="0" xfId="0" applyNumberFormat="1" applyFont="1"/>
    <xf numFmtId="164" fontId="14" fillId="0" borderId="0" xfId="0" applyNumberFormat="1" applyFont="1" applyAlignment="1">
      <alignment horizontal="center"/>
    </xf>
    <xf numFmtId="164" fontId="14" fillId="0" borderId="0" xfId="0" applyNumberFormat="1" applyFont="1" applyAlignment="1">
      <alignment horizontal="left"/>
    </xf>
    <xf numFmtId="164" fontId="18" fillId="0" borderId="0" xfId="0" applyNumberFormat="1" applyFont="1"/>
    <xf numFmtId="164" fontId="14" fillId="0" borderId="2" xfId="0" applyNumberFormat="1" applyFont="1" applyBorder="1"/>
    <xf numFmtId="164" fontId="14" fillId="0" borderId="2" xfId="0" applyNumberFormat="1" applyFont="1" applyBorder="1" applyAlignment="1">
      <alignment horizontal="center"/>
    </xf>
    <xf numFmtId="164" fontId="14" fillId="0" borderId="2" xfId="0" applyNumberFormat="1" applyFont="1" applyBorder="1" applyAlignment="1">
      <alignment horizontal="left"/>
    </xf>
    <xf numFmtId="17" fontId="14" fillId="0" borderId="2" xfId="0" applyNumberFormat="1" applyFont="1" applyBorder="1"/>
    <xf numFmtId="166" fontId="14" fillId="0" borderId="2" xfId="0" applyNumberFormat="1" applyFont="1" applyBorder="1"/>
    <xf numFmtId="165" fontId="14" fillId="0" borderId="0" xfId="0" applyNumberFormat="1" applyFont="1"/>
    <xf numFmtId="0" fontId="14" fillId="0" borderId="0" xfId="0" applyFont="1" applyAlignment="1">
      <alignment horizontal="center"/>
    </xf>
    <xf numFmtId="0" fontId="14" fillId="0" borderId="0" xfId="0" applyFont="1" applyAlignment="1">
      <alignment horizontal="right"/>
    </xf>
    <xf numFmtId="164" fontId="16" fillId="0" borderId="0" xfId="0" applyNumberFormat="1" applyFont="1" applyAlignment="1">
      <alignment horizontal="left"/>
    </xf>
    <xf numFmtId="167" fontId="14" fillId="0" borderId="0" xfId="0" applyNumberFormat="1" applyFont="1" applyAlignment="1">
      <alignment horizontal="right"/>
    </xf>
    <xf numFmtId="43" fontId="14" fillId="0" borderId="0" xfId="0" applyNumberFormat="1" applyFont="1" applyAlignment="1">
      <alignment horizontal="right"/>
    </xf>
    <xf numFmtId="167" fontId="14" fillId="0" borderId="0" xfId="0" applyNumberFormat="1" applyFont="1"/>
    <xf numFmtId="41" fontId="14" fillId="0" borderId="0" xfId="0" applyNumberFormat="1" applyFont="1" applyAlignment="1">
      <alignment horizontal="left"/>
    </xf>
    <xf numFmtId="41" fontId="14" fillId="0" borderId="0" xfId="0" applyNumberFormat="1" applyFont="1"/>
    <xf numFmtId="0" fontId="14" fillId="0" borderId="0" xfId="0" applyFont="1" applyAlignment="1">
      <alignment horizontal="left" wrapText="1"/>
    </xf>
    <xf numFmtId="41" fontId="19" fillId="2" borderId="3" xfId="0" applyNumberFormat="1" applyFont="1" applyFill="1" applyBorder="1" applyAlignment="1">
      <alignment horizontal="left" wrapText="1"/>
    </xf>
    <xf numFmtId="2" fontId="14" fillId="0" borderId="2" xfId="0" applyNumberFormat="1" applyFont="1" applyBorder="1" applyAlignment="1">
      <alignment horizontal="center" wrapText="1"/>
    </xf>
    <xf numFmtId="41" fontId="14" fillId="0" borderId="2" xfId="0" applyNumberFormat="1" applyFont="1" applyBorder="1" applyAlignment="1">
      <alignment horizontal="center" wrapText="1"/>
    </xf>
    <xf numFmtId="164" fontId="14" fillId="0" borderId="2" xfId="0" applyNumberFormat="1" applyFont="1" applyBorder="1" applyAlignment="1">
      <alignment horizontal="center" wrapText="1"/>
    </xf>
    <xf numFmtId="164" fontId="20" fillId="0" borderId="0" xfId="0" applyNumberFormat="1" applyFont="1" applyAlignment="1">
      <alignment horizontal="center" vertical="top"/>
    </xf>
    <xf numFmtId="41" fontId="19" fillId="2" borderId="1" xfId="0" applyNumberFormat="1" applyFont="1" applyFill="1" applyBorder="1"/>
    <xf numFmtId="9" fontId="19" fillId="2" borderId="1" xfId="0" applyNumberFormat="1" applyFont="1" applyFill="1" applyBorder="1"/>
    <xf numFmtId="165" fontId="19" fillId="2" borderId="1" xfId="0" applyNumberFormat="1" applyFont="1" applyFill="1" applyBorder="1"/>
    <xf numFmtId="166" fontId="19" fillId="2" borderId="1" xfId="0" applyNumberFormat="1" applyFont="1" applyFill="1" applyBorder="1" applyAlignment="1">
      <alignment horizontal="right"/>
    </xf>
    <xf numFmtId="41" fontId="14" fillId="0" borderId="0" xfId="0" applyNumberFormat="1" applyFont="1" applyAlignment="1">
      <alignment horizontal="center"/>
    </xf>
    <xf numFmtId="168" fontId="19" fillId="2" borderId="1" xfId="0" applyNumberFormat="1" applyFont="1" applyFill="1" applyBorder="1"/>
    <xf numFmtId="0" fontId="14" fillId="0" borderId="0" xfId="0" applyFont="1" applyAlignment="1">
      <alignment horizontal="left"/>
    </xf>
    <xf numFmtId="165" fontId="19" fillId="2" borderId="1" xfId="0" applyNumberFormat="1" applyFont="1" applyFill="1" applyBorder="1" applyAlignment="1">
      <alignment horizontal="center"/>
    </xf>
    <xf numFmtId="0" fontId="1" fillId="0" borderId="0" xfId="0" applyFont="1" applyAlignment="1">
      <alignment horizontal="left"/>
    </xf>
    <xf numFmtId="0" fontId="1" fillId="0" borderId="0" xfId="0" applyFont="1" applyAlignment="1">
      <alignment horizontal="center"/>
    </xf>
    <xf numFmtId="0" fontId="1" fillId="0" borderId="2" xfId="0" applyFont="1" applyBorder="1" applyAlignment="1">
      <alignment wrapText="1"/>
    </xf>
    <xf numFmtId="0" fontId="1" fillId="0" borderId="2" xfId="0" applyFont="1" applyBorder="1" applyAlignment="1">
      <alignment horizontal="left" wrapText="1"/>
    </xf>
    <xf numFmtId="0" fontId="1" fillId="0" borderId="2" xfId="0" applyFont="1" applyBorder="1" applyAlignment="1">
      <alignment horizontal="center" wrapText="1"/>
    </xf>
    <xf numFmtId="0" fontId="1" fillId="0" borderId="0" xfId="0" applyFont="1" applyAlignment="1">
      <alignment horizontal="left" vertical="top" wrapText="1"/>
    </xf>
    <xf numFmtId="0" fontId="1" fillId="0" borderId="0" xfId="0" applyFont="1" applyAlignment="1">
      <alignment horizontal="center" vertical="top" wrapText="1"/>
    </xf>
    <xf numFmtId="0" fontId="21" fillId="0" borderId="0" xfId="0" applyFont="1" applyAlignment="1">
      <alignment vertical="top"/>
    </xf>
    <xf numFmtId="0" fontId="1" fillId="0" borderId="0" xfId="0" applyFont="1" applyAlignment="1">
      <alignment horizontal="center" vertical="center" wrapText="1"/>
    </xf>
    <xf numFmtId="0" fontId="22" fillId="0" borderId="0" xfId="0" applyFont="1" applyAlignment="1">
      <alignment vertical="top"/>
    </xf>
    <xf numFmtId="0" fontId="23" fillId="0" borderId="0" xfId="0" applyFont="1" applyAlignment="1">
      <alignment vertical="top"/>
    </xf>
    <xf numFmtId="0" fontId="18" fillId="0" borderId="0" xfId="0" applyFont="1"/>
    <xf numFmtId="0" fontId="16" fillId="0" borderId="0" xfId="0" applyFont="1"/>
    <xf numFmtId="0" fontId="14" fillId="0" borderId="0" xfId="0" applyFont="1" applyAlignment="1">
      <alignment wrapText="1"/>
    </xf>
    <xf numFmtId="0" fontId="16" fillId="0" borderId="0" xfId="0" applyFont="1" applyAlignment="1">
      <alignment wrapText="1"/>
    </xf>
    <xf numFmtId="0" fontId="25" fillId="0" borderId="0" xfId="0" applyFont="1" applyAlignment="1">
      <alignment vertical="top" wrapText="1"/>
    </xf>
  </cellXfs>
  <cellStyles count="1">
    <cellStyle name="Normal" xfId="0" builtinId="0"/>
  </cellStyles>
  <dxfs count="9">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D0E0E3"/>
          <bgColor rgb="FFD0E0E3"/>
        </patternFill>
      </fill>
    </dxf>
    <dxf>
      <fill>
        <patternFill patternType="solid">
          <fgColor rgb="FFFFFFFF"/>
          <bgColor rgb="FFFFFFFF"/>
        </patternFill>
      </fill>
    </dxf>
    <dxf>
      <fill>
        <patternFill patternType="solid">
          <fgColor rgb="FFD0E0E3"/>
          <bgColor rgb="FFD0E0E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s>
  <tableStyles count="3">
    <tableStyle name="README-style" pivot="0" count="3" xr9:uid="{00000000-0011-0000-FFFF-FFFF00000000}">
      <tableStyleElement type="headerRow" dxfId="8"/>
      <tableStyleElement type="firstRowStripe" dxfId="7"/>
      <tableStyleElement type="secondRowStripe" dxfId="6"/>
    </tableStyle>
    <tableStyle name="README-style 2" pivot="0" count="3" xr9:uid="{00000000-0011-0000-FFFF-FFFF01000000}">
      <tableStyleElement type="headerRow" dxfId="5"/>
      <tableStyleElement type="firstRowStripe" dxfId="4"/>
      <tableStyleElement type="secondRowStripe" dxfId="3"/>
    </tableStyle>
    <tableStyle name="Model Comparison-style" pivot="0" count="3" xr9:uid="{00000000-0011-0000-FFFF-FFFF02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 New Clients </c:v>
          </c:tx>
          <c:spPr>
            <a:ln w="76200" cmpd="sng">
              <a:solidFill>
                <a:srgbClr val="4285F4"/>
              </a:solidFill>
            </a:ln>
          </c:spPr>
          <c:marker>
            <c:symbol val="none"/>
          </c:marker>
          <c:cat>
            <c:numRef>
              <c:f>Forecast!$W$4:$BS$4</c:f>
              <c:numCache>
                <c:formatCode>[$-409]mmm\-yy</c:formatCode>
                <c:ptCount val="49"/>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pt idx="36">
                  <c:v>46053</c:v>
                </c:pt>
                <c:pt idx="37">
                  <c:v>46081</c:v>
                </c:pt>
                <c:pt idx="38">
                  <c:v>46112</c:v>
                </c:pt>
                <c:pt idx="39">
                  <c:v>46142</c:v>
                </c:pt>
                <c:pt idx="40">
                  <c:v>46173</c:v>
                </c:pt>
                <c:pt idx="41">
                  <c:v>46203</c:v>
                </c:pt>
                <c:pt idx="42">
                  <c:v>46234</c:v>
                </c:pt>
                <c:pt idx="43">
                  <c:v>46265</c:v>
                </c:pt>
                <c:pt idx="44">
                  <c:v>46295</c:v>
                </c:pt>
                <c:pt idx="45">
                  <c:v>46326</c:v>
                </c:pt>
                <c:pt idx="46">
                  <c:v>46356</c:v>
                </c:pt>
                <c:pt idx="47">
                  <c:v>46387</c:v>
                </c:pt>
                <c:pt idx="48">
                  <c:v>46418</c:v>
                </c:pt>
              </c:numCache>
            </c:numRef>
          </c:cat>
          <c:val>
            <c:numRef>
              <c:f>Forecast!$W$33:$BS$33</c:f>
              <c:numCache>
                <c:formatCode>_(* #,##0_);_(* \(#,##0\);_(* "-"_);_(@_)</c:formatCode>
                <c:ptCount val="49"/>
                <c:pt idx="0">
                  <c:v>1</c:v>
                </c:pt>
                <c:pt idx="1">
                  <c:v>1</c:v>
                </c:pt>
                <c:pt idx="2">
                  <c:v>1</c:v>
                </c:pt>
                <c:pt idx="3">
                  <c:v>1</c:v>
                </c:pt>
                <c:pt idx="4">
                  <c:v>1</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0-FB69-A74B-B7B7-027A0D1405C5}"/>
            </c:ext>
          </c:extLst>
        </c:ser>
        <c:ser>
          <c:idx val="1"/>
          <c:order val="1"/>
          <c:tx>
            <c:v> Clients, end of period </c:v>
          </c:tx>
          <c:spPr>
            <a:ln w="76200" cmpd="sng">
              <a:solidFill>
                <a:srgbClr val="EA4335"/>
              </a:solidFill>
            </a:ln>
          </c:spPr>
          <c:marker>
            <c:symbol val="none"/>
          </c:marker>
          <c:cat>
            <c:numRef>
              <c:f>Forecast!$W$4:$BS$4</c:f>
              <c:numCache>
                <c:formatCode>[$-409]mmm\-yy</c:formatCode>
                <c:ptCount val="49"/>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pt idx="36">
                  <c:v>46053</c:v>
                </c:pt>
                <c:pt idx="37">
                  <c:v>46081</c:v>
                </c:pt>
                <c:pt idx="38">
                  <c:v>46112</c:v>
                </c:pt>
                <c:pt idx="39">
                  <c:v>46142</c:v>
                </c:pt>
                <c:pt idx="40">
                  <c:v>46173</c:v>
                </c:pt>
                <c:pt idx="41">
                  <c:v>46203</c:v>
                </c:pt>
                <c:pt idx="42">
                  <c:v>46234</c:v>
                </c:pt>
                <c:pt idx="43">
                  <c:v>46265</c:v>
                </c:pt>
                <c:pt idx="44">
                  <c:v>46295</c:v>
                </c:pt>
                <c:pt idx="45">
                  <c:v>46326</c:v>
                </c:pt>
                <c:pt idx="46">
                  <c:v>46356</c:v>
                </c:pt>
                <c:pt idx="47">
                  <c:v>46387</c:v>
                </c:pt>
                <c:pt idx="48">
                  <c:v>46418</c:v>
                </c:pt>
              </c:numCache>
            </c:numRef>
          </c:cat>
          <c:val>
            <c:numRef>
              <c:f>Forecast!$W$34:$BS$34</c:f>
              <c:numCache>
                <c:formatCode>_(* #,##0_);_(* \(#,##0\);_(* "-"_);_(@_)</c:formatCode>
                <c:ptCount val="49"/>
                <c:pt idx="0">
                  <c:v>1</c:v>
                </c:pt>
                <c:pt idx="1">
                  <c:v>2</c:v>
                </c:pt>
                <c:pt idx="2">
                  <c:v>3</c:v>
                </c:pt>
                <c:pt idx="3">
                  <c:v>4</c:v>
                </c:pt>
                <c:pt idx="4">
                  <c:v>5</c:v>
                </c:pt>
                <c:pt idx="5">
                  <c:v>5</c:v>
                </c:pt>
                <c:pt idx="6">
                  <c:v>5</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4</c:v>
                </c:pt>
                <c:pt idx="28">
                  <c:v>4</c:v>
                </c:pt>
                <c:pt idx="29">
                  <c:v>4</c:v>
                </c:pt>
                <c:pt idx="30">
                  <c:v>4</c:v>
                </c:pt>
                <c:pt idx="31">
                  <c:v>4</c:v>
                </c:pt>
                <c:pt idx="32">
                  <c:v>4</c:v>
                </c:pt>
                <c:pt idx="33">
                  <c:v>4</c:v>
                </c:pt>
                <c:pt idx="34">
                  <c:v>4</c:v>
                </c:pt>
                <c:pt idx="35">
                  <c:v>4</c:v>
                </c:pt>
                <c:pt idx="36">
                  <c:v>4</c:v>
                </c:pt>
                <c:pt idx="37">
                  <c:v>4</c:v>
                </c:pt>
                <c:pt idx="38">
                  <c:v>4</c:v>
                </c:pt>
                <c:pt idx="39">
                  <c:v>4</c:v>
                </c:pt>
                <c:pt idx="40">
                  <c:v>4</c:v>
                </c:pt>
                <c:pt idx="41">
                  <c:v>4</c:v>
                </c:pt>
                <c:pt idx="42">
                  <c:v>4</c:v>
                </c:pt>
                <c:pt idx="43">
                  <c:v>4</c:v>
                </c:pt>
                <c:pt idx="44">
                  <c:v>4</c:v>
                </c:pt>
                <c:pt idx="45">
                  <c:v>4</c:v>
                </c:pt>
                <c:pt idx="46">
                  <c:v>4</c:v>
                </c:pt>
                <c:pt idx="47">
                  <c:v>4</c:v>
                </c:pt>
                <c:pt idx="48">
                  <c:v>4</c:v>
                </c:pt>
              </c:numCache>
            </c:numRef>
          </c:val>
          <c:smooth val="0"/>
          <c:extLst>
            <c:ext xmlns:c16="http://schemas.microsoft.com/office/drawing/2014/chart" uri="{C3380CC4-5D6E-409C-BE32-E72D297353CC}">
              <c16:uniqueId val="{00000001-FB69-A74B-B7B7-027A0D1405C5}"/>
            </c:ext>
          </c:extLst>
        </c:ser>
        <c:dLbls>
          <c:showLegendKey val="0"/>
          <c:showVal val="0"/>
          <c:showCatName val="0"/>
          <c:showSerName val="0"/>
          <c:showPercent val="0"/>
          <c:showBubbleSize val="0"/>
        </c:dLbls>
        <c:smooth val="0"/>
        <c:axId val="167277303"/>
        <c:axId val="1227692559"/>
      </c:lineChart>
      <c:dateAx>
        <c:axId val="167277303"/>
        <c:scaling>
          <c:orientation val="minMax"/>
        </c:scaling>
        <c:delete val="0"/>
        <c:axPos val="b"/>
        <c:title>
          <c:tx>
            <c:rich>
              <a:bodyPr/>
              <a:lstStyle/>
              <a:p>
                <a:pPr lvl="0">
                  <a:defRPr b="0">
                    <a:solidFill>
                      <a:srgbClr val="000000"/>
                    </a:solidFill>
                    <a:latin typeface="+mn-lt"/>
                  </a:defRPr>
                </a:pPr>
                <a:endParaRPr/>
              </a:p>
            </c:rich>
          </c:tx>
          <c:overlay val="0"/>
        </c:title>
        <c:numFmt formatCode="[$-409]mmm\-yy" sourceLinked="1"/>
        <c:majorTickMark val="none"/>
        <c:minorTickMark val="none"/>
        <c:tickLblPos val="nextTo"/>
        <c:txPr>
          <a:bodyPr/>
          <a:lstStyle/>
          <a:p>
            <a:pPr lvl="0">
              <a:defRPr sz="900" b="0" i="0">
                <a:solidFill>
                  <a:srgbClr val="000000"/>
                </a:solidFill>
                <a:latin typeface="+mn-lt"/>
              </a:defRPr>
            </a:pPr>
            <a:endParaRPr lang="en-US"/>
          </a:p>
        </c:txPr>
        <c:crossAx val="1227692559"/>
        <c:crosses val="autoZero"/>
        <c:auto val="1"/>
        <c:lblOffset val="100"/>
        <c:baseTimeUnit val="months"/>
      </c:dateAx>
      <c:valAx>
        <c:axId val="122769255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0"/>
        <c:majorTickMark val="none"/>
        <c:minorTickMark val="none"/>
        <c:tickLblPos val="nextTo"/>
        <c:spPr>
          <a:ln/>
        </c:spPr>
        <c:txPr>
          <a:bodyPr/>
          <a:lstStyle/>
          <a:p>
            <a:pPr lvl="0">
              <a:defRPr sz="900" b="0" i="0">
                <a:solidFill>
                  <a:srgbClr val="000000"/>
                </a:solidFill>
                <a:latin typeface="+mn-lt"/>
              </a:defRPr>
            </a:pPr>
            <a:endParaRPr lang="en-US"/>
          </a:p>
        </c:txPr>
        <c:crossAx val="167277303"/>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 Deferred Revenues, end of period </c:v>
          </c:tx>
          <c:spPr>
            <a:solidFill>
              <a:srgbClr val="4285F4"/>
            </a:solidFill>
            <a:ln cmpd="sng">
              <a:solidFill>
                <a:srgbClr val="000000"/>
              </a:solidFill>
            </a:ln>
          </c:spPr>
          <c:invertIfNegative val="1"/>
          <c:cat>
            <c:numRef>
              <c:f>Forecast!$W$4:$BS$4</c:f>
              <c:numCache>
                <c:formatCode>[$-409]mmm\-yy</c:formatCode>
                <c:ptCount val="49"/>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pt idx="36">
                  <c:v>46053</c:v>
                </c:pt>
                <c:pt idx="37">
                  <c:v>46081</c:v>
                </c:pt>
                <c:pt idx="38">
                  <c:v>46112</c:v>
                </c:pt>
                <c:pt idx="39">
                  <c:v>46142</c:v>
                </c:pt>
                <c:pt idx="40">
                  <c:v>46173</c:v>
                </c:pt>
                <c:pt idx="41">
                  <c:v>46203</c:v>
                </c:pt>
                <c:pt idx="42">
                  <c:v>46234</c:v>
                </c:pt>
                <c:pt idx="43">
                  <c:v>46265</c:v>
                </c:pt>
                <c:pt idx="44">
                  <c:v>46295</c:v>
                </c:pt>
                <c:pt idx="45">
                  <c:v>46326</c:v>
                </c:pt>
                <c:pt idx="46">
                  <c:v>46356</c:v>
                </c:pt>
                <c:pt idx="47">
                  <c:v>46387</c:v>
                </c:pt>
                <c:pt idx="48">
                  <c:v>46418</c:v>
                </c:pt>
              </c:numCache>
            </c:numRef>
          </c:cat>
          <c:val>
            <c:numRef>
              <c:f>Forecast!$W$44:$BS$44</c:f>
              <c:numCache>
                <c:formatCode>_(* #,##0_);_(* \(#,##0\);_(* "-"_);_(@_)</c:formatCode>
                <c:ptCount val="49"/>
                <c:pt idx="0">
                  <c:v>133.33333333333331</c:v>
                </c:pt>
                <c:pt idx="1">
                  <c:v>133.33333333333331</c:v>
                </c:pt>
                <c:pt idx="2">
                  <c:v>94.444444444444414</c:v>
                </c:pt>
                <c:pt idx="3">
                  <c:v>422.22222222222223</c:v>
                </c:pt>
                <c:pt idx="4">
                  <c:v>366.66666666666669</c:v>
                </c:pt>
                <c:pt idx="5">
                  <c:v>111.11111111111114</c:v>
                </c:pt>
                <c:pt idx="6">
                  <c:v>672.22222222222217</c:v>
                </c:pt>
                <c:pt idx="7">
                  <c:v>616.66666666666663</c:v>
                </c:pt>
                <c:pt idx="8">
                  <c:v>161.11111111111109</c:v>
                </c:pt>
                <c:pt idx="9">
                  <c:v>1188.8888888888887</c:v>
                </c:pt>
                <c:pt idx="10">
                  <c:v>1133.333333333333</c:v>
                </c:pt>
                <c:pt idx="11">
                  <c:v>277.77777777777749</c:v>
                </c:pt>
                <c:pt idx="12">
                  <c:v>2238.8888888888882</c:v>
                </c:pt>
                <c:pt idx="13">
                  <c:v>2183.3333333333326</c:v>
                </c:pt>
                <c:pt idx="14">
                  <c:v>594.44444444444343</c:v>
                </c:pt>
                <c:pt idx="15">
                  <c:v>4422.2222222222208</c:v>
                </c:pt>
                <c:pt idx="16">
                  <c:v>4366.6666666666652</c:v>
                </c:pt>
                <c:pt idx="17">
                  <c:v>1111.1111111111095</c:v>
                </c:pt>
                <c:pt idx="18">
                  <c:v>8672.222222222219</c:v>
                </c:pt>
                <c:pt idx="19">
                  <c:v>8616.6666666666642</c:v>
                </c:pt>
                <c:pt idx="20">
                  <c:v>2161.1111111111086</c:v>
                </c:pt>
                <c:pt idx="21">
                  <c:v>17188.888888888887</c:v>
                </c:pt>
                <c:pt idx="22">
                  <c:v>17133.333333333332</c:v>
                </c:pt>
                <c:pt idx="23">
                  <c:v>4277.7777777777774</c:v>
                </c:pt>
                <c:pt idx="24">
                  <c:v>34238.888888888891</c:v>
                </c:pt>
                <c:pt idx="25">
                  <c:v>34183.333333333336</c:v>
                </c:pt>
                <c:pt idx="26">
                  <c:v>8594.4444444444453</c:v>
                </c:pt>
                <c:pt idx="27">
                  <c:v>68422.222222222219</c:v>
                </c:pt>
                <c:pt idx="28">
                  <c:v>68366.666666666657</c:v>
                </c:pt>
                <c:pt idx="29">
                  <c:v>17111.111111111102</c:v>
                </c:pt>
                <c:pt idx="30">
                  <c:v>136672.22222222219</c:v>
                </c:pt>
                <c:pt idx="31">
                  <c:v>136616.66666666663</c:v>
                </c:pt>
                <c:pt idx="32">
                  <c:v>34161.111111111066</c:v>
                </c:pt>
                <c:pt idx="33">
                  <c:v>273188.88888888882</c:v>
                </c:pt>
                <c:pt idx="34">
                  <c:v>273133.33333333326</c:v>
                </c:pt>
                <c:pt idx="35">
                  <c:v>68277.777777777694</c:v>
                </c:pt>
                <c:pt idx="36">
                  <c:v>546238.88888888876</c:v>
                </c:pt>
                <c:pt idx="37">
                  <c:v>546183.33333333326</c:v>
                </c:pt>
                <c:pt idx="38">
                  <c:v>136563.88888888888</c:v>
                </c:pt>
                <c:pt idx="39">
                  <c:v>1092394.4444444445</c:v>
                </c:pt>
                <c:pt idx="40">
                  <c:v>1092341.6666666667</c:v>
                </c:pt>
                <c:pt idx="41">
                  <c:v>273088.88888888899</c:v>
                </c:pt>
                <c:pt idx="42">
                  <c:v>2184652.777777778</c:v>
                </c:pt>
                <c:pt idx="43">
                  <c:v>2184600</c:v>
                </c:pt>
                <c:pt idx="44">
                  <c:v>546147.22222222225</c:v>
                </c:pt>
                <c:pt idx="45">
                  <c:v>4369177.7777777771</c:v>
                </c:pt>
                <c:pt idx="46">
                  <c:v>4369124.9999999991</c:v>
                </c:pt>
                <c:pt idx="47">
                  <c:v>1092272.2222222211</c:v>
                </c:pt>
                <c:pt idx="48">
                  <c:v>8738236.1111111082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D5B-E645-BEC3-3E4594F892EC}"/>
            </c:ext>
          </c:extLst>
        </c:ser>
        <c:dLbls>
          <c:showLegendKey val="0"/>
          <c:showVal val="0"/>
          <c:showCatName val="0"/>
          <c:showSerName val="0"/>
          <c:showPercent val="0"/>
          <c:showBubbleSize val="0"/>
        </c:dLbls>
        <c:gapWidth val="150"/>
        <c:axId val="942190143"/>
        <c:axId val="1758726934"/>
      </c:barChart>
      <c:lineChart>
        <c:grouping val="standard"/>
        <c:varyColors val="0"/>
        <c:ser>
          <c:idx val="1"/>
          <c:order val="1"/>
          <c:tx>
            <c:v> Revenues </c:v>
          </c:tx>
          <c:spPr>
            <a:ln w="76200" cmpd="sng">
              <a:solidFill>
                <a:srgbClr val="EA4335"/>
              </a:solidFill>
            </a:ln>
          </c:spPr>
          <c:marker>
            <c:symbol val="none"/>
          </c:marker>
          <c:cat>
            <c:numRef>
              <c:f>Forecast!$W$4:$BS$4</c:f>
              <c:numCache>
                <c:formatCode>[$-409]mmm\-yy</c:formatCode>
                <c:ptCount val="49"/>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pt idx="36">
                  <c:v>46053</c:v>
                </c:pt>
                <c:pt idx="37">
                  <c:v>46081</c:v>
                </c:pt>
                <c:pt idx="38">
                  <c:v>46112</c:v>
                </c:pt>
                <c:pt idx="39">
                  <c:v>46142</c:v>
                </c:pt>
                <c:pt idx="40">
                  <c:v>46173</c:v>
                </c:pt>
                <c:pt idx="41">
                  <c:v>46203</c:v>
                </c:pt>
                <c:pt idx="42">
                  <c:v>46234</c:v>
                </c:pt>
                <c:pt idx="43">
                  <c:v>46265</c:v>
                </c:pt>
                <c:pt idx="44">
                  <c:v>46295</c:v>
                </c:pt>
                <c:pt idx="45">
                  <c:v>46326</c:v>
                </c:pt>
                <c:pt idx="46">
                  <c:v>46356</c:v>
                </c:pt>
                <c:pt idx="47">
                  <c:v>46387</c:v>
                </c:pt>
                <c:pt idx="48">
                  <c:v>46418</c:v>
                </c:pt>
              </c:numCache>
            </c:numRef>
          </c:cat>
          <c:val>
            <c:numRef>
              <c:f>Forecast!$W$38:$BS$38</c:f>
              <c:numCache>
                <c:formatCode>_(* #,##0_);_(* \(#,##0\);_(* "-"_);_(@_)</c:formatCode>
                <c:ptCount val="49"/>
                <c:pt idx="0">
                  <c:v>66.666666666666671</c:v>
                </c:pt>
                <c:pt idx="1">
                  <c:v>100</c:v>
                </c:pt>
                <c:pt idx="2">
                  <c:v>105.55555555555556</c:v>
                </c:pt>
                <c:pt idx="3">
                  <c:v>222.22222222222223</c:v>
                </c:pt>
                <c:pt idx="4">
                  <c:v>272.22222222222223</c:v>
                </c:pt>
                <c:pt idx="5">
                  <c:v>272.22222222222223</c:v>
                </c:pt>
                <c:pt idx="6">
                  <c:v>405.5555555555556</c:v>
                </c:pt>
                <c:pt idx="7">
                  <c:v>455.55555555555554</c:v>
                </c:pt>
                <c:pt idx="8">
                  <c:v>455.55555555555554</c:v>
                </c:pt>
                <c:pt idx="9">
                  <c:v>722.22222222222229</c:v>
                </c:pt>
                <c:pt idx="10">
                  <c:v>855.55555555555554</c:v>
                </c:pt>
                <c:pt idx="11">
                  <c:v>855.55555555555554</c:v>
                </c:pt>
                <c:pt idx="12">
                  <c:v>1388.8888888888891</c:v>
                </c:pt>
                <c:pt idx="13">
                  <c:v>1655.5555555555557</c:v>
                </c:pt>
                <c:pt idx="14">
                  <c:v>1655.5555555555557</c:v>
                </c:pt>
                <c:pt idx="15">
                  <c:v>2722.2222222222226</c:v>
                </c:pt>
                <c:pt idx="16">
                  <c:v>3255.5555555555557</c:v>
                </c:pt>
                <c:pt idx="17">
                  <c:v>3255.5555555555557</c:v>
                </c:pt>
                <c:pt idx="18">
                  <c:v>5388.8888888888896</c:v>
                </c:pt>
                <c:pt idx="19">
                  <c:v>6455.5555555555557</c:v>
                </c:pt>
                <c:pt idx="20">
                  <c:v>6455.5555555555557</c:v>
                </c:pt>
                <c:pt idx="21">
                  <c:v>10722.222222222223</c:v>
                </c:pt>
                <c:pt idx="22">
                  <c:v>12855.555555555555</c:v>
                </c:pt>
                <c:pt idx="23">
                  <c:v>12855.555555555555</c:v>
                </c:pt>
                <c:pt idx="24">
                  <c:v>21388.888888888891</c:v>
                </c:pt>
                <c:pt idx="25">
                  <c:v>25655.555555555555</c:v>
                </c:pt>
                <c:pt idx="26">
                  <c:v>25655.555555555555</c:v>
                </c:pt>
                <c:pt idx="27">
                  <c:v>42722.222222222226</c:v>
                </c:pt>
                <c:pt idx="28">
                  <c:v>51255.555555555555</c:v>
                </c:pt>
                <c:pt idx="29">
                  <c:v>51255.555555555555</c:v>
                </c:pt>
                <c:pt idx="30">
                  <c:v>85388.888888888905</c:v>
                </c:pt>
                <c:pt idx="31">
                  <c:v>102455.55555555556</c:v>
                </c:pt>
                <c:pt idx="32">
                  <c:v>102455.55555555556</c:v>
                </c:pt>
                <c:pt idx="33">
                  <c:v>170722.22222222225</c:v>
                </c:pt>
                <c:pt idx="34">
                  <c:v>204855.55555555556</c:v>
                </c:pt>
                <c:pt idx="35">
                  <c:v>204855.55555555556</c:v>
                </c:pt>
                <c:pt idx="36">
                  <c:v>341388.88888888893</c:v>
                </c:pt>
                <c:pt idx="37">
                  <c:v>409655.55555555556</c:v>
                </c:pt>
                <c:pt idx="38">
                  <c:v>409652.77777777775</c:v>
                </c:pt>
                <c:pt idx="39">
                  <c:v>682719.4444444445</c:v>
                </c:pt>
                <c:pt idx="40">
                  <c:v>819252.77777777775</c:v>
                </c:pt>
                <c:pt idx="41">
                  <c:v>819252.77777777775</c:v>
                </c:pt>
                <c:pt idx="42">
                  <c:v>1365386.1111111112</c:v>
                </c:pt>
                <c:pt idx="43">
                  <c:v>1638452.7777777778</c:v>
                </c:pt>
                <c:pt idx="44">
                  <c:v>1638452.7777777778</c:v>
                </c:pt>
                <c:pt idx="45">
                  <c:v>2730719.444444445</c:v>
                </c:pt>
                <c:pt idx="46">
                  <c:v>3276852.777777778</c:v>
                </c:pt>
                <c:pt idx="47">
                  <c:v>3276852.777777778</c:v>
                </c:pt>
                <c:pt idx="48">
                  <c:v>5461386.1111111119</c:v>
                </c:pt>
              </c:numCache>
            </c:numRef>
          </c:val>
          <c:smooth val="0"/>
          <c:extLst>
            <c:ext xmlns:c16="http://schemas.microsoft.com/office/drawing/2014/chart" uri="{C3380CC4-5D6E-409C-BE32-E72D297353CC}">
              <c16:uniqueId val="{00000001-BD5B-E645-BEC3-3E4594F892EC}"/>
            </c:ext>
          </c:extLst>
        </c:ser>
        <c:dLbls>
          <c:showLegendKey val="0"/>
          <c:showVal val="0"/>
          <c:showCatName val="0"/>
          <c:showSerName val="0"/>
          <c:showPercent val="0"/>
          <c:showBubbleSize val="0"/>
        </c:dLbls>
        <c:marker val="1"/>
        <c:smooth val="0"/>
        <c:axId val="942190143"/>
        <c:axId val="1758726934"/>
      </c:lineChart>
      <c:dateAx>
        <c:axId val="942190143"/>
        <c:scaling>
          <c:orientation val="minMax"/>
        </c:scaling>
        <c:delete val="0"/>
        <c:axPos val="b"/>
        <c:title>
          <c:tx>
            <c:rich>
              <a:bodyPr/>
              <a:lstStyle/>
              <a:p>
                <a:pPr lvl="0">
                  <a:defRPr b="0">
                    <a:solidFill>
                      <a:srgbClr val="000000"/>
                    </a:solidFill>
                    <a:latin typeface="+mn-lt"/>
                  </a:defRPr>
                </a:pPr>
                <a:endParaRPr/>
              </a:p>
            </c:rich>
          </c:tx>
          <c:overlay val="0"/>
        </c:title>
        <c:numFmt formatCode="[$-409]mmm\-yy" sourceLinked="1"/>
        <c:majorTickMark val="none"/>
        <c:minorTickMark val="none"/>
        <c:tickLblPos val="nextTo"/>
        <c:txPr>
          <a:bodyPr/>
          <a:lstStyle/>
          <a:p>
            <a:pPr lvl="0">
              <a:defRPr sz="900" b="0" i="0">
                <a:solidFill>
                  <a:srgbClr val="000000"/>
                </a:solidFill>
                <a:latin typeface="+mn-lt"/>
              </a:defRPr>
            </a:pPr>
            <a:endParaRPr lang="en-US"/>
          </a:p>
        </c:txPr>
        <c:crossAx val="1758726934"/>
        <c:crosses val="autoZero"/>
        <c:auto val="1"/>
        <c:lblOffset val="100"/>
        <c:baseTimeUnit val="months"/>
      </c:dateAx>
      <c:valAx>
        <c:axId val="175872693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quot;$&quot;#,##0" sourceLinked="0"/>
        <c:majorTickMark val="none"/>
        <c:minorTickMark val="none"/>
        <c:tickLblPos val="nextTo"/>
        <c:spPr>
          <a:ln/>
        </c:spPr>
        <c:txPr>
          <a:bodyPr/>
          <a:lstStyle/>
          <a:p>
            <a:pPr lvl="0">
              <a:defRPr sz="900" b="0" i="0">
                <a:solidFill>
                  <a:srgbClr val="000000"/>
                </a:solidFill>
                <a:latin typeface="+mn-lt"/>
              </a:defRPr>
            </a:pPr>
            <a:endParaRPr lang="en-US"/>
          </a:p>
        </c:txPr>
        <c:crossAx val="942190143"/>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 Revenues </c:v>
          </c:tx>
          <c:spPr>
            <a:ln w="76200" cmpd="sng">
              <a:solidFill>
                <a:srgbClr val="4285F4"/>
              </a:solidFill>
            </a:ln>
          </c:spPr>
          <c:marker>
            <c:symbol val="none"/>
          </c:marker>
          <c:cat>
            <c:numRef>
              <c:f>Forecast!$W$4:$BS$4</c:f>
              <c:numCache>
                <c:formatCode>[$-409]mmm\-yy</c:formatCode>
                <c:ptCount val="49"/>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pt idx="36">
                  <c:v>46053</c:v>
                </c:pt>
                <c:pt idx="37">
                  <c:v>46081</c:v>
                </c:pt>
                <c:pt idx="38">
                  <c:v>46112</c:v>
                </c:pt>
                <c:pt idx="39">
                  <c:v>46142</c:v>
                </c:pt>
                <c:pt idx="40">
                  <c:v>46173</c:v>
                </c:pt>
                <c:pt idx="41">
                  <c:v>46203</c:v>
                </c:pt>
                <c:pt idx="42">
                  <c:v>46234</c:v>
                </c:pt>
                <c:pt idx="43">
                  <c:v>46265</c:v>
                </c:pt>
                <c:pt idx="44">
                  <c:v>46295</c:v>
                </c:pt>
                <c:pt idx="45">
                  <c:v>46326</c:v>
                </c:pt>
                <c:pt idx="46">
                  <c:v>46356</c:v>
                </c:pt>
                <c:pt idx="47">
                  <c:v>46387</c:v>
                </c:pt>
                <c:pt idx="48">
                  <c:v>46418</c:v>
                </c:pt>
              </c:numCache>
            </c:numRef>
          </c:cat>
          <c:val>
            <c:numRef>
              <c:f>Forecast!$W$38:$BS$38</c:f>
              <c:numCache>
                <c:formatCode>_(* #,##0_);_(* \(#,##0\);_(* "-"_);_(@_)</c:formatCode>
                <c:ptCount val="49"/>
                <c:pt idx="0">
                  <c:v>66.666666666666671</c:v>
                </c:pt>
                <c:pt idx="1">
                  <c:v>100</c:v>
                </c:pt>
                <c:pt idx="2">
                  <c:v>105.55555555555556</c:v>
                </c:pt>
                <c:pt idx="3">
                  <c:v>222.22222222222223</c:v>
                </c:pt>
                <c:pt idx="4">
                  <c:v>272.22222222222223</c:v>
                </c:pt>
                <c:pt idx="5">
                  <c:v>272.22222222222223</c:v>
                </c:pt>
                <c:pt idx="6">
                  <c:v>405.5555555555556</c:v>
                </c:pt>
                <c:pt idx="7">
                  <c:v>455.55555555555554</c:v>
                </c:pt>
                <c:pt idx="8">
                  <c:v>455.55555555555554</c:v>
                </c:pt>
                <c:pt idx="9">
                  <c:v>722.22222222222229</c:v>
                </c:pt>
                <c:pt idx="10">
                  <c:v>855.55555555555554</c:v>
                </c:pt>
                <c:pt idx="11">
                  <c:v>855.55555555555554</c:v>
                </c:pt>
                <c:pt idx="12">
                  <c:v>1388.8888888888891</c:v>
                </c:pt>
                <c:pt idx="13">
                  <c:v>1655.5555555555557</c:v>
                </c:pt>
                <c:pt idx="14">
                  <c:v>1655.5555555555557</c:v>
                </c:pt>
                <c:pt idx="15">
                  <c:v>2722.2222222222226</c:v>
                </c:pt>
                <c:pt idx="16">
                  <c:v>3255.5555555555557</c:v>
                </c:pt>
                <c:pt idx="17">
                  <c:v>3255.5555555555557</c:v>
                </c:pt>
                <c:pt idx="18">
                  <c:v>5388.8888888888896</c:v>
                </c:pt>
                <c:pt idx="19">
                  <c:v>6455.5555555555557</c:v>
                </c:pt>
                <c:pt idx="20">
                  <c:v>6455.5555555555557</c:v>
                </c:pt>
                <c:pt idx="21">
                  <c:v>10722.222222222223</c:v>
                </c:pt>
                <c:pt idx="22">
                  <c:v>12855.555555555555</c:v>
                </c:pt>
                <c:pt idx="23">
                  <c:v>12855.555555555555</c:v>
                </c:pt>
                <c:pt idx="24">
                  <c:v>21388.888888888891</c:v>
                </c:pt>
                <c:pt idx="25">
                  <c:v>25655.555555555555</c:v>
                </c:pt>
                <c:pt idx="26">
                  <c:v>25655.555555555555</c:v>
                </c:pt>
                <c:pt idx="27">
                  <c:v>42722.222222222226</c:v>
                </c:pt>
                <c:pt idx="28">
                  <c:v>51255.555555555555</c:v>
                </c:pt>
                <c:pt idx="29">
                  <c:v>51255.555555555555</c:v>
                </c:pt>
                <c:pt idx="30">
                  <c:v>85388.888888888905</c:v>
                </c:pt>
                <c:pt idx="31">
                  <c:v>102455.55555555556</c:v>
                </c:pt>
                <c:pt idx="32">
                  <c:v>102455.55555555556</c:v>
                </c:pt>
                <c:pt idx="33">
                  <c:v>170722.22222222225</c:v>
                </c:pt>
                <c:pt idx="34">
                  <c:v>204855.55555555556</c:v>
                </c:pt>
                <c:pt idx="35">
                  <c:v>204855.55555555556</c:v>
                </c:pt>
                <c:pt idx="36">
                  <c:v>341388.88888888893</c:v>
                </c:pt>
                <c:pt idx="37">
                  <c:v>409655.55555555556</c:v>
                </c:pt>
                <c:pt idx="38">
                  <c:v>409652.77777777775</c:v>
                </c:pt>
                <c:pt idx="39">
                  <c:v>682719.4444444445</c:v>
                </c:pt>
                <c:pt idx="40">
                  <c:v>819252.77777777775</c:v>
                </c:pt>
                <c:pt idx="41">
                  <c:v>819252.77777777775</c:v>
                </c:pt>
                <c:pt idx="42">
                  <c:v>1365386.1111111112</c:v>
                </c:pt>
                <c:pt idx="43">
                  <c:v>1638452.7777777778</c:v>
                </c:pt>
                <c:pt idx="44">
                  <c:v>1638452.7777777778</c:v>
                </c:pt>
                <c:pt idx="45">
                  <c:v>2730719.444444445</c:v>
                </c:pt>
                <c:pt idx="46">
                  <c:v>3276852.777777778</c:v>
                </c:pt>
                <c:pt idx="47">
                  <c:v>3276852.777777778</c:v>
                </c:pt>
                <c:pt idx="48">
                  <c:v>5461386.1111111119</c:v>
                </c:pt>
              </c:numCache>
            </c:numRef>
          </c:val>
          <c:smooth val="0"/>
          <c:extLst>
            <c:ext xmlns:c16="http://schemas.microsoft.com/office/drawing/2014/chart" uri="{C3380CC4-5D6E-409C-BE32-E72D297353CC}">
              <c16:uniqueId val="{00000000-4943-7940-8681-D575C8F8A8A1}"/>
            </c:ext>
          </c:extLst>
        </c:ser>
        <c:ser>
          <c:idx val="1"/>
          <c:order val="1"/>
          <c:tx>
            <c:v> Clients, end of period </c:v>
          </c:tx>
          <c:spPr>
            <a:ln w="76200" cmpd="sng">
              <a:solidFill>
                <a:srgbClr val="EA4335"/>
              </a:solidFill>
            </a:ln>
          </c:spPr>
          <c:marker>
            <c:symbol val="none"/>
          </c:marker>
          <c:cat>
            <c:numRef>
              <c:f>Forecast!$W$4:$BS$4</c:f>
              <c:numCache>
                <c:formatCode>[$-409]mmm\-yy</c:formatCode>
                <c:ptCount val="49"/>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pt idx="36">
                  <c:v>46053</c:v>
                </c:pt>
                <c:pt idx="37">
                  <c:v>46081</c:v>
                </c:pt>
                <c:pt idx="38">
                  <c:v>46112</c:v>
                </c:pt>
                <c:pt idx="39">
                  <c:v>46142</c:v>
                </c:pt>
                <c:pt idx="40">
                  <c:v>46173</c:v>
                </c:pt>
                <c:pt idx="41">
                  <c:v>46203</c:v>
                </c:pt>
                <c:pt idx="42">
                  <c:v>46234</c:v>
                </c:pt>
                <c:pt idx="43">
                  <c:v>46265</c:v>
                </c:pt>
                <c:pt idx="44">
                  <c:v>46295</c:v>
                </c:pt>
                <c:pt idx="45">
                  <c:v>46326</c:v>
                </c:pt>
                <c:pt idx="46">
                  <c:v>46356</c:v>
                </c:pt>
                <c:pt idx="47">
                  <c:v>46387</c:v>
                </c:pt>
                <c:pt idx="48">
                  <c:v>46418</c:v>
                </c:pt>
              </c:numCache>
            </c:numRef>
          </c:cat>
          <c:val>
            <c:numRef>
              <c:f>Forecast!$W$34:$BS$34</c:f>
              <c:numCache>
                <c:formatCode>_(* #,##0_);_(* \(#,##0\);_(* "-"_);_(@_)</c:formatCode>
                <c:ptCount val="49"/>
                <c:pt idx="0">
                  <c:v>1</c:v>
                </c:pt>
                <c:pt idx="1">
                  <c:v>2</c:v>
                </c:pt>
                <c:pt idx="2">
                  <c:v>3</c:v>
                </c:pt>
                <c:pt idx="3">
                  <c:v>4</c:v>
                </c:pt>
                <c:pt idx="4">
                  <c:v>5</c:v>
                </c:pt>
                <c:pt idx="5">
                  <c:v>5</c:v>
                </c:pt>
                <c:pt idx="6">
                  <c:v>5</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4</c:v>
                </c:pt>
                <c:pt idx="28">
                  <c:v>4</c:v>
                </c:pt>
                <c:pt idx="29">
                  <c:v>4</c:v>
                </c:pt>
                <c:pt idx="30">
                  <c:v>4</c:v>
                </c:pt>
                <c:pt idx="31">
                  <c:v>4</c:v>
                </c:pt>
                <c:pt idx="32">
                  <c:v>4</c:v>
                </c:pt>
                <c:pt idx="33">
                  <c:v>4</c:v>
                </c:pt>
                <c:pt idx="34">
                  <c:v>4</c:v>
                </c:pt>
                <c:pt idx="35">
                  <c:v>4</c:v>
                </c:pt>
                <c:pt idx="36">
                  <c:v>4</c:v>
                </c:pt>
                <c:pt idx="37">
                  <c:v>4</c:v>
                </c:pt>
                <c:pt idx="38">
                  <c:v>4</c:v>
                </c:pt>
                <c:pt idx="39">
                  <c:v>4</c:v>
                </c:pt>
                <c:pt idx="40">
                  <c:v>4</c:v>
                </c:pt>
                <c:pt idx="41">
                  <c:v>4</c:v>
                </c:pt>
                <c:pt idx="42">
                  <c:v>4</c:v>
                </c:pt>
                <c:pt idx="43">
                  <c:v>4</c:v>
                </c:pt>
                <c:pt idx="44">
                  <c:v>4</c:v>
                </c:pt>
                <c:pt idx="45">
                  <c:v>4</c:v>
                </c:pt>
                <c:pt idx="46">
                  <c:v>4</c:v>
                </c:pt>
                <c:pt idx="47">
                  <c:v>4</c:v>
                </c:pt>
                <c:pt idx="48">
                  <c:v>4</c:v>
                </c:pt>
              </c:numCache>
            </c:numRef>
          </c:val>
          <c:smooth val="0"/>
          <c:extLst>
            <c:ext xmlns:c16="http://schemas.microsoft.com/office/drawing/2014/chart" uri="{C3380CC4-5D6E-409C-BE32-E72D297353CC}">
              <c16:uniqueId val="{00000001-4943-7940-8681-D575C8F8A8A1}"/>
            </c:ext>
          </c:extLst>
        </c:ser>
        <c:dLbls>
          <c:showLegendKey val="0"/>
          <c:showVal val="0"/>
          <c:showCatName val="0"/>
          <c:showSerName val="0"/>
          <c:showPercent val="0"/>
          <c:showBubbleSize val="0"/>
        </c:dLbls>
        <c:smooth val="0"/>
        <c:axId val="842549104"/>
        <c:axId val="1764795090"/>
      </c:lineChart>
      <c:dateAx>
        <c:axId val="842549104"/>
        <c:scaling>
          <c:orientation val="minMax"/>
        </c:scaling>
        <c:delete val="0"/>
        <c:axPos val="b"/>
        <c:title>
          <c:tx>
            <c:rich>
              <a:bodyPr/>
              <a:lstStyle/>
              <a:p>
                <a:pPr lvl="0">
                  <a:defRPr b="0">
                    <a:solidFill>
                      <a:srgbClr val="000000"/>
                    </a:solidFill>
                    <a:latin typeface="+mn-lt"/>
                  </a:defRPr>
                </a:pPr>
                <a:endParaRPr/>
              </a:p>
            </c:rich>
          </c:tx>
          <c:overlay val="0"/>
        </c:title>
        <c:numFmt formatCode="[$-409]mmm\-yy" sourceLinked="1"/>
        <c:majorTickMark val="none"/>
        <c:minorTickMark val="none"/>
        <c:tickLblPos val="nextTo"/>
        <c:txPr>
          <a:bodyPr/>
          <a:lstStyle/>
          <a:p>
            <a:pPr lvl="0">
              <a:defRPr sz="900" b="0" i="0">
                <a:solidFill>
                  <a:srgbClr val="000000"/>
                </a:solidFill>
                <a:latin typeface="+mn-lt"/>
              </a:defRPr>
            </a:pPr>
            <a:endParaRPr lang="en-US"/>
          </a:p>
        </c:txPr>
        <c:crossAx val="1764795090"/>
        <c:crosses val="autoZero"/>
        <c:auto val="1"/>
        <c:lblOffset val="100"/>
        <c:baseTimeUnit val="months"/>
      </c:dateAx>
      <c:valAx>
        <c:axId val="176479509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quot;$&quot;#,##0" sourceLinked="0"/>
        <c:majorTickMark val="none"/>
        <c:minorTickMark val="none"/>
        <c:tickLblPos val="nextTo"/>
        <c:spPr>
          <a:ln/>
        </c:spPr>
        <c:txPr>
          <a:bodyPr/>
          <a:lstStyle/>
          <a:p>
            <a:pPr lvl="0">
              <a:defRPr sz="900" b="0" i="0">
                <a:solidFill>
                  <a:srgbClr val="000000"/>
                </a:solidFill>
                <a:latin typeface="+mn-lt"/>
              </a:defRPr>
            </a:pPr>
            <a:endParaRPr lang="en-US"/>
          </a:p>
        </c:txPr>
        <c:crossAx val="842549104"/>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533400</xdr:colOff>
      <xdr:row>3</xdr:row>
      <xdr:rowOff>190500</xdr:rowOff>
    </xdr:from>
    <xdr:ext cx="8382000" cy="4648200"/>
    <xdr:graphicFrame macro="">
      <xdr:nvGraphicFramePr>
        <xdr:cNvPr id="2" name="Chart 1" titl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0</xdr:colOff>
      <xdr:row>29</xdr:row>
      <xdr:rowOff>104775</xdr:rowOff>
    </xdr:from>
    <xdr:ext cx="6448425" cy="4581525"/>
    <xdr:graphicFrame macro="">
      <xdr:nvGraphicFramePr>
        <xdr:cNvPr id="3" name="Chart 2" titl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0</xdr:colOff>
      <xdr:row>4</xdr:row>
      <xdr:rowOff>0</xdr:rowOff>
    </xdr:from>
    <xdr:ext cx="6400800" cy="4648200"/>
    <xdr:graphicFrame macro="">
      <xdr:nvGraphicFramePr>
        <xdr:cNvPr id="4" name="Chart 3" titl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5:C11">
  <tableColumns count="2">
    <tableColumn id="1" xr3:uid="{00000000-0010-0000-0000-000001000000}" name="Copyright &amp; Contact"/>
    <tableColumn id="2" xr3:uid="{00000000-0010-0000-0000-000002000000}" name="This was created by Taylor Davidson (@tdavidson) of Foresight._x000a_© 2023, Unstructured Ventures, LLC._x000a_Questions, contact taylor@foresight.is or @tdavidson_x000a_"/>
  </tableColumns>
  <tableStyleInfo name="READM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5:C23">
  <tableColumns count="2">
    <tableColumn id="1" xr3:uid="{00000000-0010-0000-0100-000001000000}" name="README"/>
    <tableColumn id="2" xr3:uid="{00000000-0010-0000-0100-000002000000}" name="Contact into, overview on model. Safe to delete or hide."/>
  </tableColumns>
  <tableStyleInfo name="READM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7:Q17" headerRowCount="0">
  <tableColumns count="16">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s>
  <tableStyleInfo name="Model Comparison-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foresight.is/learn/colors-and-formatting" TargetMode="External"/><Relationship Id="rId2" Type="http://schemas.openxmlformats.org/officeDocument/2006/relationships/hyperlink" Target="https://foresight.is/learn/alternatives-foresight" TargetMode="External"/><Relationship Id="rId1" Type="http://schemas.openxmlformats.org/officeDocument/2006/relationships/hyperlink" Target="https://foresight.is/learn/support"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hyperlink" Target="https://foresight.is/licens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foresight.is/learn/forecas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hyperlink" Target="https://foresight.is/unit-economics-template" TargetMode="External"/><Relationship Id="rId3" Type="http://schemas.openxmlformats.org/officeDocument/2006/relationships/hyperlink" Target="https://foresight.is/standard-financial-model" TargetMode="External"/><Relationship Id="rId7" Type="http://schemas.openxmlformats.org/officeDocument/2006/relationships/hyperlink" Target="https://foresight.is/ecommerce-forecasting-tool" TargetMode="External"/><Relationship Id="rId2" Type="http://schemas.openxmlformats.org/officeDocument/2006/relationships/hyperlink" Target="https://foresight.is/standard-financial-model" TargetMode="External"/><Relationship Id="rId1" Type="http://schemas.openxmlformats.org/officeDocument/2006/relationships/hyperlink" Target="https://foresight.is/runway-cash-forecasting" TargetMode="External"/><Relationship Id="rId6" Type="http://schemas.openxmlformats.org/officeDocument/2006/relationships/hyperlink" Target="https://foresight.is/saas-forecasting-tool" TargetMode="External"/><Relationship Id="rId5" Type="http://schemas.openxmlformats.org/officeDocument/2006/relationships/hyperlink" Target="https://foresight.is/ecommerce-financial-model" TargetMode="External"/><Relationship Id="rId10" Type="http://schemas.openxmlformats.org/officeDocument/2006/relationships/table" Target="../tables/table3.xml"/><Relationship Id="rId4" Type="http://schemas.openxmlformats.org/officeDocument/2006/relationships/hyperlink" Target="https://foresight/" TargetMode="External"/><Relationship Id="rId9" Type="http://schemas.openxmlformats.org/officeDocument/2006/relationships/hyperlink" Target="https://foresight.is/enterprise-saas-templ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4"/>
  <sheetViews>
    <sheetView showGridLines="0" tabSelected="1" workbookViewId="0">
      <selection activeCell="C6" sqref="C6"/>
    </sheetView>
  </sheetViews>
  <sheetFormatPr baseColWidth="10" defaultColWidth="10.140625" defaultRowHeight="15" customHeight="1"/>
  <cols>
    <col min="1" max="1" width="3.28515625" customWidth="1"/>
    <col min="2" max="2" width="28.140625" customWidth="1"/>
    <col min="3" max="3" width="52.42578125" customWidth="1"/>
    <col min="4" max="4" width="18.140625" customWidth="1"/>
  </cols>
  <sheetData>
    <row r="1" spans="1:5">
      <c r="A1" s="1"/>
      <c r="B1" s="1"/>
      <c r="C1" s="1"/>
      <c r="D1" s="1"/>
      <c r="E1" s="1"/>
    </row>
    <row r="2" spans="1:5">
      <c r="A2" s="1"/>
      <c r="B2" s="2" t="s">
        <v>0</v>
      </c>
      <c r="C2" s="1"/>
      <c r="D2" s="1"/>
      <c r="E2" s="1"/>
    </row>
    <row r="3" spans="1:5">
      <c r="A3" s="1"/>
      <c r="B3" s="3" t="s">
        <v>1</v>
      </c>
      <c r="C3" s="1"/>
      <c r="D3" s="1"/>
      <c r="E3" s="1"/>
    </row>
    <row r="4" spans="1:5">
      <c r="A4" s="1"/>
      <c r="B4" s="4"/>
      <c r="C4" s="1"/>
      <c r="D4" s="1"/>
      <c r="E4" s="1"/>
    </row>
    <row r="5" spans="1:5" ht="56" customHeight="1">
      <c r="A5" s="1"/>
      <c r="B5" s="5" t="s">
        <v>2</v>
      </c>
      <c r="C5" s="75" t="s">
        <v>198</v>
      </c>
      <c r="D5" s="1"/>
      <c r="E5" s="1"/>
    </row>
    <row r="6" spans="1:5" ht="56" customHeight="1">
      <c r="A6" s="1"/>
      <c r="B6" s="5" t="s">
        <v>3</v>
      </c>
      <c r="C6" s="7" t="s">
        <v>4</v>
      </c>
      <c r="D6" s="1"/>
      <c r="E6" s="1"/>
    </row>
    <row r="7" spans="1:5" ht="56" customHeight="1">
      <c r="A7" s="1"/>
      <c r="B7" s="5" t="s">
        <v>5</v>
      </c>
      <c r="C7" s="8" t="s">
        <v>6</v>
      </c>
      <c r="D7" s="1"/>
      <c r="E7" s="1"/>
    </row>
    <row r="8" spans="1:5" ht="56" customHeight="1">
      <c r="A8" s="1"/>
      <c r="B8" s="5" t="s">
        <v>7</v>
      </c>
      <c r="C8" s="9" t="s">
        <v>8</v>
      </c>
      <c r="D8" s="1"/>
      <c r="E8" s="1"/>
    </row>
    <row r="9" spans="1:5" ht="56" customHeight="1">
      <c r="A9" s="1"/>
      <c r="B9" s="5" t="s">
        <v>9</v>
      </c>
      <c r="C9" s="9" t="s">
        <v>10</v>
      </c>
      <c r="D9" s="1"/>
      <c r="E9" s="1"/>
    </row>
    <row r="10" spans="1:5" ht="56" customHeight="1">
      <c r="A10" s="1"/>
      <c r="B10" s="5" t="s">
        <v>11</v>
      </c>
      <c r="C10" s="9" t="s">
        <v>12</v>
      </c>
      <c r="D10" s="1"/>
      <c r="E10" s="1"/>
    </row>
    <row r="11" spans="1:5" ht="56" customHeight="1">
      <c r="A11" s="1"/>
      <c r="B11" s="5" t="s">
        <v>13</v>
      </c>
      <c r="C11" s="8" t="s">
        <v>14</v>
      </c>
      <c r="D11" s="1"/>
      <c r="E11" s="1"/>
    </row>
    <row r="12" spans="1:5">
      <c r="A12" s="1"/>
      <c r="B12" s="8"/>
      <c r="C12" s="8"/>
      <c r="D12" s="1"/>
      <c r="E12" s="1"/>
    </row>
    <row r="13" spans="1:5">
      <c r="A13" s="1"/>
      <c r="B13" s="10" t="s">
        <v>15</v>
      </c>
      <c r="C13" s="11"/>
      <c r="D13" s="1"/>
      <c r="E13" s="1"/>
    </row>
    <row r="14" spans="1:5">
      <c r="A14" s="1"/>
      <c r="B14" s="12"/>
      <c r="C14" s="11"/>
      <c r="D14" s="1"/>
      <c r="E14" s="1"/>
    </row>
    <row r="15" spans="1:5">
      <c r="A15" s="1"/>
      <c r="B15" s="12" t="s">
        <v>16</v>
      </c>
      <c r="C15" s="8" t="s">
        <v>17</v>
      </c>
      <c r="D15" s="1"/>
      <c r="E15" s="1"/>
    </row>
    <row r="16" spans="1:5">
      <c r="A16" s="1"/>
      <c r="B16" s="12" t="s">
        <v>18</v>
      </c>
      <c r="C16" s="9" t="s">
        <v>19</v>
      </c>
      <c r="D16" s="1"/>
      <c r="E16" s="1"/>
    </row>
    <row r="17" spans="1:5">
      <c r="A17" s="1"/>
      <c r="B17" s="12" t="s">
        <v>3</v>
      </c>
      <c r="C17" s="9" t="s">
        <v>20</v>
      </c>
      <c r="D17" s="1"/>
      <c r="E17" s="1"/>
    </row>
    <row r="18" spans="1:5">
      <c r="A18" s="1"/>
      <c r="B18" s="12" t="s">
        <v>21</v>
      </c>
      <c r="C18" s="8" t="s">
        <v>22</v>
      </c>
      <c r="D18" s="1"/>
      <c r="E18" s="1"/>
    </row>
    <row r="19" spans="1:5">
      <c r="A19" s="1"/>
      <c r="B19" s="12" t="s">
        <v>23</v>
      </c>
      <c r="C19" s="8" t="s">
        <v>24</v>
      </c>
      <c r="D19" s="1"/>
      <c r="E19" s="1"/>
    </row>
    <row r="20" spans="1:5">
      <c r="A20" s="1"/>
      <c r="B20" s="11" t="s">
        <v>25</v>
      </c>
      <c r="C20" s="8" t="s">
        <v>26</v>
      </c>
      <c r="D20" s="1"/>
      <c r="E20" s="1"/>
    </row>
    <row r="21" spans="1:5">
      <c r="A21" s="1"/>
      <c r="B21" s="11" t="s">
        <v>27</v>
      </c>
      <c r="C21" s="8" t="s">
        <v>28</v>
      </c>
      <c r="D21" s="1"/>
      <c r="E21" s="1"/>
    </row>
    <row r="22" spans="1:5">
      <c r="A22" s="1"/>
      <c r="B22" s="11" t="s">
        <v>29</v>
      </c>
      <c r="C22" s="8" t="s">
        <v>30</v>
      </c>
      <c r="D22" s="1"/>
      <c r="E22" s="1"/>
    </row>
    <row r="23" spans="1:5">
      <c r="A23" s="1"/>
      <c r="B23" s="11" t="s">
        <v>31</v>
      </c>
      <c r="C23" s="8" t="s">
        <v>32</v>
      </c>
      <c r="D23" s="1"/>
      <c r="E23" s="1"/>
    </row>
    <row r="24" spans="1:5">
      <c r="A24" s="1"/>
      <c r="B24" s="1"/>
      <c r="C24" s="8"/>
      <c r="D24" s="1"/>
      <c r="E24" s="1"/>
    </row>
  </sheetData>
  <hyperlinks>
    <hyperlink ref="C6" location="null!A1" display="tl:dr; You can modify, edit, use, and share within your company (and with third-parties as needed to operate your business). You may not redistribute, resell, give away to others. Full license._x000a_" xr:uid="{00000000-0004-0000-0000-000000000000}"/>
    <hyperlink ref="C8" location="null!A1" display="File &gt; Make a Copy to copy it to your own Google Drive, or File &gt; Download to download this to use in Excel or other spreadsheet programs. See License for warranties and liabilities._x000a_" xr:uid="{00000000-0004-0000-0000-000001000000}"/>
    <hyperlink ref="C9" r:id="rId1" xr:uid="{00000000-0004-0000-0000-000002000000}"/>
    <hyperlink ref="C10" r:id="rId2" xr:uid="{00000000-0004-0000-0000-000003000000}"/>
    <hyperlink ref="C16" r:id="rId3" xr:uid="{00000000-0004-0000-0000-000004000000}"/>
    <hyperlink ref="C17" r:id="rId4" xr:uid="{00000000-0004-0000-0000-000005000000}"/>
  </hyperlinks>
  <pageMargins left="0.7" right="0.7" top="0.75" bottom="0.75" header="0.3" footer="0.3"/>
  <tableParts count="2">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29"/>
  <sheetViews>
    <sheetView showGridLines="0" workbookViewId="0"/>
  </sheetViews>
  <sheetFormatPr baseColWidth="10" defaultColWidth="10.140625" defaultRowHeight="15" customHeight="1"/>
  <cols>
    <col min="1" max="1" width="2.28515625" customWidth="1"/>
    <col min="2" max="2" width="63.28515625" customWidth="1"/>
  </cols>
  <sheetData>
    <row r="1" spans="1:2" ht="29.25" customHeight="1">
      <c r="A1" s="2"/>
      <c r="B1" s="2" t="s">
        <v>33</v>
      </c>
    </row>
    <row r="2" spans="1:2" ht="15.75" customHeight="1">
      <c r="A2" s="13"/>
      <c r="B2" s="14" t="s">
        <v>34</v>
      </c>
    </row>
    <row r="3" spans="1:2" ht="16">
      <c r="A3" s="15"/>
      <c r="B3" s="15"/>
    </row>
    <row r="4" spans="1:2" ht="99">
      <c r="A4" s="15"/>
      <c r="B4" s="15" t="s">
        <v>35</v>
      </c>
    </row>
    <row r="5" spans="1:2" ht="16">
      <c r="A5" s="15"/>
      <c r="B5" s="15"/>
    </row>
    <row r="6" spans="1:2" ht="16">
      <c r="A6" s="15"/>
      <c r="B6" s="15" t="s">
        <v>36</v>
      </c>
    </row>
    <row r="7" spans="1:2" ht="16">
      <c r="A7" s="15"/>
      <c r="B7" s="15"/>
    </row>
    <row r="8" spans="1:2" ht="16">
      <c r="A8" s="15"/>
      <c r="B8" s="15" t="s">
        <v>37</v>
      </c>
    </row>
    <row r="9" spans="1:2" ht="29">
      <c r="A9" s="15"/>
      <c r="B9" s="15" t="s">
        <v>38</v>
      </c>
    </row>
    <row r="10" spans="1:2" ht="16">
      <c r="A10" s="15"/>
      <c r="B10" s="15" t="s">
        <v>39</v>
      </c>
    </row>
    <row r="11" spans="1:2" ht="16">
      <c r="A11" s="15"/>
      <c r="B11" s="15" t="s">
        <v>40</v>
      </c>
    </row>
    <row r="12" spans="1:2" ht="16">
      <c r="A12" s="15"/>
      <c r="B12" s="15" t="s">
        <v>41</v>
      </c>
    </row>
    <row r="13" spans="1:2" ht="16">
      <c r="A13" s="15"/>
      <c r="B13" s="15"/>
    </row>
    <row r="14" spans="1:2" ht="16">
      <c r="A14" s="15"/>
      <c r="B14" s="15" t="s">
        <v>42</v>
      </c>
    </row>
    <row r="15" spans="1:2" ht="16">
      <c r="A15" s="15"/>
      <c r="B15" s="15" t="s">
        <v>43</v>
      </c>
    </row>
    <row r="16" spans="1:2" ht="29">
      <c r="A16" s="15"/>
      <c r="B16" s="15" t="s">
        <v>44</v>
      </c>
    </row>
    <row r="17" spans="1:2" ht="16">
      <c r="A17" s="15"/>
      <c r="B17" s="15" t="s">
        <v>45</v>
      </c>
    </row>
    <row r="18" spans="1:2" ht="29">
      <c r="A18" s="15"/>
      <c r="B18" s="15" t="s">
        <v>46</v>
      </c>
    </row>
    <row r="19" spans="1:2" ht="29">
      <c r="A19" s="15"/>
      <c r="B19" s="15" t="s">
        <v>47</v>
      </c>
    </row>
    <row r="20" spans="1:2" ht="16">
      <c r="A20" s="15"/>
      <c r="B20" s="15" t="s">
        <v>48</v>
      </c>
    </row>
    <row r="21" spans="1:2" ht="29">
      <c r="A21" s="15"/>
      <c r="B21" s="15" t="s">
        <v>49</v>
      </c>
    </row>
    <row r="22" spans="1:2" ht="16">
      <c r="A22" s="15"/>
      <c r="B22" s="15"/>
    </row>
    <row r="23" spans="1:2" ht="141">
      <c r="A23" s="15"/>
      <c r="B23" s="15" t="s">
        <v>50</v>
      </c>
    </row>
    <row r="24" spans="1:2" ht="16">
      <c r="A24" s="15"/>
      <c r="B24" s="15"/>
    </row>
    <row r="25" spans="1:2" ht="127">
      <c r="A25" s="15"/>
      <c r="B25" s="15" t="s">
        <v>51</v>
      </c>
    </row>
    <row r="26" spans="1:2" ht="16">
      <c r="A26" s="15"/>
      <c r="B26" s="15"/>
    </row>
    <row r="27" spans="1:2" ht="85">
      <c r="A27" s="15"/>
      <c r="B27" s="15" t="s">
        <v>52</v>
      </c>
    </row>
    <row r="28" spans="1:2" ht="16">
      <c r="A28" s="15"/>
      <c r="B28" s="15"/>
    </row>
    <row r="29" spans="1:2" ht="71">
      <c r="A29" s="15"/>
      <c r="B29" s="15" t="s">
        <v>53</v>
      </c>
    </row>
  </sheetData>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2:B9"/>
  <sheetViews>
    <sheetView showGridLines="0" workbookViewId="0"/>
  </sheetViews>
  <sheetFormatPr baseColWidth="10" defaultColWidth="10.140625" defaultRowHeight="15" customHeight="1"/>
  <cols>
    <col min="1" max="1" width="4" customWidth="1"/>
    <col min="2" max="2" width="60" customWidth="1"/>
  </cols>
  <sheetData>
    <row r="2" spans="2:2">
      <c r="B2" s="2" t="s">
        <v>54</v>
      </c>
    </row>
    <row r="3" spans="2:2">
      <c r="B3" s="6"/>
    </row>
    <row r="4" spans="2:2">
      <c r="B4" s="6" t="e">
        <f>"This Investor Presentation is provided for informational purposes only and does not constitute an offer to buy or a solicitation of an offer to invest, or to procure an investment in "&amp;#REF!&amp;" (the “Company”)."</f>
        <v>#REF!</v>
      </c>
    </row>
    <row r="5" spans="2:2">
      <c r="B5" s="6" t="s">
        <v>55</v>
      </c>
    </row>
    <row r="6" spans="2:2">
      <c r="B6" s="6" t="s">
        <v>56</v>
      </c>
    </row>
    <row r="7" spans="2:2">
      <c r="B7" s="6" t="s">
        <v>57</v>
      </c>
    </row>
    <row r="8" spans="2:2">
      <c r="B8" s="6" t="s">
        <v>58</v>
      </c>
    </row>
    <row r="9" spans="2:2">
      <c r="B9" s="6" t="s">
        <v>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
  <sheetViews>
    <sheetView showGridLines="0" workbookViewId="0"/>
  </sheetViews>
  <sheetFormatPr baseColWidth="10" defaultColWidth="10.140625" defaultRowHeight="15" customHeight="1"/>
  <cols>
    <col min="1" max="1" width="2.7109375" customWidth="1"/>
    <col min="2" max="2" width="22.7109375" customWidth="1"/>
    <col min="3" max="3" width="2.7109375" customWidth="1"/>
    <col min="4" max="4" width="11" customWidth="1"/>
    <col min="5" max="5" width="5.85546875" customWidth="1"/>
    <col min="6" max="6" width="101.42578125" customWidth="1"/>
    <col min="7" max="8" width="13.85546875" customWidth="1"/>
  </cols>
  <sheetData>
    <row r="1" spans="1:8" ht="19.5" customHeight="1">
      <c r="A1" s="1"/>
      <c r="B1" s="16"/>
      <c r="C1" s="17"/>
      <c r="D1" s="1"/>
      <c r="E1" s="1"/>
      <c r="F1" s="18"/>
      <c r="G1" s="1"/>
      <c r="H1" s="1"/>
    </row>
    <row r="2" spans="1:8" ht="19.5" customHeight="1">
      <c r="A2" s="1"/>
      <c r="B2" s="19" t="s">
        <v>21</v>
      </c>
      <c r="C2" s="20"/>
      <c r="D2" s="1"/>
      <c r="E2" s="1"/>
      <c r="F2" s="18"/>
      <c r="G2" s="1"/>
      <c r="H2" s="1"/>
    </row>
    <row r="3" spans="1:8" ht="19.5" customHeight="1">
      <c r="A3" s="1"/>
      <c r="B3" s="21" t="s">
        <v>60</v>
      </c>
      <c r="C3" s="17"/>
      <c r="D3" s="1"/>
      <c r="E3" s="1"/>
      <c r="F3" s="18"/>
      <c r="G3" s="1"/>
      <c r="H3" s="1"/>
    </row>
    <row r="4" spans="1:8" ht="19.5" customHeight="1">
      <c r="A4" s="1"/>
      <c r="C4" s="20"/>
      <c r="D4" s="1"/>
      <c r="E4" s="1"/>
      <c r="F4" s="16"/>
      <c r="G4" s="1"/>
      <c r="H4" s="1"/>
    </row>
    <row r="5" spans="1:8" ht="19.5" customHeight="1">
      <c r="A5" s="1"/>
      <c r="B5" s="16" t="s">
        <v>61</v>
      </c>
      <c r="C5" s="17"/>
      <c r="D5" s="22" t="s">
        <v>62</v>
      </c>
      <c r="E5" s="1"/>
      <c r="F5" s="1" t="s">
        <v>63</v>
      </c>
      <c r="G5" s="1"/>
      <c r="H5" s="1"/>
    </row>
    <row r="6" spans="1:8" ht="19.5" customHeight="1">
      <c r="A6" s="1"/>
      <c r="B6" s="1"/>
      <c r="C6" s="1"/>
      <c r="D6" s="1"/>
      <c r="E6" s="1"/>
      <c r="F6" s="1"/>
      <c r="G6" s="1"/>
      <c r="H6" s="1"/>
    </row>
    <row r="7" spans="1:8" ht="19.5" customHeight="1">
      <c r="A7" s="1"/>
      <c r="B7" s="23" t="s">
        <v>64</v>
      </c>
      <c r="D7" s="24">
        <v>44927</v>
      </c>
      <c r="E7" s="23" t="s">
        <v>65</v>
      </c>
      <c r="F7" s="18"/>
      <c r="G7" s="1"/>
      <c r="H7" s="1"/>
    </row>
    <row r="8" spans="1:8" ht="19.5" customHeight="1">
      <c r="A8" s="1"/>
      <c r="B8" s="23" t="s">
        <v>66</v>
      </c>
      <c r="D8" s="24">
        <f>DATE(YEAR(D7),12,31)</f>
        <v>45291</v>
      </c>
      <c r="E8" s="23" t="s">
        <v>67</v>
      </c>
      <c r="F8" s="18"/>
      <c r="G8" s="1"/>
      <c r="H8" s="1"/>
    </row>
    <row r="9" spans="1:8" ht="19.5" customHeight="1">
      <c r="A9" s="1"/>
      <c r="B9" s="1"/>
      <c r="C9" s="17"/>
      <c r="D9" s="1"/>
      <c r="E9" s="1"/>
      <c r="F9" s="18"/>
      <c r="G9" s="1"/>
      <c r="H9" s="1"/>
    </row>
    <row r="10" spans="1:8" ht="19.5" customHeight="1">
      <c r="A10" s="1"/>
      <c r="B10" s="25" t="s">
        <v>68</v>
      </c>
      <c r="C10" s="23"/>
      <c r="D10" s="23" t="s">
        <v>69</v>
      </c>
      <c r="E10" s="1"/>
      <c r="F10" s="18"/>
      <c r="G10" s="1"/>
      <c r="H10" s="1"/>
    </row>
    <row r="11" spans="1:8" ht="19.5" customHeight="1">
      <c r="A11" s="1"/>
      <c r="B11" s="23" t="s">
        <v>70</v>
      </c>
      <c r="C11" s="23"/>
      <c r="D11" s="23" t="s">
        <v>71</v>
      </c>
      <c r="E11" s="1"/>
      <c r="F11" s="18"/>
      <c r="G11" s="1"/>
      <c r="H11" s="1"/>
    </row>
    <row r="12" spans="1:8" ht="19.5" customHeight="1">
      <c r="A12" s="1"/>
      <c r="B12" s="23" t="s">
        <v>72</v>
      </c>
      <c r="C12" s="23"/>
      <c r="D12" s="23" t="s">
        <v>73</v>
      </c>
      <c r="E12" s="1"/>
      <c r="F12" s="18"/>
      <c r="G12" s="1"/>
      <c r="H12" s="1"/>
    </row>
    <row r="13" spans="1:8" ht="19.5" customHeight="1">
      <c r="A13" s="1"/>
      <c r="B13" s="23" t="s">
        <v>74</v>
      </c>
      <c r="C13" s="23"/>
      <c r="D13" s="23" t="s">
        <v>75</v>
      </c>
      <c r="E13" s="1"/>
      <c r="F13" s="18"/>
      <c r="G13" s="1"/>
      <c r="H13" s="1"/>
    </row>
    <row r="14" spans="1:8" ht="19.5" customHeight="1">
      <c r="A14" s="1"/>
      <c r="B14" s="23" t="s">
        <v>76</v>
      </c>
      <c r="C14" s="23"/>
      <c r="D14" s="23" t="s">
        <v>77</v>
      </c>
      <c r="E14" s="1"/>
      <c r="F14" s="18"/>
      <c r="G14" s="1"/>
      <c r="H14" s="1"/>
    </row>
    <row r="15" spans="1:8" ht="19.5" customHeight="1">
      <c r="A15" s="1"/>
      <c r="B15" s="1"/>
      <c r="C15" s="17"/>
      <c r="D15" s="1"/>
      <c r="E15" s="1"/>
      <c r="F15" s="18"/>
      <c r="G15" s="1"/>
      <c r="H15" s="1"/>
    </row>
    <row r="16" spans="1:8" ht="19.5" customHeight="1">
      <c r="A16" s="1"/>
      <c r="B16" s="1"/>
      <c r="C16" s="17"/>
      <c r="D16" s="1"/>
      <c r="E16" s="1"/>
      <c r="F16" s="18"/>
      <c r="G16" s="1"/>
      <c r="H16" s="1"/>
    </row>
  </sheetData>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50"/>
  <sheetViews>
    <sheetView showGridLines="0" workbookViewId="0"/>
  </sheetViews>
  <sheetFormatPr baseColWidth="10" defaultColWidth="10.140625" defaultRowHeight="15" customHeight="1"/>
  <cols>
    <col min="1" max="1" width="3.42578125" customWidth="1"/>
    <col min="2" max="2" width="32.140625" customWidth="1"/>
    <col min="3" max="4" width="16.140625" customWidth="1"/>
    <col min="5" max="5" width="10.140625" customWidth="1"/>
    <col min="6" max="6" width="9.7109375" customWidth="1"/>
    <col min="7" max="7" width="22.28515625" customWidth="1"/>
    <col min="8" max="15" width="9.7109375" customWidth="1"/>
  </cols>
  <sheetData>
    <row r="1" spans="1:15" ht="19.5" customHeight="1">
      <c r="A1" s="26"/>
      <c r="B1" s="23"/>
      <c r="C1" s="26"/>
      <c r="D1" s="26"/>
      <c r="E1" s="26"/>
      <c r="F1" s="26"/>
      <c r="G1" s="26"/>
      <c r="H1" s="26"/>
      <c r="I1" s="26"/>
      <c r="J1" s="26"/>
      <c r="K1" s="26"/>
      <c r="L1" s="26"/>
      <c r="M1" s="26"/>
      <c r="N1" s="26"/>
      <c r="O1" s="26"/>
    </row>
    <row r="2" spans="1:15" ht="19.5" customHeight="1">
      <c r="A2" s="26"/>
      <c r="B2" s="27" t="s">
        <v>78</v>
      </c>
      <c r="C2" s="26"/>
      <c r="D2" s="26"/>
      <c r="E2" s="26"/>
      <c r="F2" s="26"/>
      <c r="G2" s="27" t="s">
        <v>79</v>
      </c>
      <c r="H2" s="26"/>
      <c r="I2" s="26"/>
      <c r="J2" s="26"/>
      <c r="K2" s="26"/>
      <c r="L2" s="26"/>
      <c r="M2" s="26"/>
      <c r="N2" s="26"/>
      <c r="O2" s="26"/>
    </row>
    <row r="3" spans="1:15" ht="19.5" customHeight="1">
      <c r="A3" s="26"/>
      <c r="B3" s="28" t="s">
        <v>80</v>
      </c>
      <c r="C3" s="26"/>
      <c r="D3" s="26"/>
      <c r="E3" s="26"/>
      <c r="F3" s="26"/>
      <c r="G3" s="28" t="s">
        <v>81</v>
      </c>
      <c r="H3" s="26"/>
      <c r="I3" s="26"/>
      <c r="J3" s="26"/>
      <c r="K3" s="26"/>
      <c r="L3" s="26"/>
      <c r="M3" s="26"/>
      <c r="N3" s="26"/>
      <c r="O3" s="26"/>
    </row>
    <row r="4" spans="1:15" ht="19.5" customHeight="1">
      <c r="A4" s="26"/>
      <c r="B4" s="23"/>
      <c r="C4" s="26"/>
      <c r="D4" s="26"/>
      <c r="E4" s="26"/>
      <c r="F4" s="26"/>
      <c r="G4" s="26"/>
      <c r="H4" s="26"/>
      <c r="I4" s="26"/>
      <c r="J4" s="26"/>
      <c r="K4" s="26"/>
      <c r="L4" s="26"/>
      <c r="M4" s="26"/>
      <c r="N4" s="26"/>
      <c r="O4" s="26"/>
    </row>
    <row r="5" spans="1:15" ht="19.5" customHeight="1">
      <c r="A5" s="26"/>
      <c r="B5" s="23"/>
      <c r="C5" s="26"/>
      <c r="D5" s="26"/>
      <c r="E5" s="26"/>
      <c r="F5" s="26"/>
      <c r="G5" s="26"/>
      <c r="H5" s="26"/>
      <c r="I5" s="26"/>
      <c r="J5" s="26"/>
      <c r="K5" s="26"/>
      <c r="L5" s="26"/>
      <c r="M5" s="26"/>
      <c r="N5" s="26"/>
      <c r="O5" s="26"/>
    </row>
    <row r="6" spans="1:15" ht="19.5" customHeight="1">
      <c r="A6" s="26"/>
      <c r="B6" s="23"/>
      <c r="C6" s="26"/>
      <c r="D6" s="26"/>
      <c r="E6" s="26"/>
      <c r="F6" s="26"/>
      <c r="G6" s="26"/>
      <c r="H6" s="26"/>
      <c r="I6" s="26"/>
      <c r="J6" s="26"/>
      <c r="K6" s="26"/>
      <c r="L6" s="26"/>
      <c r="M6" s="26"/>
      <c r="N6" s="26"/>
      <c r="O6" s="26"/>
    </row>
    <row r="7" spans="1:15" ht="19.5" customHeight="1">
      <c r="A7" s="26"/>
      <c r="B7" s="23"/>
      <c r="C7" s="26"/>
      <c r="D7" s="26"/>
      <c r="E7" s="26"/>
      <c r="F7" s="26"/>
      <c r="G7" s="26"/>
      <c r="H7" s="26"/>
      <c r="I7" s="26"/>
      <c r="J7" s="26"/>
      <c r="K7" s="26"/>
      <c r="L7" s="26"/>
      <c r="M7" s="26"/>
      <c r="N7" s="26"/>
      <c r="O7" s="26"/>
    </row>
    <row r="8" spans="1:15" ht="19.5" customHeight="1">
      <c r="A8" s="26"/>
      <c r="B8" s="23"/>
      <c r="C8" s="26"/>
      <c r="D8" s="26"/>
      <c r="E8" s="26"/>
      <c r="F8" s="26"/>
      <c r="G8" s="26"/>
      <c r="H8" s="26"/>
      <c r="I8" s="26"/>
      <c r="J8" s="26"/>
      <c r="K8" s="26"/>
      <c r="L8" s="26"/>
      <c r="M8" s="26"/>
      <c r="N8" s="26"/>
      <c r="O8" s="26"/>
    </row>
    <row r="9" spans="1:15" ht="19.5" customHeight="1">
      <c r="A9" s="26"/>
      <c r="B9" s="23"/>
      <c r="C9" s="26"/>
      <c r="D9" s="26"/>
      <c r="E9" s="26"/>
      <c r="F9" s="26"/>
      <c r="G9" s="26"/>
      <c r="H9" s="26"/>
      <c r="I9" s="26"/>
      <c r="J9" s="26"/>
      <c r="K9" s="26"/>
      <c r="L9" s="26"/>
      <c r="M9" s="26"/>
      <c r="N9" s="26"/>
      <c r="O9" s="26"/>
    </row>
    <row r="10" spans="1:15" ht="19.5" customHeight="1">
      <c r="A10" s="26"/>
      <c r="B10" s="23"/>
      <c r="C10" s="26"/>
      <c r="D10" s="26"/>
      <c r="E10" s="26"/>
      <c r="F10" s="26"/>
      <c r="G10" s="26"/>
      <c r="H10" s="26"/>
      <c r="I10" s="26"/>
      <c r="J10" s="26"/>
      <c r="K10" s="26"/>
      <c r="L10" s="26"/>
      <c r="M10" s="26"/>
      <c r="N10" s="26"/>
      <c r="O10" s="26"/>
    </row>
    <row r="11" spans="1:15" ht="19.5" customHeight="1">
      <c r="A11" s="26"/>
      <c r="B11" s="23"/>
      <c r="C11" s="26"/>
      <c r="D11" s="26"/>
      <c r="E11" s="26"/>
      <c r="F11" s="26"/>
      <c r="G11" s="26"/>
      <c r="H11" s="26"/>
      <c r="I11" s="26"/>
      <c r="J11" s="26"/>
      <c r="K11" s="26"/>
      <c r="L11" s="26"/>
      <c r="M11" s="26"/>
      <c r="N11" s="26"/>
      <c r="O11" s="26"/>
    </row>
    <row r="12" spans="1:15" ht="19.5" customHeight="1">
      <c r="A12" s="26"/>
      <c r="B12" s="23"/>
      <c r="C12" s="26"/>
      <c r="D12" s="26"/>
      <c r="E12" s="26"/>
      <c r="F12" s="26"/>
      <c r="G12" s="26"/>
      <c r="H12" s="26"/>
      <c r="I12" s="26"/>
      <c r="J12" s="26"/>
      <c r="K12" s="26"/>
      <c r="L12" s="26"/>
      <c r="M12" s="26"/>
      <c r="N12" s="26"/>
      <c r="O12" s="26"/>
    </row>
    <row r="13" spans="1:15" ht="19.5" customHeight="1">
      <c r="A13" s="26"/>
      <c r="B13" s="23"/>
      <c r="C13" s="26"/>
      <c r="D13" s="26"/>
      <c r="E13" s="26"/>
      <c r="F13" s="26"/>
      <c r="G13" s="26"/>
      <c r="H13" s="26"/>
      <c r="I13" s="26"/>
      <c r="J13" s="26"/>
      <c r="K13" s="26"/>
      <c r="L13" s="26"/>
      <c r="M13" s="26"/>
      <c r="N13" s="26"/>
      <c r="O13" s="26"/>
    </row>
    <row r="14" spans="1:15" ht="19.5" customHeight="1">
      <c r="A14" s="26"/>
      <c r="B14" s="23"/>
      <c r="C14" s="26"/>
      <c r="D14" s="26"/>
      <c r="E14" s="26"/>
      <c r="F14" s="26"/>
      <c r="G14" s="26"/>
      <c r="H14" s="26"/>
      <c r="I14" s="26"/>
      <c r="J14" s="26"/>
      <c r="K14" s="26"/>
      <c r="L14" s="26"/>
      <c r="M14" s="26"/>
      <c r="N14" s="26"/>
      <c r="O14" s="26"/>
    </row>
    <row r="15" spans="1:15" ht="19.5" customHeight="1">
      <c r="A15" s="26"/>
      <c r="B15" s="23"/>
      <c r="C15" s="26"/>
      <c r="D15" s="26"/>
      <c r="E15" s="26"/>
      <c r="F15" s="26"/>
      <c r="G15" s="26"/>
      <c r="H15" s="26"/>
      <c r="I15" s="26"/>
      <c r="J15" s="26"/>
      <c r="K15" s="26"/>
      <c r="L15" s="26"/>
      <c r="M15" s="26"/>
      <c r="N15" s="26"/>
      <c r="O15" s="26"/>
    </row>
    <row r="16" spans="1:15" ht="19.5" customHeight="1">
      <c r="A16" s="26"/>
      <c r="B16" s="23"/>
      <c r="C16" s="26"/>
      <c r="D16" s="26"/>
      <c r="E16" s="26"/>
      <c r="F16" s="26"/>
      <c r="G16" s="26"/>
      <c r="H16" s="26"/>
      <c r="I16" s="26"/>
      <c r="J16" s="26"/>
      <c r="K16" s="26"/>
      <c r="L16" s="26"/>
      <c r="M16" s="26"/>
      <c r="N16" s="26"/>
      <c r="O16" s="26"/>
    </row>
    <row r="17" spans="1:15" ht="19.5" customHeight="1">
      <c r="A17" s="26"/>
      <c r="B17" s="23"/>
      <c r="C17" s="26"/>
      <c r="D17" s="26"/>
      <c r="E17" s="26"/>
      <c r="F17" s="26"/>
      <c r="G17" s="26"/>
      <c r="H17" s="26"/>
      <c r="I17" s="26"/>
      <c r="J17" s="26"/>
      <c r="K17" s="26"/>
      <c r="L17" s="26"/>
      <c r="M17" s="26"/>
      <c r="N17" s="26"/>
      <c r="O17" s="26"/>
    </row>
    <row r="18" spans="1:15" ht="19.5" customHeight="1">
      <c r="A18" s="26"/>
      <c r="B18" s="23"/>
      <c r="C18" s="26"/>
      <c r="D18" s="26"/>
      <c r="E18" s="26"/>
      <c r="F18" s="26"/>
      <c r="G18" s="26"/>
      <c r="H18" s="26"/>
      <c r="I18" s="26"/>
      <c r="J18" s="26"/>
      <c r="K18" s="26"/>
      <c r="L18" s="26"/>
      <c r="M18" s="26"/>
      <c r="N18" s="26"/>
      <c r="O18" s="26"/>
    </row>
    <row r="19" spans="1:15" ht="19.5" customHeight="1">
      <c r="A19" s="26"/>
      <c r="B19" s="23"/>
      <c r="C19" s="26"/>
      <c r="D19" s="26"/>
      <c r="E19" s="26"/>
      <c r="F19" s="26"/>
      <c r="G19" s="26"/>
      <c r="H19" s="26"/>
      <c r="I19" s="26"/>
      <c r="J19" s="26"/>
      <c r="K19" s="26"/>
      <c r="L19" s="26"/>
      <c r="M19" s="26"/>
      <c r="N19" s="26"/>
      <c r="O19" s="26"/>
    </row>
    <row r="20" spans="1:15" ht="19.5" customHeight="1">
      <c r="A20" s="26"/>
      <c r="B20" s="23"/>
      <c r="C20" s="26"/>
      <c r="D20" s="26"/>
      <c r="E20" s="26"/>
      <c r="F20" s="26"/>
      <c r="G20" s="26"/>
      <c r="H20" s="26"/>
      <c r="I20" s="26"/>
      <c r="J20" s="26"/>
      <c r="K20" s="26"/>
      <c r="L20" s="26"/>
      <c r="M20" s="26"/>
      <c r="N20" s="26"/>
      <c r="O20" s="26"/>
    </row>
    <row r="21" spans="1:15" ht="19.5" customHeight="1">
      <c r="A21" s="26"/>
      <c r="B21" s="23"/>
      <c r="C21" s="26"/>
      <c r="D21" s="26"/>
      <c r="E21" s="26"/>
      <c r="F21" s="26"/>
      <c r="G21" s="26"/>
      <c r="H21" s="26"/>
      <c r="I21" s="26"/>
      <c r="J21" s="26"/>
      <c r="K21" s="26"/>
      <c r="L21" s="26"/>
      <c r="M21" s="26"/>
      <c r="N21" s="26"/>
      <c r="O21" s="26"/>
    </row>
    <row r="22" spans="1:15" ht="19.5" customHeight="1">
      <c r="A22" s="26"/>
      <c r="B22" s="23"/>
      <c r="C22" s="26"/>
      <c r="D22" s="26"/>
      <c r="E22" s="26"/>
      <c r="F22" s="26"/>
      <c r="G22" s="26"/>
      <c r="H22" s="26"/>
      <c r="I22" s="26"/>
      <c r="J22" s="26"/>
      <c r="K22" s="26"/>
      <c r="L22" s="26"/>
      <c r="M22" s="26"/>
      <c r="N22" s="26"/>
      <c r="O22" s="26"/>
    </row>
    <row r="23" spans="1:15" ht="19.5" customHeight="1">
      <c r="A23" s="26"/>
      <c r="B23" s="23"/>
      <c r="C23" s="26"/>
      <c r="D23" s="26"/>
      <c r="E23" s="26"/>
      <c r="F23" s="26"/>
      <c r="G23" s="26"/>
      <c r="H23" s="26"/>
      <c r="I23" s="26"/>
      <c r="J23" s="26"/>
      <c r="K23" s="26"/>
      <c r="L23" s="26"/>
      <c r="M23" s="26"/>
      <c r="N23" s="26"/>
      <c r="O23" s="26"/>
    </row>
    <row r="24" spans="1:15" ht="19.5" customHeight="1">
      <c r="A24" s="26"/>
      <c r="B24" s="23"/>
      <c r="C24" s="26"/>
      <c r="D24" s="26"/>
      <c r="E24" s="26"/>
      <c r="F24" s="26"/>
      <c r="G24" s="26"/>
      <c r="H24" s="26"/>
      <c r="I24" s="26"/>
      <c r="J24" s="26"/>
      <c r="K24" s="26"/>
      <c r="L24" s="26"/>
      <c r="M24" s="26"/>
      <c r="N24" s="26"/>
      <c r="O24" s="26"/>
    </row>
    <row r="25" spans="1:15" ht="19.5" customHeight="1">
      <c r="A25" s="26"/>
      <c r="B25" s="23"/>
      <c r="C25" s="26"/>
      <c r="D25" s="26"/>
      <c r="E25" s="26"/>
      <c r="F25" s="26"/>
      <c r="G25" s="26"/>
      <c r="H25" s="26"/>
      <c r="I25" s="26"/>
      <c r="J25" s="26"/>
      <c r="K25" s="26"/>
      <c r="L25" s="26"/>
      <c r="M25" s="26"/>
      <c r="N25" s="26"/>
      <c r="O25" s="26"/>
    </row>
    <row r="26" spans="1:15" ht="19.5" customHeight="1">
      <c r="A26" s="26"/>
      <c r="B26" s="23"/>
      <c r="C26" s="26"/>
      <c r="D26" s="26"/>
      <c r="E26" s="26"/>
      <c r="F26" s="26"/>
      <c r="G26" s="26"/>
      <c r="H26" s="26"/>
      <c r="I26" s="26"/>
      <c r="J26" s="26"/>
      <c r="K26" s="26"/>
      <c r="L26" s="26"/>
      <c r="M26" s="26"/>
      <c r="N26" s="26"/>
      <c r="O26" s="26"/>
    </row>
    <row r="27" spans="1:15" ht="19.5" customHeight="1">
      <c r="A27" s="26"/>
      <c r="B27" s="27" t="s">
        <v>82</v>
      </c>
      <c r="C27" s="26"/>
      <c r="D27" s="26"/>
      <c r="E27" s="26"/>
      <c r="F27" s="26"/>
      <c r="G27" s="26"/>
      <c r="H27" s="26"/>
      <c r="I27" s="26"/>
      <c r="J27" s="26"/>
      <c r="K27" s="26"/>
      <c r="L27" s="26"/>
      <c r="M27" s="26"/>
      <c r="N27" s="26"/>
      <c r="O27" s="26"/>
    </row>
    <row r="28" spans="1:15" ht="19.5" customHeight="1">
      <c r="A28" s="26"/>
      <c r="B28" s="28" t="s">
        <v>83</v>
      </c>
      <c r="C28" s="26"/>
      <c r="D28" s="26"/>
      <c r="E28" s="26"/>
      <c r="F28" s="26"/>
      <c r="G28" s="26"/>
      <c r="H28" s="26"/>
      <c r="I28" s="26"/>
      <c r="J28" s="26"/>
      <c r="K28" s="26"/>
      <c r="L28" s="26"/>
      <c r="M28" s="26"/>
      <c r="N28" s="26"/>
      <c r="O28" s="26"/>
    </row>
    <row r="29" spans="1:15" ht="19.5" customHeight="1">
      <c r="A29" s="26"/>
      <c r="B29" s="23"/>
      <c r="C29" s="26"/>
      <c r="D29" s="26"/>
      <c r="E29" s="26"/>
      <c r="F29" s="26"/>
      <c r="G29" s="23"/>
      <c r="H29" s="26"/>
      <c r="I29" s="26"/>
      <c r="J29" s="26"/>
      <c r="K29" s="26"/>
      <c r="L29" s="26"/>
      <c r="M29" s="26"/>
      <c r="N29" s="26"/>
      <c r="O29" s="26"/>
    </row>
    <row r="30" spans="1:15" ht="19.5" customHeight="1">
      <c r="A30" s="26"/>
      <c r="B30" s="23"/>
      <c r="C30" s="26"/>
      <c r="D30" s="26"/>
      <c r="E30" s="26"/>
      <c r="F30" s="26"/>
      <c r="G30" s="23"/>
      <c r="H30" s="26"/>
      <c r="I30" s="26"/>
      <c r="J30" s="26"/>
      <c r="K30" s="26"/>
      <c r="L30" s="26"/>
      <c r="M30" s="26"/>
      <c r="N30" s="26"/>
      <c r="O30" s="26"/>
    </row>
    <row r="31" spans="1:15" ht="19.5" customHeight="1">
      <c r="A31" s="26"/>
      <c r="B31" s="23"/>
      <c r="C31" s="26"/>
      <c r="D31" s="26"/>
      <c r="E31" s="26"/>
      <c r="F31" s="26"/>
      <c r="G31" s="23"/>
      <c r="H31" s="26"/>
      <c r="I31" s="26"/>
      <c r="J31" s="26"/>
      <c r="K31" s="26"/>
      <c r="L31" s="26"/>
      <c r="M31" s="26"/>
      <c r="N31" s="26"/>
      <c r="O31" s="26"/>
    </row>
    <row r="32" spans="1:15" ht="19.5" customHeight="1">
      <c r="A32" s="26"/>
      <c r="B32" s="23"/>
      <c r="C32" s="26"/>
      <c r="D32" s="26"/>
      <c r="E32" s="26"/>
      <c r="F32" s="26"/>
      <c r="G32" s="23"/>
      <c r="H32" s="26"/>
      <c r="I32" s="26"/>
      <c r="J32" s="26"/>
      <c r="K32" s="26"/>
      <c r="L32" s="26"/>
      <c r="M32" s="26"/>
      <c r="N32" s="26"/>
      <c r="O32" s="26"/>
    </row>
    <row r="33" spans="1:15" ht="19.5" customHeight="1">
      <c r="A33" s="26"/>
      <c r="B33" s="23"/>
      <c r="C33" s="26"/>
      <c r="D33" s="26"/>
      <c r="E33" s="26"/>
      <c r="F33" s="26"/>
      <c r="G33" s="23"/>
      <c r="H33" s="26"/>
      <c r="I33" s="26"/>
      <c r="J33" s="26"/>
      <c r="K33" s="26"/>
      <c r="L33" s="26"/>
      <c r="M33" s="26"/>
      <c r="N33" s="26"/>
      <c r="O33" s="26"/>
    </row>
    <row r="34" spans="1:15" ht="19.5" customHeight="1">
      <c r="A34" s="26"/>
      <c r="B34" s="23"/>
      <c r="C34" s="26"/>
      <c r="D34" s="26"/>
      <c r="E34" s="26"/>
      <c r="F34" s="26"/>
      <c r="G34" s="23"/>
      <c r="H34" s="26"/>
      <c r="I34" s="26"/>
      <c r="J34" s="26"/>
      <c r="K34" s="26"/>
      <c r="L34" s="26"/>
      <c r="M34" s="26"/>
      <c r="N34" s="26"/>
      <c r="O34" s="26"/>
    </row>
    <row r="35" spans="1:15" ht="19.5" customHeight="1">
      <c r="A35" s="26"/>
      <c r="B35" s="23"/>
      <c r="C35" s="26"/>
      <c r="D35" s="26"/>
      <c r="E35" s="26"/>
      <c r="F35" s="26"/>
      <c r="G35" s="23"/>
      <c r="H35" s="26"/>
      <c r="I35" s="26"/>
      <c r="J35" s="26"/>
      <c r="K35" s="26"/>
      <c r="L35" s="26"/>
      <c r="M35" s="26"/>
      <c r="N35" s="26"/>
      <c r="O35" s="26"/>
    </row>
    <row r="36" spans="1:15" ht="19.5" customHeight="1">
      <c r="A36" s="26"/>
      <c r="B36" s="23"/>
      <c r="C36" s="26"/>
      <c r="D36" s="26"/>
      <c r="E36" s="26"/>
      <c r="F36" s="26"/>
      <c r="G36" s="23"/>
      <c r="H36" s="26"/>
      <c r="I36" s="26"/>
      <c r="J36" s="26"/>
      <c r="K36" s="26"/>
      <c r="L36" s="26"/>
      <c r="M36" s="26"/>
      <c r="N36" s="26"/>
      <c r="O36" s="26"/>
    </row>
    <row r="37" spans="1:15" ht="19.5" customHeight="1">
      <c r="A37" s="26"/>
      <c r="B37" s="23"/>
      <c r="C37" s="26"/>
      <c r="D37" s="26"/>
      <c r="E37" s="26"/>
      <c r="F37" s="26"/>
      <c r="G37" s="23"/>
      <c r="H37" s="26"/>
      <c r="I37" s="26"/>
      <c r="J37" s="26"/>
      <c r="K37" s="26"/>
      <c r="L37" s="26"/>
      <c r="M37" s="26"/>
      <c r="N37" s="26"/>
      <c r="O37" s="26"/>
    </row>
    <row r="38" spans="1:15" ht="19.5" customHeight="1">
      <c r="A38" s="26"/>
      <c r="B38" s="26"/>
      <c r="C38" s="26"/>
      <c r="D38" s="26"/>
      <c r="E38" s="26"/>
      <c r="F38" s="26"/>
      <c r="G38" s="23"/>
      <c r="H38" s="26"/>
      <c r="I38" s="26"/>
      <c r="J38" s="26"/>
      <c r="K38" s="26"/>
      <c r="L38" s="26"/>
      <c r="M38" s="26"/>
      <c r="N38" s="26"/>
      <c r="O38" s="26"/>
    </row>
    <row r="39" spans="1:15" ht="19.5" customHeight="1">
      <c r="A39" s="26"/>
      <c r="B39" s="26"/>
      <c r="C39" s="26"/>
      <c r="D39" s="26"/>
      <c r="E39" s="26"/>
      <c r="F39" s="26"/>
      <c r="G39" s="23"/>
      <c r="H39" s="26"/>
      <c r="I39" s="26"/>
      <c r="J39" s="26"/>
      <c r="K39" s="26"/>
      <c r="L39" s="26"/>
      <c r="M39" s="26"/>
      <c r="N39" s="26"/>
      <c r="O39" s="26"/>
    </row>
    <row r="40" spans="1:15" ht="19.5" customHeight="1">
      <c r="A40" s="26"/>
      <c r="B40" s="26"/>
      <c r="C40" s="26"/>
      <c r="D40" s="26"/>
      <c r="E40" s="26"/>
      <c r="F40" s="26"/>
      <c r="G40" s="23"/>
      <c r="H40" s="26"/>
      <c r="I40" s="26"/>
      <c r="J40" s="26"/>
      <c r="K40" s="26"/>
      <c r="L40" s="26"/>
      <c r="M40" s="26"/>
      <c r="N40" s="26"/>
      <c r="O40" s="26"/>
    </row>
    <row r="41" spans="1:15" ht="19.5" customHeight="1">
      <c r="A41" s="26"/>
      <c r="B41" s="26"/>
      <c r="C41" s="26"/>
      <c r="D41" s="26"/>
      <c r="E41" s="26"/>
      <c r="F41" s="26"/>
      <c r="G41" s="23"/>
      <c r="H41" s="26"/>
      <c r="I41" s="26"/>
      <c r="J41" s="26"/>
      <c r="K41" s="26"/>
      <c r="L41" s="26"/>
      <c r="M41" s="26"/>
      <c r="N41" s="26"/>
      <c r="O41" s="26"/>
    </row>
    <row r="42" spans="1:15" ht="19.5" customHeight="1">
      <c r="A42" s="26"/>
      <c r="B42" s="26"/>
      <c r="C42" s="26"/>
      <c r="D42" s="26"/>
      <c r="E42" s="26"/>
      <c r="F42" s="26"/>
      <c r="G42" s="23"/>
      <c r="H42" s="26"/>
      <c r="I42" s="26"/>
      <c r="J42" s="26"/>
      <c r="K42" s="26"/>
      <c r="L42" s="26"/>
      <c r="M42" s="26"/>
      <c r="N42" s="26"/>
      <c r="O42" s="26"/>
    </row>
    <row r="43" spans="1:15" ht="19.5" customHeight="1">
      <c r="A43" s="26"/>
      <c r="B43" s="23"/>
      <c r="C43" s="26"/>
      <c r="D43" s="26"/>
      <c r="E43" s="26"/>
      <c r="F43" s="26"/>
      <c r="G43" s="23"/>
      <c r="H43" s="26"/>
      <c r="I43" s="26"/>
      <c r="J43" s="26"/>
      <c r="K43" s="26"/>
      <c r="L43" s="26"/>
      <c r="M43" s="26"/>
      <c r="N43" s="26"/>
      <c r="O43" s="26"/>
    </row>
    <row r="44" spans="1:15" ht="19.5" customHeight="1">
      <c r="A44" s="26"/>
      <c r="B44" s="23"/>
      <c r="C44" s="26"/>
      <c r="D44" s="26"/>
      <c r="E44" s="26"/>
      <c r="F44" s="26"/>
      <c r="G44" s="23"/>
      <c r="H44" s="26"/>
      <c r="I44" s="26"/>
      <c r="J44" s="26"/>
      <c r="K44" s="26"/>
      <c r="L44" s="26"/>
      <c r="M44" s="26"/>
      <c r="N44" s="26"/>
      <c r="O44" s="26"/>
    </row>
    <row r="45" spans="1:15" ht="19.5" customHeight="1">
      <c r="A45" s="26"/>
      <c r="B45" s="23"/>
      <c r="C45" s="26"/>
      <c r="D45" s="26"/>
      <c r="E45" s="26"/>
      <c r="F45" s="26"/>
      <c r="G45" s="23"/>
      <c r="H45" s="26"/>
      <c r="I45" s="26"/>
      <c r="J45" s="26"/>
      <c r="K45" s="26"/>
      <c r="L45" s="26"/>
      <c r="M45" s="26"/>
      <c r="N45" s="26"/>
      <c r="O45" s="26"/>
    </row>
    <row r="46" spans="1:15" ht="19.5" customHeight="1">
      <c r="A46" s="26"/>
      <c r="B46" s="23"/>
      <c r="C46" s="26"/>
      <c r="D46" s="26"/>
      <c r="E46" s="26"/>
      <c r="F46" s="26"/>
      <c r="G46" s="23"/>
      <c r="H46" s="26"/>
      <c r="I46" s="26"/>
      <c r="J46" s="26"/>
      <c r="K46" s="26"/>
      <c r="L46" s="26"/>
      <c r="M46" s="26"/>
      <c r="N46" s="26"/>
      <c r="O46" s="26"/>
    </row>
    <row r="47" spans="1:15" ht="19.5" customHeight="1">
      <c r="A47" s="26"/>
      <c r="B47" s="23"/>
      <c r="C47" s="26"/>
      <c r="D47" s="26"/>
      <c r="E47" s="26"/>
      <c r="F47" s="26"/>
      <c r="G47" s="23"/>
      <c r="H47" s="26"/>
      <c r="I47" s="26"/>
      <c r="J47" s="26"/>
      <c r="K47" s="26"/>
      <c r="L47" s="26"/>
      <c r="M47" s="26"/>
      <c r="N47" s="26"/>
      <c r="O47" s="26"/>
    </row>
    <row r="48" spans="1:15" ht="19.5" customHeight="1">
      <c r="A48" s="26"/>
      <c r="B48" s="23"/>
      <c r="C48" s="26"/>
      <c r="D48" s="26"/>
      <c r="E48" s="26"/>
      <c r="F48" s="26"/>
      <c r="G48" s="23"/>
      <c r="H48" s="26"/>
      <c r="I48" s="26"/>
      <c r="J48" s="26"/>
      <c r="K48" s="26"/>
      <c r="L48" s="26"/>
      <c r="M48" s="26"/>
      <c r="N48" s="26"/>
      <c r="O48" s="26"/>
    </row>
    <row r="49" spans="1:15" ht="19.5" customHeight="1">
      <c r="A49" s="26"/>
      <c r="B49" s="23"/>
      <c r="C49" s="26"/>
      <c r="D49" s="26"/>
      <c r="E49" s="26"/>
      <c r="F49" s="26"/>
      <c r="G49" s="23"/>
      <c r="H49" s="26"/>
      <c r="I49" s="26"/>
      <c r="J49" s="26"/>
      <c r="K49" s="26"/>
      <c r="L49" s="26"/>
      <c r="M49" s="26"/>
      <c r="N49" s="26"/>
      <c r="O49" s="26"/>
    </row>
    <row r="50" spans="1:15" ht="19.5" customHeight="1">
      <c r="A50" s="26"/>
      <c r="B50" s="23"/>
      <c r="C50" s="26"/>
      <c r="D50" s="26"/>
      <c r="E50" s="26"/>
      <c r="F50" s="26"/>
      <c r="G50" s="23"/>
      <c r="H50" s="26"/>
      <c r="I50" s="26"/>
      <c r="J50" s="26"/>
      <c r="K50" s="26"/>
      <c r="L50" s="26"/>
      <c r="M50" s="26"/>
      <c r="N50" s="26"/>
      <c r="O50" s="26"/>
    </row>
  </sheetData>
  <pageMargins left="0.75" right="0.75" top="1" bottom="1"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S45"/>
  <sheetViews>
    <sheetView showGridLines="0" workbookViewId="0"/>
  </sheetViews>
  <sheetFormatPr baseColWidth="10" defaultColWidth="10.140625" defaultRowHeight="15" customHeight="1" outlineLevelRow="1"/>
  <cols>
    <col min="1" max="1" width="2.42578125" customWidth="1"/>
    <col min="2" max="2" width="27.140625" customWidth="1"/>
    <col min="3" max="3" width="6.28515625" customWidth="1"/>
    <col min="4" max="4" width="9.28515625" customWidth="1"/>
    <col min="5" max="5" width="9.42578125" customWidth="1"/>
    <col min="6" max="8" width="9.28515625" customWidth="1"/>
    <col min="9" max="9" width="7.140625" customWidth="1"/>
    <col min="10" max="10" width="9.28515625" customWidth="1"/>
    <col min="11" max="11" width="1.85546875" customWidth="1"/>
    <col min="12" max="13" width="7.140625" customWidth="1"/>
    <col min="14" max="21" width="1.85546875" customWidth="1"/>
    <col min="22" max="71" width="9.85546875" customWidth="1"/>
  </cols>
  <sheetData>
    <row r="1" spans="1:71" ht="17.25" customHeight="1">
      <c r="A1" s="26"/>
      <c r="B1" s="23"/>
      <c r="C1" s="29"/>
      <c r="D1" s="30"/>
      <c r="E1" s="23"/>
      <c r="F1" s="23"/>
      <c r="G1" s="23"/>
      <c r="H1" s="23"/>
      <c r="I1" s="26"/>
      <c r="J1" s="23"/>
      <c r="K1" s="30"/>
      <c r="L1" s="23"/>
      <c r="M1" s="23"/>
      <c r="N1" s="23"/>
      <c r="O1" s="23"/>
      <c r="P1" s="23"/>
      <c r="Q1" s="23"/>
      <c r="R1" s="23"/>
      <c r="S1" s="23"/>
      <c r="T1" s="23"/>
      <c r="U1" s="23"/>
      <c r="V1" s="23"/>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row>
    <row r="2" spans="1:71" ht="17.25" customHeight="1">
      <c r="A2" s="26"/>
      <c r="B2" s="31" t="s">
        <v>23</v>
      </c>
      <c r="C2" s="29"/>
      <c r="D2" s="30"/>
      <c r="E2" s="23"/>
      <c r="F2" s="23"/>
      <c r="G2" s="23"/>
      <c r="H2" s="23"/>
      <c r="I2" s="26"/>
      <c r="J2" s="23"/>
      <c r="K2" s="30"/>
      <c r="L2" s="23"/>
      <c r="M2" s="23"/>
      <c r="N2" s="23"/>
      <c r="O2" s="23"/>
      <c r="P2" s="23"/>
      <c r="Q2" s="23"/>
      <c r="R2" s="23"/>
      <c r="S2" s="23"/>
      <c r="T2" s="23"/>
      <c r="U2" s="23"/>
      <c r="V2" s="23"/>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row>
    <row r="3" spans="1:71" ht="17.25" customHeight="1">
      <c r="A3" s="26"/>
      <c r="B3" s="27"/>
      <c r="C3" s="29"/>
      <c r="D3" s="30"/>
      <c r="E3" s="23"/>
      <c r="F3" s="23"/>
      <c r="G3" s="23"/>
      <c r="H3" s="23"/>
      <c r="I3" s="26"/>
      <c r="J3" s="23"/>
      <c r="K3" s="30"/>
      <c r="L3" s="23"/>
      <c r="M3" s="23"/>
      <c r="N3" s="23"/>
      <c r="O3" s="23"/>
      <c r="P3" s="23"/>
      <c r="Q3" s="23"/>
      <c r="R3" s="23"/>
      <c r="S3" s="23"/>
      <c r="T3" s="23"/>
      <c r="U3" s="23"/>
      <c r="V3" s="23"/>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row>
    <row r="4" spans="1:71" ht="17.25" customHeight="1">
      <c r="A4" s="26"/>
      <c r="B4" s="32" t="s">
        <v>84</v>
      </c>
      <c r="C4" s="33" t="s">
        <v>85</v>
      </c>
      <c r="D4" s="34" t="s">
        <v>86</v>
      </c>
      <c r="E4" s="34"/>
      <c r="F4" s="34"/>
      <c r="G4" s="34"/>
      <c r="H4" s="34"/>
      <c r="I4" s="34"/>
      <c r="J4" s="34"/>
      <c r="K4" s="34"/>
      <c r="L4" s="32"/>
      <c r="M4" s="32"/>
      <c r="N4" s="35"/>
      <c r="O4" s="35"/>
      <c r="P4" s="35"/>
      <c r="Q4" s="35"/>
      <c r="R4" s="35"/>
      <c r="S4" s="35"/>
      <c r="T4" s="35"/>
      <c r="U4" s="35"/>
      <c r="V4" s="35">
        <f>EDATE(W4,-1)</f>
        <v>44926</v>
      </c>
      <c r="W4" s="36">
        <f>EOMONTH('Get Started'!D7,0)</f>
        <v>44957</v>
      </c>
      <c r="X4" s="36">
        <f t="shared" ref="X4:BS4" si="0">EOMONTH(EDATE(W4,1),0)</f>
        <v>44985</v>
      </c>
      <c r="Y4" s="36">
        <f t="shared" si="0"/>
        <v>45016</v>
      </c>
      <c r="Z4" s="36">
        <f t="shared" si="0"/>
        <v>45046</v>
      </c>
      <c r="AA4" s="36">
        <f t="shared" si="0"/>
        <v>45077</v>
      </c>
      <c r="AB4" s="36">
        <f t="shared" si="0"/>
        <v>45107</v>
      </c>
      <c r="AC4" s="36">
        <f t="shared" si="0"/>
        <v>45138</v>
      </c>
      <c r="AD4" s="36">
        <f t="shared" si="0"/>
        <v>45169</v>
      </c>
      <c r="AE4" s="36">
        <f t="shared" si="0"/>
        <v>45199</v>
      </c>
      <c r="AF4" s="36">
        <f t="shared" si="0"/>
        <v>45230</v>
      </c>
      <c r="AG4" s="36">
        <f t="shared" si="0"/>
        <v>45260</v>
      </c>
      <c r="AH4" s="36">
        <f t="shared" si="0"/>
        <v>45291</v>
      </c>
      <c r="AI4" s="36">
        <f t="shared" si="0"/>
        <v>45322</v>
      </c>
      <c r="AJ4" s="36">
        <f t="shared" si="0"/>
        <v>45351</v>
      </c>
      <c r="AK4" s="36">
        <f t="shared" si="0"/>
        <v>45382</v>
      </c>
      <c r="AL4" s="36">
        <f t="shared" si="0"/>
        <v>45412</v>
      </c>
      <c r="AM4" s="36">
        <f t="shared" si="0"/>
        <v>45443</v>
      </c>
      <c r="AN4" s="36">
        <f t="shared" si="0"/>
        <v>45473</v>
      </c>
      <c r="AO4" s="36">
        <f t="shared" si="0"/>
        <v>45504</v>
      </c>
      <c r="AP4" s="36">
        <f t="shared" si="0"/>
        <v>45535</v>
      </c>
      <c r="AQ4" s="36">
        <f t="shared" si="0"/>
        <v>45565</v>
      </c>
      <c r="AR4" s="36">
        <f t="shared" si="0"/>
        <v>45596</v>
      </c>
      <c r="AS4" s="36">
        <f t="shared" si="0"/>
        <v>45626</v>
      </c>
      <c r="AT4" s="36">
        <f t="shared" si="0"/>
        <v>45657</v>
      </c>
      <c r="AU4" s="36">
        <f t="shared" si="0"/>
        <v>45688</v>
      </c>
      <c r="AV4" s="36">
        <f t="shared" si="0"/>
        <v>45716</v>
      </c>
      <c r="AW4" s="36">
        <f t="shared" si="0"/>
        <v>45747</v>
      </c>
      <c r="AX4" s="36">
        <f t="shared" si="0"/>
        <v>45777</v>
      </c>
      <c r="AY4" s="36">
        <f t="shared" si="0"/>
        <v>45808</v>
      </c>
      <c r="AZ4" s="36">
        <f t="shared" si="0"/>
        <v>45838</v>
      </c>
      <c r="BA4" s="36">
        <f t="shared" si="0"/>
        <v>45869</v>
      </c>
      <c r="BB4" s="36">
        <f t="shared" si="0"/>
        <v>45900</v>
      </c>
      <c r="BC4" s="36">
        <f t="shared" si="0"/>
        <v>45930</v>
      </c>
      <c r="BD4" s="36">
        <f t="shared" si="0"/>
        <v>45961</v>
      </c>
      <c r="BE4" s="36">
        <f t="shared" si="0"/>
        <v>45991</v>
      </c>
      <c r="BF4" s="36">
        <f t="shared" si="0"/>
        <v>46022</v>
      </c>
      <c r="BG4" s="36">
        <f t="shared" si="0"/>
        <v>46053</v>
      </c>
      <c r="BH4" s="36">
        <f t="shared" si="0"/>
        <v>46081</v>
      </c>
      <c r="BI4" s="36">
        <f t="shared" si="0"/>
        <v>46112</v>
      </c>
      <c r="BJ4" s="36">
        <f t="shared" si="0"/>
        <v>46142</v>
      </c>
      <c r="BK4" s="36">
        <f t="shared" si="0"/>
        <v>46173</v>
      </c>
      <c r="BL4" s="36">
        <f t="shared" si="0"/>
        <v>46203</v>
      </c>
      <c r="BM4" s="36">
        <f t="shared" si="0"/>
        <v>46234</v>
      </c>
      <c r="BN4" s="36">
        <f t="shared" si="0"/>
        <v>46265</v>
      </c>
      <c r="BO4" s="36">
        <f t="shared" si="0"/>
        <v>46295</v>
      </c>
      <c r="BP4" s="36">
        <f t="shared" si="0"/>
        <v>46326</v>
      </c>
      <c r="BQ4" s="36">
        <f t="shared" si="0"/>
        <v>46356</v>
      </c>
      <c r="BR4" s="36">
        <f t="shared" si="0"/>
        <v>46387</v>
      </c>
      <c r="BS4" s="36">
        <f t="shared" si="0"/>
        <v>46418</v>
      </c>
    </row>
    <row r="5" spans="1:71" ht="17.25" customHeight="1">
      <c r="A5" s="26"/>
      <c r="B5" s="23" t="s">
        <v>87</v>
      </c>
      <c r="C5" s="29" t="s">
        <v>88</v>
      </c>
      <c r="D5" s="30" t="s">
        <v>89</v>
      </c>
      <c r="E5" s="29"/>
      <c r="F5" s="23"/>
      <c r="G5" s="23"/>
      <c r="H5" s="23"/>
      <c r="I5" s="26"/>
      <c r="J5" s="23"/>
      <c r="K5" s="23"/>
      <c r="L5" s="26"/>
      <c r="M5" s="26"/>
      <c r="N5" s="37"/>
      <c r="O5" s="37"/>
      <c r="P5" s="37"/>
      <c r="Q5" s="37"/>
      <c r="R5" s="37"/>
      <c r="S5" s="37"/>
      <c r="T5" s="37"/>
      <c r="U5" s="37"/>
      <c r="V5" s="37">
        <v>0</v>
      </c>
      <c r="W5" s="37">
        <v>0</v>
      </c>
      <c r="X5" s="37">
        <f t="shared" ref="X5:BS5" si="1">W5+1</f>
        <v>1</v>
      </c>
      <c r="Y5" s="37">
        <f t="shared" si="1"/>
        <v>2</v>
      </c>
      <c r="Z5" s="37">
        <f t="shared" si="1"/>
        <v>3</v>
      </c>
      <c r="AA5" s="37">
        <f t="shared" si="1"/>
        <v>4</v>
      </c>
      <c r="AB5" s="37">
        <f t="shared" si="1"/>
        <v>5</v>
      </c>
      <c r="AC5" s="37">
        <f t="shared" si="1"/>
        <v>6</v>
      </c>
      <c r="AD5" s="37">
        <f t="shared" si="1"/>
        <v>7</v>
      </c>
      <c r="AE5" s="37">
        <f t="shared" si="1"/>
        <v>8</v>
      </c>
      <c r="AF5" s="37">
        <f t="shared" si="1"/>
        <v>9</v>
      </c>
      <c r="AG5" s="37">
        <f t="shared" si="1"/>
        <v>10</v>
      </c>
      <c r="AH5" s="37">
        <f t="shared" si="1"/>
        <v>11</v>
      </c>
      <c r="AI5" s="37">
        <f t="shared" si="1"/>
        <v>12</v>
      </c>
      <c r="AJ5" s="37">
        <f t="shared" si="1"/>
        <v>13</v>
      </c>
      <c r="AK5" s="37">
        <f t="shared" si="1"/>
        <v>14</v>
      </c>
      <c r="AL5" s="37">
        <f t="shared" si="1"/>
        <v>15</v>
      </c>
      <c r="AM5" s="37">
        <f t="shared" si="1"/>
        <v>16</v>
      </c>
      <c r="AN5" s="37">
        <f t="shared" si="1"/>
        <v>17</v>
      </c>
      <c r="AO5" s="37">
        <f t="shared" si="1"/>
        <v>18</v>
      </c>
      <c r="AP5" s="37">
        <f t="shared" si="1"/>
        <v>19</v>
      </c>
      <c r="AQ5" s="37">
        <f t="shared" si="1"/>
        <v>20</v>
      </c>
      <c r="AR5" s="37">
        <f t="shared" si="1"/>
        <v>21</v>
      </c>
      <c r="AS5" s="37">
        <f t="shared" si="1"/>
        <v>22</v>
      </c>
      <c r="AT5" s="37">
        <f t="shared" si="1"/>
        <v>23</v>
      </c>
      <c r="AU5" s="37">
        <f t="shared" si="1"/>
        <v>24</v>
      </c>
      <c r="AV5" s="37">
        <f t="shared" si="1"/>
        <v>25</v>
      </c>
      <c r="AW5" s="37">
        <f t="shared" si="1"/>
        <v>26</v>
      </c>
      <c r="AX5" s="37">
        <f t="shared" si="1"/>
        <v>27</v>
      </c>
      <c r="AY5" s="37">
        <f t="shared" si="1"/>
        <v>28</v>
      </c>
      <c r="AZ5" s="37">
        <f t="shared" si="1"/>
        <v>29</v>
      </c>
      <c r="BA5" s="37">
        <f t="shared" si="1"/>
        <v>30</v>
      </c>
      <c r="BB5" s="37">
        <f t="shared" si="1"/>
        <v>31</v>
      </c>
      <c r="BC5" s="37">
        <f t="shared" si="1"/>
        <v>32</v>
      </c>
      <c r="BD5" s="37">
        <f t="shared" si="1"/>
        <v>33</v>
      </c>
      <c r="BE5" s="37">
        <f t="shared" si="1"/>
        <v>34</v>
      </c>
      <c r="BF5" s="37">
        <f t="shared" si="1"/>
        <v>35</v>
      </c>
      <c r="BG5" s="37">
        <f t="shared" si="1"/>
        <v>36</v>
      </c>
      <c r="BH5" s="37">
        <f t="shared" si="1"/>
        <v>37</v>
      </c>
      <c r="BI5" s="37">
        <f t="shared" si="1"/>
        <v>38</v>
      </c>
      <c r="BJ5" s="37">
        <f t="shared" si="1"/>
        <v>39</v>
      </c>
      <c r="BK5" s="37">
        <f t="shared" si="1"/>
        <v>40</v>
      </c>
      <c r="BL5" s="37">
        <f t="shared" si="1"/>
        <v>41</v>
      </c>
      <c r="BM5" s="37">
        <f t="shared" si="1"/>
        <v>42</v>
      </c>
      <c r="BN5" s="37">
        <f t="shared" si="1"/>
        <v>43</v>
      </c>
      <c r="BO5" s="37">
        <f t="shared" si="1"/>
        <v>44</v>
      </c>
      <c r="BP5" s="37">
        <f t="shared" si="1"/>
        <v>45</v>
      </c>
      <c r="BQ5" s="37">
        <f t="shared" si="1"/>
        <v>46</v>
      </c>
      <c r="BR5" s="37">
        <f t="shared" si="1"/>
        <v>47</v>
      </c>
      <c r="BS5" s="37">
        <f t="shared" si="1"/>
        <v>48</v>
      </c>
    </row>
    <row r="6" spans="1:71" ht="17.25" customHeight="1">
      <c r="A6" s="26"/>
      <c r="B6" s="23" t="s">
        <v>90</v>
      </c>
      <c r="C6" s="29" t="s">
        <v>88</v>
      </c>
      <c r="D6" s="30" t="str">
        <f>"the model structure runs for "&amp;BS6&amp;" months. Month 0 is a pre-structure month, meant to capture opening items that help calculate the first month"</f>
        <v>the model structure runs for 49 months. Month 0 is a pre-structure month, meant to capture opening items that help calculate the first month</v>
      </c>
      <c r="E6" s="26"/>
      <c r="F6" s="26"/>
      <c r="G6" s="26"/>
      <c r="H6" s="26"/>
      <c r="I6" s="26"/>
      <c r="J6" s="26"/>
      <c r="K6" s="30"/>
      <c r="L6" s="30"/>
      <c r="M6" s="30"/>
      <c r="N6" s="29"/>
      <c r="O6" s="29"/>
      <c r="P6" s="29"/>
      <c r="Q6" s="29"/>
      <c r="R6" s="29"/>
      <c r="S6" s="29"/>
      <c r="T6" s="29"/>
      <c r="U6" s="29"/>
      <c r="V6" s="29">
        <f>W6-1</f>
        <v>0</v>
      </c>
      <c r="W6" s="37">
        <v>1</v>
      </c>
      <c r="X6" s="37">
        <f t="shared" ref="X6:BS6" si="2">W6+1</f>
        <v>2</v>
      </c>
      <c r="Y6" s="37">
        <f t="shared" si="2"/>
        <v>3</v>
      </c>
      <c r="Z6" s="37">
        <f t="shared" si="2"/>
        <v>4</v>
      </c>
      <c r="AA6" s="37">
        <f t="shared" si="2"/>
        <v>5</v>
      </c>
      <c r="AB6" s="37">
        <f t="shared" si="2"/>
        <v>6</v>
      </c>
      <c r="AC6" s="37">
        <f t="shared" si="2"/>
        <v>7</v>
      </c>
      <c r="AD6" s="37">
        <f t="shared" si="2"/>
        <v>8</v>
      </c>
      <c r="AE6" s="37">
        <f t="shared" si="2"/>
        <v>9</v>
      </c>
      <c r="AF6" s="37">
        <f t="shared" si="2"/>
        <v>10</v>
      </c>
      <c r="AG6" s="37">
        <f t="shared" si="2"/>
        <v>11</v>
      </c>
      <c r="AH6" s="37">
        <f t="shared" si="2"/>
        <v>12</v>
      </c>
      <c r="AI6" s="37">
        <f t="shared" si="2"/>
        <v>13</v>
      </c>
      <c r="AJ6" s="37">
        <f t="shared" si="2"/>
        <v>14</v>
      </c>
      <c r="AK6" s="37">
        <f t="shared" si="2"/>
        <v>15</v>
      </c>
      <c r="AL6" s="37">
        <f t="shared" si="2"/>
        <v>16</v>
      </c>
      <c r="AM6" s="37">
        <f t="shared" si="2"/>
        <v>17</v>
      </c>
      <c r="AN6" s="37">
        <f t="shared" si="2"/>
        <v>18</v>
      </c>
      <c r="AO6" s="37">
        <f t="shared" si="2"/>
        <v>19</v>
      </c>
      <c r="AP6" s="37">
        <f t="shared" si="2"/>
        <v>20</v>
      </c>
      <c r="AQ6" s="37">
        <f t="shared" si="2"/>
        <v>21</v>
      </c>
      <c r="AR6" s="37">
        <f t="shared" si="2"/>
        <v>22</v>
      </c>
      <c r="AS6" s="37">
        <f t="shared" si="2"/>
        <v>23</v>
      </c>
      <c r="AT6" s="37">
        <f t="shared" si="2"/>
        <v>24</v>
      </c>
      <c r="AU6" s="37">
        <f t="shared" si="2"/>
        <v>25</v>
      </c>
      <c r="AV6" s="37">
        <f t="shared" si="2"/>
        <v>26</v>
      </c>
      <c r="AW6" s="37">
        <f t="shared" si="2"/>
        <v>27</v>
      </c>
      <c r="AX6" s="37">
        <f t="shared" si="2"/>
        <v>28</v>
      </c>
      <c r="AY6" s="37">
        <f t="shared" si="2"/>
        <v>29</v>
      </c>
      <c r="AZ6" s="37">
        <f t="shared" si="2"/>
        <v>30</v>
      </c>
      <c r="BA6" s="37">
        <f t="shared" si="2"/>
        <v>31</v>
      </c>
      <c r="BB6" s="37">
        <f t="shared" si="2"/>
        <v>32</v>
      </c>
      <c r="BC6" s="37">
        <f t="shared" si="2"/>
        <v>33</v>
      </c>
      <c r="BD6" s="37">
        <f t="shared" si="2"/>
        <v>34</v>
      </c>
      <c r="BE6" s="37">
        <f t="shared" si="2"/>
        <v>35</v>
      </c>
      <c r="BF6" s="37">
        <f t="shared" si="2"/>
        <v>36</v>
      </c>
      <c r="BG6" s="37">
        <f t="shared" si="2"/>
        <v>37</v>
      </c>
      <c r="BH6" s="37">
        <f t="shared" si="2"/>
        <v>38</v>
      </c>
      <c r="BI6" s="37">
        <f t="shared" si="2"/>
        <v>39</v>
      </c>
      <c r="BJ6" s="37">
        <f t="shared" si="2"/>
        <v>40</v>
      </c>
      <c r="BK6" s="37">
        <f t="shared" si="2"/>
        <v>41</v>
      </c>
      <c r="BL6" s="37">
        <f t="shared" si="2"/>
        <v>42</v>
      </c>
      <c r="BM6" s="37">
        <f t="shared" si="2"/>
        <v>43</v>
      </c>
      <c r="BN6" s="37">
        <f t="shared" si="2"/>
        <v>44</v>
      </c>
      <c r="BO6" s="37">
        <f t="shared" si="2"/>
        <v>45</v>
      </c>
      <c r="BP6" s="37">
        <f t="shared" si="2"/>
        <v>46</v>
      </c>
      <c r="BQ6" s="37">
        <f t="shared" si="2"/>
        <v>47</v>
      </c>
      <c r="BR6" s="37">
        <f t="shared" si="2"/>
        <v>48</v>
      </c>
      <c r="BS6" s="37">
        <f t="shared" si="2"/>
        <v>49</v>
      </c>
    </row>
    <row r="7" spans="1:71" ht="17.25" hidden="1" customHeight="1" outlineLevel="1">
      <c r="A7" s="26"/>
      <c r="B7" s="23" t="s">
        <v>91</v>
      </c>
      <c r="C7" s="38" t="s">
        <v>88</v>
      </c>
      <c r="D7" s="30" t="s">
        <v>92</v>
      </c>
      <c r="E7" s="23"/>
      <c r="F7" s="23"/>
      <c r="G7" s="23"/>
      <c r="H7" s="23"/>
      <c r="I7" s="26"/>
      <c r="J7" s="23"/>
      <c r="K7" s="30"/>
      <c r="L7" s="23"/>
      <c r="M7" s="23"/>
      <c r="N7" s="26"/>
      <c r="O7" s="26"/>
      <c r="P7" s="26"/>
      <c r="Q7" s="26"/>
      <c r="R7" s="26"/>
      <c r="S7" s="26"/>
      <c r="T7" s="26"/>
      <c r="U7" s="26"/>
      <c r="V7" s="26">
        <f>YEAR(V4)</f>
        <v>2022</v>
      </c>
      <c r="W7" s="26">
        <f t="array" ref="W7">IF(EOMONTH(W4,0)&lt;=EOMONTH('Get Started'!$D8,0),YEAR('Get Started'!$D8),IF(W6&lt;=(MONTH('Get Started'!$D8)-MONTH('Get Started'!$D7)),YEAR('Get Started'!$D8),IF(W6&lt;=12,YEAR('Get Started'!$D8)+1,IFERROR(INDEX(V7:$W7,0,MATCH(W5-12,V5:$W5,0)),0)+1)))</f>
        <v>2023</v>
      </c>
      <c r="X7" s="26">
        <f t="array" ref="X7">IF(EOMONTH(X4,0)&lt;=EOMONTH('Get Started'!$D8,0),YEAR('Get Started'!$D8),IF(X6&lt;=(MONTH('Get Started'!$D8)-MONTH('Get Started'!$D7)),YEAR('Get Started'!$D8),IF(X6&lt;=12,YEAR('Get Started'!$D8)+1,IFERROR(INDEX(W7:$W7,0,MATCH(X5-12,W5:$W5,0)),0)+1)))</f>
        <v>2023</v>
      </c>
      <c r="Y7" s="26">
        <f t="array" ref="Y7">IF(EOMONTH(Y4,0)&lt;=EOMONTH('Get Started'!$D8,0),YEAR('Get Started'!$D8),IF(Y6&lt;=(MONTH('Get Started'!$D8)-MONTH('Get Started'!$D7)),YEAR('Get Started'!$D8),IF(Y6&lt;=12,YEAR('Get Started'!$D8)+1,IFERROR(INDEX($W7:X7,0,MATCH(Y5-12,$W5:X5,0)),0)+1)))</f>
        <v>2023</v>
      </c>
      <c r="Z7" s="26">
        <f t="array" ref="Z7">IF(EOMONTH(Z4,0)&lt;=EOMONTH('Get Started'!$D8,0),YEAR('Get Started'!$D8),IF(Z6&lt;=(MONTH('Get Started'!$D8)-MONTH('Get Started'!$D7)),YEAR('Get Started'!$D8),IF(Z6&lt;=12,YEAR('Get Started'!$D8)+1,IFERROR(INDEX($W7:Y7,0,MATCH(Z5-12,$W5:Y5,0)),0)+1)))</f>
        <v>2023</v>
      </c>
      <c r="AA7" s="26">
        <f t="array" ref="AA7">IF(EOMONTH(AA4,0)&lt;=EOMONTH('Get Started'!$D8,0),YEAR('Get Started'!$D8),IF(AA6&lt;=(MONTH('Get Started'!$D8)-MONTH('Get Started'!$D7)),YEAR('Get Started'!$D8),IF(AA6&lt;=12,YEAR('Get Started'!$D8)+1,IFERROR(INDEX($W7:Z7,0,MATCH(AA5-12,$W5:Z5,0)),0)+1)))</f>
        <v>2023</v>
      </c>
      <c r="AB7" s="26">
        <f t="array" ref="AB7">IF(EOMONTH(AB4,0)&lt;=EOMONTH('Get Started'!$D8,0),YEAR('Get Started'!$D8),IF(AB6&lt;=(MONTH('Get Started'!$D8)-MONTH('Get Started'!$D7)),YEAR('Get Started'!$D8),IF(AB6&lt;=12,YEAR('Get Started'!$D8)+1,IFERROR(INDEX($W7:AA7,0,MATCH(AB5-12,$W5:AA5,0)),0)+1)))</f>
        <v>2023</v>
      </c>
      <c r="AC7" s="26">
        <f t="array" ref="AC7">IF(EOMONTH(AC4,0)&lt;=EOMONTH('Get Started'!$D8,0),YEAR('Get Started'!$D8),IF(AC6&lt;=(MONTH('Get Started'!$D8)-MONTH('Get Started'!$D7)),YEAR('Get Started'!$D8),IF(AC6&lt;=12,YEAR('Get Started'!$D8)+1,IFERROR(INDEX($W7:AB7,0,MATCH(AC5-12,$W5:AB5,0)),0)+1)))</f>
        <v>2023</v>
      </c>
      <c r="AD7" s="26">
        <f t="array" ref="AD7">IF(EOMONTH(AD4,0)&lt;=EOMONTH('Get Started'!$D8,0),YEAR('Get Started'!$D8),IF(AD6&lt;=(MONTH('Get Started'!$D8)-MONTH('Get Started'!$D7)),YEAR('Get Started'!$D8),IF(AD6&lt;=12,YEAR('Get Started'!$D8)+1,IFERROR(INDEX($W7:AC7,0,MATCH(AD5-12,$W5:AC5,0)),0)+1)))</f>
        <v>2023</v>
      </c>
      <c r="AE7" s="26">
        <f t="array" ref="AE7">IF(EOMONTH(AE4,0)&lt;=EOMONTH('Get Started'!$D8,0),YEAR('Get Started'!$D8),IF(AE6&lt;=(MONTH('Get Started'!$D8)-MONTH('Get Started'!$D7)),YEAR('Get Started'!$D8),IF(AE6&lt;=12,YEAR('Get Started'!$D8)+1,IFERROR(INDEX($W7:AD7,0,MATCH(AE5-12,$W5:AD5,0)),0)+1)))</f>
        <v>2023</v>
      </c>
      <c r="AF7" s="26">
        <f t="array" ref="AF7">IF(EOMONTH(AF4,0)&lt;=EOMONTH('Get Started'!$D8,0),YEAR('Get Started'!$D8),IF(AF6&lt;=(MONTH('Get Started'!$D8)-MONTH('Get Started'!$D7)),YEAR('Get Started'!$D8),IF(AF6&lt;=12,YEAR('Get Started'!$D8)+1,IFERROR(INDEX($W7:AE7,0,MATCH(AF5-12,$W5:AE5,0)),0)+1)))</f>
        <v>2023</v>
      </c>
      <c r="AG7" s="26">
        <f t="array" ref="AG7">IF(EOMONTH(AG4,0)&lt;=EOMONTH('Get Started'!$D8,0),YEAR('Get Started'!$D8),IF(AG6&lt;=(MONTH('Get Started'!$D8)-MONTH('Get Started'!$D7)),YEAR('Get Started'!$D8),IF(AG6&lt;=12,YEAR('Get Started'!$D8)+1,IFERROR(INDEX($W7:AF7,0,MATCH(AG5-12,$W5:AF5,0)),0)+1)))</f>
        <v>2023</v>
      </c>
      <c r="AH7" s="26">
        <f t="array" ref="AH7">IF(EOMONTH(AH4,0)&lt;=EOMONTH('Get Started'!$D8,0),YEAR('Get Started'!$D8),IF(AH6&lt;=(MONTH('Get Started'!$D8)-MONTH('Get Started'!$D7)),YEAR('Get Started'!$D8),IF(AH6&lt;=12,YEAR('Get Started'!$D8)+1,IFERROR(INDEX($W7:AG7,0,MATCH(AH5-12,$W5:AG5,0)),0)+1)))</f>
        <v>2023</v>
      </c>
      <c r="AI7" s="26">
        <f t="array" ref="AI7">IF(EOMONTH(AI4,0)&lt;=EOMONTH('Get Started'!$D8,0),YEAR('Get Started'!$D8),IF(AI6&lt;=(MONTH('Get Started'!$D8)-MONTH('Get Started'!$D7)),YEAR('Get Started'!$D8),IF(AI6&lt;=12,YEAR('Get Started'!$D8)+1,IFERROR(INDEX($W7:AH7,0,MATCH(AI5-12,$W5:AH5,0)),0)+1)))</f>
        <v>2024</v>
      </c>
      <c r="AJ7" s="26">
        <f t="array" ref="AJ7">IF(EOMONTH(AJ4,0)&lt;=EOMONTH('Get Started'!$D8,0),YEAR('Get Started'!$D8),IF(AJ6&lt;=(MONTH('Get Started'!$D8)-MONTH('Get Started'!$D7)),YEAR('Get Started'!$D8),IF(AJ6&lt;=12,YEAR('Get Started'!$D8)+1,IFERROR(INDEX($W7:AI7,0,MATCH(AJ5-12,$W5:AI5,0)),0)+1)))</f>
        <v>2024</v>
      </c>
      <c r="AK7" s="26">
        <f t="array" ref="AK7">IF(EOMONTH(AK4,0)&lt;=EOMONTH('Get Started'!$D8,0),YEAR('Get Started'!$D8),IF(AK6&lt;=(MONTH('Get Started'!$D8)-MONTH('Get Started'!$D7)),YEAR('Get Started'!$D8),IF(AK6&lt;=12,YEAR('Get Started'!$D8)+1,IFERROR(INDEX($W7:AJ7,0,MATCH(AK5-12,$W5:AJ5,0)),0)+1)))</f>
        <v>2024</v>
      </c>
      <c r="AL7" s="26">
        <f t="array" ref="AL7">IF(EOMONTH(AL4,0)&lt;=EOMONTH('Get Started'!$D8,0),YEAR('Get Started'!$D8),IF(AL6&lt;=(MONTH('Get Started'!$D8)-MONTH('Get Started'!$D7)),YEAR('Get Started'!$D8),IF(AL6&lt;=12,YEAR('Get Started'!$D8)+1,IFERROR(INDEX($W7:AK7,0,MATCH(AL5-12,$W5:AK5,0)),0)+1)))</f>
        <v>2024</v>
      </c>
      <c r="AM7" s="26">
        <f t="array" ref="AM7">IF(EOMONTH(AM4,0)&lt;=EOMONTH('Get Started'!$D8,0),YEAR('Get Started'!$D8),IF(AM6&lt;=(MONTH('Get Started'!$D8)-MONTH('Get Started'!$D7)),YEAR('Get Started'!$D8),IF(AM6&lt;=12,YEAR('Get Started'!$D8)+1,IFERROR(INDEX($W7:AL7,0,MATCH(AM5-12,$W5:AL5,0)),0)+1)))</f>
        <v>2024</v>
      </c>
      <c r="AN7" s="26">
        <f t="array" ref="AN7">IF(EOMONTH(AN4,0)&lt;=EOMONTH('Get Started'!$D8,0),YEAR('Get Started'!$D8),IF(AN6&lt;=(MONTH('Get Started'!$D8)-MONTH('Get Started'!$D7)),YEAR('Get Started'!$D8),IF(AN6&lt;=12,YEAR('Get Started'!$D8)+1,IFERROR(INDEX($W7:AM7,0,MATCH(AN5-12,$W5:AM5,0)),0)+1)))</f>
        <v>2024</v>
      </c>
      <c r="AO7" s="26">
        <f t="array" ref="AO7">IF(EOMONTH(AO4,0)&lt;=EOMONTH('Get Started'!$D8,0),YEAR('Get Started'!$D8),IF(AO6&lt;=(MONTH('Get Started'!$D8)-MONTH('Get Started'!$D7)),YEAR('Get Started'!$D8),IF(AO6&lt;=12,YEAR('Get Started'!$D8)+1,IFERROR(INDEX($W7:AN7,0,MATCH(AO5-12,$W5:AN5,0)),0)+1)))</f>
        <v>2024</v>
      </c>
      <c r="AP7" s="26">
        <f t="array" ref="AP7">IF(EOMONTH(AP4,0)&lt;=EOMONTH('Get Started'!$D8,0),YEAR('Get Started'!$D8),IF(AP6&lt;=(MONTH('Get Started'!$D8)-MONTH('Get Started'!$D7)),YEAR('Get Started'!$D8),IF(AP6&lt;=12,YEAR('Get Started'!$D8)+1,IFERROR(INDEX($W7:AO7,0,MATCH(AP5-12,$W5:AO5,0)),0)+1)))</f>
        <v>2024</v>
      </c>
      <c r="AQ7" s="26">
        <f t="array" ref="AQ7">IF(EOMONTH(AQ4,0)&lt;=EOMONTH('Get Started'!$D8,0),YEAR('Get Started'!$D8),IF(AQ6&lt;=(MONTH('Get Started'!$D8)-MONTH('Get Started'!$D7)),YEAR('Get Started'!$D8),IF(AQ6&lt;=12,YEAR('Get Started'!$D8)+1,IFERROR(INDEX($W7:AP7,0,MATCH(AQ5-12,$W5:AP5,0)),0)+1)))</f>
        <v>2024</v>
      </c>
      <c r="AR7" s="26">
        <f t="array" ref="AR7">IF(EOMONTH(AR4,0)&lt;=EOMONTH('Get Started'!$D8,0),YEAR('Get Started'!$D8),IF(AR6&lt;=(MONTH('Get Started'!$D8)-MONTH('Get Started'!$D7)),YEAR('Get Started'!$D8),IF(AR6&lt;=12,YEAR('Get Started'!$D8)+1,IFERROR(INDEX($W7:AQ7,0,MATCH(AR5-12,$W5:AQ5,0)),0)+1)))</f>
        <v>2024</v>
      </c>
      <c r="AS7" s="26">
        <f t="array" ref="AS7">IF(EOMONTH(AS4,0)&lt;=EOMONTH('Get Started'!$D8,0),YEAR('Get Started'!$D8),IF(AS6&lt;=(MONTH('Get Started'!$D8)-MONTH('Get Started'!$D7)),YEAR('Get Started'!$D8),IF(AS6&lt;=12,YEAR('Get Started'!$D8)+1,IFERROR(INDEX($W7:AR7,0,MATCH(AS5-12,$W5:AR5,0)),0)+1)))</f>
        <v>2024</v>
      </c>
      <c r="AT7" s="26">
        <f t="array" ref="AT7">IF(EOMONTH(AT4,0)&lt;=EOMONTH('Get Started'!$D8,0),YEAR('Get Started'!$D8),IF(AT6&lt;=(MONTH('Get Started'!$D8)-MONTH('Get Started'!$D7)),YEAR('Get Started'!$D8),IF(AT6&lt;=12,YEAR('Get Started'!$D8)+1,IFERROR(INDEX($W7:AS7,0,MATCH(AT5-12,$W5:AS5,0)),0)+1)))</f>
        <v>2024</v>
      </c>
      <c r="AU7" s="26">
        <f t="array" ref="AU7">IF(EOMONTH(AU4,0)&lt;=EOMONTH('Get Started'!$D8,0),YEAR('Get Started'!$D8),IF(AU6&lt;=(MONTH('Get Started'!$D8)-MONTH('Get Started'!$D7)),YEAR('Get Started'!$D8),IF(AU6&lt;=12,YEAR('Get Started'!$D8)+1,IFERROR(INDEX($W7:AT7,0,MATCH(AU5-12,$W5:AT5,0)),0)+1)))</f>
        <v>2025</v>
      </c>
      <c r="AV7" s="26">
        <f t="array" ref="AV7">IF(EOMONTH(AV4,0)&lt;=EOMONTH('Get Started'!$D8,0),YEAR('Get Started'!$D8),IF(AV6&lt;=(MONTH('Get Started'!$D8)-MONTH('Get Started'!$D7)),YEAR('Get Started'!$D8),IF(AV6&lt;=12,YEAR('Get Started'!$D8)+1,IFERROR(INDEX($W7:AU7,0,MATCH(AV5-12,$W5:AU5,0)),0)+1)))</f>
        <v>2025</v>
      </c>
      <c r="AW7" s="26">
        <f t="array" ref="AW7">IF(EOMONTH(AW4,0)&lt;=EOMONTH('Get Started'!$D8,0),YEAR('Get Started'!$D8),IF(AW6&lt;=(MONTH('Get Started'!$D8)-MONTH('Get Started'!$D7)),YEAR('Get Started'!$D8),IF(AW6&lt;=12,YEAR('Get Started'!$D8)+1,IFERROR(INDEX($W7:AV7,0,MATCH(AW5-12,$W5:AV5,0)),0)+1)))</f>
        <v>2025</v>
      </c>
      <c r="AX7" s="26">
        <f t="array" ref="AX7">IF(EOMONTH(AX4,0)&lt;=EOMONTH('Get Started'!$D8,0),YEAR('Get Started'!$D8),IF(AX6&lt;=(MONTH('Get Started'!$D8)-MONTH('Get Started'!$D7)),YEAR('Get Started'!$D8),IF(AX6&lt;=12,YEAR('Get Started'!$D8)+1,IFERROR(INDEX($W7:AW7,0,MATCH(AX5-12,$W5:AW5,0)),0)+1)))</f>
        <v>2025</v>
      </c>
      <c r="AY7" s="26">
        <f t="array" ref="AY7">IF(EOMONTH(AY4,0)&lt;=EOMONTH('Get Started'!$D8,0),YEAR('Get Started'!$D8),IF(AY6&lt;=(MONTH('Get Started'!$D8)-MONTH('Get Started'!$D7)),YEAR('Get Started'!$D8),IF(AY6&lt;=12,YEAR('Get Started'!$D8)+1,IFERROR(INDEX($W7:AX7,0,MATCH(AY5-12,$W5:AX5,0)),0)+1)))</f>
        <v>2025</v>
      </c>
      <c r="AZ7" s="26">
        <f t="array" ref="AZ7">IF(EOMONTH(AZ4,0)&lt;=EOMONTH('Get Started'!$D8,0),YEAR('Get Started'!$D8),IF(AZ6&lt;=(MONTH('Get Started'!$D8)-MONTH('Get Started'!$D7)),YEAR('Get Started'!$D8),IF(AZ6&lt;=12,YEAR('Get Started'!$D8)+1,IFERROR(INDEX($W7:AY7,0,MATCH(AZ5-12,$W5:AY5,0)),0)+1)))</f>
        <v>2025</v>
      </c>
      <c r="BA7" s="26">
        <f t="array" ref="BA7">IF(EOMONTH(BA4,0)&lt;=EOMONTH('Get Started'!$D8,0),YEAR('Get Started'!$D8),IF(BA6&lt;=(MONTH('Get Started'!$D8)-MONTH('Get Started'!$D7)),YEAR('Get Started'!$D8),IF(BA6&lt;=12,YEAR('Get Started'!$D8)+1,IFERROR(INDEX($W7:AZ7,0,MATCH(BA5-12,$W5:AZ5,0)),0)+1)))</f>
        <v>2025</v>
      </c>
      <c r="BB7" s="26">
        <f t="array" ref="BB7">IF(EOMONTH(BB4,0)&lt;=EOMONTH('Get Started'!$D8,0),YEAR('Get Started'!$D8),IF(BB6&lt;=(MONTH('Get Started'!$D8)-MONTH('Get Started'!$D7)),YEAR('Get Started'!$D8),IF(BB6&lt;=12,YEAR('Get Started'!$D8)+1,IFERROR(INDEX($W7:BA7,0,MATCH(BB5-12,$W5:BA5,0)),0)+1)))</f>
        <v>2025</v>
      </c>
      <c r="BC7" s="26">
        <f t="array" ref="BC7">IF(EOMONTH(BC4,0)&lt;=EOMONTH('Get Started'!$D8,0),YEAR('Get Started'!$D8),IF(BC6&lt;=(MONTH('Get Started'!$D8)-MONTH('Get Started'!$D7)),YEAR('Get Started'!$D8),IF(BC6&lt;=12,YEAR('Get Started'!$D8)+1,IFERROR(INDEX($W7:BB7,0,MATCH(BC5-12,$W5:BB5,0)),0)+1)))</f>
        <v>2025</v>
      </c>
      <c r="BD7" s="26">
        <f t="array" ref="BD7">IF(EOMONTH(BD4,0)&lt;=EOMONTH('Get Started'!$D8,0),YEAR('Get Started'!$D8),IF(BD6&lt;=(MONTH('Get Started'!$D8)-MONTH('Get Started'!$D7)),YEAR('Get Started'!$D8),IF(BD6&lt;=12,YEAR('Get Started'!$D8)+1,IFERROR(INDEX($W7:BC7,0,MATCH(BD5-12,$W5:BC5,0)),0)+1)))</f>
        <v>2025</v>
      </c>
      <c r="BE7" s="26">
        <f t="array" ref="BE7">IF(EOMONTH(BE4,0)&lt;=EOMONTH('Get Started'!$D8,0),YEAR('Get Started'!$D8),IF(BE6&lt;=(MONTH('Get Started'!$D8)-MONTH('Get Started'!$D7)),YEAR('Get Started'!$D8),IF(BE6&lt;=12,YEAR('Get Started'!$D8)+1,IFERROR(INDEX($W7:BD7,0,MATCH(BE5-12,$W5:BD5,0)),0)+1)))</f>
        <v>2025</v>
      </c>
      <c r="BF7" s="26">
        <f t="array" ref="BF7">IF(EOMONTH(BF4,0)&lt;=EOMONTH('Get Started'!$D8,0),YEAR('Get Started'!$D8),IF(BF6&lt;=(MONTH('Get Started'!$D8)-MONTH('Get Started'!$D7)),YEAR('Get Started'!$D8),IF(BF6&lt;=12,YEAR('Get Started'!$D8)+1,IFERROR(INDEX($W7:BE7,0,MATCH(BF5-12,$W5:BE5,0)),0)+1)))</f>
        <v>2025</v>
      </c>
      <c r="BG7" s="26">
        <f t="array" ref="BG7">IF(EOMONTH(BG4,0)&lt;=EOMONTH('Get Started'!$D8,0),YEAR('Get Started'!$D8),IF(BG6&lt;=(MONTH('Get Started'!$D8)-MONTH('Get Started'!$D7)),YEAR('Get Started'!$D8),IF(BG6&lt;=12,YEAR('Get Started'!$D8)+1,IFERROR(INDEX($W7:BF7,0,MATCH(BG5-12,$W5:BF5,0)),0)+1)))</f>
        <v>2026</v>
      </c>
      <c r="BH7" s="26">
        <f t="array" ref="BH7">IF(EOMONTH(BH4,0)&lt;=EOMONTH('Get Started'!$D8,0),YEAR('Get Started'!$D8),IF(BH6&lt;=(MONTH('Get Started'!$D8)-MONTH('Get Started'!$D7)),YEAR('Get Started'!$D8),IF(BH6&lt;=12,YEAR('Get Started'!$D8)+1,IFERROR(INDEX($W7:BG7,0,MATCH(BH5-12,$W5:BG5,0)),0)+1)))</f>
        <v>2026</v>
      </c>
      <c r="BI7" s="26">
        <f t="array" ref="BI7">IF(EOMONTH(BI4,0)&lt;=EOMONTH('Get Started'!$D8,0),YEAR('Get Started'!$D8),IF(BI6&lt;=(MONTH('Get Started'!$D8)-MONTH('Get Started'!$D7)),YEAR('Get Started'!$D8),IF(BI6&lt;=12,YEAR('Get Started'!$D8)+1,IFERROR(INDEX($W7:BH7,0,MATCH(BI5-12,$W5:BH5,0)),0)+1)))</f>
        <v>2026</v>
      </c>
      <c r="BJ7" s="26">
        <f t="array" ref="BJ7">IF(EOMONTH(BJ4,0)&lt;=EOMONTH('Get Started'!$D8,0),YEAR('Get Started'!$D8),IF(BJ6&lt;=(MONTH('Get Started'!$D8)-MONTH('Get Started'!$D7)),YEAR('Get Started'!$D8),IF(BJ6&lt;=12,YEAR('Get Started'!$D8)+1,IFERROR(INDEX($W7:BI7,0,MATCH(BJ5-12,$W5:BI5,0)),0)+1)))</f>
        <v>2026</v>
      </c>
      <c r="BK7" s="26">
        <f t="array" ref="BK7">IF(EOMONTH(BK4,0)&lt;=EOMONTH('Get Started'!$D8,0),YEAR('Get Started'!$D8),IF(BK6&lt;=(MONTH('Get Started'!$D8)-MONTH('Get Started'!$D7)),YEAR('Get Started'!$D8),IF(BK6&lt;=12,YEAR('Get Started'!$D8)+1,IFERROR(INDEX($W7:BJ7,0,MATCH(BK5-12,$W5:BJ5,0)),0)+1)))</f>
        <v>2026</v>
      </c>
      <c r="BL7" s="26">
        <f t="array" ref="BL7">IF(EOMONTH(BL4,0)&lt;=EOMONTH('Get Started'!$D8,0),YEAR('Get Started'!$D8),IF(BL6&lt;=(MONTH('Get Started'!$D8)-MONTH('Get Started'!$D7)),YEAR('Get Started'!$D8),IF(BL6&lt;=12,YEAR('Get Started'!$D8)+1,IFERROR(INDEX($W7:BK7,0,MATCH(BL5-12,$W5:BK5,0)),0)+1)))</f>
        <v>2026</v>
      </c>
      <c r="BM7" s="26">
        <f t="array" ref="BM7">IF(EOMONTH(BM4,0)&lt;=EOMONTH('Get Started'!$D8,0),YEAR('Get Started'!$D8),IF(BM6&lt;=(MONTH('Get Started'!$D8)-MONTH('Get Started'!$D7)),YEAR('Get Started'!$D8),IF(BM6&lt;=12,YEAR('Get Started'!$D8)+1,IFERROR(INDEX($W7:BL7,0,MATCH(BM5-12,$W5:BL5,0)),0)+1)))</f>
        <v>2026</v>
      </c>
      <c r="BN7" s="26">
        <f t="array" ref="BN7">IF(EOMONTH(BN4,0)&lt;=EOMONTH('Get Started'!$D8,0),YEAR('Get Started'!$D8),IF(BN6&lt;=(MONTH('Get Started'!$D8)-MONTH('Get Started'!$D7)),YEAR('Get Started'!$D8),IF(BN6&lt;=12,YEAR('Get Started'!$D8)+1,IFERROR(INDEX($W7:BM7,0,MATCH(BN5-12,$W5:BM5,0)),0)+1)))</f>
        <v>2026</v>
      </c>
      <c r="BO7" s="26">
        <f t="array" ref="BO7">IF(EOMONTH(BO4,0)&lt;=EOMONTH('Get Started'!$D8,0),YEAR('Get Started'!$D8),IF(BO6&lt;=(MONTH('Get Started'!$D8)-MONTH('Get Started'!$D7)),YEAR('Get Started'!$D8),IF(BO6&lt;=12,YEAR('Get Started'!$D8)+1,IFERROR(INDEX($W7:BN7,0,MATCH(BO5-12,$W5:BN5,0)),0)+1)))</f>
        <v>2026</v>
      </c>
      <c r="BP7" s="26">
        <f t="array" ref="BP7">IF(EOMONTH(BP4,0)&lt;=EOMONTH('Get Started'!$D8,0),YEAR('Get Started'!$D8),IF(BP6&lt;=(MONTH('Get Started'!$D8)-MONTH('Get Started'!$D7)),YEAR('Get Started'!$D8),IF(BP6&lt;=12,YEAR('Get Started'!$D8)+1,IFERROR(INDEX($W7:BO7,0,MATCH(BP5-12,$W5:BO5,0)),0)+1)))</f>
        <v>2026</v>
      </c>
      <c r="BQ7" s="26">
        <f t="array" ref="BQ7">IF(EOMONTH(BQ4,0)&lt;=EOMONTH('Get Started'!$D8,0),YEAR('Get Started'!$D8),IF(BQ6&lt;=(MONTH('Get Started'!$D8)-MONTH('Get Started'!$D7)),YEAR('Get Started'!$D8),IF(BQ6&lt;=12,YEAR('Get Started'!$D8)+1,IFERROR(INDEX($W7:BP7,0,MATCH(BQ5-12,$W5:BP5,0)),0)+1)))</f>
        <v>2026</v>
      </c>
      <c r="BR7" s="26">
        <f t="array" ref="BR7">IF(EOMONTH(BR4,0)&lt;=EOMONTH('Get Started'!$D8,0),YEAR('Get Started'!$D8),IF(BR6&lt;=(MONTH('Get Started'!$D8)-MONTH('Get Started'!$D7)),YEAR('Get Started'!$D8),IF(BR6&lt;=12,YEAR('Get Started'!$D8)+1,IFERROR(INDEX($W7:BQ7,0,MATCH(BR5-12,$W5:BQ5,0)),0)+1)))</f>
        <v>2026</v>
      </c>
      <c r="BS7" s="26">
        <f t="array" ref="BS7">IF(EOMONTH(BS4,0)&lt;=EOMONTH('Get Started'!$D8,0),YEAR('Get Started'!$D8),IF(BS6&lt;=(MONTH('Get Started'!$D8)-MONTH('Get Started'!$D7)),YEAR('Get Started'!$D8),IF(BS6&lt;=12,YEAR('Get Started'!$D8)+1,IFERROR(INDEX($W7:BR7,0,MATCH(BS5-12,$W5:BR5,0)),0)+1)))</f>
        <v>2027</v>
      </c>
    </row>
    <row r="8" spans="1:71" ht="17.25" hidden="1" customHeight="1" outlineLevel="1">
      <c r="A8" s="26"/>
      <c r="B8" s="23" t="s">
        <v>93</v>
      </c>
      <c r="C8" s="29" t="s">
        <v>94</v>
      </c>
      <c r="D8" s="30" t="s">
        <v>95</v>
      </c>
      <c r="E8" s="23"/>
      <c r="F8" s="23"/>
      <c r="G8" s="23"/>
      <c r="H8" s="23"/>
      <c r="I8" s="26"/>
      <c r="J8" s="23"/>
      <c r="K8" s="30"/>
      <c r="L8" s="23"/>
      <c r="M8" s="23"/>
      <c r="N8" s="39"/>
      <c r="O8" s="39"/>
      <c r="P8" s="39"/>
      <c r="Q8" s="39"/>
      <c r="R8" s="39"/>
      <c r="S8" s="39"/>
      <c r="T8" s="39"/>
      <c r="U8" s="39"/>
      <c r="V8" s="39" t="str">
        <f t="shared" ref="V8:BS8" si="3">IF(OR(V11=3,V11=2,V11=1),"Q1",IF(OR(V11=6,V11=5,V11=4),"Q2",IF(OR(V11=9,V11=8,V11=7),"Q3","Q4")))</f>
        <v>Q4</v>
      </c>
      <c r="W8" s="39" t="str">
        <f t="shared" si="3"/>
        <v>Q1</v>
      </c>
      <c r="X8" s="39" t="str">
        <f t="shared" si="3"/>
        <v>Q1</v>
      </c>
      <c r="Y8" s="39" t="str">
        <f t="shared" si="3"/>
        <v>Q1</v>
      </c>
      <c r="Z8" s="39" t="str">
        <f t="shared" si="3"/>
        <v>Q2</v>
      </c>
      <c r="AA8" s="39" t="str">
        <f t="shared" si="3"/>
        <v>Q2</v>
      </c>
      <c r="AB8" s="39" t="str">
        <f t="shared" si="3"/>
        <v>Q2</v>
      </c>
      <c r="AC8" s="39" t="str">
        <f t="shared" si="3"/>
        <v>Q3</v>
      </c>
      <c r="AD8" s="39" t="str">
        <f t="shared" si="3"/>
        <v>Q3</v>
      </c>
      <c r="AE8" s="39" t="str">
        <f t="shared" si="3"/>
        <v>Q3</v>
      </c>
      <c r="AF8" s="39" t="str">
        <f t="shared" si="3"/>
        <v>Q4</v>
      </c>
      <c r="AG8" s="39" t="str">
        <f t="shared" si="3"/>
        <v>Q4</v>
      </c>
      <c r="AH8" s="39" t="str">
        <f t="shared" si="3"/>
        <v>Q4</v>
      </c>
      <c r="AI8" s="39" t="str">
        <f t="shared" si="3"/>
        <v>Q1</v>
      </c>
      <c r="AJ8" s="39" t="str">
        <f t="shared" si="3"/>
        <v>Q1</v>
      </c>
      <c r="AK8" s="39" t="str">
        <f t="shared" si="3"/>
        <v>Q1</v>
      </c>
      <c r="AL8" s="39" t="str">
        <f t="shared" si="3"/>
        <v>Q2</v>
      </c>
      <c r="AM8" s="39" t="str">
        <f t="shared" si="3"/>
        <v>Q2</v>
      </c>
      <c r="AN8" s="39" t="str">
        <f t="shared" si="3"/>
        <v>Q2</v>
      </c>
      <c r="AO8" s="39" t="str">
        <f t="shared" si="3"/>
        <v>Q3</v>
      </c>
      <c r="AP8" s="39" t="str">
        <f t="shared" si="3"/>
        <v>Q3</v>
      </c>
      <c r="AQ8" s="39" t="str">
        <f t="shared" si="3"/>
        <v>Q3</v>
      </c>
      <c r="AR8" s="39" t="str">
        <f t="shared" si="3"/>
        <v>Q4</v>
      </c>
      <c r="AS8" s="39" t="str">
        <f t="shared" si="3"/>
        <v>Q4</v>
      </c>
      <c r="AT8" s="39" t="str">
        <f t="shared" si="3"/>
        <v>Q4</v>
      </c>
      <c r="AU8" s="39" t="str">
        <f t="shared" si="3"/>
        <v>Q1</v>
      </c>
      <c r="AV8" s="39" t="str">
        <f t="shared" si="3"/>
        <v>Q1</v>
      </c>
      <c r="AW8" s="39" t="str">
        <f t="shared" si="3"/>
        <v>Q1</v>
      </c>
      <c r="AX8" s="39" t="str">
        <f t="shared" si="3"/>
        <v>Q2</v>
      </c>
      <c r="AY8" s="39" t="str">
        <f t="shared" si="3"/>
        <v>Q2</v>
      </c>
      <c r="AZ8" s="39" t="str">
        <f t="shared" si="3"/>
        <v>Q2</v>
      </c>
      <c r="BA8" s="39" t="str">
        <f t="shared" si="3"/>
        <v>Q3</v>
      </c>
      <c r="BB8" s="39" t="str">
        <f t="shared" si="3"/>
        <v>Q3</v>
      </c>
      <c r="BC8" s="39" t="str">
        <f t="shared" si="3"/>
        <v>Q3</v>
      </c>
      <c r="BD8" s="39" t="str">
        <f t="shared" si="3"/>
        <v>Q4</v>
      </c>
      <c r="BE8" s="39" t="str">
        <f t="shared" si="3"/>
        <v>Q4</v>
      </c>
      <c r="BF8" s="39" t="str">
        <f t="shared" si="3"/>
        <v>Q4</v>
      </c>
      <c r="BG8" s="39" t="str">
        <f t="shared" si="3"/>
        <v>Q1</v>
      </c>
      <c r="BH8" s="39" t="str">
        <f t="shared" si="3"/>
        <v>Q1</v>
      </c>
      <c r="BI8" s="39" t="str">
        <f t="shared" si="3"/>
        <v>Q1</v>
      </c>
      <c r="BJ8" s="39" t="str">
        <f t="shared" si="3"/>
        <v>Q2</v>
      </c>
      <c r="BK8" s="39" t="str">
        <f t="shared" si="3"/>
        <v>Q2</v>
      </c>
      <c r="BL8" s="39" t="str">
        <f t="shared" si="3"/>
        <v>Q2</v>
      </c>
      <c r="BM8" s="39" t="str">
        <f t="shared" si="3"/>
        <v>Q3</v>
      </c>
      <c r="BN8" s="39" t="str">
        <f t="shared" si="3"/>
        <v>Q3</v>
      </c>
      <c r="BO8" s="39" t="str">
        <f t="shared" si="3"/>
        <v>Q3</v>
      </c>
      <c r="BP8" s="39" t="str">
        <f t="shared" si="3"/>
        <v>Q4</v>
      </c>
      <c r="BQ8" s="39" t="str">
        <f t="shared" si="3"/>
        <v>Q4</v>
      </c>
      <c r="BR8" s="39" t="str">
        <f t="shared" si="3"/>
        <v>Q4</v>
      </c>
      <c r="BS8" s="39" t="str">
        <f t="shared" si="3"/>
        <v>Q1</v>
      </c>
    </row>
    <row r="9" spans="1:71" ht="17.25" hidden="1" customHeight="1" outlineLevel="1">
      <c r="A9" s="26"/>
      <c r="B9" s="23" t="s">
        <v>96</v>
      </c>
      <c r="C9" s="29" t="s">
        <v>94</v>
      </c>
      <c r="D9" s="30" t="s">
        <v>97</v>
      </c>
      <c r="E9" s="27"/>
      <c r="F9" s="27"/>
      <c r="G9" s="27"/>
      <c r="H9" s="27"/>
      <c r="I9" s="26"/>
      <c r="J9" s="27"/>
      <c r="K9" s="40"/>
      <c r="L9" s="27"/>
      <c r="M9" s="27"/>
      <c r="N9" s="41"/>
      <c r="O9" s="41"/>
      <c r="P9" s="41"/>
      <c r="Q9" s="41"/>
      <c r="R9" s="41"/>
      <c r="S9" s="41"/>
      <c r="T9" s="41"/>
      <c r="U9" s="41"/>
      <c r="V9" s="41" t="str">
        <f t="shared" ref="V9:BS9" si="4">V8&amp;" "&amp;V7</f>
        <v>Q4 2022</v>
      </c>
      <c r="W9" s="41" t="str">
        <f t="shared" si="4"/>
        <v>Q1 2023</v>
      </c>
      <c r="X9" s="41" t="str">
        <f t="shared" si="4"/>
        <v>Q1 2023</v>
      </c>
      <c r="Y9" s="41" t="str">
        <f t="shared" si="4"/>
        <v>Q1 2023</v>
      </c>
      <c r="Z9" s="41" t="str">
        <f t="shared" si="4"/>
        <v>Q2 2023</v>
      </c>
      <c r="AA9" s="41" t="str">
        <f t="shared" si="4"/>
        <v>Q2 2023</v>
      </c>
      <c r="AB9" s="41" t="str">
        <f t="shared" si="4"/>
        <v>Q2 2023</v>
      </c>
      <c r="AC9" s="41" t="str">
        <f t="shared" si="4"/>
        <v>Q3 2023</v>
      </c>
      <c r="AD9" s="41" t="str">
        <f t="shared" si="4"/>
        <v>Q3 2023</v>
      </c>
      <c r="AE9" s="41" t="str">
        <f t="shared" si="4"/>
        <v>Q3 2023</v>
      </c>
      <c r="AF9" s="41" t="str">
        <f t="shared" si="4"/>
        <v>Q4 2023</v>
      </c>
      <c r="AG9" s="41" t="str">
        <f t="shared" si="4"/>
        <v>Q4 2023</v>
      </c>
      <c r="AH9" s="41" t="str">
        <f t="shared" si="4"/>
        <v>Q4 2023</v>
      </c>
      <c r="AI9" s="41" t="str">
        <f t="shared" si="4"/>
        <v>Q1 2024</v>
      </c>
      <c r="AJ9" s="41" t="str">
        <f t="shared" si="4"/>
        <v>Q1 2024</v>
      </c>
      <c r="AK9" s="41" t="str">
        <f t="shared" si="4"/>
        <v>Q1 2024</v>
      </c>
      <c r="AL9" s="41" t="str">
        <f t="shared" si="4"/>
        <v>Q2 2024</v>
      </c>
      <c r="AM9" s="41" t="str">
        <f t="shared" si="4"/>
        <v>Q2 2024</v>
      </c>
      <c r="AN9" s="41" t="str">
        <f t="shared" si="4"/>
        <v>Q2 2024</v>
      </c>
      <c r="AO9" s="41" t="str">
        <f t="shared" si="4"/>
        <v>Q3 2024</v>
      </c>
      <c r="AP9" s="41" t="str">
        <f t="shared" si="4"/>
        <v>Q3 2024</v>
      </c>
      <c r="AQ9" s="41" t="str">
        <f t="shared" si="4"/>
        <v>Q3 2024</v>
      </c>
      <c r="AR9" s="41" t="str">
        <f t="shared" si="4"/>
        <v>Q4 2024</v>
      </c>
      <c r="AS9" s="41" t="str">
        <f t="shared" si="4"/>
        <v>Q4 2024</v>
      </c>
      <c r="AT9" s="41" t="str">
        <f t="shared" si="4"/>
        <v>Q4 2024</v>
      </c>
      <c r="AU9" s="41" t="str">
        <f t="shared" si="4"/>
        <v>Q1 2025</v>
      </c>
      <c r="AV9" s="41" t="str">
        <f t="shared" si="4"/>
        <v>Q1 2025</v>
      </c>
      <c r="AW9" s="41" t="str">
        <f t="shared" si="4"/>
        <v>Q1 2025</v>
      </c>
      <c r="AX9" s="41" t="str">
        <f t="shared" si="4"/>
        <v>Q2 2025</v>
      </c>
      <c r="AY9" s="41" t="str">
        <f t="shared" si="4"/>
        <v>Q2 2025</v>
      </c>
      <c r="AZ9" s="41" t="str">
        <f t="shared" si="4"/>
        <v>Q2 2025</v>
      </c>
      <c r="BA9" s="41" t="str">
        <f t="shared" si="4"/>
        <v>Q3 2025</v>
      </c>
      <c r="BB9" s="41" t="str">
        <f t="shared" si="4"/>
        <v>Q3 2025</v>
      </c>
      <c r="BC9" s="41" t="str">
        <f t="shared" si="4"/>
        <v>Q3 2025</v>
      </c>
      <c r="BD9" s="41" t="str">
        <f t="shared" si="4"/>
        <v>Q4 2025</v>
      </c>
      <c r="BE9" s="41" t="str">
        <f t="shared" si="4"/>
        <v>Q4 2025</v>
      </c>
      <c r="BF9" s="41" t="str">
        <f t="shared" si="4"/>
        <v>Q4 2025</v>
      </c>
      <c r="BG9" s="41" t="str">
        <f t="shared" si="4"/>
        <v>Q1 2026</v>
      </c>
      <c r="BH9" s="41" t="str">
        <f t="shared" si="4"/>
        <v>Q1 2026</v>
      </c>
      <c r="BI9" s="41" t="str">
        <f t="shared" si="4"/>
        <v>Q1 2026</v>
      </c>
      <c r="BJ9" s="41" t="str">
        <f t="shared" si="4"/>
        <v>Q2 2026</v>
      </c>
      <c r="BK9" s="41" t="str">
        <f t="shared" si="4"/>
        <v>Q2 2026</v>
      </c>
      <c r="BL9" s="41" t="str">
        <f t="shared" si="4"/>
        <v>Q2 2026</v>
      </c>
      <c r="BM9" s="41" t="str">
        <f t="shared" si="4"/>
        <v>Q3 2026</v>
      </c>
      <c r="BN9" s="41" t="str">
        <f t="shared" si="4"/>
        <v>Q3 2026</v>
      </c>
      <c r="BO9" s="41" t="str">
        <f t="shared" si="4"/>
        <v>Q3 2026</v>
      </c>
      <c r="BP9" s="41" t="str">
        <f t="shared" si="4"/>
        <v>Q4 2026</v>
      </c>
      <c r="BQ9" s="41" t="str">
        <f t="shared" si="4"/>
        <v>Q4 2026</v>
      </c>
      <c r="BR9" s="41" t="str">
        <f t="shared" si="4"/>
        <v>Q4 2026</v>
      </c>
      <c r="BS9" s="41" t="str">
        <f t="shared" si="4"/>
        <v>Q1 2027</v>
      </c>
    </row>
    <row r="10" spans="1:71" ht="17.25" hidden="1" customHeight="1" outlineLevel="1">
      <c r="A10" s="37"/>
      <c r="B10" s="23" t="s">
        <v>98</v>
      </c>
      <c r="C10" s="29" t="s">
        <v>94</v>
      </c>
      <c r="D10" s="30" t="s">
        <v>99</v>
      </c>
      <c r="E10" s="23"/>
      <c r="F10" s="23"/>
      <c r="G10" s="23"/>
      <c r="H10" s="23"/>
      <c r="I10" s="37"/>
      <c r="J10" s="23"/>
      <c r="K10" s="30"/>
      <c r="L10" s="23"/>
      <c r="M10" s="23"/>
      <c r="N10" s="42"/>
      <c r="O10" s="42"/>
      <c r="P10" s="42"/>
      <c r="Q10" s="42"/>
      <c r="R10" s="42"/>
      <c r="S10" s="42"/>
      <c r="T10" s="42"/>
      <c r="U10" s="42"/>
      <c r="V10" s="42" t="str">
        <f t="shared" ref="V10:BS10" si="5">TEXT(V4,"mmmm")</f>
        <v>December</v>
      </c>
      <c r="W10" s="42" t="str">
        <f t="shared" si="5"/>
        <v>January</v>
      </c>
      <c r="X10" s="42" t="str">
        <f t="shared" si="5"/>
        <v>February</v>
      </c>
      <c r="Y10" s="42" t="str">
        <f t="shared" si="5"/>
        <v>March</v>
      </c>
      <c r="Z10" s="42" t="str">
        <f t="shared" si="5"/>
        <v>April</v>
      </c>
      <c r="AA10" s="42" t="str">
        <f t="shared" si="5"/>
        <v>May</v>
      </c>
      <c r="AB10" s="42" t="str">
        <f t="shared" si="5"/>
        <v>June</v>
      </c>
      <c r="AC10" s="42" t="str">
        <f t="shared" si="5"/>
        <v>July</v>
      </c>
      <c r="AD10" s="42" t="str">
        <f t="shared" si="5"/>
        <v>August</v>
      </c>
      <c r="AE10" s="42" t="str">
        <f t="shared" si="5"/>
        <v>September</v>
      </c>
      <c r="AF10" s="42" t="str">
        <f t="shared" si="5"/>
        <v>October</v>
      </c>
      <c r="AG10" s="42" t="str">
        <f t="shared" si="5"/>
        <v>November</v>
      </c>
      <c r="AH10" s="42" t="str">
        <f t="shared" si="5"/>
        <v>December</v>
      </c>
      <c r="AI10" s="42" t="str">
        <f t="shared" si="5"/>
        <v>January</v>
      </c>
      <c r="AJ10" s="42" t="str">
        <f t="shared" si="5"/>
        <v>February</v>
      </c>
      <c r="AK10" s="42" t="str">
        <f t="shared" si="5"/>
        <v>March</v>
      </c>
      <c r="AL10" s="42" t="str">
        <f t="shared" si="5"/>
        <v>April</v>
      </c>
      <c r="AM10" s="42" t="str">
        <f t="shared" si="5"/>
        <v>May</v>
      </c>
      <c r="AN10" s="42" t="str">
        <f t="shared" si="5"/>
        <v>June</v>
      </c>
      <c r="AO10" s="42" t="str">
        <f t="shared" si="5"/>
        <v>July</v>
      </c>
      <c r="AP10" s="42" t="str">
        <f t="shared" si="5"/>
        <v>August</v>
      </c>
      <c r="AQ10" s="42" t="str">
        <f t="shared" si="5"/>
        <v>September</v>
      </c>
      <c r="AR10" s="42" t="str">
        <f t="shared" si="5"/>
        <v>October</v>
      </c>
      <c r="AS10" s="42" t="str">
        <f t="shared" si="5"/>
        <v>November</v>
      </c>
      <c r="AT10" s="42" t="str">
        <f t="shared" si="5"/>
        <v>December</v>
      </c>
      <c r="AU10" s="42" t="str">
        <f t="shared" si="5"/>
        <v>January</v>
      </c>
      <c r="AV10" s="42" t="str">
        <f t="shared" si="5"/>
        <v>February</v>
      </c>
      <c r="AW10" s="42" t="str">
        <f t="shared" si="5"/>
        <v>March</v>
      </c>
      <c r="AX10" s="42" t="str">
        <f t="shared" si="5"/>
        <v>April</v>
      </c>
      <c r="AY10" s="42" t="str">
        <f t="shared" si="5"/>
        <v>May</v>
      </c>
      <c r="AZ10" s="42" t="str">
        <f t="shared" si="5"/>
        <v>June</v>
      </c>
      <c r="BA10" s="42" t="str">
        <f t="shared" si="5"/>
        <v>July</v>
      </c>
      <c r="BB10" s="42" t="str">
        <f t="shared" si="5"/>
        <v>August</v>
      </c>
      <c r="BC10" s="42" t="str">
        <f t="shared" si="5"/>
        <v>September</v>
      </c>
      <c r="BD10" s="42" t="str">
        <f t="shared" si="5"/>
        <v>October</v>
      </c>
      <c r="BE10" s="42" t="str">
        <f t="shared" si="5"/>
        <v>November</v>
      </c>
      <c r="BF10" s="42" t="str">
        <f t="shared" si="5"/>
        <v>December</v>
      </c>
      <c r="BG10" s="42" t="str">
        <f t="shared" si="5"/>
        <v>January</v>
      </c>
      <c r="BH10" s="42" t="str">
        <f t="shared" si="5"/>
        <v>February</v>
      </c>
      <c r="BI10" s="42" t="str">
        <f t="shared" si="5"/>
        <v>March</v>
      </c>
      <c r="BJ10" s="42" t="str">
        <f t="shared" si="5"/>
        <v>April</v>
      </c>
      <c r="BK10" s="42" t="str">
        <f t="shared" si="5"/>
        <v>May</v>
      </c>
      <c r="BL10" s="42" t="str">
        <f t="shared" si="5"/>
        <v>June</v>
      </c>
      <c r="BM10" s="42" t="str">
        <f t="shared" si="5"/>
        <v>July</v>
      </c>
      <c r="BN10" s="42" t="str">
        <f t="shared" si="5"/>
        <v>August</v>
      </c>
      <c r="BO10" s="42" t="str">
        <f t="shared" si="5"/>
        <v>September</v>
      </c>
      <c r="BP10" s="42" t="str">
        <f t="shared" si="5"/>
        <v>October</v>
      </c>
      <c r="BQ10" s="42" t="str">
        <f t="shared" si="5"/>
        <v>November</v>
      </c>
      <c r="BR10" s="42" t="str">
        <f t="shared" si="5"/>
        <v>December</v>
      </c>
      <c r="BS10" s="42" t="str">
        <f t="shared" si="5"/>
        <v>January</v>
      </c>
    </row>
    <row r="11" spans="1:71" ht="17.25" hidden="1" customHeight="1" outlineLevel="1">
      <c r="A11" s="37"/>
      <c r="B11" s="43" t="s">
        <v>100</v>
      </c>
      <c r="C11" s="29" t="s">
        <v>88</v>
      </c>
      <c r="D11" s="30" t="s">
        <v>101</v>
      </c>
      <c r="E11" s="23"/>
      <c r="F11" s="23"/>
      <c r="G11" s="23"/>
      <c r="H11" s="23"/>
      <c r="I11" s="37"/>
      <c r="J11" s="23"/>
      <c r="K11" s="30"/>
      <c r="L11" s="23"/>
      <c r="M11" s="23"/>
      <c r="N11" s="26"/>
      <c r="O11" s="26"/>
      <c r="P11" s="26"/>
      <c r="Q11" s="26"/>
      <c r="R11" s="26"/>
      <c r="S11" s="26"/>
      <c r="T11" s="26"/>
      <c r="U11" s="26"/>
      <c r="V11" s="26">
        <f>IF(MOD(MONTH(V4)+12-MONTH('Get Started'!$D8),12)=0,12,MOD(MONTH(V4)+12-MONTH('Get Started'!$D8),12))</f>
        <v>12</v>
      </c>
      <c r="W11" s="26">
        <f>IF(MOD(MONTH(W4)+12-MONTH('Get Started'!$D8),12)=0,12,MOD(MONTH(W4)+12-MONTH('Get Started'!$D8),12))</f>
        <v>1</v>
      </c>
      <c r="X11" s="26">
        <f>IF(MOD(MONTH(X4)+12-MONTH('Get Started'!$D8),12)=0,12,MOD(MONTH(X4)+12-MONTH('Get Started'!$D8),12))</f>
        <v>2</v>
      </c>
      <c r="Y11" s="26">
        <f>IF(MOD(MONTH(Y4)+12-MONTH('Get Started'!$D8),12)=0,12,MOD(MONTH(Y4)+12-MONTH('Get Started'!$D8),12))</f>
        <v>3</v>
      </c>
      <c r="Z11" s="26">
        <f>IF(MOD(MONTH(Z4)+12-MONTH('Get Started'!$D8),12)=0,12,MOD(MONTH(Z4)+12-MONTH('Get Started'!$D8),12))</f>
        <v>4</v>
      </c>
      <c r="AA11" s="26">
        <f>IF(MOD(MONTH(AA4)+12-MONTH('Get Started'!$D8),12)=0,12,MOD(MONTH(AA4)+12-MONTH('Get Started'!$D8),12))</f>
        <v>5</v>
      </c>
      <c r="AB11" s="26">
        <f>IF(MOD(MONTH(AB4)+12-MONTH('Get Started'!$D8),12)=0,12,MOD(MONTH(AB4)+12-MONTH('Get Started'!$D8),12))</f>
        <v>6</v>
      </c>
      <c r="AC11" s="26">
        <f>IF(MOD(MONTH(AC4)+12-MONTH('Get Started'!$D8),12)=0,12,MOD(MONTH(AC4)+12-MONTH('Get Started'!$D8),12))</f>
        <v>7</v>
      </c>
      <c r="AD11" s="26">
        <f>IF(MOD(MONTH(AD4)+12-MONTH('Get Started'!$D8),12)=0,12,MOD(MONTH(AD4)+12-MONTH('Get Started'!$D8),12))</f>
        <v>8</v>
      </c>
      <c r="AE11" s="26">
        <f>IF(MOD(MONTH(AE4)+12-MONTH('Get Started'!$D8),12)=0,12,MOD(MONTH(AE4)+12-MONTH('Get Started'!$D8),12))</f>
        <v>9</v>
      </c>
      <c r="AF11" s="26">
        <f>IF(MOD(MONTH(AF4)+12-MONTH('Get Started'!$D8),12)=0,12,MOD(MONTH(AF4)+12-MONTH('Get Started'!$D8),12))</f>
        <v>10</v>
      </c>
      <c r="AG11" s="26">
        <f>IF(MOD(MONTH(AG4)+12-MONTH('Get Started'!$D8),12)=0,12,MOD(MONTH(AG4)+12-MONTH('Get Started'!$D8),12))</f>
        <v>11</v>
      </c>
      <c r="AH11" s="26">
        <f>IF(MOD(MONTH(AH4)+12-MONTH('Get Started'!$D8),12)=0,12,MOD(MONTH(AH4)+12-MONTH('Get Started'!$D8),12))</f>
        <v>12</v>
      </c>
      <c r="AI11" s="26">
        <f>IF(MOD(MONTH(AI4)+12-MONTH('Get Started'!$D8),12)=0,12,MOD(MONTH(AI4)+12-MONTH('Get Started'!$D8),12))</f>
        <v>1</v>
      </c>
      <c r="AJ11" s="26">
        <f>IF(MOD(MONTH(AJ4)+12-MONTH('Get Started'!$D8),12)=0,12,MOD(MONTH(AJ4)+12-MONTH('Get Started'!$D8),12))</f>
        <v>2</v>
      </c>
      <c r="AK11" s="26">
        <f>IF(MOD(MONTH(AK4)+12-MONTH('Get Started'!$D8),12)=0,12,MOD(MONTH(AK4)+12-MONTH('Get Started'!$D8),12))</f>
        <v>3</v>
      </c>
      <c r="AL11" s="26">
        <f>IF(MOD(MONTH(AL4)+12-MONTH('Get Started'!$D8),12)=0,12,MOD(MONTH(AL4)+12-MONTH('Get Started'!$D8),12))</f>
        <v>4</v>
      </c>
      <c r="AM11" s="26">
        <f>IF(MOD(MONTH(AM4)+12-MONTH('Get Started'!$D8),12)=0,12,MOD(MONTH(AM4)+12-MONTH('Get Started'!$D8),12))</f>
        <v>5</v>
      </c>
      <c r="AN11" s="26">
        <f>IF(MOD(MONTH(AN4)+12-MONTH('Get Started'!$D8),12)=0,12,MOD(MONTH(AN4)+12-MONTH('Get Started'!$D8),12))</f>
        <v>6</v>
      </c>
      <c r="AO11" s="26">
        <f>IF(MOD(MONTH(AO4)+12-MONTH('Get Started'!$D8),12)=0,12,MOD(MONTH(AO4)+12-MONTH('Get Started'!$D8),12))</f>
        <v>7</v>
      </c>
      <c r="AP11" s="26">
        <f>IF(MOD(MONTH(AP4)+12-MONTH('Get Started'!$D8),12)=0,12,MOD(MONTH(AP4)+12-MONTH('Get Started'!$D8),12))</f>
        <v>8</v>
      </c>
      <c r="AQ11" s="26">
        <f>IF(MOD(MONTH(AQ4)+12-MONTH('Get Started'!$D8),12)=0,12,MOD(MONTH(AQ4)+12-MONTH('Get Started'!$D8),12))</f>
        <v>9</v>
      </c>
      <c r="AR11" s="26">
        <f>IF(MOD(MONTH(AR4)+12-MONTH('Get Started'!$D8),12)=0,12,MOD(MONTH(AR4)+12-MONTH('Get Started'!$D8),12))</f>
        <v>10</v>
      </c>
      <c r="AS11" s="26">
        <f>IF(MOD(MONTH(AS4)+12-MONTH('Get Started'!$D8),12)=0,12,MOD(MONTH(AS4)+12-MONTH('Get Started'!$D8),12))</f>
        <v>11</v>
      </c>
      <c r="AT11" s="26">
        <f>IF(MOD(MONTH(AT4)+12-MONTH('Get Started'!$D8),12)=0,12,MOD(MONTH(AT4)+12-MONTH('Get Started'!$D8),12))</f>
        <v>12</v>
      </c>
      <c r="AU11" s="26">
        <f>IF(MOD(MONTH(AU4)+12-MONTH('Get Started'!$D8),12)=0,12,MOD(MONTH(AU4)+12-MONTH('Get Started'!$D8),12))</f>
        <v>1</v>
      </c>
      <c r="AV11" s="26">
        <f>IF(MOD(MONTH(AV4)+12-MONTH('Get Started'!$D8),12)=0,12,MOD(MONTH(AV4)+12-MONTH('Get Started'!$D8),12))</f>
        <v>2</v>
      </c>
      <c r="AW11" s="26">
        <f>IF(MOD(MONTH(AW4)+12-MONTH('Get Started'!$D8),12)=0,12,MOD(MONTH(AW4)+12-MONTH('Get Started'!$D8),12))</f>
        <v>3</v>
      </c>
      <c r="AX11" s="26">
        <f>IF(MOD(MONTH(AX4)+12-MONTH('Get Started'!$D8),12)=0,12,MOD(MONTH(AX4)+12-MONTH('Get Started'!$D8),12))</f>
        <v>4</v>
      </c>
      <c r="AY11" s="26">
        <f>IF(MOD(MONTH(AY4)+12-MONTH('Get Started'!$D8),12)=0,12,MOD(MONTH(AY4)+12-MONTH('Get Started'!$D8),12))</f>
        <v>5</v>
      </c>
      <c r="AZ11" s="26">
        <f>IF(MOD(MONTH(AZ4)+12-MONTH('Get Started'!$D8),12)=0,12,MOD(MONTH(AZ4)+12-MONTH('Get Started'!$D8),12))</f>
        <v>6</v>
      </c>
      <c r="BA11" s="26">
        <f>IF(MOD(MONTH(BA4)+12-MONTH('Get Started'!$D8),12)=0,12,MOD(MONTH(BA4)+12-MONTH('Get Started'!$D8),12))</f>
        <v>7</v>
      </c>
      <c r="BB11" s="26">
        <f>IF(MOD(MONTH(BB4)+12-MONTH('Get Started'!$D8),12)=0,12,MOD(MONTH(BB4)+12-MONTH('Get Started'!$D8),12))</f>
        <v>8</v>
      </c>
      <c r="BC11" s="26">
        <f>IF(MOD(MONTH(BC4)+12-MONTH('Get Started'!$D8),12)=0,12,MOD(MONTH(BC4)+12-MONTH('Get Started'!$D8),12))</f>
        <v>9</v>
      </c>
      <c r="BD11" s="26">
        <f>IF(MOD(MONTH(BD4)+12-MONTH('Get Started'!$D8),12)=0,12,MOD(MONTH(BD4)+12-MONTH('Get Started'!$D8),12))</f>
        <v>10</v>
      </c>
      <c r="BE11" s="26">
        <f>IF(MOD(MONTH(BE4)+12-MONTH('Get Started'!$D8),12)=0,12,MOD(MONTH(BE4)+12-MONTH('Get Started'!$D8),12))</f>
        <v>11</v>
      </c>
      <c r="BF11" s="26">
        <f>IF(MOD(MONTH(BF4)+12-MONTH('Get Started'!$D8),12)=0,12,MOD(MONTH(BF4)+12-MONTH('Get Started'!$D8),12))</f>
        <v>12</v>
      </c>
      <c r="BG11" s="26">
        <f>IF(MOD(MONTH(BG4)+12-MONTH('Get Started'!$D8),12)=0,12,MOD(MONTH(BG4)+12-MONTH('Get Started'!$D8),12))</f>
        <v>1</v>
      </c>
      <c r="BH11" s="26">
        <f>IF(MOD(MONTH(BH4)+12-MONTH('Get Started'!$D8),12)=0,12,MOD(MONTH(BH4)+12-MONTH('Get Started'!$D8),12))</f>
        <v>2</v>
      </c>
      <c r="BI11" s="26">
        <f>IF(MOD(MONTH(BI4)+12-MONTH('Get Started'!$D8),12)=0,12,MOD(MONTH(BI4)+12-MONTH('Get Started'!$D8),12))</f>
        <v>3</v>
      </c>
      <c r="BJ11" s="26">
        <f>IF(MOD(MONTH(BJ4)+12-MONTH('Get Started'!$D8),12)=0,12,MOD(MONTH(BJ4)+12-MONTH('Get Started'!$D8),12))</f>
        <v>4</v>
      </c>
      <c r="BK11" s="26">
        <f>IF(MOD(MONTH(BK4)+12-MONTH('Get Started'!$D8),12)=0,12,MOD(MONTH(BK4)+12-MONTH('Get Started'!$D8),12))</f>
        <v>5</v>
      </c>
      <c r="BL11" s="26">
        <f>IF(MOD(MONTH(BL4)+12-MONTH('Get Started'!$D8),12)=0,12,MOD(MONTH(BL4)+12-MONTH('Get Started'!$D8),12))</f>
        <v>6</v>
      </c>
      <c r="BM11" s="26">
        <f>IF(MOD(MONTH(BM4)+12-MONTH('Get Started'!$D8),12)=0,12,MOD(MONTH(BM4)+12-MONTH('Get Started'!$D8),12))</f>
        <v>7</v>
      </c>
      <c r="BN11" s="26">
        <f>IF(MOD(MONTH(BN4)+12-MONTH('Get Started'!$D8),12)=0,12,MOD(MONTH(BN4)+12-MONTH('Get Started'!$D8),12))</f>
        <v>8</v>
      </c>
      <c r="BO11" s="26">
        <f>IF(MOD(MONTH(BO4)+12-MONTH('Get Started'!$D8),12)=0,12,MOD(MONTH(BO4)+12-MONTH('Get Started'!$D8),12))</f>
        <v>9</v>
      </c>
      <c r="BP11" s="26">
        <f>IF(MOD(MONTH(BP4)+12-MONTH('Get Started'!$D8),12)=0,12,MOD(MONTH(BP4)+12-MONTH('Get Started'!$D8),12))</f>
        <v>10</v>
      </c>
      <c r="BQ11" s="26">
        <f>IF(MOD(MONTH(BQ4)+12-MONTH('Get Started'!$D8),12)=0,12,MOD(MONTH(BQ4)+12-MONTH('Get Started'!$D8),12))</f>
        <v>11</v>
      </c>
      <c r="BR11" s="26">
        <f>IF(MOD(MONTH(BR4)+12-MONTH('Get Started'!$D8),12)=0,12,MOD(MONTH(BR4)+12-MONTH('Get Started'!$D8),12))</f>
        <v>12</v>
      </c>
      <c r="BS11" s="26">
        <f>IF(MOD(MONTH(BS4)+12-MONTH('Get Started'!$D8),12)=0,12,MOD(MONTH(BS4)+12-MONTH('Get Started'!$D8),12))</f>
        <v>1</v>
      </c>
    </row>
    <row r="12" spans="1:71" ht="17.25" hidden="1" customHeight="1" outlineLevel="1">
      <c r="A12" s="26"/>
      <c r="B12" s="23" t="s">
        <v>102</v>
      </c>
      <c r="C12" s="29" t="s">
        <v>88</v>
      </c>
      <c r="D12" s="23" t="s">
        <v>103</v>
      </c>
      <c r="E12" s="23"/>
      <c r="F12" s="23"/>
      <c r="G12" s="23"/>
      <c r="H12" s="23"/>
      <c r="I12" s="26"/>
      <c r="J12" s="23"/>
      <c r="K12" s="23"/>
      <c r="L12" s="23"/>
      <c r="M12" s="23"/>
      <c r="N12" s="23"/>
      <c r="O12" s="23"/>
      <c r="P12" s="23"/>
      <c r="Q12" s="23"/>
      <c r="R12" s="23"/>
      <c r="S12" s="23"/>
      <c r="T12" s="23"/>
      <c r="U12" s="23"/>
      <c r="V12" s="23"/>
      <c r="W12" s="26">
        <v>1</v>
      </c>
      <c r="X12" s="26">
        <f t="shared" ref="X12:AH12" si="6">W12</f>
        <v>1</v>
      </c>
      <c r="Y12" s="26">
        <f t="shared" si="6"/>
        <v>1</v>
      </c>
      <c r="Z12" s="26">
        <f t="shared" si="6"/>
        <v>1</v>
      </c>
      <c r="AA12" s="26">
        <f t="shared" si="6"/>
        <v>1</v>
      </c>
      <c r="AB12" s="26">
        <f t="shared" si="6"/>
        <v>1</v>
      </c>
      <c r="AC12" s="26">
        <f t="shared" si="6"/>
        <v>1</v>
      </c>
      <c r="AD12" s="26">
        <f t="shared" si="6"/>
        <v>1</v>
      </c>
      <c r="AE12" s="26">
        <f t="shared" si="6"/>
        <v>1</v>
      </c>
      <c r="AF12" s="26">
        <f t="shared" si="6"/>
        <v>1</v>
      </c>
      <c r="AG12" s="26">
        <f t="shared" si="6"/>
        <v>1</v>
      </c>
      <c r="AH12" s="26">
        <f t="shared" si="6"/>
        <v>1</v>
      </c>
      <c r="AI12" s="26">
        <f t="shared" ref="AI12:BS12" si="7">W12+1</f>
        <v>2</v>
      </c>
      <c r="AJ12" s="26">
        <f t="shared" si="7"/>
        <v>2</v>
      </c>
      <c r="AK12" s="26">
        <f t="shared" si="7"/>
        <v>2</v>
      </c>
      <c r="AL12" s="26">
        <f t="shared" si="7"/>
        <v>2</v>
      </c>
      <c r="AM12" s="26">
        <f t="shared" si="7"/>
        <v>2</v>
      </c>
      <c r="AN12" s="26">
        <f t="shared" si="7"/>
        <v>2</v>
      </c>
      <c r="AO12" s="26">
        <f t="shared" si="7"/>
        <v>2</v>
      </c>
      <c r="AP12" s="26">
        <f t="shared" si="7"/>
        <v>2</v>
      </c>
      <c r="AQ12" s="26">
        <f t="shared" si="7"/>
        <v>2</v>
      </c>
      <c r="AR12" s="26">
        <f t="shared" si="7"/>
        <v>2</v>
      </c>
      <c r="AS12" s="26">
        <f t="shared" si="7"/>
        <v>2</v>
      </c>
      <c r="AT12" s="26">
        <f t="shared" si="7"/>
        <v>2</v>
      </c>
      <c r="AU12" s="26">
        <f t="shared" si="7"/>
        <v>3</v>
      </c>
      <c r="AV12" s="26">
        <f t="shared" si="7"/>
        <v>3</v>
      </c>
      <c r="AW12" s="26">
        <f t="shared" si="7"/>
        <v>3</v>
      </c>
      <c r="AX12" s="26">
        <f t="shared" si="7"/>
        <v>3</v>
      </c>
      <c r="AY12" s="26">
        <f t="shared" si="7"/>
        <v>3</v>
      </c>
      <c r="AZ12" s="26">
        <f t="shared" si="7"/>
        <v>3</v>
      </c>
      <c r="BA12" s="26">
        <f t="shared" si="7"/>
        <v>3</v>
      </c>
      <c r="BB12" s="26">
        <f t="shared" si="7"/>
        <v>3</v>
      </c>
      <c r="BC12" s="26">
        <f t="shared" si="7"/>
        <v>3</v>
      </c>
      <c r="BD12" s="26">
        <f t="shared" si="7"/>
        <v>3</v>
      </c>
      <c r="BE12" s="26">
        <f t="shared" si="7"/>
        <v>3</v>
      </c>
      <c r="BF12" s="26">
        <f t="shared" si="7"/>
        <v>3</v>
      </c>
      <c r="BG12" s="26">
        <f t="shared" si="7"/>
        <v>4</v>
      </c>
      <c r="BH12" s="26">
        <f t="shared" si="7"/>
        <v>4</v>
      </c>
      <c r="BI12" s="26">
        <f t="shared" si="7"/>
        <v>4</v>
      </c>
      <c r="BJ12" s="26">
        <f t="shared" si="7"/>
        <v>4</v>
      </c>
      <c r="BK12" s="26">
        <f t="shared" si="7"/>
        <v>4</v>
      </c>
      <c r="BL12" s="26">
        <f t="shared" si="7"/>
        <v>4</v>
      </c>
      <c r="BM12" s="26">
        <f t="shared" si="7"/>
        <v>4</v>
      </c>
      <c r="BN12" s="26">
        <f t="shared" si="7"/>
        <v>4</v>
      </c>
      <c r="BO12" s="26">
        <f t="shared" si="7"/>
        <v>4</v>
      </c>
      <c r="BP12" s="26">
        <f t="shared" si="7"/>
        <v>4</v>
      </c>
      <c r="BQ12" s="26">
        <f t="shared" si="7"/>
        <v>4</v>
      </c>
      <c r="BR12" s="26">
        <f t="shared" si="7"/>
        <v>4</v>
      </c>
      <c r="BS12" s="26">
        <f t="shared" si="7"/>
        <v>5</v>
      </c>
    </row>
    <row r="13" spans="1:71" ht="17.25" customHeight="1" collapsed="1">
      <c r="A13" s="37"/>
      <c r="B13" s="23"/>
      <c r="C13" s="29"/>
      <c r="D13" s="30"/>
      <c r="E13" s="23"/>
      <c r="F13" s="23"/>
      <c r="G13" s="23"/>
      <c r="H13" s="23"/>
      <c r="I13" s="37"/>
      <c r="J13" s="23"/>
      <c r="K13" s="30"/>
      <c r="L13" s="23"/>
      <c r="M13" s="23"/>
      <c r="N13" s="23"/>
      <c r="O13" s="23"/>
      <c r="P13" s="23"/>
      <c r="Q13" s="23"/>
      <c r="R13" s="23"/>
      <c r="S13" s="23"/>
      <c r="T13" s="23"/>
      <c r="U13" s="23"/>
      <c r="V13" s="23"/>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row>
    <row r="14" spans="1:71" ht="17.25" customHeight="1">
      <c r="A14" s="26"/>
      <c r="B14" s="23"/>
      <c r="C14" s="29"/>
      <c r="D14" s="30"/>
      <c r="E14" s="23"/>
      <c r="F14" s="23"/>
      <c r="G14" s="23"/>
      <c r="H14" s="23"/>
      <c r="I14" s="26"/>
      <c r="J14" s="23"/>
      <c r="K14" s="44"/>
      <c r="L14" s="45"/>
      <c r="M14" s="45"/>
      <c r="N14" s="23"/>
      <c r="O14" s="23"/>
      <c r="P14" s="23"/>
      <c r="Q14" s="23"/>
      <c r="R14" s="23"/>
      <c r="S14" s="23"/>
      <c r="T14" s="23"/>
      <c r="U14" s="23"/>
      <c r="V14" s="23"/>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row>
    <row r="15" spans="1:71" ht="36" customHeight="1">
      <c r="A15" s="46"/>
      <c r="B15" s="47" t="s">
        <v>104</v>
      </c>
      <c r="C15" s="46"/>
      <c r="D15" s="48" t="s">
        <v>105</v>
      </c>
      <c r="E15" s="48" t="str">
        <f>Forecast!C$36&amp;" Total Contract"</f>
        <v>$ Total Contract</v>
      </c>
      <c r="F15" s="48" t="s">
        <v>106</v>
      </c>
      <c r="G15" s="48" t="s">
        <v>107</v>
      </c>
      <c r="H15" s="49" t="s">
        <v>108</v>
      </c>
      <c r="I15" s="49" t="s">
        <v>109</v>
      </c>
      <c r="J15" s="50" t="s">
        <v>110</v>
      </c>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row>
    <row r="16" spans="1:71" ht="17.25" customHeight="1">
      <c r="A16" s="37"/>
      <c r="B16" s="23"/>
      <c r="C16" s="37"/>
      <c r="D16" s="37"/>
      <c r="E16" s="37"/>
      <c r="F16" s="51" t="s">
        <v>111</v>
      </c>
      <c r="G16" s="51" t="s">
        <v>111</v>
      </c>
      <c r="H16" s="44"/>
      <c r="J16" s="51" t="s">
        <v>112</v>
      </c>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row>
    <row r="17" spans="1:71" ht="17.25" customHeight="1">
      <c r="A17" s="45"/>
      <c r="B17" s="52" t="s">
        <v>113</v>
      </c>
      <c r="C17" s="45"/>
      <c r="D17" s="53">
        <v>1</v>
      </c>
      <c r="E17" s="54">
        <v>200</v>
      </c>
      <c r="F17" s="54">
        <v>3</v>
      </c>
      <c r="G17" s="54">
        <v>3</v>
      </c>
      <c r="H17" s="55">
        <f>W$4</f>
        <v>44957</v>
      </c>
      <c r="I17" s="45">
        <f t="shared" ref="I17:I30" si="8">MATCH(EOMONTH(H17,0),W$4:BS$4,0)</f>
        <v>1</v>
      </c>
      <c r="J17" s="53">
        <v>1</v>
      </c>
      <c r="K17" s="45"/>
      <c r="L17" s="23" t="s">
        <v>74</v>
      </c>
      <c r="M17" s="56">
        <f>IF(L17='Get Started'!$B$11,W17,IF(L17='Get Started'!$B$12,BS17,IF(L17='Get Started'!$B$13,SUM(W17:BS17),IF(L17='Get Started'!$B$14,AVERAGE(W17:BS17),0))))</f>
        <v>17476066.666666668</v>
      </c>
      <c r="N17" s="23"/>
      <c r="O17" s="23"/>
      <c r="P17" s="23"/>
      <c r="Q17" s="23"/>
      <c r="R17" s="23"/>
      <c r="S17" s="23"/>
      <c r="T17" s="23"/>
      <c r="U17" s="23"/>
      <c r="V17" s="23"/>
      <c r="W17" s="57">
        <f t="shared" ref="W17:BS17" si="9">IF(EOMONTH($H17,0)=W$4,$E17/$F17*$D17,IF(MOD(W$6-MATCH(EOMONTH($H17,0),$W$4:$BS$4,0)+1,$F17)=1,V17*(1+$J17),V17))</f>
        <v>66.666666666666671</v>
      </c>
      <c r="X17" s="57">
        <f t="shared" si="9"/>
        <v>66.666666666666671</v>
      </c>
      <c r="Y17" s="57">
        <f t="shared" si="9"/>
        <v>66.666666666666671</v>
      </c>
      <c r="Z17" s="57">
        <f t="shared" si="9"/>
        <v>133.33333333333334</v>
      </c>
      <c r="AA17" s="57">
        <f t="shared" si="9"/>
        <v>133.33333333333334</v>
      </c>
      <c r="AB17" s="57">
        <f t="shared" si="9"/>
        <v>133.33333333333334</v>
      </c>
      <c r="AC17" s="57">
        <f t="shared" si="9"/>
        <v>266.66666666666669</v>
      </c>
      <c r="AD17" s="57">
        <f t="shared" si="9"/>
        <v>266.66666666666669</v>
      </c>
      <c r="AE17" s="57">
        <f t="shared" si="9"/>
        <v>266.66666666666669</v>
      </c>
      <c r="AF17" s="57">
        <f t="shared" si="9"/>
        <v>533.33333333333337</v>
      </c>
      <c r="AG17" s="57">
        <f t="shared" si="9"/>
        <v>533.33333333333337</v>
      </c>
      <c r="AH17" s="57">
        <f t="shared" si="9"/>
        <v>533.33333333333337</v>
      </c>
      <c r="AI17" s="57">
        <f t="shared" si="9"/>
        <v>1066.6666666666667</v>
      </c>
      <c r="AJ17" s="57">
        <f t="shared" si="9"/>
        <v>1066.6666666666667</v>
      </c>
      <c r="AK17" s="57">
        <f t="shared" si="9"/>
        <v>1066.6666666666667</v>
      </c>
      <c r="AL17" s="57">
        <f t="shared" si="9"/>
        <v>2133.3333333333335</v>
      </c>
      <c r="AM17" s="57">
        <f t="shared" si="9"/>
        <v>2133.3333333333335</v>
      </c>
      <c r="AN17" s="57">
        <f t="shared" si="9"/>
        <v>2133.3333333333335</v>
      </c>
      <c r="AO17" s="57">
        <f t="shared" si="9"/>
        <v>4266.666666666667</v>
      </c>
      <c r="AP17" s="57">
        <f t="shared" si="9"/>
        <v>4266.666666666667</v>
      </c>
      <c r="AQ17" s="57">
        <f t="shared" si="9"/>
        <v>4266.666666666667</v>
      </c>
      <c r="AR17" s="57">
        <f t="shared" si="9"/>
        <v>8533.3333333333339</v>
      </c>
      <c r="AS17" s="57">
        <f t="shared" si="9"/>
        <v>8533.3333333333339</v>
      </c>
      <c r="AT17" s="57">
        <f t="shared" si="9"/>
        <v>8533.3333333333339</v>
      </c>
      <c r="AU17" s="57">
        <f t="shared" si="9"/>
        <v>17066.666666666668</v>
      </c>
      <c r="AV17" s="57">
        <f t="shared" si="9"/>
        <v>17066.666666666668</v>
      </c>
      <c r="AW17" s="57">
        <f t="shared" si="9"/>
        <v>17066.666666666668</v>
      </c>
      <c r="AX17" s="57">
        <f t="shared" si="9"/>
        <v>34133.333333333336</v>
      </c>
      <c r="AY17" s="57">
        <f t="shared" si="9"/>
        <v>34133.333333333336</v>
      </c>
      <c r="AZ17" s="57">
        <f t="shared" si="9"/>
        <v>34133.333333333336</v>
      </c>
      <c r="BA17" s="57">
        <f t="shared" si="9"/>
        <v>68266.666666666672</v>
      </c>
      <c r="BB17" s="57">
        <f t="shared" si="9"/>
        <v>68266.666666666672</v>
      </c>
      <c r="BC17" s="57">
        <f t="shared" si="9"/>
        <v>68266.666666666672</v>
      </c>
      <c r="BD17" s="57">
        <f t="shared" si="9"/>
        <v>136533.33333333334</v>
      </c>
      <c r="BE17" s="57">
        <f t="shared" si="9"/>
        <v>136533.33333333334</v>
      </c>
      <c r="BF17" s="57">
        <f t="shared" si="9"/>
        <v>136533.33333333334</v>
      </c>
      <c r="BG17" s="57">
        <f t="shared" si="9"/>
        <v>273066.66666666669</v>
      </c>
      <c r="BH17" s="57">
        <f t="shared" si="9"/>
        <v>273066.66666666669</v>
      </c>
      <c r="BI17" s="57">
        <f t="shared" si="9"/>
        <v>273066.66666666669</v>
      </c>
      <c r="BJ17" s="57">
        <f t="shared" si="9"/>
        <v>546133.33333333337</v>
      </c>
      <c r="BK17" s="57">
        <f t="shared" si="9"/>
        <v>546133.33333333337</v>
      </c>
      <c r="BL17" s="57">
        <f t="shared" si="9"/>
        <v>546133.33333333337</v>
      </c>
      <c r="BM17" s="57">
        <f t="shared" si="9"/>
        <v>1092266.6666666667</v>
      </c>
      <c r="BN17" s="57">
        <f t="shared" si="9"/>
        <v>1092266.6666666667</v>
      </c>
      <c r="BO17" s="57">
        <f t="shared" si="9"/>
        <v>1092266.6666666667</v>
      </c>
      <c r="BP17" s="57">
        <f t="shared" si="9"/>
        <v>2184533.3333333335</v>
      </c>
      <c r="BQ17" s="57">
        <f t="shared" si="9"/>
        <v>2184533.3333333335</v>
      </c>
      <c r="BR17" s="57">
        <f t="shared" si="9"/>
        <v>2184533.3333333335</v>
      </c>
      <c r="BS17" s="57">
        <f t="shared" si="9"/>
        <v>4369066.666666667</v>
      </c>
    </row>
    <row r="18" spans="1:71" ht="17.25" customHeight="1">
      <c r="A18" s="45"/>
      <c r="B18" s="52" t="s">
        <v>114</v>
      </c>
      <c r="C18" s="45"/>
      <c r="D18" s="53">
        <v>0.5</v>
      </c>
      <c r="E18" s="54">
        <v>200</v>
      </c>
      <c r="F18" s="54">
        <v>3</v>
      </c>
      <c r="G18" s="54">
        <v>3</v>
      </c>
      <c r="H18" s="55">
        <f t="shared" ref="H18:H30" si="10">EDATE(H17,1)</f>
        <v>44985</v>
      </c>
      <c r="I18" s="45">
        <f t="shared" si="8"/>
        <v>2</v>
      </c>
      <c r="J18" s="53">
        <v>1</v>
      </c>
      <c r="K18" s="45"/>
      <c r="L18" s="23" t="s">
        <v>74</v>
      </c>
      <c r="M18" s="56">
        <f>IF(L18='Get Started'!$B$11,W18,IF(L18='Get Started'!$B$12,BS18,IF(L18='Get Started'!$B$13,SUM(W18:BS18),IF(L18='Get Started'!$B$14,AVERAGE(W18:BS18),0))))</f>
        <v>6553500.0000000009</v>
      </c>
      <c r="N18" s="23"/>
      <c r="O18" s="23"/>
      <c r="P18" s="23"/>
      <c r="Q18" s="23"/>
      <c r="R18" s="23"/>
      <c r="S18" s="23"/>
      <c r="T18" s="23"/>
      <c r="U18" s="23"/>
      <c r="V18" s="23"/>
      <c r="W18" s="57">
        <f t="shared" ref="W18:BS18" si="11">IF(EOMONTH($H18,0)=W$4,$E18/$F18*$D18,IF(MOD(W$6-MATCH(EOMONTH($H18,0),$W$4:$BS$4,0)+1,$F18)=1,V18*(1+$J18),V18))</f>
        <v>0</v>
      </c>
      <c r="X18" s="57">
        <f t="shared" si="11"/>
        <v>33.333333333333336</v>
      </c>
      <c r="Y18" s="57">
        <f t="shared" si="11"/>
        <v>33.333333333333336</v>
      </c>
      <c r="Z18" s="57">
        <f t="shared" si="11"/>
        <v>33.333333333333336</v>
      </c>
      <c r="AA18" s="57">
        <f t="shared" si="11"/>
        <v>66.666666666666671</v>
      </c>
      <c r="AB18" s="57">
        <f t="shared" si="11"/>
        <v>66.666666666666671</v>
      </c>
      <c r="AC18" s="57">
        <f t="shared" si="11"/>
        <v>66.666666666666671</v>
      </c>
      <c r="AD18" s="57">
        <f t="shared" si="11"/>
        <v>133.33333333333334</v>
      </c>
      <c r="AE18" s="57">
        <f t="shared" si="11"/>
        <v>133.33333333333334</v>
      </c>
      <c r="AF18" s="57">
        <f t="shared" si="11"/>
        <v>133.33333333333334</v>
      </c>
      <c r="AG18" s="57">
        <f t="shared" si="11"/>
        <v>266.66666666666669</v>
      </c>
      <c r="AH18" s="57">
        <f t="shared" si="11"/>
        <v>266.66666666666669</v>
      </c>
      <c r="AI18" s="57">
        <f t="shared" si="11"/>
        <v>266.66666666666669</v>
      </c>
      <c r="AJ18" s="57">
        <f t="shared" si="11"/>
        <v>533.33333333333337</v>
      </c>
      <c r="AK18" s="57">
        <f t="shared" si="11"/>
        <v>533.33333333333337</v>
      </c>
      <c r="AL18" s="57">
        <f t="shared" si="11"/>
        <v>533.33333333333337</v>
      </c>
      <c r="AM18" s="57">
        <f t="shared" si="11"/>
        <v>1066.6666666666667</v>
      </c>
      <c r="AN18" s="57">
        <f t="shared" si="11"/>
        <v>1066.6666666666667</v>
      </c>
      <c r="AO18" s="57">
        <f t="shared" si="11"/>
        <v>1066.6666666666667</v>
      </c>
      <c r="AP18" s="57">
        <f t="shared" si="11"/>
        <v>2133.3333333333335</v>
      </c>
      <c r="AQ18" s="57">
        <f t="shared" si="11"/>
        <v>2133.3333333333335</v>
      </c>
      <c r="AR18" s="57">
        <f t="shared" si="11"/>
        <v>2133.3333333333335</v>
      </c>
      <c r="AS18" s="57">
        <f t="shared" si="11"/>
        <v>4266.666666666667</v>
      </c>
      <c r="AT18" s="57">
        <f t="shared" si="11"/>
        <v>4266.666666666667</v>
      </c>
      <c r="AU18" s="57">
        <f t="shared" si="11"/>
        <v>4266.666666666667</v>
      </c>
      <c r="AV18" s="57">
        <f t="shared" si="11"/>
        <v>8533.3333333333339</v>
      </c>
      <c r="AW18" s="57">
        <f t="shared" si="11"/>
        <v>8533.3333333333339</v>
      </c>
      <c r="AX18" s="57">
        <f t="shared" si="11"/>
        <v>8533.3333333333339</v>
      </c>
      <c r="AY18" s="57">
        <f t="shared" si="11"/>
        <v>17066.666666666668</v>
      </c>
      <c r="AZ18" s="57">
        <f t="shared" si="11"/>
        <v>17066.666666666668</v>
      </c>
      <c r="BA18" s="57">
        <f t="shared" si="11"/>
        <v>17066.666666666668</v>
      </c>
      <c r="BB18" s="57">
        <f t="shared" si="11"/>
        <v>34133.333333333336</v>
      </c>
      <c r="BC18" s="57">
        <f t="shared" si="11"/>
        <v>34133.333333333336</v>
      </c>
      <c r="BD18" s="57">
        <f t="shared" si="11"/>
        <v>34133.333333333336</v>
      </c>
      <c r="BE18" s="57">
        <f t="shared" si="11"/>
        <v>68266.666666666672</v>
      </c>
      <c r="BF18" s="57">
        <f t="shared" si="11"/>
        <v>68266.666666666672</v>
      </c>
      <c r="BG18" s="57">
        <f t="shared" si="11"/>
        <v>68266.666666666672</v>
      </c>
      <c r="BH18" s="57">
        <f t="shared" si="11"/>
        <v>136533.33333333334</v>
      </c>
      <c r="BI18" s="57">
        <f t="shared" si="11"/>
        <v>136533.33333333334</v>
      </c>
      <c r="BJ18" s="57">
        <f t="shared" si="11"/>
        <v>136533.33333333334</v>
      </c>
      <c r="BK18" s="57">
        <f t="shared" si="11"/>
        <v>273066.66666666669</v>
      </c>
      <c r="BL18" s="57">
        <f t="shared" si="11"/>
        <v>273066.66666666669</v>
      </c>
      <c r="BM18" s="57">
        <f t="shared" si="11"/>
        <v>273066.66666666669</v>
      </c>
      <c r="BN18" s="57">
        <f t="shared" si="11"/>
        <v>546133.33333333337</v>
      </c>
      <c r="BO18" s="57">
        <f t="shared" si="11"/>
        <v>546133.33333333337</v>
      </c>
      <c r="BP18" s="57">
        <f t="shared" si="11"/>
        <v>546133.33333333337</v>
      </c>
      <c r="BQ18" s="57">
        <f t="shared" si="11"/>
        <v>1092266.6666666667</v>
      </c>
      <c r="BR18" s="57">
        <f t="shared" si="11"/>
        <v>1092266.6666666667</v>
      </c>
      <c r="BS18" s="57">
        <f t="shared" si="11"/>
        <v>1092266.6666666667</v>
      </c>
    </row>
    <row r="19" spans="1:71" ht="17.25" customHeight="1">
      <c r="A19" s="45"/>
      <c r="B19" s="52" t="s">
        <v>115</v>
      </c>
      <c r="C19" s="45"/>
      <c r="D19" s="53">
        <v>1</v>
      </c>
      <c r="E19" s="54">
        <v>200</v>
      </c>
      <c r="F19" s="54">
        <v>36</v>
      </c>
      <c r="G19" s="54">
        <v>12</v>
      </c>
      <c r="H19" s="55">
        <f t="shared" si="10"/>
        <v>45013</v>
      </c>
      <c r="I19" s="45">
        <f t="shared" si="8"/>
        <v>3</v>
      </c>
      <c r="J19" s="53">
        <v>-0.5</v>
      </c>
      <c r="K19" s="45"/>
      <c r="L19" s="23" t="s">
        <v>74</v>
      </c>
      <c r="M19" s="56">
        <f>IF(L19='Get Started'!$B$11,W19,IF(L19='Get Started'!$B$12,BS19,IF(L19='Get Started'!$B$13,SUM(W19:BS19),IF(L19='Get Started'!$B$14,AVERAGE(W19:BS19),0))))</f>
        <v>230.55555555555534</v>
      </c>
      <c r="N19" s="23"/>
      <c r="O19" s="23"/>
      <c r="P19" s="23"/>
      <c r="Q19" s="23"/>
      <c r="R19" s="23"/>
      <c r="S19" s="23"/>
      <c r="T19" s="23"/>
      <c r="U19" s="23"/>
      <c r="V19" s="23"/>
      <c r="W19" s="57">
        <f t="shared" ref="W19:BS19" si="12">IF(EOMONTH($H19,0)=W$4,$E19/$F19*$D19,IF(MOD(W$6-MATCH(EOMONTH($H19,0),$W$4:$BS$4,0)+1,$F19)=1,V19*(1+$J19),V19))</f>
        <v>0</v>
      </c>
      <c r="X19" s="57">
        <f t="shared" si="12"/>
        <v>0</v>
      </c>
      <c r="Y19" s="57">
        <f t="shared" si="12"/>
        <v>5.5555555555555554</v>
      </c>
      <c r="Z19" s="57">
        <f t="shared" si="12"/>
        <v>5.5555555555555554</v>
      </c>
      <c r="AA19" s="57">
        <f t="shared" si="12"/>
        <v>5.5555555555555554</v>
      </c>
      <c r="AB19" s="57">
        <f t="shared" si="12"/>
        <v>5.5555555555555554</v>
      </c>
      <c r="AC19" s="57">
        <f t="shared" si="12"/>
        <v>5.5555555555555554</v>
      </c>
      <c r="AD19" s="57">
        <f t="shared" si="12"/>
        <v>5.5555555555555554</v>
      </c>
      <c r="AE19" s="57">
        <f t="shared" si="12"/>
        <v>5.5555555555555554</v>
      </c>
      <c r="AF19" s="57">
        <f t="shared" si="12"/>
        <v>5.5555555555555554</v>
      </c>
      <c r="AG19" s="57">
        <f t="shared" si="12"/>
        <v>5.5555555555555554</v>
      </c>
      <c r="AH19" s="57">
        <f t="shared" si="12"/>
        <v>5.5555555555555554</v>
      </c>
      <c r="AI19" s="57">
        <f t="shared" si="12"/>
        <v>5.5555555555555554</v>
      </c>
      <c r="AJ19" s="57">
        <f t="shared" si="12"/>
        <v>5.5555555555555554</v>
      </c>
      <c r="AK19" s="57">
        <f t="shared" si="12"/>
        <v>5.5555555555555554</v>
      </c>
      <c r="AL19" s="57">
        <f t="shared" si="12"/>
        <v>5.5555555555555554</v>
      </c>
      <c r="AM19" s="57">
        <f t="shared" si="12"/>
        <v>5.5555555555555554</v>
      </c>
      <c r="AN19" s="57">
        <f t="shared" si="12"/>
        <v>5.5555555555555554</v>
      </c>
      <c r="AO19" s="57">
        <f t="shared" si="12"/>
        <v>5.5555555555555554</v>
      </c>
      <c r="AP19" s="57">
        <f t="shared" si="12"/>
        <v>5.5555555555555554</v>
      </c>
      <c r="AQ19" s="57">
        <f t="shared" si="12"/>
        <v>5.5555555555555554</v>
      </c>
      <c r="AR19" s="57">
        <f t="shared" si="12"/>
        <v>5.5555555555555554</v>
      </c>
      <c r="AS19" s="57">
        <f t="shared" si="12"/>
        <v>5.5555555555555554</v>
      </c>
      <c r="AT19" s="57">
        <f t="shared" si="12"/>
        <v>5.5555555555555554</v>
      </c>
      <c r="AU19" s="57">
        <f t="shared" si="12"/>
        <v>5.5555555555555554</v>
      </c>
      <c r="AV19" s="57">
        <f t="shared" si="12"/>
        <v>5.5555555555555554</v>
      </c>
      <c r="AW19" s="57">
        <f t="shared" si="12"/>
        <v>5.5555555555555554</v>
      </c>
      <c r="AX19" s="57">
        <f t="shared" si="12"/>
        <v>5.5555555555555554</v>
      </c>
      <c r="AY19" s="57">
        <f t="shared" si="12"/>
        <v>5.5555555555555554</v>
      </c>
      <c r="AZ19" s="57">
        <f t="shared" si="12"/>
        <v>5.5555555555555554</v>
      </c>
      <c r="BA19" s="57">
        <f t="shared" si="12"/>
        <v>5.5555555555555554</v>
      </c>
      <c r="BB19" s="57">
        <f t="shared" si="12"/>
        <v>5.5555555555555554</v>
      </c>
      <c r="BC19" s="57">
        <f t="shared" si="12"/>
        <v>5.5555555555555554</v>
      </c>
      <c r="BD19" s="57">
        <f t="shared" si="12"/>
        <v>5.5555555555555554</v>
      </c>
      <c r="BE19" s="57">
        <f t="shared" si="12"/>
        <v>5.5555555555555554</v>
      </c>
      <c r="BF19" s="57">
        <f t="shared" si="12"/>
        <v>5.5555555555555554</v>
      </c>
      <c r="BG19" s="57">
        <f t="shared" si="12"/>
        <v>5.5555555555555554</v>
      </c>
      <c r="BH19" s="57">
        <f t="shared" si="12"/>
        <v>5.5555555555555554</v>
      </c>
      <c r="BI19" s="57">
        <f t="shared" si="12"/>
        <v>2.7777777777777777</v>
      </c>
      <c r="BJ19" s="57">
        <f t="shared" si="12"/>
        <v>2.7777777777777777</v>
      </c>
      <c r="BK19" s="57">
        <f t="shared" si="12"/>
        <v>2.7777777777777777</v>
      </c>
      <c r="BL19" s="57">
        <f t="shared" si="12"/>
        <v>2.7777777777777777</v>
      </c>
      <c r="BM19" s="57">
        <f t="shared" si="12"/>
        <v>2.7777777777777777</v>
      </c>
      <c r="BN19" s="57">
        <f t="shared" si="12"/>
        <v>2.7777777777777777</v>
      </c>
      <c r="BO19" s="57">
        <f t="shared" si="12"/>
        <v>2.7777777777777777</v>
      </c>
      <c r="BP19" s="57">
        <f t="shared" si="12"/>
        <v>2.7777777777777777</v>
      </c>
      <c r="BQ19" s="57">
        <f t="shared" si="12"/>
        <v>2.7777777777777777</v>
      </c>
      <c r="BR19" s="57">
        <f t="shared" si="12"/>
        <v>2.7777777777777777</v>
      </c>
      <c r="BS19" s="57">
        <f t="shared" si="12"/>
        <v>2.7777777777777777</v>
      </c>
    </row>
    <row r="20" spans="1:71" ht="17.25" customHeight="1">
      <c r="A20" s="45"/>
      <c r="B20" s="52" t="s">
        <v>116</v>
      </c>
      <c r="C20" s="45"/>
      <c r="D20" s="53">
        <v>0.75</v>
      </c>
      <c r="E20" s="54">
        <v>200</v>
      </c>
      <c r="F20" s="54">
        <v>3</v>
      </c>
      <c r="G20" s="54">
        <v>3</v>
      </c>
      <c r="H20" s="55">
        <f t="shared" si="10"/>
        <v>45044</v>
      </c>
      <c r="I20" s="45">
        <f t="shared" si="8"/>
        <v>4</v>
      </c>
      <c r="J20" s="53">
        <v>0</v>
      </c>
      <c r="K20" s="45"/>
      <c r="L20" s="23" t="s">
        <v>74</v>
      </c>
      <c r="M20" s="56">
        <f>IF(L20='Get Started'!$B$11,W20,IF(L20='Get Started'!$B$12,BS20,IF(L20='Get Started'!$B$13,SUM(W20:BS20),IF(L20='Get Started'!$B$14,AVERAGE(W20:BS20),0))))</f>
        <v>2300</v>
      </c>
      <c r="N20" s="23"/>
      <c r="O20" s="23"/>
      <c r="P20" s="23"/>
      <c r="Q20" s="23"/>
      <c r="R20" s="23"/>
      <c r="S20" s="23"/>
      <c r="T20" s="23"/>
      <c r="U20" s="23"/>
      <c r="V20" s="23"/>
      <c r="W20" s="57">
        <f t="shared" ref="W20:BS20" si="13">IF(EOMONTH($H20,0)=W$4,$E20/$F20*$D20,IF(MOD(W$6-MATCH(EOMONTH($H20,0),$W$4:$BS$4,0)+1,$F20)=1,V20*(1+$J20),V20))</f>
        <v>0</v>
      </c>
      <c r="X20" s="57">
        <f t="shared" si="13"/>
        <v>0</v>
      </c>
      <c r="Y20" s="57">
        <f t="shared" si="13"/>
        <v>0</v>
      </c>
      <c r="Z20" s="57">
        <f t="shared" si="13"/>
        <v>50</v>
      </c>
      <c r="AA20" s="57">
        <f t="shared" si="13"/>
        <v>50</v>
      </c>
      <c r="AB20" s="57">
        <f t="shared" si="13"/>
        <v>50</v>
      </c>
      <c r="AC20" s="57">
        <f t="shared" si="13"/>
        <v>50</v>
      </c>
      <c r="AD20" s="57">
        <f t="shared" si="13"/>
        <v>50</v>
      </c>
      <c r="AE20" s="57">
        <f t="shared" si="13"/>
        <v>50</v>
      </c>
      <c r="AF20" s="57">
        <f t="shared" si="13"/>
        <v>50</v>
      </c>
      <c r="AG20" s="57">
        <f t="shared" si="13"/>
        <v>50</v>
      </c>
      <c r="AH20" s="57">
        <f t="shared" si="13"/>
        <v>50</v>
      </c>
      <c r="AI20" s="57">
        <f t="shared" si="13"/>
        <v>50</v>
      </c>
      <c r="AJ20" s="57">
        <f t="shared" si="13"/>
        <v>50</v>
      </c>
      <c r="AK20" s="57">
        <f t="shared" si="13"/>
        <v>50</v>
      </c>
      <c r="AL20" s="57">
        <f t="shared" si="13"/>
        <v>50</v>
      </c>
      <c r="AM20" s="57">
        <f t="shared" si="13"/>
        <v>50</v>
      </c>
      <c r="AN20" s="57">
        <f t="shared" si="13"/>
        <v>50</v>
      </c>
      <c r="AO20" s="57">
        <f t="shared" si="13"/>
        <v>50</v>
      </c>
      <c r="AP20" s="57">
        <f t="shared" si="13"/>
        <v>50</v>
      </c>
      <c r="AQ20" s="57">
        <f t="shared" si="13"/>
        <v>50</v>
      </c>
      <c r="AR20" s="57">
        <f t="shared" si="13"/>
        <v>50</v>
      </c>
      <c r="AS20" s="57">
        <f t="shared" si="13"/>
        <v>50</v>
      </c>
      <c r="AT20" s="57">
        <f t="shared" si="13"/>
        <v>50</v>
      </c>
      <c r="AU20" s="57">
        <f t="shared" si="13"/>
        <v>50</v>
      </c>
      <c r="AV20" s="57">
        <f t="shared" si="13"/>
        <v>50</v>
      </c>
      <c r="AW20" s="57">
        <f t="shared" si="13"/>
        <v>50</v>
      </c>
      <c r="AX20" s="57">
        <f t="shared" si="13"/>
        <v>50</v>
      </c>
      <c r="AY20" s="57">
        <f t="shared" si="13"/>
        <v>50</v>
      </c>
      <c r="AZ20" s="57">
        <f t="shared" si="13"/>
        <v>50</v>
      </c>
      <c r="BA20" s="57">
        <f t="shared" si="13"/>
        <v>50</v>
      </c>
      <c r="BB20" s="57">
        <f t="shared" si="13"/>
        <v>50</v>
      </c>
      <c r="BC20" s="57">
        <f t="shared" si="13"/>
        <v>50</v>
      </c>
      <c r="BD20" s="57">
        <f t="shared" si="13"/>
        <v>50</v>
      </c>
      <c r="BE20" s="57">
        <f t="shared" si="13"/>
        <v>50</v>
      </c>
      <c r="BF20" s="57">
        <f t="shared" si="13"/>
        <v>50</v>
      </c>
      <c r="BG20" s="57">
        <f t="shared" si="13"/>
        <v>50</v>
      </c>
      <c r="BH20" s="57">
        <f t="shared" si="13"/>
        <v>50</v>
      </c>
      <c r="BI20" s="57">
        <f t="shared" si="13"/>
        <v>50</v>
      </c>
      <c r="BJ20" s="57">
        <f t="shared" si="13"/>
        <v>50</v>
      </c>
      <c r="BK20" s="57">
        <f t="shared" si="13"/>
        <v>50</v>
      </c>
      <c r="BL20" s="57">
        <f t="shared" si="13"/>
        <v>50</v>
      </c>
      <c r="BM20" s="57">
        <f t="shared" si="13"/>
        <v>50</v>
      </c>
      <c r="BN20" s="57">
        <f t="shared" si="13"/>
        <v>50</v>
      </c>
      <c r="BO20" s="57">
        <f t="shared" si="13"/>
        <v>50</v>
      </c>
      <c r="BP20" s="57">
        <f t="shared" si="13"/>
        <v>50</v>
      </c>
      <c r="BQ20" s="57">
        <f t="shared" si="13"/>
        <v>50</v>
      </c>
      <c r="BR20" s="57">
        <f t="shared" si="13"/>
        <v>50</v>
      </c>
      <c r="BS20" s="57">
        <f t="shared" si="13"/>
        <v>50</v>
      </c>
    </row>
    <row r="21" spans="1:71" ht="17.25" customHeight="1">
      <c r="A21" s="45"/>
      <c r="B21" s="52" t="s">
        <v>116</v>
      </c>
      <c r="C21" s="45"/>
      <c r="D21" s="53">
        <v>0.25</v>
      </c>
      <c r="E21" s="54">
        <v>200</v>
      </c>
      <c r="F21" s="54">
        <v>3</v>
      </c>
      <c r="G21" s="54">
        <v>1</v>
      </c>
      <c r="H21" s="55">
        <f t="shared" si="10"/>
        <v>45074</v>
      </c>
      <c r="I21" s="45">
        <f t="shared" si="8"/>
        <v>5</v>
      </c>
      <c r="J21" s="53">
        <v>-1</v>
      </c>
      <c r="K21" s="45"/>
      <c r="L21" s="23" t="s">
        <v>74</v>
      </c>
      <c r="M21" s="56">
        <f>IF(L21='Get Started'!$B$11,W21,IF(L21='Get Started'!$B$12,BS21,IF(L21='Get Started'!$B$13,SUM(W21:BS21),IF(L21='Get Started'!$B$14,AVERAGE(W21:BS21),0))))</f>
        <v>50</v>
      </c>
      <c r="N21" s="23"/>
      <c r="O21" s="23"/>
      <c r="P21" s="23"/>
      <c r="Q21" s="23"/>
      <c r="R21" s="23"/>
      <c r="S21" s="23"/>
      <c r="T21" s="23"/>
      <c r="U21" s="23"/>
      <c r="V21" s="23"/>
      <c r="W21" s="57">
        <f t="shared" ref="W21:BS21" si="14">IF(EOMONTH($H21,0)=W$4,$E21/$F21*$D21,IF(MOD(W$6-MATCH(EOMONTH($H21,0),$W$4:$BS$4,0)+1,$F21)=1,V21*(1+$J21),V21))</f>
        <v>0</v>
      </c>
      <c r="X21" s="57">
        <f t="shared" si="14"/>
        <v>0</v>
      </c>
      <c r="Y21" s="57">
        <f t="shared" si="14"/>
        <v>0</v>
      </c>
      <c r="Z21" s="57">
        <f t="shared" si="14"/>
        <v>0</v>
      </c>
      <c r="AA21" s="57">
        <f t="shared" si="14"/>
        <v>16.666666666666668</v>
      </c>
      <c r="AB21" s="57">
        <f t="shared" si="14"/>
        <v>16.666666666666668</v>
      </c>
      <c r="AC21" s="57">
        <f t="shared" si="14"/>
        <v>16.666666666666668</v>
      </c>
      <c r="AD21" s="57">
        <f t="shared" si="14"/>
        <v>0</v>
      </c>
      <c r="AE21" s="57">
        <f t="shared" si="14"/>
        <v>0</v>
      </c>
      <c r="AF21" s="57">
        <f t="shared" si="14"/>
        <v>0</v>
      </c>
      <c r="AG21" s="57">
        <f t="shared" si="14"/>
        <v>0</v>
      </c>
      <c r="AH21" s="57">
        <f t="shared" si="14"/>
        <v>0</v>
      </c>
      <c r="AI21" s="57">
        <f t="shared" si="14"/>
        <v>0</v>
      </c>
      <c r="AJ21" s="57">
        <f t="shared" si="14"/>
        <v>0</v>
      </c>
      <c r="AK21" s="57">
        <f t="shared" si="14"/>
        <v>0</v>
      </c>
      <c r="AL21" s="57">
        <f t="shared" si="14"/>
        <v>0</v>
      </c>
      <c r="AM21" s="57">
        <f t="shared" si="14"/>
        <v>0</v>
      </c>
      <c r="AN21" s="57">
        <f t="shared" si="14"/>
        <v>0</v>
      </c>
      <c r="AO21" s="57">
        <f t="shared" si="14"/>
        <v>0</v>
      </c>
      <c r="AP21" s="57">
        <f t="shared" si="14"/>
        <v>0</v>
      </c>
      <c r="AQ21" s="57">
        <f t="shared" si="14"/>
        <v>0</v>
      </c>
      <c r="AR21" s="57">
        <f t="shared" si="14"/>
        <v>0</v>
      </c>
      <c r="AS21" s="57">
        <f t="shared" si="14"/>
        <v>0</v>
      </c>
      <c r="AT21" s="57">
        <f t="shared" si="14"/>
        <v>0</v>
      </c>
      <c r="AU21" s="57">
        <f t="shared" si="14"/>
        <v>0</v>
      </c>
      <c r="AV21" s="57">
        <f t="shared" si="14"/>
        <v>0</v>
      </c>
      <c r="AW21" s="57">
        <f t="shared" si="14"/>
        <v>0</v>
      </c>
      <c r="AX21" s="57">
        <f t="shared" si="14"/>
        <v>0</v>
      </c>
      <c r="AY21" s="57">
        <f t="shared" si="14"/>
        <v>0</v>
      </c>
      <c r="AZ21" s="57">
        <f t="shared" si="14"/>
        <v>0</v>
      </c>
      <c r="BA21" s="57">
        <f t="shared" si="14"/>
        <v>0</v>
      </c>
      <c r="BB21" s="57">
        <f t="shared" si="14"/>
        <v>0</v>
      </c>
      <c r="BC21" s="57">
        <f t="shared" si="14"/>
        <v>0</v>
      </c>
      <c r="BD21" s="57">
        <f t="shared" si="14"/>
        <v>0</v>
      </c>
      <c r="BE21" s="57">
        <f t="shared" si="14"/>
        <v>0</v>
      </c>
      <c r="BF21" s="57">
        <f t="shared" si="14"/>
        <v>0</v>
      </c>
      <c r="BG21" s="57">
        <f t="shared" si="14"/>
        <v>0</v>
      </c>
      <c r="BH21" s="57">
        <f t="shared" si="14"/>
        <v>0</v>
      </c>
      <c r="BI21" s="57">
        <f t="shared" si="14"/>
        <v>0</v>
      </c>
      <c r="BJ21" s="57">
        <f t="shared" si="14"/>
        <v>0</v>
      </c>
      <c r="BK21" s="57">
        <f t="shared" si="14"/>
        <v>0</v>
      </c>
      <c r="BL21" s="57">
        <f t="shared" si="14"/>
        <v>0</v>
      </c>
      <c r="BM21" s="57">
        <f t="shared" si="14"/>
        <v>0</v>
      </c>
      <c r="BN21" s="57">
        <f t="shared" si="14"/>
        <v>0</v>
      </c>
      <c r="BO21" s="57">
        <f t="shared" si="14"/>
        <v>0</v>
      </c>
      <c r="BP21" s="57">
        <f t="shared" si="14"/>
        <v>0</v>
      </c>
      <c r="BQ21" s="57">
        <f t="shared" si="14"/>
        <v>0</v>
      </c>
      <c r="BR21" s="57">
        <f t="shared" si="14"/>
        <v>0</v>
      </c>
      <c r="BS21" s="57">
        <f t="shared" si="14"/>
        <v>0</v>
      </c>
    </row>
    <row r="22" spans="1:71" ht="17.25" customHeight="1">
      <c r="A22" s="45"/>
      <c r="B22" s="52" t="s">
        <v>116</v>
      </c>
      <c r="C22" s="45"/>
      <c r="D22" s="53">
        <v>0</v>
      </c>
      <c r="E22" s="54">
        <v>0</v>
      </c>
      <c r="F22" s="54">
        <v>12</v>
      </c>
      <c r="G22" s="54">
        <v>12</v>
      </c>
      <c r="H22" s="55">
        <f t="shared" si="10"/>
        <v>45105</v>
      </c>
      <c r="I22" s="45">
        <f t="shared" si="8"/>
        <v>6</v>
      </c>
      <c r="J22" s="53">
        <v>0</v>
      </c>
      <c r="K22" s="45"/>
      <c r="L22" s="23" t="s">
        <v>74</v>
      </c>
      <c r="M22" s="56">
        <f>IF(L22='Get Started'!$B$11,W22,IF(L22='Get Started'!$B$12,BS22,IF(L22='Get Started'!$B$13,SUM(W22:BS22),IF(L22='Get Started'!$B$14,AVERAGE(W22:BS22),0))))</f>
        <v>0</v>
      </c>
      <c r="N22" s="23"/>
      <c r="O22" s="23"/>
      <c r="P22" s="23"/>
      <c r="Q22" s="23"/>
      <c r="R22" s="23"/>
      <c r="S22" s="23"/>
      <c r="T22" s="23"/>
      <c r="U22" s="23"/>
      <c r="V22" s="23"/>
      <c r="W22" s="57">
        <f t="shared" ref="W22:BS22" si="15">IF(EOMONTH($H22,0)=W$4,$E22/$F22*$D22,IF(MOD(W$6-MATCH(EOMONTH($H22,0),$W$4:$BS$4,0)+1,$F22)=1,V22*(1+$J22),V22))</f>
        <v>0</v>
      </c>
      <c r="X22" s="57">
        <f t="shared" si="15"/>
        <v>0</v>
      </c>
      <c r="Y22" s="57">
        <f t="shared" si="15"/>
        <v>0</v>
      </c>
      <c r="Z22" s="57">
        <f t="shared" si="15"/>
        <v>0</v>
      </c>
      <c r="AA22" s="57">
        <f t="shared" si="15"/>
        <v>0</v>
      </c>
      <c r="AB22" s="57">
        <f t="shared" si="15"/>
        <v>0</v>
      </c>
      <c r="AC22" s="57">
        <f t="shared" si="15"/>
        <v>0</v>
      </c>
      <c r="AD22" s="57">
        <f t="shared" si="15"/>
        <v>0</v>
      </c>
      <c r="AE22" s="57">
        <f t="shared" si="15"/>
        <v>0</v>
      </c>
      <c r="AF22" s="57">
        <f t="shared" si="15"/>
        <v>0</v>
      </c>
      <c r="AG22" s="57">
        <f t="shared" si="15"/>
        <v>0</v>
      </c>
      <c r="AH22" s="57">
        <f t="shared" si="15"/>
        <v>0</v>
      </c>
      <c r="AI22" s="57">
        <f t="shared" si="15"/>
        <v>0</v>
      </c>
      <c r="AJ22" s="57">
        <f t="shared" si="15"/>
        <v>0</v>
      </c>
      <c r="AK22" s="57">
        <f t="shared" si="15"/>
        <v>0</v>
      </c>
      <c r="AL22" s="57">
        <f t="shared" si="15"/>
        <v>0</v>
      </c>
      <c r="AM22" s="57">
        <f t="shared" si="15"/>
        <v>0</v>
      </c>
      <c r="AN22" s="57">
        <f t="shared" si="15"/>
        <v>0</v>
      </c>
      <c r="AO22" s="57">
        <f t="shared" si="15"/>
        <v>0</v>
      </c>
      <c r="AP22" s="57">
        <f t="shared" si="15"/>
        <v>0</v>
      </c>
      <c r="AQ22" s="57">
        <f t="shared" si="15"/>
        <v>0</v>
      </c>
      <c r="AR22" s="57">
        <f t="shared" si="15"/>
        <v>0</v>
      </c>
      <c r="AS22" s="57">
        <f t="shared" si="15"/>
        <v>0</v>
      </c>
      <c r="AT22" s="57">
        <f t="shared" si="15"/>
        <v>0</v>
      </c>
      <c r="AU22" s="57">
        <f t="shared" si="15"/>
        <v>0</v>
      </c>
      <c r="AV22" s="57">
        <f t="shared" si="15"/>
        <v>0</v>
      </c>
      <c r="AW22" s="57">
        <f t="shared" si="15"/>
        <v>0</v>
      </c>
      <c r="AX22" s="57">
        <f t="shared" si="15"/>
        <v>0</v>
      </c>
      <c r="AY22" s="57">
        <f t="shared" si="15"/>
        <v>0</v>
      </c>
      <c r="AZ22" s="57">
        <f t="shared" si="15"/>
        <v>0</v>
      </c>
      <c r="BA22" s="57">
        <f t="shared" si="15"/>
        <v>0</v>
      </c>
      <c r="BB22" s="57">
        <f t="shared" si="15"/>
        <v>0</v>
      </c>
      <c r="BC22" s="57">
        <f t="shared" si="15"/>
        <v>0</v>
      </c>
      <c r="BD22" s="57">
        <f t="shared" si="15"/>
        <v>0</v>
      </c>
      <c r="BE22" s="57">
        <f t="shared" si="15"/>
        <v>0</v>
      </c>
      <c r="BF22" s="57">
        <f t="shared" si="15"/>
        <v>0</v>
      </c>
      <c r="BG22" s="57">
        <f t="shared" si="15"/>
        <v>0</v>
      </c>
      <c r="BH22" s="57">
        <f t="shared" si="15"/>
        <v>0</v>
      </c>
      <c r="BI22" s="57">
        <f t="shared" si="15"/>
        <v>0</v>
      </c>
      <c r="BJ22" s="57">
        <f t="shared" si="15"/>
        <v>0</v>
      </c>
      <c r="BK22" s="57">
        <f t="shared" si="15"/>
        <v>0</v>
      </c>
      <c r="BL22" s="57">
        <f t="shared" si="15"/>
        <v>0</v>
      </c>
      <c r="BM22" s="57">
        <f t="shared" si="15"/>
        <v>0</v>
      </c>
      <c r="BN22" s="57">
        <f t="shared" si="15"/>
        <v>0</v>
      </c>
      <c r="BO22" s="57">
        <f t="shared" si="15"/>
        <v>0</v>
      </c>
      <c r="BP22" s="57">
        <f t="shared" si="15"/>
        <v>0</v>
      </c>
      <c r="BQ22" s="57">
        <f t="shared" si="15"/>
        <v>0</v>
      </c>
      <c r="BR22" s="57">
        <f t="shared" si="15"/>
        <v>0</v>
      </c>
      <c r="BS22" s="57">
        <f t="shared" si="15"/>
        <v>0</v>
      </c>
    </row>
    <row r="23" spans="1:71" ht="17.25" customHeight="1">
      <c r="A23" s="26"/>
      <c r="B23" s="52" t="s">
        <v>116</v>
      </c>
      <c r="C23" s="26"/>
      <c r="D23" s="53">
        <v>0</v>
      </c>
      <c r="E23" s="54">
        <v>0</v>
      </c>
      <c r="F23" s="54">
        <v>12</v>
      </c>
      <c r="G23" s="54">
        <v>12</v>
      </c>
      <c r="H23" s="55">
        <f t="shared" si="10"/>
        <v>45135</v>
      </c>
      <c r="I23" s="45">
        <f t="shared" si="8"/>
        <v>7</v>
      </c>
      <c r="J23" s="53">
        <v>0</v>
      </c>
      <c r="K23" s="26"/>
      <c r="L23" s="23" t="s">
        <v>74</v>
      </c>
      <c r="M23" s="56">
        <f>IF(L23='Get Started'!$B$11,W23,IF(L23='Get Started'!$B$12,BS23,IF(L23='Get Started'!$B$13,SUM(W23:BS23),IF(L23='Get Started'!$B$14,AVERAGE(W23:BS23),0))))</f>
        <v>0</v>
      </c>
      <c r="N23" s="23"/>
      <c r="O23" s="23"/>
      <c r="P23" s="23"/>
      <c r="Q23" s="23"/>
      <c r="R23" s="23"/>
      <c r="S23" s="23"/>
      <c r="T23" s="23"/>
      <c r="U23" s="23"/>
      <c r="V23" s="23"/>
      <c r="W23" s="57">
        <f t="shared" ref="W23:BS23" si="16">IF(EOMONTH($H23,0)=W$4,$E23/$F23*$D23,IF(MOD(W$6-MATCH(EOMONTH($H23,0),$W$4:$BS$4,0)+1,$F23)=1,V23*(1+$J23),V23))</f>
        <v>0</v>
      </c>
      <c r="X23" s="57">
        <f t="shared" si="16"/>
        <v>0</v>
      </c>
      <c r="Y23" s="57">
        <f t="shared" si="16"/>
        <v>0</v>
      </c>
      <c r="Z23" s="57">
        <f t="shared" si="16"/>
        <v>0</v>
      </c>
      <c r="AA23" s="57">
        <f t="shared" si="16"/>
        <v>0</v>
      </c>
      <c r="AB23" s="57">
        <f t="shared" si="16"/>
        <v>0</v>
      </c>
      <c r="AC23" s="57">
        <f t="shared" si="16"/>
        <v>0</v>
      </c>
      <c r="AD23" s="57">
        <f t="shared" si="16"/>
        <v>0</v>
      </c>
      <c r="AE23" s="57">
        <f t="shared" si="16"/>
        <v>0</v>
      </c>
      <c r="AF23" s="57">
        <f t="shared" si="16"/>
        <v>0</v>
      </c>
      <c r="AG23" s="57">
        <f t="shared" si="16"/>
        <v>0</v>
      </c>
      <c r="AH23" s="57">
        <f t="shared" si="16"/>
        <v>0</v>
      </c>
      <c r="AI23" s="57">
        <f t="shared" si="16"/>
        <v>0</v>
      </c>
      <c r="AJ23" s="57">
        <f t="shared" si="16"/>
        <v>0</v>
      </c>
      <c r="AK23" s="57">
        <f t="shared" si="16"/>
        <v>0</v>
      </c>
      <c r="AL23" s="57">
        <f t="shared" si="16"/>
        <v>0</v>
      </c>
      <c r="AM23" s="57">
        <f t="shared" si="16"/>
        <v>0</v>
      </c>
      <c r="AN23" s="57">
        <f t="shared" si="16"/>
        <v>0</v>
      </c>
      <c r="AO23" s="57">
        <f t="shared" si="16"/>
        <v>0</v>
      </c>
      <c r="AP23" s="57">
        <f t="shared" si="16"/>
        <v>0</v>
      </c>
      <c r="AQ23" s="57">
        <f t="shared" si="16"/>
        <v>0</v>
      </c>
      <c r="AR23" s="57">
        <f t="shared" si="16"/>
        <v>0</v>
      </c>
      <c r="AS23" s="57">
        <f t="shared" si="16"/>
        <v>0</v>
      </c>
      <c r="AT23" s="57">
        <f t="shared" si="16"/>
        <v>0</v>
      </c>
      <c r="AU23" s="57">
        <f t="shared" si="16"/>
        <v>0</v>
      </c>
      <c r="AV23" s="57">
        <f t="shared" si="16"/>
        <v>0</v>
      </c>
      <c r="AW23" s="57">
        <f t="shared" si="16"/>
        <v>0</v>
      </c>
      <c r="AX23" s="57">
        <f t="shared" si="16"/>
        <v>0</v>
      </c>
      <c r="AY23" s="57">
        <f t="shared" si="16"/>
        <v>0</v>
      </c>
      <c r="AZ23" s="57">
        <f t="shared" si="16"/>
        <v>0</v>
      </c>
      <c r="BA23" s="57">
        <f t="shared" si="16"/>
        <v>0</v>
      </c>
      <c r="BB23" s="57">
        <f t="shared" si="16"/>
        <v>0</v>
      </c>
      <c r="BC23" s="57">
        <f t="shared" si="16"/>
        <v>0</v>
      </c>
      <c r="BD23" s="57">
        <f t="shared" si="16"/>
        <v>0</v>
      </c>
      <c r="BE23" s="57">
        <f t="shared" si="16"/>
        <v>0</v>
      </c>
      <c r="BF23" s="57">
        <f t="shared" si="16"/>
        <v>0</v>
      </c>
      <c r="BG23" s="57">
        <f t="shared" si="16"/>
        <v>0</v>
      </c>
      <c r="BH23" s="57">
        <f t="shared" si="16"/>
        <v>0</v>
      </c>
      <c r="BI23" s="57">
        <f t="shared" si="16"/>
        <v>0</v>
      </c>
      <c r="BJ23" s="57">
        <f t="shared" si="16"/>
        <v>0</v>
      </c>
      <c r="BK23" s="57">
        <f t="shared" si="16"/>
        <v>0</v>
      </c>
      <c r="BL23" s="57">
        <f t="shared" si="16"/>
        <v>0</v>
      </c>
      <c r="BM23" s="57">
        <f t="shared" si="16"/>
        <v>0</v>
      </c>
      <c r="BN23" s="57">
        <f t="shared" si="16"/>
        <v>0</v>
      </c>
      <c r="BO23" s="57">
        <f t="shared" si="16"/>
        <v>0</v>
      </c>
      <c r="BP23" s="57">
        <f t="shared" si="16"/>
        <v>0</v>
      </c>
      <c r="BQ23" s="57">
        <f t="shared" si="16"/>
        <v>0</v>
      </c>
      <c r="BR23" s="57">
        <f t="shared" si="16"/>
        <v>0</v>
      </c>
      <c r="BS23" s="57">
        <f t="shared" si="16"/>
        <v>0</v>
      </c>
    </row>
    <row r="24" spans="1:71" ht="17.25" customHeight="1">
      <c r="A24" s="26"/>
      <c r="B24" s="52" t="s">
        <v>116</v>
      </c>
      <c r="C24" s="26"/>
      <c r="D24" s="53">
        <v>0</v>
      </c>
      <c r="E24" s="54">
        <v>0</v>
      </c>
      <c r="F24" s="54">
        <v>12</v>
      </c>
      <c r="G24" s="54">
        <v>12</v>
      </c>
      <c r="H24" s="55">
        <f t="shared" si="10"/>
        <v>45166</v>
      </c>
      <c r="I24" s="45">
        <f t="shared" si="8"/>
        <v>8</v>
      </c>
      <c r="J24" s="53">
        <v>0</v>
      </c>
      <c r="K24" s="26"/>
      <c r="L24" s="23" t="s">
        <v>74</v>
      </c>
      <c r="M24" s="56">
        <f>IF(L24='Get Started'!$B$11,W24,IF(L24='Get Started'!$B$12,BS24,IF(L24='Get Started'!$B$13,SUM(W24:BS24),IF(L24='Get Started'!$B$14,AVERAGE(W24:BS24),0))))</f>
        <v>0</v>
      </c>
      <c r="N24" s="23"/>
      <c r="O24" s="23"/>
      <c r="P24" s="23"/>
      <c r="Q24" s="23"/>
      <c r="R24" s="23"/>
      <c r="S24" s="23"/>
      <c r="T24" s="23"/>
      <c r="U24" s="23"/>
      <c r="V24" s="23"/>
      <c r="W24" s="57">
        <f t="shared" ref="W24:BS24" si="17">IF(EOMONTH($H24,0)=W$4,$E24/$F24*$D24,IF(MOD(W$6-MATCH(EOMONTH($H24,0),$W$4:$BS$4,0)+1,$F24)=1,V24*(1+$J24),V24))</f>
        <v>0</v>
      </c>
      <c r="X24" s="57">
        <f t="shared" si="17"/>
        <v>0</v>
      </c>
      <c r="Y24" s="57">
        <f t="shared" si="17"/>
        <v>0</v>
      </c>
      <c r="Z24" s="57">
        <f t="shared" si="17"/>
        <v>0</v>
      </c>
      <c r="AA24" s="57">
        <f t="shared" si="17"/>
        <v>0</v>
      </c>
      <c r="AB24" s="57">
        <f t="shared" si="17"/>
        <v>0</v>
      </c>
      <c r="AC24" s="57">
        <f t="shared" si="17"/>
        <v>0</v>
      </c>
      <c r="AD24" s="57">
        <f t="shared" si="17"/>
        <v>0</v>
      </c>
      <c r="AE24" s="57">
        <f t="shared" si="17"/>
        <v>0</v>
      </c>
      <c r="AF24" s="57">
        <f t="shared" si="17"/>
        <v>0</v>
      </c>
      <c r="AG24" s="57">
        <f t="shared" si="17"/>
        <v>0</v>
      </c>
      <c r="AH24" s="57">
        <f t="shared" si="17"/>
        <v>0</v>
      </c>
      <c r="AI24" s="57">
        <f t="shared" si="17"/>
        <v>0</v>
      </c>
      <c r="AJ24" s="57">
        <f t="shared" si="17"/>
        <v>0</v>
      </c>
      <c r="AK24" s="57">
        <f t="shared" si="17"/>
        <v>0</v>
      </c>
      <c r="AL24" s="57">
        <f t="shared" si="17"/>
        <v>0</v>
      </c>
      <c r="AM24" s="57">
        <f t="shared" si="17"/>
        <v>0</v>
      </c>
      <c r="AN24" s="57">
        <f t="shared" si="17"/>
        <v>0</v>
      </c>
      <c r="AO24" s="57">
        <f t="shared" si="17"/>
        <v>0</v>
      </c>
      <c r="AP24" s="57">
        <f t="shared" si="17"/>
        <v>0</v>
      </c>
      <c r="AQ24" s="57">
        <f t="shared" si="17"/>
        <v>0</v>
      </c>
      <c r="AR24" s="57">
        <f t="shared" si="17"/>
        <v>0</v>
      </c>
      <c r="AS24" s="57">
        <f t="shared" si="17"/>
        <v>0</v>
      </c>
      <c r="AT24" s="57">
        <f t="shared" si="17"/>
        <v>0</v>
      </c>
      <c r="AU24" s="57">
        <f t="shared" si="17"/>
        <v>0</v>
      </c>
      <c r="AV24" s="57">
        <f t="shared" si="17"/>
        <v>0</v>
      </c>
      <c r="AW24" s="57">
        <f t="shared" si="17"/>
        <v>0</v>
      </c>
      <c r="AX24" s="57">
        <f t="shared" si="17"/>
        <v>0</v>
      </c>
      <c r="AY24" s="57">
        <f t="shared" si="17"/>
        <v>0</v>
      </c>
      <c r="AZ24" s="57">
        <f t="shared" si="17"/>
        <v>0</v>
      </c>
      <c r="BA24" s="57">
        <f t="shared" si="17"/>
        <v>0</v>
      </c>
      <c r="BB24" s="57">
        <f t="shared" si="17"/>
        <v>0</v>
      </c>
      <c r="BC24" s="57">
        <f t="shared" si="17"/>
        <v>0</v>
      </c>
      <c r="BD24" s="57">
        <f t="shared" si="17"/>
        <v>0</v>
      </c>
      <c r="BE24" s="57">
        <f t="shared" si="17"/>
        <v>0</v>
      </c>
      <c r="BF24" s="57">
        <f t="shared" si="17"/>
        <v>0</v>
      </c>
      <c r="BG24" s="57">
        <f t="shared" si="17"/>
        <v>0</v>
      </c>
      <c r="BH24" s="57">
        <f t="shared" si="17"/>
        <v>0</v>
      </c>
      <c r="BI24" s="57">
        <f t="shared" si="17"/>
        <v>0</v>
      </c>
      <c r="BJ24" s="57">
        <f t="shared" si="17"/>
        <v>0</v>
      </c>
      <c r="BK24" s="57">
        <f t="shared" si="17"/>
        <v>0</v>
      </c>
      <c r="BL24" s="57">
        <f t="shared" si="17"/>
        <v>0</v>
      </c>
      <c r="BM24" s="57">
        <f t="shared" si="17"/>
        <v>0</v>
      </c>
      <c r="BN24" s="57">
        <f t="shared" si="17"/>
        <v>0</v>
      </c>
      <c r="BO24" s="57">
        <f t="shared" si="17"/>
        <v>0</v>
      </c>
      <c r="BP24" s="57">
        <f t="shared" si="17"/>
        <v>0</v>
      </c>
      <c r="BQ24" s="57">
        <f t="shared" si="17"/>
        <v>0</v>
      </c>
      <c r="BR24" s="57">
        <f t="shared" si="17"/>
        <v>0</v>
      </c>
      <c r="BS24" s="57">
        <f t="shared" si="17"/>
        <v>0</v>
      </c>
    </row>
    <row r="25" spans="1:71" ht="17.25" customHeight="1">
      <c r="A25" s="26"/>
      <c r="B25" s="52" t="s">
        <v>116</v>
      </c>
      <c r="C25" s="26"/>
      <c r="D25" s="53">
        <v>0</v>
      </c>
      <c r="E25" s="54">
        <v>0</v>
      </c>
      <c r="F25" s="54">
        <v>12</v>
      </c>
      <c r="G25" s="54">
        <v>12</v>
      </c>
      <c r="H25" s="55">
        <f t="shared" si="10"/>
        <v>45197</v>
      </c>
      <c r="I25" s="45">
        <f t="shared" si="8"/>
        <v>9</v>
      </c>
      <c r="J25" s="53">
        <v>0</v>
      </c>
      <c r="K25" s="26"/>
      <c r="L25" s="23" t="s">
        <v>74</v>
      </c>
      <c r="M25" s="56">
        <f>IF(L25='Get Started'!$B$11,W25,IF(L25='Get Started'!$B$12,BS25,IF(L25='Get Started'!$B$13,SUM(W25:BS25),IF(L25='Get Started'!$B$14,AVERAGE(W25:BS25),0))))</f>
        <v>0</v>
      </c>
      <c r="N25" s="23"/>
      <c r="O25" s="23"/>
      <c r="P25" s="23"/>
      <c r="Q25" s="23"/>
      <c r="R25" s="23"/>
      <c r="S25" s="23"/>
      <c r="T25" s="23"/>
      <c r="U25" s="23"/>
      <c r="V25" s="23"/>
      <c r="W25" s="57">
        <f t="shared" ref="W25:BS25" si="18">IF(EOMONTH($H25,0)=W$4,$E25/$F25*$D25,IF(MOD(W$6-MATCH(EOMONTH($H25,0),$W$4:$BS$4,0)+1,$F25)=1,V25*(1+$J25),V25))</f>
        <v>0</v>
      </c>
      <c r="X25" s="57">
        <f t="shared" si="18"/>
        <v>0</v>
      </c>
      <c r="Y25" s="57">
        <f t="shared" si="18"/>
        <v>0</v>
      </c>
      <c r="Z25" s="57">
        <f t="shared" si="18"/>
        <v>0</v>
      </c>
      <c r="AA25" s="57">
        <f t="shared" si="18"/>
        <v>0</v>
      </c>
      <c r="AB25" s="57">
        <f t="shared" si="18"/>
        <v>0</v>
      </c>
      <c r="AC25" s="57">
        <f t="shared" si="18"/>
        <v>0</v>
      </c>
      <c r="AD25" s="57">
        <f t="shared" si="18"/>
        <v>0</v>
      </c>
      <c r="AE25" s="57">
        <f t="shared" si="18"/>
        <v>0</v>
      </c>
      <c r="AF25" s="57">
        <f t="shared" si="18"/>
        <v>0</v>
      </c>
      <c r="AG25" s="57">
        <f t="shared" si="18"/>
        <v>0</v>
      </c>
      <c r="AH25" s="57">
        <f t="shared" si="18"/>
        <v>0</v>
      </c>
      <c r="AI25" s="57">
        <f t="shared" si="18"/>
        <v>0</v>
      </c>
      <c r="AJ25" s="57">
        <f t="shared" si="18"/>
        <v>0</v>
      </c>
      <c r="AK25" s="57">
        <f t="shared" si="18"/>
        <v>0</v>
      </c>
      <c r="AL25" s="57">
        <f t="shared" si="18"/>
        <v>0</v>
      </c>
      <c r="AM25" s="57">
        <f t="shared" si="18"/>
        <v>0</v>
      </c>
      <c r="AN25" s="57">
        <f t="shared" si="18"/>
        <v>0</v>
      </c>
      <c r="AO25" s="57">
        <f t="shared" si="18"/>
        <v>0</v>
      </c>
      <c r="AP25" s="57">
        <f t="shared" si="18"/>
        <v>0</v>
      </c>
      <c r="AQ25" s="57">
        <f t="shared" si="18"/>
        <v>0</v>
      </c>
      <c r="AR25" s="57">
        <f t="shared" si="18"/>
        <v>0</v>
      </c>
      <c r="AS25" s="57">
        <f t="shared" si="18"/>
        <v>0</v>
      </c>
      <c r="AT25" s="57">
        <f t="shared" si="18"/>
        <v>0</v>
      </c>
      <c r="AU25" s="57">
        <f t="shared" si="18"/>
        <v>0</v>
      </c>
      <c r="AV25" s="57">
        <f t="shared" si="18"/>
        <v>0</v>
      </c>
      <c r="AW25" s="57">
        <f t="shared" si="18"/>
        <v>0</v>
      </c>
      <c r="AX25" s="57">
        <f t="shared" si="18"/>
        <v>0</v>
      </c>
      <c r="AY25" s="57">
        <f t="shared" si="18"/>
        <v>0</v>
      </c>
      <c r="AZ25" s="57">
        <f t="shared" si="18"/>
        <v>0</v>
      </c>
      <c r="BA25" s="57">
        <f t="shared" si="18"/>
        <v>0</v>
      </c>
      <c r="BB25" s="57">
        <f t="shared" si="18"/>
        <v>0</v>
      </c>
      <c r="BC25" s="57">
        <f t="shared" si="18"/>
        <v>0</v>
      </c>
      <c r="BD25" s="57">
        <f t="shared" si="18"/>
        <v>0</v>
      </c>
      <c r="BE25" s="57">
        <f t="shared" si="18"/>
        <v>0</v>
      </c>
      <c r="BF25" s="57">
        <f t="shared" si="18"/>
        <v>0</v>
      </c>
      <c r="BG25" s="57">
        <f t="shared" si="18"/>
        <v>0</v>
      </c>
      <c r="BH25" s="57">
        <f t="shared" si="18"/>
        <v>0</v>
      </c>
      <c r="BI25" s="57">
        <f t="shared" si="18"/>
        <v>0</v>
      </c>
      <c r="BJ25" s="57">
        <f t="shared" si="18"/>
        <v>0</v>
      </c>
      <c r="BK25" s="57">
        <f t="shared" si="18"/>
        <v>0</v>
      </c>
      <c r="BL25" s="57">
        <f t="shared" si="18"/>
        <v>0</v>
      </c>
      <c r="BM25" s="57">
        <f t="shared" si="18"/>
        <v>0</v>
      </c>
      <c r="BN25" s="57">
        <f t="shared" si="18"/>
        <v>0</v>
      </c>
      <c r="BO25" s="57">
        <f t="shared" si="18"/>
        <v>0</v>
      </c>
      <c r="BP25" s="57">
        <f t="shared" si="18"/>
        <v>0</v>
      </c>
      <c r="BQ25" s="57">
        <f t="shared" si="18"/>
        <v>0</v>
      </c>
      <c r="BR25" s="57">
        <f t="shared" si="18"/>
        <v>0</v>
      </c>
      <c r="BS25" s="57">
        <f t="shared" si="18"/>
        <v>0</v>
      </c>
    </row>
    <row r="26" spans="1:71" ht="17.25" customHeight="1">
      <c r="A26" s="26"/>
      <c r="B26" s="52" t="s">
        <v>116</v>
      </c>
      <c r="C26" s="26"/>
      <c r="D26" s="53">
        <v>0</v>
      </c>
      <c r="E26" s="54">
        <v>0</v>
      </c>
      <c r="F26" s="54">
        <v>12</v>
      </c>
      <c r="G26" s="54">
        <v>12</v>
      </c>
      <c r="H26" s="55">
        <f t="shared" si="10"/>
        <v>45227</v>
      </c>
      <c r="I26" s="45">
        <f t="shared" si="8"/>
        <v>10</v>
      </c>
      <c r="J26" s="53">
        <v>0</v>
      </c>
      <c r="K26" s="26"/>
      <c r="L26" s="23" t="s">
        <v>74</v>
      </c>
      <c r="M26" s="56">
        <f>IF(L26='Get Started'!$B$11,W26,IF(L26='Get Started'!$B$12,BS26,IF(L26='Get Started'!$B$13,SUM(W26:BS26),IF(L26='Get Started'!$B$14,AVERAGE(W26:BS26),0))))</f>
        <v>0</v>
      </c>
      <c r="N26" s="23"/>
      <c r="O26" s="23"/>
      <c r="P26" s="23"/>
      <c r="Q26" s="23"/>
      <c r="R26" s="23"/>
      <c r="S26" s="23"/>
      <c r="T26" s="23"/>
      <c r="U26" s="23"/>
      <c r="V26" s="23"/>
      <c r="W26" s="57">
        <f t="shared" ref="W26:BS26" si="19">IF(EOMONTH($H26,0)=W$4,$E26/$F26*$D26,IF(MOD(W$6-MATCH(EOMONTH($H26,0),$W$4:$BS$4,0)+1,$F26)=1,V26*(1+$J26),V26))</f>
        <v>0</v>
      </c>
      <c r="X26" s="57">
        <f t="shared" si="19"/>
        <v>0</v>
      </c>
      <c r="Y26" s="57">
        <f t="shared" si="19"/>
        <v>0</v>
      </c>
      <c r="Z26" s="57">
        <f t="shared" si="19"/>
        <v>0</v>
      </c>
      <c r="AA26" s="57">
        <f t="shared" si="19"/>
        <v>0</v>
      </c>
      <c r="AB26" s="57">
        <f t="shared" si="19"/>
        <v>0</v>
      </c>
      <c r="AC26" s="57">
        <f t="shared" si="19"/>
        <v>0</v>
      </c>
      <c r="AD26" s="57">
        <f t="shared" si="19"/>
        <v>0</v>
      </c>
      <c r="AE26" s="57">
        <f t="shared" si="19"/>
        <v>0</v>
      </c>
      <c r="AF26" s="57">
        <f t="shared" si="19"/>
        <v>0</v>
      </c>
      <c r="AG26" s="57">
        <f t="shared" si="19"/>
        <v>0</v>
      </c>
      <c r="AH26" s="57">
        <f t="shared" si="19"/>
        <v>0</v>
      </c>
      <c r="AI26" s="57">
        <f t="shared" si="19"/>
        <v>0</v>
      </c>
      <c r="AJ26" s="57">
        <f t="shared" si="19"/>
        <v>0</v>
      </c>
      <c r="AK26" s="57">
        <f t="shared" si="19"/>
        <v>0</v>
      </c>
      <c r="AL26" s="57">
        <f t="shared" si="19"/>
        <v>0</v>
      </c>
      <c r="AM26" s="57">
        <f t="shared" si="19"/>
        <v>0</v>
      </c>
      <c r="AN26" s="57">
        <f t="shared" si="19"/>
        <v>0</v>
      </c>
      <c r="AO26" s="57">
        <f t="shared" si="19"/>
        <v>0</v>
      </c>
      <c r="AP26" s="57">
        <f t="shared" si="19"/>
        <v>0</v>
      </c>
      <c r="AQ26" s="57">
        <f t="shared" si="19"/>
        <v>0</v>
      </c>
      <c r="AR26" s="57">
        <f t="shared" si="19"/>
        <v>0</v>
      </c>
      <c r="AS26" s="57">
        <f t="shared" si="19"/>
        <v>0</v>
      </c>
      <c r="AT26" s="57">
        <f t="shared" si="19"/>
        <v>0</v>
      </c>
      <c r="AU26" s="57">
        <f t="shared" si="19"/>
        <v>0</v>
      </c>
      <c r="AV26" s="57">
        <f t="shared" si="19"/>
        <v>0</v>
      </c>
      <c r="AW26" s="57">
        <f t="shared" si="19"/>
        <v>0</v>
      </c>
      <c r="AX26" s="57">
        <f t="shared" si="19"/>
        <v>0</v>
      </c>
      <c r="AY26" s="57">
        <f t="shared" si="19"/>
        <v>0</v>
      </c>
      <c r="AZ26" s="57">
        <f t="shared" si="19"/>
        <v>0</v>
      </c>
      <c r="BA26" s="57">
        <f t="shared" si="19"/>
        <v>0</v>
      </c>
      <c r="BB26" s="57">
        <f t="shared" si="19"/>
        <v>0</v>
      </c>
      <c r="BC26" s="57">
        <f t="shared" si="19"/>
        <v>0</v>
      </c>
      <c r="BD26" s="57">
        <f t="shared" si="19"/>
        <v>0</v>
      </c>
      <c r="BE26" s="57">
        <f t="shared" si="19"/>
        <v>0</v>
      </c>
      <c r="BF26" s="57">
        <f t="shared" si="19"/>
        <v>0</v>
      </c>
      <c r="BG26" s="57">
        <f t="shared" si="19"/>
        <v>0</v>
      </c>
      <c r="BH26" s="57">
        <f t="shared" si="19"/>
        <v>0</v>
      </c>
      <c r="BI26" s="57">
        <f t="shared" si="19"/>
        <v>0</v>
      </c>
      <c r="BJ26" s="57">
        <f t="shared" si="19"/>
        <v>0</v>
      </c>
      <c r="BK26" s="57">
        <f t="shared" si="19"/>
        <v>0</v>
      </c>
      <c r="BL26" s="57">
        <f t="shared" si="19"/>
        <v>0</v>
      </c>
      <c r="BM26" s="57">
        <f t="shared" si="19"/>
        <v>0</v>
      </c>
      <c r="BN26" s="57">
        <f t="shared" si="19"/>
        <v>0</v>
      </c>
      <c r="BO26" s="57">
        <f t="shared" si="19"/>
        <v>0</v>
      </c>
      <c r="BP26" s="57">
        <f t="shared" si="19"/>
        <v>0</v>
      </c>
      <c r="BQ26" s="57">
        <f t="shared" si="19"/>
        <v>0</v>
      </c>
      <c r="BR26" s="57">
        <f t="shared" si="19"/>
        <v>0</v>
      </c>
      <c r="BS26" s="57">
        <f t="shared" si="19"/>
        <v>0</v>
      </c>
    </row>
    <row r="27" spans="1:71" ht="17.25" customHeight="1">
      <c r="A27" s="26"/>
      <c r="B27" s="52" t="s">
        <v>116</v>
      </c>
      <c r="C27" s="26"/>
      <c r="D27" s="53">
        <v>0</v>
      </c>
      <c r="E27" s="54">
        <v>0</v>
      </c>
      <c r="F27" s="54">
        <v>12</v>
      </c>
      <c r="G27" s="54">
        <v>12</v>
      </c>
      <c r="H27" s="55">
        <f t="shared" si="10"/>
        <v>45258</v>
      </c>
      <c r="I27" s="45">
        <f t="shared" si="8"/>
        <v>11</v>
      </c>
      <c r="J27" s="53">
        <v>0</v>
      </c>
      <c r="K27" s="26"/>
      <c r="L27" s="23" t="s">
        <v>74</v>
      </c>
      <c r="M27" s="56">
        <f>IF(L27='Get Started'!$B$11,W27,IF(L27='Get Started'!$B$12,BS27,IF(L27='Get Started'!$B$13,SUM(W27:BS27),IF(L27='Get Started'!$B$14,AVERAGE(W27:BS27),0))))</f>
        <v>0</v>
      </c>
      <c r="N27" s="23"/>
      <c r="O27" s="23"/>
      <c r="P27" s="23"/>
      <c r="Q27" s="23"/>
      <c r="R27" s="23"/>
      <c r="S27" s="23"/>
      <c r="T27" s="23"/>
      <c r="U27" s="23"/>
      <c r="V27" s="23"/>
      <c r="W27" s="57">
        <f t="shared" ref="W27:BS27" si="20">IF(EOMONTH($H27,0)=W$4,$E27/$F27*$D27,IF(MOD(W$6-MATCH(EOMONTH($H27,0),$W$4:$BS$4,0)+1,$F27)=1,V27*(1+$J27),V27))</f>
        <v>0</v>
      </c>
      <c r="X27" s="57">
        <f t="shared" si="20"/>
        <v>0</v>
      </c>
      <c r="Y27" s="57">
        <f t="shared" si="20"/>
        <v>0</v>
      </c>
      <c r="Z27" s="57">
        <f t="shared" si="20"/>
        <v>0</v>
      </c>
      <c r="AA27" s="57">
        <f t="shared" si="20"/>
        <v>0</v>
      </c>
      <c r="AB27" s="57">
        <f t="shared" si="20"/>
        <v>0</v>
      </c>
      <c r="AC27" s="57">
        <f t="shared" si="20"/>
        <v>0</v>
      </c>
      <c r="AD27" s="57">
        <f t="shared" si="20"/>
        <v>0</v>
      </c>
      <c r="AE27" s="57">
        <f t="shared" si="20"/>
        <v>0</v>
      </c>
      <c r="AF27" s="57">
        <f t="shared" si="20"/>
        <v>0</v>
      </c>
      <c r="AG27" s="57">
        <f t="shared" si="20"/>
        <v>0</v>
      </c>
      <c r="AH27" s="57">
        <f t="shared" si="20"/>
        <v>0</v>
      </c>
      <c r="AI27" s="57">
        <f t="shared" si="20"/>
        <v>0</v>
      </c>
      <c r="AJ27" s="57">
        <f t="shared" si="20"/>
        <v>0</v>
      </c>
      <c r="AK27" s="57">
        <f t="shared" si="20"/>
        <v>0</v>
      </c>
      <c r="AL27" s="57">
        <f t="shared" si="20"/>
        <v>0</v>
      </c>
      <c r="AM27" s="57">
        <f t="shared" si="20"/>
        <v>0</v>
      </c>
      <c r="AN27" s="57">
        <f t="shared" si="20"/>
        <v>0</v>
      </c>
      <c r="AO27" s="57">
        <f t="shared" si="20"/>
        <v>0</v>
      </c>
      <c r="AP27" s="57">
        <f t="shared" si="20"/>
        <v>0</v>
      </c>
      <c r="AQ27" s="57">
        <f t="shared" si="20"/>
        <v>0</v>
      </c>
      <c r="AR27" s="57">
        <f t="shared" si="20"/>
        <v>0</v>
      </c>
      <c r="AS27" s="57">
        <f t="shared" si="20"/>
        <v>0</v>
      </c>
      <c r="AT27" s="57">
        <f t="shared" si="20"/>
        <v>0</v>
      </c>
      <c r="AU27" s="57">
        <f t="shared" si="20"/>
        <v>0</v>
      </c>
      <c r="AV27" s="57">
        <f t="shared" si="20"/>
        <v>0</v>
      </c>
      <c r="AW27" s="57">
        <f t="shared" si="20"/>
        <v>0</v>
      </c>
      <c r="AX27" s="57">
        <f t="shared" si="20"/>
        <v>0</v>
      </c>
      <c r="AY27" s="57">
        <f t="shared" si="20"/>
        <v>0</v>
      </c>
      <c r="AZ27" s="57">
        <f t="shared" si="20"/>
        <v>0</v>
      </c>
      <c r="BA27" s="57">
        <f t="shared" si="20"/>
        <v>0</v>
      </c>
      <c r="BB27" s="57">
        <f t="shared" si="20"/>
        <v>0</v>
      </c>
      <c r="BC27" s="57">
        <f t="shared" si="20"/>
        <v>0</v>
      </c>
      <c r="BD27" s="57">
        <f t="shared" si="20"/>
        <v>0</v>
      </c>
      <c r="BE27" s="57">
        <f t="shared" si="20"/>
        <v>0</v>
      </c>
      <c r="BF27" s="57">
        <f t="shared" si="20"/>
        <v>0</v>
      </c>
      <c r="BG27" s="57">
        <f t="shared" si="20"/>
        <v>0</v>
      </c>
      <c r="BH27" s="57">
        <f t="shared" si="20"/>
        <v>0</v>
      </c>
      <c r="BI27" s="57">
        <f t="shared" si="20"/>
        <v>0</v>
      </c>
      <c r="BJ27" s="57">
        <f t="shared" si="20"/>
        <v>0</v>
      </c>
      <c r="BK27" s="57">
        <f t="shared" si="20"/>
        <v>0</v>
      </c>
      <c r="BL27" s="57">
        <f t="shared" si="20"/>
        <v>0</v>
      </c>
      <c r="BM27" s="57">
        <f t="shared" si="20"/>
        <v>0</v>
      </c>
      <c r="BN27" s="57">
        <f t="shared" si="20"/>
        <v>0</v>
      </c>
      <c r="BO27" s="57">
        <f t="shared" si="20"/>
        <v>0</v>
      </c>
      <c r="BP27" s="57">
        <f t="shared" si="20"/>
        <v>0</v>
      </c>
      <c r="BQ27" s="57">
        <f t="shared" si="20"/>
        <v>0</v>
      </c>
      <c r="BR27" s="57">
        <f t="shared" si="20"/>
        <v>0</v>
      </c>
      <c r="BS27" s="57">
        <f t="shared" si="20"/>
        <v>0</v>
      </c>
    </row>
    <row r="28" spans="1:71" ht="17.25" customHeight="1">
      <c r="A28" s="26"/>
      <c r="B28" s="52" t="s">
        <v>116</v>
      </c>
      <c r="C28" s="26"/>
      <c r="D28" s="53">
        <v>0</v>
      </c>
      <c r="E28" s="54">
        <v>0</v>
      </c>
      <c r="F28" s="54">
        <v>12</v>
      </c>
      <c r="G28" s="54">
        <v>12</v>
      </c>
      <c r="H28" s="55">
        <f t="shared" si="10"/>
        <v>45288</v>
      </c>
      <c r="I28" s="45">
        <f t="shared" si="8"/>
        <v>12</v>
      </c>
      <c r="J28" s="53">
        <v>0</v>
      </c>
      <c r="K28" s="26"/>
      <c r="L28" s="23" t="s">
        <v>74</v>
      </c>
      <c r="M28" s="56">
        <f>IF(L28='Get Started'!$B$11,W28,IF(L28='Get Started'!$B$12,BS28,IF(L28='Get Started'!$B$13,SUM(W28:BS28),IF(L28='Get Started'!$B$14,AVERAGE(W28:BS28),0))))</f>
        <v>0</v>
      </c>
      <c r="N28" s="23"/>
      <c r="O28" s="23"/>
      <c r="P28" s="23"/>
      <c r="Q28" s="23"/>
      <c r="R28" s="23"/>
      <c r="S28" s="23"/>
      <c r="T28" s="23"/>
      <c r="U28" s="23"/>
      <c r="V28" s="23"/>
      <c r="W28" s="57">
        <f t="shared" ref="W28:BS28" si="21">IF(EOMONTH($H28,0)=W$4,$E28/$F28*$D28,IF(MOD(W$6-MATCH(EOMONTH($H28,0),$W$4:$BS$4,0)+1,$F28)=1,V28*(1+$J28),V28))</f>
        <v>0</v>
      </c>
      <c r="X28" s="57">
        <f t="shared" si="21"/>
        <v>0</v>
      </c>
      <c r="Y28" s="57">
        <f t="shared" si="21"/>
        <v>0</v>
      </c>
      <c r="Z28" s="57">
        <f t="shared" si="21"/>
        <v>0</v>
      </c>
      <c r="AA28" s="57">
        <f t="shared" si="21"/>
        <v>0</v>
      </c>
      <c r="AB28" s="57">
        <f t="shared" si="21"/>
        <v>0</v>
      </c>
      <c r="AC28" s="57">
        <f t="shared" si="21"/>
        <v>0</v>
      </c>
      <c r="AD28" s="57">
        <f t="shared" si="21"/>
        <v>0</v>
      </c>
      <c r="AE28" s="57">
        <f t="shared" si="21"/>
        <v>0</v>
      </c>
      <c r="AF28" s="57">
        <f t="shared" si="21"/>
        <v>0</v>
      </c>
      <c r="AG28" s="57">
        <f t="shared" si="21"/>
        <v>0</v>
      </c>
      <c r="AH28" s="57">
        <f t="shared" si="21"/>
        <v>0</v>
      </c>
      <c r="AI28" s="57">
        <f t="shared" si="21"/>
        <v>0</v>
      </c>
      <c r="AJ28" s="57">
        <f t="shared" si="21"/>
        <v>0</v>
      </c>
      <c r="AK28" s="57">
        <f t="shared" si="21"/>
        <v>0</v>
      </c>
      <c r="AL28" s="57">
        <f t="shared" si="21"/>
        <v>0</v>
      </c>
      <c r="AM28" s="57">
        <f t="shared" si="21"/>
        <v>0</v>
      </c>
      <c r="AN28" s="57">
        <f t="shared" si="21"/>
        <v>0</v>
      </c>
      <c r="AO28" s="57">
        <f t="shared" si="21"/>
        <v>0</v>
      </c>
      <c r="AP28" s="57">
        <f t="shared" si="21"/>
        <v>0</v>
      </c>
      <c r="AQ28" s="57">
        <f t="shared" si="21"/>
        <v>0</v>
      </c>
      <c r="AR28" s="57">
        <f t="shared" si="21"/>
        <v>0</v>
      </c>
      <c r="AS28" s="57">
        <f t="shared" si="21"/>
        <v>0</v>
      </c>
      <c r="AT28" s="57">
        <f t="shared" si="21"/>
        <v>0</v>
      </c>
      <c r="AU28" s="57">
        <f t="shared" si="21"/>
        <v>0</v>
      </c>
      <c r="AV28" s="57">
        <f t="shared" si="21"/>
        <v>0</v>
      </c>
      <c r="AW28" s="57">
        <f t="shared" si="21"/>
        <v>0</v>
      </c>
      <c r="AX28" s="57">
        <f t="shared" si="21"/>
        <v>0</v>
      </c>
      <c r="AY28" s="57">
        <f t="shared" si="21"/>
        <v>0</v>
      </c>
      <c r="AZ28" s="57">
        <f t="shared" si="21"/>
        <v>0</v>
      </c>
      <c r="BA28" s="57">
        <f t="shared" si="21"/>
        <v>0</v>
      </c>
      <c r="BB28" s="57">
        <f t="shared" si="21"/>
        <v>0</v>
      </c>
      <c r="BC28" s="57">
        <f t="shared" si="21"/>
        <v>0</v>
      </c>
      <c r="BD28" s="57">
        <f t="shared" si="21"/>
        <v>0</v>
      </c>
      <c r="BE28" s="57">
        <f t="shared" si="21"/>
        <v>0</v>
      </c>
      <c r="BF28" s="57">
        <f t="shared" si="21"/>
        <v>0</v>
      </c>
      <c r="BG28" s="57">
        <f t="shared" si="21"/>
        <v>0</v>
      </c>
      <c r="BH28" s="57">
        <f t="shared" si="21"/>
        <v>0</v>
      </c>
      <c r="BI28" s="57">
        <f t="shared" si="21"/>
        <v>0</v>
      </c>
      <c r="BJ28" s="57">
        <f t="shared" si="21"/>
        <v>0</v>
      </c>
      <c r="BK28" s="57">
        <f t="shared" si="21"/>
        <v>0</v>
      </c>
      <c r="BL28" s="57">
        <f t="shared" si="21"/>
        <v>0</v>
      </c>
      <c r="BM28" s="57">
        <f t="shared" si="21"/>
        <v>0</v>
      </c>
      <c r="BN28" s="57">
        <f t="shared" si="21"/>
        <v>0</v>
      </c>
      <c r="BO28" s="57">
        <f t="shared" si="21"/>
        <v>0</v>
      </c>
      <c r="BP28" s="57">
        <f t="shared" si="21"/>
        <v>0</v>
      </c>
      <c r="BQ28" s="57">
        <f t="shared" si="21"/>
        <v>0</v>
      </c>
      <c r="BR28" s="57">
        <f t="shared" si="21"/>
        <v>0</v>
      </c>
      <c r="BS28" s="57">
        <f t="shared" si="21"/>
        <v>0</v>
      </c>
    </row>
    <row r="29" spans="1:71" ht="17.25" customHeight="1">
      <c r="A29" s="26"/>
      <c r="B29" s="52" t="s">
        <v>116</v>
      </c>
      <c r="C29" s="26"/>
      <c r="D29" s="53">
        <v>0</v>
      </c>
      <c r="E29" s="54">
        <v>0</v>
      </c>
      <c r="F29" s="54">
        <v>12</v>
      </c>
      <c r="G29" s="54">
        <v>12</v>
      </c>
      <c r="H29" s="55">
        <f t="shared" si="10"/>
        <v>45319</v>
      </c>
      <c r="I29" s="45">
        <f t="shared" si="8"/>
        <v>13</v>
      </c>
      <c r="J29" s="53">
        <v>0</v>
      </c>
      <c r="K29" s="26"/>
      <c r="L29" s="23" t="s">
        <v>74</v>
      </c>
      <c r="M29" s="56">
        <f>IF(L29='Get Started'!$B$11,W29,IF(L29='Get Started'!$B$12,BS29,IF(L29='Get Started'!$B$13,SUM(W29:BS29),IF(L29='Get Started'!$B$14,AVERAGE(W29:BS29),0))))</f>
        <v>0</v>
      </c>
      <c r="N29" s="23"/>
      <c r="O29" s="23"/>
      <c r="P29" s="23"/>
      <c r="Q29" s="23"/>
      <c r="R29" s="23"/>
      <c r="S29" s="23"/>
      <c r="T29" s="23"/>
      <c r="U29" s="23"/>
      <c r="V29" s="23"/>
      <c r="W29" s="57">
        <f t="shared" ref="W29:BS29" si="22">IF(EOMONTH($H29,0)=W$4,$E29/$F29*$D29,IF(MOD(W$6-MATCH(EOMONTH($H29,0),$W$4:$BS$4,0)+1,$F29)=1,V29*(1+$J29),V29))</f>
        <v>0</v>
      </c>
      <c r="X29" s="57">
        <f t="shared" si="22"/>
        <v>0</v>
      </c>
      <c r="Y29" s="57">
        <f t="shared" si="22"/>
        <v>0</v>
      </c>
      <c r="Z29" s="57">
        <f t="shared" si="22"/>
        <v>0</v>
      </c>
      <c r="AA29" s="57">
        <f t="shared" si="22"/>
        <v>0</v>
      </c>
      <c r="AB29" s="57">
        <f t="shared" si="22"/>
        <v>0</v>
      </c>
      <c r="AC29" s="57">
        <f t="shared" si="22"/>
        <v>0</v>
      </c>
      <c r="AD29" s="57">
        <f t="shared" si="22"/>
        <v>0</v>
      </c>
      <c r="AE29" s="57">
        <f t="shared" si="22"/>
        <v>0</v>
      </c>
      <c r="AF29" s="57">
        <f t="shared" si="22"/>
        <v>0</v>
      </c>
      <c r="AG29" s="57">
        <f t="shared" si="22"/>
        <v>0</v>
      </c>
      <c r="AH29" s="57">
        <f t="shared" si="22"/>
        <v>0</v>
      </c>
      <c r="AI29" s="57">
        <f t="shared" si="22"/>
        <v>0</v>
      </c>
      <c r="AJ29" s="57">
        <f t="shared" si="22"/>
        <v>0</v>
      </c>
      <c r="AK29" s="57">
        <f t="shared" si="22"/>
        <v>0</v>
      </c>
      <c r="AL29" s="57">
        <f t="shared" si="22"/>
        <v>0</v>
      </c>
      <c r="AM29" s="57">
        <f t="shared" si="22"/>
        <v>0</v>
      </c>
      <c r="AN29" s="57">
        <f t="shared" si="22"/>
        <v>0</v>
      </c>
      <c r="AO29" s="57">
        <f t="shared" si="22"/>
        <v>0</v>
      </c>
      <c r="AP29" s="57">
        <f t="shared" si="22"/>
        <v>0</v>
      </c>
      <c r="AQ29" s="57">
        <f t="shared" si="22"/>
        <v>0</v>
      </c>
      <c r="AR29" s="57">
        <f t="shared" si="22"/>
        <v>0</v>
      </c>
      <c r="AS29" s="57">
        <f t="shared" si="22"/>
        <v>0</v>
      </c>
      <c r="AT29" s="57">
        <f t="shared" si="22"/>
        <v>0</v>
      </c>
      <c r="AU29" s="57">
        <f t="shared" si="22"/>
        <v>0</v>
      </c>
      <c r="AV29" s="57">
        <f t="shared" si="22"/>
        <v>0</v>
      </c>
      <c r="AW29" s="57">
        <f t="shared" si="22"/>
        <v>0</v>
      </c>
      <c r="AX29" s="57">
        <f t="shared" si="22"/>
        <v>0</v>
      </c>
      <c r="AY29" s="57">
        <f t="shared" si="22"/>
        <v>0</v>
      </c>
      <c r="AZ29" s="57">
        <f t="shared" si="22"/>
        <v>0</v>
      </c>
      <c r="BA29" s="57">
        <f t="shared" si="22"/>
        <v>0</v>
      </c>
      <c r="BB29" s="57">
        <f t="shared" si="22"/>
        <v>0</v>
      </c>
      <c r="BC29" s="57">
        <f t="shared" si="22"/>
        <v>0</v>
      </c>
      <c r="BD29" s="57">
        <f t="shared" si="22"/>
        <v>0</v>
      </c>
      <c r="BE29" s="57">
        <f t="shared" si="22"/>
        <v>0</v>
      </c>
      <c r="BF29" s="57">
        <f t="shared" si="22"/>
        <v>0</v>
      </c>
      <c r="BG29" s="57">
        <f t="shared" si="22"/>
        <v>0</v>
      </c>
      <c r="BH29" s="57">
        <f t="shared" si="22"/>
        <v>0</v>
      </c>
      <c r="BI29" s="57">
        <f t="shared" si="22"/>
        <v>0</v>
      </c>
      <c r="BJ29" s="57">
        <f t="shared" si="22"/>
        <v>0</v>
      </c>
      <c r="BK29" s="57">
        <f t="shared" si="22"/>
        <v>0</v>
      </c>
      <c r="BL29" s="57">
        <f t="shared" si="22"/>
        <v>0</v>
      </c>
      <c r="BM29" s="57">
        <f t="shared" si="22"/>
        <v>0</v>
      </c>
      <c r="BN29" s="57">
        <f t="shared" si="22"/>
        <v>0</v>
      </c>
      <c r="BO29" s="57">
        <f t="shared" si="22"/>
        <v>0</v>
      </c>
      <c r="BP29" s="57">
        <f t="shared" si="22"/>
        <v>0</v>
      </c>
      <c r="BQ29" s="57">
        <f t="shared" si="22"/>
        <v>0</v>
      </c>
      <c r="BR29" s="57">
        <f t="shared" si="22"/>
        <v>0</v>
      </c>
      <c r="BS29" s="57">
        <f t="shared" si="22"/>
        <v>0</v>
      </c>
    </row>
    <row r="30" spans="1:71" ht="17.25" customHeight="1">
      <c r="A30" s="26"/>
      <c r="B30" s="52" t="s">
        <v>116</v>
      </c>
      <c r="C30" s="26"/>
      <c r="D30" s="53">
        <v>0</v>
      </c>
      <c r="E30" s="54">
        <v>0</v>
      </c>
      <c r="F30" s="54">
        <v>12</v>
      </c>
      <c r="G30" s="54">
        <v>12</v>
      </c>
      <c r="H30" s="55">
        <f t="shared" si="10"/>
        <v>45350</v>
      </c>
      <c r="I30" s="45">
        <f t="shared" si="8"/>
        <v>14</v>
      </c>
      <c r="J30" s="53">
        <v>0</v>
      </c>
      <c r="K30" s="26"/>
      <c r="L30" s="23" t="s">
        <v>74</v>
      </c>
      <c r="M30" s="56">
        <f>IF(L30='Get Started'!$B$11,W30,IF(L30='Get Started'!$B$12,BS30,IF(L30='Get Started'!$B$13,SUM(W30:BS30),IF(L30='Get Started'!$B$14,AVERAGE(W30:BS30),0))))</f>
        <v>0</v>
      </c>
      <c r="N30" s="23"/>
      <c r="O30" s="23"/>
      <c r="P30" s="23"/>
      <c r="Q30" s="23"/>
      <c r="R30" s="23"/>
      <c r="S30" s="23"/>
      <c r="T30" s="23"/>
      <c r="U30" s="23"/>
      <c r="V30" s="23"/>
      <c r="W30" s="57">
        <f t="shared" ref="W30:BS30" si="23">IF(EOMONTH($H30,0)=W$4,$E30/$F30*$D30,IF(MOD(W$6-MATCH(EOMONTH($H30,0),$W$4:$BS$4,0)+1,$F30)=1,V30*(1+$J30),V30))</f>
        <v>0</v>
      </c>
      <c r="X30" s="57">
        <f t="shared" si="23"/>
        <v>0</v>
      </c>
      <c r="Y30" s="57">
        <f t="shared" si="23"/>
        <v>0</v>
      </c>
      <c r="Z30" s="57">
        <f t="shared" si="23"/>
        <v>0</v>
      </c>
      <c r="AA30" s="57">
        <f t="shared" si="23"/>
        <v>0</v>
      </c>
      <c r="AB30" s="57">
        <f t="shared" si="23"/>
        <v>0</v>
      </c>
      <c r="AC30" s="57">
        <f t="shared" si="23"/>
        <v>0</v>
      </c>
      <c r="AD30" s="57">
        <f t="shared" si="23"/>
        <v>0</v>
      </c>
      <c r="AE30" s="57">
        <f t="shared" si="23"/>
        <v>0</v>
      </c>
      <c r="AF30" s="57">
        <f t="shared" si="23"/>
        <v>0</v>
      </c>
      <c r="AG30" s="57">
        <f t="shared" si="23"/>
        <v>0</v>
      </c>
      <c r="AH30" s="57">
        <f t="shared" si="23"/>
        <v>0</v>
      </c>
      <c r="AI30" s="57">
        <f t="shared" si="23"/>
        <v>0</v>
      </c>
      <c r="AJ30" s="57">
        <f t="shared" si="23"/>
        <v>0</v>
      </c>
      <c r="AK30" s="57">
        <f t="shared" si="23"/>
        <v>0</v>
      </c>
      <c r="AL30" s="57">
        <f t="shared" si="23"/>
        <v>0</v>
      </c>
      <c r="AM30" s="57">
        <f t="shared" si="23"/>
        <v>0</v>
      </c>
      <c r="AN30" s="57">
        <f t="shared" si="23"/>
        <v>0</v>
      </c>
      <c r="AO30" s="57">
        <f t="shared" si="23"/>
        <v>0</v>
      </c>
      <c r="AP30" s="57">
        <f t="shared" si="23"/>
        <v>0</v>
      </c>
      <c r="AQ30" s="57">
        <f t="shared" si="23"/>
        <v>0</v>
      </c>
      <c r="AR30" s="57">
        <f t="shared" si="23"/>
        <v>0</v>
      </c>
      <c r="AS30" s="57">
        <f t="shared" si="23"/>
        <v>0</v>
      </c>
      <c r="AT30" s="57">
        <f t="shared" si="23"/>
        <v>0</v>
      </c>
      <c r="AU30" s="57">
        <f t="shared" si="23"/>
        <v>0</v>
      </c>
      <c r="AV30" s="57">
        <f t="shared" si="23"/>
        <v>0</v>
      </c>
      <c r="AW30" s="57">
        <f t="shared" si="23"/>
        <v>0</v>
      </c>
      <c r="AX30" s="57">
        <f t="shared" si="23"/>
        <v>0</v>
      </c>
      <c r="AY30" s="57">
        <f t="shared" si="23"/>
        <v>0</v>
      </c>
      <c r="AZ30" s="57">
        <f t="shared" si="23"/>
        <v>0</v>
      </c>
      <c r="BA30" s="57">
        <f t="shared" si="23"/>
        <v>0</v>
      </c>
      <c r="BB30" s="57">
        <f t="shared" si="23"/>
        <v>0</v>
      </c>
      <c r="BC30" s="57">
        <f t="shared" si="23"/>
        <v>0</v>
      </c>
      <c r="BD30" s="57">
        <f t="shared" si="23"/>
        <v>0</v>
      </c>
      <c r="BE30" s="57">
        <f t="shared" si="23"/>
        <v>0</v>
      </c>
      <c r="BF30" s="57">
        <f t="shared" si="23"/>
        <v>0</v>
      </c>
      <c r="BG30" s="57">
        <f t="shared" si="23"/>
        <v>0</v>
      </c>
      <c r="BH30" s="57">
        <f t="shared" si="23"/>
        <v>0</v>
      </c>
      <c r="BI30" s="57">
        <f t="shared" si="23"/>
        <v>0</v>
      </c>
      <c r="BJ30" s="57">
        <f t="shared" si="23"/>
        <v>0</v>
      </c>
      <c r="BK30" s="57">
        <f t="shared" si="23"/>
        <v>0</v>
      </c>
      <c r="BL30" s="57">
        <f t="shared" si="23"/>
        <v>0</v>
      </c>
      <c r="BM30" s="57">
        <f t="shared" si="23"/>
        <v>0</v>
      </c>
      <c r="BN30" s="57">
        <f t="shared" si="23"/>
        <v>0</v>
      </c>
      <c r="BO30" s="57">
        <f t="shared" si="23"/>
        <v>0</v>
      </c>
      <c r="BP30" s="57">
        <f t="shared" si="23"/>
        <v>0</v>
      </c>
      <c r="BQ30" s="57">
        <f t="shared" si="23"/>
        <v>0</v>
      </c>
      <c r="BR30" s="57">
        <f t="shared" si="23"/>
        <v>0</v>
      </c>
      <c r="BS30" s="57">
        <f t="shared" si="23"/>
        <v>0</v>
      </c>
    </row>
    <row r="31" spans="1:71" ht="17.25" customHeight="1">
      <c r="A31" s="26"/>
      <c r="B31" s="25" t="s">
        <v>117</v>
      </c>
      <c r="C31" s="26"/>
      <c r="D31" s="58"/>
      <c r="E31" s="26"/>
      <c r="F31" s="26"/>
      <c r="G31" s="26"/>
      <c r="H31" s="26"/>
      <c r="I31" s="26"/>
      <c r="J31" s="23"/>
      <c r="K31" s="58"/>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row>
    <row r="32" spans="1:71" ht="17.25" customHeight="1">
      <c r="A32" s="26"/>
      <c r="B32" s="23"/>
      <c r="C32" s="26"/>
      <c r="D32" s="58"/>
      <c r="E32" s="26"/>
      <c r="F32" s="26"/>
      <c r="G32" s="26"/>
      <c r="H32" s="26"/>
      <c r="I32" s="26"/>
      <c r="J32" s="26"/>
      <c r="K32" s="58"/>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row>
    <row r="33" spans="1:71" ht="17.25" customHeight="1">
      <c r="A33" s="26"/>
      <c r="B33" s="23" t="str">
        <f>"New "&amp;B15&amp;"s"</f>
        <v>New Clients</v>
      </c>
      <c r="C33" s="38" t="s">
        <v>88</v>
      </c>
      <c r="D33" s="58" t="s">
        <v>118</v>
      </c>
      <c r="E33" s="26"/>
      <c r="F33" s="26"/>
      <c r="G33" s="26"/>
      <c r="H33" s="26"/>
      <c r="I33" s="26"/>
      <c r="J33" s="26"/>
      <c r="K33" s="58"/>
      <c r="L33" s="26"/>
      <c r="M33" s="26"/>
      <c r="N33" s="26"/>
      <c r="O33" s="26"/>
      <c r="P33" s="26"/>
      <c r="Q33" s="26"/>
      <c r="R33" s="26"/>
      <c r="S33" s="26"/>
      <c r="T33" s="26"/>
      <c r="U33" s="26"/>
      <c r="V33" s="26"/>
      <c r="W33" s="45">
        <f t="shared" ref="W33:BS33" si="24">W34-V34</f>
        <v>1</v>
      </c>
      <c r="X33" s="45">
        <f t="shared" si="24"/>
        <v>1</v>
      </c>
      <c r="Y33" s="45">
        <f t="shared" si="24"/>
        <v>1</v>
      </c>
      <c r="Z33" s="45">
        <f t="shared" si="24"/>
        <v>1</v>
      </c>
      <c r="AA33" s="45">
        <f t="shared" si="24"/>
        <v>1</v>
      </c>
      <c r="AB33" s="45">
        <f t="shared" si="24"/>
        <v>0</v>
      </c>
      <c r="AC33" s="45">
        <f t="shared" si="24"/>
        <v>0</v>
      </c>
      <c r="AD33" s="45">
        <f t="shared" si="24"/>
        <v>-1</v>
      </c>
      <c r="AE33" s="45">
        <f t="shared" si="24"/>
        <v>0</v>
      </c>
      <c r="AF33" s="45">
        <f t="shared" si="24"/>
        <v>0</v>
      </c>
      <c r="AG33" s="45">
        <f t="shared" si="24"/>
        <v>0</v>
      </c>
      <c r="AH33" s="45">
        <f t="shared" si="24"/>
        <v>0</v>
      </c>
      <c r="AI33" s="45">
        <f t="shared" si="24"/>
        <v>0</v>
      </c>
      <c r="AJ33" s="45">
        <f t="shared" si="24"/>
        <v>0</v>
      </c>
      <c r="AK33" s="45">
        <f t="shared" si="24"/>
        <v>0</v>
      </c>
      <c r="AL33" s="45">
        <f t="shared" si="24"/>
        <v>0</v>
      </c>
      <c r="AM33" s="45">
        <f t="shared" si="24"/>
        <v>0</v>
      </c>
      <c r="AN33" s="45">
        <f t="shared" si="24"/>
        <v>0</v>
      </c>
      <c r="AO33" s="45">
        <f t="shared" si="24"/>
        <v>0</v>
      </c>
      <c r="AP33" s="45">
        <f t="shared" si="24"/>
        <v>0</v>
      </c>
      <c r="AQ33" s="45">
        <f t="shared" si="24"/>
        <v>0</v>
      </c>
      <c r="AR33" s="45">
        <f t="shared" si="24"/>
        <v>0</v>
      </c>
      <c r="AS33" s="45">
        <f t="shared" si="24"/>
        <v>0</v>
      </c>
      <c r="AT33" s="45">
        <f t="shared" si="24"/>
        <v>0</v>
      </c>
      <c r="AU33" s="45">
        <f t="shared" si="24"/>
        <v>0</v>
      </c>
      <c r="AV33" s="45">
        <f t="shared" si="24"/>
        <v>0</v>
      </c>
      <c r="AW33" s="45">
        <f t="shared" si="24"/>
        <v>0</v>
      </c>
      <c r="AX33" s="45">
        <f t="shared" si="24"/>
        <v>0</v>
      </c>
      <c r="AY33" s="45">
        <f t="shared" si="24"/>
        <v>0</v>
      </c>
      <c r="AZ33" s="45">
        <f t="shared" si="24"/>
        <v>0</v>
      </c>
      <c r="BA33" s="45">
        <f t="shared" si="24"/>
        <v>0</v>
      </c>
      <c r="BB33" s="45">
        <f t="shared" si="24"/>
        <v>0</v>
      </c>
      <c r="BC33" s="45">
        <f t="shared" si="24"/>
        <v>0</v>
      </c>
      <c r="BD33" s="45">
        <f t="shared" si="24"/>
        <v>0</v>
      </c>
      <c r="BE33" s="45">
        <f t="shared" si="24"/>
        <v>0</v>
      </c>
      <c r="BF33" s="45">
        <f t="shared" si="24"/>
        <v>0</v>
      </c>
      <c r="BG33" s="45">
        <f t="shared" si="24"/>
        <v>0</v>
      </c>
      <c r="BH33" s="45">
        <f t="shared" si="24"/>
        <v>0</v>
      </c>
      <c r="BI33" s="45">
        <f t="shared" si="24"/>
        <v>0</v>
      </c>
      <c r="BJ33" s="45">
        <f t="shared" si="24"/>
        <v>0</v>
      </c>
      <c r="BK33" s="45">
        <f t="shared" si="24"/>
        <v>0</v>
      </c>
      <c r="BL33" s="45">
        <f t="shared" si="24"/>
        <v>0</v>
      </c>
      <c r="BM33" s="45">
        <f t="shared" si="24"/>
        <v>0</v>
      </c>
      <c r="BN33" s="45">
        <f t="shared" si="24"/>
        <v>0</v>
      </c>
      <c r="BO33" s="45">
        <f t="shared" si="24"/>
        <v>0</v>
      </c>
      <c r="BP33" s="45">
        <f t="shared" si="24"/>
        <v>0</v>
      </c>
      <c r="BQ33" s="45">
        <f t="shared" si="24"/>
        <v>0</v>
      </c>
      <c r="BR33" s="45">
        <f t="shared" si="24"/>
        <v>0</v>
      </c>
      <c r="BS33" s="45">
        <f t="shared" si="24"/>
        <v>0</v>
      </c>
    </row>
    <row r="34" spans="1:71" ht="17.25" customHeight="1">
      <c r="A34" s="26"/>
      <c r="B34" s="23" t="str">
        <f>B15&amp;"s, end of period"</f>
        <v>Clients, end of period</v>
      </c>
      <c r="C34" s="38" t="s">
        <v>88</v>
      </c>
      <c r="D34" s="58" t="s">
        <v>119</v>
      </c>
      <c r="E34" s="26"/>
      <c r="F34" s="26"/>
      <c r="G34" s="26"/>
      <c r="H34" s="26"/>
      <c r="I34" s="26"/>
      <c r="J34" s="26"/>
      <c r="K34" s="58"/>
      <c r="L34" s="26"/>
      <c r="M34" s="26"/>
      <c r="N34" s="26"/>
      <c r="O34" s="26"/>
      <c r="P34" s="26"/>
      <c r="Q34" s="26"/>
      <c r="R34" s="26"/>
      <c r="S34" s="26"/>
      <c r="T34" s="26"/>
      <c r="U34" s="26"/>
      <c r="V34" s="57">
        <v>0</v>
      </c>
      <c r="W34" s="45">
        <f t="shared" ref="W34:BS34" si="25">COUNTIFS(W17:W30,"&gt;0")</f>
        <v>1</v>
      </c>
      <c r="X34" s="45">
        <f t="shared" si="25"/>
        <v>2</v>
      </c>
      <c r="Y34" s="45">
        <f t="shared" si="25"/>
        <v>3</v>
      </c>
      <c r="Z34" s="45">
        <f t="shared" si="25"/>
        <v>4</v>
      </c>
      <c r="AA34" s="45">
        <f t="shared" si="25"/>
        <v>5</v>
      </c>
      <c r="AB34" s="45">
        <f t="shared" si="25"/>
        <v>5</v>
      </c>
      <c r="AC34" s="45">
        <f t="shared" si="25"/>
        <v>5</v>
      </c>
      <c r="AD34" s="45">
        <f t="shared" si="25"/>
        <v>4</v>
      </c>
      <c r="AE34" s="45">
        <f t="shared" si="25"/>
        <v>4</v>
      </c>
      <c r="AF34" s="45">
        <f t="shared" si="25"/>
        <v>4</v>
      </c>
      <c r="AG34" s="45">
        <f t="shared" si="25"/>
        <v>4</v>
      </c>
      <c r="AH34" s="45">
        <f t="shared" si="25"/>
        <v>4</v>
      </c>
      <c r="AI34" s="45">
        <f t="shared" si="25"/>
        <v>4</v>
      </c>
      <c r="AJ34" s="45">
        <f t="shared" si="25"/>
        <v>4</v>
      </c>
      <c r="AK34" s="45">
        <f t="shared" si="25"/>
        <v>4</v>
      </c>
      <c r="AL34" s="45">
        <f t="shared" si="25"/>
        <v>4</v>
      </c>
      <c r="AM34" s="45">
        <f t="shared" si="25"/>
        <v>4</v>
      </c>
      <c r="AN34" s="45">
        <f t="shared" si="25"/>
        <v>4</v>
      </c>
      <c r="AO34" s="45">
        <f t="shared" si="25"/>
        <v>4</v>
      </c>
      <c r="AP34" s="45">
        <f t="shared" si="25"/>
        <v>4</v>
      </c>
      <c r="AQ34" s="45">
        <f t="shared" si="25"/>
        <v>4</v>
      </c>
      <c r="AR34" s="45">
        <f t="shared" si="25"/>
        <v>4</v>
      </c>
      <c r="AS34" s="45">
        <f t="shared" si="25"/>
        <v>4</v>
      </c>
      <c r="AT34" s="45">
        <f t="shared" si="25"/>
        <v>4</v>
      </c>
      <c r="AU34" s="45">
        <f t="shared" si="25"/>
        <v>4</v>
      </c>
      <c r="AV34" s="45">
        <f t="shared" si="25"/>
        <v>4</v>
      </c>
      <c r="AW34" s="45">
        <f t="shared" si="25"/>
        <v>4</v>
      </c>
      <c r="AX34" s="45">
        <f t="shared" si="25"/>
        <v>4</v>
      </c>
      <c r="AY34" s="45">
        <f t="shared" si="25"/>
        <v>4</v>
      </c>
      <c r="AZ34" s="45">
        <f t="shared" si="25"/>
        <v>4</v>
      </c>
      <c r="BA34" s="45">
        <f t="shared" si="25"/>
        <v>4</v>
      </c>
      <c r="BB34" s="45">
        <f t="shared" si="25"/>
        <v>4</v>
      </c>
      <c r="BC34" s="45">
        <f t="shared" si="25"/>
        <v>4</v>
      </c>
      <c r="BD34" s="45">
        <f t="shared" si="25"/>
        <v>4</v>
      </c>
      <c r="BE34" s="45">
        <f t="shared" si="25"/>
        <v>4</v>
      </c>
      <c r="BF34" s="45">
        <f t="shared" si="25"/>
        <v>4</v>
      </c>
      <c r="BG34" s="45">
        <f t="shared" si="25"/>
        <v>4</v>
      </c>
      <c r="BH34" s="45">
        <f t="shared" si="25"/>
        <v>4</v>
      </c>
      <c r="BI34" s="45">
        <f t="shared" si="25"/>
        <v>4</v>
      </c>
      <c r="BJ34" s="45">
        <f t="shared" si="25"/>
        <v>4</v>
      </c>
      <c r="BK34" s="45">
        <f t="shared" si="25"/>
        <v>4</v>
      </c>
      <c r="BL34" s="45">
        <f t="shared" si="25"/>
        <v>4</v>
      </c>
      <c r="BM34" s="45">
        <f t="shared" si="25"/>
        <v>4</v>
      </c>
      <c r="BN34" s="45">
        <f t="shared" si="25"/>
        <v>4</v>
      </c>
      <c r="BO34" s="45">
        <f t="shared" si="25"/>
        <v>4</v>
      </c>
      <c r="BP34" s="45">
        <f t="shared" si="25"/>
        <v>4</v>
      </c>
      <c r="BQ34" s="45">
        <f t="shared" si="25"/>
        <v>4</v>
      </c>
      <c r="BR34" s="45">
        <f t="shared" si="25"/>
        <v>4</v>
      </c>
      <c r="BS34" s="45">
        <f t="shared" si="25"/>
        <v>4</v>
      </c>
    </row>
    <row r="35" spans="1:71" ht="17.25" customHeight="1">
      <c r="A35" s="26"/>
      <c r="B35" s="23"/>
      <c r="C35" s="26"/>
      <c r="D35" s="58"/>
      <c r="E35" s="26"/>
      <c r="F35" s="26"/>
      <c r="G35" s="26"/>
      <c r="H35" s="26"/>
      <c r="I35" s="26"/>
      <c r="J35" s="26"/>
      <c r="K35" s="58"/>
      <c r="L35" s="26"/>
      <c r="M35" s="26"/>
      <c r="N35" s="26"/>
      <c r="O35" s="26"/>
      <c r="P35" s="26"/>
      <c r="Q35" s="26"/>
      <c r="R35" s="26"/>
      <c r="S35" s="26"/>
      <c r="T35" s="26"/>
      <c r="U35" s="26"/>
      <c r="V35" s="26"/>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row>
    <row r="36" spans="1:71" ht="17.25" customHeight="1">
      <c r="A36" s="26"/>
      <c r="B36" s="23" t="s">
        <v>120</v>
      </c>
      <c r="C36" s="59" t="s">
        <v>121</v>
      </c>
      <c r="D36" s="58" t="s">
        <v>122</v>
      </c>
      <c r="E36" s="26"/>
      <c r="F36" s="26"/>
      <c r="G36" s="26"/>
      <c r="H36" s="26"/>
      <c r="I36" s="26"/>
      <c r="J36" s="26"/>
      <c r="K36" s="58"/>
      <c r="L36" s="23" t="s">
        <v>74</v>
      </c>
      <c r="M36" s="56">
        <f>IF(L36='Get Started'!$B$11,W36,IF(L36='Get Started'!$B$12,BS36,IF(L36='Get Started'!$B$13,SUM(W36:BS36),IF(L36='Get Started'!$B$14,AVERAGE(W36:BS36),0))))</f>
        <v>32770450</v>
      </c>
      <c r="N36" s="26"/>
      <c r="O36" s="26"/>
      <c r="P36" s="26"/>
      <c r="Q36" s="26"/>
      <c r="R36" s="26"/>
      <c r="S36" s="26"/>
      <c r="T36" s="26"/>
      <c r="U36" s="26"/>
      <c r="V36" s="26"/>
      <c r="W36" s="45">
        <f t="shared" ref="W36:BS36" si="26">SUMPRODUCT(W17:W30,--(MOD(W$6-$I17:$I30,$F17:$F30)=0),--(W$6&gt;=$I17:$I30),$F17:$F30)</f>
        <v>200</v>
      </c>
      <c r="X36" s="45">
        <f t="shared" si="26"/>
        <v>100</v>
      </c>
      <c r="Y36" s="45">
        <f t="shared" si="26"/>
        <v>200</v>
      </c>
      <c r="Z36" s="45">
        <f t="shared" si="26"/>
        <v>550</v>
      </c>
      <c r="AA36" s="45">
        <f t="shared" si="26"/>
        <v>250</v>
      </c>
      <c r="AB36" s="45">
        <f t="shared" si="26"/>
        <v>0</v>
      </c>
      <c r="AC36" s="45">
        <f t="shared" si="26"/>
        <v>950</v>
      </c>
      <c r="AD36" s="45">
        <f t="shared" si="26"/>
        <v>400</v>
      </c>
      <c r="AE36" s="45">
        <f t="shared" si="26"/>
        <v>0</v>
      </c>
      <c r="AF36" s="45">
        <f t="shared" si="26"/>
        <v>1750</v>
      </c>
      <c r="AG36" s="45">
        <f t="shared" si="26"/>
        <v>800</v>
      </c>
      <c r="AH36" s="45">
        <f t="shared" si="26"/>
        <v>0</v>
      </c>
      <c r="AI36" s="45">
        <f t="shared" si="26"/>
        <v>3350</v>
      </c>
      <c r="AJ36" s="45">
        <f t="shared" si="26"/>
        <v>1600</v>
      </c>
      <c r="AK36" s="45">
        <f t="shared" si="26"/>
        <v>0</v>
      </c>
      <c r="AL36" s="45">
        <f t="shared" si="26"/>
        <v>6550</v>
      </c>
      <c r="AM36" s="45">
        <f t="shared" si="26"/>
        <v>3200</v>
      </c>
      <c r="AN36" s="45">
        <f t="shared" si="26"/>
        <v>0</v>
      </c>
      <c r="AO36" s="45">
        <f t="shared" si="26"/>
        <v>12950</v>
      </c>
      <c r="AP36" s="45">
        <f t="shared" si="26"/>
        <v>6400</v>
      </c>
      <c r="AQ36" s="45">
        <f t="shared" si="26"/>
        <v>0</v>
      </c>
      <c r="AR36" s="45">
        <f t="shared" si="26"/>
        <v>25750</v>
      </c>
      <c r="AS36" s="45">
        <f t="shared" si="26"/>
        <v>12800</v>
      </c>
      <c r="AT36" s="45">
        <f t="shared" si="26"/>
        <v>0</v>
      </c>
      <c r="AU36" s="45">
        <f t="shared" si="26"/>
        <v>51350</v>
      </c>
      <c r="AV36" s="45">
        <f t="shared" si="26"/>
        <v>25600</v>
      </c>
      <c r="AW36" s="45">
        <f t="shared" si="26"/>
        <v>0</v>
      </c>
      <c r="AX36" s="45">
        <f t="shared" si="26"/>
        <v>102550</v>
      </c>
      <c r="AY36" s="45">
        <f t="shared" si="26"/>
        <v>51200</v>
      </c>
      <c r="AZ36" s="45">
        <f t="shared" si="26"/>
        <v>0</v>
      </c>
      <c r="BA36" s="45">
        <f t="shared" si="26"/>
        <v>204950</v>
      </c>
      <c r="BB36" s="45">
        <f t="shared" si="26"/>
        <v>102400</v>
      </c>
      <c r="BC36" s="45">
        <f t="shared" si="26"/>
        <v>0</v>
      </c>
      <c r="BD36" s="45">
        <f t="shared" si="26"/>
        <v>409750</v>
      </c>
      <c r="BE36" s="45">
        <f t="shared" si="26"/>
        <v>204800</v>
      </c>
      <c r="BF36" s="45">
        <f t="shared" si="26"/>
        <v>0</v>
      </c>
      <c r="BG36" s="45">
        <f t="shared" si="26"/>
        <v>819350</v>
      </c>
      <c r="BH36" s="45">
        <f t="shared" si="26"/>
        <v>409600</v>
      </c>
      <c r="BI36" s="45">
        <f t="shared" si="26"/>
        <v>100</v>
      </c>
      <c r="BJ36" s="45">
        <f t="shared" si="26"/>
        <v>1638550</v>
      </c>
      <c r="BK36" s="45">
        <f t="shared" si="26"/>
        <v>819200</v>
      </c>
      <c r="BL36" s="45">
        <f t="shared" si="26"/>
        <v>0</v>
      </c>
      <c r="BM36" s="45">
        <f t="shared" si="26"/>
        <v>3276950</v>
      </c>
      <c r="BN36" s="45">
        <f t="shared" si="26"/>
        <v>1638400</v>
      </c>
      <c r="BO36" s="45">
        <f t="shared" si="26"/>
        <v>0</v>
      </c>
      <c r="BP36" s="45">
        <f t="shared" si="26"/>
        <v>6553750</v>
      </c>
      <c r="BQ36" s="45">
        <f t="shared" si="26"/>
        <v>3276800</v>
      </c>
      <c r="BR36" s="45">
        <f t="shared" si="26"/>
        <v>0</v>
      </c>
      <c r="BS36" s="45">
        <f t="shared" si="26"/>
        <v>13107350</v>
      </c>
    </row>
    <row r="37" spans="1:71" ht="17.25" customHeight="1">
      <c r="A37" s="26"/>
      <c r="B37" s="23" t="s">
        <v>123</v>
      </c>
      <c r="C37" s="56" t="str">
        <f>Forecast!C$36</f>
        <v>$</v>
      </c>
      <c r="D37" s="58" t="s">
        <v>124</v>
      </c>
      <c r="E37" s="26"/>
      <c r="F37" s="26"/>
      <c r="G37" s="26"/>
      <c r="H37" s="26"/>
      <c r="I37" s="26"/>
      <c r="J37" s="26"/>
      <c r="K37" s="58"/>
      <c r="L37" s="23" t="s">
        <v>74</v>
      </c>
      <c r="M37" s="56">
        <f>IF(L37='Get Started'!$B$11,W37,IF(L37='Get Started'!$B$12,BS37,IF(L37='Get Started'!$B$13,SUM(W37:BS37),IF(L37='Get Started'!$B$14,AVERAGE(W37:BS37),0))))</f>
        <v>32770383.333333336</v>
      </c>
      <c r="N37" s="26"/>
      <c r="O37" s="26"/>
      <c r="P37" s="26"/>
      <c r="Q37" s="26"/>
      <c r="R37" s="26"/>
      <c r="S37" s="26"/>
      <c r="T37" s="26"/>
      <c r="U37" s="26"/>
      <c r="V37" s="26"/>
      <c r="W37" s="45">
        <f t="shared" ref="W37:BS37" si="27">SUMPRODUCT(W17:W30,--(MOD(W$6-$I17:$I30,$G17:$G30)=0),--(W$6&gt;=$I17:$I30),$G17:$G30)</f>
        <v>200</v>
      </c>
      <c r="X37" s="45">
        <f t="shared" si="27"/>
        <v>100</v>
      </c>
      <c r="Y37" s="45">
        <f t="shared" si="27"/>
        <v>66.666666666666657</v>
      </c>
      <c r="Z37" s="45">
        <f t="shared" si="27"/>
        <v>550</v>
      </c>
      <c r="AA37" s="45">
        <f t="shared" si="27"/>
        <v>216.66666666666666</v>
      </c>
      <c r="AB37" s="45">
        <f t="shared" si="27"/>
        <v>16.666666666666668</v>
      </c>
      <c r="AC37" s="45">
        <f t="shared" si="27"/>
        <v>966.66666666666663</v>
      </c>
      <c r="AD37" s="45">
        <f t="shared" si="27"/>
        <v>400</v>
      </c>
      <c r="AE37" s="45">
        <f t="shared" si="27"/>
        <v>0</v>
      </c>
      <c r="AF37" s="45">
        <f t="shared" si="27"/>
        <v>1750</v>
      </c>
      <c r="AG37" s="45">
        <f t="shared" si="27"/>
        <v>800</v>
      </c>
      <c r="AH37" s="45">
        <f t="shared" si="27"/>
        <v>0</v>
      </c>
      <c r="AI37" s="45">
        <f t="shared" si="27"/>
        <v>3350</v>
      </c>
      <c r="AJ37" s="45">
        <f t="shared" si="27"/>
        <v>1600</v>
      </c>
      <c r="AK37" s="45">
        <f t="shared" si="27"/>
        <v>66.666666666666657</v>
      </c>
      <c r="AL37" s="45">
        <f t="shared" si="27"/>
        <v>6550</v>
      </c>
      <c r="AM37" s="45">
        <f t="shared" si="27"/>
        <v>3200</v>
      </c>
      <c r="AN37" s="45">
        <f t="shared" si="27"/>
        <v>0</v>
      </c>
      <c r="AO37" s="45">
        <f t="shared" si="27"/>
        <v>12950</v>
      </c>
      <c r="AP37" s="45">
        <f t="shared" si="27"/>
        <v>6400</v>
      </c>
      <c r="AQ37" s="45">
        <f t="shared" si="27"/>
        <v>0</v>
      </c>
      <c r="AR37" s="45">
        <f t="shared" si="27"/>
        <v>25750</v>
      </c>
      <c r="AS37" s="45">
        <f t="shared" si="27"/>
        <v>12800</v>
      </c>
      <c r="AT37" s="45">
        <f t="shared" si="27"/>
        <v>0</v>
      </c>
      <c r="AU37" s="45">
        <f t="shared" si="27"/>
        <v>51350</v>
      </c>
      <c r="AV37" s="45">
        <f t="shared" si="27"/>
        <v>25600</v>
      </c>
      <c r="AW37" s="45">
        <f t="shared" si="27"/>
        <v>66.666666666666657</v>
      </c>
      <c r="AX37" s="45">
        <f t="shared" si="27"/>
        <v>102550</v>
      </c>
      <c r="AY37" s="45">
        <f t="shared" si="27"/>
        <v>51200</v>
      </c>
      <c r="AZ37" s="45">
        <f t="shared" si="27"/>
        <v>0</v>
      </c>
      <c r="BA37" s="45">
        <f t="shared" si="27"/>
        <v>204950</v>
      </c>
      <c r="BB37" s="45">
        <f t="shared" si="27"/>
        <v>102400</v>
      </c>
      <c r="BC37" s="45">
        <f t="shared" si="27"/>
        <v>0</v>
      </c>
      <c r="BD37" s="45">
        <f t="shared" si="27"/>
        <v>409750</v>
      </c>
      <c r="BE37" s="45">
        <f t="shared" si="27"/>
        <v>204800</v>
      </c>
      <c r="BF37" s="45">
        <f t="shared" si="27"/>
        <v>0</v>
      </c>
      <c r="BG37" s="45">
        <f t="shared" si="27"/>
        <v>819350</v>
      </c>
      <c r="BH37" s="45">
        <f t="shared" si="27"/>
        <v>409600</v>
      </c>
      <c r="BI37" s="45">
        <f t="shared" si="27"/>
        <v>33.333333333333329</v>
      </c>
      <c r="BJ37" s="45">
        <f t="shared" si="27"/>
        <v>1638550</v>
      </c>
      <c r="BK37" s="45">
        <f t="shared" si="27"/>
        <v>819200</v>
      </c>
      <c r="BL37" s="45">
        <f t="shared" si="27"/>
        <v>0</v>
      </c>
      <c r="BM37" s="45">
        <f t="shared" si="27"/>
        <v>3276950</v>
      </c>
      <c r="BN37" s="45">
        <f t="shared" si="27"/>
        <v>1638400</v>
      </c>
      <c r="BO37" s="45">
        <f t="shared" si="27"/>
        <v>0</v>
      </c>
      <c r="BP37" s="45">
        <f t="shared" si="27"/>
        <v>6553750</v>
      </c>
      <c r="BQ37" s="45">
        <f t="shared" si="27"/>
        <v>3276800</v>
      </c>
      <c r="BR37" s="45">
        <f t="shared" si="27"/>
        <v>0</v>
      </c>
      <c r="BS37" s="45">
        <f t="shared" si="27"/>
        <v>13107350</v>
      </c>
    </row>
    <row r="38" spans="1:71" ht="17.25" customHeight="1">
      <c r="A38" s="26"/>
      <c r="B38" s="23" t="s">
        <v>125</v>
      </c>
      <c r="C38" s="56" t="str">
        <f>Forecast!C$36</f>
        <v>$</v>
      </c>
      <c r="D38" s="58" t="s">
        <v>126</v>
      </c>
      <c r="E38" s="26"/>
      <c r="F38" s="26"/>
      <c r="G38" s="26"/>
      <c r="H38" s="26"/>
      <c r="I38" s="26"/>
      <c r="J38" s="26"/>
      <c r="K38" s="58"/>
      <c r="L38" s="23" t="s">
        <v>74</v>
      </c>
      <c r="M38" s="56">
        <f>IF(L38='Get Started'!$B$11,W38,IF(L38='Get Started'!$B$12,BS38,IF(L38='Get Started'!$B$13,SUM(W38:BS38),IF(L38='Get Started'!$B$14,AVERAGE(W38:BS38),0))))</f>
        <v>24032147.222222224</v>
      </c>
      <c r="N38" s="26"/>
      <c r="O38" s="26"/>
      <c r="P38" s="26"/>
      <c r="Q38" s="26"/>
      <c r="R38" s="26"/>
      <c r="S38" s="26"/>
      <c r="T38" s="26"/>
      <c r="U38" s="26"/>
      <c r="V38" s="26"/>
      <c r="W38" s="45">
        <f t="shared" ref="W38:BS38" si="28">SUMPRODUCT(W17:W30)</f>
        <v>66.666666666666671</v>
      </c>
      <c r="X38" s="45">
        <f t="shared" si="28"/>
        <v>100</v>
      </c>
      <c r="Y38" s="45">
        <f t="shared" si="28"/>
        <v>105.55555555555556</v>
      </c>
      <c r="Z38" s="45">
        <f t="shared" si="28"/>
        <v>222.22222222222223</v>
      </c>
      <c r="AA38" s="45">
        <f t="shared" si="28"/>
        <v>272.22222222222223</v>
      </c>
      <c r="AB38" s="45">
        <f t="shared" si="28"/>
        <v>272.22222222222223</v>
      </c>
      <c r="AC38" s="45">
        <f t="shared" si="28"/>
        <v>405.5555555555556</v>
      </c>
      <c r="AD38" s="45">
        <f t="shared" si="28"/>
        <v>455.55555555555554</v>
      </c>
      <c r="AE38" s="45">
        <f t="shared" si="28"/>
        <v>455.55555555555554</v>
      </c>
      <c r="AF38" s="45">
        <f t="shared" si="28"/>
        <v>722.22222222222229</v>
      </c>
      <c r="AG38" s="45">
        <f t="shared" si="28"/>
        <v>855.55555555555554</v>
      </c>
      <c r="AH38" s="45">
        <f t="shared" si="28"/>
        <v>855.55555555555554</v>
      </c>
      <c r="AI38" s="45">
        <f t="shared" si="28"/>
        <v>1388.8888888888891</v>
      </c>
      <c r="AJ38" s="45">
        <f t="shared" si="28"/>
        <v>1655.5555555555557</v>
      </c>
      <c r="AK38" s="45">
        <f t="shared" si="28"/>
        <v>1655.5555555555557</v>
      </c>
      <c r="AL38" s="45">
        <f t="shared" si="28"/>
        <v>2722.2222222222226</v>
      </c>
      <c r="AM38" s="45">
        <f t="shared" si="28"/>
        <v>3255.5555555555557</v>
      </c>
      <c r="AN38" s="45">
        <f t="shared" si="28"/>
        <v>3255.5555555555557</v>
      </c>
      <c r="AO38" s="45">
        <f t="shared" si="28"/>
        <v>5388.8888888888896</v>
      </c>
      <c r="AP38" s="45">
        <f t="shared" si="28"/>
        <v>6455.5555555555557</v>
      </c>
      <c r="AQ38" s="45">
        <f t="shared" si="28"/>
        <v>6455.5555555555557</v>
      </c>
      <c r="AR38" s="45">
        <f t="shared" si="28"/>
        <v>10722.222222222223</v>
      </c>
      <c r="AS38" s="45">
        <f t="shared" si="28"/>
        <v>12855.555555555555</v>
      </c>
      <c r="AT38" s="45">
        <f t="shared" si="28"/>
        <v>12855.555555555555</v>
      </c>
      <c r="AU38" s="45">
        <f t="shared" si="28"/>
        <v>21388.888888888891</v>
      </c>
      <c r="AV38" s="45">
        <f t="shared" si="28"/>
        <v>25655.555555555555</v>
      </c>
      <c r="AW38" s="45">
        <f t="shared" si="28"/>
        <v>25655.555555555555</v>
      </c>
      <c r="AX38" s="45">
        <f t="shared" si="28"/>
        <v>42722.222222222226</v>
      </c>
      <c r="AY38" s="45">
        <f t="shared" si="28"/>
        <v>51255.555555555555</v>
      </c>
      <c r="AZ38" s="45">
        <f t="shared" si="28"/>
        <v>51255.555555555555</v>
      </c>
      <c r="BA38" s="45">
        <f t="shared" si="28"/>
        <v>85388.888888888905</v>
      </c>
      <c r="BB38" s="45">
        <f t="shared" si="28"/>
        <v>102455.55555555556</v>
      </c>
      <c r="BC38" s="45">
        <f t="shared" si="28"/>
        <v>102455.55555555556</v>
      </c>
      <c r="BD38" s="45">
        <f t="shared" si="28"/>
        <v>170722.22222222225</v>
      </c>
      <c r="BE38" s="45">
        <f t="shared" si="28"/>
        <v>204855.55555555556</v>
      </c>
      <c r="BF38" s="45">
        <f t="shared" si="28"/>
        <v>204855.55555555556</v>
      </c>
      <c r="BG38" s="45">
        <f t="shared" si="28"/>
        <v>341388.88888888893</v>
      </c>
      <c r="BH38" s="45">
        <f t="shared" si="28"/>
        <v>409655.55555555556</v>
      </c>
      <c r="BI38" s="45">
        <f t="shared" si="28"/>
        <v>409652.77777777775</v>
      </c>
      <c r="BJ38" s="45">
        <f t="shared" si="28"/>
        <v>682719.4444444445</v>
      </c>
      <c r="BK38" s="45">
        <f t="shared" si="28"/>
        <v>819252.77777777775</v>
      </c>
      <c r="BL38" s="45">
        <f t="shared" si="28"/>
        <v>819252.77777777775</v>
      </c>
      <c r="BM38" s="45">
        <f t="shared" si="28"/>
        <v>1365386.1111111112</v>
      </c>
      <c r="BN38" s="45">
        <f t="shared" si="28"/>
        <v>1638452.7777777778</v>
      </c>
      <c r="BO38" s="45">
        <f t="shared" si="28"/>
        <v>1638452.7777777778</v>
      </c>
      <c r="BP38" s="45">
        <f t="shared" si="28"/>
        <v>2730719.444444445</v>
      </c>
      <c r="BQ38" s="45">
        <f t="shared" si="28"/>
        <v>3276852.777777778</v>
      </c>
      <c r="BR38" s="45">
        <f t="shared" si="28"/>
        <v>3276852.777777778</v>
      </c>
      <c r="BS38" s="45">
        <f t="shared" si="28"/>
        <v>5461386.1111111119</v>
      </c>
    </row>
    <row r="39" spans="1:71" ht="17.25" customHeight="1">
      <c r="A39" s="26"/>
      <c r="B39" s="23"/>
      <c r="C39" s="26"/>
      <c r="D39" s="58"/>
      <c r="E39" s="26"/>
      <c r="F39" s="26"/>
      <c r="G39" s="26"/>
      <c r="H39" s="26"/>
      <c r="I39" s="26"/>
      <c r="J39" s="26"/>
      <c r="K39" s="58"/>
      <c r="L39" s="26"/>
      <c r="M39" s="26"/>
      <c r="N39" s="26"/>
      <c r="O39" s="26"/>
      <c r="P39" s="26"/>
      <c r="Q39" s="26"/>
      <c r="R39" s="26"/>
      <c r="S39" s="26"/>
      <c r="T39" s="26"/>
      <c r="U39" s="26"/>
      <c r="V39" s="26"/>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row>
    <row r="40" spans="1:71" ht="17.25" customHeight="1">
      <c r="A40" s="26"/>
      <c r="B40" s="25" t="s">
        <v>127</v>
      </c>
      <c r="C40" s="26"/>
      <c r="D40" s="58"/>
      <c r="E40" s="26"/>
      <c r="F40" s="26"/>
      <c r="G40" s="26"/>
      <c r="H40" s="26"/>
      <c r="I40" s="26"/>
      <c r="J40" s="26"/>
      <c r="K40" s="58"/>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row>
    <row r="41" spans="1:71" ht="17.25" customHeight="1">
      <c r="A41" s="26"/>
      <c r="B41" s="23" t="s">
        <v>128</v>
      </c>
      <c r="C41" s="56" t="str">
        <f>Forecast!C$36</f>
        <v>$</v>
      </c>
      <c r="D41" s="58" t="s">
        <v>129</v>
      </c>
      <c r="E41" s="26"/>
      <c r="F41" s="26"/>
      <c r="G41" s="26"/>
      <c r="H41" s="26"/>
      <c r="I41" s="26"/>
      <c r="J41" s="26"/>
      <c r="K41" s="58"/>
      <c r="L41" s="23" t="s">
        <v>70</v>
      </c>
      <c r="M41" s="56">
        <f>IF(L41='Get Started'!$B$11,W41,IF(L41='Get Started'!$B$12,BS41,IF(L41='Get Started'!$B$13,SUM(W41:BS41),IF(L41='Get Started'!$B$14,AVERAGE(W41:BS41),0))))</f>
        <v>0</v>
      </c>
      <c r="N41" s="26"/>
      <c r="O41" s="26"/>
      <c r="P41" s="26"/>
      <c r="Q41" s="26"/>
      <c r="R41" s="26"/>
      <c r="S41" s="26"/>
      <c r="T41" s="26"/>
      <c r="U41" s="26"/>
      <c r="V41" s="26"/>
      <c r="W41" s="57">
        <v>0</v>
      </c>
      <c r="X41" s="37">
        <f t="shared" ref="X41:BS41" si="29">W44</f>
        <v>133.33333333333331</v>
      </c>
      <c r="Y41" s="45">
        <f t="shared" si="29"/>
        <v>133.33333333333331</v>
      </c>
      <c r="Z41" s="45">
        <f t="shared" si="29"/>
        <v>94.444444444444414</v>
      </c>
      <c r="AA41" s="45">
        <f t="shared" si="29"/>
        <v>422.22222222222223</v>
      </c>
      <c r="AB41" s="45">
        <f t="shared" si="29"/>
        <v>366.66666666666669</v>
      </c>
      <c r="AC41" s="45">
        <f t="shared" si="29"/>
        <v>111.11111111111114</v>
      </c>
      <c r="AD41" s="45">
        <f t="shared" si="29"/>
        <v>672.22222222222217</v>
      </c>
      <c r="AE41" s="45">
        <f t="shared" si="29"/>
        <v>616.66666666666663</v>
      </c>
      <c r="AF41" s="45">
        <f t="shared" si="29"/>
        <v>161.11111111111109</v>
      </c>
      <c r="AG41" s="45">
        <f t="shared" si="29"/>
        <v>1188.8888888888887</v>
      </c>
      <c r="AH41" s="45">
        <f t="shared" si="29"/>
        <v>1133.333333333333</v>
      </c>
      <c r="AI41" s="45">
        <f t="shared" si="29"/>
        <v>277.77777777777749</v>
      </c>
      <c r="AJ41" s="45">
        <f t="shared" si="29"/>
        <v>2238.8888888888882</v>
      </c>
      <c r="AK41" s="45">
        <f t="shared" si="29"/>
        <v>2183.3333333333326</v>
      </c>
      <c r="AL41" s="45">
        <f t="shared" si="29"/>
        <v>594.44444444444343</v>
      </c>
      <c r="AM41" s="45">
        <f t="shared" si="29"/>
        <v>4422.2222222222208</v>
      </c>
      <c r="AN41" s="45">
        <f t="shared" si="29"/>
        <v>4366.6666666666652</v>
      </c>
      <c r="AO41" s="45">
        <f t="shared" si="29"/>
        <v>1111.1111111111095</v>
      </c>
      <c r="AP41" s="45">
        <f t="shared" si="29"/>
        <v>8672.222222222219</v>
      </c>
      <c r="AQ41" s="45">
        <f t="shared" si="29"/>
        <v>8616.6666666666642</v>
      </c>
      <c r="AR41" s="45">
        <f t="shared" si="29"/>
        <v>2161.1111111111086</v>
      </c>
      <c r="AS41" s="45">
        <f t="shared" si="29"/>
        <v>17188.888888888887</v>
      </c>
      <c r="AT41" s="45">
        <f t="shared" si="29"/>
        <v>17133.333333333332</v>
      </c>
      <c r="AU41" s="45">
        <f t="shared" si="29"/>
        <v>4277.7777777777774</v>
      </c>
      <c r="AV41" s="45">
        <f t="shared" si="29"/>
        <v>34238.888888888891</v>
      </c>
      <c r="AW41" s="45">
        <f t="shared" si="29"/>
        <v>34183.333333333336</v>
      </c>
      <c r="AX41" s="45">
        <f t="shared" si="29"/>
        <v>8594.4444444444453</v>
      </c>
      <c r="AY41" s="45">
        <f t="shared" si="29"/>
        <v>68422.222222222219</v>
      </c>
      <c r="AZ41" s="45">
        <f t="shared" si="29"/>
        <v>68366.666666666657</v>
      </c>
      <c r="BA41" s="45">
        <f t="shared" si="29"/>
        <v>17111.111111111102</v>
      </c>
      <c r="BB41" s="45">
        <f t="shared" si="29"/>
        <v>136672.22222222219</v>
      </c>
      <c r="BC41" s="45">
        <f t="shared" si="29"/>
        <v>136616.66666666663</v>
      </c>
      <c r="BD41" s="45">
        <f t="shared" si="29"/>
        <v>34161.111111111066</v>
      </c>
      <c r="BE41" s="45">
        <f t="shared" si="29"/>
        <v>273188.88888888882</v>
      </c>
      <c r="BF41" s="45">
        <f t="shared" si="29"/>
        <v>273133.33333333326</v>
      </c>
      <c r="BG41" s="45">
        <f t="shared" si="29"/>
        <v>68277.777777777694</v>
      </c>
      <c r="BH41" s="45">
        <f t="shared" si="29"/>
        <v>546238.88888888876</v>
      </c>
      <c r="BI41" s="45">
        <f t="shared" si="29"/>
        <v>546183.33333333326</v>
      </c>
      <c r="BJ41" s="45">
        <f t="shared" si="29"/>
        <v>136563.88888888888</v>
      </c>
      <c r="BK41" s="45">
        <f t="shared" si="29"/>
        <v>1092394.4444444445</v>
      </c>
      <c r="BL41" s="45">
        <f t="shared" si="29"/>
        <v>1092341.6666666667</v>
      </c>
      <c r="BM41" s="45">
        <f t="shared" si="29"/>
        <v>273088.88888888899</v>
      </c>
      <c r="BN41" s="45">
        <f t="shared" si="29"/>
        <v>2184652.777777778</v>
      </c>
      <c r="BO41" s="45">
        <f t="shared" si="29"/>
        <v>2184600</v>
      </c>
      <c r="BP41" s="45">
        <f t="shared" si="29"/>
        <v>546147.22222222225</v>
      </c>
      <c r="BQ41" s="45">
        <f t="shared" si="29"/>
        <v>4369177.7777777771</v>
      </c>
      <c r="BR41" s="45">
        <f t="shared" si="29"/>
        <v>4369124.9999999991</v>
      </c>
      <c r="BS41" s="45">
        <f t="shared" si="29"/>
        <v>1092272.2222222211</v>
      </c>
    </row>
    <row r="42" spans="1:71" ht="17.25" customHeight="1">
      <c r="A42" s="26"/>
      <c r="B42" s="23" t="s">
        <v>123</v>
      </c>
      <c r="C42" s="56" t="str">
        <f>Forecast!C$36</f>
        <v>$</v>
      </c>
      <c r="D42" s="58" t="s">
        <v>130</v>
      </c>
      <c r="E42" s="26"/>
      <c r="F42" s="26"/>
      <c r="G42" s="26"/>
      <c r="H42" s="26"/>
      <c r="I42" s="26"/>
      <c r="J42" s="26"/>
      <c r="K42" s="58"/>
      <c r="L42" s="23" t="s">
        <v>74</v>
      </c>
      <c r="M42" s="56">
        <f>IF(L42='Get Started'!$B$11,W42,IF(L42='Get Started'!$B$12,BS42,IF(L42='Get Started'!$B$13,SUM(W42:BS42),IF(L42='Get Started'!$B$14,AVERAGE(W42:BS42),0))))</f>
        <v>32770383.333333336</v>
      </c>
      <c r="N42" s="26"/>
      <c r="O42" s="26"/>
      <c r="P42" s="26"/>
      <c r="Q42" s="26"/>
      <c r="R42" s="26"/>
      <c r="S42" s="26"/>
      <c r="T42" s="26"/>
      <c r="U42" s="26"/>
      <c r="V42" s="26"/>
      <c r="W42" s="45">
        <f t="shared" ref="W42:BS42" si="30">W37</f>
        <v>200</v>
      </c>
      <c r="X42" s="45">
        <f t="shared" si="30"/>
        <v>100</v>
      </c>
      <c r="Y42" s="45">
        <f t="shared" si="30"/>
        <v>66.666666666666657</v>
      </c>
      <c r="Z42" s="45">
        <f t="shared" si="30"/>
        <v>550</v>
      </c>
      <c r="AA42" s="45">
        <f t="shared" si="30"/>
        <v>216.66666666666666</v>
      </c>
      <c r="AB42" s="45">
        <f t="shared" si="30"/>
        <v>16.666666666666668</v>
      </c>
      <c r="AC42" s="45">
        <f t="shared" si="30"/>
        <v>966.66666666666663</v>
      </c>
      <c r="AD42" s="45">
        <f t="shared" si="30"/>
        <v>400</v>
      </c>
      <c r="AE42" s="45">
        <f t="shared" si="30"/>
        <v>0</v>
      </c>
      <c r="AF42" s="45">
        <f t="shared" si="30"/>
        <v>1750</v>
      </c>
      <c r="AG42" s="45">
        <f t="shared" si="30"/>
        <v>800</v>
      </c>
      <c r="AH42" s="45">
        <f t="shared" si="30"/>
        <v>0</v>
      </c>
      <c r="AI42" s="45">
        <f t="shared" si="30"/>
        <v>3350</v>
      </c>
      <c r="AJ42" s="45">
        <f t="shared" si="30"/>
        <v>1600</v>
      </c>
      <c r="AK42" s="45">
        <f t="shared" si="30"/>
        <v>66.666666666666657</v>
      </c>
      <c r="AL42" s="45">
        <f t="shared" si="30"/>
        <v>6550</v>
      </c>
      <c r="AM42" s="45">
        <f t="shared" si="30"/>
        <v>3200</v>
      </c>
      <c r="AN42" s="45">
        <f t="shared" si="30"/>
        <v>0</v>
      </c>
      <c r="AO42" s="45">
        <f t="shared" si="30"/>
        <v>12950</v>
      </c>
      <c r="AP42" s="45">
        <f t="shared" si="30"/>
        <v>6400</v>
      </c>
      <c r="AQ42" s="45">
        <f t="shared" si="30"/>
        <v>0</v>
      </c>
      <c r="AR42" s="45">
        <f t="shared" si="30"/>
        <v>25750</v>
      </c>
      <c r="AS42" s="45">
        <f t="shared" si="30"/>
        <v>12800</v>
      </c>
      <c r="AT42" s="45">
        <f t="shared" si="30"/>
        <v>0</v>
      </c>
      <c r="AU42" s="45">
        <f t="shared" si="30"/>
        <v>51350</v>
      </c>
      <c r="AV42" s="45">
        <f t="shared" si="30"/>
        <v>25600</v>
      </c>
      <c r="AW42" s="45">
        <f t="shared" si="30"/>
        <v>66.666666666666657</v>
      </c>
      <c r="AX42" s="45">
        <f t="shared" si="30"/>
        <v>102550</v>
      </c>
      <c r="AY42" s="45">
        <f t="shared" si="30"/>
        <v>51200</v>
      </c>
      <c r="AZ42" s="45">
        <f t="shared" si="30"/>
        <v>0</v>
      </c>
      <c r="BA42" s="45">
        <f t="shared" si="30"/>
        <v>204950</v>
      </c>
      <c r="BB42" s="45">
        <f t="shared" si="30"/>
        <v>102400</v>
      </c>
      <c r="BC42" s="45">
        <f t="shared" si="30"/>
        <v>0</v>
      </c>
      <c r="BD42" s="45">
        <f t="shared" si="30"/>
        <v>409750</v>
      </c>
      <c r="BE42" s="45">
        <f t="shared" si="30"/>
        <v>204800</v>
      </c>
      <c r="BF42" s="45">
        <f t="shared" si="30"/>
        <v>0</v>
      </c>
      <c r="BG42" s="45">
        <f t="shared" si="30"/>
        <v>819350</v>
      </c>
      <c r="BH42" s="45">
        <f t="shared" si="30"/>
        <v>409600</v>
      </c>
      <c r="BI42" s="45">
        <f t="shared" si="30"/>
        <v>33.333333333333329</v>
      </c>
      <c r="BJ42" s="45">
        <f t="shared" si="30"/>
        <v>1638550</v>
      </c>
      <c r="BK42" s="45">
        <f t="shared" si="30"/>
        <v>819200</v>
      </c>
      <c r="BL42" s="45">
        <f t="shared" si="30"/>
        <v>0</v>
      </c>
      <c r="BM42" s="45">
        <f t="shared" si="30"/>
        <v>3276950</v>
      </c>
      <c r="BN42" s="45">
        <f t="shared" si="30"/>
        <v>1638400</v>
      </c>
      <c r="BO42" s="45">
        <f t="shared" si="30"/>
        <v>0</v>
      </c>
      <c r="BP42" s="45">
        <f t="shared" si="30"/>
        <v>6553750</v>
      </c>
      <c r="BQ42" s="45">
        <f t="shared" si="30"/>
        <v>3276800</v>
      </c>
      <c r="BR42" s="45">
        <f t="shared" si="30"/>
        <v>0</v>
      </c>
      <c r="BS42" s="45">
        <f t="shared" si="30"/>
        <v>13107350</v>
      </c>
    </row>
    <row r="43" spans="1:71" ht="17.25" customHeight="1">
      <c r="A43" s="26"/>
      <c r="B43" s="23" t="s">
        <v>125</v>
      </c>
      <c r="C43" s="56" t="str">
        <f>Forecast!C$36</f>
        <v>$</v>
      </c>
      <c r="D43" s="58" t="s">
        <v>131</v>
      </c>
      <c r="E43" s="26"/>
      <c r="F43" s="26"/>
      <c r="G43" s="26"/>
      <c r="H43" s="26"/>
      <c r="I43" s="26"/>
      <c r="J43" s="26"/>
      <c r="K43" s="58"/>
      <c r="L43" s="23" t="s">
        <v>74</v>
      </c>
      <c r="M43" s="56">
        <f>IF(L43='Get Started'!$B$11,W43,IF(L43='Get Started'!$B$12,BS43,IF(L43='Get Started'!$B$13,SUM(W43:BS43),IF(L43='Get Started'!$B$14,AVERAGE(W43:BS43),0))))</f>
        <v>-24032147.222222224</v>
      </c>
      <c r="N43" s="26"/>
      <c r="O43" s="26"/>
      <c r="P43" s="26"/>
      <c r="Q43" s="26"/>
      <c r="R43" s="26"/>
      <c r="S43" s="26"/>
      <c r="T43" s="26"/>
      <c r="U43" s="26"/>
      <c r="V43" s="26"/>
      <c r="W43" s="45">
        <f t="shared" ref="W43:BS43" si="31">(W38)*-1</f>
        <v>-66.666666666666671</v>
      </c>
      <c r="X43" s="45">
        <f t="shared" si="31"/>
        <v>-100</v>
      </c>
      <c r="Y43" s="45">
        <f t="shared" si="31"/>
        <v>-105.55555555555556</v>
      </c>
      <c r="Z43" s="45">
        <f t="shared" si="31"/>
        <v>-222.22222222222223</v>
      </c>
      <c r="AA43" s="45">
        <f t="shared" si="31"/>
        <v>-272.22222222222223</v>
      </c>
      <c r="AB43" s="45">
        <f t="shared" si="31"/>
        <v>-272.22222222222223</v>
      </c>
      <c r="AC43" s="45">
        <f t="shared" si="31"/>
        <v>-405.5555555555556</v>
      </c>
      <c r="AD43" s="45">
        <f t="shared" si="31"/>
        <v>-455.55555555555554</v>
      </c>
      <c r="AE43" s="45">
        <f t="shared" si="31"/>
        <v>-455.55555555555554</v>
      </c>
      <c r="AF43" s="45">
        <f t="shared" si="31"/>
        <v>-722.22222222222229</v>
      </c>
      <c r="AG43" s="45">
        <f t="shared" si="31"/>
        <v>-855.55555555555554</v>
      </c>
      <c r="AH43" s="45">
        <f t="shared" si="31"/>
        <v>-855.55555555555554</v>
      </c>
      <c r="AI43" s="45">
        <f t="shared" si="31"/>
        <v>-1388.8888888888891</v>
      </c>
      <c r="AJ43" s="45">
        <f t="shared" si="31"/>
        <v>-1655.5555555555557</v>
      </c>
      <c r="AK43" s="45">
        <f t="shared" si="31"/>
        <v>-1655.5555555555557</v>
      </c>
      <c r="AL43" s="45">
        <f t="shared" si="31"/>
        <v>-2722.2222222222226</v>
      </c>
      <c r="AM43" s="45">
        <f t="shared" si="31"/>
        <v>-3255.5555555555557</v>
      </c>
      <c r="AN43" s="45">
        <f t="shared" si="31"/>
        <v>-3255.5555555555557</v>
      </c>
      <c r="AO43" s="45">
        <f t="shared" si="31"/>
        <v>-5388.8888888888896</v>
      </c>
      <c r="AP43" s="45">
        <f t="shared" si="31"/>
        <v>-6455.5555555555557</v>
      </c>
      <c r="AQ43" s="45">
        <f t="shared" si="31"/>
        <v>-6455.5555555555557</v>
      </c>
      <c r="AR43" s="45">
        <f t="shared" si="31"/>
        <v>-10722.222222222223</v>
      </c>
      <c r="AS43" s="45">
        <f t="shared" si="31"/>
        <v>-12855.555555555555</v>
      </c>
      <c r="AT43" s="45">
        <f t="shared" si="31"/>
        <v>-12855.555555555555</v>
      </c>
      <c r="AU43" s="45">
        <f t="shared" si="31"/>
        <v>-21388.888888888891</v>
      </c>
      <c r="AV43" s="45">
        <f t="shared" si="31"/>
        <v>-25655.555555555555</v>
      </c>
      <c r="AW43" s="45">
        <f t="shared" si="31"/>
        <v>-25655.555555555555</v>
      </c>
      <c r="AX43" s="45">
        <f t="shared" si="31"/>
        <v>-42722.222222222226</v>
      </c>
      <c r="AY43" s="45">
        <f t="shared" si="31"/>
        <v>-51255.555555555555</v>
      </c>
      <c r="AZ43" s="45">
        <f t="shared" si="31"/>
        <v>-51255.555555555555</v>
      </c>
      <c r="BA43" s="45">
        <f t="shared" si="31"/>
        <v>-85388.888888888905</v>
      </c>
      <c r="BB43" s="45">
        <f t="shared" si="31"/>
        <v>-102455.55555555556</v>
      </c>
      <c r="BC43" s="45">
        <f t="shared" si="31"/>
        <v>-102455.55555555556</v>
      </c>
      <c r="BD43" s="45">
        <f t="shared" si="31"/>
        <v>-170722.22222222225</v>
      </c>
      <c r="BE43" s="45">
        <f t="shared" si="31"/>
        <v>-204855.55555555556</v>
      </c>
      <c r="BF43" s="45">
        <f t="shared" si="31"/>
        <v>-204855.55555555556</v>
      </c>
      <c r="BG43" s="45">
        <f t="shared" si="31"/>
        <v>-341388.88888888893</v>
      </c>
      <c r="BH43" s="45">
        <f t="shared" si="31"/>
        <v>-409655.55555555556</v>
      </c>
      <c r="BI43" s="45">
        <f t="shared" si="31"/>
        <v>-409652.77777777775</v>
      </c>
      <c r="BJ43" s="45">
        <f t="shared" si="31"/>
        <v>-682719.4444444445</v>
      </c>
      <c r="BK43" s="45">
        <f t="shared" si="31"/>
        <v>-819252.77777777775</v>
      </c>
      <c r="BL43" s="45">
        <f t="shared" si="31"/>
        <v>-819252.77777777775</v>
      </c>
      <c r="BM43" s="45">
        <f t="shared" si="31"/>
        <v>-1365386.1111111112</v>
      </c>
      <c r="BN43" s="45">
        <f t="shared" si="31"/>
        <v>-1638452.7777777778</v>
      </c>
      <c r="BO43" s="45">
        <f t="shared" si="31"/>
        <v>-1638452.7777777778</v>
      </c>
      <c r="BP43" s="45">
        <f t="shared" si="31"/>
        <v>-2730719.444444445</v>
      </c>
      <c r="BQ43" s="45">
        <f t="shared" si="31"/>
        <v>-3276852.777777778</v>
      </c>
      <c r="BR43" s="45">
        <f t="shared" si="31"/>
        <v>-3276852.777777778</v>
      </c>
      <c r="BS43" s="45">
        <f t="shared" si="31"/>
        <v>-5461386.1111111119</v>
      </c>
    </row>
    <row r="44" spans="1:71" ht="17.25" customHeight="1">
      <c r="A44" s="26"/>
      <c r="B44" s="23" t="s">
        <v>132</v>
      </c>
      <c r="C44" s="56" t="str">
        <f>Forecast!C$36</f>
        <v>$</v>
      </c>
      <c r="D44" s="58" t="s">
        <v>133</v>
      </c>
      <c r="E44" s="26"/>
      <c r="F44" s="26"/>
      <c r="G44" s="26"/>
      <c r="H44" s="26"/>
      <c r="I44" s="26"/>
      <c r="J44" s="26"/>
      <c r="K44" s="58"/>
      <c r="L44" s="23" t="s">
        <v>72</v>
      </c>
      <c r="M44" s="56">
        <f>IF(L44='Get Started'!$B$11,W44,IF(L44='Get Started'!$B$12,BS44,IF(L44='Get Started'!$B$13,SUM(W44:BS44),IF(L44='Get Started'!$B$14,AVERAGE(W44:BS44),0))))</f>
        <v>8738236.1111111082</v>
      </c>
      <c r="N44" s="26"/>
      <c r="O44" s="26"/>
      <c r="P44" s="26"/>
      <c r="Q44" s="26"/>
      <c r="R44" s="26"/>
      <c r="S44" s="26"/>
      <c r="T44" s="26"/>
      <c r="U44" s="26"/>
      <c r="V44" s="26"/>
      <c r="W44" s="45">
        <f t="shared" ref="W44:BS44" si="32">SUM(W41:W43)</f>
        <v>133.33333333333331</v>
      </c>
      <c r="X44" s="45">
        <f t="shared" si="32"/>
        <v>133.33333333333331</v>
      </c>
      <c r="Y44" s="45">
        <f t="shared" si="32"/>
        <v>94.444444444444414</v>
      </c>
      <c r="Z44" s="45">
        <f t="shared" si="32"/>
        <v>422.22222222222223</v>
      </c>
      <c r="AA44" s="45">
        <f t="shared" si="32"/>
        <v>366.66666666666669</v>
      </c>
      <c r="AB44" s="45">
        <f t="shared" si="32"/>
        <v>111.11111111111114</v>
      </c>
      <c r="AC44" s="45">
        <f t="shared" si="32"/>
        <v>672.22222222222217</v>
      </c>
      <c r="AD44" s="45">
        <f t="shared" si="32"/>
        <v>616.66666666666663</v>
      </c>
      <c r="AE44" s="45">
        <f t="shared" si="32"/>
        <v>161.11111111111109</v>
      </c>
      <c r="AF44" s="45">
        <f t="shared" si="32"/>
        <v>1188.8888888888887</v>
      </c>
      <c r="AG44" s="45">
        <f t="shared" si="32"/>
        <v>1133.333333333333</v>
      </c>
      <c r="AH44" s="45">
        <f t="shared" si="32"/>
        <v>277.77777777777749</v>
      </c>
      <c r="AI44" s="45">
        <f t="shared" si="32"/>
        <v>2238.8888888888882</v>
      </c>
      <c r="AJ44" s="45">
        <f t="shared" si="32"/>
        <v>2183.3333333333326</v>
      </c>
      <c r="AK44" s="45">
        <f t="shared" si="32"/>
        <v>594.44444444444343</v>
      </c>
      <c r="AL44" s="45">
        <f t="shared" si="32"/>
        <v>4422.2222222222208</v>
      </c>
      <c r="AM44" s="45">
        <f t="shared" si="32"/>
        <v>4366.6666666666652</v>
      </c>
      <c r="AN44" s="45">
        <f t="shared" si="32"/>
        <v>1111.1111111111095</v>
      </c>
      <c r="AO44" s="45">
        <f t="shared" si="32"/>
        <v>8672.222222222219</v>
      </c>
      <c r="AP44" s="45">
        <f t="shared" si="32"/>
        <v>8616.6666666666642</v>
      </c>
      <c r="AQ44" s="45">
        <f t="shared" si="32"/>
        <v>2161.1111111111086</v>
      </c>
      <c r="AR44" s="45">
        <f t="shared" si="32"/>
        <v>17188.888888888887</v>
      </c>
      <c r="AS44" s="45">
        <f t="shared" si="32"/>
        <v>17133.333333333332</v>
      </c>
      <c r="AT44" s="45">
        <f t="shared" si="32"/>
        <v>4277.7777777777774</v>
      </c>
      <c r="AU44" s="45">
        <f t="shared" si="32"/>
        <v>34238.888888888891</v>
      </c>
      <c r="AV44" s="45">
        <f t="shared" si="32"/>
        <v>34183.333333333336</v>
      </c>
      <c r="AW44" s="45">
        <f t="shared" si="32"/>
        <v>8594.4444444444453</v>
      </c>
      <c r="AX44" s="45">
        <f t="shared" si="32"/>
        <v>68422.222222222219</v>
      </c>
      <c r="AY44" s="45">
        <f t="shared" si="32"/>
        <v>68366.666666666657</v>
      </c>
      <c r="AZ44" s="45">
        <f t="shared" si="32"/>
        <v>17111.111111111102</v>
      </c>
      <c r="BA44" s="45">
        <f t="shared" si="32"/>
        <v>136672.22222222219</v>
      </c>
      <c r="BB44" s="45">
        <f t="shared" si="32"/>
        <v>136616.66666666663</v>
      </c>
      <c r="BC44" s="45">
        <f t="shared" si="32"/>
        <v>34161.111111111066</v>
      </c>
      <c r="BD44" s="45">
        <f t="shared" si="32"/>
        <v>273188.88888888882</v>
      </c>
      <c r="BE44" s="45">
        <f t="shared" si="32"/>
        <v>273133.33333333326</v>
      </c>
      <c r="BF44" s="45">
        <f t="shared" si="32"/>
        <v>68277.777777777694</v>
      </c>
      <c r="BG44" s="45">
        <f t="shared" si="32"/>
        <v>546238.88888888876</v>
      </c>
      <c r="BH44" s="45">
        <f t="shared" si="32"/>
        <v>546183.33333333326</v>
      </c>
      <c r="BI44" s="45">
        <f t="shared" si="32"/>
        <v>136563.88888888888</v>
      </c>
      <c r="BJ44" s="45">
        <f t="shared" si="32"/>
        <v>1092394.4444444445</v>
      </c>
      <c r="BK44" s="45">
        <f t="shared" si="32"/>
        <v>1092341.6666666667</v>
      </c>
      <c r="BL44" s="45">
        <f t="shared" si="32"/>
        <v>273088.88888888899</v>
      </c>
      <c r="BM44" s="45">
        <f t="shared" si="32"/>
        <v>2184652.777777778</v>
      </c>
      <c r="BN44" s="45">
        <f t="shared" si="32"/>
        <v>2184600</v>
      </c>
      <c r="BO44" s="45">
        <f t="shared" si="32"/>
        <v>546147.22222222225</v>
      </c>
      <c r="BP44" s="45">
        <f t="shared" si="32"/>
        <v>4369177.7777777771</v>
      </c>
      <c r="BQ44" s="45">
        <f t="shared" si="32"/>
        <v>4369124.9999999991</v>
      </c>
      <c r="BR44" s="45">
        <f t="shared" si="32"/>
        <v>1092272.2222222211</v>
      </c>
      <c r="BS44" s="45">
        <f t="shared" si="32"/>
        <v>8738236.1111111082</v>
      </c>
    </row>
    <row r="45" spans="1:71" ht="17.25" customHeight="1">
      <c r="A45" s="26"/>
      <c r="B45" s="23"/>
      <c r="C45" s="23"/>
      <c r="D45" s="23"/>
      <c r="E45" s="23"/>
      <c r="F45" s="26"/>
      <c r="G45" s="26"/>
      <c r="H45" s="26"/>
      <c r="I45" s="26"/>
      <c r="J45" s="26"/>
      <c r="K45" s="58"/>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row>
  </sheetData>
  <pageMargins left="0.75" right="0.75" top="1" bottom="1"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'Get Started'!$B$11:$B$14</xm:f>
          </x14:formula1>
          <xm:sqref>L17:L30 L36:L38 L41:L44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R17"/>
  <sheetViews>
    <sheetView showGridLines="0" workbookViewId="0"/>
  </sheetViews>
  <sheetFormatPr baseColWidth="10" defaultColWidth="10.140625" defaultRowHeight="15" customHeight="1"/>
  <cols>
    <col min="1" max="1" width="4.140625" customWidth="1"/>
    <col min="2" max="2" width="22.85546875" customWidth="1"/>
    <col min="4" max="4" width="13.140625" customWidth="1"/>
    <col min="5" max="5" width="17.5703125" customWidth="1"/>
    <col min="6" max="6" width="9.140625" customWidth="1"/>
    <col min="7" max="17" width="10.140625" customWidth="1"/>
    <col min="18" max="18" width="6.42578125" customWidth="1"/>
  </cols>
  <sheetData>
    <row r="1" spans="1:18" ht="16">
      <c r="A1" s="1"/>
      <c r="B1" s="1"/>
      <c r="C1" s="1"/>
      <c r="D1" s="1"/>
      <c r="E1" s="60"/>
      <c r="F1" s="1"/>
      <c r="G1" s="61"/>
      <c r="H1" s="61"/>
      <c r="I1" s="61"/>
      <c r="J1" s="61"/>
      <c r="K1" s="61"/>
      <c r="L1" s="61"/>
      <c r="M1" s="61"/>
      <c r="N1" s="61"/>
      <c r="O1" s="61"/>
      <c r="P1" s="61"/>
      <c r="Q1" s="61"/>
      <c r="R1" s="1"/>
    </row>
    <row r="2" spans="1:18" ht="18">
      <c r="A2" s="1"/>
      <c r="B2" s="2" t="s">
        <v>134</v>
      </c>
      <c r="C2" s="1"/>
      <c r="D2" s="1"/>
      <c r="E2" s="60"/>
      <c r="F2" s="1"/>
      <c r="G2" s="61"/>
      <c r="H2" s="61"/>
      <c r="I2" s="61"/>
      <c r="J2" s="61"/>
      <c r="K2" s="61"/>
      <c r="L2" s="61"/>
      <c r="M2" s="61"/>
      <c r="N2" s="61"/>
      <c r="O2" s="61"/>
      <c r="P2" s="61"/>
      <c r="Q2" s="61"/>
      <c r="R2" s="1"/>
    </row>
    <row r="3" spans="1:18" ht="16">
      <c r="A3" s="1"/>
      <c r="B3" s="3" t="s">
        <v>135</v>
      </c>
      <c r="C3" s="1"/>
      <c r="D3" s="1"/>
      <c r="E3" s="60"/>
      <c r="F3" s="1"/>
      <c r="G3" s="61"/>
      <c r="H3" s="61"/>
      <c r="I3" s="61"/>
      <c r="J3" s="61"/>
      <c r="K3" s="61"/>
      <c r="L3" s="61"/>
      <c r="M3" s="61"/>
      <c r="N3" s="61"/>
      <c r="O3" s="61"/>
      <c r="P3" s="61"/>
      <c r="Q3" s="61"/>
      <c r="R3" s="1"/>
    </row>
    <row r="4" spans="1:18" ht="16">
      <c r="A4" s="1"/>
      <c r="B4" s="1"/>
      <c r="C4" s="1"/>
      <c r="D4" s="1"/>
      <c r="E4" s="60"/>
      <c r="F4" s="1"/>
      <c r="G4" s="61"/>
      <c r="H4" s="61"/>
      <c r="I4" s="61"/>
      <c r="J4" s="61"/>
      <c r="K4" s="61"/>
      <c r="L4" s="61"/>
      <c r="M4" s="61"/>
      <c r="N4" s="61"/>
      <c r="O4" s="61"/>
      <c r="P4" s="61"/>
      <c r="Q4" s="61"/>
      <c r="R4" s="1"/>
    </row>
    <row r="5" spans="1:18" ht="51" customHeight="1">
      <c r="A5" s="18"/>
      <c r="B5" s="62" t="s">
        <v>136</v>
      </c>
      <c r="C5" s="62" t="s">
        <v>137</v>
      </c>
      <c r="D5" s="62" t="s">
        <v>138</v>
      </c>
      <c r="E5" s="63" t="s">
        <v>139</v>
      </c>
      <c r="F5" s="64" t="s">
        <v>140</v>
      </c>
      <c r="G5" s="64" t="s">
        <v>141</v>
      </c>
      <c r="H5" s="64" t="s">
        <v>142</v>
      </c>
      <c r="I5" s="64" t="s">
        <v>143</v>
      </c>
      <c r="J5" s="64" t="s">
        <v>144</v>
      </c>
      <c r="K5" s="64" t="s">
        <v>145</v>
      </c>
      <c r="L5" s="64" t="s">
        <v>146</v>
      </c>
      <c r="M5" s="64" t="s">
        <v>147</v>
      </c>
      <c r="N5" s="64" t="s">
        <v>148</v>
      </c>
      <c r="O5" s="64" t="s">
        <v>149</v>
      </c>
      <c r="P5" s="64" t="s">
        <v>150</v>
      </c>
      <c r="Q5" s="64" t="s">
        <v>151</v>
      </c>
      <c r="R5" s="18"/>
    </row>
    <row r="6" spans="1:18" ht="16">
      <c r="A6" s="8"/>
      <c r="B6" s="8"/>
      <c r="C6" s="11"/>
      <c r="D6" s="8"/>
      <c r="E6" s="65"/>
      <c r="F6" s="66"/>
      <c r="G6" s="66"/>
      <c r="H6" s="66"/>
      <c r="I6" s="66"/>
      <c r="J6" s="66"/>
      <c r="K6" s="66"/>
      <c r="L6" s="66"/>
      <c r="M6" s="66"/>
      <c r="N6" s="66"/>
      <c r="O6" s="66"/>
      <c r="P6" s="66"/>
      <c r="Q6" s="66"/>
      <c r="R6" s="8"/>
    </row>
    <row r="7" spans="1:18" ht="28">
      <c r="A7" s="8"/>
      <c r="B7" s="8" t="s">
        <v>152</v>
      </c>
      <c r="C7" s="67" t="s">
        <v>153</v>
      </c>
      <c r="D7" s="8" t="s">
        <v>154</v>
      </c>
      <c r="E7" s="65" t="s">
        <v>155</v>
      </c>
      <c r="F7" s="68" t="s">
        <v>156</v>
      </c>
      <c r="G7" s="68" t="s">
        <v>157</v>
      </c>
      <c r="H7" s="68" t="b">
        <v>0</v>
      </c>
      <c r="I7" s="68" t="b">
        <v>1</v>
      </c>
      <c r="J7" s="68" t="b">
        <v>0</v>
      </c>
      <c r="K7" s="68" t="b">
        <v>1</v>
      </c>
      <c r="L7" s="68" t="b">
        <v>1</v>
      </c>
      <c r="M7" s="68" t="b">
        <v>1</v>
      </c>
      <c r="N7" s="68" t="b">
        <v>0</v>
      </c>
      <c r="O7" s="68" t="b">
        <v>0</v>
      </c>
      <c r="P7" s="68" t="b">
        <v>1</v>
      </c>
      <c r="Q7" s="68" t="b">
        <v>0</v>
      </c>
      <c r="R7" s="8"/>
    </row>
    <row r="8" spans="1:18" ht="56">
      <c r="A8" s="8"/>
      <c r="B8" s="8" t="s">
        <v>158</v>
      </c>
      <c r="C8" s="69" t="s">
        <v>159</v>
      </c>
      <c r="D8" s="8" t="s">
        <v>160</v>
      </c>
      <c r="E8" s="65" t="s">
        <v>161</v>
      </c>
      <c r="F8" s="68" t="s">
        <v>162</v>
      </c>
      <c r="G8" s="68" t="s">
        <v>163</v>
      </c>
      <c r="H8" s="68" t="b">
        <v>0</v>
      </c>
      <c r="I8" s="68" t="b">
        <v>1</v>
      </c>
      <c r="J8" s="68" t="b">
        <v>1</v>
      </c>
      <c r="K8" s="68" t="b">
        <v>1</v>
      </c>
      <c r="L8" s="68" t="b">
        <v>1</v>
      </c>
      <c r="M8" s="68" t="b">
        <v>1</v>
      </c>
      <c r="N8" s="68" t="b">
        <v>0</v>
      </c>
      <c r="O8" s="68" t="b">
        <v>1</v>
      </c>
      <c r="P8" s="68" t="b">
        <v>1</v>
      </c>
      <c r="Q8" s="68" t="b">
        <v>0</v>
      </c>
      <c r="R8" s="8"/>
    </row>
    <row r="9" spans="1:18" ht="70">
      <c r="A9" s="8"/>
      <c r="B9" s="8" t="s">
        <v>164</v>
      </c>
      <c r="C9" s="69" t="s">
        <v>165</v>
      </c>
      <c r="D9" s="8" t="s">
        <v>160</v>
      </c>
      <c r="E9" s="65" t="s">
        <v>166</v>
      </c>
      <c r="F9" s="68" t="s">
        <v>167</v>
      </c>
      <c r="G9" s="68" t="s">
        <v>163</v>
      </c>
      <c r="H9" s="68" t="b">
        <v>1</v>
      </c>
      <c r="I9" s="68" t="b">
        <v>1</v>
      </c>
      <c r="J9" s="68" t="b">
        <v>1</v>
      </c>
      <c r="K9" s="68" t="b">
        <v>1</v>
      </c>
      <c r="L9" s="68" t="b">
        <v>1</v>
      </c>
      <c r="M9" s="68" t="b">
        <v>1</v>
      </c>
      <c r="N9" s="68" t="b">
        <v>1</v>
      </c>
      <c r="O9" s="68" t="b">
        <v>1</v>
      </c>
      <c r="P9" s="68" t="b">
        <v>1</v>
      </c>
      <c r="Q9" s="68" t="b">
        <v>1</v>
      </c>
      <c r="R9" s="8"/>
    </row>
    <row r="10" spans="1:18" ht="28">
      <c r="A10" s="8"/>
      <c r="B10" s="8" t="s">
        <v>168</v>
      </c>
      <c r="C10" s="70" t="s">
        <v>169</v>
      </c>
      <c r="D10" s="8" t="s">
        <v>160</v>
      </c>
      <c r="E10" s="65" t="s">
        <v>170</v>
      </c>
      <c r="F10" s="68" t="s">
        <v>167</v>
      </c>
      <c r="G10" s="68" t="s">
        <v>163</v>
      </c>
      <c r="H10" s="68" t="b">
        <v>1</v>
      </c>
      <c r="I10" s="68" t="b">
        <v>1</v>
      </c>
      <c r="J10" s="68" t="b">
        <v>1</v>
      </c>
      <c r="K10" s="68" t="b">
        <v>1</v>
      </c>
      <c r="L10" s="68" t="b">
        <v>1</v>
      </c>
      <c r="M10" s="68" t="b">
        <v>1</v>
      </c>
      <c r="N10" s="68" t="b">
        <v>1</v>
      </c>
      <c r="O10" s="68" t="b">
        <v>1</v>
      </c>
      <c r="P10" s="68" t="b">
        <v>1</v>
      </c>
      <c r="Q10" s="68" t="b">
        <v>1</v>
      </c>
      <c r="R10" s="8"/>
    </row>
    <row r="11" spans="1:18" ht="42">
      <c r="A11" s="8"/>
      <c r="B11" s="8" t="s">
        <v>171</v>
      </c>
      <c r="C11" s="67" t="s">
        <v>172</v>
      </c>
      <c r="D11" s="8" t="s">
        <v>160</v>
      </c>
      <c r="E11" s="65" t="s">
        <v>173</v>
      </c>
      <c r="F11" s="68" t="s">
        <v>167</v>
      </c>
      <c r="G11" s="68" t="s">
        <v>163</v>
      </c>
      <c r="H11" s="68" t="b">
        <v>1</v>
      </c>
      <c r="I11" s="68" t="b">
        <v>1</v>
      </c>
      <c r="J11" s="68" t="b">
        <v>1</v>
      </c>
      <c r="K11" s="68" t="b">
        <v>1</v>
      </c>
      <c r="L11" s="68" t="b">
        <v>1</v>
      </c>
      <c r="M11" s="68" t="b">
        <v>1</v>
      </c>
      <c r="N11" s="68" t="b">
        <v>1</v>
      </c>
      <c r="O11" s="68" t="b">
        <v>1</v>
      </c>
      <c r="P11" s="68" t="b">
        <v>1</v>
      </c>
      <c r="Q11" s="68" t="b">
        <v>1</v>
      </c>
      <c r="R11" s="8"/>
    </row>
    <row r="12" spans="1:18" ht="70">
      <c r="A12" s="8"/>
      <c r="B12" s="8" t="s">
        <v>174</v>
      </c>
      <c r="C12" s="69" t="s">
        <v>175</v>
      </c>
      <c r="D12" s="8" t="s">
        <v>160</v>
      </c>
      <c r="E12" s="65" t="s">
        <v>176</v>
      </c>
      <c r="F12" s="68" t="s">
        <v>156</v>
      </c>
      <c r="G12" s="68" t="s">
        <v>157</v>
      </c>
      <c r="H12" s="68" t="b">
        <v>1</v>
      </c>
      <c r="I12" s="68" t="b">
        <v>0</v>
      </c>
      <c r="J12" s="68" t="b">
        <v>0</v>
      </c>
      <c r="K12" s="68" t="b">
        <v>0</v>
      </c>
      <c r="L12" s="68" t="b">
        <v>1</v>
      </c>
      <c r="M12" s="68" t="b">
        <v>1</v>
      </c>
      <c r="N12" s="68" t="b">
        <v>0</v>
      </c>
      <c r="O12" s="68" t="b">
        <v>0</v>
      </c>
      <c r="P12" s="68" t="b">
        <v>0</v>
      </c>
      <c r="Q12" s="68" t="b">
        <v>0</v>
      </c>
      <c r="R12" s="8"/>
    </row>
    <row r="13" spans="1:18" ht="70">
      <c r="A13" s="8"/>
      <c r="B13" s="8" t="s">
        <v>177</v>
      </c>
      <c r="C13" s="67" t="s">
        <v>178</v>
      </c>
      <c r="D13" s="8" t="s">
        <v>160</v>
      </c>
      <c r="E13" s="65" t="s">
        <v>179</v>
      </c>
      <c r="F13" s="68" t="s">
        <v>156</v>
      </c>
      <c r="G13" s="68" t="s">
        <v>157</v>
      </c>
      <c r="H13" s="68" t="b">
        <v>1</v>
      </c>
      <c r="I13" s="68" t="b">
        <v>0</v>
      </c>
      <c r="J13" s="68" t="b">
        <v>0</v>
      </c>
      <c r="K13" s="68" t="b">
        <v>0</v>
      </c>
      <c r="L13" s="68" t="b">
        <v>1</v>
      </c>
      <c r="M13" s="68" t="b">
        <v>1</v>
      </c>
      <c r="N13" s="68" t="b">
        <v>0</v>
      </c>
      <c r="O13" s="68" t="b">
        <v>0</v>
      </c>
      <c r="P13" s="68" t="b">
        <v>0</v>
      </c>
      <c r="Q13" s="68" t="b">
        <v>0</v>
      </c>
      <c r="R13" s="8"/>
    </row>
    <row r="14" spans="1:18" ht="98">
      <c r="A14" s="8"/>
      <c r="B14" s="8" t="s">
        <v>180</v>
      </c>
      <c r="C14" s="67" t="s">
        <v>181</v>
      </c>
      <c r="D14" s="8" t="s">
        <v>160</v>
      </c>
      <c r="E14" s="65" t="s">
        <v>182</v>
      </c>
      <c r="F14" s="68" t="s">
        <v>156</v>
      </c>
      <c r="G14" s="68" t="s">
        <v>183</v>
      </c>
      <c r="H14" s="68" t="b">
        <v>1</v>
      </c>
      <c r="I14" s="68" t="b">
        <v>0</v>
      </c>
      <c r="J14" s="68" t="b">
        <v>0</v>
      </c>
      <c r="K14" s="68" t="b">
        <v>0</v>
      </c>
      <c r="L14" s="68" t="b">
        <v>0</v>
      </c>
      <c r="M14" s="68" t="b">
        <v>0</v>
      </c>
      <c r="N14" s="68" t="b">
        <v>0</v>
      </c>
      <c r="O14" s="68" t="b">
        <v>0</v>
      </c>
      <c r="P14" s="68" t="b">
        <v>0</v>
      </c>
      <c r="Q14" s="68" t="b">
        <v>0</v>
      </c>
      <c r="R14" s="8"/>
    </row>
    <row r="15" spans="1:18" ht="84">
      <c r="A15" s="8"/>
      <c r="B15" s="8" t="s">
        <v>184</v>
      </c>
      <c r="C15" s="67" t="s">
        <v>185</v>
      </c>
      <c r="D15" s="8" t="s">
        <v>160</v>
      </c>
      <c r="E15" s="65" t="s">
        <v>186</v>
      </c>
      <c r="F15" s="68" t="s">
        <v>156</v>
      </c>
      <c r="G15" s="68" t="s">
        <v>157</v>
      </c>
      <c r="H15" s="68" t="b">
        <v>1</v>
      </c>
      <c r="I15" s="68" t="b">
        <v>0</v>
      </c>
      <c r="J15" s="68" t="b">
        <v>0</v>
      </c>
      <c r="K15" s="68" t="b">
        <v>0</v>
      </c>
      <c r="L15" s="68" t="b">
        <v>1</v>
      </c>
      <c r="M15" s="68" t="b">
        <v>1</v>
      </c>
      <c r="N15" s="68" t="b">
        <v>0</v>
      </c>
      <c r="O15" s="68" t="b">
        <v>0</v>
      </c>
      <c r="P15" s="68" t="b">
        <v>0</v>
      </c>
      <c r="Q15" s="68" t="b">
        <v>0</v>
      </c>
      <c r="R15" s="8"/>
    </row>
    <row r="16" spans="1:18" ht="16">
      <c r="A16" s="1"/>
      <c r="B16" s="8"/>
      <c r="C16" s="11"/>
      <c r="D16" s="8"/>
      <c r="E16" s="65"/>
      <c r="F16" s="66"/>
      <c r="G16" s="66"/>
      <c r="H16" s="68"/>
      <c r="I16" s="68"/>
      <c r="J16" s="68"/>
      <c r="K16" s="68"/>
      <c r="L16" s="68"/>
      <c r="M16" s="68"/>
      <c r="N16" s="68"/>
      <c r="O16" s="68"/>
      <c r="P16" s="68"/>
      <c r="Q16" s="68"/>
      <c r="R16" s="1"/>
    </row>
    <row r="17" spans="1:18" ht="16">
      <c r="A17" s="1"/>
      <c r="B17" s="8"/>
      <c r="C17" s="11"/>
      <c r="D17" s="8"/>
      <c r="E17" s="65"/>
      <c r="F17" s="66"/>
      <c r="G17" s="66"/>
      <c r="H17" s="68"/>
      <c r="I17" s="68"/>
      <c r="J17" s="68"/>
      <c r="K17" s="68"/>
      <c r="L17" s="68"/>
      <c r="M17" s="68"/>
      <c r="N17" s="68"/>
      <c r="O17" s="68"/>
      <c r="P17" s="68"/>
      <c r="Q17" s="68"/>
      <c r="R17" s="1"/>
    </row>
  </sheetData>
  <hyperlinks>
    <hyperlink ref="C7" r:id="rId1" xr:uid="{00000000-0004-0000-0600-000000000000}"/>
    <hyperlink ref="C8" r:id="rId2" xr:uid="{00000000-0004-0000-0600-000001000000}"/>
    <hyperlink ref="C9" r:id="rId3" xr:uid="{00000000-0004-0000-0600-000002000000}"/>
    <hyperlink ref="C10" r:id="rId4" xr:uid="{00000000-0004-0000-0600-000003000000}"/>
    <hyperlink ref="C11" r:id="rId5" xr:uid="{00000000-0004-0000-0600-000004000000}"/>
    <hyperlink ref="C12" r:id="rId6" xr:uid="{00000000-0004-0000-0600-000005000000}"/>
    <hyperlink ref="C13" r:id="rId7" xr:uid="{00000000-0004-0000-0600-000006000000}"/>
    <hyperlink ref="C14" r:id="rId8" xr:uid="{00000000-0004-0000-0600-000007000000}"/>
    <hyperlink ref="C15" r:id="rId9" xr:uid="{00000000-0004-0000-0600-000008000000}"/>
  </hyperlinks>
  <pageMargins left="0.7" right="0.7" top="0.75" bottom="0.75" header="0.3" footer="0.3"/>
  <tableParts count="1">
    <tablePart r:id="rId1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9"/>
  <sheetViews>
    <sheetView showGridLines="0" workbookViewId="0"/>
  </sheetViews>
  <sheetFormatPr baseColWidth="10" defaultColWidth="10.140625" defaultRowHeight="15" customHeight="1"/>
  <cols>
    <col min="1" max="1" width="4" customWidth="1"/>
    <col min="2" max="2" width="40.7109375" customWidth="1"/>
    <col min="3" max="3" width="15.28515625" customWidth="1"/>
  </cols>
  <sheetData>
    <row r="1" spans="1:3" ht="16.5" customHeight="1">
      <c r="A1" s="37"/>
      <c r="B1" s="26"/>
      <c r="C1" s="37"/>
    </row>
    <row r="2" spans="1:3" ht="16.5" customHeight="1">
      <c r="A2" s="37"/>
      <c r="B2" s="71" t="s">
        <v>31</v>
      </c>
      <c r="C2" s="37"/>
    </row>
    <row r="3" spans="1:3" ht="16.5" customHeight="1">
      <c r="A3" s="37"/>
      <c r="B3" s="21" t="s">
        <v>187</v>
      </c>
      <c r="C3" s="37"/>
    </row>
    <row r="4" spans="1:3" ht="16.5" customHeight="1">
      <c r="A4" s="37"/>
      <c r="B4" s="72"/>
      <c r="C4" s="37"/>
    </row>
    <row r="5" spans="1:3" ht="16.5" customHeight="1">
      <c r="A5" s="37"/>
      <c r="B5" s="26" t="s">
        <v>188</v>
      </c>
      <c r="C5" s="37"/>
    </row>
    <row r="6" spans="1:3" ht="39.75" customHeight="1">
      <c r="A6" s="37"/>
      <c r="B6" s="73" t="s">
        <v>189</v>
      </c>
      <c r="C6" s="37"/>
    </row>
    <row r="7" spans="1:3" ht="39.75" customHeight="1">
      <c r="A7" s="37"/>
      <c r="B7" s="73" t="s">
        <v>190</v>
      </c>
      <c r="C7" s="37"/>
    </row>
    <row r="8" spans="1:3" ht="16.5" customHeight="1">
      <c r="A8" s="37"/>
      <c r="B8" s="26"/>
      <c r="C8" s="37"/>
    </row>
    <row r="9" spans="1:3" ht="16.5" customHeight="1">
      <c r="A9" s="37"/>
      <c r="B9" s="26" t="s">
        <v>191</v>
      </c>
      <c r="C9" s="37"/>
    </row>
    <row r="10" spans="1:3" ht="16.5" customHeight="1">
      <c r="A10" s="37"/>
      <c r="B10" s="26" t="s">
        <v>192</v>
      </c>
      <c r="C10" s="37"/>
    </row>
    <row r="11" spans="1:3" ht="16.5" customHeight="1">
      <c r="A11" s="37"/>
      <c r="B11" s="74"/>
      <c r="C11" s="37"/>
    </row>
    <row r="12" spans="1:3" ht="16.5" customHeight="1">
      <c r="A12" s="37"/>
      <c r="B12" s="74" t="s">
        <v>193</v>
      </c>
      <c r="C12" s="37"/>
    </row>
    <row r="13" spans="1:3" ht="38.25" customHeight="1">
      <c r="A13" s="37"/>
      <c r="B13" s="73" t="s">
        <v>194</v>
      </c>
      <c r="C13" s="37"/>
    </row>
    <row r="14" spans="1:3" ht="16.5" customHeight="1">
      <c r="A14" s="37"/>
      <c r="B14" s="73"/>
      <c r="C14" s="37"/>
    </row>
    <row r="15" spans="1:3" ht="16.5" customHeight="1">
      <c r="A15" s="37"/>
      <c r="B15" s="74" t="s">
        <v>195</v>
      </c>
      <c r="C15" s="37"/>
    </row>
    <row r="16" spans="1:3" ht="39.75" customHeight="1">
      <c r="A16" s="37"/>
      <c r="B16" s="73" t="s">
        <v>196</v>
      </c>
      <c r="C16" s="37"/>
    </row>
    <row r="17" spans="1:3" ht="16.5" customHeight="1">
      <c r="A17" s="37"/>
      <c r="B17" s="73"/>
      <c r="C17" s="37"/>
    </row>
    <row r="18" spans="1:3" ht="16.5" customHeight="1">
      <c r="A18" s="37"/>
      <c r="B18" s="73" t="s">
        <v>197</v>
      </c>
      <c r="C18" s="37"/>
    </row>
    <row r="19" spans="1:3" ht="16.5" customHeight="1">
      <c r="A19" s="37"/>
      <c r="B19" s="26"/>
      <c r="C19" s="37"/>
    </row>
  </sheetData>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README</vt:lpstr>
      <vt:lpstr>License</vt:lpstr>
      <vt:lpstr>Disclaimer</vt:lpstr>
      <vt:lpstr>Get Started</vt:lpstr>
      <vt:lpstr>Key Reports</vt:lpstr>
      <vt:lpstr>Forecast</vt:lpstr>
      <vt:lpstr>Model Comparison</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Taylor Davidson</cp:lastModifiedBy>
  <dcterms:modified xsi:type="dcterms:W3CDTF">2023-12-22T11:24:56Z</dcterms:modified>
</cp:coreProperties>
</file>