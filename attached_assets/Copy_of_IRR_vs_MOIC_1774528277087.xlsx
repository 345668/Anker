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R Grid" sheetId="1" r:id="rId4"/>
    <sheet state="visible" name="Scenario Log" sheetId="2" r:id="rId5"/>
    <sheet state="visible" name="How to Use" sheetId="3" r:id="rId6"/>
  </sheets>
  <definedNames/>
  <calcPr/>
  <extLst>
    <ext uri="GoogleSheetsCustomDataVersion2">
      <go:sheetsCustomData xmlns:go="http://customooxmlschemas.google.com/" r:id="rId7" roundtripDataChecksum="qEI3oBlqvgVF3x4PizXZYHdvBNblDCNq5Cl/GxW6g84="/>
    </ext>
  </extLst>
</workbook>
</file>

<file path=xl/sharedStrings.xml><?xml version="1.0" encoding="utf-8"?>
<sst xmlns="http://schemas.openxmlformats.org/spreadsheetml/2006/main" count="39" uniqueCount="33">
  <si>
    <t>The Founders Corner — IRR &amp; Return Multiple Toolkit</t>
  </si>
  <si>
    <t>Clean, founder-friendly IRR grid + quick answers. Blue cells are editable.</t>
  </si>
  <si>
    <t>How it works:
• Update Target IRR, Exit Multiple, and Years Held to see the grid change.
• Each grid cell assumes a single investment and a single exit (no interim cash flows).
• Green cells meet or exceed your Target IRR.</t>
  </si>
  <si>
    <t>Scenario Inputs</t>
  </si>
  <si>
    <t>Cash Flow Check (XIRR)</t>
  </si>
  <si>
    <t>Target IRR</t>
  </si>
  <si>
    <t>Date</t>
  </si>
  <si>
    <t>Cash Flow</t>
  </si>
  <si>
    <t>Label</t>
  </si>
  <si>
    <t>XIRR</t>
  </si>
  <si>
    <t>Investment Amount</t>
  </si>
  <si>
    <t>Investment</t>
  </si>
  <si>
    <t>Exit Multiple (MOIC)</t>
  </si>
  <si>
    <t>Exit</t>
  </si>
  <si>
    <t>Years Held</t>
  </si>
  <si>
    <t>Scenario Outputs</t>
  </si>
  <si>
    <t>Annualized IRR</t>
  </si>
  <si>
    <t>Exit Value</t>
  </si>
  <si>
    <t>IRR Grid (Annualized) — Years Held × Exit Multiple</t>
  </si>
  <si>
    <t>Years</t>
  </si>
  <si>
    <t>Quick Answers</t>
  </si>
  <si>
    <t>Required Multiple for Target IRR over Years Held</t>
  </si>
  <si>
    <t>Tips:
• Edit the blue multiple headers (row 17) or year labels (col B) if you want custom ranges.
• IRR assumes single entry/exit — use the XIRR box for a date-based check.
• A small change in MOIC can meaningfully move IRR at longer holds.</t>
  </si>
  <si>
    <t>Required Years to Reach Target IRR at Exit Multiple</t>
  </si>
  <si>
    <t>Max Years (rounded down) to still hit Target IRR</t>
  </si>
  <si>
    <t>IRR vs Years (Selected Exit Multiple)</t>
  </si>
  <si>
    <t>Year</t>
  </si>
  <si>
    <t>IRR</t>
  </si>
  <si>
    <t>Scenario Name</t>
  </si>
  <si>
    <t>Notes</t>
  </si>
  <si>
    <t>Use this tab to keep a record of scenarios (e.g., different MOIC/hold assumptions by round or investor discussion).</t>
  </si>
  <si>
    <t>How to Use — The Founders Corner IRR &amp; Return Multiple Toolkit</t>
  </si>
  <si>
    <t>Start on the “IRR Grid” tab:
• Update Target IRR, Exit Multiple, and Years Held (blue cells).
• The grid highlights combinations that meet or exceed the Target IRR.
Cash Flow Check (XIRR):
• If you want a date-based check, edit the investment date (blue). Exit date auto-adjusts using Years Held.
Scenario Log:
• Keep a history of scenarios you discuss with investors or your team.
Assumptions:
• Single entry + single exit (no interim cash flows). This is a sanity-check tool, not investment advice.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</si>
</sst>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&quot;$&quot;#,##0"/>
    <numFmt numFmtId="166" formatCode="m/d/yyyy"/>
    <numFmt numFmtId="167" formatCode="&quot;$&quot;#,##0;[Red](&quot;$&quot;#,##0)"/>
    <numFmt numFmtId="168" formatCode="0.00&quot;x&quot;"/>
  </numFmts>
  <fonts count="16">
    <font>
      <sz val="11.0"/>
      <color theme="1"/>
      <name val="Calibri"/>
      <scheme val="minor"/>
    </font>
    <font>
      <b/>
      <sz val="16.0"/>
      <color theme="1"/>
      <name val="Calibri"/>
      <scheme val="minor"/>
    </font>
    <font/>
    <font>
      <sz val="11.0"/>
      <color rgb="FFF3F4F6"/>
      <name val="Calibri"/>
    </font>
    <font>
      <sz val="10.0"/>
      <color rgb="FF1F2937"/>
      <name val="Calibri"/>
    </font>
    <font>
      <b/>
      <sz val="11.0"/>
      <color rgb="FFFFFFFF"/>
      <name val="Calibri"/>
    </font>
    <font>
      <b/>
      <sz val="10.0"/>
      <color rgb="FF1F2937"/>
      <name val="Calibri"/>
    </font>
    <font>
      <b/>
      <sz val="10.0"/>
      <color rgb="FF1D4ED8"/>
      <name val="Calibri"/>
    </font>
    <font>
      <b/>
      <sz val="14.0"/>
      <color rgb="FF1F2937"/>
      <name val="Calibri"/>
    </font>
    <font>
      <b/>
      <sz val="12.0"/>
      <color rgb="FF1F2937"/>
      <name val="Calibri"/>
    </font>
    <font>
      <b/>
      <sz val="12.0"/>
      <color rgb="FFFFFFFF"/>
      <name val="Calibri"/>
    </font>
    <font>
      <b/>
      <color theme="1"/>
      <name val="Calibri"/>
      <scheme val="minor"/>
    </font>
    <font>
      <b/>
      <sz val="11.0"/>
      <color rgb="FF1F2937"/>
      <name val="Calibri"/>
    </font>
    <font>
      <sz val="11.0"/>
      <color theme="1"/>
      <name val="Calibri"/>
    </font>
    <font>
      <b/>
      <sz val="16.0"/>
      <color rgb="FFFFFFFF"/>
      <name val="Calibri"/>
    </font>
    <font>
      <sz val="11.0"/>
      <color rgb="FF1F2937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11111"/>
        <bgColor rgb="FF111111"/>
      </patternFill>
    </fill>
    <fill>
      <patternFill patternType="solid">
        <fgColor rgb="FFF3F4F6"/>
        <bgColor rgb="FFF3F4F6"/>
      </patternFill>
    </fill>
    <fill>
      <patternFill patternType="solid">
        <fgColor rgb="FF1F2937"/>
        <bgColor rgb="FF1F2937"/>
      </patternFill>
    </fill>
    <fill>
      <patternFill patternType="solid">
        <fgColor rgb="FFFFFFFF"/>
        <bgColor rgb="FFFFFFFF"/>
      </patternFill>
    </fill>
    <fill>
      <patternFill patternType="solid">
        <fgColor rgb="FFE8F1FF"/>
        <bgColor rgb="FFE8F1FF"/>
      </patternFill>
    </fill>
    <fill>
      <patternFill patternType="solid">
        <fgColor rgb="FFFAFAFB"/>
        <bgColor rgb="FFFAFAFB"/>
      </patternFill>
    </fill>
    <fill>
      <patternFill patternType="solid">
        <fgColor rgb="FF0F766E"/>
        <bgColor rgb="FF0F766E"/>
      </patternFill>
    </fill>
    <fill>
      <patternFill patternType="solid">
        <fgColor rgb="FF0B1220"/>
        <bgColor rgb="FF0B1220"/>
      </patternFill>
    </fill>
  </fills>
  <borders count="34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  <bottom style="thin">
        <color rgb="FFD1D5DB"/>
      </bottom>
    </border>
    <border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</border>
    <border>
      <left style="medium">
        <color rgb="FF666666"/>
      </left>
      <right style="thin">
        <color rgb="FF999999"/>
      </right>
      <top style="medium">
        <color rgb="FF666666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medium">
        <color rgb="FF666666"/>
      </top>
      <bottom style="thin">
        <color rgb="FF999999"/>
      </bottom>
    </border>
    <border>
      <left style="thin">
        <color rgb="FF999999"/>
      </left>
      <right style="medium">
        <color rgb="FF666666"/>
      </right>
      <top style="medium">
        <color rgb="FF666666"/>
      </top>
      <bottom style="thin">
        <color rgb="FF999999"/>
      </bottom>
    </border>
    <border>
      <left style="thin">
        <color rgb="FFD1D5DB"/>
      </left>
      <right style="thin">
        <color rgb="FFD1D5DB"/>
      </right>
    </border>
    <border>
      <left style="medium">
        <color rgb="FF666666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666666"/>
      </right>
      <top style="thin">
        <color rgb="FF999999"/>
      </top>
      <bottom style="thin">
        <color rgb="FF999999"/>
      </bottom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medium">
        <color rgb="FF666666"/>
      </left>
      <right style="thin">
        <color rgb="FF999999"/>
      </right>
      <top style="thin">
        <color rgb="FF999999"/>
      </top>
      <bottom style="medium">
        <color rgb="FF666666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666666"/>
      </bottom>
    </border>
    <border>
      <left style="thin">
        <color rgb="FF999999"/>
      </left>
      <right style="medium">
        <color rgb="FF666666"/>
      </right>
      <top style="thin">
        <color rgb="FF999999"/>
      </top>
      <bottom style="medium">
        <color rgb="FF666666"/>
      </bottom>
    </border>
    <border>
      <left style="thin">
        <color rgb="FFD1D5DB"/>
      </left>
    </border>
    <border>
      <right style="thin">
        <color rgb="FFD1D5DB"/>
      </righ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left" vertical="center"/>
    </xf>
    <xf borderId="4" fillId="3" fontId="4" numFmtId="0" xfId="0" applyAlignment="1" applyBorder="1" applyFill="1" applyFont="1">
      <alignment horizontal="left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4" fontId="5" numFmtId="0" xfId="0" applyAlignment="1" applyBorder="1" applyFill="1" applyFont="1">
      <alignment horizontal="left" vertical="center"/>
    </xf>
    <xf borderId="10" fillId="5" fontId="6" numFmtId="0" xfId="0" applyAlignment="1" applyBorder="1" applyFill="1" applyFont="1">
      <alignment horizontal="left" vertical="center"/>
    </xf>
    <xf borderId="11" fillId="0" fontId="2" numFmtId="0" xfId="0" applyBorder="1" applyFont="1"/>
    <xf borderId="10" fillId="6" fontId="7" numFmtId="164" xfId="0" applyAlignment="1" applyBorder="1" applyFill="1" applyFont="1" applyNumberFormat="1">
      <alignment horizontal="right" vertical="center"/>
    </xf>
    <xf borderId="12" fillId="3" fontId="6" numFmtId="0" xfId="0" applyAlignment="1" applyBorder="1" applyFont="1">
      <alignment horizontal="center" vertical="center"/>
    </xf>
    <xf borderId="10" fillId="6" fontId="7" numFmtId="165" xfId="0" applyAlignment="1" applyBorder="1" applyFont="1" applyNumberFormat="1">
      <alignment horizontal="right" vertical="center"/>
    </xf>
    <xf borderId="12" fillId="6" fontId="7" numFmtId="166" xfId="0" applyAlignment="1" applyBorder="1" applyFont="1" applyNumberFormat="1">
      <alignment horizontal="center" vertical="center"/>
    </xf>
    <xf borderId="12" fillId="7" fontId="4" numFmtId="167" xfId="0" applyAlignment="1" applyBorder="1" applyFill="1" applyFont="1" applyNumberFormat="1">
      <alignment horizontal="right" vertical="center"/>
    </xf>
    <xf borderId="12" fillId="0" fontId="6" numFmtId="0" xfId="0" applyAlignment="1" applyBorder="1" applyFont="1">
      <alignment horizontal="left" vertical="center"/>
    </xf>
    <xf borderId="13" fillId="7" fontId="8" numFmtId="164" xfId="0" applyAlignment="1" applyBorder="1" applyFont="1" applyNumberForma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0" fillId="6" fontId="7" numFmtId="168" xfId="0" applyAlignment="1" applyBorder="1" applyFont="1" applyNumberFormat="1">
      <alignment horizontal="right" vertical="center"/>
    </xf>
    <xf borderId="12" fillId="7" fontId="4" numFmtId="166" xfId="0" applyAlignment="1" applyBorder="1" applyFont="1" applyNumberForma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0" fillId="6" fontId="7" numFmtId="2" xfId="0" applyAlignment="1" applyBorder="1" applyFont="1" applyNumberFormat="1">
      <alignment horizontal="right" vertical="center"/>
    </xf>
    <xf borderId="10" fillId="7" fontId="9" numFmtId="164" xfId="0" applyAlignment="1" applyBorder="1" applyFont="1" applyNumberFormat="1">
      <alignment horizontal="center" vertical="center"/>
    </xf>
    <xf borderId="10" fillId="7" fontId="9" numFmtId="165" xfId="0" applyAlignment="1" applyBorder="1" applyFont="1" applyNumberFormat="1">
      <alignment horizontal="right" vertical="center"/>
    </xf>
    <xf borderId="12" fillId="8" fontId="5" numFmtId="0" xfId="0" applyAlignment="1" applyBorder="1" applyFill="1" applyFont="1">
      <alignment horizontal="center" vertical="center"/>
    </xf>
    <xf borderId="12" fillId="8" fontId="5" numFmtId="164" xfId="0" applyAlignment="1" applyBorder="1" applyFont="1" applyNumberFormat="1">
      <alignment horizontal="center" vertical="center"/>
    </xf>
    <xf borderId="10" fillId="4" fontId="5" numFmtId="0" xfId="0" applyAlignment="1" applyBorder="1" applyFont="1">
      <alignment horizontal="center" vertical="center"/>
    </xf>
    <xf borderId="19" fillId="0" fontId="2" numFmtId="0" xfId="0" applyBorder="1" applyFont="1"/>
    <xf borderId="1" fillId="9" fontId="10" numFmtId="0" xfId="0" applyAlignment="1" applyBorder="1" applyFill="1" applyFont="1">
      <alignment horizontal="left" vertical="center"/>
    </xf>
    <xf borderId="20" fillId="9" fontId="5" numFmtId="0" xfId="0" applyAlignment="1" applyBorder="1" applyFont="1">
      <alignment horizontal="center" vertical="center"/>
    </xf>
    <xf borderId="12" fillId="4" fontId="11" numFmtId="0" xfId="0" applyAlignment="1" applyBorder="1" applyFont="1">
      <alignment horizontal="center" vertical="center"/>
    </xf>
    <xf borderId="21" fillId="6" fontId="11" numFmtId="168" xfId="0" applyAlignment="1" applyBorder="1" applyFont="1" applyNumberFormat="1">
      <alignment horizontal="center" vertical="center"/>
    </xf>
    <xf borderId="22" fillId="6" fontId="11" numFmtId="168" xfId="0" applyAlignment="1" applyBorder="1" applyFont="1" applyNumberFormat="1">
      <alignment horizontal="center" vertical="center"/>
    </xf>
    <xf borderId="23" fillId="6" fontId="11" numFmtId="168" xfId="0" applyAlignment="1" applyBorder="1" applyFont="1" applyNumberFormat="1">
      <alignment horizontal="center" vertical="center"/>
    </xf>
    <xf borderId="24" fillId="0" fontId="2" numFmtId="0" xfId="0" applyBorder="1" applyFont="1"/>
    <xf borderId="12" fillId="6" fontId="11" numFmtId="0" xfId="0" applyAlignment="1" applyBorder="1" applyFont="1">
      <alignment horizontal="center" vertical="center"/>
    </xf>
    <xf borderId="25" fillId="5" fontId="4" numFmtId="164" xfId="0" applyAlignment="1" applyBorder="1" applyFont="1" applyNumberFormat="1">
      <alignment horizontal="center" vertical="center"/>
    </xf>
    <xf borderId="26" fillId="5" fontId="4" numFmtId="164" xfId="0" applyAlignment="1" applyBorder="1" applyFont="1" applyNumberFormat="1">
      <alignment horizontal="center" vertical="center"/>
    </xf>
    <xf borderId="27" fillId="5" fontId="4" numFmtId="164" xfId="0" applyAlignment="1" applyBorder="1" applyFont="1" applyNumberFormat="1">
      <alignment horizontal="center" vertical="center"/>
    </xf>
    <xf borderId="28" fillId="0" fontId="2" numFmtId="0" xfId="0" applyBorder="1" applyFont="1"/>
    <xf borderId="29" fillId="5" fontId="4" numFmtId="164" xfId="0" applyAlignment="1" applyBorder="1" applyFont="1" applyNumberFormat="1">
      <alignment horizontal="center" vertical="center"/>
    </xf>
    <xf borderId="30" fillId="5" fontId="4" numFmtId="164" xfId="0" applyAlignment="1" applyBorder="1" applyFont="1" applyNumberFormat="1">
      <alignment horizontal="center" vertical="center"/>
    </xf>
    <xf borderId="31" fillId="5" fontId="4" numFmtId="164" xfId="0" applyAlignment="1" applyBorder="1" applyFont="1" applyNumberFormat="1">
      <alignment horizontal="center" vertical="center"/>
    </xf>
    <xf borderId="10" fillId="7" fontId="9" numFmtId="168" xfId="0" applyAlignment="1" applyBorder="1" applyFont="1" applyNumberFormat="1">
      <alignment horizontal="right" vertical="center"/>
    </xf>
    <xf borderId="13" fillId="3" fontId="4" numFmtId="0" xfId="0" applyAlignment="1" applyBorder="1" applyFont="1">
      <alignment horizontal="left" shrinkToFit="0" vertical="top" wrapText="1"/>
    </xf>
    <xf borderId="10" fillId="7" fontId="9" numFmtId="2" xfId="0" applyAlignment="1" applyBorder="1" applyFont="1" applyNumberFormat="1">
      <alignment horizontal="right" vertical="center"/>
    </xf>
    <xf borderId="32" fillId="0" fontId="2" numFmtId="0" xfId="0" applyBorder="1" applyFont="1"/>
    <xf borderId="33" fillId="0" fontId="2" numFmtId="0" xfId="0" applyBorder="1" applyFont="1"/>
    <xf borderId="10" fillId="7" fontId="9" numFmtId="1" xfId="0" applyAlignment="1" applyBorder="1" applyFont="1" applyNumberFormat="1">
      <alignment horizontal="right" vertical="center"/>
    </xf>
    <xf borderId="0" fillId="0" fontId="12" numFmtId="0" xfId="0" applyAlignment="1" applyFont="1">
      <alignment horizontal="left" vertical="center"/>
    </xf>
    <xf borderId="12" fillId="0" fontId="13" numFmtId="0" xfId="0" applyAlignment="1" applyBorder="1" applyFont="1">
      <alignment horizontal="center" vertical="center"/>
    </xf>
    <xf borderId="12" fillId="0" fontId="13" numFmtId="164" xfId="0" applyAlignment="1" applyBorder="1" applyFont="1" applyNumberFormat="1">
      <alignment horizontal="center" vertical="center"/>
    </xf>
    <xf borderId="12" fillId="4" fontId="5" numFmtId="0" xfId="0" applyAlignment="1" applyBorder="1" applyFont="1">
      <alignment horizontal="center" vertical="center"/>
    </xf>
    <xf borderId="12" fillId="6" fontId="7" numFmtId="49" xfId="0" applyAlignment="1" applyBorder="1" applyFont="1" applyNumberFormat="1">
      <alignment horizontal="left" vertical="center"/>
    </xf>
    <xf borderId="12" fillId="6" fontId="7" numFmtId="168" xfId="0" applyAlignment="1" applyBorder="1" applyFont="1" applyNumberFormat="1">
      <alignment horizontal="center" vertical="center"/>
    </xf>
    <xf borderId="12" fillId="6" fontId="7" numFmtId="2" xfId="0" applyAlignment="1" applyBorder="1" applyFont="1" applyNumberFormat="1">
      <alignment horizontal="center" vertical="center"/>
    </xf>
    <xf borderId="12" fillId="7" fontId="4" numFmtId="164" xfId="0" applyAlignment="1" applyBorder="1" applyFont="1" applyNumberFormat="1">
      <alignment horizontal="center" vertical="center"/>
    </xf>
    <xf borderId="12" fillId="0" fontId="4" numFmtId="0" xfId="0" applyAlignment="1" applyBorder="1" applyFont="1">
      <alignment horizontal="left" vertical="center"/>
    </xf>
    <xf borderId="1" fillId="2" fontId="14" numFmtId="0" xfId="0" applyAlignment="1" applyBorder="1" applyFont="1">
      <alignment horizontal="left" vertical="center"/>
    </xf>
    <xf borderId="12" fillId="3" fontId="15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F8696B"/>
          <bgColor rgb="FFF869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IRR by Year (Selected MOIC)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None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'IRR Grid'!$A$37:$A$46</c:f>
            </c:strRef>
          </c:cat>
          <c:val>
            <c:numRef>
              <c:f>'IRR Grid'!$B$37:$B$46</c:f>
              <c:numCache/>
            </c:numRef>
          </c:val>
          <c:smooth val="0"/>
        </c:ser>
        <c:axId val="798532025"/>
        <c:axId val="545106599"/>
      </c:lineChart>
      <c:catAx>
        <c:axId val="798532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106599"/>
      </c:catAx>
      <c:valAx>
        <c:axId val="5451065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5320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34</xdr:row>
      <xdr:rowOff>0</xdr:rowOff>
    </xdr:from>
    <xdr:ext cx="0" cy="0"/>
    <xdr:graphicFrame>
      <xdr:nvGraphicFramePr>
        <xdr:cNvPr id="160753337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7.71"/>
    <col customWidth="1" min="2" max="2" width="10.0"/>
    <col customWidth="1" min="3" max="4" width="12.0"/>
    <col customWidth="1" min="5" max="5" width="9.0"/>
    <col customWidth="1" min="6" max="7" width="12.0"/>
    <col customWidth="1" min="8" max="8" width="14.0"/>
    <col customWidth="1" min="9" max="12" width="12.0"/>
    <col customWidth="1" min="13" max="26" width="8.71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4" ht="39.75" customHeight="1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7"/>
    </row>
    <row r="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10"/>
    </row>
    <row r="7" ht="19.5" customHeight="1">
      <c r="A7" s="11" t="s">
        <v>3</v>
      </c>
      <c r="B7" s="2"/>
      <c r="C7" s="2"/>
      <c r="D7" s="3"/>
      <c r="F7" s="11" t="s">
        <v>4</v>
      </c>
      <c r="G7" s="2"/>
      <c r="H7" s="2"/>
      <c r="I7" s="2"/>
      <c r="J7" s="2"/>
      <c r="K7" s="2"/>
      <c r="L7" s="3"/>
    </row>
    <row r="8">
      <c r="A8" s="12" t="s">
        <v>5</v>
      </c>
      <c r="B8" s="13"/>
      <c r="C8" s="14">
        <v>0.3</v>
      </c>
      <c r="D8" s="13"/>
      <c r="F8" s="15" t="s">
        <v>6</v>
      </c>
      <c r="G8" s="15" t="s">
        <v>7</v>
      </c>
      <c r="H8" s="15" t="s">
        <v>8</v>
      </c>
      <c r="I8" s="15" t="s">
        <v>9</v>
      </c>
    </row>
    <row r="9">
      <c r="A9" s="12" t="s">
        <v>10</v>
      </c>
      <c r="B9" s="13"/>
      <c r="C9" s="16">
        <v>100000.0</v>
      </c>
      <c r="D9" s="13"/>
      <c r="F9" s="17">
        <v>46023.0</v>
      </c>
      <c r="G9" s="18">
        <f>-$C$9</f>
        <v>-100000</v>
      </c>
      <c r="H9" s="19" t="s">
        <v>11</v>
      </c>
      <c r="I9" s="20">
        <f>IFERROR(XIRR($G$9:$G$10,$F$9:$F$10),"")</f>
        <v>0.3193075726</v>
      </c>
      <c r="J9" s="21"/>
      <c r="K9" s="21"/>
      <c r="L9" s="22"/>
    </row>
    <row r="10">
      <c r="A10" s="12" t="s">
        <v>12</v>
      </c>
      <c r="B10" s="13"/>
      <c r="C10" s="23">
        <v>4.0</v>
      </c>
      <c r="D10" s="13"/>
      <c r="F10" s="24">
        <f>EDATE($F$9,ROUND($C$11*12,0))</f>
        <v>47849</v>
      </c>
      <c r="G10" s="18">
        <f>$C$9*$C$10</f>
        <v>400000</v>
      </c>
      <c r="H10" s="19" t="s">
        <v>13</v>
      </c>
      <c r="I10" s="25"/>
      <c r="J10" s="26"/>
      <c r="K10" s="26"/>
      <c r="L10" s="27"/>
    </row>
    <row r="11">
      <c r="A11" s="12" t="s">
        <v>14</v>
      </c>
      <c r="B11" s="13"/>
      <c r="C11" s="28">
        <v>5.0</v>
      </c>
      <c r="D11" s="13"/>
    </row>
    <row r="12" ht="19.5" customHeight="1">
      <c r="A12" s="11" t="s">
        <v>15</v>
      </c>
      <c r="B12" s="2"/>
      <c r="C12" s="2"/>
      <c r="D12" s="3"/>
    </row>
    <row r="13">
      <c r="A13" s="12" t="s">
        <v>16</v>
      </c>
      <c r="B13" s="13"/>
      <c r="C13" s="29">
        <f>IF($C$11&lt;=0,"",$C$10^(1/$C$11)-1)</f>
        <v>0.3195079108</v>
      </c>
      <c r="D13" s="13"/>
    </row>
    <row r="14">
      <c r="A14" s="12" t="s">
        <v>17</v>
      </c>
      <c r="B14" s="13"/>
      <c r="C14" s="30">
        <f>$C$9*$C$10</f>
        <v>400000</v>
      </c>
      <c r="D14" s="13"/>
    </row>
    <row r="15" ht="18.0" customHeight="1">
      <c r="A15" s="31" t="s">
        <v>5</v>
      </c>
      <c r="B15" s="32">
        <f>$C$8</f>
        <v>0.3</v>
      </c>
      <c r="C15" s="33" t="s">
        <v>12</v>
      </c>
      <c r="D15" s="34"/>
      <c r="E15" s="34"/>
      <c r="F15" s="34"/>
      <c r="G15" s="34"/>
      <c r="H15" s="34"/>
      <c r="I15" s="34"/>
      <c r="J15" s="34"/>
      <c r="K15" s="34"/>
      <c r="L15" s="13"/>
    </row>
    <row r="16" ht="21.75" customHeight="1">
      <c r="A16" s="35" t="s">
        <v>18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</row>
    <row r="17">
      <c r="A17" s="36" t="s">
        <v>14</v>
      </c>
      <c r="B17" s="37" t="s">
        <v>19</v>
      </c>
      <c r="C17" s="38">
        <v>1.25</v>
      </c>
      <c r="D17" s="39">
        <v>1.5</v>
      </c>
      <c r="E17" s="39">
        <v>2.0</v>
      </c>
      <c r="F17" s="39">
        <v>2.5</v>
      </c>
      <c r="G17" s="39">
        <v>3.0</v>
      </c>
      <c r="H17" s="39">
        <v>4.0</v>
      </c>
      <c r="I17" s="39">
        <v>5.0</v>
      </c>
      <c r="J17" s="39">
        <v>6.0</v>
      </c>
      <c r="K17" s="39">
        <v>8.0</v>
      </c>
      <c r="L17" s="40">
        <v>10.0</v>
      </c>
    </row>
    <row r="18">
      <c r="A18" s="41"/>
      <c r="B18" s="42">
        <v>1.0</v>
      </c>
      <c r="C18" s="43">
        <f t="shared" ref="C18:L18" si="1">C$17^(1/$B18)-1</f>
        <v>0.25</v>
      </c>
      <c r="D18" s="44">
        <f t="shared" si="1"/>
        <v>0.5</v>
      </c>
      <c r="E18" s="44">
        <f t="shared" si="1"/>
        <v>1</v>
      </c>
      <c r="F18" s="44">
        <f t="shared" si="1"/>
        <v>1.5</v>
      </c>
      <c r="G18" s="44">
        <f t="shared" si="1"/>
        <v>2</v>
      </c>
      <c r="H18" s="44">
        <f t="shared" si="1"/>
        <v>3</v>
      </c>
      <c r="I18" s="44">
        <f t="shared" si="1"/>
        <v>4</v>
      </c>
      <c r="J18" s="44">
        <f t="shared" si="1"/>
        <v>5</v>
      </c>
      <c r="K18" s="44">
        <f t="shared" si="1"/>
        <v>7</v>
      </c>
      <c r="L18" s="45">
        <f t="shared" si="1"/>
        <v>9</v>
      </c>
    </row>
    <row r="19">
      <c r="A19" s="41"/>
      <c r="B19" s="42">
        <v>2.0</v>
      </c>
      <c r="C19" s="43">
        <f t="shared" ref="C19:L19" si="2">C$17^(1/$B19)-1</f>
        <v>0.1180339887</v>
      </c>
      <c r="D19" s="44">
        <f t="shared" si="2"/>
        <v>0.2247448714</v>
      </c>
      <c r="E19" s="44">
        <f t="shared" si="2"/>
        <v>0.4142135624</v>
      </c>
      <c r="F19" s="44">
        <f t="shared" si="2"/>
        <v>0.5811388301</v>
      </c>
      <c r="G19" s="44">
        <f t="shared" si="2"/>
        <v>0.7320508076</v>
      </c>
      <c r="H19" s="44">
        <f t="shared" si="2"/>
        <v>1</v>
      </c>
      <c r="I19" s="44">
        <f t="shared" si="2"/>
        <v>1.236067977</v>
      </c>
      <c r="J19" s="44">
        <f t="shared" si="2"/>
        <v>1.449489743</v>
      </c>
      <c r="K19" s="44">
        <f t="shared" si="2"/>
        <v>1.828427125</v>
      </c>
      <c r="L19" s="45">
        <f t="shared" si="2"/>
        <v>2.16227766</v>
      </c>
    </row>
    <row r="20">
      <c r="A20" s="41"/>
      <c r="B20" s="42">
        <v>3.0</v>
      </c>
      <c r="C20" s="43">
        <f t="shared" ref="C20:L20" si="3">C$17^(1/$B20)-1</f>
        <v>0.07721734502</v>
      </c>
      <c r="D20" s="44">
        <f t="shared" si="3"/>
        <v>0.1447142426</v>
      </c>
      <c r="E20" s="44">
        <f t="shared" si="3"/>
        <v>0.2599210499</v>
      </c>
      <c r="F20" s="44">
        <f t="shared" si="3"/>
        <v>0.3572088083</v>
      </c>
      <c r="G20" s="44">
        <f t="shared" si="3"/>
        <v>0.4422495703</v>
      </c>
      <c r="H20" s="44">
        <f t="shared" si="3"/>
        <v>0.587401052</v>
      </c>
      <c r="I20" s="44">
        <f t="shared" si="3"/>
        <v>0.7099759467</v>
      </c>
      <c r="J20" s="44">
        <f t="shared" si="3"/>
        <v>0.8171205928</v>
      </c>
      <c r="K20" s="44">
        <f t="shared" si="3"/>
        <v>1</v>
      </c>
      <c r="L20" s="45">
        <f t="shared" si="3"/>
        <v>1.15443469</v>
      </c>
    </row>
    <row r="21" ht="15.75" customHeight="1">
      <c r="A21" s="41"/>
      <c r="B21" s="42">
        <v>4.0</v>
      </c>
      <c r="C21" s="43">
        <f t="shared" ref="C21:L21" si="4">C$17^(1/$B21)-1</f>
        <v>0.05737126344</v>
      </c>
      <c r="D21" s="44">
        <f t="shared" si="4"/>
        <v>0.1066819197</v>
      </c>
      <c r="E21" s="44">
        <f t="shared" si="4"/>
        <v>0.189207115</v>
      </c>
      <c r="F21" s="44">
        <f t="shared" si="4"/>
        <v>0.2574334297</v>
      </c>
      <c r="G21" s="44">
        <f t="shared" si="4"/>
        <v>0.316074013</v>
      </c>
      <c r="H21" s="44">
        <f t="shared" si="4"/>
        <v>0.4142135624</v>
      </c>
      <c r="I21" s="44">
        <f t="shared" si="4"/>
        <v>0.4953487812</v>
      </c>
      <c r="J21" s="44">
        <f t="shared" si="4"/>
        <v>0.5650845801</v>
      </c>
      <c r="K21" s="44">
        <f t="shared" si="4"/>
        <v>0.6817928305</v>
      </c>
      <c r="L21" s="45">
        <f t="shared" si="4"/>
        <v>0.77827941</v>
      </c>
    </row>
    <row r="22" ht="15.75" customHeight="1">
      <c r="A22" s="41"/>
      <c r="B22" s="42">
        <v>5.0</v>
      </c>
      <c r="C22" s="43">
        <f t="shared" ref="C22:L22" si="5">C$17^(1/$B22)-1</f>
        <v>0.04563955259</v>
      </c>
      <c r="D22" s="44">
        <f t="shared" si="5"/>
        <v>0.0844717712</v>
      </c>
      <c r="E22" s="44">
        <f t="shared" si="5"/>
        <v>0.148698355</v>
      </c>
      <c r="F22" s="44">
        <f t="shared" si="5"/>
        <v>0.201124434</v>
      </c>
      <c r="G22" s="44">
        <f t="shared" si="5"/>
        <v>0.2457309396</v>
      </c>
      <c r="H22" s="44">
        <f t="shared" si="5"/>
        <v>0.3195079108</v>
      </c>
      <c r="I22" s="44">
        <f t="shared" si="5"/>
        <v>0.3797296615</v>
      </c>
      <c r="J22" s="44">
        <f t="shared" si="5"/>
        <v>0.4309690811</v>
      </c>
      <c r="K22" s="44">
        <f t="shared" si="5"/>
        <v>0.5157165665</v>
      </c>
      <c r="L22" s="45">
        <f t="shared" si="5"/>
        <v>0.5848931925</v>
      </c>
    </row>
    <row r="23" ht="15.75" customHeight="1">
      <c r="A23" s="41"/>
      <c r="B23" s="42">
        <v>6.0</v>
      </c>
      <c r="C23" s="43">
        <f t="shared" ref="C23:L23" si="6">C$17^(1/$B23)-1</f>
        <v>0.03789081556</v>
      </c>
      <c r="D23" s="44">
        <f t="shared" si="6"/>
        <v>0.06991319393</v>
      </c>
      <c r="E23" s="44">
        <f t="shared" si="6"/>
        <v>0.1224620483</v>
      </c>
      <c r="F23" s="44">
        <f t="shared" si="6"/>
        <v>0.1649930508</v>
      </c>
      <c r="G23" s="44">
        <f t="shared" si="6"/>
        <v>0.2009369552</v>
      </c>
      <c r="H23" s="44">
        <f t="shared" si="6"/>
        <v>0.2599210499</v>
      </c>
      <c r="I23" s="44">
        <f t="shared" si="6"/>
        <v>0.307660486</v>
      </c>
      <c r="J23" s="44">
        <f t="shared" si="6"/>
        <v>0.3480061546</v>
      </c>
      <c r="K23" s="44">
        <f t="shared" si="6"/>
        <v>0.4142135624</v>
      </c>
      <c r="L23" s="45">
        <f t="shared" si="6"/>
        <v>0.4677992676</v>
      </c>
    </row>
    <row r="24" ht="15.75" customHeight="1">
      <c r="A24" s="41"/>
      <c r="B24" s="42">
        <v>7.0</v>
      </c>
      <c r="C24" s="43">
        <f t="shared" ref="C24:L24" si="7">C$17^(1/$B24)-1</f>
        <v>0.03239118471</v>
      </c>
      <c r="D24" s="44">
        <f t="shared" si="7"/>
        <v>0.05963402267</v>
      </c>
      <c r="E24" s="44">
        <f t="shared" si="7"/>
        <v>0.1040895137</v>
      </c>
      <c r="F24" s="44">
        <f t="shared" si="7"/>
        <v>0.139852281</v>
      </c>
      <c r="G24" s="44">
        <f t="shared" si="7"/>
        <v>0.1699308128</v>
      </c>
      <c r="H24" s="44">
        <f t="shared" si="7"/>
        <v>0.2190136542</v>
      </c>
      <c r="I24" s="44">
        <f t="shared" si="7"/>
        <v>0.2584989506</v>
      </c>
      <c r="J24" s="44">
        <f t="shared" si="7"/>
        <v>0.2917083421</v>
      </c>
      <c r="K24" s="44">
        <f t="shared" si="7"/>
        <v>0.3459001926</v>
      </c>
      <c r="L24" s="45">
        <f t="shared" si="7"/>
        <v>0.3894954944</v>
      </c>
    </row>
    <row r="25" ht="15.75" customHeight="1">
      <c r="A25" s="41"/>
      <c r="B25" s="42">
        <v>8.0</v>
      </c>
      <c r="C25" s="43">
        <f t="shared" ref="C25:L25" si="8">C$17^(1/$B25)-1</f>
        <v>0.0282855943</v>
      </c>
      <c r="D25" s="44">
        <f t="shared" si="8"/>
        <v>0.05198950551</v>
      </c>
      <c r="E25" s="44">
        <f t="shared" si="8"/>
        <v>0.09050773267</v>
      </c>
      <c r="F25" s="44">
        <f t="shared" si="8"/>
        <v>0.121353392</v>
      </c>
      <c r="G25" s="44">
        <f t="shared" si="8"/>
        <v>0.1472026904</v>
      </c>
      <c r="H25" s="44">
        <f t="shared" si="8"/>
        <v>0.189207115</v>
      </c>
      <c r="I25" s="44">
        <f t="shared" si="8"/>
        <v>0.222844545</v>
      </c>
      <c r="J25" s="44">
        <f t="shared" si="8"/>
        <v>0.2510334049</v>
      </c>
      <c r="K25" s="44">
        <f t="shared" si="8"/>
        <v>0.2968395547</v>
      </c>
      <c r="L25" s="45">
        <f t="shared" si="8"/>
        <v>0.3335214322</v>
      </c>
    </row>
    <row r="26" ht="15.75" customHeight="1">
      <c r="A26" s="41"/>
      <c r="B26" s="42">
        <v>9.0</v>
      </c>
      <c r="C26" s="43">
        <f t="shared" ref="C26:L26" si="9">C$17^(1/$B26)-1</f>
        <v>0.02510364846</v>
      </c>
      <c r="D26" s="44">
        <f t="shared" si="9"/>
        <v>0.04608191864</v>
      </c>
      <c r="E26" s="44">
        <f t="shared" si="9"/>
        <v>0.08005973889</v>
      </c>
      <c r="F26" s="44">
        <f t="shared" si="9"/>
        <v>0.1071731789</v>
      </c>
      <c r="G26" s="44">
        <f t="shared" si="9"/>
        <v>0.1298309639</v>
      </c>
      <c r="H26" s="44">
        <f t="shared" si="9"/>
        <v>0.1665290396</v>
      </c>
      <c r="I26" s="44">
        <f t="shared" si="9"/>
        <v>0.1958131745</v>
      </c>
      <c r="J26" s="44">
        <f t="shared" si="9"/>
        <v>0.2202849359</v>
      </c>
      <c r="K26" s="44">
        <f t="shared" si="9"/>
        <v>0.2599210499</v>
      </c>
      <c r="L26" s="45">
        <f t="shared" si="9"/>
        <v>0.291549665</v>
      </c>
    </row>
    <row r="27" ht="15.75" customHeight="1">
      <c r="A27" s="46"/>
      <c r="B27" s="42">
        <v>10.0</v>
      </c>
      <c r="C27" s="47">
        <f t="shared" ref="C27:L27" si="10">C$17^(1/$B27)-1</f>
        <v>0.02256518256</v>
      </c>
      <c r="D27" s="48">
        <f t="shared" si="10"/>
        <v>0.04137974399</v>
      </c>
      <c r="E27" s="48">
        <f t="shared" si="10"/>
        <v>0.07177346254</v>
      </c>
      <c r="F27" s="48">
        <f t="shared" si="10"/>
        <v>0.09595822639</v>
      </c>
      <c r="G27" s="48">
        <f t="shared" si="10"/>
        <v>0.116123174</v>
      </c>
      <c r="H27" s="48">
        <f t="shared" si="10"/>
        <v>0.148698355</v>
      </c>
      <c r="I27" s="48">
        <f t="shared" si="10"/>
        <v>0.1746189431</v>
      </c>
      <c r="J27" s="48">
        <f t="shared" si="10"/>
        <v>0.1962311989</v>
      </c>
      <c r="K27" s="48">
        <f t="shared" si="10"/>
        <v>0.2311444133</v>
      </c>
      <c r="L27" s="49">
        <f t="shared" si="10"/>
        <v>0.2589254118</v>
      </c>
    </row>
    <row r="28" ht="15.75" customHeight="1"/>
    <row r="29" ht="15.75" customHeight="1"/>
    <row r="30" ht="21.75" customHeight="1">
      <c r="A30" s="35" t="s">
        <v>20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</row>
    <row r="31" ht="54.75" customHeight="1">
      <c r="A31" s="12" t="s">
        <v>21</v>
      </c>
      <c r="B31" s="13"/>
      <c r="C31" s="50">
        <f>(1+$C$8)^$C$11</f>
        <v>3.71293</v>
      </c>
      <c r="D31" s="13"/>
      <c r="F31" s="51" t="s">
        <v>22</v>
      </c>
      <c r="G31" s="21"/>
      <c r="H31" s="21"/>
      <c r="I31" s="21"/>
      <c r="J31" s="21"/>
      <c r="K31" s="21"/>
      <c r="L31" s="22"/>
    </row>
    <row r="32" ht="15.75" customHeight="1">
      <c r="A32" s="12" t="s">
        <v>23</v>
      </c>
      <c r="B32" s="13"/>
      <c r="C32" s="52">
        <f>IF(OR($C$8&lt;=-1,$C$10&lt;=0),"",LN($C$10)/LN(1+$C$8))</f>
        <v>5.283853592</v>
      </c>
      <c r="D32" s="13"/>
      <c r="F32" s="53"/>
      <c r="L32" s="54"/>
    </row>
    <row r="33" ht="15.75" customHeight="1">
      <c r="A33" s="12" t="s">
        <v>24</v>
      </c>
      <c r="B33" s="13"/>
      <c r="C33" s="55">
        <f>IF(OR($C$8&lt;=-1,$C$10&lt;=0),"",INT(LN($C$10)/LN(1+$C$8)))</f>
        <v>5</v>
      </c>
      <c r="D33" s="13"/>
      <c r="F33" s="25"/>
      <c r="G33" s="26"/>
      <c r="H33" s="26"/>
      <c r="I33" s="26"/>
      <c r="J33" s="26"/>
      <c r="K33" s="26"/>
      <c r="L33" s="27"/>
    </row>
    <row r="34" ht="15.75" customHeight="1"/>
    <row r="35" ht="18.0" customHeight="1">
      <c r="A35" s="56" t="s">
        <v>25</v>
      </c>
    </row>
    <row r="36" ht="15.75" customHeight="1">
      <c r="A36" s="15" t="s">
        <v>26</v>
      </c>
      <c r="B36" s="15" t="s">
        <v>27</v>
      </c>
    </row>
    <row r="37" ht="15.75" customHeight="1">
      <c r="A37" s="57">
        <v>1.0</v>
      </c>
      <c r="B37" s="58">
        <f>IF($C$10&lt;=0,"",$C$10^(1/1)-1)</f>
        <v>3</v>
      </c>
    </row>
    <row r="38" ht="15.75" customHeight="1">
      <c r="A38" s="57">
        <v>2.0</v>
      </c>
      <c r="B38" s="58">
        <f>IF($C$10&lt;=0,"",$C$10^(1/2)-1)</f>
        <v>1</v>
      </c>
    </row>
    <row r="39" ht="15.75" customHeight="1">
      <c r="A39" s="57">
        <v>3.0</v>
      </c>
      <c r="B39" s="58">
        <f>IF($C$10&lt;=0,"",$C$10^(1/3)-1)</f>
        <v>0.587401052</v>
      </c>
    </row>
    <row r="40" ht="15.75" customHeight="1">
      <c r="A40" s="57">
        <v>4.0</v>
      </c>
      <c r="B40" s="58">
        <f>IF($C$10&lt;=0,"",$C$10^(1/4)-1)</f>
        <v>0.4142135624</v>
      </c>
    </row>
    <row r="41" ht="15.75" customHeight="1">
      <c r="A41" s="57">
        <v>5.0</v>
      </c>
      <c r="B41" s="58">
        <f>IF($C$10&lt;=0,"",$C$10^(1/5)-1)</f>
        <v>0.3195079108</v>
      </c>
    </row>
    <row r="42" ht="15.75" customHeight="1">
      <c r="A42" s="57">
        <v>6.0</v>
      </c>
      <c r="B42" s="58">
        <f>IF($C$10&lt;=0,"",$C$10^(1/6)-1)</f>
        <v>0.2599210499</v>
      </c>
    </row>
    <row r="43" ht="15.75" customHeight="1">
      <c r="A43" s="57">
        <v>7.0</v>
      </c>
      <c r="B43" s="58">
        <f>IF($C$10&lt;=0,"",$C$10^(1/7)-1)</f>
        <v>0.2190136542</v>
      </c>
    </row>
    <row r="44" ht="15.75" customHeight="1">
      <c r="A44" s="57">
        <v>8.0</v>
      </c>
      <c r="B44" s="58">
        <f>IF($C$10&lt;=0,"",$C$10^(1/8)-1)</f>
        <v>0.189207115</v>
      </c>
    </row>
    <row r="45" ht="15.75" customHeight="1">
      <c r="A45" s="57">
        <v>9.0</v>
      </c>
      <c r="B45" s="58">
        <f>IF($C$10&lt;=0,"",$C$10^(1/9)-1)</f>
        <v>0.1665290396</v>
      </c>
    </row>
    <row r="46" ht="15.75" customHeight="1">
      <c r="A46" s="57">
        <v>10.0</v>
      </c>
      <c r="B46" s="58">
        <f>IF($C$10&lt;=0,"",$C$10^(1/10)-1)</f>
        <v>0.148698355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L1"/>
    <mergeCell ref="A2:L2"/>
    <mergeCell ref="A4:L5"/>
    <mergeCell ref="A7:D7"/>
    <mergeCell ref="F7:L7"/>
    <mergeCell ref="A8:B8"/>
    <mergeCell ref="C8:D8"/>
    <mergeCell ref="A9:B9"/>
    <mergeCell ref="C9:D9"/>
    <mergeCell ref="I9:L10"/>
    <mergeCell ref="A10:B10"/>
    <mergeCell ref="C10:D10"/>
    <mergeCell ref="A11:B11"/>
    <mergeCell ref="C11:D11"/>
    <mergeCell ref="A12:D12"/>
    <mergeCell ref="A13:B13"/>
    <mergeCell ref="C13:D13"/>
    <mergeCell ref="A14:B14"/>
    <mergeCell ref="C14:D14"/>
    <mergeCell ref="C15:L15"/>
    <mergeCell ref="A16:L16"/>
    <mergeCell ref="A33:B33"/>
    <mergeCell ref="C33:D33"/>
    <mergeCell ref="A35:D35"/>
    <mergeCell ref="A17:A27"/>
    <mergeCell ref="A30:L30"/>
    <mergeCell ref="A31:B31"/>
    <mergeCell ref="C31:D31"/>
    <mergeCell ref="F31:L33"/>
    <mergeCell ref="A32:B32"/>
    <mergeCell ref="C32:D32"/>
  </mergeCells>
  <conditionalFormatting sqref="C18:L27">
    <cfRule type="cellIs" dxfId="0" priority="1" operator="lessThan">
      <formula>0.15</formula>
    </cfRule>
  </conditionalFormatting>
  <conditionalFormatting sqref="C18:L27">
    <cfRule type="cellIs" dxfId="1" priority="2" operator="between">
      <formula>0.15</formula>
      <formula>0.25</formula>
    </cfRule>
  </conditionalFormatting>
  <conditionalFormatting sqref="C18:L27">
    <cfRule type="cellIs" dxfId="2" priority="3" operator="greaterThanOrEqual">
      <formula>0.25</formula>
    </cfRule>
  </conditionalFormatting>
  <conditionalFormatting sqref="C13">
    <cfRule type="cellIs" dxfId="0" priority="4" operator="lessThan">
      <formula>0.15</formula>
    </cfRule>
  </conditionalFormatting>
  <conditionalFormatting sqref="C13">
    <cfRule type="cellIs" dxfId="1" priority="5" operator="between">
      <formula>0.15</formula>
      <formula>0.25</formula>
    </cfRule>
  </conditionalFormatting>
  <conditionalFormatting sqref="C13">
    <cfRule type="cellIs" dxfId="2" priority="6" operator="greaterThanOrEqual">
      <formula>0.25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12.0"/>
    <col customWidth="1" min="4" max="4" width="14.0"/>
    <col customWidth="1" min="5" max="5" width="40.0"/>
    <col customWidth="1" min="6" max="26" width="8.71"/>
  </cols>
  <sheetData>
    <row r="1">
      <c r="A1" s="59" t="s">
        <v>28</v>
      </c>
      <c r="B1" s="59" t="s">
        <v>12</v>
      </c>
      <c r="C1" s="59" t="s">
        <v>14</v>
      </c>
      <c r="D1" s="59" t="s">
        <v>16</v>
      </c>
      <c r="E1" s="59" t="s">
        <v>29</v>
      </c>
    </row>
    <row r="2">
      <c r="A2" s="60"/>
      <c r="B2" s="61"/>
      <c r="C2" s="62"/>
      <c r="D2" s="63" t="str">
        <f t="shared" ref="D2:D26" si="1">IF(OR(B2="",C2=""),"",B2^(1/C2)-1)</f>
        <v/>
      </c>
      <c r="E2" s="64"/>
    </row>
    <row r="3">
      <c r="A3" s="60"/>
      <c r="B3" s="61"/>
      <c r="C3" s="62"/>
      <c r="D3" s="63" t="str">
        <f t="shared" si="1"/>
        <v/>
      </c>
      <c r="E3" s="64"/>
    </row>
    <row r="4">
      <c r="A4" s="60"/>
      <c r="B4" s="61"/>
      <c r="C4" s="62"/>
      <c r="D4" s="63" t="str">
        <f t="shared" si="1"/>
        <v/>
      </c>
      <c r="E4" s="64"/>
    </row>
    <row r="5">
      <c r="A5" s="60"/>
      <c r="B5" s="61"/>
      <c r="C5" s="62"/>
      <c r="D5" s="63" t="str">
        <f t="shared" si="1"/>
        <v/>
      </c>
      <c r="E5" s="64"/>
    </row>
    <row r="6">
      <c r="A6" s="60"/>
      <c r="B6" s="61"/>
      <c r="C6" s="62"/>
      <c r="D6" s="63" t="str">
        <f t="shared" si="1"/>
        <v/>
      </c>
      <c r="E6" s="64"/>
    </row>
    <row r="7">
      <c r="A7" s="60"/>
      <c r="B7" s="61"/>
      <c r="C7" s="62"/>
      <c r="D7" s="63" t="str">
        <f t="shared" si="1"/>
        <v/>
      </c>
      <c r="E7" s="64"/>
    </row>
    <row r="8">
      <c r="A8" s="60"/>
      <c r="B8" s="61"/>
      <c r="C8" s="62"/>
      <c r="D8" s="63" t="str">
        <f t="shared" si="1"/>
        <v/>
      </c>
      <c r="E8" s="64"/>
    </row>
    <row r="9">
      <c r="A9" s="60"/>
      <c r="B9" s="61"/>
      <c r="C9" s="62"/>
      <c r="D9" s="63" t="str">
        <f t="shared" si="1"/>
        <v/>
      </c>
      <c r="E9" s="64"/>
    </row>
    <row r="10">
      <c r="A10" s="60"/>
      <c r="B10" s="61"/>
      <c r="C10" s="62"/>
      <c r="D10" s="63" t="str">
        <f t="shared" si="1"/>
        <v/>
      </c>
      <c r="E10" s="64"/>
    </row>
    <row r="11">
      <c r="A11" s="60"/>
      <c r="B11" s="61"/>
      <c r="C11" s="62"/>
      <c r="D11" s="63" t="str">
        <f t="shared" si="1"/>
        <v/>
      </c>
      <c r="E11" s="64"/>
    </row>
    <row r="12">
      <c r="A12" s="60"/>
      <c r="B12" s="61"/>
      <c r="C12" s="62"/>
      <c r="D12" s="63" t="str">
        <f t="shared" si="1"/>
        <v/>
      </c>
      <c r="E12" s="64"/>
    </row>
    <row r="13">
      <c r="A13" s="60"/>
      <c r="B13" s="61"/>
      <c r="C13" s="62"/>
      <c r="D13" s="63" t="str">
        <f t="shared" si="1"/>
        <v/>
      </c>
      <c r="E13" s="64"/>
    </row>
    <row r="14">
      <c r="A14" s="60"/>
      <c r="B14" s="61"/>
      <c r="C14" s="62"/>
      <c r="D14" s="63" t="str">
        <f t="shared" si="1"/>
        <v/>
      </c>
      <c r="E14" s="64"/>
    </row>
    <row r="15">
      <c r="A15" s="60"/>
      <c r="B15" s="61"/>
      <c r="C15" s="62"/>
      <c r="D15" s="63" t="str">
        <f t="shared" si="1"/>
        <v/>
      </c>
      <c r="E15" s="64"/>
    </row>
    <row r="16">
      <c r="A16" s="60"/>
      <c r="B16" s="61"/>
      <c r="C16" s="62"/>
      <c r="D16" s="63" t="str">
        <f t="shared" si="1"/>
        <v/>
      </c>
      <c r="E16" s="64"/>
    </row>
    <row r="17">
      <c r="A17" s="60"/>
      <c r="B17" s="61"/>
      <c r="C17" s="62"/>
      <c r="D17" s="63" t="str">
        <f t="shared" si="1"/>
        <v/>
      </c>
      <c r="E17" s="64"/>
    </row>
    <row r="18">
      <c r="A18" s="60"/>
      <c r="B18" s="61"/>
      <c r="C18" s="62"/>
      <c r="D18" s="63" t="str">
        <f t="shared" si="1"/>
        <v/>
      </c>
      <c r="E18" s="64"/>
    </row>
    <row r="19">
      <c r="A19" s="60"/>
      <c r="B19" s="61"/>
      <c r="C19" s="62"/>
      <c r="D19" s="63" t="str">
        <f t="shared" si="1"/>
        <v/>
      </c>
      <c r="E19" s="64"/>
    </row>
    <row r="20">
      <c r="A20" s="60"/>
      <c r="B20" s="61"/>
      <c r="C20" s="62"/>
      <c r="D20" s="63" t="str">
        <f t="shared" si="1"/>
        <v/>
      </c>
      <c r="E20" s="64"/>
    </row>
    <row r="21" ht="15.75" customHeight="1">
      <c r="A21" s="60"/>
      <c r="B21" s="61"/>
      <c r="C21" s="62"/>
      <c r="D21" s="63" t="str">
        <f t="shared" si="1"/>
        <v/>
      </c>
      <c r="E21" s="64"/>
    </row>
    <row r="22" ht="15.75" customHeight="1">
      <c r="A22" s="60"/>
      <c r="B22" s="61"/>
      <c r="C22" s="62"/>
      <c r="D22" s="63" t="str">
        <f t="shared" si="1"/>
        <v/>
      </c>
      <c r="E22" s="64"/>
    </row>
    <row r="23" ht="15.75" customHeight="1">
      <c r="A23" s="60"/>
      <c r="B23" s="61"/>
      <c r="C23" s="62"/>
      <c r="D23" s="63" t="str">
        <f t="shared" si="1"/>
        <v/>
      </c>
      <c r="E23" s="64"/>
    </row>
    <row r="24" ht="15.75" customHeight="1">
      <c r="A24" s="60"/>
      <c r="B24" s="61"/>
      <c r="C24" s="62"/>
      <c r="D24" s="63" t="str">
        <f t="shared" si="1"/>
        <v/>
      </c>
      <c r="E24" s="64"/>
    </row>
    <row r="25" ht="15.75" customHeight="1">
      <c r="A25" s="60"/>
      <c r="B25" s="61"/>
      <c r="C25" s="62"/>
      <c r="D25" s="63" t="str">
        <f t="shared" si="1"/>
        <v/>
      </c>
      <c r="E25" s="64"/>
    </row>
    <row r="26" ht="15.75" customHeight="1">
      <c r="A26" s="60"/>
      <c r="B26" s="61"/>
      <c r="C26" s="62"/>
      <c r="D26" s="63" t="str">
        <f t="shared" si="1"/>
        <v/>
      </c>
      <c r="E26" s="64"/>
    </row>
    <row r="27" ht="15.75" customHeight="1"/>
    <row r="28" ht="36.0" customHeight="1">
      <c r="A28" s="51" t="s">
        <v>30</v>
      </c>
      <c r="B28" s="21"/>
      <c r="C28" s="21"/>
      <c r="D28" s="21"/>
      <c r="E28" s="22"/>
    </row>
    <row r="29" ht="15.75" customHeight="1">
      <c r="A29" s="25"/>
      <c r="B29" s="26"/>
      <c r="C29" s="26"/>
      <c r="D29" s="26"/>
      <c r="E29" s="2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8:E2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27.75" customHeight="1">
      <c r="A1" s="65" t="s">
        <v>31</v>
      </c>
      <c r="B1" s="3"/>
    </row>
    <row r="3" ht="219.75" customHeight="1">
      <c r="A3" s="66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2026-02-09T13:14:20Z</dcterms:created>
  <dc:creator>openpyxl</dc:creator>
</cp:coreProperties>
</file>