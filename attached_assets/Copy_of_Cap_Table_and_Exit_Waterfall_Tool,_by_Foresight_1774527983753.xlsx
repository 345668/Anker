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License" sheetId="2" r:id="rId6"/>
    <sheet state="visible" name="Cap Table" sheetId="3" r:id="rId7"/>
    <sheet state="visible" name="Exit Waterfall" sheetId="4" r:id="rId8"/>
    <sheet state="visible" name="Exit Waterfall, with Convertibl" sheetId="5" r:id="rId9"/>
    <sheet state="visible" name="Cap Table, with Anti Dilution" sheetId="6" r:id="rId10"/>
    <sheet state="visible" name="Cap Table, Issuing Equity" sheetId="7" r:id="rId11"/>
    <sheet state="visible" name="Cap Table, Issuing Options" sheetId="8" r:id="rId12"/>
    <sheet state="visible" name="Cap Table, Converting SAFEs and" sheetId="9" r:id="rId13"/>
    <sheet state="visible" name="Resources" sheetId="10" r:id="rId14"/>
    <sheet state="visible" name="Glossary" sheetId="11" r:id="rId15"/>
    <sheet state="visible" name="Changelog" sheetId="12" r:id="rId16"/>
  </sheets>
  <definedNames/>
  <calcPr/>
</workbook>
</file>

<file path=xl/sharedStrings.xml><?xml version="1.0" encoding="utf-8"?>
<sst xmlns="http://schemas.openxmlformats.org/spreadsheetml/2006/main" count="1205" uniqueCount="513">
  <si>
    <t>Cap Table and Exit Waterfall Tool, by Foresight</t>
  </si>
  <si>
    <t>Copyright &amp; Contact</t>
  </si>
  <si>
    <t xml:space="preserve">This was created by Taylor Davidson (@tdavidson) of Foresight.
© 2025, Unstructured Ventures, LLC.
Questions, contact taylor@foresight.is or @tdavidson
</t>
  </si>
  <si>
    <t>Purchase</t>
  </si>
  <si>
    <t xml:space="preserve">Thank you for downloading this model from https://foresight.is/cap-table , donations are always appreciated.
</t>
  </si>
  <si>
    <t>License</t>
  </si>
  <si>
    <r>
      <rPr>
        <color rgb="FF000000"/>
      </rPr>
      <t xml:space="preserve">tl:dr; You can modify, edit, use, and share within your company (and with third-parties as needed to operate your business). You may not redistribute, resell, give away to others. </t>
    </r>
    <r>
      <rPr>
        <color rgb="FF1155CC"/>
        <u/>
      </rPr>
      <t xml:space="preserve">Full license.
</t>
    </r>
  </si>
  <si>
    <t>Goal</t>
  </si>
  <si>
    <t>The cap table and exit waterfall are intended to be instructional tools to analyze how raising investment capital impacts cap tables, ownership, and proceeds at exit to shareholders of a company. The base cap table is extendable to as many rounds as you need to model - simply highlight the columns for a full round's calcs and paste to the right - and the exit waterfall is similarly extendable.
You may want to alter the model to fit your desired layout and formatting, or to modify it to fit your specific usecase, and that's great; I highly encourage you to learn how to build your own cap table (and exit waterfall) specific to your situation, and my goal for this template is for it to an educational tool, and not just an executional template. I have spent hundreds of hours working on the structure, design, and terminology used in the model based on using this tool with founders, investors, and lawyers, as well as teaching people the core concepts.
Once you're running a company, I highly suggest using an online cap table management platform, such as:
- [Pulley](https://pulley.com/)
- [Carta](https://carta.com/)
- [Ledgy](https://ledgy.com/)
- [Cake](https://www.cakeequity.com/)
The base cap table and exit waterfall can also be used to scenario modeling future rounds and exit distributions to shareholders, and built to be easy to use from an export of a share register from any of the online cap table management platforms.</t>
  </si>
  <si>
    <t>Copy to Google Sheets or Download to Excel</t>
  </si>
  <si>
    <r>
      <rPr/>
      <t xml:space="preserve">File &gt; Make a Copy to copy it to your own Google Drive, or File &gt; Download to download this to use in Excel or other spreadsheet programs. </t>
    </r>
    <r>
      <rPr>
        <color rgb="FF1155CC"/>
        <u/>
      </rPr>
      <t xml:space="preserve">See License for warranties and liabilities.
</t>
    </r>
  </si>
  <si>
    <t>Support</t>
  </si>
  <si>
    <r>
      <rPr/>
      <t xml:space="preserve">Questions, happy to assist, contact anytime. More details on how I provide support: </t>
    </r>
    <r>
      <rPr>
        <color rgb="FF1155CC"/>
        <u/>
      </rPr>
      <t xml:space="preserve">https://foresight.is/learn/support
</t>
    </r>
  </si>
  <si>
    <t>Want to learn more?</t>
  </si>
  <si>
    <r>
      <rPr/>
      <t xml:space="preserve">I run a live, 4 session masterclass on cap table and exit waterfall modeling multiple times a year, check it out at </t>
    </r>
    <r>
      <rPr>
        <color rgb="FF1155CC"/>
        <u/>
      </rPr>
      <t>https://foresight.is/cap-table-masterclass/</t>
    </r>
    <r>
      <rPr/>
      <t xml:space="preserve"> if you want to learn these topics in more detail in a live, small-class setting.</t>
    </r>
  </si>
  <si>
    <t>Missing a feature you need?</t>
  </si>
  <si>
    <r>
      <rPr/>
      <t xml:space="preserve">Check out the </t>
    </r>
    <r>
      <rPr>
        <color rgb="FF1155CC"/>
        <u/>
      </rPr>
      <t>Resources</t>
    </r>
    <r>
      <rPr/>
      <t xml:space="preserve"> for other resources for modeling cap tables, and contact me if you have any questions or specific needs. I provide custom cap table modeling services to many founders, investors, and lawyers.
</t>
    </r>
  </si>
  <si>
    <t>Quickstart</t>
  </si>
  <si>
    <t>Input cap table assumptions on the example cap table and example exit waterfall sheets. The initial cap table on the exit waterfall is not automatically linked to the example cap table by design, but feel free to link the cap table sheet into the exit waterfall sheet for your usecase.</t>
  </si>
  <si>
    <t>Outline</t>
  </si>
  <si>
    <t>README</t>
  </si>
  <si>
    <t>Contact into, overview on model. Safe to delete or hide.</t>
  </si>
  <si>
    <t xml:space="preserve">   Formatting and Colors Overview</t>
  </si>
  <si>
    <r>
      <rPr/>
      <t xml:space="preserve">Details on what the colors and formatting in the model mean. </t>
    </r>
    <r>
      <rPr>
        <color rgb="FF1155CC"/>
        <u/>
      </rPr>
      <t>https://foresight.is/learn/colors-and-formatting</t>
    </r>
  </si>
  <si>
    <r>
      <rPr/>
      <t xml:space="preserve">Terms of use of the model. Safe to delete or hide. </t>
    </r>
    <r>
      <rPr>
        <color rgb="FF1155CC"/>
        <u/>
      </rPr>
      <t>https://foresight.is/license</t>
    </r>
  </si>
  <si>
    <t>Cap Table</t>
  </si>
  <si>
    <t>Core cap table example, modeling all options and settings</t>
  </si>
  <si>
    <t xml:space="preserve">  Video: How to add in additional rounds</t>
  </si>
  <si>
    <t>https://foresight.is/docs/equity/</t>
  </si>
  <si>
    <t xml:space="preserve">  Video: Modeling an equity round</t>
  </si>
  <si>
    <t xml:space="preserve">  Video: Modeling convertibles</t>
  </si>
  <si>
    <t>https://foresight.is/docs/convertibles/</t>
  </si>
  <si>
    <t xml:space="preserve">  Video: Modeling options</t>
  </si>
  <si>
    <t>https://foresight.is/docs/options/</t>
  </si>
  <si>
    <t>Ext Waterfall</t>
  </si>
  <si>
    <t>Model distribution of proceeds (cash or stock or mixture) in an exit event. This waterfall structure was new in Sept 2024 as the "Simple" version, in Feb 2025 it replaced prior waterfall structure. Details on waterfalls at https://foresight.is/docs/waterfall/</t>
  </si>
  <si>
    <t>Exit Waterfall, with Convertibles</t>
  </si>
  <si>
    <t>Model distribution of proceeds to shareholders and holders of unconverted convertible instruments such as SAFEs and convertible notes</t>
  </si>
  <si>
    <t>Cap Table, with Anti Dilution</t>
  </si>
  <si>
    <t>Core cap table example, modeling all options and settings, adding anti-dilution protection (v3.1). Separated out simply to provide a version of the cap table without the extra detail required for anti-dilution. Details at https://foresight.is/docs/anti-dilution/</t>
  </si>
  <si>
    <t>Cap Table, Issuing Equity</t>
  </si>
  <si>
    <t>Example cap table, only modeling the issuance of an equity round</t>
  </si>
  <si>
    <t>Cap Table, Issuing Options</t>
  </si>
  <si>
    <t>Example cap table, modeling the issuance of an equity round and an option pool</t>
  </si>
  <si>
    <t>Cap Table, Converting SAFEs and Notes</t>
  </si>
  <si>
    <t>Example cap table, modeling the issuance of an equity round and converting SAFEs and Convertible Notes</t>
  </si>
  <si>
    <t>Resources</t>
  </si>
  <si>
    <t>Links to other models and resources for modeling venture capital funds and investments, from around the web. Safe to delete or hide.</t>
  </si>
  <si>
    <t>Glossary</t>
  </si>
  <si>
    <t>Glossary of key terminology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</si>
  <si>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</si>
  <si>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</si>
  <si>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</si>
  <si>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Also https://foresight.is/license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</si>
  <si>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</si>
  <si>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</si>
  <si>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</si>
  <si>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</si>
  <si>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</si>
  <si>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</si>
  <si>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</si>
  <si>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</si>
  <si>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</si>
  <si>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</si>
  <si>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</si>
  <si>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</si>
  <si>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</si>
  <si>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</si>
  <si>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</si>
  <si>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</si>
  <si>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</si>
  <si>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</si>
  <si>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</si>
  <si>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Cap Table for Equity Rounds and SAFE and Convertible note Conversions</t>
  </si>
  <si>
    <t>See #REF errors or received a circular reference error notification? Turn on iterative calculations. See https://foresight.is/circulars for context.</t>
  </si>
  <si>
    <t>Example for modeling multiple rounds of equity, converting outstanding SAFEs and convertible notes, creating and updating option pool, and more. Extend to as many rounds of equity capital as needed in minutes. https://foresight.is/docs/equity</t>
  </si>
  <si>
    <t>Pre-financing cap table</t>
  </si>
  <si>
    <t>Proforma cap table</t>
  </si>
  <si>
    <t>Shareholder</t>
  </si>
  <si>
    <t>Common Shares</t>
  </si>
  <si>
    <t>Preferred Shares</t>
  </si>
  <si>
    <t>Options</t>
  </si>
  <si>
    <t>Issued and Outstanding</t>
  </si>
  <si>
    <t>% Issued and Outstanding</t>
  </si>
  <si>
    <t>Fully Diluted Shares</t>
  </si>
  <si>
    <t>% Fully Diluted</t>
  </si>
  <si>
    <t>Investment</t>
  </si>
  <si>
    <t>Actual Investment</t>
  </si>
  <si>
    <t>Preferred Shares Issued</t>
  </si>
  <si>
    <t>Options Authorized</t>
  </si>
  <si>
    <t>all preferred classes</t>
  </si>
  <si>
    <t>due to share rounding</t>
  </si>
  <si>
    <t>from conversion</t>
  </si>
  <si>
    <t>from new investment</t>
  </si>
  <si>
    <t>from new options</t>
  </si>
  <si>
    <t>optional, if shares are sold, cancelled, or exchanged without issuing new shares by company</t>
  </si>
  <si>
    <t>Common</t>
  </si>
  <si>
    <t>Options and RSUs</t>
  </si>
  <si>
    <t>Shares available for issuance</t>
  </si>
  <si>
    <t>New shares reserved for issuance</t>
  </si>
  <si>
    <t>Equity Investors (from Convertibles)</t>
  </si>
  <si>
    <t>Equity Investors</t>
  </si>
  <si>
    <t>Investor</t>
  </si>
  <si>
    <t>Total</t>
  </si>
  <si>
    <t>Round</t>
  </si>
  <si>
    <t>Total Investment</t>
  </si>
  <si>
    <t>sum of all investment in the round from above. will not include converted capital from SAFEs and notes</t>
  </si>
  <si>
    <t>Premoney Valuation</t>
  </si>
  <si>
    <t>assumption</t>
  </si>
  <si>
    <t>Postmoney Valuation</t>
  </si>
  <si>
    <t>generally this is total investment in round + premoney valuation, but if conversions, options, or any new share issuances are treated founder-friendly (i.e. dilution is shared with existing investors) then this will float up from that</t>
  </si>
  <si>
    <t>Company Capitalization</t>
  </si>
  <si>
    <t>used for the denominator in the share price calculation below</t>
  </si>
  <si>
    <t>Price per Share</t>
  </si>
  <si>
    <t>premoney valuation / company capitalization (as determined by the conversion method used)</t>
  </si>
  <si>
    <t>Effective Premoney</t>
  </si>
  <si>
    <t>if applicable, the effective premoney valuation created by the dilution of option pools and conversions, which reduces the "true" premoney valuation of the round.not used in calculations, purely informational.</t>
  </si>
  <si>
    <t>Calculation options</t>
  </si>
  <si>
    <t>Use iterative calculations (Circular References)</t>
  </si>
  <si>
    <t>TRUE/FALSE if Excel, Check/Unchecked if Google Sheets. Some calculations regarding cap tables requires circular references to work properly. Turn on Iterative Calculations (in Google Sheets, File &gt; Settings &gt; Calculation &gt; Turn Iterations On, and in Excel, Excel &gt; Preferences &gt; Calculation &gt; Use Iterative Calculation). This toggle just zeros out the conversions and option pool calcs if not set to checked (Google Sheets) or TRUE (Excel).</t>
  </si>
  <si>
    <t>enter in the number of digits to round the share price to. can enter "na", "not applicable", or some non-number input if do not want to round (or enter a high number such as "99" or "999")</t>
  </si>
  <si>
    <t>Rounding shares up or down</t>
  </si>
  <si>
    <t>rounddown</t>
  </si>
  <si>
    <t>optional. rounding the shares eliminates fractional shares, with investments it results in slightly different investment amounts and with conversions it (usually) necessitates paying the convertible investor a small amount back (for the amount not converted into a fractional share)</t>
  </si>
  <si>
    <t>Date of Investment &amp; Conversion</t>
  </si>
  <si>
    <t>only used for calculating interest on convertible notes, if applicable.</t>
  </si>
  <si>
    <t>Calculating conversions and share prices</t>
  </si>
  <si>
    <t>The key to calculating the conversions of SAFEs and Convertible Notes into Equity is to review how the legal documents for each instrument define how the company capitalization and the share price should be calculated. The calcs here use best practices, but you may have to overwrite the "Company Capitalization" cells below for your specific situation.</t>
  </si>
  <si>
    <t>Method for converting premoney SAFEs and Convertible Notes</t>
  </si>
  <si>
    <t>investor friendly</t>
  </si>
  <si>
    <t>investor friendly reduces the effective premoney valuation and forces the dilutive effect of issuing options on the existing shareholders; founder friendly results in new equity shareholders sharing in the dilution from issuing shares to the convertibles. investor friendly is the assumed default.</t>
  </si>
  <si>
    <t>Instrument Type</t>
  </si>
  <si>
    <t>Discount Rate</t>
  </si>
  <si>
    <t>Cap</t>
  </si>
  <si>
    <t>Fixed Percentage</t>
  </si>
  <si>
    <t>Interest Rate</t>
  </si>
  <si>
    <t>Date</t>
  </si>
  <si>
    <t>Interest Converted</t>
  </si>
  <si>
    <t>Payment to Convertible Holders</t>
  </si>
  <si>
    <t>add as many rows as needed, no limit to # of investors</t>
  </si>
  <si>
    <t>input 1-discount rate in docs</t>
  </si>
  <si>
    <t>valuation cap</t>
  </si>
  <si>
    <t>optional, if a fixed percentage SAFE</t>
  </si>
  <si>
    <t>annual, simple interest</t>
  </si>
  <si>
    <t>change from the default</t>
  </si>
  <si>
    <t>calculated from the dates</t>
  </si>
  <si>
    <t>used in price per share calc</t>
  </si>
  <si>
    <t>uses same rounding assumptions</t>
  </si>
  <si>
    <t>from fractional shares</t>
  </si>
  <si>
    <t>postmoney SAFE</t>
  </si>
  <si>
    <t>premoney SAFE</t>
  </si>
  <si>
    <t>convertible note</t>
  </si>
  <si>
    <t>Calculating option pools, if applicable</t>
  </si>
  <si>
    <t>Desired Available Option Pool, post financing</t>
  </si>
  <si>
    <t>.</t>
  </si>
  <si>
    <t>of postmoney capitalization</t>
  </si>
  <si>
    <t>Method for creating option pool</t>
  </si>
  <si>
    <t>investor friendly (premoney option pool) reduces the effective premoney valuation and forces the dilutive effect of issuing options on the existing shareholders; founder friendly (postmoney option pool) results in new equity shareholders sharing in the dilution from issuing the new option pool. investor friendly is the assumed default.</t>
  </si>
  <si>
    <t>Desired available options, post financing</t>
  </si>
  <si>
    <t>how many options we want available in the pool, at the end of the round, using the assumption above</t>
  </si>
  <si>
    <t>Options issued since previous round</t>
  </si>
  <si>
    <t>from the "available for issuance", how many were issued, to calculate how many are still available</t>
  </si>
  <si>
    <t>Options available to issue, prior to round</t>
  </si>
  <si>
    <t>how many available prior to the round, already in the pool</t>
  </si>
  <si>
    <t>New options added to option pool</t>
  </si>
  <si>
    <t>how many new options we need to authorize in this round</t>
  </si>
  <si>
    <t>Option pool, post-financing</t>
  </si>
  <si>
    <t>a check to make sure the option pool on the cap table equals our original assumption</t>
  </si>
  <si>
    <t>Waterfall Distribution of Proceeds or Liquidation Analysis</t>
  </si>
  <si>
    <t>Waterfall distribution of proceeds (cash, stock, mixture) from a liquidation event to equity shareholders</t>
  </si>
  <si>
    <t>TRUE/FALSE if Excel, Check/Unchecked if Google Sheets. Circular references are required for the sheet to work properly, otherwise the share counts will all be zero. Turn on Iterative Calculations (in Google Sheets, File &gt; Settings &gt; Calculation &gt; Turn Iterations On, and in Excel, Excel &gt; Preferences &gt; Calculation &gt; Use Iterative Calculation).</t>
  </si>
  <si>
    <t>What this analysis can do:</t>
  </si>
  <si>
    <t>1. Easy to extend to many classes of preferred, common, options and warrants at different strike prices</t>
  </si>
  <si>
    <t>2. Nonparticipating, participating preferred, and participating preferred with a cap liquidation preferences</t>
  </si>
  <si>
    <t>3. Distributions to many classes of shares at different share prices</t>
  </si>
  <si>
    <t>4. Liquidation preference multiple not equal to 1 (input the amount of preferences, reflecting the multiple * amount invested)</t>
  </si>
  <si>
    <t>5. Preference stack of multiple classes of preferred senior to each other, and also classes pari-passu to each other (set the seniority for each row)</t>
  </si>
  <si>
    <t>6. Sub-classes of share classes to account for shares of a class given to investors at different share prices</t>
  </si>
  <si>
    <t>7. Warrants are assumed to be exercised cashless, options exercised by paying the cost to exercise to the company</t>
  </si>
  <si>
    <t>8. Options at different strike prices, can add in as many rows as needed to cover different exercise prices</t>
  </si>
  <si>
    <t>9. Dividends for preferred shareholders</t>
  </si>
  <si>
    <t>10. Conversion ratio from preferred shares to common shares</t>
  </si>
  <si>
    <t>What this analysis cannot do:</t>
  </si>
  <si>
    <t>1. Testing for unconverted convertibles to pay as debt or as equity</t>
  </si>
  <si>
    <t>Contact taylor@foresight.is for custom solutions for this</t>
  </si>
  <si>
    <t>Shareholders by Class</t>
  </si>
  <si>
    <t>Type</t>
  </si>
  <si>
    <t>Seniority</t>
  </si>
  <si>
    <t>Amount Invested</t>
  </si>
  <si>
    <t>Shares</t>
  </si>
  <si>
    <t>Conversion Ratio</t>
  </si>
  <si>
    <t>% Ownership</t>
  </si>
  <si>
    <t>Price per share</t>
  </si>
  <si>
    <t>Liquidity Pref Multiple</t>
  </si>
  <si>
    <t>Liquidity Preferences</t>
  </si>
  <si>
    <t>Preferred Participation Rights</t>
  </si>
  <si>
    <t>Participation Multiple</t>
  </si>
  <si>
    <t>Cap on Participation</t>
  </si>
  <si>
    <t>Type of Dividends</t>
  </si>
  <si>
    <t>Dividend or Interest Rate</t>
  </si>
  <si>
    <t>Dividends</t>
  </si>
  <si>
    <t>Date of Exit</t>
  </si>
  <si>
    <t>Investment Date</t>
  </si>
  <si>
    <t>amount invested / price per share</t>
  </si>
  <si>
    <t>from preferred to common</t>
  </si>
  <si>
    <t>pre distribution</t>
  </si>
  <si>
    <t>or Strike Price, for options and warrants</t>
  </si>
  <si>
    <t>multiple of amount invested</t>
  </si>
  <si>
    <t>per shareholder; amount invested * liquidity preference multiple + dividends, if used. or change the formula if needed for a specific situation</t>
  </si>
  <si>
    <t>select in dropdown. only if preferred shares</t>
  </si>
  <si>
    <t>only if selecting participating with cap</t>
  </si>
  <si>
    <t>only used if participating preferred with cap</t>
  </si>
  <si>
    <t>select in dropdown</t>
  </si>
  <si>
    <t>one-time or annual rate</t>
  </si>
  <si>
    <t>optional, calculated differently depending on the type of dividends, and added to liquidity preference. assumes dividends are not paid if preferred converts to common, except if is participating preferred, in which case it would get paid the dividends</t>
  </si>
  <si>
    <t>date of exit. default is today(), but change to your exit date</t>
  </si>
  <si>
    <t>input the investment date.</t>
  </si>
  <si>
    <t>Series J</t>
  </si>
  <si>
    <t>Preferred</t>
  </si>
  <si>
    <t>Non Participating</t>
  </si>
  <si>
    <t>Not declared</t>
  </si>
  <si>
    <t>Series I</t>
  </si>
  <si>
    <t>Series H</t>
  </si>
  <si>
    <t>Series G</t>
  </si>
  <si>
    <t>Series F</t>
  </si>
  <si>
    <t>Series E</t>
  </si>
  <si>
    <t>Series D</t>
  </si>
  <si>
    <t>Series C</t>
  </si>
  <si>
    <t>Series B</t>
  </si>
  <si>
    <t>Series A</t>
  </si>
  <si>
    <t>Seed</t>
  </si>
  <si>
    <t>Warrants</t>
  </si>
  <si>
    <t>Distributions to Equity</t>
  </si>
  <si>
    <t>Exit Price</t>
  </si>
  <si>
    <t>Repayment of Debt</t>
  </si>
  <si>
    <t>Repayment of Convertibles</t>
  </si>
  <si>
    <t>Proceeds from Options</t>
  </si>
  <si>
    <t>Breakpoint #</t>
  </si>
  <si>
    <t>Liquidation Preferences per share class, by seniority</t>
  </si>
  <si>
    <t>Partial Shares to Preferred, if Participating Preferred with a Cap is selected</t>
  </si>
  <si>
    <r>
      <rPr/>
      <t xml:space="preserve">this section is a "helper column", not strictly needed except that spreadsheets perform better when complex iterative calculations are broken out. details at </t>
    </r>
    <r>
      <rPr>
        <color rgb="FF1155CC"/>
        <u/>
      </rPr>
      <t>https://foresight.is/docs/iterative-calculations/</t>
    </r>
  </si>
  <si>
    <t>Distributions to Liquidation Preferences</t>
  </si>
  <si>
    <t>Distributions to Common</t>
  </si>
  <si>
    <t>Per Common Share</t>
  </si>
  <si>
    <t>Distributions per Shareholder class</t>
  </si>
  <si>
    <t>Check</t>
  </si>
  <si>
    <t>Total distributions per share</t>
  </si>
  <si>
    <t>Total distributions, cash</t>
  </si>
  <si>
    <t>input is the % of the distributions to be distributed in cash</t>
  </si>
  <si>
    <t>Total distributions, # of shares</t>
  </si>
  <si>
    <t>input is the share price for the shares being distributed, this calculates the number of shares to be distributed. optional, only needed for distributions of shares</t>
  </si>
  <si>
    <t>Expected value</t>
  </si>
  <si>
    <t>Probability of exit outcome</t>
  </si>
  <si>
    <t>Expected Returns</t>
  </si>
  <si>
    <t>Proceeds</t>
  </si>
  <si>
    <t>Net Returns</t>
  </si>
  <si>
    <t>Gross Multiple</t>
  </si>
  <si>
    <t>ROI</t>
  </si>
  <si>
    <t>11. Calculating proceeds to unconverted SAFEs and convertible notes</t>
  </si>
  <si>
    <t>One note on the calculations</t>
  </si>
  <si>
    <t>1. For warrants that are not exercised cashless, record them as options instead</t>
  </si>
  <si>
    <t>Unconverted Convertible?</t>
  </si>
  <si>
    <t>Valuation Cap</t>
  </si>
  <si>
    <t>Type of Convertible</t>
  </si>
  <si>
    <t>check or input TRUE if this share class represents an unconverted SAFE or convertible note that will convert</t>
  </si>
  <si>
    <t>select the type of convertible, this impacts the way the share price is calculated. please read your legal documents to confirm the exact treatment and make adjustments to the liquidity capitalization as needed</t>
  </si>
  <si>
    <t>not applicable</t>
  </si>
  <si>
    <t>Optional: Liquidity Capitalization to use for converting unconverted SAFEs and/or convertible notes</t>
  </si>
  <si>
    <t>helper column to calculate the liquidity capitalization used in calculating the liquidity price used to convert the unconverted convervitable into shares in the liwuidation waterfall. please note this may require adjustment given the details for each convertible, always read your legal documents to know the exact treatment</t>
  </si>
  <si>
    <t>Optional: Shares to issue to unconverted SAFEs and/or convertible notes</t>
  </si>
  <si>
    <t>this section is a "helper" column, used to calculate the number of shares to issue to each unconverted convertible note and/or SAFE, if to be converted in a liquidity event</t>
  </si>
  <si>
    <t>Optional: Partial Shares to Preferred, if Participating Preferred with a Cap is selected</t>
  </si>
  <si>
    <r>
      <rPr/>
      <t xml:space="preserve">this section is a "helper column", not strictly needed except that spreadsheets perform better when complex iterative calculations are broken out. details at </t>
    </r>
    <r>
      <rPr>
        <color rgb="FF1155CC"/>
        <u/>
      </rPr>
      <t>https://foresight.is/docs/iterative-calculations/</t>
    </r>
  </si>
  <si>
    <t>this represents the distribution of value, which may be in cash, shares, or other securities to be distributed to shareholders. note that for unconverted convertibles that are paid the cash-out amount (liquidity preference), there is no distribution per share because they never own shares</t>
  </si>
  <si>
    <t>Expected value of distributions</t>
  </si>
  <si>
    <t>Example Cap Table</t>
  </si>
  <si>
    <t xml:space="preserve">Example for modeling multiple rounds of equity, converting outstanding SAFEs and convertible notes, creating and updating option pool, and more. </t>
  </si>
  <si>
    <t>on an as-converted basis</t>
  </si>
  <si>
    <t>Warrants, on as-converted basis</t>
  </si>
  <si>
    <t>Equity Investors (from Convertibles this round)</t>
  </si>
  <si>
    <t>a check to make sure the option pool on the cap table equals our original assumption, you will need to modify if you include more lines for option pools</t>
  </si>
  <si>
    <t>Calculating anti-dilution protection, if applicable</t>
  </si>
  <si>
    <t>Use anti-dilution calculations for preferred equity investors</t>
  </si>
  <si>
    <t>Amount Originally Invested</t>
  </si>
  <si>
    <t>Ownership or Value Dilution</t>
  </si>
  <si>
    <t>Conversion Ratio or New Shares</t>
  </si>
  <si>
    <t>Original conversion ratio from preferred shares to common shares</t>
  </si>
  <si>
    <t>Purchase price per preferred share</t>
  </si>
  <si>
    <t>New conversion ratio if ownership dilution</t>
  </si>
  <si>
    <t>New conversion ratio if full ratchet anti-dilution</t>
  </si>
  <si>
    <t>New conversion ratio if broad-based weighted average</t>
  </si>
  <si>
    <t>New conversion ratio if narrow-based weighted average</t>
  </si>
  <si>
    <t>Method for anti-dilution protection</t>
  </si>
  <si>
    <t>New conversion ratio with anti-dilution protection</t>
  </si>
  <si>
    <t>Number of Fully-Diluted shares on an as-converted basis added through anti-dilution protection</t>
  </si>
  <si>
    <t>New Shares Issued</t>
  </si>
  <si>
    <t>TRUE/FALSE if Excel, Check/Unchecked if Google Sheets. Using this option will use the anti-dilution protections, if they apply to the fundraise given the known information about the new equity raise.</t>
  </si>
  <si>
    <t>there are two different types of dilution :) check out https://foresight.is/docs/anti-dilution/ for a full explainer</t>
  </si>
  <si>
    <t>only if using value dilution</t>
  </si>
  <si>
    <t>calculated from conversion ratio</t>
  </si>
  <si>
    <t>issued during round</t>
  </si>
  <si>
    <t>value</t>
  </si>
  <si>
    <t>conversion ratio</t>
  </si>
  <si>
    <t>full ratchet</t>
  </si>
  <si>
    <t>Simple example for modeling multiple rounds of equity</t>
  </si>
  <si>
    <t>premoney valuation / company capitalization, prior to the round</t>
  </si>
  <si>
    <t>Simplified example for modeling issuing equity and option pools</t>
  </si>
  <si>
    <t>Some calculations regarding cap tables requires circular references to work properly. Turn on Iterative Calculations (in Google Sheets, File &gt; Settings &gt; Calculation &gt; Turn Iterations On, and in Excel, Excel &gt; Preferences &gt; Calculation &gt; Use Iterative Calculation). This toggle just zeros out the conversions and option pool calcs if not set to checked (Google Sheets) or TRUE (Excel).</t>
  </si>
  <si>
    <t>Simplified example for modeling issuing equity and converting outstanding SAFEs and convertible notes</t>
  </si>
  <si>
    <t>Resources and Templates</t>
  </si>
  <si>
    <t>Tools and templates to understand more about cap tables and exit waterfalls</t>
  </si>
  <si>
    <t>Name</t>
  </si>
  <si>
    <t>Key Attributes</t>
  </si>
  <si>
    <t>Link</t>
  </si>
  <si>
    <t>Cap Table and Exit Waterfall Tool</t>
  </si>
  <si>
    <t>This model; instructional tool to learn how cap tables and exit waterfalls work</t>
  </si>
  <si>
    <t>https://foresight.is/cap-table</t>
  </si>
  <si>
    <t>Angelcalc</t>
  </si>
  <si>
    <t>Resource to use to build and verify cap tables, as well as manage a portfolio.</t>
  </si>
  <si>
    <t>https://www.angelcalc.com</t>
  </si>
  <si>
    <t>Safe and Convertible Note Calculator, by Carta</t>
  </si>
  <si>
    <t>Free resource to use to model the impact of issuing and converting SAFEs and convertible notes on cap tables.</t>
  </si>
  <si>
    <t>https://safes.carta.com/</t>
  </si>
  <si>
    <t>Cap Table and Exit Waterfall Course, by Foresight</t>
  </si>
  <si>
    <t>Self-paced course to teach the concepts and calculations behind creating cap tables and exit waterfalls.</t>
  </si>
  <si>
    <t>https://foresight.is/cap-table-course/</t>
  </si>
  <si>
    <t>Eloquens, for examples of other cap table structures</t>
  </si>
  <si>
    <t>Search for more cap table templates at Eloquens, to see other ways to create and format cap tables</t>
  </si>
  <si>
    <t>https://www.eloquens.com/search/cap%20table</t>
  </si>
  <si>
    <t>What is a cap table?</t>
  </si>
  <si>
    <t>Intro explainer on what a cap table is and why it's important</t>
  </si>
  <si>
    <t>https://learn.angellist.com/articles/cap-table</t>
  </si>
  <si>
    <t>How to model ownership &amp; dilution, and how pro rata works in venture capital deals., by Chloe Alpert</t>
  </si>
  <si>
    <t>Good overview article on how to model ownership, dilution, and prorata investments</t>
  </si>
  <si>
    <t>https://chloealpert.com/how-to-model-ownership-dilution-and-how-pro-rata-works-in-venture-capital-deals/</t>
  </si>
  <si>
    <t>Basics of Pre- and Post-Money Option Pools</t>
  </si>
  <si>
    <t>Understanding the basics of option pools</t>
  </si>
  <si>
    <t>https://ledgy.com/blog/pre-and-post-money-option-pools/</t>
  </si>
  <si>
    <t>Calculating Share Prices with Outstanding Convertible Notes or SAFEs</t>
  </si>
  <si>
    <t>Primer on how to calculate share prices with unconverted convertible notes. This was a foundational learning piece for me; I no longer use the effective premoney method as the primary calculation method, but it's great to understand why the math works.</t>
  </si>
  <si>
    <t>https://www.cooleygo.com/calculating-share-price-outstanding-convertible-notes-or-safes/</t>
  </si>
  <si>
    <t>Premoney and Postmoney SAFEs, by Carta</t>
  </si>
  <si>
    <t>Intro explainer on what premoney and postmoney SAFEs are</t>
  </si>
  <si>
    <t>https://carta.com/blog/pre-money-and-post-money-safes/</t>
  </si>
  <si>
    <t>Y Combinator, documents for Postmoney SAFE</t>
  </si>
  <si>
    <t>The documents for Y Combinator's default postmoney SAFE</t>
  </si>
  <si>
    <t>https://www.ycombinator.com/documents</t>
  </si>
  <si>
    <t>Venture Capital Method (Valuation)</t>
  </si>
  <si>
    <t>Examples of how to use the Venture Capital Method for valuation, free Google Sheets</t>
  </si>
  <si>
    <t>https://vcmethod.com/</t>
  </si>
  <si>
    <t>Key venture terms and metrics used in this model. Send me an email about any terms that are unclear and I'll update the Glossary.</t>
  </si>
  <si>
    <t>Term</t>
  </si>
  <si>
    <t>Definition</t>
  </si>
  <si>
    <t>Investment Amount</t>
  </si>
  <si>
    <t>New amount invested to purchase shares in a round</t>
  </si>
  <si>
    <t>Negotiated valuation of a company prior to a round of investment</t>
  </si>
  <si>
    <t>Valuation after an investment round. Premoney Valuation + Amount Invested = Postmoney Valuation</t>
  </si>
  <si>
    <t>Definition used for the number of shares to use in calculating price per share</t>
  </si>
  <si>
    <t>The price per share that an investor is paying to purchase new shares issued to the investor</t>
  </si>
  <si>
    <t>"Priced Round"</t>
  </si>
  <si>
    <t>Selling shares of equity at a determined price set by a valuation on the shares. Premoney valuation / ( # of shares issued and outstanding + # of authorized options)</t>
  </si>
  <si>
    <t>"Issuing Shares"</t>
  </si>
  <si>
    <t>Taking in investment capital using – typically – one of the structures – and giving investors securities at a determined price (or the right to purchase securities at a price to be determined later). Rounds can be amorphous and can aggregate multiple investments at different valuations, when using convertibles. Raising money means that the company issues new shares to an investor, increasing the total number of shares and diluting existing shareholders. # of shares issued to an investor = amount invested / share price they paid</t>
  </si>
  <si>
    <t>"Converting Investments"</t>
  </si>
  <si>
    <t>Convertible notes and SAFEs are converted into equity when an equity round is raised, purchasing similar shares as the new equity round, but usually for a different price</t>
  </si>
  <si>
    <t>Percentage Ownership</t>
  </si>
  <si>
    <t>Shares owned by an investor / Fully-diluted shares, representing the percentage of the shares owned by the investor</t>
  </si>
  <si>
    <t>"Effective Premoney Valuation"</t>
  </si>
  <si>
    <t>The real valuation that a company is getting on a new investment round. Premoney valuation minus the value of the dilution born by existing shareholders = “effective premoney”</t>
  </si>
  <si>
    <t>Equity</t>
  </si>
  <si>
    <t>https://www.investopedia.com/terms/e/equityfinancing.asp</t>
  </si>
  <si>
    <t>Convertible Note</t>
  </si>
  <si>
    <t>Debt that has the right to convert into equity upon a milestone (a date or a significant financing event). Treated as unsecured debt, with the seniority of debt and rights to repayment. Can include a discount rate (right to purchase shares at a discount to the equity price), a cap (a max valuation paid at the time of conversion), an interest rate (typically accrued, and converted into equity or paid at time of conversion), and a maturity date (a date it has to be converted by, which can be renegotiated in practice).</t>
  </si>
  <si>
    <t>Premoney SAFE</t>
  </si>
  <si>
    <t>Essentially treated as a warrant to purchase shares, not treated as debt. Created to be simpler and easier (simpler docs) and standardized, to reduce legal costs and complexity. Can have cap or discount, no interest rate, no maturity. Introduced by Y Combinator in 2013.</t>
  </si>
  <si>
    <t>Postmoney SAFE</t>
  </si>
  <si>
    <t>Introduced by Y Combinator in 2018 / https://www.ycombinator.com/documents/ Created to provide clarity on ownership, by defining the exact conversion method. Effectively adds antidilution protection for investors. Removed prorata rights, which can be negotiated as a side letter</t>
  </si>
  <si>
    <t>https://www.cooleygo.com/understanding-the-valuation-cap/</t>
  </si>
  <si>
    <t>Discount for purchasers of shares through convertible instruments, allowing the purchaser to pay the price per share for the equity shares * the discount rate = the price per share paid by the owners of the convertible instruments. Legal documents will usually cite the discount rate differently than we commonly talk about it, so be careful to make sure it's (1 - discount rate) * price per share or (discount rate) * price per share</t>
  </si>
  <si>
    <t>https://www.upcounsel.com/convertible-note-interest-rate</t>
  </si>
  <si>
    <t>https://www.investopedia.com/terms/c/commonstock.asp</t>
  </si>
  <si>
    <t>https://www.investopedia.com/articles/stocks/06/preferredstock.asp</t>
  </si>
  <si>
    <t>Authorized Shares</t>
  </si>
  <si>
    <t>The number of shares that the company is authorized to issue, per their legal documents, and approved by their board of directors.</t>
  </si>
  <si>
    <t>Issued and Outstanding Shares</t>
  </si>
  <si>
    <t xml:space="preserve">Shares issued and currently outstanding to shareholders. This will be less than the authorized shares.
</t>
  </si>
  <si>
    <t>Issued and outstanding shares plus shares reserved for authorized options, and assumes that all authorized options will be eventually granted and exercised.</t>
  </si>
  <si>
    <t>Fractional Shares</t>
  </si>
  <si>
    <t>Shares are typically not issued in fractions (e.g. 1/2 a share). Typically we round the number of shares calculated purchased or issued so that no fractional shares are issued.</t>
  </si>
  <si>
    <t>Investor Friendly</t>
  </si>
  <si>
    <t>Refers to a method of issuing options ot shares from convertibles where the dilution incurred from those events is borne entirely by existing shareholders prior to the round, and not the new equity investors</t>
  </si>
  <si>
    <t>Founder Friendly</t>
  </si>
  <si>
    <t>Refers to a method of issuing options ot shares from convertibles where the dilution incurred from those events is borne entirely by all shareholders, including the new equity investors</t>
  </si>
  <si>
    <t>Premoney Option Pool</t>
  </si>
  <si>
    <t>A Premoney option pool, the “investor friendly” option, reduces the premoney valuation by the value of the options created, and forces the dilutive impact on existing shareholders.</t>
  </si>
  <si>
    <t>Postmoney Option Pool</t>
  </si>
  <si>
    <t>A Postmoney option pool, the “founder friendly” option, shares the impact of dilution on all shareholders, including new equity investors.</t>
  </si>
  <si>
    <t>"Convert in the premoney"</t>
  </si>
  <si>
    <t>From https://docs.equity.gust.com/article/116-converting-notes-pre-money-vs-post-money - "In a pre-money conversion the notes convert first, and are included as part of your company's value in the pre-money valuation. You may also hear pre-money conversion referred to as "the percentage-ownership method".</t>
  </si>
  <si>
    <t>"Convert in the postmoney"</t>
  </si>
  <si>
    <t>From https://docs.equity.gust.com/article/116-converting-notes-pre-money-vs-post-money - "In a post-money conversion, the incoming series goes first, then the note holders convert increasing the post-money valuation of the company. Because the pre-money value does not include the note holders, it gives a fixed price for the new round shares and so post-money conversion is sometimes (confusingly) referred to as "the pre-money method" when looked at from the perspective of the new investors."</t>
  </si>
  <si>
    <t>Premoney Conversion Method ("Convert in the postmoney", or "Founder Friendly")</t>
  </si>
  <si>
    <t>Percentage Ownership Conversion Method (Premoney Conversion Method, or "Convert in the postmoney", or "Investor Friendly")</t>
  </si>
  <si>
    <t>Dollars Ownership Conversion Method</t>
  </si>
  <si>
    <t>Option Pool</t>
  </si>
  <si>
    <t>Options, also called employee stock option pool or ESOP, represent the right (not the commitment) for the owner of the options to purchase shares. A company usually reserves or creates a pool of options, representing a % of the company, to grant to for future hires as compensation, typically created and amended around financing rounds.</t>
  </si>
  <si>
    <t>Strike Price</t>
  </si>
  <si>
    <t>Provides the right to option holders to purchase common shares at a price (”strike price”) related to the value of the company today, and sell (hopefully) at a higher price in future as company’s value grows</t>
  </si>
  <si>
    <t>Authorized Options</t>
  </si>
  <si>
    <t>Options authorized to issue</t>
  </si>
  <si>
    <t>Granted Options</t>
  </si>
  <si>
    <t>Options already granted to option holders</t>
  </si>
  <si>
    <t>Vested Options</t>
  </si>
  <si>
    <t>Options vested by option holders, based on their vesting schedule</t>
  </si>
  <si>
    <t>Options Available for Granting</t>
  </si>
  <si>
    <t>Options available to grant. Authorized options less granted options</t>
  </si>
  <si>
    <t>https://www.investopedia.com/terms/w/warrant.asp</t>
  </si>
  <si>
    <t>Pro rata</t>
  </si>
  <si>
    <t>Prorata, or prorata rights, are terms written into share agreements that give investor the right to purchase additional shares in future financings, usually towards the goal of maintaining their ownership percentage of a company.</t>
  </si>
  <si>
    <t>Here's what has changed.</t>
  </si>
  <si>
    <t>Version</t>
  </si>
  <si>
    <t>v3.5.4</t>
  </si>
  <si>
    <t>Changed the postmoney calculation on the cap table sheets to be share price paid by equity * fully-diluted shares outstanding, instead of amount invested + premoney valuation. Generally the sum of amount invested and premoney valuation is the postmoney, but in situations where the new equity invested is diluted in the equity round, the postmoney will float up. It does not impact any calculations in the model, just simply how it reports the postmoney.</t>
  </si>
  <si>
    <t>v3.5.3</t>
  </si>
  <si>
    <t>Added `Exit Waterfall, with Convertibles` sheet to add new section to handle the distribution of proceeds to unconverted convertibles in a liquidation scenario prior to a conversion event. This is a beta feature and will be actively tested, and please note that it is always important to read the convertible agreement for how to handle a liquidation event.
Added new section to `Exit Waterfall` sheet to show the distribution of proceeds to cash and securities, if the distribution includes securities.</t>
  </si>
  <si>
    <t>v3.5.2</t>
  </si>
  <si>
    <t>Edited 'Exit Waterfall' sheet to add the conversion ratio to the calculation of shares for the full participation option.
Added checkboxes/true &amp; false inputs on Cap Table, Anti Dilution and Exit Waterfall sheets to turn off calculations requiring circular references. This means those sheets will not work without using checking the checkbox or entering "true", but this should make the initial use clearer and remove the unprompted spreadsheet warning message.</t>
  </si>
  <si>
    <t>v3.5.1</t>
  </si>
  <si>
    <t>Edited `Cap Table, Anti Dilution` to adjust calculation of broad-based and narrow-based weighted average so it uses the amount invested in the new round, not the amount invested by each of the existing shareholders in past rounds, in the calc for the new conversion price</t>
  </si>
  <si>
    <t>v3.5.0</t>
  </si>
  <si>
    <t>Edited the 'Exit Waterfall, Simple' sheet to add in features previously only in the base 'Exit Waterfall' and 'Exit Waterfall, Extended' sheets, bringing this stucture to match the features in the previous Exit Waterfall sheets, and deleted the older sheets and renamed the 'Simple' variant to just 'Exit Waterfall'. This was done because the 'Simple' version is built to use an easier formula structure than the 'Exit Waterfall' and 'Exit Waterfall, Extended' sheets, and because of that it is easier to use without needing the feature toggles on the earlier sheets, and is *much* easier to extend to cover more share classes and options. Simpler and better, always innovating.</t>
  </si>
  <si>
    <t>v3.4.8</t>
  </si>
  <si>
    <t>Edited "Exit Waterfall" and "Exit Waterfall, Extended" sheets to fix how warrants are exercised cashless. Previously the cashless exercise would result in the proceeds distribution check being off because the foregone proceeds from the cashless exercise was not accounted for going back to other shareholders. The method was changed to adjust the number of shares issued tot he warrant holders by the value of the foregone proceeds by the cashless exercise, if that option is selected. Thank you Preten for finding this. I also adjusted the "Exit Waterfall, Simple" sheet for calculating proceeds to warrants; previously the method subtracted out the foregone proceeds from warrant holders and added them back to the other sharedholders, which resulted in the same result, but I adjusted the calcs to use the same method of adjusting the shares so that the methods are consistent.</t>
  </si>
  <si>
    <t>v3.4.7</t>
  </si>
  <si>
    <t>Edited "Cap Table, Issuing Options" calculation for the number of desired options to subtract out the options currently available. That makes the algebraic method used in this sheet equivalent to the circular reference method used in the core "Cap Table" sheet. Thank you Tom for finding this.</t>
  </si>
  <si>
    <t>v.3.4.6</t>
  </si>
  <si>
    <t>Edited 'Exit Waterfall, Simple' sheet to fix the Shares calculation to use the Liquidity Preferences from the correct column</t>
  </si>
  <si>
    <t>v3.4.5</t>
  </si>
  <si>
    <t>New 'Exit Waterfall, Simple' sheet to provide an alternative way to calculating a waterfall using a simpler set of formulas by making a few intentional decisions on aspects of preferred investments it does not support. See sheet for more details.</t>
  </si>
  <si>
    <t>v3.4.4</t>
  </si>
  <si>
    <t>Updates to Cap Table, Anti Dilution. Edited to allow for (a) issuing new shares instead of adjusting conversion ratio, (2) accounting for ownership % dilution as well as value dilution, and (3) making anti-dilution ratios different per row to account for different original purchase prices. The updates allow for significantly more flexibiity in dealing with anti-dilution.</t>
  </si>
  <si>
    <t>v3.4.3</t>
  </si>
  <si>
    <t>Edited the Exit Waterfall and Exit Waterfall, Extended sheets for a beta implementation of cashless warrants exercise. Select the option for cashless exercise in the pre-distribution cap table setup, and the model will adjust the proceeds from exercise and proceeds to warrant holders automatically. This is prebuilt for all of the options or warrants lines, although this would only be used for warrants.</t>
  </si>
  <si>
    <t>v3.4.2</t>
  </si>
  <si>
    <t>Edited the Exit Waterfall, Extended sheet to adjust the liquidation preferences calculation for the second and third shareclasses, to link them to the correct shareclass. Thank you Jessie for pointing this out.</t>
  </si>
  <si>
    <t>v3.4.1</t>
  </si>
  <si>
    <t>Added a prebuilt input for fixed percentage postmoney SAFEs in the Cap Table sheet. The model always worked for these SAFEs (just divide the investment amount by the fixed percentage to get the effective valuation cap), but this provides a clearer input to do the same thing.</t>
  </si>
  <si>
    <t>v3.4</t>
  </si>
  <si>
    <t>On Cap Table, with Anti Dilution sheet, editing to (a) make the selection of which type of anti-dilution protection to use a dropdown, instead of implying the selection from the number calculated (a little clearer IMO), and (b) adding a calc for the number of shares on an as-converted basis added through anti-dilution protection, and (c) adding those shares to the company capitalization used in calculating equity share price</t>
  </si>
  <si>
    <t>v3.3</t>
  </si>
  <si>
    <t>On Exit Waterfall, introduced a new model settings at the top, to set the formula structure in a few situations. Basically, some aspects of the Exit Waterfall create circulars that can be difficult for Excel and Google Sheets to calculate correctly (yes, spreadsheet programs have limitations, especially when it comes to circular references). By default, the model uses simpler formulas unless the more advanced options are required, for example for pari-passu or for down rounds (introduced in the previous version), in which cases the model turns on the more complicated formulas. Hopefully this makes it better for a wider range of people to use without issue, and still keeps the more advanced functionality for those that need it.</t>
  </si>
  <si>
    <t>v3.2</t>
  </si>
  <si>
    <t xml:space="preserve">On Exit Waterfall, changed the liquidation preference calculation for each share class to use the proceeds per share to common instead of the residual per share from the section above. The previous method did not work as well in conditions where the liquidation price per share decreased in future rounds. This method does make the calculations even more circular, but more robust for that situation. </t>
  </si>
  <si>
    <t>v3.1</t>
  </si>
  <si>
    <t>Adding prebuilt anti-dilution protection to the default cap table example sheet. This is a beta release of the feature, and will change based on feedback, but aims to add in full ratchet and weighted average (broad-based and narrow-based) if selected and if applicable based on new share prices. The feature is not fully automatic, as you will need to select the type of anti-dilution protection and input the purchase price from the previous equity round. This calculates the same protection for all preferred shareholders, although if shareholders have different original purchase prices their anti-dilution protection will be different. I do expect to change the approach to make it more flexible and automatic based on user feedback and use.</t>
  </si>
  <si>
    <t>v3.0</t>
  </si>
  <si>
    <r>
      <rPr/>
      <t xml:space="preserve">Brand new v3, a complete break in format and calculation methods, redesigned and redrawn. More details covered at </t>
    </r>
    <r>
      <rPr>
        <color rgb="FF1155CC"/>
        <u/>
      </rPr>
      <t>https://foresight.is/cap-table</t>
    </r>
  </si>
  <si>
    <t>v2.6</t>
  </si>
  <si>
    <t>Updated 7 - Proratas and 5 - Exit Waterfall with dropdowns to turn on interative calculations in the formulas, so I can provide the model without the annoying circular reference error popup. Just turn on iterative calcs in the dropdown and in Excel/Google Sheets setup when necessary to use the calcs for those sheets.</t>
  </si>
  <si>
    <t>v2.59</t>
  </si>
  <si>
    <t>Updated Base Cap Table sheet, total postmoney SAFE dilution calc, AD49, to fix formula so it can cover dilution for all shareholders, in a more flexible manner. Thank you Tim for catching this.</t>
  </si>
  <si>
    <t>v2.58</t>
  </si>
  <si>
    <t>Updated Exit Waterfall to work for scenarios where shareholder classes are pari-passu, and have to use liquidation preferences to drive preferred / common decisions. Added 7 - Proratas and 8 - Scorecard Valuation as two new instructional tabs, as examples for how to calculate prorata investment amounts (couple scenarios handled, more to be built and added) and an example of a scorecard valuation approach.</t>
  </si>
  <si>
    <t>v2.57</t>
  </si>
  <si>
    <t>Version control, updating to make this the current model to remove any conflicts about versions or circular references. 1 - Base Cap Table: Added link to an Angelcalc model comparison (I like Angelcalc!) to compare results.</t>
  </si>
  <si>
    <t>v2.56</t>
  </si>
  <si>
    <t>Exit Waterfall - moved the structure for handling unconverted convertible notes. This is manual; structuring this for each note under the specific terms of the note and testing for the different specific methods can be hard for convertible notes. Exit Waterfall - changed % of options exercised calc to use common share price instead of blended overall share price</t>
  </si>
  <si>
    <t>v2.55</t>
  </si>
  <si>
    <t>5 - Exit Waterfall - finished latest set of revisions with new structure, which allows for pari-passu treatment of rounds, proceeds from dividends, manual editing for proceeds from payments for unconverted convertibles, amng other optimizations. This new structure involves a number of edits to make the tool better as an instructional tool, with more explainers and notes, more features to handle situations that users have requested, and a slightly slimmer footprint (meaning, less rounds) so that the tool is overall easier to use.</t>
  </si>
  <si>
    <t>Cap Table, Exit Waterfall, Summary - Deleted. The base cap table model was replaced with the new 1 - Cap Table sheet, towards the goal to build in some new features, but also make it a better instructional tool and easier to edit for situations. Big picture, I believe that cap tables are better managed in sofware, and tools like Carta, Capshare, and Captable.io are all good options for people to manage detailed cap tables. Spreadsheet-based solutions are difficult to manage, update, and keep accurate. But spreadsheets are great for analysis, and so I refocused the goal of this tool on teaching, instructions, and a footprint that's easier to use for analysis and scenario modeling. In the new base cap table sheet - "1 - Cap Table" - the model introduces a couple new features to help it handle postmoney SAFEs better and more automatically, a clearer way to handle share grants, transfers, and cancellations, options exercising, and warrants. It's also easier to use for analyzing exported cap tables from Carta, Capshare, and Captable.io, by exporting the share register and linking them into the opening cap table (and exit waterfall) for scenario modeling of future rounds and proceeds distributions at exit. I recognize that some may like the deleted sheets, but based on my usage of this tool with entrepreneurs over the past few years, I think this is a solution that will be easier to use and a better fit with how spreadsheets should really be used for modeling cap tables.</t>
  </si>
  <si>
    <t>4 - Conversion, Postmoney - Edited how the postmoney conversion is handled so that it no longer requires all SAFEs to be postmoney SAFEs, and now can convert convertible notes, premoney SAFEs, and postmoney SAFEs all in the same structure.</t>
  </si>
  <si>
    <t>v2.54</t>
  </si>
  <si>
    <t>Exit Waterfall and 5 - Exit Waterfall Distribution: Reordered the rows for each shareholder class and edited to show how participation and conversion works a bit clearer; previously, I included in "convert to common" the participation of preferred shares that weren't *converting* but just *participating* in the common distributions. The math was correct, but I updated it so that the delineation between participation and conversion is clearer. In a similar vein, I created the participation calculations show that they show the results for all three participation options simultaneously, even if they are not used for that particular shareholder class, as an aid to help explain the calcs and show the differences in results from the options. Exit Waterfall and 5 - Exit Waterfal Distribution: Edited the calcs for Participating Preferred with a Cap options so that it accurately showed how participation for this option works.</t>
  </si>
  <si>
    <t>v2.53</t>
  </si>
  <si>
    <t>Exit Waterfall, and 5 - Exit Waterfall: Edited the "Cap of Proceeds / Invested Capital" and "Cap on Participation" rows, respectively, to reflect pulling from invested capital and not liquidation preferences. Previously, no issues if liquidation preferences = invested capital, but if liquidation preferences were a multiple of invested capital, and participating preferred with a cap was used, it would calculate the cap incorrectly.</t>
  </si>
  <si>
    <t>v2.52</t>
  </si>
  <si>
    <t>Cap Table: Edited the summary columns - at the very end of the sheet - to correctly pull in the shares, options, and fully-diluted per round, for the Summary and Exit Waterfall sheets.</t>
  </si>
  <si>
    <t>v2.51</t>
  </si>
  <si>
    <t>Cap Table: Edited a couple # shares calcs for line 7 in all rounds, fixing a stray "0" that should have had a calculation in those cells</t>
  </si>
  <si>
    <t>New sheet, 3 - Conversion, Postmoney, and edits to 4 - Option Pool: Added a new sheet to clearly show how to use the new Y Combinator Postmoney SAFE. The core Cap Table sheet already supports it, but now the instructional sheets provide a better guide on how to set it up with the core Cap Table sheet. Also made one small edit on Cap Table to optionally calculate fully-diluted shares on a premoney or postmoney basis. Yes, I know this edit is done on a global basis, which reflects an assumption that all SAFEs are either premoney or postmoney. If this assumption turns out to be an issue it can be edited to be more granular, and if it is requested I will change this.</t>
  </si>
  <si>
    <t>Cap Table: Added new columns to optionally calculate total dilution from postmoney SAFEs per round in order to calculate fully-diluted; changed $ converted in round to pick up SAFEs, and changed share price to handle postmoney SAFEs using previous round fully-diluted instead of issued and outstanding to calculate price per share.</t>
  </si>
  <si>
    <t>Cap Table and all 3 - Conversion sheets and 4 - Option Pool and Conversion: Switched the "Converted in Round" calcs for all rounds to use monthly interest rate instead of annual, as it would fail to pick up interest earned on conversions that happen less than a year from issuance of the convertible, and undercalculate accrued interest for periods that do not match annual intervals.</t>
  </si>
  <si>
    <t>Cap Table and relevant instructional sheets with option pools: Added condition for calculation of postmoney option pool # of shares to test to see if there is a valuation, and if not, to calculate the # of shares based on the issued and outstanding prior to the round. This corrects for the zero shares that would have been estimated in the case of a zero valuation.</t>
  </si>
  <si>
    <t>v2.5</t>
  </si>
  <si>
    <t>Cap Table: R73 (postmoney valuation, first funding round) drew it's calcs from the incorrect column. Thank you George for finding this simple error.</t>
  </si>
  <si>
    <t>v2.4</t>
  </si>
  <si>
    <t>4 - Option Pool + Convention: Edits to the Fully-diluted shares calculations, each round in this sheet was incorrectly calculating fully-diluted shares. This calc is situational specific, so you may need to change the formula if you are using this sheet for other rounds, not converting the notes in the second round, or other scenarios. Check the results to make sure they make sense to you.</t>
  </si>
  <si>
    <t>v2.3</t>
  </si>
  <si>
    <t>Cap Table: Reorganized the assumptions layout to bring them in line with the Cap Table, deleting the Assumptions sheet and bringing them into the Cap Table sheet.. Why? I think in practice it is better - in this case - to bring the assumptions closer to the cap table. The cap table always involved a bit of manual inputs around the investments per investor, and previously it took a bit of back and forth between the sheets to adjust the inputs.This also makes it the same, structurally, as the instructional sheets, which I always like using as my base when I build custom cap tables. Reorganizing the inputs makes it a little less "plug and play", but I don't think cap tables are ever plug and play, so removing the sheen makes this a bit more usable, in my opinion.</t>
  </si>
  <si>
    <t>Exit Waterfall: both Exit Waterfall sheets were edited to remove the circular references introduced in v2.2. No changes to the calcs, just changed the structure so that everyone doesn't have to see the circular references until they are actually needed based on the inputs and options used.</t>
  </si>
  <si>
    <t>Instructional Sheets: Little edits throughout, more notes. Added "Fully Diluted" to all the Convertible instructional sheets to match the main cap table, and because it's important to show fully-diluted. Added a sheet to show the combination of an option pool and convertible issuance (and conversion).</t>
  </si>
  <si>
    <t>Cap Table: Just a note: Previously, this tool was the same cap table used in the Standard Model. However, going forward, the Standard Model will use a simplified structure for its cap table. The reason is that I don't always advocate for including a detailed cap table in the Standard Model, and it created an additional layer of compleity that was not always necessary in a forecast model. The simplified structure in the Standard Model can be used with this more detailed Cap Table model if desired, contact hello@foresight.is with any questions.</t>
  </si>
  <si>
    <t>v2.2</t>
  </si>
  <si>
    <t>4 - Exit Waterfall Distribution and Exit Waterfall: Fixed the test for "Convert to Common?" for all classes of shareholders to adjust the participating preferred with a cap option. Previously, at lower exit valuations, it was not allocating participation above the liquidation preference, replaced the test conditions with a new test; instead of testing to see if the implied proceeds if convert to common is &gt; the liquidation preference, it tests to see if there is leftover residual to allocate, by testing for the leftover residual at this stage after liquidation preferences from all shareholder classes. That's a long explanation, but I provide it just for context, it's a fairly simple edit to the formula, just change it for each "Convert to Common?" line on both of those sheets.</t>
  </si>
  <si>
    <t>v2.1</t>
  </si>
  <si>
    <t>3 - Conversion, All: Edited Y18 on Conversion, Premoney, Conversion, % Invested, and Conversion, $ Invested, to sum all the % ownerships in that column. Previously it missed the ownership of the last row in those columns. No impact to $ calcs, just the presentation of that %.</t>
  </si>
  <si>
    <t>v2.0</t>
  </si>
  <si>
    <t>New version! Completely rebuilt from the ground-up to accomplish a couple key goals:</t>
  </si>
  <si>
    <t>A better instructional tool.</t>
  </si>
  <si>
    <t>The previous cap table was a good tool to use, but not a great tool if you wanted to understand how everything worked so you could build your own. With this model, I've tried to build this so that it would be a much better instructional tool, and I've done that by building in a number of additional sheets that show specific examples so that you can unpack the formulas and the methdologies in each situation.</t>
  </si>
  <si>
    <t>More flexible and easier to edit.</t>
  </si>
  <si>
    <t>The core tool - the Cap Table sheet - is analogous to the Cap Table in the original Cap Table model, in that it aims to allow users to specify a number of specifics about each round and fully model all (or almost all) situations. This tool adds in more flexibility with a structure that makes it easier to add in lines for additional shareholders, makes it easy to add in convertible instruments in any round (the previous tool only allowed for convertibles in the first fundraising round), and is all around easier to understand.</t>
  </si>
  <si>
    <t>More flexible conversion of convertible instruments.</t>
  </si>
  <si>
    <t>The previous cap table had a fundamental assumption - noted but perhaps not clear - that the note or SAFE conversions were done using the premoney method. In real life, there are multiple methods for converting a note, and this new version builds in the options for convertibles to be converted using the percentage ownership and dollars invested methods. Simply select the method in the dropdown, and the calculations - as well as the cells labeled as inputs - will change.</t>
  </si>
  <si>
    <t>A much clearer waterfall detail.</t>
  </si>
  <si>
    <t>The previous cap table had a formula that was the most complex I have ever built, which I'm both proud and disgusted by, simply because it was also the most incomprehensible formula I have ever built, and it is completely impossible for anyone to really unpack and understand how it works. In this version, that formula is gone, replaced with several lines and columns that unpack the formula and also provide more transparency into how the waterfall is calculated.</t>
  </si>
  <si>
    <t>More waterfall returns analysis.</t>
  </si>
  <si>
    <t>I also wanted to create a waterfall that showed the distribution to investors over a range of sales prices, rather than just one single exit value. Done. Coming soon I expect to add on IRRs for each investor.</t>
  </si>
  <si>
    <t>There's a couple limitations in the models.</t>
  </si>
  <si>
    <t>a) Implictly assumes that any unconverted notes or SAFE instruments convert in the next round that is an equity round, essentially assuming that it is a qualified financing. This can be changed by overwriting the conversion amount in any round.</t>
  </si>
  <si>
    <t>b) If a unique shareholder holds multiple types of stock (common, preferred) then they are better entered as two separate lines, one for each respective class of stock.</t>
  </si>
  <si>
    <t>c) Anti-dilution protections for down round scenarios are not built in.</t>
  </si>
  <si>
    <t>d) The waterfall assumes each round using preferred instruments are senior to the preferred instruments of the previous round. If there are multiple preferred share classes offered in a round, you would need to edit the waterfall.</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</si>
</sst>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_);(#,##0);_(&quot;-&quot;_);_(@_)"/>
    <numFmt numFmtId="165" formatCode="#,##0.0000_);(#,##0.0000);_(&quot;-&quot;_);_(@_)"/>
    <numFmt numFmtId="166" formatCode="0.0000"/>
    <numFmt numFmtId="167" formatCode="m/d/yyyy"/>
    <numFmt numFmtId="168" formatCode="#,##0.0000"/>
    <numFmt numFmtId="169" formatCode="#,##0.00_);(#,##0.00);_(&quot;-&quot;_);_(@_)"/>
    <numFmt numFmtId="170" formatCode="_(&quot;$&quot;* #,##0.00_);_(&quot;$&quot;* \(#,##0.00\);_(&quot;$&quot;* &quot;-&quot;??_);_(@_)"/>
    <numFmt numFmtId="171" formatCode="0.0%"/>
    <numFmt numFmtId="172" formatCode="_(* #,##0.0_);_(* \(#,##0.0\);_(* &quot;-&quot;??_);_(@_)"/>
    <numFmt numFmtId="173" formatCode="_(* #,##0_);_(* \(#,##0\);_(* &quot;-&quot;??_);_(@_)"/>
    <numFmt numFmtId="174" formatCode="_([$£-809]* #,##0.00_);_([$£-809]* \(#,##0.00\);_([$£-809]* &quot;-&quot;??_);_(@_)"/>
    <numFmt numFmtId="175" formatCode="0.000"/>
  </numFmts>
  <fonts count="35">
    <font>
      <sz val="10.0"/>
      <color rgb="FF000000"/>
      <name val="Arial"/>
      <scheme val="minor"/>
    </font>
    <font>
      <b/>
      <sz val="14.0"/>
      <color theme="1"/>
      <name val="Arial"/>
      <scheme val="minor"/>
    </font>
    <font>
      <color rgb="FF000000"/>
      <name val="Arial"/>
      <scheme val="minor"/>
    </font>
    <font>
      <b/>
      <color theme="1"/>
      <name val="Arial"/>
      <scheme val="minor"/>
    </font>
    <font>
      <color rgb="FF000000"/>
    </font>
    <font>
      <color theme="1"/>
      <name val="Arial"/>
      <scheme val="minor"/>
    </font>
    <font>
      <u/>
      <color rgb="FF0000FF"/>
    </font>
    <font>
      <b/>
      <sz val="12.0"/>
      <color theme="1"/>
      <name val="Arial"/>
      <scheme val="minor"/>
    </font>
    <font>
      <i/>
      <sz val="10.0"/>
      <color rgb="FF000000"/>
      <name val="&quot;Avenir Book&quot;"/>
    </font>
    <font>
      <sz val="10.0"/>
      <color rgb="FF666666"/>
      <name val="Arial"/>
    </font>
    <font>
      <sz val="10.0"/>
      <color rgb="FF000000"/>
      <name val="&quot;Avenir Book&quot;"/>
    </font>
    <font>
      <color rgb="FF000000"/>
      <name val="Arial"/>
    </font>
    <font>
      <color rgb="FF666666"/>
      <name val="Arial"/>
      <scheme val="minor"/>
    </font>
    <font>
      <color rgb="FFFFFFFF"/>
      <name val="Arial"/>
      <scheme val="minor"/>
    </font>
    <font>
      <color theme="0"/>
      <name val="Arial"/>
      <scheme val="minor"/>
    </font>
    <font>
      <color theme="1"/>
      <name val="Arial"/>
    </font>
    <font>
      <sz val="8.0"/>
      <color theme="1"/>
      <name val="Arial"/>
      <scheme val="minor"/>
    </font>
    <font>
      <b/>
      <color theme="1"/>
      <name val="Arial"/>
    </font>
    <font>
      <color rgb="FF0000FF"/>
      <name val="Arial"/>
    </font>
    <font>
      <color rgb="FF0000FF"/>
      <name val="Arial"/>
      <scheme val="minor"/>
    </font>
    <font>
      <i/>
      <color theme="1"/>
      <name val="Arial"/>
      <scheme val="minor"/>
    </font>
    <font>
      <color theme="1"/>
      <name val="Calibri"/>
    </font>
    <font>
      <i/>
      <color theme="1"/>
      <name val="Arial"/>
    </font>
    <font>
      <sz val="7.0"/>
      <color theme="1"/>
      <name val="Arial"/>
      <scheme val="minor"/>
    </font>
    <font>
      <sz val="10.0"/>
      <color rgb="FF0000FF"/>
      <name val="Arial"/>
      <scheme val="minor"/>
    </font>
    <font>
      <sz val="10.0"/>
      <color theme="1"/>
      <name val="Arial"/>
      <scheme val="minor"/>
    </font>
    <font>
      <i/>
      <sz val="10.0"/>
      <color theme="1"/>
      <name val="Arial"/>
      <scheme val="minor"/>
    </font>
    <font>
      <u/>
      <color rgb="FF0000FF"/>
    </font>
    <font>
      <b/>
      <sz val="14.0"/>
      <color theme="1"/>
      <name val="Arial"/>
    </font>
    <font>
      <color rgb="FF666666"/>
      <name val="Arial"/>
    </font>
    <font>
      <u/>
      <color rgb="FF0000FF"/>
      <name val="Arial"/>
    </font>
    <font>
      <u/>
      <color rgb="FF1155CC"/>
      <name val="Arial"/>
    </font>
    <font>
      <u/>
      <color rgb="FF1155CC"/>
      <name val="Arial"/>
    </font>
    <font>
      <u/>
      <color rgb="FF1155CC"/>
      <name val="Arial"/>
    </font>
    <font>
      <u/>
      <color rgb="FF0000FF"/>
    </font>
  </fonts>
  <fills count="6">
    <fill>
      <patternFill patternType="none"/>
    </fill>
    <fill>
      <patternFill patternType="lightGray"/>
    </fill>
    <fill>
      <patternFill patternType="solid">
        <fgColor theme="7"/>
        <bgColor theme="7"/>
      </patternFill>
    </fill>
    <fill>
      <patternFill patternType="solid">
        <fgColor rgb="FFF3F3F3"/>
        <bgColor rgb="FFF3F3F3"/>
      </patternFill>
    </fill>
    <fill>
      <patternFill patternType="solid">
        <fgColor rgb="FFEFEFEF"/>
        <bgColor rgb="FFEFEFEF"/>
      </patternFill>
    </fill>
    <fill>
      <patternFill patternType="solid">
        <fgColor rgb="FFF2F2F2"/>
        <bgColor rgb="FFF2F2F2"/>
      </patternFill>
    </fill>
  </fills>
  <borders count="6">
    <border/>
    <border>
      <bottom style="thin">
        <color rgb="FF000000"/>
      </bottom>
    </border>
    <border>
      <top style="thin">
        <color rgb="FF000000"/>
      </top>
    </border>
    <border>
      <right/>
    </border>
    <border>
      <right/>
      <bottom style="thin">
        <color rgb="FF000000"/>
      </bottom>
    </border>
    <border>
      <left/>
      <right/>
      <top/>
      <bottom/>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vertical="top" wrapText="1"/>
    </xf>
    <xf borderId="0" fillId="0" fontId="2"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3" numFmtId="0" xfId="0" applyAlignment="1" applyFont="1">
      <alignment readingOrder="0" shrinkToFit="0" vertical="top" wrapText="1"/>
    </xf>
    <xf borderId="0" fillId="0" fontId="6"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7" numFmtId="0" xfId="0" applyAlignment="1" applyFont="1">
      <alignment readingOrder="0" shrinkToFit="0" vertical="top" wrapText="1"/>
    </xf>
    <xf borderId="0" fillId="0" fontId="5" numFmtId="0" xfId="0" applyAlignment="1" applyFont="1">
      <alignment readingOrder="0" vertical="top"/>
    </xf>
    <xf borderId="0" fillId="0" fontId="2"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readingOrder="0"/>
    </xf>
    <xf borderId="0" fillId="0" fontId="5" numFmtId="0" xfId="0" applyAlignment="1" applyFont="1">
      <alignment readingOrder="0" shrinkToFit="0" vertical="top" wrapText="1"/>
    </xf>
    <xf borderId="0" fillId="0" fontId="8" numFmtId="0" xfId="0" applyAlignment="1" applyFont="1">
      <alignment readingOrder="0" shrinkToFit="0" vertical="bottom" wrapText="1"/>
    </xf>
    <xf borderId="0" fillId="0" fontId="9" numFmtId="0" xfId="0" applyAlignment="1" applyFont="1">
      <alignment readingOrder="0" shrinkToFit="0" vertical="bottom"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5" numFmtId="164" xfId="0" applyFont="1" applyNumberFormat="1"/>
    <xf borderId="0" fillId="0" fontId="11" numFmtId="0" xfId="0" applyAlignment="1" applyFont="1">
      <alignment readingOrder="0" shrinkToFit="0" vertical="bottom" wrapText="0"/>
    </xf>
    <xf borderId="0" fillId="0" fontId="12" numFmtId="0" xfId="0" applyAlignment="1" applyFont="1">
      <alignment readingOrder="0"/>
    </xf>
    <xf borderId="0" fillId="2" fontId="13" numFmtId="0" xfId="0" applyAlignment="1" applyFill="1" applyFont="1">
      <alignment readingOrder="0"/>
    </xf>
    <xf borderId="0" fillId="2" fontId="14" numFmtId="0" xfId="0" applyFont="1"/>
    <xf borderId="0" fillId="2" fontId="14" numFmtId="164" xfId="0" applyFont="1" applyNumberFormat="1"/>
    <xf borderId="0" fillId="0" fontId="5" numFmtId="0" xfId="0" applyAlignment="1" applyFont="1">
      <alignment shrinkToFit="0" wrapText="1"/>
    </xf>
    <xf borderId="1" fillId="0" fontId="5" numFmtId="0" xfId="0" applyAlignment="1" applyBorder="1" applyFont="1">
      <alignment horizontal="left" readingOrder="0" shrinkToFit="0" wrapText="1"/>
    </xf>
    <xf borderId="1" fillId="0" fontId="5" numFmtId="0" xfId="0" applyAlignment="1" applyBorder="1" applyFont="1">
      <alignment horizontal="center" readingOrder="0" shrinkToFit="0" wrapText="1"/>
    </xf>
    <xf borderId="1" fillId="0" fontId="5" numFmtId="164" xfId="0" applyAlignment="1" applyBorder="1" applyFont="1" applyNumberFormat="1">
      <alignment horizontal="center" readingOrder="0" shrinkToFit="0" wrapText="1"/>
    </xf>
    <xf borderId="0" fillId="0" fontId="15" numFmtId="0" xfId="0" applyAlignment="1" applyFont="1">
      <alignment readingOrder="0"/>
    </xf>
    <xf borderId="0" fillId="0" fontId="16" numFmtId="164" xfId="0" applyAlignment="1" applyFont="1" applyNumberFormat="1">
      <alignment horizontal="center" readingOrder="0" vertical="center"/>
    </xf>
    <xf borderId="0" fillId="0" fontId="16" numFmtId="164" xfId="0" applyAlignment="1" applyFont="1" applyNumberFormat="1">
      <alignment horizontal="left" readingOrder="0" vertical="center"/>
    </xf>
    <xf borderId="0" fillId="0" fontId="17" numFmtId="164" xfId="0" applyAlignment="1" applyFont="1" applyNumberFormat="1">
      <alignment horizontal="left" readingOrder="0" vertical="bottom"/>
    </xf>
    <xf borderId="0" fillId="0" fontId="15" numFmtId="164" xfId="0" applyAlignment="1" applyFont="1" applyNumberFormat="1">
      <alignment horizontal="right" vertical="bottom"/>
    </xf>
    <xf borderId="0" fillId="0" fontId="15" numFmtId="164" xfId="0" applyAlignment="1" applyFont="1" applyNumberFormat="1">
      <alignment horizontal="right" vertical="bottom"/>
    </xf>
    <xf borderId="0" fillId="0" fontId="15" numFmtId="10" xfId="0" applyAlignment="1" applyFont="1" applyNumberFormat="1">
      <alignment horizontal="right" vertical="bottom"/>
    </xf>
    <xf borderId="0" fillId="3" fontId="18" numFmtId="164" xfId="0" applyAlignment="1" applyFill="1" applyFont="1" applyNumberFormat="1">
      <alignment horizontal="left" readingOrder="0" vertical="bottom"/>
    </xf>
    <xf borderId="0" fillId="3" fontId="18" numFmtId="164" xfId="0" applyAlignment="1" applyFont="1" applyNumberFormat="1">
      <alignment horizontal="right" readingOrder="0" vertical="bottom"/>
    </xf>
    <xf borderId="0" fillId="3" fontId="18" numFmtId="164" xfId="0" applyAlignment="1" applyFont="1" applyNumberFormat="1">
      <alignment horizontal="right" vertical="bottom"/>
    </xf>
    <xf borderId="0" fillId="3" fontId="19" numFmtId="164" xfId="0" applyAlignment="1" applyFont="1" applyNumberFormat="1">
      <alignment readingOrder="0"/>
    </xf>
    <xf borderId="0" fillId="0" fontId="5" numFmtId="164" xfId="0" applyAlignment="1" applyFont="1" applyNumberFormat="1">
      <alignment readingOrder="0"/>
    </xf>
    <xf borderId="0" fillId="0" fontId="5" numFmtId="164" xfId="0" applyFont="1" applyNumberFormat="1"/>
    <xf borderId="0" fillId="0" fontId="15" numFmtId="164" xfId="0" applyAlignment="1" applyFont="1" applyNumberFormat="1">
      <alignment vertical="bottom"/>
    </xf>
    <xf borderId="0" fillId="0" fontId="15" numFmtId="164" xfId="0" applyAlignment="1" applyFont="1" applyNumberFormat="1">
      <alignment horizontal="left" readingOrder="0" vertical="bottom"/>
    </xf>
    <xf borderId="0" fillId="0" fontId="5" numFmtId="10" xfId="0" applyFont="1" applyNumberFormat="1"/>
    <xf borderId="0" fillId="3" fontId="19" numFmtId="164" xfId="0" applyAlignment="1" applyFont="1" applyNumberFormat="1">
      <alignment readingOrder="0"/>
    </xf>
    <xf borderId="2" fillId="0" fontId="5" numFmtId="0" xfId="0" applyAlignment="1" applyBorder="1" applyFont="1">
      <alignment readingOrder="0"/>
    </xf>
    <xf borderId="2" fillId="0" fontId="15" numFmtId="164" xfId="0" applyAlignment="1" applyBorder="1" applyFont="1" applyNumberFormat="1">
      <alignment horizontal="right" vertical="bottom"/>
    </xf>
    <xf borderId="2" fillId="0" fontId="5" numFmtId="10" xfId="0" applyBorder="1" applyFont="1" applyNumberFormat="1"/>
    <xf borderId="0" fillId="0" fontId="5" numFmtId="10" xfId="0" applyAlignment="1" applyFont="1" applyNumberFormat="1">
      <alignment readingOrder="0"/>
    </xf>
    <xf borderId="0" fillId="0" fontId="5" numFmtId="165" xfId="0" applyFont="1" applyNumberFormat="1"/>
    <xf borderId="0" fillId="0" fontId="5" numFmtId="4" xfId="0" applyAlignment="1" applyFont="1" applyNumberFormat="1">
      <alignment readingOrder="0"/>
    </xf>
    <xf borderId="0" fillId="0" fontId="5" numFmtId="166" xfId="0" applyFont="1" applyNumberFormat="1"/>
    <xf borderId="1" fillId="0" fontId="20" numFmtId="4" xfId="0" applyAlignment="1" applyBorder="1" applyFont="1" applyNumberFormat="1">
      <alignment readingOrder="0"/>
    </xf>
    <xf borderId="1" fillId="0" fontId="5" numFmtId="164" xfId="0" applyBorder="1" applyFont="1" applyNumberFormat="1"/>
    <xf borderId="1" fillId="0" fontId="5" numFmtId="0" xfId="0" applyAlignment="1" applyBorder="1" applyFont="1">
      <alignment readingOrder="0"/>
    </xf>
    <xf borderId="1" fillId="0" fontId="5" numFmtId="0" xfId="0" applyBorder="1" applyFont="1"/>
    <xf borderId="0" fillId="3" fontId="19" numFmtId="164" xfId="0" applyAlignment="1" applyFont="1" applyNumberFormat="1">
      <alignment horizontal="right" readingOrder="0"/>
    </xf>
    <xf borderId="0" fillId="3" fontId="19" numFmtId="167" xfId="0" applyAlignment="1" applyFont="1" applyNumberFormat="1">
      <alignment readingOrder="0"/>
    </xf>
    <xf borderId="0" fillId="0" fontId="20" numFmtId="0" xfId="0" applyAlignment="1" applyFont="1">
      <alignment readingOrder="0"/>
    </xf>
    <xf borderId="1" fillId="0" fontId="20" numFmtId="0" xfId="0" applyAlignment="1" applyBorder="1" applyFont="1">
      <alignment readingOrder="0"/>
    </xf>
    <xf borderId="3" fillId="0" fontId="15" numFmtId="0" xfId="0" applyAlignment="1" applyBorder="1" applyFont="1">
      <alignment readingOrder="0" shrinkToFit="0" vertical="bottom" wrapText="0"/>
    </xf>
    <xf borderId="0" fillId="0" fontId="21" numFmtId="0" xfId="0" applyAlignment="1" applyFont="1">
      <alignment vertical="bottom"/>
    </xf>
    <xf borderId="0" fillId="3" fontId="19" numFmtId="164" xfId="0" applyAlignment="1" applyFont="1" applyNumberFormat="1">
      <alignment horizontal="left" readingOrder="0"/>
    </xf>
    <xf borderId="0" fillId="0" fontId="5" numFmtId="0" xfId="0" applyAlignment="1" applyFont="1">
      <alignment horizontal="center" readingOrder="0" shrinkToFit="0" wrapText="1"/>
    </xf>
    <xf borderId="0" fillId="0" fontId="5" numFmtId="164" xfId="0" applyAlignment="1" applyFont="1" applyNumberFormat="1">
      <alignment horizontal="center" readingOrder="0" shrinkToFit="0" wrapText="1"/>
    </xf>
    <xf borderId="0" fillId="3" fontId="18" numFmtId="9" xfId="0" applyAlignment="1" applyFont="1" applyNumberFormat="1">
      <alignment horizontal="right" readingOrder="0" vertical="bottom"/>
    </xf>
    <xf borderId="0" fillId="3" fontId="18" numFmtId="9" xfId="0" applyAlignment="1" applyFont="1" applyNumberFormat="1">
      <alignment horizontal="right" vertical="bottom"/>
    </xf>
    <xf borderId="0" fillId="0" fontId="5" numFmtId="168" xfId="0" applyAlignment="1" applyFont="1" applyNumberFormat="1">
      <alignment readingOrder="0"/>
    </xf>
    <xf borderId="0" fillId="0" fontId="15" numFmtId="169" xfId="0" applyAlignment="1" applyFont="1" applyNumberFormat="1">
      <alignment horizontal="right" vertical="bottom"/>
    </xf>
    <xf borderId="0" fillId="3" fontId="19" numFmtId="9" xfId="0" applyAlignment="1" applyFont="1" applyNumberFormat="1">
      <alignment readingOrder="0"/>
    </xf>
    <xf borderId="2" fillId="0" fontId="5" numFmtId="0" xfId="0" applyBorder="1" applyFont="1"/>
    <xf borderId="2" fillId="0" fontId="5" numFmtId="164" xfId="0" applyAlignment="1" applyBorder="1" applyFont="1" applyNumberFormat="1">
      <alignment readingOrder="0"/>
    </xf>
    <xf borderId="2" fillId="0" fontId="5" numFmtId="164" xfId="0" applyBorder="1" applyFont="1" applyNumberFormat="1"/>
    <xf borderId="2" fillId="0" fontId="5" numFmtId="164" xfId="0" applyAlignment="1" applyBorder="1" applyFont="1" applyNumberFormat="1">
      <alignment readingOrder="0"/>
    </xf>
    <xf borderId="2" fillId="0" fontId="5" numFmtId="168" xfId="0" applyAlignment="1" applyBorder="1" applyFont="1" applyNumberFormat="1">
      <alignment readingOrder="0"/>
    </xf>
    <xf borderId="2" fillId="0" fontId="5" numFmtId="169" xfId="0" applyAlignment="1" applyBorder="1" applyFont="1" applyNumberFormat="1">
      <alignment readingOrder="0"/>
    </xf>
    <xf borderId="0" fillId="0" fontId="5" numFmtId="164" xfId="0" applyAlignment="1" applyFont="1" applyNumberFormat="1">
      <alignment readingOrder="0"/>
    </xf>
    <xf borderId="4" fillId="0" fontId="22" numFmtId="0" xfId="0" applyAlignment="1" applyBorder="1" applyFont="1">
      <alignment readingOrder="0" shrinkToFit="0" vertical="bottom" wrapText="0"/>
    </xf>
    <xf borderId="1" fillId="0" fontId="21" numFmtId="0" xfId="0" applyAlignment="1" applyBorder="1" applyFont="1">
      <alignment vertical="bottom"/>
    </xf>
    <xf borderId="1" fillId="0" fontId="21" numFmtId="3" xfId="0" applyAlignment="1" applyBorder="1" applyFont="1" applyNumberFormat="1">
      <alignment vertical="bottom"/>
    </xf>
    <xf borderId="3" fillId="0" fontId="15" numFmtId="0" xfId="0" applyAlignment="1" applyBorder="1" applyFont="1">
      <alignment shrinkToFit="0" vertical="bottom" wrapText="0"/>
    </xf>
    <xf borderId="0" fillId="4" fontId="18" numFmtId="0" xfId="0" applyAlignment="1" applyFill="1" applyFont="1">
      <alignment horizontal="right" readingOrder="0" vertical="bottom"/>
    </xf>
    <xf borderId="3" fillId="0" fontId="15" numFmtId="3" xfId="0" applyAlignment="1" applyBorder="1" applyFont="1" applyNumberFormat="1">
      <alignment shrinkToFit="0" vertical="bottom" wrapText="0"/>
    </xf>
    <xf borderId="0" fillId="0" fontId="5" numFmtId="170" xfId="0" applyFont="1" applyNumberFormat="1"/>
    <xf borderId="0" fillId="0" fontId="1" numFmtId="170" xfId="0" applyAlignment="1" applyFont="1" applyNumberFormat="1">
      <alignment readingOrder="0"/>
    </xf>
    <xf borderId="0" fillId="0" fontId="12" numFmtId="170" xfId="0" applyAlignment="1" applyFont="1" applyNumberFormat="1">
      <alignment readingOrder="0"/>
    </xf>
    <xf borderId="0" fillId="0" fontId="5" numFmtId="0" xfId="0" applyAlignment="1" applyFont="1">
      <alignment shrinkToFit="0" wrapText="0"/>
    </xf>
    <xf borderId="0" fillId="0" fontId="22" numFmtId="170" xfId="0" applyAlignment="1" applyFont="1" applyNumberFormat="1">
      <alignment readingOrder="0" shrinkToFit="0" vertical="bottom" wrapText="0"/>
    </xf>
    <xf borderId="0" fillId="0" fontId="15" numFmtId="0" xfId="0" applyAlignment="1" applyFont="1">
      <alignment shrinkToFit="0" vertical="bottom" wrapText="0"/>
    </xf>
    <xf borderId="0" fillId="0" fontId="5" numFmtId="0" xfId="0" applyAlignment="1" applyFont="1">
      <alignment readingOrder="0" shrinkToFit="0" wrapText="0"/>
    </xf>
    <xf borderId="0" fillId="0" fontId="15" numFmtId="0" xfId="0" applyAlignment="1" applyFont="1">
      <alignment horizontal="right" shrinkToFit="0" vertical="bottom" wrapText="0"/>
    </xf>
    <xf borderId="0" fillId="0" fontId="15" numFmtId="170" xfId="0" applyAlignment="1" applyFont="1" applyNumberFormat="1">
      <alignment readingOrder="0" shrinkToFit="0" vertical="bottom" wrapText="0"/>
    </xf>
    <xf borderId="0" fillId="0" fontId="15" numFmtId="0" xfId="0" applyAlignment="1" applyFont="1">
      <alignment horizontal="right" readingOrder="0" shrinkToFit="0" vertical="bottom" wrapText="0"/>
    </xf>
    <xf borderId="1" fillId="0" fontId="15" numFmtId="170" xfId="0" applyAlignment="1" applyBorder="1" applyFont="1" applyNumberFormat="1">
      <alignment readingOrder="0" shrinkToFit="0" vertical="bottom" wrapText="1"/>
    </xf>
    <xf borderId="1" fillId="0" fontId="15" numFmtId="0" xfId="0" applyAlignment="1" applyBorder="1" applyFont="1">
      <alignment vertical="bottom"/>
    </xf>
    <xf borderId="1" fillId="0" fontId="5" numFmtId="0" xfId="0" applyAlignment="1" applyBorder="1" applyFont="1">
      <alignment horizontal="left" readingOrder="0"/>
    </xf>
    <xf borderId="1" fillId="0" fontId="15" numFmtId="0" xfId="0" applyAlignment="1" applyBorder="1" applyFont="1">
      <alignment horizontal="right" shrinkToFit="0" vertical="bottom" wrapText="1"/>
    </xf>
    <xf borderId="1" fillId="0" fontId="15" numFmtId="0" xfId="0" applyAlignment="1" applyBorder="1" applyFont="1">
      <alignment horizontal="center" readingOrder="0" shrinkToFit="0" vertical="bottom" wrapText="1"/>
    </xf>
    <xf borderId="1" fillId="0" fontId="15" numFmtId="0" xfId="0" applyAlignment="1" applyBorder="1" applyFont="1">
      <alignment horizontal="left" readingOrder="0" shrinkToFit="0" vertical="bottom" wrapText="1"/>
    </xf>
    <xf borderId="1" fillId="0" fontId="15" numFmtId="0" xfId="0" applyAlignment="1" applyBorder="1" applyFont="1">
      <alignment horizontal="right" readingOrder="0" shrinkToFit="0" vertical="bottom" wrapText="1"/>
    </xf>
    <xf borderId="0" fillId="0" fontId="16" numFmtId="0" xfId="0" applyAlignment="1" applyFont="1">
      <alignment horizontal="center" readingOrder="0" vertical="top"/>
    </xf>
    <xf borderId="0" fillId="0" fontId="23" numFmtId="0" xfId="0" applyAlignment="1" applyFont="1">
      <alignment horizontal="center" readingOrder="0" vertical="top"/>
    </xf>
    <xf borderId="5" fillId="5" fontId="24" numFmtId="170" xfId="0" applyAlignment="1" applyBorder="1" applyFill="1" applyFont="1" applyNumberFormat="1">
      <alignment readingOrder="0"/>
    </xf>
    <xf borderId="5" fillId="5" fontId="24" numFmtId="164" xfId="0" applyAlignment="1" applyBorder="1" applyFont="1" applyNumberFormat="1">
      <alignment readingOrder="0"/>
    </xf>
    <xf borderId="5" fillId="5" fontId="24" numFmtId="169" xfId="0" applyAlignment="1" applyBorder="1" applyFont="1" applyNumberFormat="1">
      <alignment readingOrder="0"/>
    </xf>
    <xf borderId="0" fillId="0" fontId="5" numFmtId="171" xfId="0" applyFont="1" applyNumberFormat="1"/>
    <xf borderId="0" fillId="5" fontId="24" numFmtId="4" xfId="0" applyAlignment="1" applyFont="1" applyNumberFormat="1">
      <alignment readingOrder="0"/>
    </xf>
    <xf borderId="0" fillId="0" fontId="5" numFmtId="0" xfId="0" applyFont="1"/>
    <xf borderId="5" fillId="5" fontId="24" numFmtId="172" xfId="0" applyAlignment="1" applyBorder="1" applyFont="1" applyNumberFormat="1">
      <alignment horizontal="left" readingOrder="0"/>
    </xf>
    <xf borderId="5" fillId="5" fontId="24" numFmtId="172" xfId="0" applyAlignment="1" applyBorder="1" applyFont="1" applyNumberFormat="1">
      <alignment readingOrder="0"/>
    </xf>
    <xf borderId="5" fillId="5" fontId="24" numFmtId="171" xfId="0" applyBorder="1" applyFont="1" applyNumberFormat="1"/>
    <xf borderId="5" fillId="5" fontId="24" numFmtId="14" xfId="0" applyAlignment="1" applyBorder="1" applyFont="1" applyNumberFormat="1">
      <alignment horizontal="right"/>
    </xf>
    <xf borderId="5" fillId="5" fontId="24" numFmtId="164" xfId="0" applyAlignment="1" applyBorder="1" applyFont="1" applyNumberFormat="1">
      <alignment readingOrder="0"/>
    </xf>
    <xf borderId="2" fillId="0" fontId="5" numFmtId="170" xfId="0" applyAlignment="1" applyBorder="1" applyFont="1" applyNumberFormat="1">
      <alignment readingOrder="0"/>
    </xf>
    <xf borderId="2" fillId="0" fontId="5" numFmtId="173" xfId="0" applyAlignment="1" applyBorder="1" applyFont="1" applyNumberFormat="1">
      <alignment horizontal="left" readingOrder="0" shrinkToFit="0" wrapText="1"/>
    </xf>
    <xf borderId="2" fillId="0" fontId="5" numFmtId="171" xfId="0" applyBorder="1" applyFont="1" applyNumberFormat="1"/>
    <xf borderId="0" fillId="0" fontId="15" numFmtId="174" xfId="0" applyAlignment="1" applyFont="1" applyNumberFormat="1">
      <alignment vertical="bottom"/>
    </xf>
    <xf borderId="0" fillId="3" fontId="19" numFmtId="173" xfId="0" applyAlignment="1" applyFont="1" applyNumberFormat="1">
      <alignment horizontal="left" readingOrder="0" shrinkToFit="0" wrapText="1"/>
    </xf>
    <xf borderId="0" fillId="0" fontId="15" numFmtId="174" xfId="0" applyAlignment="1" applyFont="1" applyNumberFormat="1">
      <alignment readingOrder="0" vertical="bottom"/>
    </xf>
    <xf borderId="0" fillId="0" fontId="5" numFmtId="173" xfId="0" applyAlignment="1" applyFont="1" applyNumberFormat="1">
      <alignment horizontal="left" readingOrder="0" shrinkToFit="0" wrapText="1"/>
    </xf>
    <xf borderId="2" fillId="0" fontId="5" numFmtId="173" xfId="0" applyBorder="1" applyFont="1" applyNumberFormat="1"/>
    <xf borderId="0" fillId="0" fontId="5" numFmtId="170" xfId="0" applyAlignment="1" applyFont="1" applyNumberFormat="1">
      <alignment readingOrder="0"/>
    </xf>
    <xf borderId="0" fillId="0" fontId="25" numFmtId="174" xfId="0" applyAlignment="1" applyFont="1" applyNumberFormat="1">
      <alignment readingOrder="0"/>
    </xf>
    <xf borderId="0" fillId="0" fontId="26" numFmtId="174" xfId="0" applyAlignment="1" applyFont="1" applyNumberFormat="1">
      <alignment readingOrder="0"/>
    </xf>
    <xf borderId="0" fillId="0" fontId="5" numFmtId="173" xfId="0" applyAlignment="1" applyFont="1" applyNumberFormat="1">
      <alignment horizontal="left" readingOrder="0" shrinkToFit="0" wrapText="0"/>
    </xf>
    <xf borderId="0" fillId="0" fontId="27" numFmtId="0" xfId="0" applyAlignment="1" applyFont="1">
      <alignment readingOrder="0" shrinkToFit="0" wrapText="0"/>
    </xf>
    <xf borderId="0" fillId="0" fontId="25" numFmtId="174" xfId="0" applyAlignment="1" applyFont="1" applyNumberFormat="1">
      <alignment readingOrder="0" shrinkToFit="0" wrapText="0"/>
    </xf>
    <xf borderId="0" fillId="0" fontId="15" numFmtId="173" xfId="0" applyAlignment="1" applyFont="1" applyNumberFormat="1">
      <alignment vertical="bottom"/>
    </xf>
    <xf borderId="0" fillId="0" fontId="13" numFmtId="173" xfId="0" applyFont="1" applyNumberFormat="1"/>
    <xf borderId="0" fillId="0" fontId="13" numFmtId="174" xfId="0" applyFont="1" applyNumberFormat="1"/>
    <xf borderId="0" fillId="0" fontId="5" numFmtId="2" xfId="0" applyFont="1" applyNumberFormat="1"/>
    <xf borderId="0" fillId="0" fontId="13" numFmtId="173" xfId="0" applyAlignment="1" applyFont="1" applyNumberFormat="1">
      <alignment horizontal="left" readingOrder="0" shrinkToFit="0" wrapText="1"/>
    </xf>
    <xf borderId="0" fillId="3" fontId="19" numFmtId="10" xfId="0" applyAlignment="1" applyFont="1" applyNumberFormat="1">
      <alignment horizontal="right" readingOrder="0" shrinkToFit="0" wrapText="1"/>
    </xf>
    <xf borderId="0" fillId="0" fontId="20" numFmtId="170" xfId="0" applyAlignment="1" applyFont="1" applyNumberFormat="1">
      <alignment readingOrder="0"/>
    </xf>
    <xf borderId="0" fillId="0" fontId="5" numFmtId="10" xfId="0" applyAlignment="1" applyFont="1" applyNumberFormat="1">
      <alignment horizontal="right" readingOrder="0" shrinkToFit="0" wrapText="1"/>
    </xf>
    <xf borderId="0" fillId="0" fontId="5" numFmtId="173" xfId="0" applyAlignment="1" applyFont="1" applyNumberFormat="1">
      <alignment horizontal="right" readingOrder="0" shrinkToFit="0" wrapText="1"/>
    </xf>
    <xf borderId="0" fillId="0" fontId="5" numFmtId="0" xfId="0" applyAlignment="1" applyFont="1">
      <alignment horizontal="right" readingOrder="0"/>
    </xf>
    <xf borderId="5" fillId="5" fontId="24" numFmtId="171" xfId="0" applyAlignment="1" applyBorder="1" applyFont="1" applyNumberFormat="1">
      <alignment readingOrder="0"/>
    </xf>
    <xf borderId="0" fillId="0" fontId="5" numFmtId="0" xfId="0" applyAlignment="1" applyFont="1">
      <alignment readingOrder="0" shrinkToFit="0" wrapText="0"/>
    </xf>
    <xf borderId="0" fillId="0" fontId="15" numFmtId="0" xfId="0" applyAlignment="1" applyFont="1">
      <alignment vertical="bottom"/>
    </xf>
    <xf borderId="0" fillId="0" fontId="15" numFmtId="169" xfId="0" applyAlignment="1" applyFont="1" applyNumberFormat="1">
      <alignment horizontal="right" readingOrder="0" vertical="bottom"/>
    </xf>
    <xf borderId="0" fillId="3" fontId="18" numFmtId="169" xfId="0" applyAlignment="1" applyFont="1" applyNumberFormat="1">
      <alignment horizontal="right" readingOrder="0" vertical="bottom"/>
    </xf>
    <xf borderId="0" fillId="0" fontId="15" numFmtId="164" xfId="0" applyAlignment="1" applyFont="1" applyNumberFormat="1">
      <alignment horizontal="right" readingOrder="0" vertical="bottom"/>
    </xf>
    <xf borderId="2" fillId="0" fontId="15" numFmtId="169" xfId="0" applyAlignment="1" applyBorder="1" applyFont="1" applyNumberFormat="1">
      <alignment horizontal="right" vertical="bottom"/>
    </xf>
    <xf borderId="0" fillId="4" fontId="18" numFmtId="10" xfId="0" applyAlignment="1" applyFont="1" applyNumberFormat="1">
      <alignment horizontal="right" readingOrder="0" vertical="bottom"/>
    </xf>
    <xf borderId="1" fillId="0" fontId="22" numFmtId="0" xfId="0" applyAlignment="1" applyBorder="1" applyFont="1">
      <alignment readingOrder="0" shrinkToFit="0" vertical="bottom" wrapText="0"/>
    </xf>
    <xf borderId="0" fillId="3" fontId="18" numFmtId="169" xfId="0" applyAlignment="1" applyFont="1" applyNumberFormat="1">
      <alignment horizontal="left" readingOrder="0" vertical="bottom"/>
    </xf>
    <xf borderId="0" fillId="0" fontId="5" numFmtId="175" xfId="0" applyFont="1" applyNumberFormat="1"/>
    <xf borderId="0" fillId="0" fontId="28" numFmtId="0" xfId="0" applyAlignment="1" applyFont="1">
      <alignment vertical="bottom"/>
    </xf>
    <xf borderId="3" fillId="0" fontId="29" numFmtId="0" xfId="0" applyAlignment="1" applyBorder="1" applyFont="1">
      <alignment readingOrder="0" shrinkToFit="0" vertical="bottom" wrapText="0"/>
    </xf>
    <xf borderId="3" fillId="0" fontId="15" numFmtId="0" xfId="0" applyAlignment="1" applyBorder="1" applyFont="1">
      <alignment vertical="bottom"/>
    </xf>
    <xf borderId="0" fillId="0" fontId="15" numFmtId="0" xfId="0" applyAlignment="1" applyFont="1">
      <alignment vertical="bottom"/>
    </xf>
    <xf borderId="1" fillId="0" fontId="15" numFmtId="0" xfId="0" applyAlignment="1" applyBorder="1" applyFont="1">
      <alignment vertical="bottom"/>
    </xf>
    <xf borderId="0" fillId="0" fontId="15" numFmtId="0" xfId="0" applyAlignment="1" applyFont="1">
      <alignment readingOrder="0" shrinkToFit="0" vertical="top" wrapText="1"/>
    </xf>
    <xf borderId="0" fillId="0" fontId="30" numFmtId="0" xfId="0" applyAlignment="1" applyFont="1">
      <alignment readingOrder="0" vertical="top"/>
    </xf>
    <xf borderId="0" fillId="0" fontId="31" numFmtId="0" xfId="0" applyAlignment="1" applyFont="1">
      <alignment readingOrder="0" vertical="top"/>
    </xf>
    <xf borderId="0" fillId="0" fontId="15" numFmtId="0" xfId="0" applyAlignment="1" applyFont="1">
      <alignment shrinkToFit="0" vertical="top" wrapText="1"/>
    </xf>
    <xf borderId="0" fillId="0" fontId="32" numFmtId="0" xfId="0" applyAlignment="1" applyFont="1">
      <alignment vertical="top"/>
    </xf>
    <xf borderId="0" fillId="0" fontId="15" numFmtId="0" xfId="0" applyAlignment="1" applyFont="1">
      <alignment shrinkToFit="0" vertical="top" wrapText="1"/>
    </xf>
    <xf borderId="0" fillId="0" fontId="33" numFmtId="0" xfId="0" applyAlignment="1" applyFont="1">
      <alignment vertical="top"/>
    </xf>
    <xf borderId="0" fillId="0" fontId="34" numFmtId="0" xfId="0" applyAlignment="1" applyFont="1">
      <alignment readingOrder="0" shrinkToFit="0" vertical="top" wrapText="1"/>
    </xf>
    <xf borderId="0" fillId="0" fontId="5" numFmtId="0" xfId="0" applyAlignment="1" applyFont="1">
      <alignment horizontal="left"/>
    </xf>
    <xf borderId="0" fillId="0" fontId="5" numFmtId="0" xfId="0" applyAlignment="1" applyFont="1">
      <alignment horizontal="left" readingOrder="0" shrinkToFit="0" vertical="top" wrapText="1"/>
    </xf>
    <xf borderId="0" fillId="3" fontId="15" numFmtId="0" xfId="0" applyAlignment="1" applyFont="1">
      <alignment readingOrder="0" shrinkToFit="0" vertical="top" wrapText="1"/>
    </xf>
    <xf borderId="0" fillId="3" fontId="15" numFmtId="167" xfId="0" applyAlignment="1" applyFont="1" applyNumberFormat="1">
      <alignment horizontal="left" readingOrder="0" shrinkToFit="0" vertical="top" wrapText="1"/>
    </xf>
    <xf borderId="0" fillId="3" fontId="15" numFmtId="0" xfId="0" applyAlignment="1" applyFont="1">
      <alignment shrinkToFit="0" vertical="top" wrapText="1"/>
    </xf>
    <xf borderId="0" fillId="3" fontId="15" numFmtId="167" xfId="0" applyAlignment="1" applyFont="1" applyNumberFormat="1">
      <alignment horizontal="left" shrinkToFit="0" vertical="top" wrapText="1"/>
    </xf>
    <xf borderId="0" fillId="0" fontId="5" numFmtId="167" xfId="0" applyAlignment="1" applyFont="1" applyNumberFormat="1">
      <alignment horizontal="lef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horizontal="left" readingOrder="0" shrinkToFit="0" vertical="top" wrapText="1"/>
    </xf>
  </cellXfs>
  <cellStyles count="1">
    <cellStyle xfId="0" name="Normal" builtinId="0"/>
  </cellStyles>
  <dxfs count="4">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D0E0E3"/>
          <bgColor rgb="FFD0E0E3"/>
        </patternFill>
      </fill>
      <border/>
    </dxf>
  </dxfs>
  <tableStyles count="5">
    <tableStyle count="3" pivot="0" name="README-style">
      <tableStyleElement dxfId="1" type="headerRow"/>
      <tableStyleElement dxfId="2" type="firstRowStripe"/>
      <tableStyleElement dxfId="1" type="secondRowStripe"/>
    </tableStyle>
    <tableStyle count="3" pivot="0" name="README-style 2">
      <tableStyleElement dxfId="3" type="headerRow"/>
      <tableStyleElement dxfId="2" type="firstRowStripe"/>
      <tableStyleElement dxfId="3" type="secondRowStripe"/>
    </tableStyle>
    <tableStyle count="3" pivot="0" name="Resources-style">
      <tableStyleElement dxfId="1" type="headerRow"/>
      <tableStyleElement dxfId="2" type="firstRowStripe"/>
      <tableStyleElement dxfId="1" type="secondRowStripe"/>
    </tableStyle>
    <tableStyle count="3" pivot="0" name="Glossary-style">
      <tableStyleElement dxfId="1" type="headerRow"/>
      <tableStyleElement dxfId="2" type="firstRowStripe"/>
      <tableStyleElement dxfId="1" type="secondRowStripe"/>
    </tableStyle>
    <tableStyle count="3" pivot="0" name="Changelog-style">
      <tableStyleElement dxfId="2"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Proceeds</a:t>
            </a:r>
          </a:p>
        </c:rich>
      </c:tx>
      <c:overlay val="0"/>
    </c:title>
    <c:plotArea>
      <c:layout/>
      <c:barChart>
        <c:barDir val="col"/>
        <c:grouping val="percentStacked"/>
        <c:ser>
          <c:idx val="0"/>
          <c:order val="0"/>
          <c:tx>
            <c:strRef>
              <c:f>'Exit Waterfall'!$B$141</c:f>
            </c:strRef>
          </c:tx>
          <c:spPr>
            <a:solidFill>
              <a:schemeClr val="accent1"/>
            </a:solidFill>
            <a:ln cmpd="sng">
              <a:solidFill>
                <a:srgbClr val="000000"/>
              </a:solidFill>
            </a:ln>
          </c:spPr>
          <c:cat>
            <c:strRef>
              <c:f>'Exit Waterfall'!$C$140:$J$140</c:f>
            </c:strRef>
          </c:cat>
          <c:val>
            <c:numRef>
              <c:f>'Exit Waterfall'!$C$141:$J$141</c:f>
              <c:numCache/>
            </c:numRef>
          </c:val>
        </c:ser>
        <c:ser>
          <c:idx val="1"/>
          <c:order val="1"/>
          <c:tx>
            <c:strRef>
              <c:f>'Exit Waterfall'!$B$142</c:f>
            </c:strRef>
          </c:tx>
          <c:spPr>
            <a:solidFill>
              <a:schemeClr val="accent2"/>
            </a:solidFill>
            <a:ln cmpd="sng">
              <a:solidFill>
                <a:srgbClr val="000000"/>
              </a:solidFill>
            </a:ln>
          </c:spPr>
          <c:cat>
            <c:strRef>
              <c:f>'Exit Waterfall'!$C$140:$J$140</c:f>
            </c:strRef>
          </c:cat>
          <c:val>
            <c:numRef>
              <c:f>'Exit Waterfall'!$C$142:$J$142</c:f>
              <c:numCache/>
            </c:numRef>
          </c:val>
        </c:ser>
        <c:ser>
          <c:idx val="2"/>
          <c:order val="2"/>
          <c:tx>
            <c:strRef>
              <c:f>'Exit Waterfall'!$B$143</c:f>
            </c:strRef>
          </c:tx>
          <c:spPr>
            <a:solidFill>
              <a:schemeClr val="accent3"/>
            </a:solidFill>
            <a:ln cmpd="sng">
              <a:solidFill>
                <a:srgbClr val="000000"/>
              </a:solidFill>
            </a:ln>
          </c:spPr>
          <c:cat>
            <c:strRef>
              <c:f>'Exit Waterfall'!$C$140:$J$140</c:f>
            </c:strRef>
          </c:cat>
          <c:val>
            <c:numRef>
              <c:f>'Exit Waterfall'!$C$143:$J$143</c:f>
              <c:numCache/>
            </c:numRef>
          </c:val>
        </c:ser>
        <c:ser>
          <c:idx val="3"/>
          <c:order val="3"/>
          <c:tx>
            <c:strRef>
              <c:f>'Exit Waterfall'!$B$144</c:f>
            </c:strRef>
          </c:tx>
          <c:spPr>
            <a:solidFill>
              <a:schemeClr val="accent4"/>
            </a:solidFill>
            <a:ln cmpd="sng">
              <a:solidFill>
                <a:srgbClr val="000000"/>
              </a:solidFill>
            </a:ln>
          </c:spPr>
          <c:cat>
            <c:strRef>
              <c:f>'Exit Waterfall'!$C$140:$J$140</c:f>
            </c:strRef>
          </c:cat>
          <c:val>
            <c:numRef>
              <c:f>'Exit Waterfall'!$C$144:$J$144</c:f>
              <c:numCache/>
            </c:numRef>
          </c:val>
        </c:ser>
        <c:ser>
          <c:idx val="4"/>
          <c:order val="4"/>
          <c:tx>
            <c:strRef>
              <c:f>'Exit Waterfall'!$B$145</c:f>
            </c:strRef>
          </c:tx>
          <c:spPr>
            <a:solidFill>
              <a:schemeClr val="accent5"/>
            </a:solidFill>
            <a:ln cmpd="sng">
              <a:solidFill>
                <a:srgbClr val="000000"/>
              </a:solidFill>
            </a:ln>
          </c:spPr>
          <c:cat>
            <c:strRef>
              <c:f>'Exit Waterfall'!$C$140:$J$140</c:f>
            </c:strRef>
          </c:cat>
          <c:val>
            <c:numRef>
              <c:f>'Exit Waterfall'!$C$145:$J$145</c:f>
              <c:numCache/>
            </c:numRef>
          </c:val>
        </c:ser>
        <c:ser>
          <c:idx val="5"/>
          <c:order val="5"/>
          <c:tx>
            <c:strRef>
              <c:f>'Exit Waterfall'!$B$146</c:f>
            </c:strRef>
          </c:tx>
          <c:spPr>
            <a:solidFill>
              <a:schemeClr val="accent6"/>
            </a:solidFill>
            <a:ln cmpd="sng">
              <a:solidFill>
                <a:srgbClr val="000000"/>
              </a:solidFill>
            </a:ln>
          </c:spPr>
          <c:cat>
            <c:strRef>
              <c:f>'Exit Waterfall'!$C$140:$J$140</c:f>
            </c:strRef>
          </c:cat>
          <c:val>
            <c:numRef>
              <c:f>'Exit Waterfall'!$C$146:$J$146</c:f>
              <c:numCache/>
            </c:numRef>
          </c:val>
        </c:ser>
        <c:ser>
          <c:idx val="6"/>
          <c:order val="6"/>
          <c:tx>
            <c:strRef>
              <c:f>'Exit Waterfall'!$B$147</c:f>
            </c:strRef>
          </c:tx>
          <c:spPr>
            <a:solidFill>
              <a:schemeClr val="accent1">
                <a:lumOff val="30000"/>
              </a:schemeClr>
            </a:solidFill>
            <a:ln cmpd="sng">
              <a:solidFill>
                <a:srgbClr val="000000"/>
              </a:solidFill>
            </a:ln>
          </c:spPr>
          <c:cat>
            <c:strRef>
              <c:f>'Exit Waterfall'!$C$140:$J$140</c:f>
            </c:strRef>
          </c:cat>
          <c:val>
            <c:numRef>
              <c:f>'Exit Waterfall'!$C$147:$J$147</c:f>
              <c:numCache/>
            </c:numRef>
          </c:val>
        </c:ser>
        <c:ser>
          <c:idx val="7"/>
          <c:order val="7"/>
          <c:tx>
            <c:strRef>
              <c:f>'Exit Waterfall'!$B$148</c:f>
            </c:strRef>
          </c:tx>
          <c:spPr>
            <a:solidFill>
              <a:schemeClr val="accent2">
                <a:lumOff val="30000"/>
              </a:schemeClr>
            </a:solidFill>
            <a:ln cmpd="sng">
              <a:solidFill>
                <a:srgbClr val="000000"/>
              </a:solidFill>
            </a:ln>
          </c:spPr>
          <c:cat>
            <c:strRef>
              <c:f>'Exit Waterfall'!$C$140:$J$140</c:f>
            </c:strRef>
          </c:cat>
          <c:val>
            <c:numRef>
              <c:f>'Exit Waterfall'!$C$148:$J$148</c:f>
              <c:numCache/>
            </c:numRef>
          </c:val>
        </c:ser>
        <c:ser>
          <c:idx val="8"/>
          <c:order val="8"/>
          <c:tx>
            <c:strRef>
              <c:f>'Exit Waterfall'!$B$149</c:f>
            </c:strRef>
          </c:tx>
          <c:spPr>
            <a:solidFill>
              <a:schemeClr val="accent3">
                <a:lumOff val="30000"/>
              </a:schemeClr>
            </a:solidFill>
            <a:ln cmpd="sng">
              <a:solidFill>
                <a:srgbClr val="000000"/>
              </a:solidFill>
            </a:ln>
          </c:spPr>
          <c:cat>
            <c:strRef>
              <c:f>'Exit Waterfall'!$C$140:$J$140</c:f>
            </c:strRef>
          </c:cat>
          <c:val>
            <c:numRef>
              <c:f>'Exit Waterfall'!$C$149:$J$149</c:f>
              <c:numCache/>
            </c:numRef>
          </c:val>
        </c:ser>
        <c:ser>
          <c:idx val="9"/>
          <c:order val="9"/>
          <c:tx>
            <c:strRef>
              <c:f>'Exit Waterfall'!$B$150</c:f>
            </c:strRef>
          </c:tx>
          <c:spPr>
            <a:solidFill>
              <a:schemeClr val="accent4">
                <a:lumOff val="30000"/>
              </a:schemeClr>
            </a:solidFill>
            <a:ln cmpd="sng">
              <a:solidFill>
                <a:srgbClr val="000000"/>
              </a:solidFill>
            </a:ln>
          </c:spPr>
          <c:cat>
            <c:strRef>
              <c:f>'Exit Waterfall'!$C$140:$J$140</c:f>
            </c:strRef>
          </c:cat>
          <c:val>
            <c:numRef>
              <c:f>'Exit Waterfall'!$C$150:$J$150</c:f>
              <c:numCache/>
            </c:numRef>
          </c:val>
        </c:ser>
        <c:ser>
          <c:idx val="10"/>
          <c:order val="10"/>
          <c:tx>
            <c:strRef>
              <c:f>'Exit Waterfall'!$B$151</c:f>
            </c:strRef>
          </c:tx>
          <c:spPr>
            <a:solidFill>
              <a:schemeClr val="accent5">
                <a:lumOff val="30000"/>
              </a:schemeClr>
            </a:solidFill>
            <a:ln cmpd="sng">
              <a:solidFill>
                <a:srgbClr val="000000"/>
              </a:solidFill>
            </a:ln>
          </c:spPr>
          <c:cat>
            <c:strRef>
              <c:f>'Exit Waterfall'!$C$140:$J$140</c:f>
            </c:strRef>
          </c:cat>
          <c:val>
            <c:numRef>
              <c:f>'Exit Waterfall'!$C$151:$J$151</c:f>
              <c:numCache/>
            </c:numRef>
          </c:val>
        </c:ser>
        <c:ser>
          <c:idx val="11"/>
          <c:order val="11"/>
          <c:tx>
            <c:strRef>
              <c:f>'Exit Waterfall'!$B$152</c:f>
            </c:strRef>
          </c:tx>
          <c:spPr>
            <a:solidFill>
              <a:schemeClr val="accent6">
                <a:lumOff val="30000"/>
              </a:schemeClr>
            </a:solidFill>
            <a:ln cmpd="sng">
              <a:solidFill>
                <a:srgbClr val="000000"/>
              </a:solidFill>
            </a:ln>
          </c:spPr>
          <c:cat>
            <c:strRef>
              <c:f>'Exit Waterfall'!$C$140:$J$140</c:f>
            </c:strRef>
          </c:cat>
          <c:val>
            <c:numRef>
              <c:f>'Exit Waterfall'!$C$152:$J$152</c:f>
              <c:numCache/>
            </c:numRef>
          </c:val>
        </c:ser>
        <c:ser>
          <c:idx val="12"/>
          <c:order val="12"/>
          <c:tx>
            <c:strRef>
              <c:f>'Exit Waterfall'!$B$153</c:f>
            </c:strRef>
          </c:tx>
          <c:spPr>
            <a:solidFill>
              <a:schemeClr val="accent1">
                <a:lumOff val="60000"/>
              </a:schemeClr>
            </a:solidFill>
            <a:ln cmpd="sng">
              <a:solidFill>
                <a:srgbClr val="000000"/>
              </a:solidFill>
            </a:ln>
          </c:spPr>
          <c:cat>
            <c:strRef>
              <c:f>'Exit Waterfall'!$C$140:$J$140</c:f>
            </c:strRef>
          </c:cat>
          <c:val>
            <c:numRef>
              <c:f>'Exit Waterfall'!$C$153:$J$153</c:f>
              <c:numCache/>
            </c:numRef>
          </c:val>
        </c:ser>
        <c:ser>
          <c:idx val="13"/>
          <c:order val="13"/>
          <c:tx>
            <c:strRef>
              <c:f>'Exit Waterfall'!$B$154</c:f>
            </c:strRef>
          </c:tx>
          <c:spPr>
            <a:solidFill>
              <a:schemeClr val="accent2">
                <a:lumOff val="60000"/>
              </a:schemeClr>
            </a:solidFill>
            <a:ln cmpd="sng">
              <a:solidFill>
                <a:srgbClr val="000000"/>
              </a:solidFill>
            </a:ln>
          </c:spPr>
          <c:cat>
            <c:strRef>
              <c:f>'Exit Waterfall'!$C$140:$J$140</c:f>
            </c:strRef>
          </c:cat>
          <c:val>
            <c:numRef>
              <c:f>'Exit Waterfall'!$C$154:$J$154</c:f>
              <c:numCache/>
            </c:numRef>
          </c:val>
        </c:ser>
        <c:ser>
          <c:idx val="14"/>
          <c:order val="14"/>
          <c:tx>
            <c:strRef>
              <c:f>'Exit Waterfall'!$B$155</c:f>
            </c:strRef>
          </c:tx>
          <c:spPr>
            <a:solidFill>
              <a:schemeClr val="accent3">
                <a:lumOff val="60000"/>
              </a:schemeClr>
            </a:solidFill>
            <a:ln cmpd="sng">
              <a:solidFill>
                <a:srgbClr val="000000"/>
              </a:solidFill>
            </a:ln>
          </c:spPr>
          <c:cat>
            <c:strRef>
              <c:f>'Exit Waterfall'!$C$140:$J$140</c:f>
            </c:strRef>
          </c:cat>
          <c:val>
            <c:numRef>
              <c:f>'Exit Waterfall'!$C$155:$J$155</c:f>
              <c:numCache/>
            </c:numRef>
          </c:val>
        </c:ser>
        <c:overlap val="100"/>
        <c:axId val="1147340218"/>
        <c:axId val="1657369231"/>
      </c:barChart>
      <c:catAx>
        <c:axId val="11473402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57369231"/>
      </c:catAx>
      <c:valAx>
        <c:axId val="16573692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7340218"/>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Proceeds</a:t>
            </a:r>
          </a:p>
        </c:rich>
      </c:tx>
      <c:overlay val="0"/>
    </c:title>
    <c:plotArea>
      <c:layout/>
      <c:barChart>
        <c:barDir val="col"/>
        <c:grouping val="stacked"/>
        <c:ser>
          <c:idx val="0"/>
          <c:order val="0"/>
          <c:tx>
            <c:strRef>
              <c:f>'Exit Waterfall'!$B$141</c:f>
            </c:strRef>
          </c:tx>
          <c:spPr>
            <a:solidFill>
              <a:schemeClr val="accent1"/>
            </a:solidFill>
            <a:ln cmpd="sng">
              <a:solidFill>
                <a:srgbClr val="000000"/>
              </a:solidFill>
            </a:ln>
          </c:spPr>
          <c:cat>
            <c:strRef>
              <c:f>'Exit Waterfall'!$C$140:$J$140</c:f>
            </c:strRef>
          </c:cat>
          <c:val>
            <c:numRef>
              <c:f>'Exit Waterfall'!$C$141:$J$141</c:f>
              <c:numCache/>
            </c:numRef>
          </c:val>
        </c:ser>
        <c:ser>
          <c:idx val="1"/>
          <c:order val="1"/>
          <c:tx>
            <c:strRef>
              <c:f>'Exit Waterfall'!$B$142</c:f>
            </c:strRef>
          </c:tx>
          <c:spPr>
            <a:solidFill>
              <a:schemeClr val="accent2"/>
            </a:solidFill>
            <a:ln cmpd="sng">
              <a:solidFill>
                <a:srgbClr val="000000"/>
              </a:solidFill>
            </a:ln>
          </c:spPr>
          <c:cat>
            <c:strRef>
              <c:f>'Exit Waterfall'!$C$140:$J$140</c:f>
            </c:strRef>
          </c:cat>
          <c:val>
            <c:numRef>
              <c:f>'Exit Waterfall'!$C$142:$J$142</c:f>
              <c:numCache/>
            </c:numRef>
          </c:val>
        </c:ser>
        <c:ser>
          <c:idx val="2"/>
          <c:order val="2"/>
          <c:tx>
            <c:strRef>
              <c:f>'Exit Waterfall'!$B$143</c:f>
            </c:strRef>
          </c:tx>
          <c:spPr>
            <a:solidFill>
              <a:schemeClr val="accent3"/>
            </a:solidFill>
            <a:ln cmpd="sng">
              <a:solidFill>
                <a:srgbClr val="000000"/>
              </a:solidFill>
            </a:ln>
          </c:spPr>
          <c:cat>
            <c:strRef>
              <c:f>'Exit Waterfall'!$C$140:$J$140</c:f>
            </c:strRef>
          </c:cat>
          <c:val>
            <c:numRef>
              <c:f>'Exit Waterfall'!$C$143:$J$143</c:f>
              <c:numCache/>
            </c:numRef>
          </c:val>
        </c:ser>
        <c:ser>
          <c:idx val="3"/>
          <c:order val="3"/>
          <c:tx>
            <c:strRef>
              <c:f>'Exit Waterfall'!$B$144</c:f>
            </c:strRef>
          </c:tx>
          <c:spPr>
            <a:solidFill>
              <a:schemeClr val="accent4"/>
            </a:solidFill>
            <a:ln cmpd="sng">
              <a:solidFill>
                <a:srgbClr val="000000"/>
              </a:solidFill>
            </a:ln>
          </c:spPr>
          <c:cat>
            <c:strRef>
              <c:f>'Exit Waterfall'!$C$140:$J$140</c:f>
            </c:strRef>
          </c:cat>
          <c:val>
            <c:numRef>
              <c:f>'Exit Waterfall'!$C$144:$J$144</c:f>
              <c:numCache/>
            </c:numRef>
          </c:val>
        </c:ser>
        <c:ser>
          <c:idx val="4"/>
          <c:order val="4"/>
          <c:tx>
            <c:strRef>
              <c:f>'Exit Waterfall'!$B$145</c:f>
            </c:strRef>
          </c:tx>
          <c:spPr>
            <a:solidFill>
              <a:schemeClr val="accent5"/>
            </a:solidFill>
            <a:ln cmpd="sng">
              <a:solidFill>
                <a:srgbClr val="000000"/>
              </a:solidFill>
            </a:ln>
          </c:spPr>
          <c:cat>
            <c:strRef>
              <c:f>'Exit Waterfall'!$C$140:$J$140</c:f>
            </c:strRef>
          </c:cat>
          <c:val>
            <c:numRef>
              <c:f>'Exit Waterfall'!$C$145:$J$145</c:f>
              <c:numCache/>
            </c:numRef>
          </c:val>
        </c:ser>
        <c:ser>
          <c:idx val="5"/>
          <c:order val="5"/>
          <c:tx>
            <c:strRef>
              <c:f>'Exit Waterfall'!$B$146</c:f>
            </c:strRef>
          </c:tx>
          <c:spPr>
            <a:solidFill>
              <a:schemeClr val="accent6"/>
            </a:solidFill>
            <a:ln cmpd="sng">
              <a:solidFill>
                <a:srgbClr val="000000"/>
              </a:solidFill>
            </a:ln>
          </c:spPr>
          <c:cat>
            <c:strRef>
              <c:f>'Exit Waterfall'!$C$140:$J$140</c:f>
            </c:strRef>
          </c:cat>
          <c:val>
            <c:numRef>
              <c:f>'Exit Waterfall'!$C$146:$J$146</c:f>
              <c:numCache/>
            </c:numRef>
          </c:val>
        </c:ser>
        <c:ser>
          <c:idx val="6"/>
          <c:order val="6"/>
          <c:tx>
            <c:strRef>
              <c:f>'Exit Waterfall'!$B$147</c:f>
            </c:strRef>
          </c:tx>
          <c:spPr>
            <a:solidFill>
              <a:schemeClr val="accent1">
                <a:lumOff val="30000"/>
              </a:schemeClr>
            </a:solidFill>
            <a:ln cmpd="sng">
              <a:solidFill>
                <a:srgbClr val="000000"/>
              </a:solidFill>
            </a:ln>
          </c:spPr>
          <c:cat>
            <c:strRef>
              <c:f>'Exit Waterfall'!$C$140:$J$140</c:f>
            </c:strRef>
          </c:cat>
          <c:val>
            <c:numRef>
              <c:f>'Exit Waterfall'!$C$147:$J$147</c:f>
              <c:numCache/>
            </c:numRef>
          </c:val>
        </c:ser>
        <c:ser>
          <c:idx val="7"/>
          <c:order val="7"/>
          <c:tx>
            <c:strRef>
              <c:f>'Exit Waterfall'!$B$148</c:f>
            </c:strRef>
          </c:tx>
          <c:spPr>
            <a:solidFill>
              <a:schemeClr val="accent2">
                <a:lumOff val="30000"/>
              </a:schemeClr>
            </a:solidFill>
            <a:ln cmpd="sng">
              <a:solidFill>
                <a:srgbClr val="000000"/>
              </a:solidFill>
            </a:ln>
          </c:spPr>
          <c:cat>
            <c:strRef>
              <c:f>'Exit Waterfall'!$C$140:$J$140</c:f>
            </c:strRef>
          </c:cat>
          <c:val>
            <c:numRef>
              <c:f>'Exit Waterfall'!$C$148:$J$148</c:f>
              <c:numCache/>
            </c:numRef>
          </c:val>
        </c:ser>
        <c:ser>
          <c:idx val="8"/>
          <c:order val="8"/>
          <c:tx>
            <c:strRef>
              <c:f>'Exit Waterfall'!$B$149</c:f>
            </c:strRef>
          </c:tx>
          <c:spPr>
            <a:solidFill>
              <a:schemeClr val="accent3">
                <a:lumOff val="30000"/>
              </a:schemeClr>
            </a:solidFill>
            <a:ln cmpd="sng">
              <a:solidFill>
                <a:srgbClr val="000000"/>
              </a:solidFill>
            </a:ln>
          </c:spPr>
          <c:cat>
            <c:strRef>
              <c:f>'Exit Waterfall'!$C$140:$J$140</c:f>
            </c:strRef>
          </c:cat>
          <c:val>
            <c:numRef>
              <c:f>'Exit Waterfall'!$C$149:$J$149</c:f>
              <c:numCache/>
            </c:numRef>
          </c:val>
        </c:ser>
        <c:ser>
          <c:idx val="9"/>
          <c:order val="9"/>
          <c:tx>
            <c:strRef>
              <c:f>'Exit Waterfall'!$B$150</c:f>
            </c:strRef>
          </c:tx>
          <c:spPr>
            <a:solidFill>
              <a:schemeClr val="accent4">
                <a:lumOff val="30000"/>
              </a:schemeClr>
            </a:solidFill>
            <a:ln cmpd="sng">
              <a:solidFill>
                <a:srgbClr val="000000"/>
              </a:solidFill>
            </a:ln>
          </c:spPr>
          <c:cat>
            <c:strRef>
              <c:f>'Exit Waterfall'!$C$140:$J$140</c:f>
            </c:strRef>
          </c:cat>
          <c:val>
            <c:numRef>
              <c:f>'Exit Waterfall'!$C$150:$J$150</c:f>
              <c:numCache/>
            </c:numRef>
          </c:val>
        </c:ser>
        <c:ser>
          <c:idx val="10"/>
          <c:order val="10"/>
          <c:tx>
            <c:strRef>
              <c:f>'Exit Waterfall'!$B$151</c:f>
            </c:strRef>
          </c:tx>
          <c:spPr>
            <a:solidFill>
              <a:schemeClr val="accent5">
                <a:lumOff val="30000"/>
              </a:schemeClr>
            </a:solidFill>
            <a:ln cmpd="sng">
              <a:solidFill>
                <a:srgbClr val="000000"/>
              </a:solidFill>
            </a:ln>
          </c:spPr>
          <c:cat>
            <c:strRef>
              <c:f>'Exit Waterfall'!$C$140:$J$140</c:f>
            </c:strRef>
          </c:cat>
          <c:val>
            <c:numRef>
              <c:f>'Exit Waterfall'!$C$151:$J$151</c:f>
              <c:numCache/>
            </c:numRef>
          </c:val>
        </c:ser>
        <c:ser>
          <c:idx val="11"/>
          <c:order val="11"/>
          <c:tx>
            <c:strRef>
              <c:f>'Exit Waterfall'!$B$152</c:f>
            </c:strRef>
          </c:tx>
          <c:spPr>
            <a:solidFill>
              <a:schemeClr val="accent6">
                <a:lumOff val="30000"/>
              </a:schemeClr>
            </a:solidFill>
            <a:ln cmpd="sng">
              <a:solidFill>
                <a:srgbClr val="000000"/>
              </a:solidFill>
            </a:ln>
          </c:spPr>
          <c:cat>
            <c:strRef>
              <c:f>'Exit Waterfall'!$C$140:$J$140</c:f>
            </c:strRef>
          </c:cat>
          <c:val>
            <c:numRef>
              <c:f>'Exit Waterfall'!$C$152:$J$152</c:f>
              <c:numCache/>
            </c:numRef>
          </c:val>
        </c:ser>
        <c:ser>
          <c:idx val="12"/>
          <c:order val="12"/>
          <c:tx>
            <c:strRef>
              <c:f>'Exit Waterfall'!$B$153</c:f>
            </c:strRef>
          </c:tx>
          <c:spPr>
            <a:solidFill>
              <a:schemeClr val="accent1">
                <a:lumOff val="60000"/>
              </a:schemeClr>
            </a:solidFill>
            <a:ln cmpd="sng">
              <a:solidFill>
                <a:srgbClr val="000000"/>
              </a:solidFill>
            </a:ln>
          </c:spPr>
          <c:cat>
            <c:strRef>
              <c:f>'Exit Waterfall'!$C$140:$J$140</c:f>
            </c:strRef>
          </c:cat>
          <c:val>
            <c:numRef>
              <c:f>'Exit Waterfall'!$C$153:$J$153</c:f>
              <c:numCache/>
            </c:numRef>
          </c:val>
        </c:ser>
        <c:ser>
          <c:idx val="13"/>
          <c:order val="13"/>
          <c:tx>
            <c:strRef>
              <c:f>'Exit Waterfall'!$B$154</c:f>
            </c:strRef>
          </c:tx>
          <c:spPr>
            <a:solidFill>
              <a:schemeClr val="accent2">
                <a:lumOff val="60000"/>
              </a:schemeClr>
            </a:solidFill>
            <a:ln cmpd="sng">
              <a:solidFill>
                <a:srgbClr val="000000"/>
              </a:solidFill>
            </a:ln>
          </c:spPr>
          <c:cat>
            <c:strRef>
              <c:f>'Exit Waterfall'!$C$140:$J$140</c:f>
            </c:strRef>
          </c:cat>
          <c:val>
            <c:numRef>
              <c:f>'Exit Waterfall'!$C$154:$J$154</c:f>
              <c:numCache/>
            </c:numRef>
          </c:val>
        </c:ser>
        <c:ser>
          <c:idx val="14"/>
          <c:order val="14"/>
          <c:tx>
            <c:strRef>
              <c:f>'Exit Waterfall'!$B$155</c:f>
            </c:strRef>
          </c:tx>
          <c:spPr>
            <a:solidFill>
              <a:schemeClr val="accent3">
                <a:lumOff val="60000"/>
              </a:schemeClr>
            </a:solidFill>
            <a:ln cmpd="sng">
              <a:solidFill>
                <a:srgbClr val="000000"/>
              </a:solidFill>
            </a:ln>
          </c:spPr>
          <c:cat>
            <c:strRef>
              <c:f>'Exit Waterfall'!$C$140:$J$140</c:f>
            </c:strRef>
          </c:cat>
          <c:val>
            <c:numRef>
              <c:f>'Exit Waterfall'!$C$155:$J$155</c:f>
              <c:numCache/>
            </c:numRef>
          </c:val>
        </c:ser>
        <c:overlap val="100"/>
        <c:axId val="621024699"/>
        <c:axId val="443134146"/>
      </c:barChart>
      <c:catAx>
        <c:axId val="6210246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43134146"/>
      </c:catAx>
      <c:valAx>
        <c:axId val="4431341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1024699"/>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Distribution of Proceeds to Liquidation Preferences v. Common</a:t>
            </a:r>
          </a:p>
        </c:rich>
      </c:tx>
      <c:overlay val="0"/>
    </c:title>
    <c:plotArea>
      <c:layout/>
      <c:barChart>
        <c:barDir val="col"/>
        <c:grouping val="percentStacked"/>
        <c:ser>
          <c:idx val="0"/>
          <c:order val="0"/>
          <c:tx>
            <c:strRef>
              <c:f>'Exit Waterfall'!$C$119</c:f>
            </c:strRef>
          </c:tx>
          <c:spPr>
            <a:solidFill>
              <a:schemeClr val="accent1"/>
            </a:solidFill>
            <a:ln cmpd="sng">
              <a:solidFill>
                <a:srgbClr val="000000"/>
              </a:solidFill>
            </a:ln>
          </c:spPr>
          <c:cat>
            <c:strRef>
              <c:f>'Exit Waterfall'!$D$46:$J$46</c:f>
            </c:strRef>
          </c:cat>
          <c:val>
            <c:numRef>
              <c:f>'Exit Waterfall'!$D$119:$J$119</c:f>
              <c:numCache/>
            </c:numRef>
          </c:val>
        </c:ser>
        <c:ser>
          <c:idx val="1"/>
          <c:order val="1"/>
          <c:tx>
            <c:strRef>
              <c:f>'Exit Waterfall'!$C$137</c:f>
            </c:strRef>
          </c:tx>
          <c:spPr>
            <a:solidFill>
              <a:schemeClr val="accent2"/>
            </a:solidFill>
            <a:ln cmpd="sng">
              <a:solidFill>
                <a:srgbClr val="000000"/>
              </a:solidFill>
            </a:ln>
          </c:spPr>
          <c:cat>
            <c:strRef>
              <c:f>'Exit Waterfall'!$D$46:$J$46</c:f>
            </c:strRef>
          </c:cat>
          <c:val>
            <c:numRef>
              <c:f>'Exit Waterfall'!$D$137:$J$137</c:f>
              <c:numCache/>
            </c:numRef>
          </c:val>
        </c:ser>
        <c:overlap val="100"/>
        <c:axId val="1388989098"/>
        <c:axId val="328849115"/>
      </c:barChart>
      <c:catAx>
        <c:axId val="13889890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28849115"/>
      </c:catAx>
      <c:valAx>
        <c:axId val="328849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8989098"/>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Distribution of Proceeds to Liquidation Preferences v. Common</a:t>
            </a:r>
          </a:p>
        </c:rich>
      </c:tx>
      <c:overlay val="0"/>
    </c:title>
    <c:plotArea>
      <c:layout/>
      <c:barChart>
        <c:barDir val="col"/>
        <c:grouping val="stacked"/>
        <c:ser>
          <c:idx val="0"/>
          <c:order val="0"/>
          <c:tx>
            <c:strRef>
              <c:f>'Exit Waterfall'!$C$119</c:f>
            </c:strRef>
          </c:tx>
          <c:spPr>
            <a:solidFill>
              <a:schemeClr val="accent1"/>
            </a:solidFill>
            <a:ln cmpd="sng">
              <a:solidFill>
                <a:srgbClr val="000000"/>
              </a:solidFill>
            </a:ln>
          </c:spPr>
          <c:cat>
            <c:strRef>
              <c:f>'Exit Waterfall'!$D$46:$J$46</c:f>
            </c:strRef>
          </c:cat>
          <c:val>
            <c:numRef>
              <c:f>'Exit Waterfall'!$D$119:$J$119</c:f>
              <c:numCache/>
            </c:numRef>
          </c:val>
        </c:ser>
        <c:ser>
          <c:idx val="1"/>
          <c:order val="1"/>
          <c:tx>
            <c:strRef>
              <c:f>'Exit Waterfall'!$C$137</c:f>
            </c:strRef>
          </c:tx>
          <c:spPr>
            <a:solidFill>
              <a:schemeClr val="accent2"/>
            </a:solidFill>
            <a:ln cmpd="sng">
              <a:solidFill>
                <a:srgbClr val="000000"/>
              </a:solidFill>
            </a:ln>
          </c:spPr>
          <c:cat>
            <c:strRef>
              <c:f>'Exit Waterfall'!$D$46:$J$46</c:f>
            </c:strRef>
          </c:cat>
          <c:val>
            <c:numRef>
              <c:f>'Exit Waterfall'!$D$137:$J$137</c:f>
              <c:numCache/>
            </c:numRef>
          </c:val>
        </c:ser>
        <c:overlap val="100"/>
        <c:axId val="1989382372"/>
        <c:axId val="1241815154"/>
      </c:barChart>
      <c:catAx>
        <c:axId val="19893823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41815154"/>
      </c:catAx>
      <c:valAx>
        <c:axId val="1241815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9382372"/>
      </c:valAx>
    </c:plotArea>
    <c:legend>
      <c:legendPos val="b"/>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Proceeds</a:t>
            </a:r>
          </a:p>
        </c:rich>
      </c:tx>
      <c:overlay val="0"/>
    </c:title>
    <c:plotArea>
      <c:layout/>
      <c:barChart>
        <c:barDir val="col"/>
        <c:grouping val="percentStacked"/>
        <c:ser>
          <c:idx val="0"/>
          <c:order val="0"/>
          <c:tx>
            <c:strRef>
              <c:f>'Exit Waterfall, with Convertibl'!$B$176</c:f>
            </c:strRef>
          </c:tx>
          <c:spPr>
            <a:solidFill>
              <a:schemeClr val="accent1"/>
            </a:solidFill>
            <a:ln cmpd="sng">
              <a:solidFill>
                <a:srgbClr val="000000"/>
              </a:solidFill>
            </a:ln>
          </c:spPr>
          <c:cat>
            <c:strRef>
              <c:f>'Exit Waterfall, with Convertibl'!$C$175:$J$175</c:f>
            </c:strRef>
          </c:cat>
          <c:val>
            <c:numRef>
              <c:f>'Exit Waterfall, with Convertibl'!$C$176:$J$176</c:f>
              <c:numCache/>
            </c:numRef>
          </c:val>
        </c:ser>
        <c:ser>
          <c:idx val="1"/>
          <c:order val="1"/>
          <c:tx>
            <c:strRef>
              <c:f>'Exit Waterfall, with Convertibl'!$B$177</c:f>
            </c:strRef>
          </c:tx>
          <c:spPr>
            <a:solidFill>
              <a:schemeClr val="accent2"/>
            </a:solidFill>
            <a:ln cmpd="sng">
              <a:solidFill>
                <a:srgbClr val="000000"/>
              </a:solidFill>
            </a:ln>
          </c:spPr>
          <c:cat>
            <c:strRef>
              <c:f>'Exit Waterfall, with Convertibl'!$C$175:$J$175</c:f>
            </c:strRef>
          </c:cat>
          <c:val>
            <c:numRef>
              <c:f>'Exit Waterfall, with Convertibl'!$C$177:$J$177</c:f>
              <c:numCache/>
            </c:numRef>
          </c:val>
        </c:ser>
        <c:ser>
          <c:idx val="2"/>
          <c:order val="2"/>
          <c:tx>
            <c:strRef>
              <c:f>'Exit Waterfall, with Convertibl'!$B$178</c:f>
            </c:strRef>
          </c:tx>
          <c:spPr>
            <a:solidFill>
              <a:schemeClr val="accent3"/>
            </a:solidFill>
            <a:ln cmpd="sng">
              <a:solidFill>
                <a:srgbClr val="000000"/>
              </a:solidFill>
            </a:ln>
          </c:spPr>
          <c:cat>
            <c:strRef>
              <c:f>'Exit Waterfall, with Convertibl'!$C$175:$J$175</c:f>
            </c:strRef>
          </c:cat>
          <c:val>
            <c:numRef>
              <c:f>'Exit Waterfall, with Convertibl'!$C$178:$J$178</c:f>
              <c:numCache/>
            </c:numRef>
          </c:val>
        </c:ser>
        <c:ser>
          <c:idx val="3"/>
          <c:order val="3"/>
          <c:tx>
            <c:strRef>
              <c:f>'Exit Waterfall, with Convertibl'!$B$179</c:f>
            </c:strRef>
          </c:tx>
          <c:spPr>
            <a:solidFill>
              <a:schemeClr val="accent4"/>
            </a:solidFill>
            <a:ln cmpd="sng">
              <a:solidFill>
                <a:srgbClr val="000000"/>
              </a:solidFill>
            </a:ln>
          </c:spPr>
          <c:cat>
            <c:strRef>
              <c:f>'Exit Waterfall, with Convertibl'!$C$175:$J$175</c:f>
            </c:strRef>
          </c:cat>
          <c:val>
            <c:numRef>
              <c:f>'Exit Waterfall, with Convertibl'!$C$179:$J$179</c:f>
              <c:numCache/>
            </c:numRef>
          </c:val>
        </c:ser>
        <c:ser>
          <c:idx val="4"/>
          <c:order val="4"/>
          <c:tx>
            <c:strRef>
              <c:f>'Exit Waterfall, with Convertibl'!$B$180</c:f>
            </c:strRef>
          </c:tx>
          <c:spPr>
            <a:solidFill>
              <a:schemeClr val="accent5"/>
            </a:solidFill>
            <a:ln cmpd="sng">
              <a:solidFill>
                <a:srgbClr val="000000"/>
              </a:solidFill>
            </a:ln>
          </c:spPr>
          <c:cat>
            <c:strRef>
              <c:f>'Exit Waterfall, with Convertibl'!$C$175:$J$175</c:f>
            </c:strRef>
          </c:cat>
          <c:val>
            <c:numRef>
              <c:f>'Exit Waterfall, with Convertibl'!$C$180:$J$180</c:f>
              <c:numCache/>
            </c:numRef>
          </c:val>
        </c:ser>
        <c:ser>
          <c:idx val="5"/>
          <c:order val="5"/>
          <c:tx>
            <c:strRef>
              <c:f>'Exit Waterfall, with Convertibl'!$B$181</c:f>
            </c:strRef>
          </c:tx>
          <c:spPr>
            <a:solidFill>
              <a:schemeClr val="accent6"/>
            </a:solidFill>
            <a:ln cmpd="sng">
              <a:solidFill>
                <a:srgbClr val="000000"/>
              </a:solidFill>
            </a:ln>
          </c:spPr>
          <c:cat>
            <c:strRef>
              <c:f>'Exit Waterfall, with Convertibl'!$C$175:$J$175</c:f>
            </c:strRef>
          </c:cat>
          <c:val>
            <c:numRef>
              <c:f>'Exit Waterfall, with Convertibl'!$C$181:$J$181</c:f>
              <c:numCache/>
            </c:numRef>
          </c:val>
        </c:ser>
        <c:ser>
          <c:idx val="6"/>
          <c:order val="6"/>
          <c:tx>
            <c:strRef>
              <c:f>'Exit Waterfall, with Convertibl'!$B$182</c:f>
            </c:strRef>
          </c:tx>
          <c:spPr>
            <a:solidFill>
              <a:schemeClr val="accent1">
                <a:lumOff val="30000"/>
              </a:schemeClr>
            </a:solidFill>
            <a:ln cmpd="sng">
              <a:solidFill>
                <a:srgbClr val="000000"/>
              </a:solidFill>
            </a:ln>
          </c:spPr>
          <c:cat>
            <c:strRef>
              <c:f>'Exit Waterfall, with Convertibl'!$C$175:$J$175</c:f>
            </c:strRef>
          </c:cat>
          <c:val>
            <c:numRef>
              <c:f>'Exit Waterfall, with Convertibl'!$C$182:$J$182</c:f>
              <c:numCache/>
            </c:numRef>
          </c:val>
        </c:ser>
        <c:ser>
          <c:idx val="7"/>
          <c:order val="7"/>
          <c:tx>
            <c:strRef>
              <c:f>'Exit Waterfall, with Convertibl'!$B$183</c:f>
            </c:strRef>
          </c:tx>
          <c:spPr>
            <a:solidFill>
              <a:schemeClr val="accent2">
                <a:lumOff val="30000"/>
              </a:schemeClr>
            </a:solidFill>
            <a:ln cmpd="sng">
              <a:solidFill>
                <a:srgbClr val="000000"/>
              </a:solidFill>
            </a:ln>
          </c:spPr>
          <c:cat>
            <c:strRef>
              <c:f>'Exit Waterfall, with Convertibl'!$C$175:$J$175</c:f>
            </c:strRef>
          </c:cat>
          <c:val>
            <c:numRef>
              <c:f>'Exit Waterfall, with Convertibl'!$C$183:$J$183</c:f>
              <c:numCache/>
            </c:numRef>
          </c:val>
        </c:ser>
        <c:ser>
          <c:idx val="8"/>
          <c:order val="8"/>
          <c:tx>
            <c:strRef>
              <c:f>'Exit Waterfall, with Convertibl'!$B$184</c:f>
            </c:strRef>
          </c:tx>
          <c:spPr>
            <a:solidFill>
              <a:schemeClr val="accent3">
                <a:lumOff val="30000"/>
              </a:schemeClr>
            </a:solidFill>
            <a:ln cmpd="sng">
              <a:solidFill>
                <a:srgbClr val="000000"/>
              </a:solidFill>
            </a:ln>
          </c:spPr>
          <c:cat>
            <c:strRef>
              <c:f>'Exit Waterfall, with Convertibl'!$C$175:$J$175</c:f>
            </c:strRef>
          </c:cat>
          <c:val>
            <c:numRef>
              <c:f>'Exit Waterfall, with Convertibl'!$C$184:$J$184</c:f>
              <c:numCache/>
            </c:numRef>
          </c:val>
        </c:ser>
        <c:ser>
          <c:idx val="9"/>
          <c:order val="9"/>
          <c:tx>
            <c:strRef>
              <c:f>'Exit Waterfall, with Convertibl'!$B$185</c:f>
            </c:strRef>
          </c:tx>
          <c:spPr>
            <a:solidFill>
              <a:schemeClr val="accent4">
                <a:lumOff val="30000"/>
              </a:schemeClr>
            </a:solidFill>
            <a:ln cmpd="sng">
              <a:solidFill>
                <a:srgbClr val="000000"/>
              </a:solidFill>
            </a:ln>
          </c:spPr>
          <c:cat>
            <c:strRef>
              <c:f>'Exit Waterfall, with Convertibl'!$C$175:$J$175</c:f>
            </c:strRef>
          </c:cat>
          <c:val>
            <c:numRef>
              <c:f>'Exit Waterfall, with Convertibl'!$C$185:$J$185</c:f>
              <c:numCache/>
            </c:numRef>
          </c:val>
        </c:ser>
        <c:ser>
          <c:idx val="10"/>
          <c:order val="10"/>
          <c:tx>
            <c:strRef>
              <c:f>'Exit Waterfall, with Convertibl'!$B$186</c:f>
            </c:strRef>
          </c:tx>
          <c:spPr>
            <a:solidFill>
              <a:schemeClr val="accent5">
                <a:lumOff val="30000"/>
              </a:schemeClr>
            </a:solidFill>
            <a:ln cmpd="sng">
              <a:solidFill>
                <a:srgbClr val="000000"/>
              </a:solidFill>
            </a:ln>
          </c:spPr>
          <c:cat>
            <c:strRef>
              <c:f>'Exit Waterfall, with Convertibl'!$C$175:$J$175</c:f>
            </c:strRef>
          </c:cat>
          <c:val>
            <c:numRef>
              <c:f>'Exit Waterfall, with Convertibl'!$C$186:$J$186</c:f>
              <c:numCache/>
            </c:numRef>
          </c:val>
        </c:ser>
        <c:ser>
          <c:idx val="11"/>
          <c:order val="11"/>
          <c:tx>
            <c:strRef>
              <c:f>'Exit Waterfall, with Convertibl'!$B$187</c:f>
            </c:strRef>
          </c:tx>
          <c:spPr>
            <a:solidFill>
              <a:schemeClr val="accent6">
                <a:lumOff val="30000"/>
              </a:schemeClr>
            </a:solidFill>
            <a:ln cmpd="sng">
              <a:solidFill>
                <a:srgbClr val="000000"/>
              </a:solidFill>
            </a:ln>
          </c:spPr>
          <c:cat>
            <c:strRef>
              <c:f>'Exit Waterfall, with Convertibl'!$C$175:$J$175</c:f>
            </c:strRef>
          </c:cat>
          <c:val>
            <c:numRef>
              <c:f>'Exit Waterfall, with Convertibl'!$C$187:$J$187</c:f>
              <c:numCache/>
            </c:numRef>
          </c:val>
        </c:ser>
        <c:ser>
          <c:idx val="12"/>
          <c:order val="12"/>
          <c:tx>
            <c:strRef>
              <c:f>'Exit Waterfall, with Convertibl'!$B$188</c:f>
            </c:strRef>
          </c:tx>
          <c:spPr>
            <a:solidFill>
              <a:schemeClr val="accent1">
                <a:lumOff val="60000"/>
              </a:schemeClr>
            </a:solidFill>
            <a:ln cmpd="sng">
              <a:solidFill>
                <a:srgbClr val="000000"/>
              </a:solidFill>
            </a:ln>
          </c:spPr>
          <c:cat>
            <c:strRef>
              <c:f>'Exit Waterfall, with Convertibl'!$C$175:$J$175</c:f>
            </c:strRef>
          </c:cat>
          <c:val>
            <c:numRef>
              <c:f>'Exit Waterfall, with Convertibl'!$C$188:$J$188</c:f>
              <c:numCache/>
            </c:numRef>
          </c:val>
        </c:ser>
        <c:ser>
          <c:idx val="13"/>
          <c:order val="13"/>
          <c:tx>
            <c:strRef>
              <c:f>'Exit Waterfall, with Convertibl'!$B$189</c:f>
            </c:strRef>
          </c:tx>
          <c:spPr>
            <a:solidFill>
              <a:schemeClr val="accent2">
                <a:lumOff val="60000"/>
              </a:schemeClr>
            </a:solidFill>
            <a:ln cmpd="sng">
              <a:solidFill>
                <a:srgbClr val="000000"/>
              </a:solidFill>
            </a:ln>
          </c:spPr>
          <c:cat>
            <c:strRef>
              <c:f>'Exit Waterfall, with Convertibl'!$C$175:$J$175</c:f>
            </c:strRef>
          </c:cat>
          <c:val>
            <c:numRef>
              <c:f>'Exit Waterfall, with Convertibl'!$C$189:$J$189</c:f>
              <c:numCache/>
            </c:numRef>
          </c:val>
        </c:ser>
        <c:ser>
          <c:idx val="14"/>
          <c:order val="14"/>
          <c:tx>
            <c:strRef>
              <c:f>'Exit Waterfall, with Convertibl'!$B$190</c:f>
            </c:strRef>
          </c:tx>
          <c:spPr>
            <a:solidFill>
              <a:schemeClr val="accent3">
                <a:lumOff val="60000"/>
              </a:schemeClr>
            </a:solidFill>
            <a:ln cmpd="sng">
              <a:solidFill>
                <a:srgbClr val="000000"/>
              </a:solidFill>
            </a:ln>
          </c:spPr>
          <c:cat>
            <c:strRef>
              <c:f>'Exit Waterfall, with Convertibl'!$C$175:$J$175</c:f>
            </c:strRef>
          </c:cat>
          <c:val>
            <c:numRef>
              <c:f>'Exit Waterfall, with Convertibl'!$C$190:$J$190</c:f>
              <c:numCache/>
            </c:numRef>
          </c:val>
        </c:ser>
        <c:overlap val="100"/>
        <c:axId val="1319394910"/>
        <c:axId val="1598332807"/>
      </c:barChart>
      <c:catAx>
        <c:axId val="13193949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98332807"/>
      </c:catAx>
      <c:valAx>
        <c:axId val="1598332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9394910"/>
      </c:valAx>
    </c:plotArea>
    <c:legend>
      <c:legendPos val="b"/>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Proceeds</a:t>
            </a:r>
          </a:p>
        </c:rich>
      </c:tx>
      <c:overlay val="0"/>
    </c:title>
    <c:plotArea>
      <c:layout/>
      <c:barChart>
        <c:barDir val="col"/>
        <c:grouping val="stacked"/>
        <c:ser>
          <c:idx val="0"/>
          <c:order val="0"/>
          <c:tx>
            <c:strRef>
              <c:f>'Exit Waterfall, with Convertibl'!$B$176</c:f>
            </c:strRef>
          </c:tx>
          <c:spPr>
            <a:solidFill>
              <a:schemeClr val="accent1"/>
            </a:solidFill>
            <a:ln cmpd="sng">
              <a:solidFill>
                <a:srgbClr val="000000"/>
              </a:solidFill>
            </a:ln>
          </c:spPr>
          <c:cat>
            <c:strRef>
              <c:f>'Exit Waterfall, with Convertibl'!$C$175:$J$175</c:f>
            </c:strRef>
          </c:cat>
          <c:val>
            <c:numRef>
              <c:f>'Exit Waterfall, with Convertibl'!$C$176:$J$176</c:f>
              <c:numCache/>
            </c:numRef>
          </c:val>
        </c:ser>
        <c:ser>
          <c:idx val="1"/>
          <c:order val="1"/>
          <c:tx>
            <c:strRef>
              <c:f>'Exit Waterfall, with Convertibl'!$B$177</c:f>
            </c:strRef>
          </c:tx>
          <c:spPr>
            <a:solidFill>
              <a:schemeClr val="accent2"/>
            </a:solidFill>
            <a:ln cmpd="sng">
              <a:solidFill>
                <a:srgbClr val="000000"/>
              </a:solidFill>
            </a:ln>
          </c:spPr>
          <c:cat>
            <c:strRef>
              <c:f>'Exit Waterfall, with Convertibl'!$C$175:$J$175</c:f>
            </c:strRef>
          </c:cat>
          <c:val>
            <c:numRef>
              <c:f>'Exit Waterfall, with Convertibl'!$C$177:$J$177</c:f>
              <c:numCache/>
            </c:numRef>
          </c:val>
        </c:ser>
        <c:ser>
          <c:idx val="2"/>
          <c:order val="2"/>
          <c:tx>
            <c:strRef>
              <c:f>'Exit Waterfall, with Convertibl'!$B$178</c:f>
            </c:strRef>
          </c:tx>
          <c:spPr>
            <a:solidFill>
              <a:schemeClr val="accent3"/>
            </a:solidFill>
            <a:ln cmpd="sng">
              <a:solidFill>
                <a:srgbClr val="000000"/>
              </a:solidFill>
            </a:ln>
          </c:spPr>
          <c:cat>
            <c:strRef>
              <c:f>'Exit Waterfall, with Convertibl'!$C$175:$J$175</c:f>
            </c:strRef>
          </c:cat>
          <c:val>
            <c:numRef>
              <c:f>'Exit Waterfall, with Convertibl'!$C$178:$J$178</c:f>
              <c:numCache/>
            </c:numRef>
          </c:val>
        </c:ser>
        <c:ser>
          <c:idx val="3"/>
          <c:order val="3"/>
          <c:tx>
            <c:strRef>
              <c:f>'Exit Waterfall, with Convertibl'!$B$179</c:f>
            </c:strRef>
          </c:tx>
          <c:spPr>
            <a:solidFill>
              <a:schemeClr val="accent4"/>
            </a:solidFill>
            <a:ln cmpd="sng">
              <a:solidFill>
                <a:srgbClr val="000000"/>
              </a:solidFill>
            </a:ln>
          </c:spPr>
          <c:cat>
            <c:strRef>
              <c:f>'Exit Waterfall, with Convertibl'!$C$175:$J$175</c:f>
            </c:strRef>
          </c:cat>
          <c:val>
            <c:numRef>
              <c:f>'Exit Waterfall, with Convertibl'!$C$179:$J$179</c:f>
              <c:numCache/>
            </c:numRef>
          </c:val>
        </c:ser>
        <c:ser>
          <c:idx val="4"/>
          <c:order val="4"/>
          <c:tx>
            <c:strRef>
              <c:f>'Exit Waterfall, with Convertibl'!$B$180</c:f>
            </c:strRef>
          </c:tx>
          <c:spPr>
            <a:solidFill>
              <a:schemeClr val="accent5"/>
            </a:solidFill>
            <a:ln cmpd="sng">
              <a:solidFill>
                <a:srgbClr val="000000"/>
              </a:solidFill>
            </a:ln>
          </c:spPr>
          <c:cat>
            <c:strRef>
              <c:f>'Exit Waterfall, with Convertibl'!$C$175:$J$175</c:f>
            </c:strRef>
          </c:cat>
          <c:val>
            <c:numRef>
              <c:f>'Exit Waterfall, with Convertibl'!$C$180:$J$180</c:f>
              <c:numCache/>
            </c:numRef>
          </c:val>
        </c:ser>
        <c:ser>
          <c:idx val="5"/>
          <c:order val="5"/>
          <c:tx>
            <c:strRef>
              <c:f>'Exit Waterfall, with Convertibl'!$B$181</c:f>
            </c:strRef>
          </c:tx>
          <c:spPr>
            <a:solidFill>
              <a:schemeClr val="accent6"/>
            </a:solidFill>
            <a:ln cmpd="sng">
              <a:solidFill>
                <a:srgbClr val="000000"/>
              </a:solidFill>
            </a:ln>
          </c:spPr>
          <c:cat>
            <c:strRef>
              <c:f>'Exit Waterfall, with Convertibl'!$C$175:$J$175</c:f>
            </c:strRef>
          </c:cat>
          <c:val>
            <c:numRef>
              <c:f>'Exit Waterfall, with Convertibl'!$C$181:$J$181</c:f>
              <c:numCache/>
            </c:numRef>
          </c:val>
        </c:ser>
        <c:ser>
          <c:idx val="6"/>
          <c:order val="6"/>
          <c:tx>
            <c:strRef>
              <c:f>'Exit Waterfall, with Convertibl'!$B$182</c:f>
            </c:strRef>
          </c:tx>
          <c:spPr>
            <a:solidFill>
              <a:schemeClr val="accent1">
                <a:lumOff val="30000"/>
              </a:schemeClr>
            </a:solidFill>
            <a:ln cmpd="sng">
              <a:solidFill>
                <a:srgbClr val="000000"/>
              </a:solidFill>
            </a:ln>
          </c:spPr>
          <c:cat>
            <c:strRef>
              <c:f>'Exit Waterfall, with Convertibl'!$C$175:$J$175</c:f>
            </c:strRef>
          </c:cat>
          <c:val>
            <c:numRef>
              <c:f>'Exit Waterfall, with Convertibl'!$C$182:$J$182</c:f>
              <c:numCache/>
            </c:numRef>
          </c:val>
        </c:ser>
        <c:ser>
          <c:idx val="7"/>
          <c:order val="7"/>
          <c:tx>
            <c:strRef>
              <c:f>'Exit Waterfall, with Convertibl'!$B$183</c:f>
            </c:strRef>
          </c:tx>
          <c:spPr>
            <a:solidFill>
              <a:schemeClr val="accent2">
                <a:lumOff val="30000"/>
              </a:schemeClr>
            </a:solidFill>
            <a:ln cmpd="sng">
              <a:solidFill>
                <a:srgbClr val="000000"/>
              </a:solidFill>
            </a:ln>
          </c:spPr>
          <c:cat>
            <c:strRef>
              <c:f>'Exit Waterfall, with Convertibl'!$C$175:$J$175</c:f>
            </c:strRef>
          </c:cat>
          <c:val>
            <c:numRef>
              <c:f>'Exit Waterfall, with Convertibl'!$C$183:$J$183</c:f>
              <c:numCache/>
            </c:numRef>
          </c:val>
        </c:ser>
        <c:ser>
          <c:idx val="8"/>
          <c:order val="8"/>
          <c:tx>
            <c:strRef>
              <c:f>'Exit Waterfall, with Convertibl'!$B$184</c:f>
            </c:strRef>
          </c:tx>
          <c:spPr>
            <a:solidFill>
              <a:schemeClr val="accent3">
                <a:lumOff val="30000"/>
              </a:schemeClr>
            </a:solidFill>
            <a:ln cmpd="sng">
              <a:solidFill>
                <a:srgbClr val="000000"/>
              </a:solidFill>
            </a:ln>
          </c:spPr>
          <c:cat>
            <c:strRef>
              <c:f>'Exit Waterfall, with Convertibl'!$C$175:$J$175</c:f>
            </c:strRef>
          </c:cat>
          <c:val>
            <c:numRef>
              <c:f>'Exit Waterfall, with Convertibl'!$C$184:$J$184</c:f>
              <c:numCache/>
            </c:numRef>
          </c:val>
        </c:ser>
        <c:ser>
          <c:idx val="9"/>
          <c:order val="9"/>
          <c:tx>
            <c:strRef>
              <c:f>'Exit Waterfall, with Convertibl'!$B$185</c:f>
            </c:strRef>
          </c:tx>
          <c:spPr>
            <a:solidFill>
              <a:schemeClr val="accent4">
                <a:lumOff val="30000"/>
              </a:schemeClr>
            </a:solidFill>
            <a:ln cmpd="sng">
              <a:solidFill>
                <a:srgbClr val="000000"/>
              </a:solidFill>
            </a:ln>
          </c:spPr>
          <c:cat>
            <c:strRef>
              <c:f>'Exit Waterfall, with Convertibl'!$C$175:$J$175</c:f>
            </c:strRef>
          </c:cat>
          <c:val>
            <c:numRef>
              <c:f>'Exit Waterfall, with Convertibl'!$C$185:$J$185</c:f>
              <c:numCache/>
            </c:numRef>
          </c:val>
        </c:ser>
        <c:ser>
          <c:idx val="10"/>
          <c:order val="10"/>
          <c:tx>
            <c:strRef>
              <c:f>'Exit Waterfall, with Convertibl'!$B$186</c:f>
            </c:strRef>
          </c:tx>
          <c:spPr>
            <a:solidFill>
              <a:schemeClr val="accent5">
                <a:lumOff val="30000"/>
              </a:schemeClr>
            </a:solidFill>
            <a:ln cmpd="sng">
              <a:solidFill>
                <a:srgbClr val="000000"/>
              </a:solidFill>
            </a:ln>
          </c:spPr>
          <c:cat>
            <c:strRef>
              <c:f>'Exit Waterfall, with Convertibl'!$C$175:$J$175</c:f>
            </c:strRef>
          </c:cat>
          <c:val>
            <c:numRef>
              <c:f>'Exit Waterfall, with Convertibl'!$C$186:$J$186</c:f>
              <c:numCache/>
            </c:numRef>
          </c:val>
        </c:ser>
        <c:ser>
          <c:idx val="11"/>
          <c:order val="11"/>
          <c:tx>
            <c:strRef>
              <c:f>'Exit Waterfall, with Convertibl'!$B$187</c:f>
            </c:strRef>
          </c:tx>
          <c:spPr>
            <a:solidFill>
              <a:schemeClr val="accent6">
                <a:lumOff val="30000"/>
              </a:schemeClr>
            </a:solidFill>
            <a:ln cmpd="sng">
              <a:solidFill>
                <a:srgbClr val="000000"/>
              </a:solidFill>
            </a:ln>
          </c:spPr>
          <c:cat>
            <c:strRef>
              <c:f>'Exit Waterfall, with Convertibl'!$C$175:$J$175</c:f>
            </c:strRef>
          </c:cat>
          <c:val>
            <c:numRef>
              <c:f>'Exit Waterfall, with Convertibl'!$C$187:$J$187</c:f>
              <c:numCache/>
            </c:numRef>
          </c:val>
        </c:ser>
        <c:ser>
          <c:idx val="12"/>
          <c:order val="12"/>
          <c:tx>
            <c:strRef>
              <c:f>'Exit Waterfall, with Convertibl'!$B$188</c:f>
            </c:strRef>
          </c:tx>
          <c:spPr>
            <a:solidFill>
              <a:schemeClr val="accent1">
                <a:lumOff val="60000"/>
              </a:schemeClr>
            </a:solidFill>
            <a:ln cmpd="sng">
              <a:solidFill>
                <a:srgbClr val="000000"/>
              </a:solidFill>
            </a:ln>
          </c:spPr>
          <c:cat>
            <c:strRef>
              <c:f>'Exit Waterfall, with Convertibl'!$C$175:$J$175</c:f>
            </c:strRef>
          </c:cat>
          <c:val>
            <c:numRef>
              <c:f>'Exit Waterfall, with Convertibl'!$C$188:$J$188</c:f>
              <c:numCache/>
            </c:numRef>
          </c:val>
        </c:ser>
        <c:ser>
          <c:idx val="13"/>
          <c:order val="13"/>
          <c:tx>
            <c:strRef>
              <c:f>'Exit Waterfall, with Convertibl'!$B$189</c:f>
            </c:strRef>
          </c:tx>
          <c:spPr>
            <a:solidFill>
              <a:schemeClr val="accent2">
                <a:lumOff val="60000"/>
              </a:schemeClr>
            </a:solidFill>
            <a:ln cmpd="sng">
              <a:solidFill>
                <a:srgbClr val="000000"/>
              </a:solidFill>
            </a:ln>
          </c:spPr>
          <c:cat>
            <c:strRef>
              <c:f>'Exit Waterfall, with Convertibl'!$C$175:$J$175</c:f>
            </c:strRef>
          </c:cat>
          <c:val>
            <c:numRef>
              <c:f>'Exit Waterfall, with Convertibl'!$C$189:$J$189</c:f>
              <c:numCache/>
            </c:numRef>
          </c:val>
        </c:ser>
        <c:ser>
          <c:idx val="14"/>
          <c:order val="14"/>
          <c:tx>
            <c:strRef>
              <c:f>'Exit Waterfall, with Convertibl'!$B$190</c:f>
            </c:strRef>
          </c:tx>
          <c:spPr>
            <a:solidFill>
              <a:schemeClr val="accent3">
                <a:lumOff val="60000"/>
              </a:schemeClr>
            </a:solidFill>
            <a:ln cmpd="sng">
              <a:solidFill>
                <a:srgbClr val="000000"/>
              </a:solidFill>
            </a:ln>
          </c:spPr>
          <c:cat>
            <c:strRef>
              <c:f>'Exit Waterfall, with Convertibl'!$C$175:$J$175</c:f>
            </c:strRef>
          </c:cat>
          <c:val>
            <c:numRef>
              <c:f>'Exit Waterfall, with Convertibl'!$C$190:$J$190</c:f>
              <c:numCache/>
            </c:numRef>
          </c:val>
        </c:ser>
        <c:overlap val="100"/>
        <c:axId val="601287913"/>
        <c:axId val="1376185424"/>
      </c:barChart>
      <c:catAx>
        <c:axId val="601287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76185424"/>
      </c:catAx>
      <c:valAx>
        <c:axId val="13761854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1287913"/>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Distribution of Proceeds to Liquidation Preferences v. Common</a:t>
            </a:r>
          </a:p>
        </c:rich>
      </c:tx>
      <c:overlay val="0"/>
    </c:title>
    <c:plotArea>
      <c:layout/>
      <c:barChart>
        <c:barDir val="col"/>
        <c:grouping val="percentStacked"/>
        <c:ser>
          <c:idx val="0"/>
          <c:order val="0"/>
          <c:tx>
            <c:strRef>
              <c:f>'Exit Waterfall, with Convertibl'!$C$154</c:f>
            </c:strRef>
          </c:tx>
          <c:spPr>
            <a:solidFill>
              <a:schemeClr val="accent1"/>
            </a:solidFill>
            <a:ln cmpd="sng">
              <a:solidFill>
                <a:srgbClr val="000000"/>
              </a:solidFill>
            </a:ln>
          </c:spPr>
          <c:cat>
            <c:strRef>
              <c:f>'Exit Waterfall, with Convertibl'!$D$46:$J$46</c:f>
            </c:strRef>
          </c:cat>
          <c:val>
            <c:numRef>
              <c:f>'Exit Waterfall, with Convertibl'!$D$154:$J$154</c:f>
              <c:numCache/>
            </c:numRef>
          </c:val>
        </c:ser>
        <c:ser>
          <c:idx val="1"/>
          <c:order val="1"/>
          <c:tx>
            <c:strRef>
              <c:f>'Exit Waterfall, with Convertibl'!$C$172</c:f>
            </c:strRef>
          </c:tx>
          <c:spPr>
            <a:solidFill>
              <a:schemeClr val="accent2"/>
            </a:solidFill>
            <a:ln cmpd="sng">
              <a:solidFill>
                <a:srgbClr val="000000"/>
              </a:solidFill>
            </a:ln>
          </c:spPr>
          <c:cat>
            <c:strRef>
              <c:f>'Exit Waterfall, with Convertibl'!$D$46:$J$46</c:f>
            </c:strRef>
          </c:cat>
          <c:val>
            <c:numRef>
              <c:f>'Exit Waterfall, with Convertibl'!$D$172:$J$172</c:f>
              <c:numCache/>
            </c:numRef>
          </c:val>
        </c:ser>
        <c:overlap val="100"/>
        <c:axId val="190371387"/>
        <c:axId val="185541884"/>
      </c:barChart>
      <c:catAx>
        <c:axId val="190371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541884"/>
      </c:catAx>
      <c:valAx>
        <c:axId val="1855418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371387"/>
      </c:valAx>
    </c:plotArea>
    <c:legend>
      <c:legendPos val="b"/>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Distribution of Proceeds to Liquidation Preferences v. Common</a:t>
            </a:r>
          </a:p>
        </c:rich>
      </c:tx>
      <c:overlay val="0"/>
    </c:title>
    <c:plotArea>
      <c:layout/>
      <c:barChart>
        <c:barDir val="col"/>
        <c:grouping val="stacked"/>
        <c:ser>
          <c:idx val="0"/>
          <c:order val="0"/>
          <c:tx>
            <c:strRef>
              <c:f>'Exit Waterfall, with Convertibl'!$C$154</c:f>
            </c:strRef>
          </c:tx>
          <c:spPr>
            <a:solidFill>
              <a:schemeClr val="accent1"/>
            </a:solidFill>
            <a:ln cmpd="sng">
              <a:solidFill>
                <a:srgbClr val="000000"/>
              </a:solidFill>
            </a:ln>
          </c:spPr>
          <c:cat>
            <c:strRef>
              <c:f>'Exit Waterfall, with Convertibl'!$D$46:$J$46</c:f>
            </c:strRef>
          </c:cat>
          <c:val>
            <c:numRef>
              <c:f>'Exit Waterfall, with Convertibl'!$D$154:$J$154</c:f>
              <c:numCache/>
            </c:numRef>
          </c:val>
        </c:ser>
        <c:ser>
          <c:idx val="1"/>
          <c:order val="1"/>
          <c:tx>
            <c:strRef>
              <c:f>'Exit Waterfall, with Convertibl'!$C$172</c:f>
            </c:strRef>
          </c:tx>
          <c:spPr>
            <a:solidFill>
              <a:schemeClr val="accent2"/>
            </a:solidFill>
            <a:ln cmpd="sng">
              <a:solidFill>
                <a:srgbClr val="000000"/>
              </a:solidFill>
            </a:ln>
          </c:spPr>
          <c:cat>
            <c:strRef>
              <c:f>'Exit Waterfall, with Convertibl'!$D$46:$J$46</c:f>
            </c:strRef>
          </c:cat>
          <c:val>
            <c:numRef>
              <c:f>'Exit Waterfall, with Convertibl'!$D$172:$J$172</c:f>
              <c:numCache/>
            </c:numRef>
          </c:val>
        </c:ser>
        <c:overlap val="100"/>
        <c:axId val="416912504"/>
        <c:axId val="1857823327"/>
      </c:barChart>
      <c:catAx>
        <c:axId val="4169125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7823327"/>
      </c:catAx>
      <c:valAx>
        <c:axId val="18578233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6912504"/>
      </c:valAx>
    </c:plotArea>
    <c:legend>
      <c:legendPos val="b"/>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229</xdr:row>
      <xdr:rowOff>76200</xdr:rowOff>
    </xdr:from>
    <xdr:ext cx="5057775" cy="3714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28575</xdr:colOff>
      <xdr:row>229</xdr:row>
      <xdr:rowOff>76200</xdr:rowOff>
    </xdr:from>
    <xdr:ext cx="5057775" cy="37147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28575</xdr:colOff>
      <xdr:row>249</xdr:row>
      <xdr:rowOff>38100</xdr:rowOff>
    </xdr:from>
    <xdr:ext cx="5057775" cy="36195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28575</xdr:colOff>
      <xdr:row>249</xdr:row>
      <xdr:rowOff>38100</xdr:rowOff>
    </xdr:from>
    <xdr:ext cx="5057775" cy="36195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264</xdr:row>
      <xdr:rowOff>76200</xdr:rowOff>
    </xdr:from>
    <xdr:ext cx="5057775" cy="37147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28575</xdr:colOff>
      <xdr:row>264</xdr:row>
      <xdr:rowOff>76200</xdr:rowOff>
    </xdr:from>
    <xdr:ext cx="5057775" cy="371475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28575</xdr:colOff>
      <xdr:row>284</xdr:row>
      <xdr:rowOff>38100</xdr:rowOff>
    </xdr:from>
    <xdr:ext cx="5057775" cy="3619500"/>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28575</xdr:colOff>
      <xdr:row>284</xdr:row>
      <xdr:rowOff>38100</xdr:rowOff>
    </xdr:from>
    <xdr:ext cx="5057775" cy="361950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C12" displayName="Table_1" name="Table_1" id="1">
  <tableColumns count="2">
    <tableColumn name="Copyright &amp; Contact" id="1"/>
    <tableColumn name="This was created by Taylor Davidson (@tdavidson) of Foresight._x000a_© 2025, Unstructured Ventures, LLC._x000a_Questions, contact taylor@foresight.is or @tdavidson_x000a_" id="2"/>
  </tableColumns>
  <tableStyleInfo name="README-style" showColumnStripes="0" showFirstColumn="1" showLastColumn="1" showRowStripes="1"/>
</table>
</file>

<file path=xl/tables/table2.xml><?xml version="1.0" encoding="utf-8"?>
<table xmlns="http://schemas.openxmlformats.org/spreadsheetml/2006/main" ref="B16:C33" displayName="Table_2" name="Table_2" id="2">
  <tableColumns count="2">
    <tableColumn name="README" id="1"/>
    <tableColumn name="Contact into, overview on model. Safe to delete or hide." id="2"/>
  </tableColumns>
  <tableStyleInfo name="README-style 2" showColumnStripes="0" showFirstColumn="1" showLastColumn="1" showRowStripes="1"/>
</table>
</file>

<file path=xl/tables/table3.xml><?xml version="1.0" encoding="utf-8"?>
<table xmlns="http://schemas.openxmlformats.org/spreadsheetml/2006/main" ref="B7:D18" displayName="Table_3" name="Table_3" id="3">
  <tableColumns count="3">
    <tableColumn name="Cap Table and Exit Waterfall Tool" id="1"/>
    <tableColumn name="This model; instructional tool to learn how cap tables and exit waterfalls work" id="2"/>
    <tableColumn name="https://foresight.is/cap-table" id="3"/>
  </tableColumns>
  <tableStyleInfo name="Resources-style" showColumnStripes="0" showFirstColumn="1" showLastColumn="1" showRowStripes="1"/>
</table>
</file>

<file path=xl/tables/table4.xml><?xml version="1.0" encoding="utf-8"?>
<table xmlns="http://schemas.openxmlformats.org/spreadsheetml/2006/main" ref="B7:C46" displayName="Table_4" name="Table_4" id="4">
  <tableColumns count="2">
    <tableColumn name="Investment Amount" id="1"/>
    <tableColumn name="New amount invested to purchase shares in a round" id="2"/>
  </tableColumns>
  <tableStyleInfo name="Glossary-style" showColumnStripes="0" showFirstColumn="1" showLastColumn="1" showRowStripes="1"/>
</table>
</file>

<file path=xl/tables/table5.xml><?xml version="1.0" encoding="utf-8"?>
<table xmlns="http://schemas.openxmlformats.org/spreadsheetml/2006/main" headerRowCount="0" ref="B6:D64" displayName="Table_5" name="Table_5" id="5">
  <tableColumns count="3">
    <tableColumn name="Column1" id="1"/>
    <tableColumn name="Column2" id="2"/>
    <tableColumn name="Column3" id="3"/>
  </tableColumns>
  <tableStyleInfo name="Changelo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esight.is/learn/support" TargetMode="External"/><Relationship Id="rId2" Type="http://schemas.openxmlformats.org/officeDocument/2006/relationships/hyperlink" Target="https://foresight.is/cap-table-masterclass/" TargetMode="External"/><Relationship Id="rId3" Type="http://schemas.openxmlformats.org/officeDocument/2006/relationships/hyperlink" Target="https://foresight.is/learn/colors-and-formatting" TargetMode="External"/><Relationship Id="rId4" Type="http://schemas.openxmlformats.org/officeDocument/2006/relationships/hyperlink" Target="https://foresight.is/license" TargetMode="External"/><Relationship Id="rId13" Type="http://schemas.openxmlformats.org/officeDocument/2006/relationships/table" Target="../tables/table2.xml"/><Relationship Id="rId12"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foresight.is/docs/equity/" TargetMode="External"/><Relationship Id="rId6" Type="http://schemas.openxmlformats.org/officeDocument/2006/relationships/hyperlink" Target="https://foresight.is/docs/equity/" TargetMode="External"/><Relationship Id="rId7" Type="http://schemas.openxmlformats.org/officeDocument/2006/relationships/hyperlink" Target="https://foresight.is/docs/convertibles/" TargetMode="External"/><Relationship Id="rId8" Type="http://schemas.openxmlformats.org/officeDocument/2006/relationships/hyperlink" Target="https://foresight.is/docs/option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esight.is/docs/iterative-calculation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foresight.is/docs/iterative-calculation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ycombinator.com/documents" TargetMode="External"/><Relationship Id="rId10" Type="http://schemas.openxmlformats.org/officeDocument/2006/relationships/hyperlink" Target="https://carta.com/blog/pre-money-and-post-money-safes/" TargetMode="External"/><Relationship Id="rId13" Type="http://schemas.openxmlformats.org/officeDocument/2006/relationships/drawing" Target="../drawings/drawing10.xml"/><Relationship Id="rId12" Type="http://schemas.openxmlformats.org/officeDocument/2006/relationships/hyperlink" Target="https://vcmethod.com/" TargetMode="External"/><Relationship Id="rId1" Type="http://schemas.openxmlformats.org/officeDocument/2006/relationships/hyperlink" Target="https://foresight.is/cap-table" TargetMode="External"/><Relationship Id="rId2" Type="http://schemas.openxmlformats.org/officeDocument/2006/relationships/hyperlink" Target="https://www.angelcalc.com/" TargetMode="External"/><Relationship Id="rId3" Type="http://schemas.openxmlformats.org/officeDocument/2006/relationships/hyperlink" Target="https://safes.carta.com/" TargetMode="External"/><Relationship Id="rId4" Type="http://schemas.openxmlformats.org/officeDocument/2006/relationships/hyperlink" Target="https://foresight.is/cap-table-course/" TargetMode="External"/><Relationship Id="rId9" Type="http://schemas.openxmlformats.org/officeDocument/2006/relationships/hyperlink" Target="https://www.cooleygo.com/calculating-share-price-outstanding-convertible-notes-or-safes/" TargetMode="External"/><Relationship Id="rId15" Type="http://schemas.openxmlformats.org/officeDocument/2006/relationships/table" Target="../tables/table3.xml"/><Relationship Id="rId5" Type="http://schemas.openxmlformats.org/officeDocument/2006/relationships/hyperlink" Target="https://www.eloquens.com/search/cap%20table" TargetMode="External"/><Relationship Id="rId6" Type="http://schemas.openxmlformats.org/officeDocument/2006/relationships/hyperlink" Target="https://learn.angellist.com/articles/cap-table" TargetMode="External"/><Relationship Id="rId7" Type="http://schemas.openxmlformats.org/officeDocument/2006/relationships/hyperlink" Target="https://chloealpert.com/how-to-model-ownership-dilution-and-how-pro-rata-works-in-venture-capital-deals/" TargetMode="External"/><Relationship Id="rId8" Type="http://schemas.openxmlformats.org/officeDocument/2006/relationships/hyperlink" Target="https://ledgy.com/blog/pre-and-post-money-option-pools/" TargetMode="External"/></Relationships>
</file>

<file path=xl/worksheets/_rels/sheet11.xml.rels><?xml version="1.0" encoding="UTF-8" standalone="yes"?><Relationships xmlns="http://schemas.openxmlformats.org/package/2006/relationships"><Relationship Id="rId10" Type="http://schemas.openxmlformats.org/officeDocument/2006/relationships/drawing" Target="../drawings/drawing11.xml"/><Relationship Id="rId12" Type="http://schemas.openxmlformats.org/officeDocument/2006/relationships/table" Target="../tables/table4.xml"/><Relationship Id="rId1" Type="http://schemas.openxmlformats.org/officeDocument/2006/relationships/hyperlink" Target="https://www.investopedia.com/terms/e/equityfinancing.asp" TargetMode="External"/><Relationship Id="rId2" Type="http://schemas.openxmlformats.org/officeDocument/2006/relationships/hyperlink" Target="https://www.cooleygo.com/understanding-the-valuation-cap/" TargetMode="External"/><Relationship Id="rId3" Type="http://schemas.openxmlformats.org/officeDocument/2006/relationships/hyperlink" Target="https://www.upcounsel.com/convertible-note-interest-rate" TargetMode="External"/><Relationship Id="rId4" Type="http://schemas.openxmlformats.org/officeDocument/2006/relationships/hyperlink" Target="https://www.investopedia.com/terms/c/commonstock.asp" TargetMode="External"/><Relationship Id="rId9" Type="http://schemas.openxmlformats.org/officeDocument/2006/relationships/hyperlink" Target="https://www.investopedia.com/terms/w/warrant.asp" TargetMode="External"/><Relationship Id="rId5" Type="http://schemas.openxmlformats.org/officeDocument/2006/relationships/hyperlink" Target="https://www.investopedia.com/articles/stocks/06/preferredstock.asp" TargetMode="External"/><Relationship Id="rId6" Type="http://schemas.openxmlformats.org/officeDocument/2006/relationships/hyperlink" Target="https://www.cooleygo.com/calculating-share-price-outstanding-convertible-notes-or-safes/" TargetMode="External"/><Relationship Id="rId7" Type="http://schemas.openxmlformats.org/officeDocument/2006/relationships/hyperlink" Target="https://www.cooleygo.com/calculating-share-price-outstanding-convertible-notes-or-safes/" TargetMode="External"/><Relationship Id="rId8" Type="http://schemas.openxmlformats.org/officeDocument/2006/relationships/hyperlink" Target="https://www.cooleygo.com/calculating-share-price-outstanding-convertible-notes-or-safe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foresight.is/cap-table" TargetMode="External"/><Relationship Id="rId2" Type="http://schemas.openxmlformats.org/officeDocument/2006/relationships/drawing" Target="../drawings/drawing1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36.88"/>
    <col customWidth="1" min="3" max="3" width="65.63"/>
    <col customWidth="1" min="4" max="4" width="22.75"/>
  </cols>
  <sheetData>
    <row r="2">
      <c r="B2" s="1" t="s">
        <v>0</v>
      </c>
    </row>
    <row r="3">
      <c r="B3" s="2"/>
    </row>
    <row r="4">
      <c r="B4" s="3" t="s">
        <v>1</v>
      </c>
      <c r="C4" s="4" t="s">
        <v>2</v>
      </c>
    </row>
    <row r="5">
      <c r="B5" s="3" t="s">
        <v>3</v>
      </c>
      <c r="C5" s="4" t="s">
        <v>4</v>
      </c>
    </row>
    <row r="6">
      <c r="B6" s="3" t="s">
        <v>5</v>
      </c>
      <c r="C6" s="5" t="s">
        <v>6</v>
      </c>
    </row>
    <row r="7">
      <c r="B7" s="3" t="s">
        <v>7</v>
      </c>
      <c r="C7" s="6" t="s">
        <v>8</v>
      </c>
    </row>
    <row r="8">
      <c r="B8" s="7" t="s">
        <v>9</v>
      </c>
      <c r="C8" s="8" t="s">
        <v>10</v>
      </c>
    </row>
    <row r="9">
      <c r="B9" s="7" t="s">
        <v>11</v>
      </c>
      <c r="C9" s="8" t="s">
        <v>12</v>
      </c>
    </row>
    <row r="10">
      <c r="B10" s="7" t="s">
        <v>13</v>
      </c>
      <c r="C10" s="8" t="s">
        <v>14</v>
      </c>
    </row>
    <row r="11">
      <c r="B11" s="7" t="s">
        <v>15</v>
      </c>
      <c r="C11" s="8" t="s">
        <v>16</v>
      </c>
    </row>
    <row r="12">
      <c r="B12" s="3" t="s">
        <v>17</v>
      </c>
      <c r="C12" s="6" t="s">
        <v>18</v>
      </c>
    </row>
    <row r="13">
      <c r="B13" s="9"/>
      <c r="C13" s="10"/>
    </row>
    <row r="14">
      <c r="B14" s="11" t="s">
        <v>19</v>
      </c>
      <c r="C14" s="12"/>
    </row>
    <row r="15">
      <c r="B15" s="13"/>
      <c r="C15" s="14"/>
    </row>
    <row r="16">
      <c r="B16" s="4" t="s">
        <v>20</v>
      </c>
      <c r="C16" s="6" t="s">
        <v>21</v>
      </c>
    </row>
    <row r="17">
      <c r="B17" s="4" t="s">
        <v>22</v>
      </c>
      <c r="C17" s="8" t="s">
        <v>23</v>
      </c>
    </row>
    <row r="18">
      <c r="B18" s="4" t="s">
        <v>5</v>
      </c>
      <c r="C18" s="8" t="s">
        <v>24</v>
      </c>
    </row>
    <row r="19">
      <c r="B19" s="4" t="s">
        <v>25</v>
      </c>
      <c r="C19" s="6" t="s">
        <v>26</v>
      </c>
    </row>
    <row r="20">
      <c r="B20" s="6" t="s">
        <v>27</v>
      </c>
      <c r="C20" s="8" t="s">
        <v>28</v>
      </c>
    </row>
    <row r="21">
      <c r="B21" s="6" t="s">
        <v>29</v>
      </c>
      <c r="C21" s="8" t="s">
        <v>28</v>
      </c>
    </row>
    <row r="22">
      <c r="B22" s="6" t="s">
        <v>30</v>
      </c>
      <c r="C22" s="8" t="s">
        <v>31</v>
      </c>
    </row>
    <row r="23">
      <c r="B23" s="6" t="s">
        <v>32</v>
      </c>
      <c r="C23" s="8" t="s">
        <v>33</v>
      </c>
    </row>
    <row r="24">
      <c r="B24" s="6" t="s">
        <v>34</v>
      </c>
      <c r="C24" s="6" t="s">
        <v>35</v>
      </c>
    </row>
    <row r="25">
      <c r="B25" s="6" t="s">
        <v>36</v>
      </c>
      <c r="C25" s="6" t="s">
        <v>37</v>
      </c>
    </row>
    <row r="26">
      <c r="B26" s="6" t="s">
        <v>38</v>
      </c>
      <c r="C26" s="6" t="s">
        <v>39</v>
      </c>
    </row>
    <row r="27">
      <c r="B27" s="6" t="s">
        <v>40</v>
      </c>
      <c r="C27" s="6" t="s">
        <v>41</v>
      </c>
    </row>
    <row r="28">
      <c r="B28" s="6" t="s">
        <v>42</v>
      </c>
      <c r="C28" s="6" t="s">
        <v>43</v>
      </c>
    </row>
    <row r="29">
      <c r="B29" s="6" t="s">
        <v>44</v>
      </c>
      <c r="C29" s="6" t="s">
        <v>45</v>
      </c>
    </row>
    <row r="31">
      <c r="B31" s="6" t="s">
        <v>46</v>
      </c>
      <c r="C31" s="6" t="s">
        <v>47</v>
      </c>
    </row>
    <row r="32">
      <c r="B32" s="6" t="s">
        <v>48</v>
      </c>
      <c r="C32" s="6" t="s">
        <v>49</v>
      </c>
    </row>
    <row r="33">
      <c r="B33" s="6" t="s">
        <v>50</v>
      </c>
      <c r="C33" s="6" t="s">
        <v>51</v>
      </c>
    </row>
    <row r="34">
      <c r="B34" s="15"/>
      <c r="C34" s="16"/>
    </row>
  </sheetData>
  <hyperlinks>
    <hyperlink display="tl:dr; You can modify, edit, use, and share within your company (and with third-parties as needed to operate your business). You may not redistribute, resell, give away to others. Full license.&#10;" location="null!A1" ref="C6"/>
    <hyperlink display="File &gt; Make a Copy to copy it to your own Google Drive, or File &gt; Download to download this to use in Excel or other spreadsheet programs. See License for warranties and liabilities.&#10;" location="null!A1" ref="C8"/>
    <hyperlink r:id="rId1" ref="C9"/>
    <hyperlink r:id="rId2" ref="C10"/>
    <hyperlink display="Check out the Resources for other resources for modeling cap tables, and contact me if you have any questions or specific needs. I provide custom cap table modeling services to many founders, investors, and lawyers.&#10;" location="null!A1" ref="C11"/>
    <hyperlink r:id="rId3" ref="C17"/>
    <hyperlink r:id="rId4" ref="C18"/>
    <hyperlink r:id="rId5" ref="C20"/>
    <hyperlink r:id="rId6" ref="C21"/>
    <hyperlink r:id="rId7" ref="C22"/>
    <hyperlink r:id="rId8" ref="C23"/>
  </hyperlinks>
  <drawing r:id="rId9"/>
  <tableParts count="2">
    <tablePart r:id="rId12"/>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79.13"/>
  </cols>
  <sheetData>
    <row r="1" ht="29.25" customHeight="1">
      <c r="A1" s="1"/>
      <c r="B1" s="1" t="s">
        <v>52</v>
      </c>
    </row>
    <row r="2" ht="19.5" customHeight="1">
      <c r="A2" s="17"/>
      <c r="B2" s="18" t="s">
        <v>53</v>
      </c>
    </row>
    <row r="3">
      <c r="A3" s="19"/>
      <c r="B3" s="19"/>
    </row>
    <row r="4">
      <c r="A4" s="20"/>
      <c r="B4" s="20" t="s">
        <v>54</v>
      </c>
    </row>
    <row r="5">
      <c r="A5" s="19"/>
      <c r="B5" s="19"/>
    </row>
    <row r="6">
      <c r="A6" s="20"/>
      <c r="B6" s="20" t="s">
        <v>55</v>
      </c>
    </row>
    <row r="7">
      <c r="A7" s="19"/>
      <c r="B7" s="19"/>
    </row>
    <row r="8">
      <c r="A8" s="20"/>
      <c r="B8" s="20" t="s">
        <v>56</v>
      </c>
    </row>
    <row r="9">
      <c r="A9" s="20"/>
      <c r="B9" s="20" t="s">
        <v>57</v>
      </c>
    </row>
    <row r="10">
      <c r="A10" s="20"/>
      <c r="B10" s="20" t="s">
        <v>58</v>
      </c>
    </row>
    <row r="11">
      <c r="A11" s="20"/>
      <c r="B11" s="20" t="s">
        <v>59</v>
      </c>
    </row>
    <row r="12">
      <c r="A12" s="20"/>
      <c r="B12" s="20" t="s">
        <v>60</v>
      </c>
    </row>
    <row r="13">
      <c r="A13" s="19"/>
      <c r="B13" s="19"/>
    </row>
    <row r="14">
      <c r="A14" s="20"/>
      <c r="B14" s="20" t="s">
        <v>61</v>
      </c>
    </row>
    <row r="15">
      <c r="A15" s="20"/>
      <c r="B15" s="20" t="s">
        <v>62</v>
      </c>
    </row>
    <row r="16">
      <c r="A16" s="20"/>
      <c r="B16" s="20" t="s">
        <v>63</v>
      </c>
    </row>
    <row r="17">
      <c r="A17" s="20"/>
      <c r="B17" s="20" t="s">
        <v>64</v>
      </c>
    </row>
    <row r="18">
      <c r="A18" s="20"/>
      <c r="B18" s="20" t="s">
        <v>65</v>
      </c>
    </row>
    <row r="19">
      <c r="A19" s="20"/>
      <c r="B19" s="20" t="s">
        <v>66</v>
      </c>
    </row>
    <row r="20">
      <c r="A20" s="20"/>
      <c r="B20" s="20" t="s">
        <v>67</v>
      </c>
    </row>
    <row r="21">
      <c r="A21" s="20"/>
      <c r="B21" s="20" t="s">
        <v>68</v>
      </c>
    </row>
    <row r="22">
      <c r="A22" s="19"/>
      <c r="B22" s="19"/>
    </row>
    <row r="23">
      <c r="A23" s="20"/>
      <c r="B23" s="20" t="s">
        <v>69</v>
      </c>
    </row>
    <row r="24">
      <c r="A24" s="19"/>
      <c r="B24" s="19"/>
    </row>
    <row r="25">
      <c r="A25" s="20"/>
      <c r="B25" s="20" t="s">
        <v>70</v>
      </c>
    </row>
    <row r="26">
      <c r="A26" s="19"/>
      <c r="B26" s="19"/>
    </row>
    <row r="27">
      <c r="A27" s="20"/>
      <c r="B27" s="20" t="s">
        <v>71</v>
      </c>
    </row>
    <row r="28">
      <c r="A28" s="19"/>
      <c r="B28" s="19"/>
    </row>
    <row r="29">
      <c r="A29" s="20"/>
      <c r="B29" s="20" t="s">
        <v>72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2" width="37.88"/>
    <col customWidth="1" min="9" max="9" width="16.88"/>
    <col customWidth="1" min="10" max="10" width="10.0"/>
    <col customWidth="1" min="11" max="11" width="14.63"/>
    <col customWidth="1" min="12" max="12" width="16.88"/>
    <col customWidth="1" min="13" max="13" width="13.25"/>
    <col customWidth="1" min="14" max="15" width="13.63"/>
    <col customWidth="1" min="16" max="17" width="16.0"/>
    <col customWidth="1" min="18" max="18" width="13.5"/>
    <col customWidth="1" min="19" max="19" width="14.13"/>
    <col customWidth="1" min="20" max="20" width="13.25"/>
    <col customWidth="1" min="21" max="21" width="15.13"/>
    <col customWidth="1" min="22" max="22" width="14.5"/>
    <col customWidth="1" min="23" max="23" width="13.5"/>
    <col customWidth="1" min="24" max="26" width="13.25"/>
    <col customWidth="1" min="27" max="27" width="14.63"/>
    <col customWidth="1" min="28" max="28" width="16.88"/>
    <col customWidth="1" min="29" max="29" width="13.25"/>
    <col customWidth="1" min="30" max="31" width="13.63"/>
    <col customWidth="1" min="32" max="33" width="16.0"/>
    <col customWidth="1" min="34" max="34" width="13.5"/>
    <col customWidth="1" min="35" max="35" width="14.13"/>
    <col customWidth="1" min="36" max="36" width="13.25"/>
    <col customWidth="1" min="37" max="37" width="15.13"/>
    <col customWidth="1" min="38" max="38" width="14.5"/>
    <col customWidth="1" min="39" max="39" width="13.5"/>
    <col customWidth="1" min="40" max="42" width="13.25"/>
  </cols>
  <sheetData>
    <row r="1">
      <c r="L1" s="21"/>
      <c r="Q1" s="21"/>
      <c r="R1" s="21"/>
      <c r="S1" s="21"/>
      <c r="T1" s="21"/>
      <c r="U1" s="21"/>
      <c r="V1" s="21"/>
      <c r="AB1" s="21"/>
      <c r="AG1" s="21"/>
      <c r="AH1" s="21"/>
      <c r="AI1" s="21"/>
      <c r="AJ1" s="21"/>
      <c r="AK1" s="21"/>
      <c r="AL1" s="21"/>
    </row>
    <row r="2">
      <c r="B2" s="1" t="s">
        <v>73</v>
      </c>
      <c r="G2" s="22" t="s">
        <v>74</v>
      </c>
      <c r="L2" s="21"/>
      <c r="Q2" s="21"/>
      <c r="R2" s="21"/>
      <c r="S2" s="21"/>
      <c r="T2" s="21"/>
      <c r="U2" s="21"/>
      <c r="V2" s="21"/>
      <c r="AB2" s="21"/>
      <c r="AG2" s="21"/>
      <c r="AH2" s="21"/>
      <c r="AI2" s="21"/>
      <c r="AJ2" s="21"/>
      <c r="AK2" s="21"/>
      <c r="AL2" s="21"/>
    </row>
    <row r="3">
      <c r="B3" s="23" t="s">
        <v>75</v>
      </c>
      <c r="L3" s="21"/>
      <c r="Q3" s="21"/>
      <c r="R3" s="21"/>
      <c r="S3" s="21"/>
      <c r="T3" s="21"/>
      <c r="U3" s="21"/>
      <c r="V3" s="21"/>
      <c r="AB3" s="21"/>
      <c r="AG3" s="21"/>
      <c r="AH3" s="21"/>
      <c r="AI3" s="21"/>
      <c r="AJ3" s="21"/>
      <c r="AK3" s="21"/>
      <c r="AL3" s="21"/>
    </row>
    <row r="4">
      <c r="L4" s="21"/>
      <c r="Q4" s="21"/>
      <c r="R4" s="21"/>
      <c r="S4" s="21"/>
      <c r="T4" s="21"/>
      <c r="U4" s="21"/>
      <c r="V4" s="21"/>
      <c r="AB4" s="21"/>
      <c r="AG4" s="21"/>
      <c r="AH4" s="21"/>
      <c r="AI4" s="21"/>
      <c r="AJ4" s="21"/>
      <c r="AK4" s="21"/>
      <c r="AL4" s="21"/>
    </row>
    <row r="5">
      <c r="B5" s="24" t="s">
        <v>76</v>
      </c>
      <c r="C5" s="25"/>
      <c r="D5" s="25"/>
      <c r="E5" s="25"/>
      <c r="F5" s="25"/>
      <c r="G5" s="25"/>
      <c r="H5" s="25"/>
      <c r="I5" s="25"/>
      <c r="K5" s="24" t="s">
        <v>77</v>
      </c>
      <c r="L5" s="26"/>
      <c r="M5" s="25"/>
      <c r="N5" s="25"/>
      <c r="O5" s="25"/>
      <c r="P5" s="26"/>
      <c r="Q5" s="26"/>
      <c r="R5" s="26"/>
      <c r="S5" s="26"/>
      <c r="T5" s="26"/>
      <c r="U5" s="26"/>
      <c r="V5" s="25"/>
      <c r="W5" s="25"/>
      <c r="X5" s="25"/>
      <c r="Y5" s="25"/>
      <c r="AA5" s="24" t="s">
        <v>77</v>
      </c>
      <c r="AB5" s="26"/>
      <c r="AC5" s="25"/>
      <c r="AD5" s="25"/>
      <c r="AE5" s="25"/>
      <c r="AF5" s="26"/>
      <c r="AG5" s="26"/>
      <c r="AH5" s="26"/>
      <c r="AI5" s="26"/>
      <c r="AJ5" s="26"/>
      <c r="AK5" s="26"/>
      <c r="AL5" s="25"/>
      <c r="AM5" s="25"/>
      <c r="AN5" s="25"/>
      <c r="AO5" s="25"/>
    </row>
    <row r="6">
      <c r="L6" s="21"/>
      <c r="P6" s="21"/>
      <c r="Q6" s="21"/>
      <c r="R6" s="21"/>
      <c r="S6" s="21"/>
      <c r="T6" s="21"/>
      <c r="U6" s="21"/>
      <c r="AB6" s="21"/>
      <c r="AF6" s="21"/>
      <c r="AG6" s="21"/>
      <c r="AH6" s="21"/>
      <c r="AI6" s="21"/>
      <c r="AJ6" s="21"/>
      <c r="AK6" s="21"/>
    </row>
    <row r="7">
      <c r="A7" s="27"/>
      <c r="B7" s="28" t="s">
        <v>78</v>
      </c>
      <c r="C7" s="29" t="s">
        <v>79</v>
      </c>
      <c r="D7" s="29" t="s">
        <v>80</v>
      </c>
      <c r="E7" s="29" t="s">
        <v>81</v>
      </c>
      <c r="F7" s="29" t="s">
        <v>82</v>
      </c>
      <c r="G7" s="29" t="s">
        <v>83</v>
      </c>
      <c r="H7" s="29" t="s">
        <v>84</v>
      </c>
      <c r="I7" s="29" t="s">
        <v>85</v>
      </c>
      <c r="J7" s="27"/>
      <c r="K7" s="28" t="s">
        <v>86</v>
      </c>
      <c r="L7" s="30" t="s">
        <v>87</v>
      </c>
      <c r="M7" s="30" t="s">
        <v>88</v>
      </c>
      <c r="N7" s="30" t="s">
        <v>88</v>
      </c>
      <c r="O7" s="30" t="s">
        <v>89</v>
      </c>
      <c r="P7" s="30" t="str">
        <f t="shared" ref="P7:Q7" si="1">C7&amp;" Transferred"</f>
        <v>Common Shares Transferred</v>
      </c>
      <c r="Q7" s="30" t="str">
        <f t="shared" si="1"/>
        <v>Preferred Shares Transferred</v>
      </c>
      <c r="R7" s="30" t="str">
        <f>E7&amp;" Issued, Cancelled, or Recategorized"</f>
        <v>Options Issued, Cancelled, or Recategorized</v>
      </c>
      <c r="S7" s="29" t="str">
        <f t="shared" ref="S7:Y7" si="2">C7</f>
        <v>Common Shares</v>
      </c>
      <c r="T7" s="29" t="str">
        <f t="shared" si="2"/>
        <v>Preferred Shares</v>
      </c>
      <c r="U7" s="29" t="str">
        <f t="shared" si="2"/>
        <v>Options</v>
      </c>
      <c r="V7" s="29" t="str">
        <f t="shared" si="2"/>
        <v>Issued and Outstanding</v>
      </c>
      <c r="W7" s="29" t="str">
        <f t="shared" si="2"/>
        <v>% Issued and Outstanding</v>
      </c>
      <c r="X7" s="30" t="str">
        <f t="shared" si="2"/>
        <v>Fully Diluted Shares</v>
      </c>
      <c r="Y7" s="29" t="str">
        <f t="shared" si="2"/>
        <v>% Fully Diluted</v>
      </c>
      <c r="AA7" s="28" t="s">
        <v>86</v>
      </c>
      <c r="AB7" s="30" t="s">
        <v>87</v>
      </c>
      <c r="AC7" s="30" t="s">
        <v>88</v>
      </c>
      <c r="AD7" s="30" t="s">
        <v>88</v>
      </c>
      <c r="AE7" s="30" t="s">
        <v>89</v>
      </c>
      <c r="AF7" s="30" t="str">
        <f t="shared" ref="AF7:AG7" si="3">S7&amp;" Transferred"</f>
        <v>Common Shares Transferred</v>
      </c>
      <c r="AG7" s="30" t="str">
        <f t="shared" si="3"/>
        <v>Preferred Shares Transferred</v>
      </c>
      <c r="AH7" s="30" t="str">
        <f>U7&amp;" Issued, Cancelled, or Recategorized"</f>
        <v>Options Issued, Cancelled, or Recategorized</v>
      </c>
      <c r="AI7" s="29" t="str">
        <f t="shared" ref="AI7:AO7" si="4">S7</f>
        <v>Common Shares</v>
      </c>
      <c r="AJ7" s="29" t="str">
        <f t="shared" si="4"/>
        <v>Preferred Shares</v>
      </c>
      <c r="AK7" s="29" t="str">
        <f t="shared" si="4"/>
        <v>Options</v>
      </c>
      <c r="AL7" s="29" t="str">
        <f t="shared" si="4"/>
        <v>Issued and Outstanding</v>
      </c>
      <c r="AM7" s="29" t="str">
        <f t="shared" si="4"/>
        <v>% Issued and Outstanding</v>
      </c>
      <c r="AN7" s="30" t="str">
        <f t="shared" si="4"/>
        <v>Fully Diluted Shares</v>
      </c>
      <c r="AO7" s="29" t="str">
        <f t="shared" si="4"/>
        <v>% Fully Diluted</v>
      </c>
    </row>
    <row r="8">
      <c r="B8" s="31"/>
      <c r="D8" s="32" t="s">
        <v>90</v>
      </c>
      <c r="L8" s="32" t="s">
        <v>91</v>
      </c>
      <c r="M8" s="32" t="s">
        <v>92</v>
      </c>
      <c r="N8" s="32" t="s">
        <v>93</v>
      </c>
      <c r="O8" s="32" t="s">
        <v>94</v>
      </c>
      <c r="P8" s="33" t="s">
        <v>95</v>
      </c>
      <c r="Q8" s="32"/>
      <c r="R8" s="32"/>
      <c r="X8" s="21"/>
      <c r="AB8" s="32" t="s">
        <v>91</v>
      </c>
      <c r="AC8" s="32" t="s">
        <v>92</v>
      </c>
      <c r="AD8" s="32" t="s">
        <v>93</v>
      </c>
      <c r="AE8" s="32" t="s">
        <v>94</v>
      </c>
      <c r="AF8" s="33" t="s">
        <v>95</v>
      </c>
      <c r="AG8" s="32"/>
      <c r="AH8" s="32"/>
      <c r="AN8" s="21"/>
    </row>
    <row r="9">
      <c r="B9" s="34" t="s">
        <v>96</v>
      </c>
      <c r="C9" s="35"/>
      <c r="D9" s="35"/>
      <c r="E9" s="35"/>
      <c r="F9" s="36"/>
      <c r="G9" s="37"/>
      <c r="H9" s="36"/>
      <c r="I9" s="37"/>
      <c r="L9" s="21"/>
      <c r="M9" s="36"/>
      <c r="N9" s="36"/>
      <c r="O9" s="36"/>
      <c r="P9" s="36"/>
      <c r="Q9" s="36"/>
      <c r="R9" s="36"/>
      <c r="S9" s="36"/>
      <c r="T9" s="36"/>
      <c r="U9" s="36"/>
      <c r="V9" s="36"/>
      <c r="W9" s="37"/>
      <c r="X9" s="36"/>
      <c r="Y9" s="37"/>
      <c r="AB9" s="21"/>
      <c r="AC9" s="36"/>
      <c r="AD9" s="36"/>
      <c r="AE9" s="36"/>
      <c r="AF9" s="36"/>
      <c r="AG9" s="36"/>
      <c r="AH9" s="36"/>
      <c r="AI9" s="36"/>
      <c r="AJ9" s="36"/>
      <c r="AK9" s="36"/>
      <c r="AL9" s="36"/>
      <c r="AM9" s="37"/>
      <c r="AN9" s="36"/>
      <c r="AO9" s="37"/>
    </row>
    <row r="10">
      <c r="B10" s="38" t="s">
        <v>78</v>
      </c>
      <c r="C10" s="39">
        <v>1.0E7</v>
      </c>
      <c r="D10" s="40">
        <v>0.0</v>
      </c>
      <c r="E10" s="41">
        <v>0.0</v>
      </c>
      <c r="F10" s="36">
        <f t="shared" ref="F10:F14" si="5">D10+C10</f>
        <v>10000000</v>
      </c>
      <c r="G10" s="37">
        <f t="shared" ref="G10:G14" si="6">iferror(F10/F$34,0)</f>
        <v>1</v>
      </c>
      <c r="H10" s="36">
        <f t="shared" ref="H10:H14" si="7">E10+D10+C10</f>
        <v>10000000</v>
      </c>
      <c r="I10" s="37">
        <f t="shared" ref="I10:I14" si="8">iferror(H10/H$34,0)</f>
        <v>1</v>
      </c>
      <c r="K10" s="42">
        <v>0.0</v>
      </c>
      <c r="L10" s="42">
        <v>0.0</v>
      </c>
      <c r="M10" s="42">
        <v>0.0</v>
      </c>
      <c r="N10" s="42">
        <v>0.0</v>
      </c>
      <c r="O10" s="42">
        <v>0.0</v>
      </c>
      <c r="P10" s="39">
        <v>0.0</v>
      </c>
      <c r="Q10" s="39">
        <v>0.0</v>
      </c>
      <c r="R10" s="39">
        <v>0.0</v>
      </c>
      <c r="S10" s="36">
        <f t="shared" ref="S10:S14" si="9">C10+P10</f>
        <v>10000000</v>
      </c>
      <c r="T10" s="36">
        <f t="shared" ref="T10:T14" si="10">N10+D10+M10+Q10</f>
        <v>0</v>
      </c>
      <c r="U10" s="36">
        <f t="shared" ref="U10:U14" si="11">E10+O10+R10</f>
        <v>0</v>
      </c>
      <c r="V10" s="36">
        <f t="shared" ref="V10:V14" si="12">T10+S10</f>
        <v>10000000</v>
      </c>
      <c r="W10" s="37">
        <f t="shared" ref="W10:W14" si="13">iferror(V10/V$34,0)</f>
        <v>0.2885255218</v>
      </c>
      <c r="X10" s="36">
        <f t="shared" ref="X10:X14" si="14">U10+T10+S10</f>
        <v>10000000</v>
      </c>
      <c r="Y10" s="37">
        <f t="shared" ref="Y10:Y14" si="15">iferror(X10/X$34,0)</f>
        <v>0.2885255218</v>
      </c>
      <c r="AA10" s="42">
        <v>0.0</v>
      </c>
      <c r="AB10" s="42">
        <v>0.0</v>
      </c>
      <c r="AC10" s="42">
        <v>0.0</v>
      </c>
      <c r="AD10" s="42">
        <v>0.0</v>
      </c>
      <c r="AE10" s="42">
        <v>0.0</v>
      </c>
      <c r="AF10" s="39">
        <v>0.0</v>
      </c>
      <c r="AG10" s="39">
        <v>0.0</v>
      </c>
      <c r="AH10" s="39">
        <v>0.0</v>
      </c>
      <c r="AI10" s="36">
        <f t="shared" ref="AI10:AI14" si="16">S10+AF10</f>
        <v>10000000</v>
      </c>
      <c r="AJ10" s="36">
        <f t="shared" ref="AJ10:AJ14" si="17">AD10+T10+AC10+AG10</f>
        <v>0</v>
      </c>
      <c r="AK10" s="36">
        <f t="shared" ref="AK10:AK14" si="18">U10+AE10+AH10</f>
        <v>0</v>
      </c>
      <c r="AL10" s="36">
        <f t="shared" ref="AL10:AL14" si="19">AJ10+AI10</f>
        <v>10000000</v>
      </c>
      <c r="AM10" s="37">
        <f t="shared" ref="AM10:AM14" si="20">iferror(AL10/AL$34,0)</f>
        <v>0.2885255218</v>
      </c>
      <c r="AN10" s="36">
        <f t="shared" ref="AN10:AN14" si="21">AK10+AJ10+AI10</f>
        <v>10000000</v>
      </c>
      <c r="AO10" s="37">
        <f t="shared" ref="AO10:AO14" si="22">iferror(AN10/AN$34,0)</f>
        <v>0.2885255218</v>
      </c>
    </row>
    <row r="11">
      <c r="B11" s="38" t="s">
        <v>78</v>
      </c>
      <c r="C11" s="39">
        <v>0.0</v>
      </c>
      <c r="D11" s="40">
        <v>0.0</v>
      </c>
      <c r="E11" s="41">
        <v>0.0</v>
      </c>
      <c r="F11" s="36">
        <f t="shared" si="5"/>
        <v>0</v>
      </c>
      <c r="G11" s="37">
        <f t="shared" si="6"/>
        <v>0</v>
      </c>
      <c r="H11" s="36">
        <f t="shared" si="7"/>
        <v>0</v>
      </c>
      <c r="I11" s="37">
        <f t="shared" si="8"/>
        <v>0</v>
      </c>
      <c r="K11" s="42">
        <v>0.0</v>
      </c>
      <c r="L11" s="42">
        <v>0.0</v>
      </c>
      <c r="M11" s="42">
        <v>0.0</v>
      </c>
      <c r="N11" s="42">
        <v>0.0</v>
      </c>
      <c r="O11" s="42">
        <v>0.0</v>
      </c>
      <c r="P11" s="39">
        <v>0.0</v>
      </c>
      <c r="Q11" s="39">
        <v>0.0</v>
      </c>
      <c r="R11" s="39">
        <v>0.0</v>
      </c>
      <c r="S11" s="36">
        <f t="shared" si="9"/>
        <v>0</v>
      </c>
      <c r="T11" s="36">
        <f t="shared" si="10"/>
        <v>0</v>
      </c>
      <c r="U11" s="36">
        <f t="shared" si="11"/>
        <v>0</v>
      </c>
      <c r="V11" s="36">
        <f t="shared" si="12"/>
        <v>0</v>
      </c>
      <c r="W11" s="37">
        <f t="shared" si="13"/>
        <v>0</v>
      </c>
      <c r="X11" s="36">
        <f t="shared" si="14"/>
        <v>0</v>
      </c>
      <c r="Y11" s="37">
        <f t="shared" si="15"/>
        <v>0</v>
      </c>
      <c r="AA11" s="42">
        <v>0.0</v>
      </c>
      <c r="AB11" s="42">
        <v>0.0</v>
      </c>
      <c r="AC11" s="42">
        <v>0.0</v>
      </c>
      <c r="AD11" s="42">
        <v>0.0</v>
      </c>
      <c r="AE11" s="42">
        <v>0.0</v>
      </c>
      <c r="AF11" s="39">
        <v>0.0</v>
      </c>
      <c r="AG11" s="39">
        <v>0.0</v>
      </c>
      <c r="AH11" s="39">
        <v>0.0</v>
      </c>
      <c r="AI11" s="36">
        <f t="shared" si="16"/>
        <v>0</v>
      </c>
      <c r="AJ11" s="36">
        <f t="shared" si="17"/>
        <v>0</v>
      </c>
      <c r="AK11" s="36">
        <f t="shared" si="18"/>
        <v>0</v>
      </c>
      <c r="AL11" s="36">
        <f t="shared" si="19"/>
        <v>0</v>
      </c>
      <c r="AM11" s="37">
        <f t="shared" si="20"/>
        <v>0</v>
      </c>
      <c r="AN11" s="36">
        <f t="shared" si="21"/>
        <v>0</v>
      </c>
      <c r="AO11" s="37">
        <f t="shared" si="22"/>
        <v>0</v>
      </c>
    </row>
    <row r="12">
      <c r="B12" s="38" t="s">
        <v>78</v>
      </c>
      <c r="C12" s="39">
        <v>0.0</v>
      </c>
      <c r="D12" s="40">
        <v>0.0</v>
      </c>
      <c r="E12" s="41">
        <v>0.0</v>
      </c>
      <c r="F12" s="36">
        <f t="shared" si="5"/>
        <v>0</v>
      </c>
      <c r="G12" s="37">
        <f t="shared" si="6"/>
        <v>0</v>
      </c>
      <c r="H12" s="36">
        <f t="shared" si="7"/>
        <v>0</v>
      </c>
      <c r="I12" s="37">
        <f t="shared" si="8"/>
        <v>0</v>
      </c>
      <c r="K12" s="42">
        <v>0.0</v>
      </c>
      <c r="L12" s="42">
        <v>0.0</v>
      </c>
      <c r="M12" s="42">
        <v>0.0</v>
      </c>
      <c r="N12" s="42">
        <v>0.0</v>
      </c>
      <c r="O12" s="42">
        <v>0.0</v>
      </c>
      <c r="P12" s="39">
        <v>0.0</v>
      </c>
      <c r="Q12" s="39">
        <v>0.0</v>
      </c>
      <c r="R12" s="39">
        <v>0.0</v>
      </c>
      <c r="S12" s="36">
        <f t="shared" si="9"/>
        <v>0</v>
      </c>
      <c r="T12" s="36">
        <f t="shared" si="10"/>
        <v>0</v>
      </c>
      <c r="U12" s="36">
        <f t="shared" si="11"/>
        <v>0</v>
      </c>
      <c r="V12" s="36">
        <f t="shared" si="12"/>
        <v>0</v>
      </c>
      <c r="W12" s="37">
        <f t="shared" si="13"/>
        <v>0</v>
      </c>
      <c r="X12" s="36">
        <f t="shared" si="14"/>
        <v>0</v>
      </c>
      <c r="Y12" s="37">
        <f t="shared" si="15"/>
        <v>0</v>
      </c>
      <c r="AA12" s="42">
        <v>0.0</v>
      </c>
      <c r="AB12" s="42">
        <v>0.0</v>
      </c>
      <c r="AC12" s="42">
        <v>0.0</v>
      </c>
      <c r="AD12" s="42">
        <v>0.0</v>
      </c>
      <c r="AE12" s="42">
        <v>0.0</v>
      </c>
      <c r="AF12" s="39">
        <v>0.0</v>
      </c>
      <c r="AG12" s="39">
        <v>0.0</v>
      </c>
      <c r="AH12" s="39">
        <v>0.0</v>
      </c>
      <c r="AI12" s="36">
        <f t="shared" si="16"/>
        <v>0</v>
      </c>
      <c r="AJ12" s="36">
        <f t="shared" si="17"/>
        <v>0</v>
      </c>
      <c r="AK12" s="36">
        <f t="shared" si="18"/>
        <v>0</v>
      </c>
      <c r="AL12" s="36">
        <f t="shared" si="19"/>
        <v>0</v>
      </c>
      <c r="AM12" s="37">
        <f t="shared" si="20"/>
        <v>0</v>
      </c>
      <c r="AN12" s="36">
        <f t="shared" si="21"/>
        <v>0</v>
      </c>
      <c r="AO12" s="37">
        <f t="shared" si="22"/>
        <v>0</v>
      </c>
    </row>
    <row r="13">
      <c r="B13" s="38" t="s">
        <v>78</v>
      </c>
      <c r="C13" s="39">
        <v>0.0</v>
      </c>
      <c r="D13" s="40">
        <v>0.0</v>
      </c>
      <c r="E13" s="41">
        <v>0.0</v>
      </c>
      <c r="F13" s="36">
        <f t="shared" si="5"/>
        <v>0</v>
      </c>
      <c r="G13" s="37">
        <f t="shared" si="6"/>
        <v>0</v>
      </c>
      <c r="H13" s="36">
        <f t="shared" si="7"/>
        <v>0</v>
      </c>
      <c r="I13" s="37">
        <f t="shared" si="8"/>
        <v>0</v>
      </c>
      <c r="K13" s="42">
        <v>0.0</v>
      </c>
      <c r="L13" s="42">
        <v>0.0</v>
      </c>
      <c r="M13" s="42">
        <v>0.0</v>
      </c>
      <c r="N13" s="42">
        <v>0.0</v>
      </c>
      <c r="O13" s="42">
        <v>0.0</v>
      </c>
      <c r="P13" s="39">
        <v>0.0</v>
      </c>
      <c r="Q13" s="39">
        <v>0.0</v>
      </c>
      <c r="R13" s="39">
        <v>0.0</v>
      </c>
      <c r="S13" s="36">
        <f t="shared" si="9"/>
        <v>0</v>
      </c>
      <c r="T13" s="36">
        <f t="shared" si="10"/>
        <v>0</v>
      </c>
      <c r="U13" s="36">
        <f t="shared" si="11"/>
        <v>0</v>
      </c>
      <c r="V13" s="36">
        <f t="shared" si="12"/>
        <v>0</v>
      </c>
      <c r="W13" s="37">
        <f t="shared" si="13"/>
        <v>0</v>
      </c>
      <c r="X13" s="36">
        <f t="shared" si="14"/>
        <v>0</v>
      </c>
      <c r="Y13" s="37">
        <f t="shared" si="15"/>
        <v>0</v>
      </c>
      <c r="AA13" s="42">
        <v>0.0</v>
      </c>
      <c r="AB13" s="42">
        <v>0.0</v>
      </c>
      <c r="AC13" s="42">
        <v>0.0</v>
      </c>
      <c r="AD13" s="42">
        <v>0.0</v>
      </c>
      <c r="AE13" s="42">
        <v>0.0</v>
      </c>
      <c r="AF13" s="39">
        <v>0.0</v>
      </c>
      <c r="AG13" s="39">
        <v>0.0</v>
      </c>
      <c r="AH13" s="39">
        <v>0.0</v>
      </c>
      <c r="AI13" s="36">
        <f t="shared" si="16"/>
        <v>0</v>
      </c>
      <c r="AJ13" s="36">
        <f t="shared" si="17"/>
        <v>0</v>
      </c>
      <c r="AK13" s="36">
        <f t="shared" si="18"/>
        <v>0</v>
      </c>
      <c r="AL13" s="36">
        <f t="shared" si="19"/>
        <v>0</v>
      </c>
      <c r="AM13" s="37">
        <f t="shared" si="20"/>
        <v>0</v>
      </c>
      <c r="AN13" s="36">
        <f t="shared" si="21"/>
        <v>0</v>
      </c>
      <c r="AO13" s="37">
        <f t="shared" si="22"/>
        <v>0</v>
      </c>
    </row>
    <row r="14">
      <c r="B14" s="38" t="s">
        <v>78</v>
      </c>
      <c r="C14" s="39">
        <v>0.0</v>
      </c>
      <c r="D14" s="40">
        <v>0.0</v>
      </c>
      <c r="E14" s="41">
        <v>0.0</v>
      </c>
      <c r="F14" s="36">
        <f t="shared" si="5"/>
        <v>0</v>
      </c>
      <c r="G14" s="37">
        <f t="shared" si="6"/>
        <v>0</v>
      </c>
      <c r="H14" s="36">
        <f t="shared" si="7"/>
        <v>0</v>
      </c>
      <c r="I14" s="37">
        <f t="shared" si="8"/>
        <v>0</v>
      </c>
      <c r="K14" s="42">
        <v>0.0</v>
      </c>
      <c r="L14" s="42">
        <v>0.0</v>
      </c>
      <c r="M14" s="42">
        <v>0.0</v>
      </c>
      <c r="N14" s="42">
        <v>0.0</v>
      </c>
      <c r="O14" s="42">
        <v>0.0</v>
      </c>
      <c r="P14" s="39">
        <v>0.0</v>
      </c>
      <c r="Q14" s="39">
        <v>0.0</v>
      </c>
      <c r="R14" s="39">
        <v>0.0</v>
      </c>
      <c r="S14" s="36">
        <f t="shared" si="9"/>
        <v>0</v>
      </c>
      <c r="T14" s="36">
        <f t="shared" si="10"/>
        <v>0</v>
      </c>
      <c r="U14" s="36">
        <f t="shared" si="11"/>
        <v>0</v>
      </c>
      <c r="V14" s="36">
        <f t="shared" si="12"/>
        <v>0</v>
      </c>
      <c r="W14" s="37">
        <f t="shared" si="13"/>
        <v>0</v>
      </c>
      <c r="X14" s="36">
        <f t="shared" si="14"/>
        <v>0</v>
      </c>
      <c r="Y14" s="37">
        <f t="shared" si="15"/>
        <v>0</v>
      </c>
      <c r="AA14" s="42">
        <v>0.0</v>
      </c>
      <c r="AB14" s="42">
        <v>0.0</v>
      </c>
      <c r="AC14" s="42">
        <v>0.0</v>
      </c>
      <c r="AD14" s="42">
        <v>0.0</v>
      </c>
      <c r="AE14" s="42">
        <v>0.0</v>
      </c>
      <c r="AF14" s="39">
        <v>0.0</v>
      </c>
      <c r="AG14" s="39">
        <v>0.0</v>
      </c>
      <c r="AH14" s="39">
        <v>0.0</v>
      </c>
      <c r="AI14" s="36">
        <f t="shared" si="16"/>
        <v>0</v>
      </c>
      <c r="AJ14" s="36">
        <f t="shared" si="17"/>
        <v>0</v>
      </c>
      <c r="AK14" s="36">
        <f t="shared" si="18"/>
        <v>0</v>
      </c>
      <c r="AL14" s="36">
        <f t="shared" si="19"/>
        <v>0</v>
      </c>
      <c r="AM14" s="37">
        <f t="shared" si="20"/>
        <v>0</v>
      </c>
      <c r="AN14" s="36">
        <f t="shared" si="21"/>
        <v>0</v>
      </c>
      <c r="AO14" s="37">
        <f t="shared" si="22"/>
        <v>0</v>
      </c>
    </row>
    <row r="15">
      <c r="B15" s="15"/>
      <c r="C15" s="43"/>
      <c r="D15" s="43"/>
      <c r="E15" s="43"/>
      <c r="F15" s="21"/>
      <c r="H15" s="21"/>
      <c r="L15" s="21"/>
      <c r="M15" s="36"/>
      <c r="N15" s="36"/>
      <c r="O15" s="44"/>
      <c r="P15" s="44"/>
      <c r="Q15" s="44"/>
      <c r="R15" s="44"/>
      <c r="S15" s="44"/>
      <c r="T15" s="36"/>
      <c r="U15" s="36"/>
      <c r="X15" s="36"/>
      <c r="AB15" s="21"/>
      <c r="AC15" s="36"/>
      <c r="AD15" s="36"/>
      <c r="AE15" s="44"/>
      <c r="AF15" s="44"/>
      <c r="AG15" s="44"/>
      <c r="AH15" s="44"/>
      <c r="AI15" s="44"/>
      <c r="AJ15" s="36"/>
      <c r="AK15" s="36"/>
      <c r="AN15" s="36"/>
    </row>
    <row r="16">
      <c r="B16" s="34" t="s">
        <v>97</v>
      </c>
      <c r="C16" s="43"/>
      <c r="D16" s="43"/>
      <c r="E16" s="43"/>
      <c r="F16" s="21"/>
      <c r="H16" s="21"/>
      <c r="L16" s="21"/>
      <c r="M16" s="36"/>
      <c r="N16" s="36"/>
      <c r="O16" s="44"/>
      <c r="P16" s="44"/>
      <c r="Q16" s="44"/>
      <c r="R16" s="44"/>
      <c r="S16" s="44"/>
      <c r="T16" s="36"/>
      <c r="U16" s="36"/>
      <c r="X16" s="36"/>
      <c r="AB16" s="21"/>
      <c r="AC16" s="36"/>
      <c r="AD16" s="36"/>
      <c r="AE16" s="44"/>
      <c r="AF16" s="44"/>
      <c r="AG16" s="44"/>
      <c r="AH16" s="44"/>
      <c r="AI16" s="44"/>
      <c r="AJ16" s="36"/>
      <c r="AK16" s="36"/>
      <c r="AN16" s="36"/>
    </row>
    <row r="17">
      <c r="B17" s="45" t="str">
        <f>B16&amp;" issued and outstanding"</f>
        <v>Options and RSUs issued and outstanding</v>
      </c>
      <c r="C17" s="39">
        <v>0.0</v>
      </c>
      <c r="D17" s="40">
        <v>0.0</v>
      </c>
      <c r="E17" s="41">
        <v>0.0</v>
      </c>
      <c r="F17" s="36">
        <f t="shared" ref="F17:F19" si="23">D17+C17</f>
        <v>0</v>
      </c>
      <c r="G17" s="37">
        <f t="shared" ref="G17:G19" si="24">iferror(F17/F$34,0)</f>
        <v>0</v>
      </c>
      <c r="H17" s="36">
        <f t="shared" ref="H17:H19" si="25">E17+D17+C17</f>
        <v>0</v>
      </c>
      <c r="I17" s="37">
        <f t="shared" ref="I17:I19" si="26">iferror(H17/H$34,0)</f>
        <v>0</v>
      </c>
      <c r="K17" s="42">
        <v>0.0</v>
      </c>
      <c r="L17" s="42">
        <v>0.0</v>
      </c>
      <c r="M17" s="42">
        <v>0.0</v>
      </c>
      <c r="N17" s="42">
        <v>0.0</v>
      </c>
      <c r="O17" s="42">
        <v>0.0</v>
      </c>
      <c r="P17" s="39">
        <v>0.0</v>
      </c>
      <c r="Q17" s="39">
        <v>0.0</v>
      </c>
      <c r="R17" s="39">
        <v>0.0</v>
      </c>
      <c r="S17" s="36">
        <f t="shared" ref="S17:S19" si="27">C17+P17</f>
        <v>0</v>
      </c>
      <c r="T17" s="36">
        <f t="shared" ref="T17:T19" si="28">N17+D17+M17+Q17</f>
        <v>0</v>
      </c>
      <c r="U17" s="36">
        <f t="shared" ref="U17:U19" si="29">E17+O17+R17</f>
        <v>0</v>
      </c>
      <c r="V17" s="36">
        <f t="shared" ref="V17:V19" si="30">T17+S17</f>
        <v>0</v>
      </c>
      <c r="W17" s="37">
        <f t="shared" ref="W17:W19" si="31">iferror(V17/V$34,0)</f>
        <v>0</v>
      </c>
      <c r="X17" s="36">
        <f t="shared" ref="X17:X19" si="32">U17+T17+S17</f>
        <v>0</v>
      </c>
      <c r="Y17" s="37">
        <f t="shared" ref="Y17:Y19" si="33">iferror(X17/X$34,0)</f>
        <v>0</v>
      </c>
      <c r="AA17" s="42">
        <v>0.0</v>
      </c>
      <c r="AB17" s="42">
        <v>0.0</v>
      </c>
      <c r="AC17" s="42">
        <v>0.0</v>
      </c>
      <c r="AD17" s="42">
        <v>0.0</v>
      </c>
      <c r="AE17" s="42">
        <v>0.0</v>
      </c>
      <c r="AF17" s="39">
        <v>0.0</v>
      </c>
      <c r="AG17" s="39">
        <v>0.0</v>
      </c>
      <c r="AH17" s="39">
        <f>abs(AC66)</f>
        <v>0</v>
      </c>
      <c r="AI17" s="36">
        <f t="shared" ref="AI17:AI19" si="34">S17+AF17</f>
        <v>0</v>
      </c>
      <c r="AJ17" s="36">
        <f t="shared" ref="AJ17:AJ19" si="35">AD17+T17+AC17+AG17</f>
        <v>0</v>
      </c>
      <c r="AK17" s="36">
        <f t="shared" ref="AK17:AK19" si="36">U17+AE17+AH17</f>
        <v>0</v>
      </c>
      <c r="AL17" s="36">
        <f t="shared" ref="AL17:AL19" si="37">AJ17+AI17</f>
        <v>0</v>
      </c>
      <c r="AM17" s="37">
        <f t="shared" ref="AM17:AM19" si="38">iferror(AL17/AL$34,0)</f>
        <v>0</v>
      </c>
      <c r="AN17" s="36">
        <f t="shared" ref="AN17:AN19" si="39">AK17+AJ17+AI17</f>
        <v>0</v>
      </c>
      <c r="AO17" s="37">
        <f t="shared" ref="AO17:AO19" si="40">iferror(AN17/AN$34,0)</f>
        <v>0</v>
      </c>
    </row>
    <row r="18">
      <c r="B18" s="45" t="s">
        <v>98</v>
      </c>
      <c r="C18" s="39">
        <v>0.0</v>
      </c>
      <c r="D18" s="40">
        <v>0.0</v>
      </c>
      <c r="E18" s="41">
        <v>0.0</v>
      </c>
      <c r="F18" s="36">
        <f t="shared" si="23"/>
        <v>0</v>
      </c>
      <c r="G18" s="37">
        <f t="shared" si="24"/>
        <v>0</v>
      </c>
      <c r="H18" s="36">
        <f t="shared" si="25"/>
        <v>0</v>
      </c>
      <c r="I18" s="37">
        <f t="shared" si="26"/>
        <v>0</v>
      </c>
      <c r="K18" s="42">
        <v>0.0</v>
      </c>
      <c r="L18" s="42">
        <v>0.0</v>
      </c>
      <c r="M18" s="42">
        <v>0.0</v>
      </c>
      <c r="N18" s="42">
        <v>0.0</v>
      </c>
      <c r="O18" s="42">
        <v>0.0</v>
      </c>
      <c r="P18" s="39">
        <v>0.0</v>
      </c>
      <c r="Q18" s="39">
        <v>0.0</v>
      </c>
      <c r="R18" s="39">
        <v>0.0</v>
      </c>
      <c r="S18" s="36">
        <f t="shared" si="27"/>
        <v>0</v>
      </c>
      <c r="T18" s="36">
        <f t="shared" si="28"/>
        <v>0</v>
      </c>
      <c r="U18" s="36">
        <f t="shared" si="29"/>
        <v>0</v>
      </c>
      <c r="V18" s="36">
        <f t="shared" si="30"/>
        <v>0</v>
      </c>
      <c r="W18" s="37">
        <f t="shared" si="31"/>
        <v>0</v>
      </c>
      <c r="X18" s="36">
        <f t="shared" si="32"/>
        <v>0</v>
      </c>
      <c r="Y18" s="37">
        <f t="shared" si="33"/>
        <v>0</v>
      </c>
      <c r="AA18" s="42">
        <v>0.0</v>
      </c>
      <c r="AB18" s="42">
        <v>0.0</v>
      </c>
      <c r="AC18" s="42">
        <v>0.0</v>
      </c>
      <c r="AD18" s="42">
        <v>0.0</v>
      </c>
      <c r="AE18" s="42">
        <v>0.0</v>
      </c>
      <c r="AF18" s="39">
        <v>0.0</v>
      </c>
      <c r="AG18" s="39">
        <v>0.0</v>
      </c>
      <c r="AH18" s="39">
        <f>AH19*-1+abs(AC66)*-1</f>
        <v>0</v>
      </c>
      <c r="AI18" s="36">
        <f t="shared" si="34"/>
        <v>0</v>
      </c>
      <c r="AJ18" s="36">
        <f t="shared" si="35"/>
        <v>0</v>
      </c>
      <c r="AK18" s="36">
        <f t="shared" si="36"/>
        <v>0</v>
      </c>
      <c r="AL18" s="36">
        <f t="shared" si="37"/>
        <v>0</v>
      </c>
      <c r="AM18" s="37">
        <f t="shared" si="38"/>
        <v>0</v>
      </c>
      <c r="AN18" s="36">
        <f t="shared" si="39"/>
        <v>0</v>
      </c>
      <c r="AO18" s="37">
        <f t="shared" si="40"/>
        <v>0</v>
      </c>
    </row>
    <row r="19">
      <c r="B19" s="45" t="s">
        <v>99</v>
      </c>
      <c r="C19" s="42">
        <v>0.0</v>
      </c>
      <c r="D19" s="42">
        <v>0.0</v>
      </c>
      <c r="E19" s="42">
        <v>0.0</v>
      </c>
      <c r="F19" s="36">
        <f t="shared" si="23"/>
        <v>0</v>
      </c>
      <c r="G19" s="37">
        <f t="shared" si="24"/>
        <v>0</v>
      </c>
      <c r="H19" s="36">
        <f t="shared" si="25"/>
        <v>0</v>
      </c>
      <c r="I19" s="37">
        <f t="shared" si="26"/>
        <v>0</v>
      </c>
      <c r="K19" s="42">
        <v>0.0</v>
      </c>
      <c r="L19" s="42">
        <v>0.0</v>
      </c>
      <c r="M19" s="42">
        <v>0.0</v>
      </c>
      <c r="N19" s="42">
        <v>0.0</v>
      </c>
      <c r="O19" s="36">
        <f>M68</f>
        <v>0</v>
      </c>
      <c r="P19" s="39">
        <v>0.0</v>
      </c>
      <c r="Q19" s="39">
        <v>0.0</v>
      </c>
      <c r="R19" s="39">
        <v>0.0</v>
      </c>
      <c r="S19" s="36">
        <f t="shared" si="27"/>
        <v>0</v>
      </c>
      <c r="T19" s="36">
        <f t="shared" si="28"/>
        <v>0</v>
      </c>
      <c r="U19" s="36">
        <f t="shared" si="29"/>
        <v>0</v>
      </c>
      <c r="V19" s="36">
        <f t="shared" si="30"/>
        <v>0</v>
      </c>
      <c r="W19" s="37">
        <f t="shared" si="31"/>
        <v>0</v>
      </c>
      <c r="X19" s="36">
        <f t="shared" si="32"/>
        <v>0</v>
      </c>
      <c r="Y19" s="37">
        <f t="shared" si="33"/>
        <v>0</v>
      </c>
      <c r="AA19" s="42">
        <v>0.0</v>
      </c>
      <c r="AB19" s="42">
        <v>0.0</v>
      </c>
      <c r="AC19" s="42">
        <v>0.0</v>
      </c>
      <c r="AD19" s="42">
        <v>0.0</v>
      </c>
      <c r="AE19" s="36">
        <f>AC68</f>
        <v>0</v>
      </c>
      <c r="AF19" s="39">
        <v>0.0</v>
      </c>
      <c r="AG19" s="39">
        <v>0.0</v>
      </c>
      <c r="AH19" s="39">
        <f>-1*U19</f>
        <v>0</v>
      </c>
      <c r="AI19" s="36">
        <f t="shared" si="34"/>
        <v>0</v>
      </c>
      <c r="AJ19" s="36">
        <f t="shared" si="35"/>
        <v>0</v>
      </c>
      <c r="AK19" s="36">
        <f t="shared" si="36"/>
        <v>0</v>
      </c>
      <c r="AL19" s="36">
        <f t="shared" si="37"/>
        <v>0</v>
      </c>
      <c r="AM19" s="37">
        <f t="shared" si="38"/>
        <v>0</v>
      </c>
      <c r="AN19" s="36">
        <f t="shared" si="39"/>
        <v>0</v>
      </c>
      <c r="AO19" s="37">
        <f t="shared" si="40"/>
        <v>0</v>
      </c>
    </row>
    <row r="20">
      <c r="C20" s="43"/>
      <c r="D20" s="43"/>
      <c r="E20" s="43"/>
      <c r="F20" s="21"/>
      <c r="H20" s="21"/>
      <c r="L20" s="21"/>
      <c r="M20" s="36"/>
      <c r="N20" s="36"/>
      <c r="O20" s="36"/>
      <c r="P20" s="36"/>
      <c r="Q20" s="36"/>
      <c r="R20" s="36"/>
      <c r="S20" s="36"/>
      <c r="T20" s="36"/>
      <c r="U20" s="36"/>
      <c r="X20" s="21"/>
      <c r="AB20" s="21"/>
      <c r="AC20" s="36"/>
      <c r="AD20" s="36"/>
      <c r="AE20" s="36"/>
      <c r="AF20" s="36"/>
      <c r="AG20" s="36"/>
      <c r="AH20" s="36"/>
      <c r="AI20" s="36"/>
      <c r="AJ20" s="36"/>
      <c r="AK20" s="36"/>
      <c r="AN20" s="21"/>
    </row>
    <row r="21">
      <c r="B21" s="34" t="s">
        <v>100</v>
      </c>
      <c r="C21" s="43"/>
      <c r="D21" s="43"/>
      <c r="E21" s="43"/>
      <c r="F21" s="21"/>
      <c r="H21" s="21"/>
      <c r="L21" s="21"/>
      <c r="M21" s="36"/>
      <c r="N21" s="36"/>
      <c r="O21" s="36"/>
      <c r="P21" s="36"/>
      <c r="Q21" s="36"/>
      <c r="R21" s="36"/>
      <c r="S21" s="36"/>
      <c r="T21" s="36"/>
      <c r="U21" s="36"/>
      <c r="X21" s="21"/>
      <c r="Y21" s="46"/>
      <c r="AB21" s="21"/>
      <c r="AC21" s="36"/>
      <c r="AD21" s="36"/>
      <c r="AE21" s="36"/>
      <c r="AF21" s="36"/>
      <c r="AG21" s="36"/>
      <c r="AH21" s="36"/>
      <c r="AI21" s="36"/>
      <c r="AJ21" s="36"/>
      <c r="AK21" s="36"/>
      <c r="AN21" s="21"/>
      <c r="AO21" s="46"/>
    </row>
    <row r="22">
      <c r="B22" s="38" t="str">
        <f t="shared" ref="B22:B25" si="41">K55</f>
        <v>Investor</v>
      </c>
      <c r="C22" s="42">
        <v>0.0</v>
      </c>
      <c r="D22" s="42">
        <v>0.0</v>
      </c>
      <c r="E22" s="42">
        <v>0.0</v>
      </c>
      <c r="F22" s="36">
        <f t="shared" ref="F22:F25" si="42">D22+C22</f>
        <v>0</v>
      </c>
      <c r="G22" s="37">
        <f t="shared" ref="G22:G25" si="43">iferror(F22/F$34,0)</f>
        <v>0</v>
      </c>
      <c r="H22" s="36">
        <f t="shared" ref="H22:H25" si="44">E22+D22+C22</f>
        <v>0</v>
      </c>
      <c r="I22" s="37">
        <f t="shared" ref="I22:I25" si="45">iferror(H22/H$34,0)</f>
        <v>0</v>
      </c>
      <c r="K22" s="39">
        <v>0.0</v>
      </c>
      <c r="L22" s="36">
        <f t="shared" ref="L22:L25" si="46">iferror(M$41*N22,0)</f>
        <v>0</v>
      </c>
      <c r="M22" s="36">
        <f t="shared" ref="M22:M25" si="47">W55</f>
        <v>16661112</v>
      </c>
      <c r="N22" s="36">
        <f t="shared" ref="N22:N25" si="48">iferror(if(M$47="rounddown",rounddown(K22/M$41,0),if(M$47="roundup",roundup(K22/M$41,0),if(M$47="round",ROUND(K22/M$41,0),K22/M$41))),0)</f>
        <v>0</v>
      </c>
      <c r="O22" s="42">
        <v>0.0</v>
      </c>
      <c r="P22" s="39">
        <v>0.0</v>
      </c>
      <c r="Q22" s="39">
        <v>0.0</v>
      </c>
      <c r="R22" s="39">
        <v>0.0</v>
      </c>
      <c r="S22" s="36">
        <f t="shared" ref="S22:S25" si="49">C22+P22</f>
        <v>0</v>
      </c>
      <c r="T22" s="36">
        <f t="shared" ref="T22:T25" si="50">N22+D22+M22+Q22</f>
        <v>16661112</v>
      </c>
      <c r="U22" s="36">
        <f t="shared" ref="U22:U25" si="51">E22+O22+R22</f>
        <v>0</v>
      </c>
      <c r="V22" s="36">
        <f t="shared" ref="V22:V25" si="52">T22+S22</f>
        <v>16661112</v>
      </c>
      <c r="W22" s="37">
        <f t="shared" ref="W22:W25" si="53">iferror(V22/V$34,0)</f>
        <v>0.4807156033</v>
      </c>
      <c r="X22" s="36">
        <f t="shared" ref="X22:X25" si="54">U22+T22+S22</f>
        <v>16661112</v>
      </c>
      <c r="Y22" s="37">
        <f t="shared" ref="Y22:Y25" si="55">iferror(X22/X$34,0)</f>
        <v>0.4807156033</v>
      </c>
      <c r="AA22" s="39">
        <v>0.0</v>
      </c>
      <c r="AB22" s="36">
        <f t="shared" ref="AB22:AB25" si="56">iferror(AC$41*AD22,0)</f>
        <v>0</v>
      </c>
      <c r="AC22" s="36">
        <f t="shared" ref="AC22:AC25" si="57">AM55</f>
        <v>0</v>
      </c>
      <c r="AD22" s="36">
        <f t="shared" ref="AD22:AD25" si="58">iferror(if(AC$47="rounddown",rounddown(AA22/AC$41,0),if(AC$47="roundup",roundup(AA22/AC$41,0),if(AC$47="round",ROUND(AA22/AC$41,0),AA22/AC$41))),0)</f>
        <v>0</v>
      </c>
      <c r="AE22" s="42">
        <v>0.0</v>
      </c>
      <c r="AF22" s="39">
        <v>0.0</v>
      </c>
      <c r="AG22" s="39">
        <v>0.0</v>
      </c>
      <c r="AH22" s="39">
        <v>0.0</v>
      </c>
      <c r="AI22" s="36">
        <f t="shared" ref="AI22:AI25" si="59">S22+AF22</f>
        <v>0</v>
      </c>
      <c r="AJ22" s="36">
        <f t="shared" ref="AJ22:AJ25" si="60">AD22+T22+AC22+AG22</f>
        <v>16661112</v>
      </c>
      <c r="AK22" s="36">
        <f t="shared" ref="AK22:AK25" si="61">U22+AE22+AH22</f>
        <v>0</v>
      </c>
      <c r="AL22" s="36">
        <f t="shared" ref="AL22:AL25" si="62">AJ22+AI22</f>
        <v>16661112</v>
      </c>
      <c r="AM22" s="37">
        <f t="shared" ref="AM22:AM25" si="63">iferror(AL22/AL$34,0)</f>
        <v>0.4807156033</v>
      </c>
      <c r="AN22" s="36">
        <f t="shared" ref="AN22:AN25" si="64">AK22+AJ22+AI22</f>
        <v>16661112</v>
      </c>
      <c r="AO22" s="37">
        <f t="shared" ref="AO22:AO25" si="65">iferror(AN22/AN$34,0)</f>
        <v>0.4807156033</v>
      </c>
    </row>
    <row r="23">
      <c r="B23" s="38" t="str">
        <f t="shared" si="41"/>
        <v>Investor</v>
      </c>
      <c r="C23" s="42">
        <v>0.0</v>
      </c>
      <c r="D23" s="42">
        <v>0.0</v>
      </c>
      <c r="E23" s="42">
        <v>0.0</v>
      </c>
      <c r="F23" s="36">
        <f t="shared" si="42"/>
        <v>0</v>
      </c>
      <c r="G23" s="37">
        <f t="shared" si="43"/>
        <v>0</v>
      </c>
      <c r="H23" s="36">
        <f t="shared" si="44"/>
        <v>0</v>
      </c>
      <c r="I23" s="37">
        <f t="shared" si="45"/>
        <v>0</v>
      </c>
      <c r="K23" s="39">
        <v>0.0</v>
      </c>
      <c r="L23" s="36">
        <f t="shared" si="46"/>
        <v>0</v>
      </c>
      <c r="M23" s="36">
        <f t="shared" si="47"/>
        <v>0</v>
      </c>
      <c r="N23" s="36">
        <f t="shared" si="48"/>
        <v>0</v>
      </c>
      <c r="O23" s="42">
        <v>0.0</v>
      </c>
      <c r="P23" s="39">
        <v>0.0</v>
      </c>
      <c r="Q23" s="39">
        <v>0.0</v>
      </c>
      <c r="R23" s="39">
        <v>0.0</v>
      </c>
      <c r="S23" s="36">
        <f t="shared" si="49"/>
        <v>0</v>
      </c>
      <c r="T23" s="36">
        <f t="shared" si="50"/>
        <v>0</v>
      </c>
      <c r="U23" s="36">
        <f t="shared" si="51"/>
        <v>0</v>
      </c>
      <c r="V23" s="36">
        <f t="shared" si="52"/>
        <v>0</v>
      </c>
      <c r="W23" s="37">
        <f t="shared" si="53"/>
        <v>0</v>
      </c>
      <c r="X23" s="36">
        <f t="shared" si="54"/>
        <v>0</v>
      </c>
      <c r="Y23" s="37">
        <f t="shared" si="55"/>
        <v>0</v>
      </c>
      <c r="AA23" s="39">
        <v>0.0</v>
      </c>
      <c r="AB23" s="36">
        <f t="shared" si="56"/>
        <v>0</v>
      </c>
      <c r="AC23" s="36">
        <f t="shared" si="57"/>
        <v>0</v>
      </c>
      <c r="AD23" s="36">
        <f t="shared" si="58"/>
        <v>0</v>
      </c>
      <c r="AE23" s="42">
        <v>0.0</v>
      </c>
      <c r="AF23" s="39">
        <v>0.0</v>
      </c>
      <c r="AG23" s="39">
        <v>0.0</v>
      </c>
      <c r="AH23" s="39">
        <v>0.0</v>
      </c>
      <c r="AI23" s="36">
        <f t="shared" si="59"/>
        <v>0</v>
      </c>
      <c r="AJ23" s="36">
        <f t="shared" si="60"/>
        <v>0</v>
      </c>
      <c r="AK23" s="36">
        <f t="shared" si="61"/>
        <v>0</v>
      </c>
      <c r="AL23" s="36">
        <f t="shared" si="62"/>
        <v>0</v>
      </c>
      <c r="AM23" s="37">
        <f t="shared" si="63"/>
        <v>0</v>
      </c>
      <c r="AN23" s="36">
        <f t="shared" si="64"/>
        <v>0</v>
      </c>
      <c r="AO23" s="37">
        <f t="shared" si="65"/>
        <v>0</v>
      </c>
    </row>
    <row r="24">
      <c r="B24" s="38" t="str">
        <f t="shared" si="41"/>
        <v>Investor</v>
      </c>
      <c r="C24" s="42">
        <v>0.0</v>
      </c>
      <c r="D24" s="42">
        <v>0.0</v>
      </c>
      <c r="E24" s="42">
        <v>0.0</v>
      </c>
      <c r="F24" s="36">
        <f t="shared" si="42"/>
        <v>0</v>
      </c>
      <c r="G24" s="37">
        <f t="shared" si="43"/>
        <v>0</v>
      </c>
      <c r="H24" s="36">
        <f t="shared" si="44"/>
        <v>0</v>
      </c>
      <c r="I24" s="37">
        <f t="shared" si="45"/>
        <v>0</v>
      </c>
      <c r="K24" s="39">
        <v>0.0</v>
      </c>
      <c r="L24" s="36">
        <f t="shared" si="46"/>
        <v>0</v>
      </c>
      <c r="M24" s="36">
        <f t="shared" si="47"/>
        <v>0</v>
      </c>
      <c r="N24" s="36">
        <f t="shared" si="48"/>
        <v>0</v>
      </c>
      <c r="O24" s="42">
        <v>0.0</v>
      </c>
      <c r="P24" s="39">
        <v>0.0</v>
      </c>
      <c r="Q24" s="39">
        <v>0.0</v>
      </c>
      <c r="R24" s="39">
        <v>0.0</v>
      </c>
      <c r="S24" s="36">
        <f t="shared" si="49"/>
        <v>0</v>
      </c>
      <c r="T24" s="36">
        <f t="shared" si="50"/>
        <v>0</v>
      </c>
      <c r="U24" s="36">
        <f t="shared" si="51"/>
        <v>0</v>
      </c>
      <c r="V24" s="36">
        <f t="shared" si="52"/>
        <v>0</v>
      </c>
      <c r="W24" s="37">
        <f t="shared" si="53"/>
        <v>0</v>
      </c>
      <c r="X24" s="36">
        <f t="shared" si="54"/>
        <v>0</v>
      </c>
      <c r="Y24" s="37">
        <f t="shared" si="55"/>
        <v>0</v>
      </c>
      <c r="AA24" s="39">
        <v>0.0</v>
      </c>
      <c r="AB24" s="36">
        <f t="shared" si="56"/>
        <v>0</v>
      </c>
      <c r="AC24" s="36">
        <f t="shared" si="57"/>
        <v>0</v>
      </c>
      <c r="AD24" s="36">
        <f t="shared" si="58"/>
        <v>0</v>
      </c>
      <c r="AE24" s="42">
        <v>0.0</v>
      </c>
      <c r="AF24" s="39">
        <v>0.0</v>
      </c>
      <c r="AG24" s="39">
        <v>0.0</v>
      </c>
      <c r="AH24" s="39">
        <v>0.0</v>
      </c>
      <c r="AI24" s="36">
        <f t="shared" si="59"/>
        <v>0</v>
      </c>
      <c r="AJ24" s="36">
        <f t="shared" si="60"/>
        <v>0</v>
      </c>
      <c r="AK24" s="36">
        <f t="shared" si="61"/>
        <v>0</v>
      </c>
      <c r="AL24" s="36">
        <f t="shared" si="62"/>
        <v>0</v>
      </c>
      <c r="AM24" s="37">
        <f t="shared" si="63"/>
        <v>0</v>
      </c>
      <c r="AN24" s="36">
        <f t="shared" si="64"/>
        <v>0</v>
      </c>
      <c r="AO24" s="37">
        <f t="shared" si="65"/>
        <v>0</v>
      </c>
    </row>
    <row r="25">
      <c r="B25" s="38" t="str">
        <f t="shared" si="41"/>
        <v>Investor</v>
      </c>
      <c r="C25" s="42">
        <v>0.0</v>
      </c>
      <c r="D25" s="42">
        <v>0.0</v>
      </c>
      <c r="E25" s="42">
        <v>0.0</v>
      </c>
      <c r="F25" s="36">
        <f t="shared" si="42"/>
        <v>0</v>
      </c>
      <c r="G25" s="37">
        <f t="shared" si="43"/>
        <v>0</v>
      </c>
      <c r="H25" s="36">
        <f t="shared" si="44"/>
        <v>0</v>
      </c>
      <c r="I25" s="37">
        <f t="shared" si="45"/>
        <v>0</v>
      </c>
      <c r="K25" s="39">
        <v>0.0</v>
      </c>
      <c r="L25" s="36">
        <f t="shared" si="46"/>
        <v>0</v>
      </c>
      <c r="M25" s="36">
        <f t="shared" si="47"/>
        <v>0</v>
      </c>
      <c r="N25" s="36">
        <f t="shared" si="48"/>
        <v>0</v>
      </c>
      <c r="O25" s="42">
        <v>0.0</v>
      </c>
      <c r="P25" s="39">
        <v>0.0</v>
      </c>
      <c r="Q25" s="39">
        <v>0.0</v>
      </c>
      <c r="R25" s="39">
        <v>0.0</v>
      </c>
      <c r="S25" s="36">
        <f t="shared" si="49"/>
        <v>0</v>
      </c>
      <c r="T25" s="36">
        <f t="shared" si="50"/>
        <v>0</v>
      </c>
      <c r="U25" s="36">
        <f t="shared" si="51"/>
        <v>0</v>
      </c>
      <c r="V25" s="36">
        <f t="shared" si="52"/>
        <v>0</v>
      </c>
      <c r="W25" s="37">
        <f t="shared" si="53"/>
        <v>0</v>
      </c>
      <c r="X25" s="36">
        <f t="shared" si="54"/>
        <v>0</v>
      </c>
      <c r="Y25" s="37">
        <f t="shared" si="55"/>
        <v>0</v>
      </c>
      <c r="AA25" s="39">
        <v>0.0</v>
      </c>
      <c r="AB25" s="36">
        <f t="shared" si="56"/>
        <v>0</v>
      </c>
      <c r="AC25" s="36">
        <f t="shared" si="57"/>
        <v>0</v>
      </c>
      <c r="AD25" s="36">
        <f t="shared" si="58"/>
        <v>0</v>
      </c>
      <c r="AE25" s="42">
        <v>0.0</v>
      </c>
      <c r="AF25" s="39">
        <v>0.0</v>
      </c>
      <c r="AG25" s="39">
        <v>0.0</v>
      </c>
      <c r="AH25" s="39">
        <v>0.0</v>
      </c>
      <c r="AI25" s="36">
        <f t="shared" si="59"/>
        <v>0</v>
      </c>
      <c r="AJ25" s="36">
        <f t="shared" si="60"/>
        <v>0</v>
      </c>
      <c r="AK25" s="36">
        <f t="shared" si="61"/>
        <v>0</v>
      </c>
      <c r="AL25" s="36">
        <f t="shared" si="62"/>
        <v>0</v>
      </c>
      <c r="AM25" s="37">
        <f t="shared" si="63"/>
        <v>0</v>
      </c>
      <c r="AN25" s="36">
        <f t="shared" si="64"/>
        <v>0</v>
      </c>
      <c r="AO25" s="37">
        <f t="shared" si="65"/>
        <v>0</v>
      </c>
    </row>
    <row r="26">
      <c r="C26" s="42"/>
      <c r="D26" s="43"/>
      <c r="E26" s="36"/>
      <c r="F26" s="36"/>
      <c r="G26" s="36"/>
      <c r="H26" s="36"/>
      <c r="I26" s="36"/>
      <c r="J26" s="36"/>
      <c r="K26" s="36"/>
      <c r="L26" s="36"/>
      <c r="M26" s="36"/>
      <c r="N26" s="36"/>
      <c r="O26" s="36"/>
      <c r="P26" s="36"/>
      <c r="Q26" s="36"/>
      <c r="R26" s="36"/>
      <c r="S26" s="36"/>
      <c r="T26" s="36"/>
      <c r="U26" s="36"/>
      <c r="V26" s="36"/>
      <c r="W26" s="37"/>
      <c r="X26" s="36"/>
      <c r="Y26" s="37"/>
      <c r="AA26" s="36"/>
      <c r="AB26" s="36"/>
      <c r="AC26" s="36"/>
      <c r="AD26" s="36"/>
      <c r="AE26" s="36"/>
      <c r="AF26" s="36"/>
      <c r="AG26" s="36"/>
      <c r="AH26" s="36"/>
      <c r="AI26" s="36"/>
      <c r="AJ26" s="36"/>
      <c r="AK26" s="36"/>
      <c r="AL26" s="36"/>
      <c r="AM26" s="37"/>
      <c r="AN26" s="36"/>
      <c r="AO26" s="37"/>
    </row>
    <row r="27">
      <c r="B27" s="34" t="s">
        <v>101</v>
      </c>
      <c r="C27" s="43"/>
      <c r="D27" s="43"/>
      <c r="E27" s="36"/>
      <c r="F27" s="36"/>
      <c r="G27" s="36"/>
      <c r="H27" s="36"/>
      <c r="I27" s="36"/>
      <c r="J27" s="36"/>
      <c r="K27" s="36"/>
      <c r="L27" s="36"/>
      <c r="M27" s="36"/>
      <c r="N27" s="36"/>
      <c r="O27" s="36"/>
      <c r="P27" s="36"/>
      <c r="Q27" s="36"/>
      <c r="R27" s="36"/>
      <c r="S27" s="36"/>
      <c r="T27" s="36"/>
      <c r="U27" s="36"/>
      <c r="V27" s="36"/>
      <c r="W27" s="37"/>
      <c r="X27" s="36"/>
      <c r="Y27" s="37"/>
      <c r="AA27" s="36"/>
      <c r="AB27" s="36"/>
      <c r="AC27" s="36"/>
      <c r="AD27" s="36"/>
      <c r="AE27" s="36"/>
      <c r="AF27" s="36"/>
      <c r="AG27" s="36"/>
      <c r="AH27" s="36"/>
      <c r="AI27" s="36"/>
      <c r="AJ27" s="36"/>
      <c r="AK27" s="36"/>
      <c r="AL27" s="36"/>
      <c r="AM27" s="37"/>
      <c r="AN27" s="36"/>
      <c r="AO27" s="37"/>
    </row>
    <row r="28">
      <c r="B28" s="38" t="s">
        <v>102</v>
      </c>
      <c r="C28" s="40">
        <v>0.0</v>
      </c>
      <c r="D28" s="40">
        <v>0.0</v>
      </c>
      <c r="E28" s="42">
        <v>0.0</v>
      </c>
      <c r="F28" s="36">
        <f t="shared" ref="F28:F32" si="66">D28+C28</f>
        <v>0</v>
      </c>
      <c r="G28" s="37">
        <f t="shared" ref="G28:G32" si="67">iferror(F28/F$34,0)</f>
        <v>0</v>
      </c>
      <c r="H28" s="36">
        <f t="shared" ref="H28:H32" si="68">E28+D28+C28</f>
        <v>0</v>
      </c>
      <c r="I28" s="37">
        <f t="shared" ref="I28:I32" si="69">iferror(H28/H$34,0)</f>
        <v>0</v>
      </c>
      <c r="K28" s="39">
        <v>3000000.0</v>
      </c>
      <c r="L28" s="36">
        <f t="shared" ref="L28:L32" si="70">iferror(M$41*N28,0)</f>
        <v>2999999.912</v>
      </c>
      <c r="M28" s="42">
        <v>0.0</v>
      </c>
      <c r="N28" s="36">
        <f t="shared" ref="N28:N32" si="71">iferror(if(M$47="rounddown",rounddown(K28/M$41,0),if(M$47="roundup",roundup(K28/M$41,0),if(M$47="round",ROUND(K28/M$41,0),K28/M$41))),0)</f>
        <v>7997867</v>
      </c>
      <c r="O28" s="42">
        <v>0.0</v>
      </c>
      <c r="P28" s="39">
        <v>0.0</v>
      </c>
      <c r="Q28" s="39">
        <v>0.0</v>
      </c>
      <c r="R28" s="39">
        <v>0.0</v>
      </c>
      <c r="S28" s="36">
        <f t="shared" ref="S28:S32" si="72">C28+P28</f>
        <v>0</v>
      </c>
      <c r="T28" s="36">
        <f t="shared" ref="T28:T32" si="73">N28+D28+M28+Q28</f>
        <v>7997867</v>
      </c>
      <c r="U28" s="36">
        <f t="shared" ref="U28:U32" si="74">E28+O28+R28</f>
        <v>0</v>
      </c>
      <c r="V28" s="36">
        <f t="shared" ref="V28:V32" si="75">T28+S28</f>
        <v>7997867</v>
      </c>
      <c r="W28" s="37">
        <f t="shared" ref="W28:W32" si="76">iferror(V28/V$34,0)</f>
        <v>0.2307588749</v>
      </c>
      <c r="X28" s="36">
        <f t="shared" ref="X28:X32" si="77">U28+T28+S28</f>
        <v>7997867</v>
      </c>
      <c r="Y28" s="37">
        <f t="shared" ref="Y28:Y32" si="78">iferror(X28/X$34,0)</f>
        <v>0.2307588749</v>
      </c>
      <c r="AA28" s="39">
        <v>0.0</v>
      </c>
      <c r="AB28" s="36">
        <f t="shared" ref="AB28:AB32" si="79">iferror(AC$41*AD28,0)</f>
        <v>0</v>
      </c>
      <c r="AC28" s="42">
        <v>0.0</v>
      </c>
      <c r="AD28" s="36">
        <f t="shared" ref="AD28:AD32" si="80">iferror(if(AC$47="rounddown",rounddown(AA28/AC$41,0),if(AC$47="roundup",roundup(AA28/AC$41,0),if(AC$47="round",ROUND(AA28/AC$41,0),AA28/AC$41))),0)</f>
        <v>0</v>
      </c>
      <c r="AE28" s="42">
        <v>0.0</v>
      </c>
      <c r="AF28" s="39">
        <v>0.0</v>
      </c>
      <c r="AG28" s="39">
        <v>0.0</v>
      </c>
      <c r="AH28" s="39">
        <v>0.0</v>
      </c>
      <c r="AI28" s="36">
        <f t="shared" ref="AI28:AI32" si="81">S28+AF28</f>
        <v>0</v>
      </c>
      <c r="AJ28" s="36">
        <f t="shared" ref="AJ28:AJ32" si="82">AD28+T28+AC28+AG28</f>
        <v>7997867</v>
      </c>
      <c r="AK28" s="36">
        <f t="shared" ref="AK28:AK32" si="83">U28+AE28+AH28</f>
        <v>0</v>
      </c>
      <c r="AL28" s="36">
        <f t="shared" ref="AL28:AL32" si="84">AJ28+AI28</f>
        <v>7997867</v>
      </c>
      <c r="AM28" s="37">
        <f t="shared" ref="AM28:AM32" si="85">iferror(AL28/AL$34,0)</f>
        <v>0.2307588749</v>
      </c>
      <c r="AN28" s="36">
        <f t="shared" ref="AN28:AN32" si="86">AK28+AJ28+AI28</f>
        <v>7997867</v>
      </c>
      <c r="AO28" s="37">
        <f t="shared" ref="AO28:AO32" si="87">iferror(AN28/AN$34,0)</f>
        <v>0.2307588749</v>
      </c>
    </row>
    <row r="29">
      <c r="B29" s="38" t="s">
        <v>102</v>
      </c>
      <c r="C29" s="40">
        <v>0.0</v>
      </c>
      <c r="D29" s="40">
        <v>0.0</v>
      </c>
      <c r="E29" s="42">
        <v>0.0</v>
      </c>
      <c r="F29" s="36">
        <f t="shared" si="66"/>
        <v>0</v>
      </c>
      <c r="G29" s="37">
        <f t="shared" si="67"/>
        <v>0</v>
      </c>
      <c r="H29" s="36">
        <f t="shared" si="68"/>
        <v>0</v>
      </c>
      <c r="I29" s="37">
        <f t="shared" si="69"/>
        <v>0</v>
      </c>
      <c r="K29" s="39">
        <v>0.0</v>
      </c>
      <c r="L29" s="36">
        <f t="shared" si="70"/>
        <v>0</v>
      </c>
      <c r="M29" s="42">
        <v>0.0</v>
      </c>
      <c r="N29" s="36">
        <f t="shared" si="71"/>
        <v>0</v>
      </c>
      <c r="O29" s="42">
        <v>0.0</v>
      </c>
      <c r="P29" s="39">
        <v>0.0</v>
      </c>
      <c r="Q29" s="39">
        <v>0.0</v>
      </c>
      <c r="R29" s="39">
        <v>0.0</v>
      </c>
      <c r="S29" s="36">
        <f t="shared" si="72"/>
        <v>0</v>
      </c>
      <c r="T29" s="36">
        <f t="shared" si="73"/>
        <v>0</v>
      </c>
      <c r="U29" s="36">
        <f t="shared" si="74"/>
        <v>0</v>
      </c>
      <c r="V29" s="36">
        <f t="shared" si="75"/>
        <v>0</v>
      </c>
      <c r="W29" s="37">
        <f t="shared" si="76"/>
        <v>0</v>
      </c>
      <c r="X29" s="36">
        <f t="shared" si="77"/>
        <v>0</v>
      </c>
      <c r="Y29" s="37">
        <f t="shared" si="78"/>
        <v>0</v>
      </c>
      <c r="AA29" s="39">
        <v>0.0</v>
      </c>
      <c r="AB29" s="36">
        <f t="shared" si="79"/>
        <v>0</v>
      </c>
      <c r="AC29" s="42">
        <v>0.0</v>
      </c>
      <c r="AD29" s="36">
        <f t="shared" si="80"/>
        <v>0</v>
      </c>
      <c r="AE29" s="42">
        <v>0.0</v>
      </c>
      <c r="AF29" s="39">
        <v>0.0</v>
      </c>
      <c r="AG29" s="39">
        <v>0.0</v>
      </c>
      <c r="AH29" s="39">
        <v>0.0</v>
      </c>
      <c r="AI29" s="36">
        <f t="shared" si="81"/>
        <v>0</v>
      </c>
      <c r="AJ29" s="36">
        <f t="shared" si="82"/>
        <v>0</v>
      </c>
      <c r="AK29" s="36">
        <f t="shared" si="83"/>
        <v>0</v>
      </c>
      <c r="AL29" s="36">
        <f t="shared" si="84"/>
        <v>0</v>
      </c>
      <c r="AM29" s="37">
        <f t="shared" si="85"/>
        <v>0</v>
      </c>
      <c r="AN29" s="36">
        <f t="shared" si="86"/>
        <v>0</v>
      </c>
      <c r="AO29" s="37">
        <f t="shared" si="87"/>
        <v>0</v>
      </c>
    </row>
    <row r="30">
      <c r="B30" s="38" t="s">
        <v>102</v>
      </c>
      <c r="C30" s="40">
        <v>0.0</v>
      </c>
      <c r="D30" s="40">
        <v>0.0</v>
      </c>
      <c r="E30" s="42">
        <v>0.0</v>
      </c>
      <c r="F30" s="36">
        <f t="shared" si="66"/>
        <v>0</v>
      </c>
      <c r="G30" s="37">
        <f t="shared" si="67"/>
        <v>0</v>
      </c>
      <c r="H30" s="36">
        <f t="shared" si="68"/>
        <v>0</v>
      </c>
      <c r="I30" s="37">
        <f t="shared" si="69"/>
        <v>0</v>
      </c>
      <c r="K30" s="39">
        <v>0.0</v>
      </c>
      <c r="L30" s="36">
        <f t="shared" si="70"/>
        <v>0</v>
      </c>
      <c r="M30" s="42">
        <v>0.0</v>
      </c>
      <c r="N30" s="36">
        <f t="shared" si="71"/>
        <v>0</v>
      </c>
      <c r="O30" s="42">
        <v>0.0</v>
      </c>
      <c r="P30" s="39">
        <v>0.0</v>
      </c>
      <c r="Q30" s="39">
        <v>0.0</v>
      </c>
      <c r="R30" s="39">
        <v>0.0</v>
      </c>
      <c r="S30" s="36">
        <f t="shared" si="72"/>
        <v>0</v>
      </c>
      <c r="T30" s="36">
        <f t="shared" si="73"/>
        <v>0</v>
      </c>
      <c r="U30" s="36">
        <f t="shared" si="74"/>
        <v>0</v>
      </c>
      <c r="V30" s="36">
        <f t="shared" si="75"/>
        <v>0</v>
      </c>
      <c r="W30" s="37">
        <f t="shared" si="76"/>
        <v>0</v>
      </c>
      <c r="X30" s="36">
        <f t="shared" si="77"/>
        <v>0</v>
      </c>
      <c r="Y30" s="37">
        <f t="shared" si="78"/>
        <v>0</v>
      </c>
      <c r="AA30" s="39">
        <v>0.0</v>
      </c>
      <c r="AB30" s="36">
        <f t="shared" si="79"/>
        <v>0</v>
      </c>
      <c r="AC30" s="42">
        <v>0.0</v>
      </c>
      <c r="AD30" s="36">
        <f t="shared" si="80"/>
        <v>0</v>
      </c>
      <c r="AE30" s="42">
        <v>0.0</v>
      </c>
      <c r="AF30" s="39">
        <v>0.0</v>
      </c>
      <c r="AG30" s="39">
        <v>0.0</v>
      </c>
      <c r="AH30" s="39">
        <v>0.0</v>
      </c>
      <c r="AI30" s="36">
        <f t="shared" si="81"/>
        <v>0</v>
      </c>
      <c r="AJ30" s="36">
        <f t="shared" si="82"/>
        <v>0</v>
      </c>
      <c r="AK30" s="36">
        <f t="shared" si="83"/>
        <v>0</v>
      </c>
      <c r="AL30" s="36">
        <f t="shared" si="84"/>
        <v>0</v>
      </c>
      <c r="AM30" s="37">
        <f t="shared" si="85"/>
        <v>0</v>
      </c>
      <c r="AN30" s="36">
        <f t="shared" si="86"/>
        <v>0</v>
      </c>
      <c r="AO30" s="37">
        <f t="shared" si="87"/>
        <v>0</v>
      </c>
    </row>
    <row r="31">
      <c r="B31" s="38" t="s">
        <v>102</v>
      </c>
      <c r="C31" s="40">
        <v>0.0</v>
      </c>
      <c r="D31" s="40">
        <v>0.0</v>
      </c>
      <c r="E31" s="42">
        <v>0.0</v>
      </c>
      <c r="F31" s="36">
        <f t="shared" si="66"/>
        <v>0</v>
      </c>
      <c r="G31" s="37">
        <f t="shared" si="67"/>
        <v>0</v>
      </c>
      <c r="H31" s="36">
        <f t="shared" si="68"/>
        <v>0</v>
      </c>
      <c r="I31" s="37">
        <f t="shared" si="69"/>
        <v>0</v>
      </c>
      <c r="K31" s="47">
        <v>0.0</v>
      </c>
      <c r="L31" s="36">
        <f t="shared" si="70"/>
        <v>0</v>
      </c>
      <c r="M31" s="42">
        <v>0.0</v>
      </c>
      <c r="N31" s="36">
        <f t="shared" si="71"/>
        <v>0</v>
      </c>
      <c r="O31" s="42">
        <v>0.0</v>
      </c>
      <c r="P31" s="39">
        <v>0.0</v>
      </c>
      <c r="Q31" s="39">
        <v>0.0</v>
      </c>
      <c r="R31" s="39">
        <v>0.0</v>
      </c>
      <c r="S31" s="36">
        <f t="shared" si="72"/>
        <v>0</v>
      </c>
      <c r="T31" s="36">
        <f t="shared" si="73"/>
        <v>0</v>
      </c>
      <c r="U31" s="36">
        <f t="shared" si="74"/>
        <v>0</v>
      </c>
      <c r="V31" s="36">
        <f t="shared" si="75"/>
        <v>0</v>
      </c>
      <c r="W31" s="37">
        <f t="shared" si="76"/>
        <v>0</v>
      </c>
      <c r="X31" s="36">
        <f t="shared" si="77"/>
        <v>0</v>
      </c>
      <c r="Y31" s="37">
        <f t="shared" si="78"/>
        <v>0</v>
      </c>
      <c r="AA31" s="47">
        <v>0.0</v>
      </c>
      <c r="AB31" s="36">
        <f t="shared" si="79"/>
        <v>0</v>
      </c>
      <c r="AC31" s="42">
        <v>0.0</v>
      </c>
      <c r="AD31" s="36">
        <f t="shared" si="80"/>
        <v>0</v>
      </c>
      <c r="AE31" s="42">
        <v>0.0</v>
      </c>
      <c r="AF31" s="39">
        <v>0.0</v>
      </c>
      <c r="AG31" s="39">
        <v>0.0</v>
      </c>
      <c r="AH31" s="39">
        <v>0.0</v>
      </c>
      <c r="AI31" s="36">
        <f t="shared" si="81"/>
        <v>0</v>
      </c>
      <c r="AJ31" s="36">
        <f t="shared" si="82"/>
        <v>0</v>
      </c>
      <c r="AK31" s="36">
        <f t="shared" si="83"/>
        <v>0</v>
      </c>
      <c r="AL31" s="36">
        <f t="shared" si="84"/>
        <v>0</v>
      </c>
      <c r="AM31" s="37">
        <f t="shared" si="85"/>
        <v>0</v>
      </c>
      <c r="AN31" s="36">
        <f t="shared" si="86"/>
        <v>0</v>
      </c>
      <c r="AO31" s="37">
        <f t="shared" si="87"/>
        <v>0</v>
      </c>
    </row>
    <row r="32">
      <c r="B32" s="38" t="s">
        <v>102</v>
      </c>
      <c r="C32" s="40">
        <v>0.0</v>
      </c>
      <c r="D32" s="40">
        <v>0.0</v>
      </c>
      <c r="E32" s="42">
        <v>0.0</v>
      </c>
      <c r="F32" s="36">
        <f t="shared" si="66"/>
        <v>0</v>
      </c>
      <c r="G32" s="37">
        <f t="shared" si="67"/>
        <v>0</v>
      </c>
      <c r="H32" s="36">
        <f t="shared" si="68"/>
        <v>0</v>
      </c>
      <c r="I32" s="37">
        <f t="shared" si="69"/>
        <v>0</v>
      </c>
      <c r="K32" s="47">
        <v>0.0</v>
      </c>
      <c r="L32" s="36">
        <f t="shared" si="70"/>
        <v>0</v>
      </c>
      <c r="M32" s="42">
        <v>0.0</v>
      </c>
      <c r="N32" s="36">
        <f t="shared" si="71"/>
        <v>0</v>
      </c>
      <c r="O32" s="42">
        <v>0.0</v>
      </c>
      <c r="P32" s="39">
        <v>0.0</v>
      </c>
      <c r="Q32" s="39">
        <v>0.0</v>
      </c>
      <c r="R32" s="39">
        <v>0.0</v>
      </c>
      <c r="S32" s="36">
        <f t="shared" si="72"/>
        <v>0</v>
      </c>
      <c r="T32" s="36">
        <f t="shared" si="73"/>
        <v>0</v>
      </c>
      <c r="U32" s="36">
        <f t="shared" si="74"/>
        <v>0</v>
      </c>
      <c r="V32" s="36">
        <f t="shared" si="75"/>
        <v>0</v>
      </c>
      <c r="W32" s="37">
        <f t="shared" si="76"/>
        <v>0</v>
      </c>
      <c r="X32" s="36">
        <f t="shared" si="77"/>
        <v>0</v>
      </c>
      <c r="Y32" s="37">
        <f t="shared" si="78"/>
        <v>0</v>
      </c>
      <c r="AA32" s="47">
        <v>0.0</v>
      </c>
      <c r="AB32" s="36">
        <f t="shared" si="79"/>
        <v>0</v>
      </c>
      <c r="AC32" s="42">
        <v>0.0</v>
      </c>
      <c r="AD32" s="36">
        <f t="shared" si="80"/>
        <v>0</v>
      </c>
      <c r="AE32" s="42">
        <v>0.0</v>
      </c>
      <c r="AF32" s="39">
        <v>0.0</v>
      </c>
      <c r="AG32" s="39">
        <v>0.0</v>
      </c>
      <c r="AH32" s="39">
        <v>0.0</v>
      </c>
      <c r="AI32" s="36">
        <f t="shared" si="81"/>
        <v>0</v>
      </c>
      <c r="AJ32" s="36">
        <f t="shared" si="82"/>
        <v>0</v>
      </c>
      <c r="AK32" s="36">
        <f t="shared" si="83"/>
        <v>0</v>
      </c>
      <c r="AL32" s="36">
        <f t="shared" si="84"/>
        <v>0</v>
      </c>
      <c r="AM32" s="37">
        <f t="shared" si="85"/>
        <v>0</v>
      </c>
      <c r="AN32" s="36">
        <f t="shared" si="86"/>
        <v>0</v>
      </c>
      <c r="AO32" s="37">
        <f t="shared" si="87"/>
        <v>0</v>
      </c>
    </row>
    <row r="33">
      <c r="C33" s="43"/>
      <c r="D33" s="43"/>
      <c r="E33" s="43"/>
      <c r="L33" s="21"/>
      <c r="M33" s="21"/>
      <c r="N33" s="21"/>
      <c r="O33" s="21"/>
      <c r="P33" s="21"/>
      <c r="Q33" s="21"/>
      <c r="R33" s="21"/>
      <c r="X33" s="21"/>
      <c r="AB33" s="21"/>
      <c r="AC33" s="21"/>
      <c r="AD33" s="21"/>
      <c r="AE33" s="21"/>
      <c r="AF33" s="21"/>
      <c r="AG33" s="21"/>
      <c r="AH33" s="21"/>
      <c r="AN33" s="21"/>
    </row>
    <row r="34">
      <c r="B34" s="48" t="s">
        <v>103</v>
      </c>
      <c r="C34" s="49">
        <f t="shared" ref="C34:F34" si="88">sum(C8:C33)</f>
        <v>10000000</v>
      </c>
      <c r="D34" s="49">
        <f t="shared" si="88"/>
        <v>0</v>
      </c>
      <c r="E34" s="49">
        <f t="shared" si="88"/>
        <v>0</v>
      </c>
      <c r="F34" s="49">
        <f t="shared" si="88"/>
        <v>10000000</v>
      </c>
      <c r="G34" s="50">
        <f>iferror(F34/F$34,0)</f>
        <v>1</v>
      </c>
      <c r="H34" s="49">
        <f>sum(H8:H33)</f>
        <v>10000000</v>
      </c>
      <c r="I34" s="50">
        <f>iferror(H34/H$34,0)</f>
        <v>1</v>
      </c>
      <c r="K34" s="49">
        <f t="shared" ref="K34:P34" si="89">sum(K8:K33)</f>
        <v>3000000</v>
      </c>
      <c r="L34" s="49">
        <f t="shared" si="89"/>
        <v>2999999.912</v>
      </c>
      <c r="M34" s="49">
        <f t="shared" si="89"/>
        <v>16661112</v>
      </c>
      <c r="N34" s="49">
        <f t="shared" si="89"/>
        <v>7997867</v>
      </c>
      <c r="O34" s="49">
        <f t="shared" si="89"/>
        <v>0</v>
      </c>
      <c r="P34" s="49">
        <f t="shared" si="89"/>
        <v>0</v>
      </c>
      <c r="Q34" s="49"/>
      <c r="R34" s="49"/>
      <c r="S34" s="49">
        <f t="shared" ref="S34:V34" si="90">sum(S8:S33)</f>
        <v>10000000</v>
      </c>
      <c r="T34" s="49">
        <f t="shared" si="90"/>
        <v>24658979</v>
      </c>
      <c r="U34" s="49">
        <f t="shared" si="90"/>
        <v>0</v>
      </c>
      <c r="V34" s="49">
        <f t="shared" si="90"/>
        <v>34658979</v>
      </c>
      <c r="W34" s="50">
        <f>iferror(V34/V$34,0)</f>
        <v>1</v>
      </c>
      <c r="X34" s="49">
        <f>sum(X8:X33)</f>
        <v>34658979</v>
      </c>
      <c r="Y34" s="50">
        <f>iferror(X34/X$34,0)</f>
        <v>1</v>
      </c>
      <c r="AA34" s="49">
        <f t="shared" ref="AA34:AF34" si="91">sum(AA8:AA33)</f>
        <v>0</v>
      </c>
      <c r="AB34" s="49">
        <f t="shared" si="91"/>
        <v>0</v>
      </c>
      <c r="AC34" s="49">
        <f t="shared" si="91"/>
        <v>0</v>
      </c>
      <c r="AD34" s="49">
        <f t="shared" si="91"/>
        <v>0</v>
      </c>
      <c r="AE34" s="49">
        <f t="shared" si="91"/>
        <v>0</v>
      </c>
      <c r="AF34" s="49">
        <f t="shared" si="91"/>
        <v>0</v>
      </c>
      <c r="AG34" s="49"/>
      <c r="AH34" s="49"/>
      <c r="AI34" s="49">
        <f t="shared" ref="AI34:AL34" si="92">sum(AI8:AI33)</f>
        <v>10000000</v>
      </c>
      <c r="AJ34" s="49">
        <f t="shared" si="92"/>
        <v>24658979</v>
      </c>
      <c r="AK34" s="49">
        <f t="shared" si="92"/>
        <v>0</v>
      </c>
      <c r="AL34" s="49">
        <f t="shared" si="92"/>
        <v>34658979</v>
      </c>
      <c r="AM34" s="50">
        <f>iferror(AL34/AL$34,0)</f>
        <v>1</v>
      </c>
      <c r="AN34" s="49">
        <f>sum(AN8:AN33)</f>
        <v>34658979</v>
      </c>
      <c r="AO34" s="50">
        <f>iferror(AN34/AN$34,0)</f>
        <v>1</v>
      </c>
    </row>
    <row r="35">
      <c r="L35" s="51"/>
      <c r="AB35" s="51"/>
    </row>
    <row r="36">
      <c r="K36" s="47" t="s">
        <v>104</v>
      </c>
      <c r="L36" s="21"/>
      <c r="M36" s="21"/>
      <c r="N36" s="52"/>
      <c r="Q36" s="21"/>
      <c r="R36" s="21"/>
      <c r="S36" s="21"/>
      <c r="T36" s="21"/>
      <c r="U36" s="21"/>
      <c r="V36" s="21"/>
      <c r="AA36" s="47" t="s">
        <v>104</v>
      </c>
      <c r="AB36" s="21"/>
      <c r="AC36" s="21"/>
      <c r="AD36" s="52"/>
      <c r="AG36" s="21"/>
      <c r="AH36" s="21"/>
      <c r="AI36" s="21"/>
      <c r="AJ36" s="21"/>
      <c r="AK36" s="21"/>
      <c r="AL36" s="21"/>
    </row>
    <row r="37">
      <c r="K37" s="53" t="s">
        <v>105</v>
      </c>
      <c r="L37" s="21"/>
      <c r="M37" s="21">
        <f>L34</f>
        <v>2999999.912</v>
      </c>
      <c r="N37" s="15" t="s">
        <v>106</v>
      </c>
      <c r="R37" s="21"/>
      <c r="S37" s="21"/>
      <c r="T37" s="21"/>
      <c r="U37" s="21"/>
      <c r="V37" s="21"/>
      <c r="W37" s="21"/>
      <c r="AA37" s="53" t="s">
        <v>105</v>
      </c>
      <c r="AB37" s="21"/>
      <c r="AC37" s="21">
        <f>AB34</f>
        <v>0</v>
      </c>
      <c r="AD37" s="15" t="s">
        <v>106</v>
      </c>
      <c r="AH37" s="21"/>
      <c r="AI37" s="21"/>
      <c r="AJ37" s="21"/>
      <c r="AK37" s="21"/>
      <c r="AL37" s="21"/>
      <c r="AM37" s="21"/>
    </row>
    <row r="38">
      <c r="K38" s="53" t="s">
        <v>107</v>
      </c>
      <c r="L38" s="21"/>
      <c r="M38" s="47">
        <v>1.0E7</v>
      </c>
      <c r="N38" s="15" t="s">
        <v>108</v>
      </c>
      <c r="R38" s="21"/>
      <c r="S38" s="21"/>
      <c r="T38" s="21"/>
      <c r="U38" s="21"/>
      <c r="V38" s="21"/>
      <c r="W38" s="21"/>
      <c r="AA38" s="53" t="s">
        <v>107</v>
      </c>
      <c r="AB38" s="21"/>
      <c r="AC38" s="47">
        <v>0.0</v>
      </c>
      <c r="AD38" s="15" t="s">
        <v>108</v>
      </c>
      <c r="AH38" s="21"/>
      <c r="AI38" s="21"/>
      <c r="AJ38" s="21"/>
      <c r="AK38" s="21"/>
      <c r="AL38" s="21"/>
      <c r="AM38" s="21"/>
    </row>
    <row r="39">
      <c r="K39" s="53" t="s">
        <v>109</v>
      </c>
      <c r="L39" s="21"/>
      <c r="M39" s="21">
        <f>M41*X34</f>
        <v>13000583.02</v>
      </c>
      <c r="N39" s="15" t="s">
        <v>110</v>
      </c>
      <c r="R39" s="21"/>
      <c r="S39" s="21"/>
      <c r="T39" s="21"/>
      <c r="U39" s="21"/>
      <c r="V39" s="21"/>
      <c r="W39" s="21"/>
      <c r="AA39" s="53" t="s">
        <v>109</v>
      </c>
      <c r="AB39" s="21"/>
      <c r="AC39" s="21">
        <f>AC41*AN34</f>
        <v>0</v>
      </c>
      <c r="AD39" s="15" t="s">
        <v>110</v>
      </c>
      <c r="AH39" s="21"/>
      <c r="AI39" s="21"/>
      <c r="AJ39" s="21"/>
      <c r="AK39" s="21"/>
      <c r="AL39" s="21"/>
      <c r="AM39" s="21"/>
    </row>
    <row r="40">
      <c r="K40" s="53" t="s">
        <v>111</v>
      </c>
      <c r="L40" s="21"/>
      <c r="M40" s="21">
        <f>H34+max(0,sumifs(W$55:W$59,L$55:L$59,"postmoney SAFE"))+if(M52="investor friendly",max(0,sumifs(W$55:W$59,L$55:L$59,"premoney SAFE"))+max(0,sumifs(W$55:W$59,L$55:L$59,"convertible note")),0)+if(M64="investor friendly",M68,0)</f>
        <v>26661112</v>
      </c>
      <c r="N40" s="15" t="s">
        <v>112</v>
      </c>
      <c r="R40" s="21"/>
      <c r="S40" s="21"/>
      <c r="T40" s="21"/>
      <c r="U40" s="21"/>
      <c r="V40" s="21"/>
      <c r="W40" s="21"/>
      <c r="AA40" s="53" t="s">
        <v>111</v>
      </c>
      <c r="AB40" s="21"/>
      <c r="AC40" s="21">
        <f>X34+max(0,sumifs(AM$55:AM$59,AB$55:AB$59,"postmoney SAFE"))+if(AC52="investor friendly",max(0,sumifs(AM$55:AM$59,AB$55:AB$59,"premoney SAFE"))+max(0,sumifs(AM$55:AM$59,AB$55:AB$59,"convertible note")),0)+if(AC64="investor friendly",AC68,0)</f>
        <v>34658979</v>
      </c>
      <c r="AD40" s="15" t="s">
        <v>112</v>
      </c>
      <c r="AH40" s="21"/>
      <c r="AI40" s="21"/>
      <c r="AJ40" s="21"/>
      <c r="AK40" s="21"/>
      <c r="AL40" s="21"/>
      <c r="AM40" s="21"/>
    </row>
    <row r="41">
      <c r="K41" s="53" t="s">
        <v>113</v>
      </c>
      <c r="L41" s="21"/>
      <c r="M41" s="54">
        <f>iferror(if(isnumber(M46),round(M38/M40,M46),M38/M40),0)</f>
        <v>0.3751</v>
      </c>
      <c r="N41" s="15" t="s">
        <v>114</v>
      </c>
      <c r="R41" s="21"/>
      <c r="S41" s="21"/>
      <c r="T41" s="21"/>
      <c r="U41" s="21"/>
      <c r="V41" s="21"/>
      <c r="W41" s="21"/>
      <c r="AA41" s="53" t="s">
        <v>113</v>
      </c>
      <c r="AB41" s="21"/>
      <c r="AC41" s="54">
        <f>iferror(if(isnumber(AC46),round(AC38/AC40,AC46),AC38/AC40),0)</f>
        <v>0</v>
      </c>
      <c r="AD41" s="15" t="s">
        <v>114</v>
      </c>
      <c r="AH41" s="21"/>
      <c r="AI41" s="21"/>
      <c r="AJ41" s="21"/>
      <c r="AK41" s="21"/>
      <c r="AL41" s="21"/>
      <c r="AM41" s="21"/>
    </row>
    <row r="42">
      <c r="K42" s="53" t="s">
        <v>115</v>
      </c>
      <c r="L42" s="21"/>
      <c r="M42" s="21">
        <f>iferror(M38-(M40-H34)*M41,0)</f>
        <v>3750416.889</v>
      </c>
      <c r="N42" s="15" t="s">
        <v>116</v>
      </c>
      <c r="R42" s="21"/>
      <c r="S42" s="21"/>
      <c r="T42" s="21"/>
      <c r="U42" s="21"/>
      <c r="V42" s="21"/>
      <c r="W42" s="21"/>
      <c r="AA42" s="53" t="s">
        <v>115</v>
      </c>
      <c r="AB42" s="21"/>
      <c r="AC42" s="21">
        <f>iferror(AC38-(AC40-X34)*AC41,0)</f>
        <v>0</v>
      </c>
      <c r="AD42" s="15" t="s">
        <v>116</v>
      </c>
      <c r="AH42" s="21"/>
      <c r="AI42" s="21"/>
      <c r="AJ42" s="21"/>
      <c r="AK42" s="21"/>
      <c r="AL42" s="21"/>
      <c r="AM42" s="21"/>
    </row>
    <row r="43">
      <c r="K43" s="53"/>
      <c r="L43" s="21"/>
      <c r="M43" s="21"/>
      <c r="N43" s="15"/>
      <c r="R43" s="21"/>
      <c r="S43" s="21"/>
      <c r="T43" s="21"/>
      <c r="U43" s="21"/>
      <c r="V43" s="21"/>
      <c r="W43" s="21"/>
      <c r="AA43" s="53"/>
      <c r="AB43" s="21"/>
      <c r="AC43" s="21"/>
      <c r="AD43" s="15"/>
      <c r="AH43" s="21"/>
      <c r="AI43" s="21"/>
      <c r="AJ43" s="21"/>
      <c r="AK43" s="21"/>
      <c r="AL43" s="21"/>
      <c r="AM43" s="21"/>
    </row>
    <row r="44">
      <c r="K44" s="55" t="s">
        <v>117</v>
      </c>
      <c r="L44" s="56"/>
      <c r="M44" s="56"/>
      <c r="N44" s="57"/>
      <c r="O44" s="58"/>
      <c r="P44" s="58"/>
      <c r="Q44" s="58"/>
      <c r="R44" s="56"/>
      <c r="S44" s="56"/>
      <c r="T44" s="56"/>
      <c r="U44" s="56"/>
      <c r="V44" s="56"/>
      <c r="W44" s="56"/>
      <c r="AA44" s="55" t="s">
        <v>117</v>
      </c>
      <c r="AB44" s="56"/>
      <c r="AC44" s="56"/>
      <c r="AD44" s="57"/>
      <c r="AE44" s="58"/>
      <c r="AF44" s="58"/>
      <c r="AG44" s="58"/>
      <c r="AH44" s="56"/>
      <c r="AI44" s="56"/>
      <c r="AJ44" s="56"/>
      <c r="AK44" s="56"/>
      <c r="AL44" s="56"/>
      <c r="AM44" s="56"/>
    </row>
    <row r="45">
      <c r="K45" s="53" t="s">
        <v>118</v>
      </c>
      <c r="L45" s="21"/>
      <c r="M45" s="59" t="b">
        <v>1</v>
      </c>
      <c r="N45" s="15" t="s">
        <v>119</v>
      </c>
      <c r="R45" s="21"/>
      <c r="S45" s="21"/>
      <c r="T45" s="21"/>
      <c r="U45" s="21"/>
      <c r="V45" s="21"/>
      <c r="W45" s="21"/>
      <c r="AA45" s="53" t="s">
        <v>118</v>
      </c>
      <c r="AB45" s="21"/>
      <c r="AC45" s="59" t="b">
        <v>0</v>
      </c>
      <c r="AD45" s="15" t="s">
        <v>119</v>
      </c>
      <c r="AH45" s="21"/>
      <c r="AI45" s="21"/>
      <c r="AJ45" s="21"/>
      <c r="AK45" s="21"/>
      <c r="AL45" s="21"/>
      <c r="AM45" s="21"/>
    </row>
    <row r="46">
      <c r="K46" s="53" t="str">
        <f>if(isnumber(M46),"Round share prices to "&amp;M46&amp;" significant digits","Do not round share prices")</f>
        <v>Round share prices to 4 significant digits</v>
      </c>
      <c r="L46" s="21"/>
      <c r="M46" s="59">
        <v>4.0</v>
      </c>
      <c r="N46" s="15" t="s">
        <v>120</v>
      </c>
      <c r="R46" s="21"/>
      <c r="S46" s="21"/>
      <c r="T46" s="21"/>
      <c r="U46" s="21"/>
      <c r="V46" s="21"/>
      <c r="W46" s="21"/>
      <c r="AA46" s="53" t="str">
        <f>if(isnumber(AC46),"Round share prices to "&amp;AC46&amp;" significant digits","Do not round share prices")</f>
        <v>Round share prices to 4 significant digits</v>
      </c>
      <c r="AB46" s="21"/>
      <c r="AC46" s="59">
        <v>4.0</v>
      </c>
      <c r="AD46" s="15" t="s">
        <v>120</v>
      </c>
      <c r="AH46" s="21"/>
      <c r="AI46" s="21"/>
      <c r="AJ46" s="21"/>
      <c r="AK46" s="21"/>
      <c r="AL46" s="21"/>
      <c r="AM46" s="21"/>
    </row>
    <row r="47">
      <c r="K47" s="53" t="s">
        <v>121</v>
      </c>
      <c r="L47" s="21"/>
      <c r="M47" s="59" t="s">
        <v>122</v>
      </c>
      <c r="N47" s="15" t="s">
        <v>123</v>
      </c>
      <c r="R47" s="21"/>
      <c r="S47" s="21"/>
      <c r="T47" s="21"/>
      <c r="U47" s="21"/>
      <c r="V47" s="21"/>
      <c r="W47" s="21"/>
      <c r="AA47" s="53" t="s">
        <v>121</v>
      </c>
      <c r="AB47" s="21"/>
      <c r="AC47" s="59" t="s">
        <v>122</v>
      </c>
      <c r="AD47" s="15" t="s">
        <v>123</v>
      </c>
      <c r="AH47" s="21"/>
      <c r="AI47" s="21"/>
      <c r="AJ47" s="21"/>
      <c r="AK47" s="21"/>
      <c r="AL47" s="21"/>
      <c r="AM47" s="21"/>
    </row>
    <row r="48">
      <c r="K48" s="53" t="s">
        <v>124</v>
      </c>
      <c r="L48" s="21"/>
      <c r="M48" s="60">
        <f>today()</f>
        <v>46107</v>
      </c>
      <c r="N48" s="15" t="s">
        <v>125</v>
      </c>
      <c r="R48" s="21"/>
      <c r="S48" s="21"/>
      <c r="T48" s="21"/>
      <c r="U48" s="21"/>
      <c r="V48" s="21"/>
      <c r="W48" s="21"/>
      <c r="AA48" s="53" t="s">
        <v>124</v>
      </c>
      <c r="AB48" s="21"/>
      <c r="AC48" s="60">
        <f>today()</f>
        <v>46107</v>
      </c>
      <c r="AD48" s="15" t="s">
        <v>125</v>
      </c>
      <c r="AH48" s="21"/>
      <c r="AI48" s="21"/>
      <c r="AJ48" s="21"/>
      <c r="AK48" s="21"/>
      <c r="AL48" s="21"/>
      <c r="AM48" s="21"/>
    </row>
    <row r="49">
      <c r="K49" s="61"/>
      <c r="L49" s="21"/>
      <c r="R49" s="21"/>
      <c r="S49" s="21"/>
      <c r="T49" s="21"/>
      <c r="U49" s="21"/>
      <c r="V49" s="21"/>
      <c r="W49" s="21"/>
      <c r="AA49" s="61"/>
      <c r="AB49" s="21"/>
      <c r="AH49" s="21"/>
      <c r="AI49" s="21"/>
      <c r="AJ49" s="21"/>
      <c r="AK49" s="21"/>
      <c r="AL49" s="21"/>
      <c r="AM49" s="21"/>
    </row>
    <row r="50">
      <c r="K50" s="62" t="s">
        <v>126</v>
      </c>
      <c r="L50" s="56"/>
      <c r="M50" s="58"/>
      <c r="N50" s="58"/>
      <c r="O50" s="58"/>
      <c r="P50" s="58"/>
      <c r="Q50" s="58"/>
      <c r="R50" s="56"/>
      <c r="S50" s="56"/>
      <c r="T50" s="56"/>
      <c r="U50" s="56"/>
      <c r="V50" s="56"/>
      <c r="W50" s="56"/>
      <c r="AA50" s="62" t="s">
        <v>126</v>
      </c>
      <c r="AB50" s="56"/>
      <c r="AC50" s="58"/>
      <c r="AD50" s="58"/>
      <c r="AE50" s="58"/>
      <c r="AF50" s="58"/>
      <c r="AG50" s="58"/>
      <c r="AH50" s="56"/>
      <c r="AI50" s="56"/>
      <c r="AJ50" s="56"/>
      <c r="AK50" s="56"/>
      <c r="AL50" s="56"/>
      <c r="AM50" s="56"/>
    </row>
    <row r="51">
      <c r="K51" s="15" t="s">
        <v>127</v>
      </c>
      <c r="L51" s="15"/>
      <c r="M51" s="15"/>
      <c r="N51" s="15"/>
      <c r="R51" s="21"/>
      <c r="S51" s="21"/>
      <c r="T51" s="21"/>
      <c r="U51" s="21"/>
      <c r="V51" s="21"/>
      <c r="W51" s="21"/>
      <c r="AA51" s="15" t="s">
        <v>127</v>
      </c>
      <c r="AB51" s="15"/>
      <c r="AC51" s="15"/>
      <c r="AD51" s="15"/>
      <c r="AH51" s="21"/>
      <c r="AI51" s="21"/>
      <c r="AJ51" s="21"/>
      <c r="AK51" s="21"/>
      <c r="AL51" s="21"/>
      <c r="AM51" s="21"/>
    </row>
    <row r="52">
      <c r="K52" s="63" t="s">
        <v>128</v>
      </c>
      <c r="L52" s="64"/>
      <c r="M52" s="65" t="s">
        <v>129</v>
      </c>
      <c r="N52" s="15" t="s">
        <v>130</v>
      </c>
      <c r="O52" s="66"/>
      <c r="P52" s="66"/>
      <c r="Q52" s="66"/>
      <c r="R52" s="66"/>
      <c r="S52" s="66"/>
      <c r="T52" s="66"/>
      <c r="U52" s="66"/>
      <c r="V52" s="66"/>
      <c r="W52" s="67"/>
      <c r="AA52" s="63" t="s">
        <v>128</v>
      </c>
      <c r="AB52" s="64"/>
      <c r="AC52" s="65" t="s">
        <v>129</v>
      </c>
      <c r="AD52" s="15" t="s">
        <v>130</v>
      </c>
      <c r="AE52" s="66"/>
      <c r="AF52" s="66"/>
      <c r="AG52" s="66"/>
      <c r="AH52" s="66"/>
      <c r="AI52" s="66"/>
      <c r="AJ52" s="66"/>
      <c r="AK52" s="66"/>
      <c r="AL52" s="66"/>
      <c r="AM52" s="67"/>
    </row>
    <row r="53">
      <c r="K53" s="28" t="s">
        <v>102</v>
      </c>
      <c r="L53" s="28" t="s">
        <v>131</v>
      </c>
      <c r="M53" s="29" t="s">
        <v>86</v>
      </c>
      <c r="N53" s="29" t="s">
        <v>132</v>
      </c>
      <c r="O53" s="29" t="s">
        <v>133</v>
      </c>
      <c r="P53" s="29" t="s">
        <v>134</v>
      </c>
      <c r="Q53" s="29" t="s">
        <v>135</v>
      </c>
      <c r="R53" s="29" t="s">
        <v>136</v>
      </c>
      <c r="S53" s="29" t="s">
        <v>137</v>
      </c>
      <c r="T53" s="29" t="s">
        <v>111</v>
      </c>
      <c r="U53" s="29" t="s">
        <v>113</v>
      </c>
      <c r="V53" s="29" t="s">
        <v>138</v>
      </c>
      <c r="W53" s="30" t="s">
        <v>88</v>
      </c>
      <c r="AA53" s="28" t="s">
        <v>102</v>
      </c>
      <c r="AB53" s="28" t="s">
        <v>131</v>
      </c>
      <c r="AC53" s="29" t="s">
        <v>86</v>
      </c>
      <c r="AD53" s="29" t="s">
        <v>132</v>
      </c>
      <c r="AE53" s="29" t="s">
        <v>133</v>
      </c>
      <c r="AF53" s="29" t="s">
        <v>134</v>
      </c>
      <c r="AG53" s="29" t="s">
        <v>135</v>
      </c>
      <c r="AH53" s="29" t="s">
        <v>136</v>
      </c>
      <c r="AI53" s="29" t="s">
        <v>137</v>
      </c>
      <c r="AJ53" s="29" t="s">
        <v>111</v>
      </c>
      <c r="AK53" s="29" t="s">
        <v>113</v>
      </c>
      <c r="AL53" s="29" t="s">
        <v>138</v>
      </c>
      <c r="AM53" s="30" t="s">
        <v>88</v>
      </c>
    </row>
    <row r="54">
      <c r="K54" s="33" t="s">
        <v>139</v>
      </c>
      <c r="N54" s="32" t="s">
        <v>140</v>
      </c>
      <c r="O54" s="32" t="s">
        <v>141</v>
      </c>
      <c r="P54" s="32" t="s">
        <v>142</v>
      </c>
      <c r="Q54" s="32" t="s">
        <v>143</v>
      </c>
      <c r="R54" s="32" t="s">
        <v>144</v>
      </c>
      <c r="S54" s="32" t="s">
        <v>145</v>
      </c>
      <c r="T54" s="32" t="s">
        <v>146</v>
      </c>
      <c r="U54" s="32" t="s">
        <v>147</v>
      </c>
      <c r="V54" s="32" t="s">
        <v>148</v>
      </c>
      <c r="W54" s="32" t="s">
        <v>92</v>
      </c>
      <c r="AA54" s="33" t="s">
        <v>139</v>
      </c>
      <c r="AD54" s="32" t="s">
        <v>140</v>
      </c>
      <c r="AE54" s="32" t="s">
        <v>141</v>
      </c>
      <c r="AF54" s="32" t="s">
        <v>142</v>
      </c>
      <c r="AG54" s="32" t="s">
        <v>143</v>
      </c>
      <c r="AH54" s="32" t="s">
        <v>144</v>
      </c>
      <c r="AI54" s="32" t="s">
        <v>145</v>
      </c>
      <c r="AJ54" s="32" t="s">
        <v>146</v>
      </c>
      <c r="AK54" s="32" t="s">
        <v>147</v>
      </c>
      <c r="AL54" s="32" t="s">
        <v>148</v>
      </c>
      <c r="AM54" s="32" t="s">
        <v>92</v>
      </c>
    </row>
    <row r="55">
      <c r="K55" s="38" t="s">
        <v>102</v>
      </c>
      <c r="L55" s="38" t="s">
        <v>149</v>
      </c>
      <c r="M55" s="39">
        <v>5000000.0</v>
      </c>
      <c r="N55" s="68">
        <v>0.2</v>
      </c>
      <c r="O55" s="39">
        <v>8000000.0</v>
      </c>
      <c r="P55" s="68">
        <v>0.0</v>
      </c>
      <c r="Q55" s="69">
        <v>0.0</v>
      </c>
      <c r="R55" s="60">
        <f t="shared" ref="R55:R58" si="93">today()-365</f>
        <v>45742</v>
      </c>
      <c r="S55" s="36">
        <f t="shared" ref="S55:S58" si="94">IFERROR(Q55/365*(M$48-R55)*M55,0)</f>
        <v>0</v>
      </c>
      <c r="T55" s="39">
        <f t="shared" ref="T55:T58" si="95">if(L55="postmoney SAFE",H$34+max(0,sum(W$55:W$59)),H$34+if(M$64="investor friendly",M$68,0))</f>
        <v>26661112</v>
      </c>
      <c r="U55" s="70">
        <f t="shared" ref="U55:U58" si="96">iferror(if(isnumber(M$46),round(if(and(P55&lt;&gt;0,L55="postmoney SAFE"),(M55/P55)/T55,if(O55&lt;&gt;0, min(O55/T55,M$41*(1-N55)),M$41*(1-N55))),M$46),if(and(P55&lt;&gt;0,L55="postmoney SAFE"),(M55/P55)/T55,if(O55&lt;&gt;0, min(O55/T55,M$41*(1-N55)),M$41*(1-N55)))),0)</f>
        <v>0.3001</v>
      </c>
      <c r="V55" s="71">
        <f t="shared" ref="V55:V58" si="97">iferror(((S55+M55)/U55-W55)*U55,0)</f>
        <v>0.2888000001</v>
      </c>
      <c r="W55" s="36">
        <f t="shared" ref="W55:W58" si="98">if(M$45=true, iferror(if(M$47="rounddown",rounddown((S55+M55)/U55,0),if(M$47="roundup",roundup((S55+M55)/U55,0),if(M$47="round",ROUND((S55+M55)/U55,0),(S55+M55)/U55))),0),0)</f>
        <v>16661112</v>
      </c>
      <c r="AA55" s="38" t="s">
        <v>102</v>
      </c>
      <c r="AB55" s="38" t="s">
        <v>149</v>
      </c>
      <c r="AC55" s="39">
        <v>0.0</v>
      </c>
      <c r="AD55" s="68">
        <v>0.0</v>
      </c>
      <c r="AE55" s="39">
        <v>0.0</v>
      </c>
      <c r="AF55" s="68">
        <v>0.0</v>
      </c>
      <c r="AG55" s="69">
        <v>0.0</v>
      </c>
      <c r="AH55" s="60">
        <f t="shared" ref="AH55:AH58" si="99">today()-365</f>
        <v>45742</v>
      </c>
      <c r="AI55" s="36">
        <f t="shared" ref="AI55:AI58" si="100">IFERROR(AG55/365*(AC$48-AH55)*AC55,0)</f>
        <v>0</v>
      </c>
      <c r="AJ55" s="39">
        <f t="shared" ref="AJ55:AJ58" si="101">if(AB55="postmoney SAFE",X$34+max(0,sum(AM$55:AM$59)),X$34+if(AC$64="investor friendly",AC$68,0))</f>
        <v>34658979</v>
      </c>
      <c r="AK55" s="70">
        <f t="shared" ref="AK55:AK58" si="102">iferror(if(isnumber(AC$46),round(if(and(AF55&lt;&gt;0,AB55="postmoney SAFE"),(AC55/AF55)/AJ55,if(AE55&lt;&gt;0, min(AE55/AJ55,AC$41*(1-AD55)),AC$41*(1-AD55))),AC$46),if(and(AF55&lt;&gt;0,AB55="postmoney SAFE"),(AC55/AF55)/AJ55,if(AE55&lt;&gt;0, min(AE55/AJ55,AC$41*(1-AD55)),AC$41*(1-AD55)))),0)</f>
        <v>0</v>
      </c>
      <c r="AL55" s="71">
        <f t="shared" ref="AL55:AL58" si="103">iferror(((AI55+AC55)/AK55-AM55)*AK55,0)</f>
        <v>0</v>
      </c>
      <c r="AM55" s="36">
        <f t="shared" ref="AM55:AM58" si="104">if(AC$45=true, iferror(if(AC$47="rounddown",rounddown((AI55+AC55)/AK55,0),if(AC$47="roundup",roundup((AI55+AC55)/AK55,0),if(AC$47="round",ROUND((AI55+AC55)/AK55,0),(AI55+AC55)/AK55))),0),0)</f>
        <v>0</v>
      </c>
    </row>
    <row r="56">
      <c r="K56" s="38" t="s">
        <v>102</v>
      </c>
      <c r="L56" s="38" t="s">
        <v>150</v>
      </c>
      <c r="M56" s="40">
        <v>0.0</v>
      </c>
      <c r="N56" s="69">
        <v>0.0</v>
      </c>
      <c r="O56" s="40">
        <v>0.0</v>
      </c>
      <c r="P56" s="69">
        <v>0.0</v>
      </c>
      <c r="Q56" s="69">
        <v>0.0</v>
      </c>
      <c r="R56" s="60">
        <f t="shared" si="93"/>
        <v>45742</v>
      </c>
      <c r="S56" s="36">
        <f t="shared" si="94"/>
        <v>0</v>
      </c>
      <c r="T56" s="39">
        <f t="shared" si="95"/>
        <v>10000000</v>
      </c>
      <c r="U56" s="70">
        <f t="shared" si="96"/>
        <v>0.3751</v>
      </c>
      <c r="V56" s="71">
        <f t="shared" si="97"/>
        <v>0</v>
      </c>
      <c r="W56" s="36">
        <f t="shared" si="98"/>
        <v>0</v>
      </c>
      <c r="AA56" s="38" t="s">
        <v>102</v>
      </c>
      <c r="AB56" s="38" t="s">
        <v>150</v>
      </c>
      <c r="AC56" s="40">
        <v>0.0</v>
      </c>
      <c r="AD56" s="69">
        <v>0.0</v>
      </c>
      <c r="AE56" s="40">
        <v>0.0</v>
      </c>
      <c r="AF56" s="69">
        <v>0.0</v>
      </c>
      <c r="AG56" s="69">
        <v>0.0</v>
      </c>
      <c r="AH56" s="60">
        <f t="shared" si="99"/>
        <v>45742</v>
      </c>
      <c r="AI56" s="36">
        <f t="shared" si="100"/>
        <v>0</v>
      </c>
      <c r="AJ56" s="39">
        <f t="shared" si="101"/>
        <v>34658979</v>
      </c>
      <c r="AK56" s="70">
        <f t="shared" si="102"/>
        <v>0</v>
      </c>
      <c r="AL56" s="71">
        <f t="shared" si="103"/>
        <v>0</v>
      </c>
      <c r="AM56" s="36">
        <f t="shared" si="104"/>
        <v>0</v>
      </c>
    </row>
    <row r="57">
      <c r="K57" s="38" t="s">
        <v>102</v>
      </c>
      <c r="L57" s="38" t="s">
        <v>151</v>
      </c>
      <c r="M57" s="39">
        <v>0.0</v>
      </c>
      <c r="N57" s="72">
        <v>0.0</v>
      </c>
      <c r="O57" s="39">
        <v>0.0</v>
      </c>
      <c r="P57" s="72">
        <v>0.0</v>
      </c>
      <c r="Q57" s="72">
        <v>0.0</v>
      </c>
      <c r="R57" s="60">
        <f t="shared" si="93"/>
        <v>45742</v>
      </c>
      <c r="S57" s="36">
        <f t="shared" si="94"/>
        <v>0</v>
      </c>
      <c r="T57" s="39">
        <f t="shared" si="95"/>
        <v>10000000</v>
      </c>
      <c r="U57" s="70">
        <f t="shared" si="96"/>
        <v>0.3751</v>
      </c>
      <c r="V57" s="71">
        <f t="shared" si="97"/>
        <v>0</v>
      </c>
      <c r="W57" s="36">
        <f t="shared" si="98"/>
        <v>0</v>
      </c>
      <c r="AA57" s="38" t="s">
        <v>102</v>
      </c>
      <c r="AB57" s="38" t="s">
        <v>151</v>
      </c>
      <c r="AC57" s="39">
        <v>0.0</v>
      </c>
      <c r="AD57" s="72">
        <v>0.0</v>
      </c>
      <c r="AE57" s="39">
        <v>0.0</v>
      </c>
      <c r="AF57" s="72">
        <v>0.0</v>
      </c>
      <c r="AG57" s="72">
        <v>0.0</v>
      </c>
      <c r="AH57" s="60">
        <f t="shared" si="99"/>
        <v>45742</v>
      </c>
      <c r="AI57" s="36">
        <f t="shared" si="100"/>
        <v>0</v>
      </c>
      <c r="AJ57" s="39">
        <f t="shared" si="101"/>
        <v>34658979</v>
      </c>
      <c r="AK57" s="70">
        <f t="shared" si="102"/>
        <v>0</v>
      </c>
      <c r="AL57" s="71">
        <f t="shared" si="103"/>
        <v>0</v>
      </c>
      <c r="AM57" s="36">
        <f t="shared" si="104"/>
        <v>0</v>
      </c>
    </row>
    <row r="58">
      <c r="K58" s="38" t="s">
        <v>102</v>
      </c>
      <c r="L58" s="38" t="s">
        <v>149</v>
      </c>
      <c r="M58" s="39">
        <v>0.0</v>
      </c>
      <c r="N58" s="72">
        <v>0.0</v>
      </c>
      <c r="O58" s="39">
        <v>0.0</v>
      </c>
      <c r="P58" s="72">
        <v>0.0</v>
      </c>
      <c r="Q58" s="72">
        <v>0.0</v>
      </c>
      <c r="R58" s="60">
        <f t="shared" si="93"/>
        <v>45742</v>
      </c>
      <c r="S58" s="36">
        <f t="shared" si="94"/>
        <v>0</v>
      </c>
      <c r="T58" s="39">
        <f t="shared" si="95"/>
        <v>26661112</v>
      </c>
      <c r="U58" s="70">
        <f t="shared" si="96"/>
        <v>0.3751</v>
      </c>
      <c r="V58" s="71">
        <f t="shared" si="97"/>
        <v>0</v>
      </c>
      <c r="W58" s="36">
        <f t="shared" si="98"/>
        <v>0</v>
      </c>
      <c r="AA58" s="38" t="s">
        <v>102</v>
      </c>
      <c r="AB58" s="38" t="s">
        <v>149</v>
      </c>
      <c r="AC58" s="39">
        <v>0.0</v>
      </c>
      <c r="AD58" s="72">
        <v>0.0</v>
      </c>
      <c r="AE58" s="39">
        <v>0.0</v>
      </c>
      <c r="AF58" s="72">
        <v>0.0</v>
      </c>
      <c r="AG58" s="72">
        <v>0.0</v>
      </c>
      <c r="AH58" s="60">
        <f t="shared" si="99"/>
        <v>45742</v>
      </c>
      <c r="AI58" s="36">
        <f t="shared" si="100"/>
        <v>0</v>
      </c>
      <c r="AJ58" s="39">
        <f t="shared" si="101"/>
        <v>34658979</v>
      </c>
      <c r="AK58" s="70">
        <f t="shared" si="102"/>
        <v>0</v>
      </c>
      <c r="AL58" s="71">
        <f t="shared" si="103"/>
        <v>0</v>
      </c>
      <c r="AM58" s="36">
        <f t="shared" si="104"/>
        <v>0</v>
      </c>
    </row>
    <row r="59">
      <c r="L59" s="15"/>
      <c r="N59" s="15"/>
      <c r="R59" s="21"/>
      <c r="S59" s="21"/>
      <c r="T59" s="21"/>
      <c r="U59" s="21"/>
      <c r="V59" s="21"/>
      <c r="W59" s="21"/>
      <c r="AB59" s="15"/>
      <c r="AD59" s="15"/>
      <c r="AH59" s="21"/>
      <c r="AI59" s="21"/>
      <c r="AJ59" s="21"/>
      <c r="AK59" s="21"/>
      <c r="AL59" s="21"/>
      <c r="AM59" s="21"/>
    </row>
    <row r="60">
      <c r="K60" s="48" t="s">
        <v>103</v>
      </c>
      <c r="L60" s="73"/>
      <c r="M60" s="74">
        <f>sum(M55:M58)</f>
        <v>5000000</v>
      </c>
      <c r="N60" s="48"/>
      <c r="O60" s="73"/>
      <c r="P60" s="73"/>
      <c r="Q60" s="73"/>
      <c r="R60" s="75"/>
      <c r="S60" s="76">
        <f>sum(S55:S58)</f>
        <v>0</v>
      </c>
      <c r="T60" s="75"/>
      <c r="U60" s="77">
        <f>iferror((S60+M60)/W60,0)</f>
        <v>0.3001000173</v>
      </c>
      <c r="V60" s="78">
        <f t="shared" ref="V60:W60" si="105">sum(V55:V58)</f>
        <v>0.2888000001</v>
      </c>
      <c r="W60" s="76">
        <f t="shared" si="105"/>
        <v>16661112</v>
      </c>
      <c r="AA60" s="48" t="s">
        <v>103</v>
      </c>
      <c r="AB60" s="73"/>
      <c r="AC60" s="74">
        <f>sum(AC55:AC58)</f>
        <v>0</v>
      </c>
      <c r="AD60" s="48"/>
      <c r="AE60" s="73"/>
      <c r="AF60" s="73"/>
      <c r="AG60" s="73"/>
      <c r="AH60" s="75"/>
      <c r="AI60" s="76">
        <f>sum(AI55:AI58)</f>
        <v>0</v>
      </c>
      <c r="AJ60" s="75"/>
      <c r="AK60" s="77">
        <f>iferror((AI60+AC60)/AM60,0)</f>
        <v>0</v>
      </c>
      <c r="AL60" s="78">
        <f t="shared" ref="AL60:AM60" si="106">sum(AL55:AL58)</f>
        <v>0</v>
      </c>
      <c r="AM60" s="76">
        <f t="shared" si="106"/>
        <v>0</v>
      </c>
    </row>
    <row r="61">
      <c r="K61" s="61"/>
      <c r="M61" s="79"/>
      <c r="N61" s="15"/>
      <c r="R61" s="21"/>
      <c r="S61" s="21"/>
      <c r="T61" s="21"/>
      <c r="U61" s="21"/>
      <c r="V61" s="21"/>
      <c r="AA61" s="61"/>
      <c r="AC61" s="79"/>
      <c r="AD61" s="15"/>
      <c r="AH61" s="21"/>
      <c r="AI61" s="21"/>
      <c r="AJ61" s="21"/>
      <c r="AK61" s="21"/>
      <c r="AL61" s="21"/>
    </row>
    <row r="62">
      <c r="K62" s="80" t="s">
        <v>152</v>
      </c>
      <c r="L62" s="81"/>
      <c r="M62" s="82"/>
      <c r="N62" s="57"/>
      <c r="O62" s="57"/>
      <c r="P62" s="58"/>
      <c r="Q62" s="58"/>
      <c r="R62" s="56"/>
      <c r="S62" s="56"/>
      <c r="T62" s="56"/>
      <c r="U62" s="56"/>
      <c r="V62" s="56"/>
      <c r="W62" s="56"/>
      <c r="AA62" s="80" t="s">
        <v>152</v>
      </c>
      <c r="AB62" s="81"/>
      <c r="AC62" s="82"/>
      <c r="AD62" s="57"/>
      <c r="AE62" s="57"/>
      <c r="AF62" s="58"/>
      <c r="AG62" s="58"/>
      <c r="AH62" s="56"/>
      <c r="AI62" s="56"/>
      <c r="AJ62" s="56"/>
      <c r="AK62" s="56"/>
      <c r="AL62" s="56"/>
      <c r="AM62" s="56"/>
    </row>
    <row r="63">
      <c r="K63" s="83" t="s">
        <v>153</v>
      </c>
      <c r="L63" s="64"/>
      <c r="M63" s="84" t="s">
        <v>154</v>
      </c>
      <c r="N63" s="15" t="s">
        <v>155</v>
      </c>
      <c r="R63" s="21"/>
      <c r="S63" s="21"/>
      <c r="T63" s="21"/>
      <c r="U63" s="21"/>
      <c r="V63" s="21"/>
      <c r="W63" s="21"/>
      <c r="AA63" s="83" t="s">
        <v>153</v>
      </c>
      <c r="AB63" s="64"/>
      <c r="AC63" s="84" t="s">
        <v>154</v>
      </c>
      <c r="AD63" s="15" t="s">
        <v>155</v>
      </c>
      <c r="AH63" s="21"/>
      <c r="AI63" s="21"/>
      <c r="AJ63" s="21"/>
      <c r="AK63" s="21"/>
      <c r="AL63" s="21"/>
      <c r="AM63" s="21"/>
    </row>
    <row r="64">
      <c r="K64" s="63" t="s">
        <v>156</v>
      </c>
      <c r="L64" s="64"/>
      <c r="M64" s="38" t="s">
        <v>129</v>
      </c>
      <c r="N64" s="15" t="s">
        <v>157</v>
      </c>
      <c r="R64" s="21"/>
      <c r="S64" s="21"/>
      <c r="T64" s="21"/>
      <c r="U64" s="21"/>
      <c r="V64" s="21"/>
      <c r="W64" s="21"/>
      <c r="AA64" s="63" t="s">
        <v>156</v>
      </c>
      <c r="AB64" s="64"/>
      <c r="AC64" s="38" t="s">
        <v>129</v>
      </c>
      <c r="AD64" s="15" t="s">
        <v>157</v>
      </c>
      <c r="AH64" s="21"/>
      <c r="AI64" s="21"/>
      <c r="AJ64" s="21"/>
      <c r="AK64" s="21"/>
      <c r="AL64" s="21"/>
      <c r="AM64" s="21"/>
    </row>
    <row r="65">
      <c r="K65" s="83" t="s">
        <v>158</v>
      </c>
      <c r="L65" s="64"/>
      <c r="M65" s="36">
        <f>if(M45=true, iferror(round(X34*M63,0),0),0)</f>
        <v>0</v>
      </c>
      <c r="N65" s="15" t="s">
        <v>159</v>
      </c>
      <c r="R65" s="21"/>
      <c r="S65" s="21"/>
      <c r="T65" s="21"/>
      <c r="U65" s="21"/>
      <c r="V65" s="21"/>
      <c r="W65" s="21"/>
      <c r="AA65" s="83" t="s">
        <v>158</v>
      </c>
      <c r="AB65" s="64"/>
      <c r="AC65" s="36">
        <f>if(AC45=true, iferror(round(AN34*AC63,0),0),0)</f>
        <v>0</v>
      </c>
      <c r="AD65" s="15" t="s">
        <v>159</v>
      </c>
      <c r="AH65" s="21"/>
      <c r="AI65" s="21"/>
      <c r="AJ65" s="21"/>
      <c r="AK65" s="21"/>
      <c r="AL65" s="21"/>
      <c r="AM65" s="21"/>
    </row>
    <row r="66">
      <c r="K66" s="63" t="s">
        <v>160</v>
      </c>
      <c r="L66" s="64"/>
      <c r="M66" s="39">
        <v>0.0</v>
      </c>
      <c r="N66" s="15" t="s">
        <v>161</v>
      </c>
      <c r="R66" s="21"/>
      <c r="S66" s="21"/>
      <c r="T66" s="21"/>
      <c r="U66" s="21"/>
      <c r="V66" s="21"/>
      <c r="W66" s="21"/>
      <c r="AA66" s="63" t="s">
        <v>160</v>
      </c>
      <c r="AB66" s="64"/>
      <c r="AC66" s="39">
        <v>0.0</v>
      </c>
      <c r="AD66" s="15" t="s">
        <v>161</v>
      </c>
      <c r="AH66" s="21"/>
      <c r="AI66" s="21"/>
      <c r="AJ66" s="21"/>
      <c r="AK66" s="21"/>
      <c r="AL66" s="21"/>
      <c r="AM66" s="21"/>
    </row>
    <row r="67">
      <c r="K67" s="83" t="s">
        <v>162</v>
      </c>
      <c r="L67" s="64"/>
      <c r="M67" s="36">
        <f>max(0,E18+E19-abs(M66))</f>
        <v>0</v>
      </c>
      <c r="N67" s="15" t="s">
        <v>163</v>
      </c>
      <c r="R67" s="21"/>
      <c r="S67" s="21"/>
      <c r="T67" s="21"/>
      <c r="U67" s="21"/>
      <c r="V67" s="21"/>
      <c r="W67" s="21"/>
      <c r="AA67" s="83" t="s">
        <v>162</v>
      </c>
      <c r="AB67" s="64"/>
      <c r="AC67" s="36">
        <f>max(0,U18+U19-abs(AC66))</f>
        <v>0</v>
      </c>
      <c r="AD67" s="15" t="s">
        <v>163</v>
      </c>
      <c r="AH67" s="21"/>
      <c r="AI67" s="21"/>
      <c r="AJ67" s="21"/>
      <c r="AK67" s="21"/>
      <c r="AL67" s="21"/>
      <c r="AM67" s="21"/>
    </row>
    <row r="68">
      <c r="K68" s="85" t="s">
        <v>164</v>
      </c>
      <c r="L68" s="64"/>
      <c r="M68" s="36">
        <f>max(0,M65-M67)</f>
        <v>0</v>
      </c>
      <c r="N68" s="15" t="s">
        <v>165</v>
      </c>
      <c r="R68" s="21"/>
      <c r="S68" s="21"/>
      <c r="T68" s="21"/>
      <c r="U68" s="21"/>
      <c r="V68" s="21"/>
      <c r="W68" s="21"/>
      <c r="AA68" s="85" t="s">
        <v>164</v>
      </c>
      <c r="AB68" s="64"/>
      <c r="AC68" s="36">
        <f>max(0,AC65-AC67)</f>
        <v>0</v>
      </c>
      <c r="AD68" s="15" t="s">
        <v>165</v>
      </c>
      <c r="AH68" s="21"/>
      <c r="AI68" s="21"/>
      <c r="AJ68" s="21"/>
      <c r="AK68" s="21"/>
      <c r="AL68" s="21"/>
      <c r="AM68" s="21"/>
    </row>
    <row r="69">
      <c r="K69" s="85" t="s">
        <v>166</v>
      </c>
      <c r="L69" s="64"/>
      <c r="M69" s="37">
        <f>Y18+Y19</f>
        <v>0</v>
      </c>
      <c r="N69" s="15" t="s">
        <v>167</v>
      </c>
      <c r="R69" s="21"/>
      <c r="S69" s="21"/>
      <c r="T69" s="21"/>
      <c r="U69" s="21"/>
      <c r="V69" s="21"/>
      <c r="W69" s="21"/>
      <c r="AA69" s="85" t="s">
        <v>166</v>
      </c>
      <c r="AB69" s="64"/>
      <c r="AC69" s="37">
        <f>AO18+AO19</f>
        <v>0</v>
      </c>
      <c r="AD69" s="15" t="s">
        <v>167</v>
      </c>
      <c r="AH69" s="21"/>
      <c r="AI69" s="21"/>
      <c r="AJ69" s="21"/>
      <c r="AK69" s="21"/>
      <c r="AL69" s="21"/>
      <c r="AM69" s="21"/>
    </row>
    <row r="70">
      <c r="K70" s="15"/>
      <c r="L70" s="21"/>
      <c r="R70" s="21"/>
      <c r="S70" s="21"/>
      <c r="T70" s="21"/>
      <c r="U70" s="21"/>
      <c r="V70" s="21"/>
      <c r="W70" s="21"/>
      <c r="AA70" s="15"/>
      <c r="AB70" s="21"/>
      <c r="AH70" s="21"/>
      <c r="AI70" s="21"/>
      <c r="AJ70" s="21"/>
      <c r="AK70" s="21"/>
      <c r="AL70" s="21"/>
      <c r="AM70" s="21"/>
    </row>
    <row r="71">
      <c r="K71" s="15"/>
      <c r="L71" s="21"/>
      <c r="R71" s="21"/>
      <c r="S71" s="21"/>
      <c r="T71" s="21"/>
      <c r="U71" s="21"/>
      <c r="V71" s="21"/>
      <c r="W71" s="21"/>
      <c r="AA71" s="15"/>
      <c r="AB71" s="21"/>
      <c r="AH71" s="21"/>
      <c r="AI71" s="21"/>
      <c r="AJ71" s="21"/>
      <c r="AK71" s="21"/>
      <c r="AL71" s="21"/>
      <c r="AM71" s="21"/>
    </row>
  </sheetData>
  <dataValidations>
    <dataValidation type="list" allowBlank="1" sqref="L55:L58 AB55:AB58">
      <formula1>"postmoney SAFE,premoney SAFE,convertible note"</formula1>
    </dataValidation>
    <dataValidation type="list" allowBlank="1" sqref="M47 AC47">
      <formula1>"none,round,roundup,rounddown"</formula1>
    </dataValidation>
    <dataValidation type="list" allowBlank="1" sqref="M52 AC52 M64 AC64">
      <formula1>"investor friendly,founder friendly"</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6.5"/>
    <col customWidth="1" min="2" max="2" width="23.63"/>
    <col customWidth="1" min="3" max="3" width="6.0"/>
    <col customWidth="1" min="4" max="6" width="13.75"/>
    <col customWidth="1" min="7" max="9" width="13.5"/>
    <col customWidth="1" min="10" max="10" width="14.88"/>
    <col customWidth="1" min="11" max="11" width="4.75"/>
    <col customWidth="1" min="12" max="12" width="13.0"/>
    <col customWidth="1" min="13" max="13" width="12.88"/>
    <col customWidth="1" min="14" max="14" width="5.5"/>
    <col customWidth="1" min="15" max="15" width="21.88"/>
    <col customWidth="1" min="16" max="17" width="13.5"/>
    <col customWidth="1" min="18" max="18" width="5.63"/>
    <col customWidth="1" min="19" max="19" width="13.13"/>
    <col customWidth="1" min="20" max="22" width="13.5"/>
    <col customWidth="1" min="23" max="23" width="13.13"/>
    <col customWidth="1" min="24" max="27" width="13.5"/>
  </cols>
  <sheetData>
    <row r="1">
      <c r="B1" s="86"/>
    </row>
    <row r="2">
      <c r="B2" s="87" t="s">
        <v>168</v>
      </c>
      <c r="H2" s="22" t="s">
        <v>74</v>
      </c>
    </row>
    <row r="3">
      <c r="B3" s="88" t="s">
        <v>169</v>
      </c>
      <c r="H3" s="53" t="s">
        <v>118</v>
      </c>
      <c r="I3" s="21"/>
      <c r="J3" s="59" t="b">
        <v>0</v>
      </c>
      <c r="K3" s="15" t="s">
        <v>170</v>
      </c>
    </row>
    <row r="4" collapsed="1">
      <c r="B4" s="86"/>
      <c r="T4" s="15"/>
      <c r="U4" s="15"/>
    </row>
    <row r="5" hidden="1" outlineLevel="1">
      <c r="A5" s="89"/>
      <c r="B5" s="90" t="s">
        <v>171</v>
      </c>
      <c r="C5" s="91"/>
      <c r="D5" s="92"/>
      <c r="E5" s="92"/>
      <c r="F5" s="93"/>
      <c r="G5" s="93"/>
      <c r="H5" s="93"/>
      <c r="I5" s="93"/>
      <c r="P5" s="89"/>
      <c r="Q5" s="89"/>
      <c r="R5" s="89"/>
      <c r="S5" s="89"/>
      <c r="T5" s="89"/>
      <c r="U5" s="89"/>
      <c r="V5" s="89"/>
      <c r="W5" s="89"/>
      <c r="X5" s="89"/>
      <c r="Y5" s="89"/>
      <c r="Z5" s="89"/>
      <c r="AA5" s="89"/>
    </row>
    <row r="6" hidden="1" outlineLevel="1">
      <c r="A6" s="89"/>
      <c r="B6" s="94" t="s">
        <v>172</v>
      </c>
      <c r="C6" s="91"/>
      <c r="D6" s="92"/>
      <c r="E6" s="92"/>
      <c r="F6" s="93"/>
      <c r="G6" s="93"/>
      <c r="H6" s="93"/>
      <c r="I6" s="93"/>
      <c r="P6" s="89"/>
      <c r="Q6" s="89"/>
      <c r="R6" s="89"/>
      <c r="S6" s="89"/>
      <c r="T6" s="89"/>
      <c r="U6" s="89"/>
      <c r="V6" s="89"/>
      <c r="W6" s="89"/>
      <c r="X6" s="89"/>
      <c r="Y6" s="89"/>
      <c r="Z6" s="89"/>
      <c r="AA6" s="89"/>
    </row>
    <row r="7" hidden="1" outlineLevel="1">
      <c r="A7" s="89"/>
      <c r="B7" s="94" t="s">
        <v>173</v>
      </c>
      <c r="C7" s="91"/>
      <c r="D7" s="92"/>
      <c r="E7" s="92"/>
      <c r="F7" s="93"/>
      <c r="G7" s="93"/>
      <c r="H7" s="93"/>
      <c r="I7" s="93"/>
      <c r="P7" s="89"/>
      <c r="Q7" s="89"/>
      <c r="R7" s="89"/>
      <c r="S7" s="89"/>
      <c r="T7" s="89"/>
      <c r="U7" s="89"/>
      <c r="V7" s="89"/>
      <c r="W7" s="89"/>
      <c r="X7" s="89"/>
      <c r="Y7" s="89"/>
      <c r="Z7" s="89"/>
      <c r="AA7" s="89"/>
    </row>
    <row r="8" hidden="1" outlineLevel="1">
      <c r="A8" s="89"/>
      <c r="B8" s="94" t="s">
        <v>174</v>
      </c>
      <c r="C8" s="91"/>
      <c r="D8" s="92"/>
      <c r="E8" s="92"/>
      <c r="F8" s="93"/>
      <c r="G8" s="93"/>
      <c r="H8" s="93"/>
      <c r="I8" s="93"/>
      <c r="P8" s="89"/>
      <c r="Q8" s="89"/>
      <c r="R8" s="89"/>
      <c r="S8" s="89"/>
      <c r="T8" s="89"/>
      <c r="U8" s="89"/>
      <c r="V8" s="89"/>
      <c r="W8" s="89"/>
      <c r="X8" s="89"/>
      <c r="Y8" s="89"/>
      <c r="Z8" s="89"/>
      <c r="AA8" s="89"/>
    </row>
    <row r="9" hidden="1" outlineLevel="1">
      <c r="A9" s="89"/>
      <c r="B9" s="94" t="s">
        <v>175</v>
      </c>
      <c r="C9" s="91"/>
      <c r="D9" s="92"/>
      <c r="E9" s="92"/>
      <c r="F9" s="93"/>
      <c r="G9" s="93"/>
      <c r="H9" s="93"/>
      <c r="I9" s="93"/>
      <c r="P9" s="89"/>
      <c r="Q9" s="89"/>
      <c r="R9" s="89"/>
      <c r="S9" s="89"/>
      <c r="T9" s="89"/>
      <c r="U9" s="89"/>
      <c r="V9" s="89"/>
      <c r="W9" s="89"/>
      <c r="X9" s="89"/>
      <c r="Y9" s="89"/>
      <c r="Z9" s="89"/>
      <c r="AA9" s="89"/>
    </row>
    <row r="10" hidden="1" outlineLevel="1">
      <c r="A10" s="89"/>
      <c r="B10" s="94" t="s">
        <v>176</v>
      </c>
      <c r="C10" s="91"/>
      <c r="D10" s="92"/>
      <c r="E10" s="92"/>
      <c r="F10" s="93"/>
      <c r="G10" s="93"/>
      <c r="H10" s="93"/>
      <c r="I10" s="93"/>
      <c r="P10" s="89"/>
      <c r="Q10" s="89"/>
      <c r="R10" s="89"/>
      <c r="S10" s="89"/>
      <c r="T10" s="89"/>
      <c r="U10" s="89"/>
      <c r="V10" s="89"/>
      <c r="W10" s="89"/>
      <c r="X10" s="89"/>
      <c r="Y10" s="89"/>
      <c r="Z10" s="89"/>
      <c r="AA10" s="89"/>
    </row>
    <row r="11" hidden="1" outlineLevel="1">
      <c r="A11" s="89"/>
      <c r="B11" s="94" t="s">
        <v>177</v>
      </c>
      <c r="C11" s="91"/>
      <c r="D11" s="92"/>
      <c r="E11" s="92"/>
      <c r="F11" s="93"/>
      <c r="G11" s="93"/>
      <c r="H11" s="93"/>
      <c r="I11" s="93"/>
      <c r="P11" s="89"/>
      <c r="Q11" s="89"/>
      <c r="R11" s="89"/>
      <c r="S11" s="89"/>
      <c r="T11" s="89"/>
      <c r="U11" s="89"/>
      <c r="V11" s="89"/>
      <c r="W11" s="89"/>
      <c r="X11" s="89"/>
      <c r="Y11" s="89"/>
      <c r="Z11" s="89"/>
      <c r="AA11" s="89"/>
    </row>
    <row r="12" hidden="1" outlineLevel="1">
      <c r="A12" s="89"/>
      <c r="B12" s="94" t="s">
        <v>178</v>
      </c>
      <c r="C12" s="91"/>
      <c r="D12" s="92"/>
      <c r="E12" s="92"/>
      <c r="F12" s="93"/>
      <c r="G12" s="93"/>
      <c r="H12" s="93"/>
      <c r="I12" s="93"/>
      <c r="P12" s="89"/>
      <c r="Q12" s="89"/>
      <c r="R12" s="89"/>
      <c r="S12" s="89"/>
      <c r="T12" s="89"/>
      <c r="U12" s="89"/>
      <c r="V12" s="89"/>
      <c r="W12" s="89"/>
      <c r="X12" s="89"/>
      <c r="Y12" s="89"/>
      <c r="Z12" s="89"/>
      <c r="AA12" s="89"/>
    </row>
    <row r="13" hidden="1" outlineLevel="1">
      <c r="A13" s="89"/>
      <c r="B13" s="94" t="s">
        <v>179</v>
      </c>
      <c r="C13" s="91"/>
      <c r="D13" s="92"/>
      <c r="E13" s="92"/>
      <c r="F13" s="93"/>
      <c r="G13" s="93"/>
      <c r="H13" s="93"/>
      <c r="I13" s="93"/>
      <c r="P13" s="89"/>
      <c r="Q13" s="89"/>
      <c r="R13" s="89"/>
      <c r="S13" s="89"/>
      <c r="T13" s="89"/>
      <c r="U13" s="89"/>
      <c r="V13" s="89"/>
      <c r="W13" s="89"/>
      <c r="X13" s="89"/>
      <c r="Y13" s="89"/>
      <c r="Z13" s="89"/>
      <c r="AA13" s="89"/>
    </row>
    <row r="14" hidden="1" outlineLevel="1">
      <c r="A14" s="89"/>
      <c r="B14" s="94" t="s">
        <v>180</v>
      </c>
      <c r="C14" s="91"/>
      <c r="D14" s="92"/>
      <c r="E14" s="92"/>
      <c r="F14" s="93"/>
      <c r="G14" s="93"/>
      <c r="H14" s="93"/>
      <c r="I14" s="93"/>
      <c r="P14" s="89"/>
      <c r="Q14" s="89"/>
      <c r="R14" s="89"/>
      <c r="S14" s="89"/>
      <c r="T14" s="89"/>
      <c r="U14" s="89"/>
      <c r="V14" s="89"/>
      <c r="W14" s="89"/>
      <c r="X14" s="89"/>
      <c r="Y14" s="89"/>
      <c r="Z14" s="89"/>
      <c r="AA14" s="89"/>
    </row>
    <row r="15" hidden="1" outlineLevel="1">
      <c r="A15" s="89"/>
      <c r="B15" s="94" t="s">
        <v>181</v>
      </c>
      <c r="C15" s="91"/>
      <c r="D15" s="92"/>
      <c r="E15" s="92"/>
      <c r="F15" s="93"/>
      <c r="G15" s="93"/>
      <c r="H15" s="93"/>
      <c r="I15" s="93"/>
      <c r="P15" s="89"/>
      <c r="Q15" s="89"/>
      <c r="R15" s="89"/>
      <c r="S15" s="89"/>
      <c r="T15" s="89"/>
      <c r="U15" s="89"/>
      <c r="V15" s="89"/>
      <c r="W15" s="89"/>
      <c r="X15" s="89"/>
      <c r="Y15" s="89"/>
      <c r="Z15" s="89"/>
      <c r="AA15" s="89"/>
    </row>
    <row r="16" hidden="1" outlineLevel="1">
      <c r="A16" s="89"/>
      <c r="B16" s="94"/>
      <c r="C16" s="91"/>
      <c r="D16" s="92"/>
      <c r="E16" s="92"/>
      <c r="F16" s="93"/>
      <c r="G16" s="93"/>
      <c r="H16" s="93"/>
      <c r="I16" s="93"/>
      <c r="P16" s="89"/>
      <c r="Q16" s="89"/>
      <c r="R16" s="89"/>
      <c r="S16" s="89"/>
      <c r="T16" s="89"/>
      <c r="U16" s="89"/>
      <c r="V16" s="89"/>
      <c r="W16" s="89"/>
      <c r="X16" s="89"/>
      <c r="Y16" s="89"/>
      <c r="Z16" s="89"/>
      <c r="AA16" s="89"/>
    </row>
    <row r="17" hidden="1" outlineLevel="1">
      <c r="A17" s="89"/>
      <c r="B17" s="90" t="s">
        <v>182</v>
      </c>
      <c r="C17" s="91"/>
      <c r="D17" s="92"/>
      <c r="E17" s="92"/>
      <c r="F17" s="93"/>
      <c r="G17" s="93"/>
      <c r="H17" s="93"/>
      <c r="I17" s="93"/>
      <c r="J17" s="95"/>
      <c r="P17" s="89"/>
      <c r="Q17" s="89"/>
      <c r="R17" s="89"/>
      <c r="S17" s="89"/>
      <c r="T17" s="89"/>
      <c r="U17" s="89"/>
      <c r="V17" s="89"/>
      <c r="W17" s="89"/>
      <c r="X17" s="89"/>
      <c r="Y17" s="89"/>
      <c r="Z17" s="89"/>
      <c r="AA17" s="89"/>
    </row>
    <row r="18" hidden="1" outlineLevel="1">
      <c r="A18" s="89"/>
      <c r="B18" s="94" t="s">
        <v>183</v>
      </c>
      <c r="C18" s="91"/>
      <c r="D18" s="92"/>
      <c r="E18" s="92"/>
      <c r="F18" s="93"/>
      <c r="G18" s="93"/>
      <c r="H18" s="93"/>
      <c r="I18" s="93"/>
      <c r="J18" s="95"/>
      <c r="P18" s="89"/>
      <c r="Q18" s="89"/>
      <c r="R18" s="89"/>
      <c r="S18" s="89"/>
      <c r="T18" s="89"/>
      <c r="U18" s="89"/>
      <c r="V18" s="89"/>
      <c r="W18" s="89"/>
      <c r="X18" s="89"/>
      <c r="Y18" s="89"/>
      <c r="Z18" s="89"/>
      <c r="AA18" s="89"/>
    </row>
    <row r="19" hidden="1" outlineLevel="1">
      <c r="A19" s="89"/>
      <c r="B19" s="90" t="s">
        <v>184</v>
      </c>
      <c r="C19" s="91"/>
      <c r="D19" s="92"/>
      <c r="E19" s="92"/>
      <c r="F19" s="93"/>
      <c r="G19" s="93"/>
      <c r="H19" s="93"/>
      <c r="I19" s="93"/>
      <c r="J19" s="95"/>
      <c r="P19" s="89"/>
      <c r="Q19" s="89"/>
      <c r="R19" s="89"/>
      <c r="S19" s="89"/>
      <c r="T19" s="89"/>
      <c r="U19" s="89"/>
      <c r="V19" s="89"/>
      <c r="W19" s="89"/>
      <c r="X19" s="89"/>
      <c r="Y19" s="89"/>
      <c r="Z19" s="89"/>
      <c r="AA19" s="89"/>
    </row>
    <row r="20" hidden="1" outlineLevel="1">
      <c r="A20" s="89"/>
      <c r="B20" s="94"/>
      <c r="C20" s="91"/>
      <c r="D20" s="92"/>
      <c r="E20" s="92"/>
      <c r="F20" s="93"/>
      <c r="G20" s="93"/>
      <c r="H20" s="93"/>
      <c r="I20" s="93"/>
      <c r="J20" s="95"/>
      <c r="P20" s="89"/>
      <c r="Q20" s="89"/>
      <c r="R20" s="89"/>
      <c r="S20" s="89"/>
      <c r="T20" s="89"/>
      <c r="U20" s="89"/>
      <c r="V20" s="89"/>
      <c r="W20" s="89"/>
      <c r="X20" s="89"/>
      <c r="Y20" s="89"/>
      <c r="Z20" s="89"/>
      <c r="AA20" s="89"/>
    </row>
    <row r="21">
      <c r="B21" s="96" t="s">
        <v>185</v>
      </c>
      <c r="C21" s="97"/>
      <c r="D21" s="98" t="s">
        <v>186</v>
      </c>
      <c r="E21" s="98" t="s">
        <v>187</v>
      </c>
      <c r="F21" s="99" t="s">
        <v>188</v>
      </c>
      <c r="G21" s="99" t="s">
        <v>189</v>
      </c>
      <c r="H21" s="99" t="s">
        <v>190</v>
      </c>
      <c r="I21" s="99" t="s">
        <v>191</v>
      </c>
      <c r="J21" s="99" t="s">
        <v>192</v>
      </c>
      <c r="K21" s="100"/>
      <c r="L21" s="100" t="s">
        <v>193</v>
      </c>
      <c r="M21" s="100" t="s">
        <v>194</v>
      </c>
      <c r="N21" s="100"/>
      <c r="O21" s="101" t="s">
        <v>195</v>
      </c>
      <c r="P21" s="102" t="s">
        <v>196</v>
      </c>
      <c r="Q21" s="99" t="s">
        <v>197</v>
      </c>
      <c r="R21" s="100"/>
      <c r="S21" s="29" t="s">
        <v>198</v>
      </c>
      <c r="T21" s="29" t="s">
        <v>199</v>
      </c>
      <c r="U21" s="29" t="s">
        <v>200</v>
      </c>
      <c r="V21" s="29" t="s">
        <v>201</v>
      </c>
      <c r="W21" s="29" t="s">
        <v>202</v>
      </c>
    </row>
    <row r="22">
      <c r="B22" s="86"/>
      <c r="G22" s="103" t="s">
        <v>203</v>
      </c>
      <c r="H22" s="103" t="s">
        <v>204</v>
      </c>
      <c r="I22" s="103" t="s">
        <v>205</v>
      </c>
      <c r="J22" s="103" t="s">
        <v>206</v>
      </c>
      <c r="L22" s="103" t="s">
        <v>207</v>
      </c>
      <c r="M22" s="103" t="s">
        <v>208</v>
      </c>
      <c r="O22" s="103" t="s">
        <v>209</v>
      </c>
      <c r="P22" s="103" t="s">
        <v>210</v>
      </c>
      <c r="Q22" s="103" t="s">
        <v>211</v>
      </c>
      <c r="S22" s="104" t="s">
        <v>212</v>
      </c>
      <c r="T22" s="104" t="s">
        <v>213</v>
      </c>
      <c r="U22" s="104" t="s">
        <v>214</v>
      </c>
      <c r="V22" s="103" t="s">
        <v>215</v>
      </c>
      <c r="W22" s="103" t="s">
        <v>216</v>
      </c>
    </row>
    <row r="23">
      <c r="B23" s="105" t="s">
        <v>217</v>
      </c>
      <c r="D23" s="105" t="s">
        <v>218</v>
      </c>
      <c r="E23" s="105" t="str">
        <f t="shared" ref="E23:E37" si="1">B23</f>
        <v>Series J</v>
      </c>
      <c r="F23" s="106">
        <v>0.0</v>
      </c>
      <c r="G23" s="106">
        <f t="shared" ref="G23:G33" si="2">iferror(F23/J23,0)</f>
        <v>0</v>
      </c>
      <c r="H23" s="107">
        <v>1.0</v>
      </c>
      <c r="I23" s="108">
        <f t="shared" ref="I23:I37" si="3">iferror(G23/G$39,0)</f>
        <v>0</v>
      </c>
      <c r="J23" s="109">
        <v>0.0</v>
      </c>
      <c r="L23" s="107">
        <v>1.0</v>
      </c>
      <c r="M23" s="106">
        <f t="shared" ref="M23:M37" si="4">F23 * L23 + U23</f>
        <v>0</v>
      </c>
      <c r="N23" s="110"/>
      <c r="O23" s="111" t="s">
        <v>219</v>
      </c>
      <c r="P23" s="107">
        <v>0.0</v>
      </c>
      <c r="Q23" s="21">
        <f t="shared" ref="Q23:Q37" si="5">if(O23="participating preferred with cap",P23 * F23 , 0 )</f>
        <v>0</v>
      </c>
      <c r="S23" s="112" t="s">
        <v>220</v>
      </c>
      <c r="T23" s="113">
        <v>0.05</v>
      </c>
      <c r="U23" s="21">
        <f t="shared" ref="U23:U37" si="6">if($S23="not declared",0,if($S23="non cumulative",$F23*$T23,IFERROR($T23/365*($V23-$W23)*$F23,0)))</f>
        <v>0</v>
      </c>
      <c r="V23" s="114">
        <f t="shared" ref="V23:V37" si="7">EDATE(TODAY(),0)</f>
        <v>46107</v>
      </c>
      <c r="W23" s="114">
        <f t="shared" ref="W23:W37" si="8">EDATE(TODAY(),-12*4)</f>
        <v>44646</v>
      </c>
    </row>
    <row r="24">
      <c r="B24" s="105" t="s">
        <v>221</v>
      </c>
      <c r="D24" s="105" t="s">
        <v>218</v>
      </c>
      <c r="E24" s="105" t="str">
        <f t="shared" si="1"/>
        <v>Series I</v>
      </c>
      <c r="F24" s="106">
        <v>0.0</v>
      </c>
      <c r="G24" s="106">
        <f t="shared" si="2"/>
        <v>0</v>
      </c>
      <c r="H24" s="107">
        <v>1.0</v>
      </c>
      <c r="I24" s="108">
        <f t="shared" si="3"/>
        <v>0</v>
      </c>
      <c r="J24" s="109">
        <v>0.0</v>
      </c>
      <c r="L24" s="107">
        <v>1.0</v>
      </c>
      <c r="M24" s="106">
        <f t="shared" si="4"/>
        <v>0</v>
      </c>
      <c r="N24" s="110"/>
      <c r="O24" s="111" t="s">
        <v>219</v>
      </c>
      <c r="P24" s="107">
        <v>0.0</v>
      </c>
      <c r="Q24" s="21">
        <f t="shared" si="5"/>
        <v>0</v>
      </c>
      <c r="S24" s="112" t="s">
        <v>220</v>
      </c>
      <c r="T24" s="113">
        <v>0.05</v>
      </c>
      <c r="U24" s="21">
        <f t="shared" si="6"/>
        <v>0</v>
      </c>
      <c r="V24" s="114">
        <f t="shared" si="7"/>
        <v>46107</v>
      </c>
      <c r="W24" s="114">
        <f t="shared" si="8"/>
        <v>44646</v>
      </c>
    </row>
    <row r="25">
      <c r="B25" s="105" t="s">
        <v>222</v>
      </c>
      <c r="D25" s="105" t="s">
        <v>218</v>
      </c>
      <c r="E25" s="105" t="str">
        <f t="shared" si="1"/>
        <v>Series H</v>
      </c>
      <c r="F25" s="106">
        <v>0.0</v>
      </c>
      <c r="G25" s="106">
        <f t="shared" si="2"/>
        <v>0</v>
      </c>
      <c r="H25" s="107">
        <v>1.0</v>
      </c>
      <c r="I25" s="108">
        <f t="shared" si="3"/>
        <v>0</v>
      </c>
      <c r="J25" s="109">
        <v>0.0</v>
      </c>
      <c r="L25" s="107">
        <v>1.0</v>
      </c>
      <c r="M25" s="106">
        <f t="shared" si="4"/>
        <v>0</v>
      </c>
      <c r="N25" s="110"/>
      <c r="O25" s="111" t="s">
        <v>219</v>
      </c>
      <c r="P25" s="107">
        <v>0.0</v>
      </c>
      <c r="Q25" s="21">
        <f t="shared" si="5"/>
        <v>0</v>
      </c>
      <c r="S25" s="112" t="s">
        <v>220</v>
      </c>
      <c r="T25" s="113">
        <v>0.05</v>
      </c>
      <c r="U25" s="21">
        <f t="shared" si="6"/>
        <v>0</v>
      </c>
      <c r="V25" s="114">
        <f t="shared" si="7"/>
        <v>46107</v>
      </c>
      <c r="W25" s="114">
        <f t="shared" si="8"/>
        <v>44646</v>
      </c>
    </row>
    <row r="26">
      <c r="B26" s="105" t="s">
        <v>223</v>
      </c>
      <c r="D26" s="105" t="s">
        <v>218</v>
      </c>
      <c r="E26" s="105" t="str">
        <f t="shared" si="1"/>
        <v>Series G</v>
      </c>
      <c r="F26" s="106">
        <v>0.0</v>
      </c>
      <c r="G26" s="106">
        <f t="shared" si="2"/>
        <v>0</v>
      </c>
      <c r="H26" s="107">
        <v>1.0</v>
      </c>
      <c r="I26" s="108">
        <f t="shared" si="3"/>
        <v>0</v>
      </c>
      <c r="J26" s="109">
        <v>0.0</v>
      </c>
      <c r="L26" s="107">
        <v>1.0</v>
      </c>
      <c r="M26" s="106">
        <f t="shared" si="4"/>
        <v>0</v>
      </c>
      <c r="N26" s="110"/>
      <c r="O26" s="111" t="s">
        <v>219</v>
      </c>
      <c r="P26" s="107">
        <v>0.0</v>
      </c>
      <c r="Q26" s="21">
        <f t="shared" si="5"/>
        <v>0</v>
      </c>
      <c r="S26" s="112" t="s">
        <v>220</v>
      </c>
      <c r="T26" s="113">
        <v>0.05</v>
      </c>
      <c r="U26" s="21">
        <f t="shared" si="6"/>
        <v>0</v>
      </c>
      <c r="V26" s="114">
        <f t="shared" si="7"/>
        <v>46107</v>
      </c>
      <c r="W26" s="114">
        <f t="shared" si="8"/>
        <v>44646</v>
      </c>
    </row>
    <row r="27">
      <c r="B27" s="105" t="s">
        <v>224</v>
      </c>
      <c r="D27" s="105" t="s">
        <v>218</v>
      </c>
      <c r="E27" s="105" t="str">
        <f t="shared" si="1"/>
        <v>Series F</v>
      </c>
      <c r="F27" s="106">
        <v>0.0</v>
      </c>
      <c r="G27" s="106">
        <f t="shared" si="2"/>
        <v>0</v>
      </c>
      <c r="H27" s="107">
        <v>1.0</v>
      </c>
      <c r="I27" s="108">
        <f t="shared" si="3"/>
        <v>0</v>
      </c>
      <c r="J27" s="109">
        <v>0.0</v>
      </c>
      <c r="L27" s="107">
        <v>1.0</v>
      </c>
      <c r="M27" s="106">
        <f t="shared" si="4"/>
        <v>0</v>
      </c>
      <c r="N27" s="110"/>
      <c r="O27" s="111" t="s">
        <v>219</v>
      </c>
      <c r="P27" s="107">
        <v>0.0</v>
      </c>
      <c r="Q27" s="21">
        <f t="shared" si="5"/>
        <v>0</v>
      </c>
      <c r="S27" s="112" t="s">
        <v>220</v>
      </c>
      <c r="T27" s="113">
        <v>0.05</v>
      </c>
      <c r="U27" s="21">
        <f t="shared" si="6"/>
        <v>0</v>
      </c>
      <c r="V27" s="114">
        <f t="shared" si="7"/>
        <v>46107</v>
      </c>
      <c r="W27" s="114">
        <f t="shared" si="8"/>
        <v>44646</v>
      </c>
    </row>
    <row r="28">
      <c r="B28" s="105" t="s">
        <v>225</v>
      </c>
      <c r="D28" s="105" t="s">
        <v>218</v>
      </c>
      <c r="E28" s="105" t="str">
        <f t="shared" si="1"/>
        <v>Series E</v>
      </c>
      <c r="F28" s="106">
        <v>0.0</v>
      </c>
      <c r="G28" s="106">
        <f t="shared" si="2"/>
        <v>0</v>
      </c>
      <c r="H28" s="107">
        <v>1.0</v>
      </c>
      <c r="I28" s="108">
        <f t="shared" si="3"/>
        <v>0</v>
      </c>
      <c r="J28" s="109">
        <v>0.0</v>
      </c>
      <c r="L28" s="107">
        <v>1.0</v>
      </c>
      <c r="M28" s="106">
        <f t="shared" si="4"/>
        <v>0</v>
      </c>
      <c r="N28" s="110"/>
      <c r="O28" s="111" t="s">
        <v>219</v>
      </c>
      <c r="P28" s="107">
        <v>0.0</v>
      </c>
      <c r="Q28" s="21">
        <f t="shared" si="5"/>
        <v>0</v>
      </c>
      <c r="S28" s="112" t="s">
        <v>220</v>
      </c>
      <c r="T28" s="113">
        <v>0.05</v>
      </c>
      <c r="U28" s="21">
        <f t="shared" si="6"/>
        <v>0</v>
      </c>
      <c r="V28" s="114">
        <f t="shared" si="7"/>
        <v>46107</v>
      </c>
      <c r="W28" s="114">
        <f t="shared" si="8"/>
        <v>44646</v>
      </c>
    </row>
    <row r="29">
      <c r="B29" s="105" t="s">
        <v>226</v>
      </c>
      <c r="D29" s="105" t="s">
        <v>218</v>
      </c>
      <c r="E29" s="105" t="str">
        <f t="shared" si="1"/>
        <v>Series D</v>
      </c>
      <c r="F29" s="115">
        <v>0.0</v>
      </c>
      <c r="G29" s="106">
        <f t="shared" si="2"/>
        <v>0</v>
      </c>
      <c r="H29" s="107">
        <v>1.0</v>
      </c>
      <c r="I29" s="108">
        <f t="shared" si="3"/>
        <v>0</v>
      </c>
      <c r="J29" s="109">
        <v>0.0</v>
      </c>
      <c r="L29" s="107">
        <v>1.0</v>
      </c>
      <c r="M29" s="106">
        <f t="shared" si="4"/>
        <v>0</v>
      </c>
      <c r="N29" s="110"/>
      <c r="O29" s="111" t="s">
        <v>219</v>
      </c>
      <c r="P29" s="107">
        <v>0.0</v>
      </c>
      <c r="Q29" s="21">
        <f t="shared" si="5"/>
        <v>0</v>
      </c>
      <c r="S29" s="112" t="s">
        <v>220</v>
      </c>
      <c r="T29" s="113">
        <v>0.05</v>
      </c>
      <c r="U29" s="21">
        <f t="shared" si="6"/>
        <v>0</v>
      </c>
      <c r="V29" s="114">
        <f t="shared" si="7"/>
        <v>46107</v>
      </c>
      <c r="W29" s="114">
        <f t="shared" si="8"/>
        <v>44646</v>
      </c>
    </row>
    <row r="30">
      <c r="B30" s="105" t="s">
        <v>227</v>
      </c>
      <c r="D30" s="105" t="s">
        <v>218</v>
      </c>
      <c r="E30" s="105" t="str">
        <f t="shared" si="1"/>
        <v>Series C</v>
      </c>
      <c r="F30" s="115">
        <v>0.0</v>
      </c>
      <c r="G30" s="106">
        <f t="shared" si="2"/>
        <v>0</v>
      </c>
      <c r="H30" s="107">
        <v>1.0</v>
      </c>
      <c r="I30" s="108">
        <f t="shared" si="3"/>
        <v>0</v>
      </c>
      <c r="J30" s="109">
        <v>0.0</v>
      </c>
      <c r="L30" s="107">
        <v>1.0</v>
      </c>
      <c r="M30" s="106">
        <f t="shared" si="4"/>
        <v>0</v>
      </c>
      <c r="N30" s="110"/>
      <c r="O30" s="111" t="s">
        <v>219</v>
      </c>
      <c r="P30" s="107">
        <v>0.0</v>
      </c>
      <c r="Q30" s="21">
        <f t="shared" si="5"/>
        <v>0</v>
      </c>
      <c r="S30" s="112" t="s">
        <v>220</v>
      </c>
      <c r="T30" s="113">
        <v>0.05</v>
      </c>
      <c r="U30" s="21">
        <f t="shared" si="6"/>
        <v>0</v>
      </c>
      <c r="V30" s="114">
        <f t="shared" si="7"/>
        <v>46107</v>
      </c>
      <c r="W30" s="114">
        <f t="shared" si="8"/>
        <v>44646</v>
      </c>
    </row>
    <row r="31">
      <c r="B31" s="105" t="s">
        <v>228</v>
      </c>
      <c r="D31" s="105" t="s">
        <v>218</v>
      </c>
      <c r="E31" s="105" t="str">
        <f t="shared" si="1"/>
        <v>Series B</v>
      </c>
      <c r="F31" s="115">
        <f t="shared" ref="F31:F32" si="9">F32*2</f>
        <v>2000000</v>
      </c>
      <c r="G31" s="106">
        <f t="shared" si="2"/>
        <v>2000000</v>
      </c>
      <c r="H31" s="107">
        <v>1.0</v>
      </c>
      <c r="I31" s="108">
        <f t="shared" si="3"/>
        <v>0.1052631579</v>
      </c>
      <c r="J31" s="109">
        <v>1.0</v>
      </c>
      <c r="L31" s="107">
        <v>1.0</v>
      </c>
      <c r="M31" s="106">
        <f t="shared" si="4"/>
        <v>2000000</v>
      </c>
      <c r="N31" s="110"/>
      <c r="O31" s="111" t="s">
        <v>219</v>
      </c>
      <c r="P31" s="107">
        <v>0.0</v>
      </c>
      <c r="Q31" s="21">
        <f t="shared" si="5"/>
        <v>0</v>
      </c>
      <c r="S31" s="112" t="s">
        <v>220</v>
      </c>
      <c r="T31" s="113">
        <v>0.05</v>
      </c>
      <c r="U31" s="21">
        <f t="shared" si="6"/>
        <v>0</v>
      </c>
      <c r="V31" s="114">
        <f t="shared" si="7"/>
        <v>46107</v>
      </c>
      <c r="W31" s="114">
        <f t="shared" si="8"/>
        <v>44646</v>
      </c>
    </row>
    <row r="32">
      <c r="B32" s="105" t="s">
        <v>229</v>
      </c>
      <c r="D32" s="105" t="s">
        <v>218</v>
      </c>
      <c r="E32" s="105" t="str">
        <f t="shared" si="1"/>
        <v>Series A</v>
      </c>
      <c r="F32" s="115">
        <f t="shared" si="9"/>
        <v>1000000</v>
      </c>
      <c r="G32" s="106">
        <f t="shared" si="2"/>
        <v>2000000</v>
      </c>
      <c r="H32" s="107">
        <v>1.0</v>
      </c>
      <c r="I32" s="108">
        <f t="shared" si="3"/>
        <v>0.1052631579</v>
      </c>
      <c r="J32" s="109">
        <v>0.5</v>
      </c>
      <c r="L32" s="107">
        <v>1.0</v>
      </c>
      <c r="M32" s="106">
        <f t="shared" si="4"/>
        <v>1000000</v>
      </c>
      <c r="N32" s="110"/>
      <c r="O32" s="111" t="s">
        <v>219</v>
      </c>
      <c r="P32" s="107">
        <v>0.0</v>
      </c>
      <c r="Q32" s="21">
        <f t="shared" si="5"/>
        <v>0</v>
      </c>
      <c r="S32" s="112" t="s">
        <v>220</v>
      </c>
      <c r="T32" s="113">
        <v>0.05</v>
      </c>
      <c r="U32" s="21">
        <f t="shared" si="6"/>
        <v>0</v>
      </c>
      <c r="V32" s="114">
        <f t="shared" si="7"/>
        <v>46107</v>
      </c>
      <c r="W32" s="114">
        <f t="shared" si="8"/>
        <v>44646</v>
      </c>
    </row>
    <row r="33">
      <c r="B33" s="105" t="s">
        <v>230</v>
      </c>
      <c r="D33" s="105" t="s">
        <v>218</v>
      </c>
      <c r="E33" s="105" t="str">
        <f t="shared" si="1"/>
        <v>Seed</v>
      </c>
      <c r="F33" s="115">
        <v>500000.0</v>
      </c>
      <c r="G33" s="106">
        <f t="shared" si="2"/>
        <v>5000000</v>
      </c>
      <c r="H33" s="107">
        <v>1.0</v>
      </c>
      <c r="I33" s="108">
        <f t="shared" si="3"/>
        <v>0.2631578947</v>
      </c>
      <c r="J33" s="109">
        <v>0.1</v>
      </c>
      <c r="L33" s="107">
        <v>1.0</v>
      </c>
      <c r="M33" s="106">
        <f t="shared" si="4"/>
        <v>500000</v>
      </c>
      <c r="N33" s="110"/>
      <c r="O33" s="111" t="s">
        <v>219</v>
      </c>
      <c r="P33" s="107">
        <v>0.0</v>
      </c>
      <c r="Q33" s="21">
        <f t="shared" si="5"/>
        <v>0</v>
      </c>
      <c r="S33" s="112" t="s">
        <v>220</v>
      </c>
      <c r="T33" s="113">
        <v>0.05</v>
      </c>
      <c r="U33" s="21">
        <f t="shared" si="6"/>
        <v>0</v>
      </c>
      <c r="V33" s="114">
        <f t="shared" si="7"/>
        <v>46107</v>
      </c>
      <c r="W33" s="114">
        <f t="shared" si="8"/>
        <v>44646</v>
      </c>
    </row>
    <row r="34">
      <c r="B34" s="105" t="s">
        <v>96</v>
      </c>
      <c r="D34" s="105" t="s">
        <v>96</v>
      </c>
      <c r="E34" s="105" t="str">
        <f t="shared" si="1"/>
        <v>Common</v>
      </c>
      <c r="F34" s="106">
        <v>0.0</v>
      </c>
      <c r="G34" s="106">
        <v>1.0E7</v>
      </c>
      <c r="H34" s="107">
        <v>1.0</v>
      </c>
      <c r="I34" s="108">
        <f t="shared" si="3"/>
        <v>0.5263157895</v>
      </c>
      <c r="J34" s="109">
        <v>0.0</v>
      </c>
      <c r="L34" s="107">
        <v>1.0</v>
      </c>
      <c r="M34" s="106">
        <f t="shared" si="4"/>
        <v>0</v>
      </c>
      <c r="N34" s="110"/>
      <c r="O34" s="111" t="s">
        <v>219</v>
      </c>
      <c r="P34" s="107">
        <v>0.0</v>
      </c>
      <c r="Q34" s="21">
        <f t="shared" si="5"/>
        <v>0</v>
      </c>
      <c r="S34" s="112" t="s">
        <v>220</v>
      </c>
      <c r="T34" s="113">
        <v>0.05</v>
      </c>
      <c r="U34" s="21">
        <f t="shared" si="6"/>
        <v>0</v>
      </c>
      <c r="V34" s="114">
        <f t="shared" si="7"/>
        <v>46107</v>
      </c>
      <c r="W34" s="114">
        <f t="shared" si="8"/>
        <v>44646</v>
      </c>
    </row>
    <row r="35">
      <c r="B35" s="105" t="s">
        <v>81</v>
      </c>
      <c r="D35" s="105" t="s">
        <v>81</v>
      </c>
      <c r="E35" s="105" t="str">
        <f t="shared" si="1"/>
        <v>Options</v>
      </c>
      <c r="F35" s="106">
        <v>0.0</v>
      </c>
      <c r="G35" s="106">
        <v>0.0</v>
      </c>
      <c r="H35" s="107">
        <v>1.0</v>
      </c>
      <c r="I35" s="108">
        <f t="shared" si="3"/>
        <v>0</v>
      </c>
      <c r="J35" s="109">
        <v>0.0</v>
      </c>
      <c r="L35" s="107">
        <v>1.0</v>
      </c>
      <c r="M35" s="106">
        <f t="shared" si="4"/>
        <v>0</v>
      </c>
      <c r="N35" s="110"/>
      <c r="O35" s="111" t="s">
        <v>219</v>
      </c>
      <c r="P35" s="107">
        <v>0.0</v>
      </c>
      <c r="Q35" s="21">
        <f t="shared" si="5"/>
        <v>0</v>
      </c>
      <c r="S35" s="112" t="s">
        <v>220</v>
      </c>
      <c r="T35" s="113">
        <v>0.05</v>
      </c>
      <c r="U35" s="21">
        <f t="shared" si="6"/>
        <v>0</v>
      </c>
      <c r="V35" s="114">
        <f t="shared" si="7"/>
        <v>46107</v>
      </c>
      <c r="W35" s="114">
        <f t="shared" si="8"/>
        <v>44646</v>
      </c>
    </row>
    <row r="36">
      <c r="B36" s="105" t="s">
        <v>81</v>
      </c>
      <c r="D36" s="105" t="s">
        <v>81</v>
      </c>
      <c r="E36" s="105" t="str">
        <f t="shared" si="1"/>
        <v>Options</v>
      </c>
      <c r="F36" s="106">
        <v>0.0</v>
      </c>
      <c r="G36" s="106">
        <v>0.0</v>
      </c>
      <c r="H36" s="107">
        <v>1.0</v>
      </c>
      <c r="I36" s="108">
        <f t="shared" si="3"/>
        <v>0</v>
      </c>
      <c r="J36" s="109">
        <v>0.0</v>
      </c>
      <c r="L36" s="107">
        <v>1.0</v>
      </c>
      <c r="M36" s="106">
        <f t="shared" si="4"/>
        <v>0</v>
      </c>
      <c r="N36" s="110"/>
      <c r="O36" s="111" t="s">
        <v>219</v>
      </c>
      <c r="P36" s="107">
        <v>0.0</v>
      </c>
      <c r="Q36" s="21">
        <f t="shared" si="5"/>
        <v>0</v>
      </c>
      <c r="S36" s="112" t="s">
        <v>220</v>
      </c>
      <c r="T36" s="113">
        <v>0.05</v>
      </c>
      <c r="U36" s="21">
        <f t="shared" si="6"/>
        <v>0</v>
      </c>
      <c r="V36" s="114">
        <f t="shared" si="7"/>
        <v>46107</v>
      </c>
      <c r="W36" s="114">
        <f t="shared" si="8"/>
        <v>44646</v>
      </c>
    </row>
    <row r="37">
      <c r="B37" s="105" t="s">
        <v>231</v>
      </c>
      <c r="D37" s="105" t="s">
        <v>231</v>
      </c>
      <c r="E37" s="105" t="str">
        <f t="shared" si="1"/>
        <v>Warrants</v>
      </c>
      <c r="F37" s="106">
        <v>0.0</v>
      </c>
      <c r="G37" s="106">
        <v>0.0</v>
      </c>
      <c r="H37" s="107">
        <v>1.0</v>
      </c>
      <c r="I37" s="108">
        <f t="shared" si="3"/>
        <v>0</v>
      </c>
      <c r="J37" s="109">
        <v>0.0</v>
      </c>
      <c r="L37" s="107">
        <v>1.0</v>
      </c>
      <c r="M37" s="106">
        <f t="shared" si="4"/>
        <v>0</v>
      </c>
      <c r="N37" s="110"/>
      <c r="O37" s="111" t="s">
        <v>219</v>
      </c>
      <c r="P37" s="107">
        <v>0.0</v>
      </c>
      <c r="Q37" s="21">
        <f t="shared" si="5"/>
        <v>0</v>
      </c>
      <c r="S37" s="112" t="s">
        <v>220</v>
      </c>
      <c r="T37" s="113">
        <v>0.05</v>
      </c>
      <c r="U37" s="21">
        <f t="shared" si="6"/>
        <v>0</v>
      </c>
      <c r="V37" s="114">
        <f t="shared" si="7"/>
        <v>46107</v>
      </c>
      <c r="W37" s="114">
        <f t="shared" si="8"/>
        <v>44646</v>
      </c>
    </row>
    <row r="38">
      <c r="B38" s="86"/>
    </row>
    <row r="39">
      <c r="B39" s="116" t="s">
        <v>103</v>
      </c>
      <c r="C39" s="73"/>
      <c r="D39" s="73"/>
      <c r="E39" s="73"/>
      <c r="F39" s="117">
        <f t="shared" ref="F39:G39" si="10">sum(F22:F38)</f>
        <v>3500000</v>
      </c>
      <c r="G39" s="117">
        <f t="shared" si="10"/>
        <v>19000000</v>
      </c>
      <c r="H39" s="73"/>
      <c r="I39" s="118">
        <f>iferror(G39/G$39,0)</f>
        <v>1</v>
      </c>
      <c r="J39" s="73"/>
      <c r="K39" s="117"/>
      <c r="L39" s="117"/>
      <c r="M39" s="117">
        <f>sum(M22:M38)</f>
        <v>3500000</v>
      </c>
      <c r="N39" s="117"/>
      <c r="O39" s="117"/>
      <c r="P39" s="117"/>
      <c r="Q39" s="117"/>
      <c r="R39" s="117"/>
      <c r="S39" s="117"/>
      <c r="T39" s="117"/>
      <c r="U39" s="117"/>
      <c r="V39" s="117"/>
      <c r="W39" s="117"/>
    </row>
    <row r="40">
      <c r="B40" s="86"/>
    </row>
    <row r="41">
      <c r="B41" s="119" t="s">
        <v>232</v>
      </c>
    </row>
    <row r="42">
      <c r="B42" s="119" t="s">
        <v>233</v>
      </c>
      <c r="D42" s="120">
        <f>ROUNDDOWN(large($M23:$M37,D47)/500000,0)*500000</f>
        <v>2000000</v>
      </c>
      <c r="E42" s="120">
        <f t="shared" ref="E42:J42" si="11">MAX(D42+1000000,if(large($M23:$M37,E47)&gt;0,ROUNDDOWN(large($M23:$M37,E47)/500000,0)*500000+D42,D42*2))</f>
        <v>3000000</v>
      </c>
      <c r="F42" s="120">
        <f t="shared" si="11"/>
        <v>4000000</v>
      </c>
      <c r="G42" s="120">
        <f t="shared" si="11"/>
        <v>8000000</v>
      </c>
      <c r="H42" s="120">
        <f t="shared" si="11"/>
        <v>16000000</v>
      </c>
      <c r="I42" s="120">
        <f t="shared" si="11"/>
        <v>32000000</v>
      </c>
      <c r="J42" s="120">
        <f t="shared" si="11"/>
        <v>64000000</v>
      </c>
    </row>
    <row r="43">
      <c r="B43" s="119" t="s">
        <v>234</v>
      </c>
      <c r="D43" s="120">
        <v>0.0</v>
      </c>
      <c r="E43" s="120">
        <v>0.0</v>
      </c>
      <c r="F43" s="120">
        <v>0.0</v>
      </c>
      <c r="G43" s="120">
        <v>0.0</v>
      </c>
      <c r="H43" s="120">
        <v>0.0</v>
      </c>
      <c r="I43" s="120">
        <v>0.0</v>
      </c>
      <c r="J43" s="120">
        <v>0.0</v>
      </c>
    </row>
    <row r="44">
      <c r="B44" s="121" t="s">
        <v>235</v>
      </c>
      <c r="D44" s="120">
        <v>0.0</v>
      </c>
      <c r="E44" s="120">
        <v>0.0</v>
      </c>
      <c r="F44" s="120">
        <v>0.0</v>
      </c>
      <c r="G44" s="120">
        <v>0.0</v>
      </c>
      <c r="H44" s="120">
        <v>0.0</v>
      </c>
      <c r="I44" s="120">
        <v>0.0</v>
      </c>
      <c r="J44" s="120">
        <v>0.0</v>
      </c>
      <c r="K44" s="122"/>
      <c r="L44" s="122"/>
      <c r="M44" s="122"/>
    </row>
    <row r="45">
      <c r="B45" s="119" t="s">
        <v>236</v>
      </c>
      <c r="D45" s="122">
        <f t="shared" ref="D45:J45" si="12">sumproduct( --($D23:$D37="options"), $J23:$J37 , D86:D100 )</f>
        <v>0</v>
      </c>
      <c r="E45" s="122">
        <f t="shared" si="12"/>
        <v>0</v>
      </c>
      <c r="F45" s="122">
        <f t="shared" si="12"/>
        <v>0</v>
      </c>
      <c r="G45" s="122">
        <f t="shared" si="12"/>
        <v>0</v>
      </c>
      <c r="H45" s="122">
        <f t="shared" si="12"/>
        <v>0</v>
      </c>
      <c r="I45" s="122">
        <f t="shared" si="12"/>
        <v>0</v>
      </c>
      <c r="J45" s="122">
        <f t="shared" si="12"/>
        <v>0</v>
      </c>
      <c r="K45" s="122"/>
      <c r="L45" s="122"/>
      <c r="M45" s="122"/>
    </row>
    <row r="46">
      <c r="B46" s="119" t="s">
        <v>232</v>
      </c>
      <c r="D46" s="123">
        <f t="shared" ref="D46:J46" si="13">sum(D42,abs(D43)*-1,abs(D44)*-1,D45)</f>
        <v>2000000</v>
      </c>
      <c r="E46" s="123">
        <f t="shared" si="13"/>
        <v>3000000</v>
      </c>
      <c r="F46" s="123">
        <f t="shared" si="13"/>
        <v>4000000</v>
      </c>
      <c r="G46" s="123">
        <f t="shared" si="13"/>
        <v>8000000</v>
      </c>
      <c r="H46" s="123">
        <f t="shared" si="13"/>
        <v>16000000</v>
      </c>
      <c r="I46" s="123">
        <f t="shared" si="13"/>
        <v>32000000</v>
      </c>
      <c r="J46" s="123">
        <f t="shared" si="13"/>
        <v>64000000</v>
      </c>
      <c r="K46" s="122"/>
      <c r="L46" s="122"/>
      <c r="M46" s="122"/>
    </row>
    <row r="47">
      <c r="B47" s="124" t="s">
        <v>237</v>
      </c>
      <c r="D47" s="21">
        <v>1.0</v>
      </c>
      <c r="E47" s="21">
        <f t="shared" ref="E47:J47" si="14">D47+1</f>
        <v>2</v>
      </c>
      <c r="F47" s="21">
        <f t="shared" si="14"/>
        <v>3</v>
      </c>
      <c r="G47" s="21">
        <f t="shared" si="14"/>
        <v>4</v>
      </c>
      <c r="H47" s="21">
        <f t="shared" si="14"/>
        <v>5</v>
      </c>
      <c r="I47" s="21">
        <f t="shared" si="14"/>
        <v>6</v>
      </c>
      <c r="J47" s="21">
        <f t="shared" si="14"/>
        <v>7</v>
      </c>
    </row>
    <row r="48">
      <c r="B48" s="86"/>
      <c r="K48" s="122"/>
      <c r="L48" s="122"/>
      <c r="M48" s="122"/>
    </row>
    <row r="49">
      <c r="B49" s="125" t="s">
        <v>238</v>
      </c>
    </row>
    <row r="50">
      <c r="B50" s="86" t="str">
        <f t="shared" ref="B50:B64" si="16">E23</f>
        <v>Series J</v>
      </c>
      <c r="D50" s="122">
        <f t="shared" ref="D50:J50" si="15">max(0,min(sumproduct($M$23:$M$37,--($E$23:$E$37=$B104)),D$46-sum(D$49:D49)))</f>
        <v>0</v>
      </c>
      <c r="E50" s="122">
        <f t="shared" si="15"/>
        <v>0</v>
      </c>
      <c r="F50" s="122">
        <f t="shared" si="15"/>
        <v>0</v>
      </c>
      <c r="G50" s="122">
        <f t="shared" si="15"/>
        <v>0</v>
      </c>
      <c r="H50" s="122">
        <f t="shared" si="15"/>
        <v>0</v>
      </c>
      <c r="I50" s="122">
        <f t="shared" si="15"/>
        <v>0</v>
      </c>
      <c r="J50" s="122">
        <f t="shared" si="15"/>
        <v>0</v>
      </c>
    </row>
    <row r="51">
      <c r="B51" s="86" t="str">
        <f t="shared" si="16"/>
        <v>Series I</v>
      </c>
      <c r="D51" s="122">
        <f t="shared" ref="D51:J51" si="17">max(0,min(sumproduct($M$23:$M$37,--($E$23:$E$37=$B105)),D$46-sum(D$49:D50)))</f>
        <v>0</v>
      </c>
      <c r="E51" s="122">
        <f t="shared" si="17"/>
        <v>0</v>
      </c>
      <c r="F51" s="122">
        <f t="shared" si="17"/>
        <v>0</v>
      </c>
      <c r="G51" s="122">
        <f t="shared" si="17"/>
        <v>0</v>
      </c>
      <c r="H51" s="122">
        <f t="shared" si="17"/>
        <v>0</v>
      </c>
      <c r="I51" s="122">
        <f t="shared" si="17"/>
        <v>0</v>
      </c>
      <c r="J51" s="122">
        <f t="shared" si="17"/>
        <v>0</v>
      </c>
    </row>
    <row r="52">
      <c r="B52" s="86" t="str">
        <f t="shared" si="16"/>
        <v>Series H</v>
      </c>
      <c r="D52" s="122">
        <f t="shared" ref="D52:J52" si="18">max(0,min(sumproduct($M$23:$M$37,--($E$23:$E$37=$B106)),D$46-sum(D$49:D51)))</f>
        <v>0</v>
      </c>
      <c r="E52" s="122">
        <f t="shared" si="18"/>
        <v>0</v>
      </c>
      <c r="F52" s="122">
        <f t="shared" si="18"/>
        <v>0</v>
      </c>
      <c r="G52" s="122">
        <f t="shared" si="18"/>
        <v>0</v>
      </c>
      <c r="H52" s="122">
        <f t="shared" si="18"/>
        <v>0</v>
      </c>
      <c r="I52" s="122">
        <f t="shared" si="18"/>
        <v>0</v>
      </c>
      <c r="J52" s="122">
        <f t="shared" si="18"/>
        <v>0</v>
      </c>
    </row>
    <row r="53">
      <c r="B53" s="86" t="str">
        <f t="shared" si="16"/>
        <v>Series G</v>
      </c>
      <c r="D53" s="122">
        <f t="shared" ref="D53:J53" si="19">max(0,min(sumproduct($M$23:$M$37,--($E$23:$E$37=$B107)),D$46-sum(D$49:D52)))</f>
        <v>0</v>
      </c>
      <c r="E53" s="122">
        <f t="shared" si="19"/>
        <v>0</v>
      </c>
      <c r="F53" s="122">
        <f t="shared" si="19"/>
        <v>0</v>
      </c>
      <c r="G53" s="122">
        <f t="shared" si="19"/>
        <v>0</v>
      </c>
      <c r="H53" s="122">
        <f t="shared" si="19"/>
        <v>0</v>
      </c>
      <c r="I53" s="122">
        <f t="shared" si="19"/>
        <v>0</v>
      </c>
      <c r="J53" s="122">
        <f t="shared" si="19"/>
        <v>0</v>
      </c>
    </row>
    <row r="54">
      <c r="B54" s="86" t="str">
        <f t="shared" si="16"/>
        <v>Series F</v>
      </c>
      <c r="D54" s="122">
        <f t="shared" ref="D54:J54" si="20">max(0,min(sumproduct($M$23:$M$37,--($E$23:$E$37=$B108)),D$46-sum(D$49:D53)))</f>
        <v>0</v>
      </c>
      <c r="E54" s="122">
        <f t="shared" si="20"/>
        <v>0</v>
      </c>
      <c r="F54" s="122">
        <f t="shared" si="20"/>
        <v>0</v>
      </c>
      <c r="G54" s="122">
        <f t="shared" si="20"/>
        <v>0</v>
      </c>
      <c r="H54" s="122">
        <f t="shared" si="20"/>
        <v>0</v>
      </c>
      <c r="I54" s="122">
        <f t="shared" si="20"/>
        <v>0</v>
      </c>
      <c r="J54" s="122">
        <f t="shared" si="20"/>
        <v>0</v>
      </c>
    </row>
    <row r="55">
      <c r="B55" s="86" t="str">
        <f t="shared" si="16"/>
        <v>Series E</v>
      </c>
      <c r="D55" s="122">
        <f t="shared" ref="D55:J55" si="21">max(0,min(sumproduct($M$23:$M$37,--($E$23:$E$37=$B109)),D$46-sum(D$49:D54)))</f>
        <v>0</v>
      </c>
      <c r="E55" s="122">
        <f t="shared" si="21"/>
        <v>0</v>
      </c>
      <c r="F55" s="122">
        <f t="shared" si="21"/>
        <v>0</v>
      </c>
      <c r="G55" s="122">
        <f t="shared" si="21"/>
        <v>0</v>
      </c>
      <c r="H55" s="122">
        <f t="shared" si="21"/>
        <v>0</v>
      </c>
      <c r="I55" s="122">
        <f t="shared" si="21"/>
        <v>0</v>
      </c>
      <c r="J55" s="122">
        <f t="shared" si="21"/>
        <v>0</v>
      </c>
    </row>
    <row r="56">
      <c r="B56" s="86" t="str">
        <f t="shared" si="16"/>
        <v>Series D</v>
      </c>
      <c r="D56" s="122">
        <f t="shared" ref="D56:J56" si="22">max(0,min(sumproduct($M$23:$M$37,--($E$23:$E$37=$B110)),D$46-sum(D$49:D55)))</f>
        <v>0</v>
      </c>
      <c r="E56" s="122">
        <f t="shared" si="22"/>
        <v>0</v>
      </c>
      <c r="F56" s="122">
        <f t="shared" si="22"/>
        <v>0</v>
      </c>
      <c r="G56" s="122">
        <f t="shared" si="22"/>
        <v>0</v>
      </c>
      <c r="H56" s="122">
        <f t="shared" si="22"/>
        <v>0</v>
      </c>
      <c r="I56" s="122">
        <f t="shared" si="22"/>
        <v>0</v>
      </c>
      <c r="J56" s="122">
        <f t="shared" si="22"/>
        <v>0</v>
      </c>
    </row>
    <row r="57">
      <c r="B57" s="86" t="str">
        <f t="shared" si="16"/>
        <v>Series C</v>
      </c>
      <c r="D57" s="122">
        <f t="shared" ref="D57:J57" si="23">max(0,min(sumproduct($M$23:$M$37,--($E$23:$E$37=$B111)),D$46-sum(D$49:D56)))</f>
        <v>0</v>
      </c>
      <c r="E57" s="122">
        <f t="shared" si="23"/>
        <v>0</v>
      </c>
      <c r="F57" s="122">
        <f t="shared" si="23"/>
        <v>0</v>
      </c>
      <c r="G57" s="122">
        <f t="shared" si="23"/>
        <v>0</v>
      </c>
      <c r="H57" s="122">
        <f t="shared" si="23"/>
        <v>0</v>
      </c>
      <c r="I57" s="122">
        <f t="shared" si="23"/>
        <v>0</v>
      </c>
      <c r="J57" s="122">
        <f t="shared" si="23"/>
        <v>0</v>
      </c>
    </row>
    <row r="58">
      <c r="B58" s="86" t="str">
        <f t="shared" si="16"/>
        <v>Series B</v>
      </c>
      <c r="D58" s="122">
        <f t="shared" ref="D58:J58" si="24">max(0,min(sumproduct($M$23:$M$37,--($E$23:$E$37=$B112)),D$46-sum(D$49:D57)))</f>
        <v>2000000</v>
      </c>
      <c r="E58" s="122">
        <f t="shared" si="24"/>
        <v>2000000</v>
      </c>
      <c r="F58" s="122">
        <f t="shared" si="24"/>
        <v>2000000</v>
      </c>
      <c r="G58" s="122">
        <f t="shared" si="24"/>
        <v>2000000</v>
      </c>
      <c r="H58" s="122">
        <f t="shared" si="24"/>
        <v>2000000</v>
      </c>
      <c r="I58" s="122">
        <f t="shared" si="24"/>
        <v>2000000</v>
      </c>
      <c r="J58" s="122">
        <f t="shared" si="24"/>
        <v>2000000</v>
      </c>
    </row>
    <row r="59">
      <c r="B59" s="86" t="str">
        <f t="shared" si="16"/>
        <v>Series A</v>
      </c>
      <c r="D59" s="122">
        <f t="shared" ref="D59:J59" si="25">max(0,min(sumproduct($M$23:$M$37,--($E$23:$E$37=$B113)),D$46-sum(D$49:D58)))</f>
        <v>0</v>
      </c>
      <c r="E59" s="122">
        <f t="shared" si="25"/>
        <v>1000000</v>
      </c>
      <c r="F59" s="122">
        <f t="shared" si="25"/>
        <v>1000000</v>
      </c>
      <c r="G59" s="122">
        <f t="shared" si="25"/>
        <v>1000000</v>
      </c>
      <c r="H59" s="122">
        <f t="shared" si="25"/>
        <v>1000000</v>
      </c>
      <c r="I59" s="122">
        <f t="shared" si="25"/>
        <v>1000000</v>
      </c>
      <c r="J59" s="122">
        <f t="shared" si="25"/>
        <v>1000000</v>
      </c>
    </row>
    <row r="60">
      <c r="B60" s="86" t="str">
        <f t="shared" si="16"/>
        <v>Seed</v>
      </c>
      <c r="D60" s="122">
        <f t="shared" ref="D60:J60" si="26">max(0,min(sumproduct($M$23:$M$37,--($E$23:$E$37=$B114)),D$46-sum(D$49:D59)))</f>
        <v>0</v>
      </c>
      <c r="E60" s="122">
        <f t="shared" si="26"/>
        <v>0</v>
      </c>
      <c r="F60" s="122">
        <f t="shared" si="26"/>
        <v>500000</v>
      </c>
      <c r="G60" s="122">
        <f t="shared" si="26"/>
        <v>500000</v>
      </c>
      <c r="H60" s="122">
        <f t="shared" si="26"/>
        <v>500000</v>
      </c>
      <c r="I60" s="122">
        <f t="shared" si="26"/>
        <v>500000</v>
      </c>
      <c r="J60" s="122">
        <f t="shared" si="26"/>
        <v>500000</v>
      </c>
    </row>
    <row r="61">
      <c r="B61" s="86" t="str">
        <f t="shared" si="16"/>
        <v>Common</v>
      </c>
      <c r="D61" s="122">
        <f t="shared" ref="D61:J61" si="27">max(0,min(sumproduct($M$23:$M$37,--($E$23:$E$37=$B115)),D$46-sum(D$49:D60)))</f>
        <v>0</v>
      </c>
      <c r="E61" s="122">
        <f t="shared" si="27"/>
        <v>0</v>
      </c>
      <c r="F61" s="122">
        <f t="shared" si="27"/>
        <v>0</v>
      </c>
      <c r="G61" s="122">
        <f t="shared" si="27"/>
        <v>0</v>
      </c>
      <c r="H61" s="122">
        <f t="shared" si="27"/>
        <v>0</v>
      </c>
      <c r="I61" s="122">
        <f t="shared" si="27"/>
        <v>0</v>
      </c>
      <c r="J61" s="122">
        <f t="shared" si="27"/>
        <v>0</v>
      </c>
    </row>
    <row r="62">
      <c r="B62" s="86" t="str">
        <f t="shared" si="16"/>
        <v>Options</v>
      </c>
      <c r="D62" s="122">
        <f t="shared" ref="D62:J62" si="28">max(0,min(sumproduct($M$23:$M$37,--($E$23:$E$37=$B116)),D$46-sum(D$49:D61)))</f>
        <v>0</v>
      </c>
      <c r="E62" s="122">
        <f t="shared" si="28"/>
        <v>0</v>
      </c>
      <c r="F62" s="122">
        <f t="shared" si="28"/>
        <v>0</v>
      </c>
      <c r="G62" s="122">
        <f t="shared" si="28"/>
        <v>0</v>
      </c>
      <c r="H62" s="122">
        <f t="shared" si="28"/>
        <v>0</v>
      </c>
      <c r="I62" s="122">
        <f t="shared" si="28"/>
        <v>0</v>
      </c>
      <c r="J62" s="122">
        <f t="shared" si="28"/>
        <v>0</v>
      </c>
    </row>
    <row r="63">
      <c r="B63" s="86" t="str">
        <f t="shared" si="16"/>
        <v>Options</v>
      </c>
      <c r="D63" s="122">
        <f t="shared" ref="D63:J63" si="29">max(0,min(sumproduct($M$23:$M$37,--($E$23:$E$37=$B117)),D$46-sum(D$49:D62)))</f>
        <v>0</v>
      </c>
      <c r="E63" s="122">
        <f t="shared" si="29"/>
        <v>0</v>
      </c>
      <c r="F63" s="122">
        <f t="shared" si="29"/>
        <v>0</v>
      </c>
      <c r="G63" s="122">
        <f t="shared" si="29"/>
        <v>0</v>
      </c>
      <c r="H63" s="122">
        <f t="shared" si="29"/>
        <v>0</v>
      </c>
      <c r="I63" s="122">
        <f t="shared" si="29"/>
        <v>0</v>
      </c>
      <c r="J63" s="122">
        <f t="shared" si="29"/>
        <v>0</v>
      </c>
    </row>
    <row r="64">
      <c r="B64" s="86" t="str">
        <f t="shared" si="16"/>
        <v>Warrants</v>
      </c>
      <c r="D64" s="122">
        <f t="shared" ref="D64:J64" si="30">max(0,min(sumproduct($M$23:$M$37,--($E$23:$E$37=$B118)),D$46-sum(D$49:D63)))</f>
        <v>0</v>
      </c>
      <c r="E64" s="122">
        <f t="shared" si="30"/>
        <v>0</v>
      </c>
      <c r="F64" s="122">
        <f t="shared" si="30"/>
        <v>0</v>
      </c>
      <c r="G64" s="122">
        <f t="shared" si="30"/>
        <v>0</v>
      </c>
      <c r="H64" s="122">
        <f t="shared" si="30"/>
        <v>0</v>
      </c>
      <c r="I64" s="122">
        <f t="shared" si="30"/>
        <v>0</v>
      </c>
      <c r="J64" s="122">
        <f t="shared" si="30"/>
        <v>0</v>
      </c>
    </row>
    <row r="65">
      <c r="B65" s="124" t="s">
        <v>103</v>
      </c>
      <c r="D65" s="117">
        <f t="shared" ref="D65:J65" si="31">sum(D50:D64)</f>
        <v>2000000</v>
      </c>
      <c r="E65" s="117">
        <f t="shared" si="31"/>
        <v>3000000</v>
      </c>
      <c r="F65" s="117">
        <f t="shared" si="31"/>
        <v>3500000</v>
      </c>
      <c r="G65" s="117">
        <f t="shared" si="31"/>
        <v>3500000</v>
      </c>
      <c r="H65" s="117">
        <f t="shared" si="31"/>
        <v>3500000</v>
      </c>
      <c r="I65" s="117">
        <f t="shared" si="31"/>
        <v>3500000</v>
      </c>
      <c r="J65" s="117">
        <f t="shared" si="31"/>
        <v>3500000</v>
      </c>
    </row>
    <row r="66" collapsed="1">
      <c r="D66" s="122"/>
      <c r="E66" s="122"/>
      <c r="F66" s="122"/>
      <c r="G66" s="122"/>
      <c r="H66" s="122"/>
      <c r="I66" s="122"/>
      <c r="J66" s="122"/>
    </row>
    <row r="67" hidden="1" outlineLevel="1">
      <c r="A67" s="89"/>
      <c r="B67" s="126" t="s">
        <v>239</v>
      </c>
      <c r="C67" s="89"/>
      <c r="D67" s="127"/>
      <c r="E67" s="127"/>
      <c r="F67" s="127"/>
      <c r="G67" s="127"/>
      <c r="H67" s="127"/>
      <c r="I67" s="127"/>
      <c r="J67" s="127"/>
      <c r="K67" s="89"/>
      <c r="L67" s="128" t="s">
        <v>240</v>
      </c>
      <c r="M67" s="89"/>
      <c r="N67" s="89"/>
      <c r="O67" s="89"/>
      <c r="P67" s="89"/>
      <c r="Q67" s="89"/>
      <c r="R67" s="89"/>
      <c r="S67" s="89"/>
      <c r="T67" s="89"/>
      <c r="U67" s="89"/>
      <c r="V67" s="89"/>
      <c r="W67" s="89"/>
      <c r="X67" s="89"/>
      <c r="Y67" s="89"/>
      <c r="Z67" s="89"/>
      <c r="AA67" s="89"/>
    </row>
    <row r="68" hidden="1" outlineLevel="1">
      <c r="A68" s="89"/>
      <c r="B68" s="86" t="str">
        <f t="shared" ref="B68:B82" si="33">B23</f>
        <v>Series J</v>
      </c>
      <c r="C68" s="89"/>
      <c r="D68" s="127">
        <f t="shared" ref="D68:J68" si="32">if(or($G23 = 0,D$65=D$46), 0 ,  if($O23="participating preferred with cap", if(D104 = 0 , $G23 , min($G23 , iferror( ( $Q23 - $M23 ) / D$138 , 0 ) ) ) , 0 ) )</f>
        <v>0</v>
      </c>
      <c r="E68" s="127">
        <f t="shared" si="32"/>
        <v>0</v>
      </c>
      <c r="F68" s="127">
        <f t="shared" si="32"/>
        <v>0</v>
      </c>
      <c r="G68" s="127">
        <f t="shared" si="32"/>
        <v>0</v>
      </c>
      <c r="H68" s="127">
        <f t="shared" si="32"/>
        <v>0</v>
      </c>
      <c r="I68" s="127">
        <f t="shared" si="32"/>
        <v>0</v>
      </c>
      <c r="J68" s="127">
        <f t="shared" si="32"/>
        <v>0</v>
      </c>
      <c r="K68" s="89"/>
      <c r="L68" s="89"/>
      <c r="M68" s="89"/>
      <c r="N68" s="89"/>
      <c r="O68" s="89"/>
      <c r="P68" s="89"/>
      <c r="Q68" s="89"/>
      <c r="R68" s="89"/>
      <c r="S68" s="89"/>
      <c r="T68" s="89"/>
      <c r="U68" s="89"/>
      <c r="V68" s="89"/>
      <c r="W68" s="89"/>
      <c r="X68" s="89"/>
      <c r="Y68" s="89"/>
      <c r="Z68" s="89"/>
      <c r="AA68" s="89"/>
    </row>
    <row r="69" hidden="1" outlineLevel="1">
      <c r="A69" s="89"/>
      <c r="B69" s="86" t="str">
        <f t="shared" si="33"/>
        <v>Series I</v>
      </c>
      <c r="C69" s="89"/>
      <c r="D69" s="127">
        <f t="shared" ref="D69:J69" si="34">if(or($G24 = 0,D$65=D$46), 0 ,  if($O24="participating preferred with cap", if(D105 = 0 , $G24 , min($G24 , iferror( ( $Q24 - $M24 ) / D$138 , 0 ) ) ) , 0 ) )</f>
        <v>0</v>
      </c>
      <c r="E69" s="127">
        <f t="shared" si="34"/>
        <v>0</v>
      </c>
      <c r="F69" s="127">
        <f t="shared" si="34"/>
        <v>0</v>
      </c>
      <c r="G69" s="127">
        <f t="shared" si="34"/>
        <v>0</v>
      </c>
      <c r="H69" s="127">
        <f t="shared" si="34"/>
        <v>0</v>
      </c>
      <c r="I69" s="127">
        <f t="shared" si="34"/>
        <v>0</v>
      </c>
      <c r="J69" s="127">
        <f t="shared" si="34"/>
        <v>0</v>
      </c>
      <c r="K69" s="89"/>
      <c r="L69" s="89"/>
      <c r="M69" s="89"/>
      <c r="N69" s="89"/>
      <c r="O69" s="89"/>
      <c r="P69" s="89"/>
      <c r="Q69" s="89"/>
      <c r="R69" s="89"/>
      <c r="S69" s="89"/>
      <c r="T69" s="89"/>
      <c r="U69" s="89"/>
      <c r="V69" s="89"/>
      <c r="W69" s="89"/>
      <c r="X69" s="89"/>
      <c r="Y69" s="89"/>
      <c r="Z69" s="89"/>
      <c r="AA69" s="89"/>
    </row>
    <row r="70" hidden="1" outlineLevel="1">
      <c r="A70" s="89"/>
      <c r="B70" s="86" t="str">
        <f t="shared" si="33"/>
        <v>Series H</v>
      </c>
      <c r="C70" s="89"/>
      <c r="D70" s="127">
        <f t="shared" ref="D70:J70" si="35">if(or($G25 = 0,D$65=D$46), 0 ,  if($O25="participating preferred with cap", if(D106 = 0 , $G25 , min($G25 , iferror( ( $Q25 - $M25 ) / D$138 , 0 ) ) ) , 0 ) )</f>
        <v>0</v>
      </c>
      <c r="E70" s="127">
        <f t="shared" si="35"/>
        <v>0</v>
      </c>
      <c r="F70" s="127">
        <f t="shared" si="35"/>
        <v>0</v>
      </c>
      <c r="G70" s="127">
        <f t="shared" si="35"/>
        <v>0</v>
      </c>
      <c r="H70" s="127">
        <f t="shared" si="35"/>
        <v>0</v>
      </c>
      <c r="I70" s="127">
        <f t="shared" si="35"/>
        <v>0</v>
      </c>
      <c r="J70" s="127">
        <f t="shared" si="35"/>
        <v>0</v>
      </c>
      <c r="K70" s="89"/>
      <c r="L70" s="89"/>
      <c r="M70" s="89"/>
      <c r="N70" s="89"/>
      <c r="O70" s="89"/>
      <c r="P70" s="89"/>
      <c r="Q70" s="89"/>
      <c r="R70" s="89"/>
      <c r="S70" s="89"/>
      <c r="T70" s="89"/>
      <c r="U70" s="89"/>
      <c r="V70" s="89"/>
      <c r="W70" s="89"/>
      <c r="X70" s="89"/>
      <c r="Y70" s="89"/>
      <c r="Z70" s="89"/>
      <c r="AA70" s="89"/>
    </row>
    <row r="71" hidden="1" outlineLevel="1">
      <c r="A71" s="89"/>
      <c r="B71" s="86" t="str">
        <f t="shared" si="33"/>
        <v>Series G</v>
      </c>
      <c r="C71" s="89"/>
      <c r="D71" s="127">
        <f t="shared" ref="D71:J71" si="36">if(or($G26 = 0,D$65=D$46), 0 ,  if($O26="participating preferred with cap", if(D107 = 0 , $G26 , min($G26 , iferror( ( $Q26 - $M26 ) / D$138 , 0 ) ) ) , 0 ) )</f>
        <v>0</v>
      </c>
      <c r="E71" s="127">
        <f t="shared" si="36"/>
        <v>0</v>
      </c>
      <c r="F71" s="127">
        <f t="shared" si="36"/>
        <v>0</v>
      </c>
      <c r="G71" s="127">
        <f t="shared" si="36"/>
        <v>0</v>
      </c>
      <c r="H71" s="127">
        <f t="shared" si="36"/>
        <v>0</v>
      </c>
      <c r="I71" s="127">
        <f t="shared" si="36"/>
        <v>0</v>
      </c>
      <c r="J71" s="127">
        <f t="shared" si="36"/>
        <v>0</v>
      </c>
      <c r="K71" s="89"/>
      <c r="L71" s="89"/>
      <c r="M71" s="89"/>
      <c r="N71" s="89"/>
      <c r="O71" s="89"/>
      <c r="P71" s="89"/>
      <c r="Q71" s="89"/>
      <c r="R71" s="89"/>
      <c r="S71" s="89"/>
      <c r="T71" s="89"/>
      <c r="U71" s="89"/>
      <c r="V71" s="89"/>
      <c r="W71" s="89"/>
      <c r="X71" s="89"/>
      <c r="Y71" s="89"/>
      <c r="Z71" s="89"/>
      <c r="AA71" s="89"/>
    </row>
    <row r="72" hidden="1" outlineLevel="1">
      <c r="A72" s="89"/>
      <c r="B72" s="86" t="str">
        <f t="shared" si="33"/>
        <v>Series F</v>
      </c>
      <c r="C72" s="89"/>
      <c r="D72" s="127">
        <f t="shared" ref="D72:J72" si="37">if(or($G27 = 0,D$65=D$46), 0 ,  if($O27="participating preferred with cap", if(D108 = 0 , $G27 , min($G27 , iferror( ( $Q27 - $M27 ) / D$138 , 0 ) ) ) , 0 ) )</f>
        <v>0</v>
      </c>
      <c r="E72" s="127">
        <f t="shared" si="37"/>
        <v>0</v>
      </c>
      <c r="F72" s="127">
        <f t="shared" si="37"/>
        <v>0</v>
      </c>
      <c r="G72" s="127">
        <f t="shared" si="37"/>
        <v>0</v>
      </c>
      <c r="H72" s="127">
        <f t="shared" si="37"/>
        <v>0</v>
      </c>
      <c r="I72" s="127">
        <f t="shared" si="37"/>
        <v>0</v>
      </c>
      <c r="J72" s="127">
        <f t="shared" si="37"/>
        <v>0</v>
      </c>
      <c r="K72" s="89"/>
      <c r="L72" s="89"/>
      <c r="M72" s="89"/>
      <c r="N72" s="89"/>
      <c r="O72" s="89"/>
      <c r="P72" s="89"/>
      <c r="Q72" s="89"/>
      <c r="R72" s="89"/>
      <c r="S72" s="89"/>
      <c r="T72" s="89"/>
      <c r="U72" s="89"/>
      <c r="V72" s="89"/>
      <c r="W72" s="89"/>
      <c r="X72" s="89"/>
      <c r="Y72" s="89"/>
      <c r="Z72" s="89"/>
      <c r="AA72" s="89"/>
    </row>
    <row r="73" hidden="1" outlineLevel="1">
      <c r="A73" s="89"/>
      <c r="B73" s="86" t="str">
        <f t="shared" si="33"/>
        <v>Series E</v>
      </c>
      <c r="C73" s="89"/>
      <c r="D73" s="127">
        <f t="shared" ref="D73:J73" si="38">if(or($G28 = 0,D$65=D$46), 0 ,  if($O28="participating preferred with cap", if(D109 = 0 , $G28 , min($G28 , iferror( ( $Q28 - $M28 ) / D$138 , 0 ) ) ) , 0 ) )</f>
        <v>0</v>
      </c>
      <c r="E73" s="127">
        <f t="shared" si="38"/>
        <v>0</v>
      </c>
      <c r="F73" s="127">
        <f t="shared" si="38"/>
        <v>0</v>
      </c>
      <c r="G73" s="127">
        <f t="shared" si="38"/>
        <v>0</v>
      </c>
      <c r="H73" s="127">
        <f t="shared" si="38"/>
        <v>0</v>
      </c>
      <c r="I73" s="127">
        <f t="shared" si="38"/>
        <v>0</v>
      </c>
      <c r="J73" s="127">
        <f t="shared" si="38"/>
        <v>0</v>
      </c>
      <c r="K73" s="89"/>
      <c r="L73" s="89"/>
      <c r="M73" s="89"/>
      <c r="N73" s="89"/>
      <c r="O73" s="89"/>
      <c r="P73" s="89"/>
      <c r="Q73" s="89"/>
      <c r="R73" s="89"/>
      <c r="S73" s="89"/>
      <c r="T73" s="89"/>
      <c r="U73" s="89"/>
      <c r="V73" s="89"/>
      <c r="W73" s="89"/>
      <c r="X73" s="89"/>
      <c r="Y73" s="89"/>
      <c r="Z73" s="89"/>
      <c r="AA73" s="89"/>
    </row>
    <row r="74" hidden="1" outlineLevel="1">
      <c r="A74" s="89"/>
      <c r="B74" s="86" t="str">
        <f t="shared" si="33"/>
        <v>Series D</v>
      </c>
      <c r="C74" s="89"/>
      <c r="D74" s="127">
        <f t="shared" ref="D74:J74" si="39">if(or($G29 = 0,D$65=D$46), 0 ,  if($O29="participating preferred with cap", if(D110 = 0 , $G29 , min($G29 , iferror( ( $Q29 - $M29 ) / D$138 , 0 ) ) ) , 0 ) )</f>
        <v>0</v>
      </c>
      <c r="E74" s="127">
        <f t="shared" si="39"/>
        <v>0</v>
      </c>
      <c r="F74" s="127">
        <f t="shared" si="39"/>
        <v>0</v>
      </c>
      <c r="G74" s="127">
        <f t="shared" si="39"/>
        <v>0</v>
      </c>
      <c r="H74" s="127">
        <f t="shared" si="39"/>
        <v>0</v>
      </c>
      <c r="I74" s="127">
        <f t="shared" si="39"/>
        <v>0</v>
      </c>
      <c r="J74" s="127">
        <f t="shared" si="39"/>
        <v>0</v>
      </c>
      <c r="K74" s="89"/>
      <c r="L74" s="89"/>
      <c r="M74" s="89"/>
      <c r="N74" s="89"/>
      <c r="O74" s="89"/>
      <c r="P74" s="89"/>
      <c r="Q74" s="89"/>
      <c r="R74" s="89"/>
      <c r="S74" s="89"/>
      <c r="T74" s="89"/>
      <c r="U74" s="89"/>
      <c r="V74" s="89"/>
      <c r="W74" s="89"/>
      <c r="X74" s="89"/>
      <c r="Y74" s="89"/>
      <c r="Z74" s="89"/>
      <c r="AA74" s="89"/>
    </row>
    <row r="75" hidden="1" outlineLevel="1">
      <c r="A75" s="89"/>
      <c r="B75" s="86" t="str">
        <f t="shared" si="33"/>
        <v>Series C</v>
      </c>
      <c r="C75" s="89"/>
      <c r="D75" s="127">
        <f t="shared" ref="D75:J75" si="40">if(or($G30 = 0,D$65=D$46), 0 ,  if($O30="participating preferred with cap", if(D111 = 0 , $G30 , min($G30 , iferror( ( $Q30 - $M30 ) / D$138 , 0 ) ) ) , 0 ) )</f>
        <v>0</v>
      </c>
      <c r="E75" s="127">
        <f t="shared" si="40"/>
        <v>0</v>
      </c>
      <c r="F75" s="127">
        <f t="shared" si="40"/>
        <v>0</v>
      </c>
      <c r="G75" s="127">
        <f t="shared" si="40"/>
        <v>0</v>
      </c>
      <c r="H75" s="127">
        <f t="shared" si="40"/>
        <v>0</v>
      </c>
      <c r="I75" s="127">
        <f t="shared" si="40"/>
        <v>0</v>
      </c>
      <c r="J75" s="127">
        <f t="shared" si="40"/>
        <v>0</v>
      </c>
      <c r="K75" s="89"/>
      <c r="L75" s="89"/>
      <c r="M75" s="89"/>
      <c r="N75" s="89"/>
      <c r="O75" s="89"/>
      <c r="P75" s="89"/>
      <c r="Q75" s="89"/>
      <c r="R75" s="89"/>
      <c r="S75" s="89"/>
      <c r="T75" s="89"/>
      <c r="U75" s="89"/>
      <c r="V75" s="89"/>
      <c r="W75" s="89"/>
      <c r="X75" s="89"/>
      <c r="Y75" s="89"/>
      <c r="Z75" s="89"/>
      <c r="AA75" s="89"/>
    </row>
    <row r="76" hidden="1" outlineLevel="1">
      <c r="A76" s="89"/>
      <c r="B76" s="86" t="str">
        <f t="shared" si="33"/>
        <v>Series B</v>
      </c>
      <c r="C76" s="89"/>
      <c r="D76" s="127">
        <f t="shared" ref="D76:J76" si="41">if(or($G31 = 0,D$65=D$46), 0 ,  if($O31="participating preferred with cap", if(D112 = 0 , $G31 , min($G31 , iferror( ( $Q31 - $M31 ) / D$138 , 0 ) ) ) , 0 ) )</f>
        <v>0</v>
      </c>
      <c r="E76" s="127">
        <f t="shared" si="41"/>
        <v>0</v>
      </c>
      <c r="F76" s="127">
        <f t="shared" si="41"/>
        <v>0</v>
      </c>
      <c r="G76" s="127">
        <f t="shared" si="41"/>
        <v>0</v>
      </c>
      <c r="H76" s="127">
        <f t="shared" si="41"/>
        <v>0</v>
      </c>
      <c r="I76" s="127">
        <f t="shared" si="41"/>
        <v>0</v>
      </c>
      <c r="J76" s="127">
        <f t="shared" si="41"/>
        <v>0</v>
      </c>
      <c r="K76" s="89"/>
      <c r="L76" s="89"/>
      <c r="M76" s="89"/>
      <c r="N76" s="89"/>
      <c r="O76" s="89"/>
      <c r="P76" s="89"/>
      <c r="Q76" s="89"/>
      <c r="R76" s="89"/>
      <c r="S76" s="89"/>
      <c r="T76" s="89"/>
      <c r="U76" s="89"/>
      <c r="V76" s="89"/>
      <c r="W76" s="89"/>
      <c r="X76" s="89"/>
      <c r="Y76" s="89"/>
      <c r="Z76" s="89"/>
      <c r="AA76" s="89"/>
    </row>
    <row r="77" hidden="1" outlineLevel="1">
      <c r="A77" s="89"/>
      <c r="B77" s="86" t="str">
        <f t="shared" si="33"/>
        <v>Series A</v>
      </c>
      <c r="C77" s="89"/>
      <c r="D77" s="127">
        <f t="shared" ref="D77:J77" si="42">if(or($G32 = 0,D$65=D$46), 0 ,  if($O32="participating preferred with cap", if(D113 = 0 , $G32 , min($G32 , iferror( ( $Q32 - $M32 ) / D$138 , 0 ) ) ) , 0 ) )</f>
        <v>0</v>
      </c>
      <c r="E77" s="127">
        <f t="shared" si="42"/>
        <v>0</v>
      </c>
      <c r="F77" s="127">
        <f t="shared" si="42"/>
        <v>0</v>
      </c>
      <c r="G77" s="127">
        <f t="shared" si="42"/>
        <v>0</v>
      </c>
      <c r="H77" s="127">
        <f t="shared" si="42"/>
        <v>0</v>
      </c>
      <c r="I77" s="127">
        <f t="shared" si="42"/>
        <v>0</v>
      </c>
      <c r="J77" s="127">
        <f t="shared" si="42"/>
        <v>0</v>
      </c>
      <c r="K77" s="89"/>
      <c r="L77" s="89"/>
      <c r="M77" s="89"/>
      <c r="N77" s="89"/>
      <c r="O77" s="89"/>
      <c r="P77" s="89"/>
      <c r="Q77" s="89"/>
      <c r="R77" s="89"/>
      <c r="S77" s="89"/>
      <c r="T77" s="89"/>
      <c r="U77" s="89"/>
      <c r="V77" s="89"/>
      <c r="W77" s="89"/>
      <c r="X77" s="89"/>
      <c r="Y77" s="89"/>
      <c r="Z77" s="89"/>
      <c r="AA77" s="89"/>
    </row>
    <row r="78" hidden="1" outlineLevel="1">
      <c r="A78" s="89"/>
      <c r="B78" s="86" t="str">
        <f t="shared" si="33"/>
        <v>Seed</v>
      </c>
      <c r="C78" s="89"/>
      <c r="D78" s="127">
        <f t="shared" ref="D78:J78" si="43">if(or($G33 = 0,D$65=D$46), 0 ,  if($O33="participating preferred with cap", if(D114 = 0 , $G33 , min($G33 , iferror( ( $Q33 - $M33 ) / D$138 , 0 ) ) ) , 0 ) )</f>
        <v>0</v>
      </c>
      <c r="E78" s="127">
        <f t="shared" si="43"/>
        <v>0</v>
      </c>
      <c r="F78" s="127">
        <f t="shared" si="43"/>
        <v>0</v>
      </c>
      <c r="G78" s="127">
        <f t="shared" si="43"/>
        <v>0</v>
      </c>
      <c r="H78" s="127">
        <f t="shared" si="43"/>
        <v>0</v>
      </c>
      <c r="I78" s="127">
        <f t="shared" si="43"/>
        <v>0</v>
      </c>
      <c r="J78" s="127">
        <f t="shared" si="43"/>
        <v>0</v>
      </c>
      <c r="K78" s="89"/>
      <c r="L78" s="89"/>
      <c r="M78" s="89"/>
      <c r="N78" s="89"/>
      <c r="O78" s="89"/>
      <c r="P78" s="89"/>
      <c r="Q78" s="89"/>
      <c r="R78" s="89"/>
      <c r="S78" s="89"/>
      <c r="T78" s="89"/>
      <c r="U78" s="89"/>
      <c r="V78" s="89"/>
      <c r="W78" s="89"/>
      <c r="X78" s="89"/>
      <c r="Y78" s="89"/>
      <c r="Z78" s="89"/>
      <c r="AA78" s="89"/>
    </row>
    <row r="79" hidden="1" outlineLevel="1">
      <c r="A79" s="89"/>
      <c r="B79" s="86" t="str">
        <f t="shared" si="33"/>
        <v>Common</v>
      </c>
      <c r="C79" s="89"/>
      <c r="D79" s="127">
        <f t="shared" ref="D79:J79" si="44">if(or($G34 = 0,D$65=D$46), 0 ,  if($O34="participating preferred with cap", if(D115 = 0 , $G34 , min($G34 , iferror( ( $Q34 - $M34 ) / D$138 , 0 ) ) ) , 0 ) )</f>
        <v>0</v>
      </c>
      <c r="E79" s="127">
        <f t="shared" si="44"/>
        <v>0</v>
      </c>
      <c r="F79" s="127">
        <f t="shared" si="44"/>
        <v>0</v>
      </c>
      <c r="G79" s="127">
        <f t="shared" si="44"/>
        <v>0</v>
      </c>
      <c r="H79" s="127">
        <f t="shared" si="44"/>
        <v>0</v>
      </c>
      <c r="I79" s="127">
        <f t="shared" si="44"/>
        <v>0</v>
      </c>
      <c r="J79" s="127">
        <f t="shared" si="44"/>
        <v>0</v>
      </c>
      <c r="K79" s="89"/>
      <c r="L79" s="89"/>
      <c r="M79" s="89"/>
      <c r="N79" s="89"/>
      <c r="O79" s="89"/>
      <c r="P79" s="89"/>
      <c r="Q79" s="89"/>
      <c r="R79" s="89"/>
      <c r="S79" s="89"/>
      <c r="T79" s="89"/>
      <c r="U79" s="89"/>
      <c r="V79" s="89"/>
      <c r="W79" s="89"/>
      <c r="X79" s="89"/>
      <c r="Y79" s="89"/>
      <c r="Z79" s="89"/>
      <c r="AA79" s="89"/>
    </row>
    <row r="80" hidden="1" outlineLevel="1">
      <c r="A80" s="89"/>
      <c r="B80" s="86" t="str">
        <f t="shared" si="33"/>
        <v>Options</v>
      </c>
      <c r="C80" s="89"/>
      <c r="D80" s="127">
        <f t="shared" ref="D80:J80" si="45">if(or($G35 = 0,D$65=D$46), 0 ,  if($O35="participating preferred with cap", if(D116 = 0 , $G35 , min($G35 , iferror( ( $Q35 - $M35 ) / D$138 , 0 ) ) ) , 0 ) )</f>
        <v>0</v>
      </c>
      <c r="E80" s="127">
        <f t="shared" si="45"/>
        <v>0</v>
      </c>
      <c r="F80" s="127">
        <f t="shared" si="45"/>
        <v>0</v>
      </c>
      <c r="G80" s="127">
        <f t="shared" si="45"/>
        <v>0</v>
      </c>
      <c r="H80" s="127">
        <f t="shared" si="45"/>
        <v>0</v>
      </c>
      <c r="I80" s="127">
        <f t="shared" si="45"/>
        <v>0</v>
      </c>
      <c r="J80" s="127">
        <f t="shared" si="45"/>
        <v>0</v>
      </c>
      <c r="K80" s="89"/>
      <c r="L80" s="89"/>
      <c r="M80" s="89"/>
      <c r="N80" s="89"/>
      <c r="O80" s="89"/>
      <c r="P80" s="89"/>
      <c r="Q80" s="89"/>
      <c r="R80" s="89"/>
      <c r="S80" s="89"/>
      <c r="T80" s="89"/>
      <c r="U80" s="89"/>
      <c r="V80" s="89"/>
      <c r="W80" s="89"/>
      <c r="X80" s="89"/>
      <c r="Y80" s="89"/>
      <c r="Z80" s="89"/>
      <c r="AA80" s="89"/>
    </row>
    <row r="81" hidden="1" outlineLevel="1">
      <c r="A81" s="89"/>
      <c r="B81" s="86" t="str">
        <f t="shared" si="33"/>
        <v>Options</v>
      </c>
      <c r="C81" s="89"/>
      <c r="D81" s="127">
        <f t="shared" ref="D81:J81" si="46">if(or($G36 = 0,D$65=D$46), 0 ,  if($O36="participating preferred with cap", if(D117 = 0 , $G36 , min($G36 , iferror( ( $Q36 - $M36 ) / D$138 , 0 ) ) ) , 0 ) )</f>
        <v>0</v>
      </c>
      <c r="E81" s="127">
        <f t="shared" si="46"/>
        <v>0</v>
      </c>
      <c r="F81" s="127">
        <f t="shared" si="46"/>
        <v>0</v>
      </c>
      <c r="G81" s="127">
        <f t="shared" si="46"/>
        <v>0</v>
      </c>
      <c r="H81" s="127">
        <f t="shared" si="46"/>
        <v>0</v>
      </c>
      <c r="I81" s="127">
        <f t="shared" si="46"/>
        <v>0</v>
      </c>
      <c r="J81" s="127">
        <f t="shared" si="46"/>
        <v>0</v>
      </c>
      <c r="K81" s="89"/>
      <c r="L81" s="89"/>
      <c r="M81" s="89"/>
      <c r="N81" s="89"/>
      <c r="O81" s="89"/>
      <c r="P81" s="89"/>
      <c r="Q81" s="89"/>
      <c r="R81" s="89"/>
      <c r="S81" s="89"/>
      <c r="T81" s="89"/>
      <c r="U81" s="89"/>
      <c r="V81" s="89"/>
      <c r="W81" s="89"/>
      <c r="X81" s="89"/>
      <c r="Y81" s="89"/>
      <c r="Z81" s="89"/>
      <c r="AA81" s="89"/>
    </row>
    <row r="82" hidden="1" outlineLevel="1">
      <c r="A82" s="89"/>
      <c r="B82" s="86" t="str">
        <f t="shared" si="33"/>
        <v>Warrants</v>
      </c>
      <c r="C82" s="89"/>
      <c r="D82" s="127">
        <f t="shared" ref="D82:J82" si="47">if(or($G37 = 0,D$65=D$46), 0 ,  if($O37="participating preferred with cap", if(D118 = 0 , $G37 , min($G37 , iferror( ( $Q37 - $M37 ) / D$138 , 0 ) ) ) , 0 ) )</f>
        <v>0</v>
      </c>
      <c r="E82" s="127">
        <f t="shared" si="47"/>
        <v>0</v>
      </c>
      <c r="F82" s="127">
        <f t="shared" si="47"/>
        <v>0</v>
      </c>
      <c r="G82" s="127">
        <f t="shared" si="47"/>
        <v>0</v>
      </c>
      <c r="H82" s="127">
        <f t="shared" si="47"/>
        <v>0</v>
      </c>
      <c r="I82" s="127">
        <f t="shared" si="47"/>
        <v>0</v>
      </c>
      <c r="J82" s="127">
        <f t="shared" si="47"/>
        <v>0</v>
      </c>
      <c r="K82" s="89"/>
      <c r="L82" s="89"/>
      <c r="M82" s="89"/>
      <c r="N82" s="89"/>
      <c r="O82" s="89"/>
      <c r="P82" s="89"/>
      <c r="Q82" s="89"/>
      <c r="R82" s="89"/>
      <c r="S82" s="89"/>
      <c r="T82" s="89"/>
      <c r="U82" s="89"/>
      <c r="V82" s="89"/>
      <c r="W82" s="89"/>
      <c r="X82" s="89"/>
      <c r="Y82" s="89"/>
      <c r="Z82" s="89"/>
      <c r="AA82" s="89"/>
    </row>
    <row r="83" hidden="1" outlineLevel="1">
      <c r="A83" s="89"/>
      <c r="B83" s="124" t="s">
        <v>103</v>
      </c>
      <c r="C83" s="89"/>
      <c r="D83" s="117">
        <f t="shared" ref="D83:J83" si="48">sum(D68:D82)</f>
        <v>0</v>
      </c>
      <c r="E83" s="117">
        <f t="shared" si="48"/>
        <v>0</v>
      </c>
      <c r="F83" s="117">
        <f t="shared" si="48"/>
        <v>0</v>
      </c>
      <c r="G83" s="117">
        <f t="shared" si="48"/>
        <v>0</v>
      </c>
      <c r="H83" s="117">
        <f t="shared" si="48"/>
        <v>0</v>
      </c>
      <c r="I83" s="117">
        <f t="shared" si="48"/>
        <v>0</v>
      </c>
      <c r="J83" s="117">
        <f t="shared" si="48"/>
        <v>0</v>
      </c>
      <c r="K83" s="89"/>
      <c r="L83" s="89"/>
      <c r="M83" s="89"/>
      <c r="N83" s="89"/>
      <c r="O83" s="89"/>
      <c r="P83" s="89"/>
      <c r="Q83" s="89"/>
      <c r="R83" s="89"/>
      <c r="S83" s="89"/>
      <c r="T83" s="89"/>
      <c r="U83" s="89"/>
      <c r="V83" s="89"/>
      <c r="W83" s="89"/>
      <c r="X83" s="89"/>
      <c r="Y83" s="89"/>
      <c r="Z83" s="89"/>
      <c r="AA83" s="89"/>
    </row>
    <row r="84" hidden="1" outlineLevel="1">
      <c r="A84" s="89"/>
      <c r="B84" s="129"/>
      <c r="C84" s="89"/>
      <c r="D84" s="127"/>
      <c r="E84" s="127"/>
      <c r="F84" s="127"/>
      <c r="G84" s="127"/>
      <c r="H84" s="127"/>
      <c r="I84" s="127"/>
      <c r="J84" s="127"/>
      <c r="K84" s="89"/>
      <c r="L84" s="89"/>
      <c r="M84" s="89"/>
      <c r="N84" s="89"/>
      <c r="O84" s="89"/>
      <c r="P84" s="89"/>
      <c r="Q84" s="89"/>
      <c r="R84" s="89"/>
      <c r="S84" s="89"/>
      <c r="T84" s="89"/>
      <c r="U84" s="89"/>
      <c r="V84" s="89"/>
      <c r="W84" s="89"/>
      <c r="X84" s="89"/>
      <c r="Y84" s="89"/>
      <c r="Z84" s="89"/>
      <c r="AA84" s="89"/>
    </row>
    <row r="85">
      <c r="A85" s="89"/>
      <c r="B85" s="129" t="s">
        <v>189</v>
      </c>
      <c r="C85" s="89"/>
      <c r="D85" s="127"/>
      <c r="E85" s="127"/>
      <c r="G85" s="127"/>
      <c r="H85" s="127"/>
      <c r="I85" s="127"/>
      <c r="J85" s="127"/>
      <c r="K85" s="89"/>
      <c r="L85" s="89"/>
      <c r="M85" s="89"/>
      <c r="N85" s="89"/>
      <c r="O85" s="89"/>
      <c r="P85" s="89"/>
      <c r="Q85" s="89"/>
      <c r="R85" s="89"/>
      <c r="S85" s="89"/>
      <c r="T85" s="89"/>
      <c r="U85" s="89"/>
      <c r="V85" s="89"/>
      <c r="W85" s="89"/>
      <c r="X85" s="89"/>
      <c r="Y85" s="89"/>
      <c r="Z85" s="89"/>
      <c r="AA85" s="89"/>
    </row>
    <row r="86">
      <c r="B86" s="86" t="str">
        <f t="shared" ref="B86:B100" si="50">B23</f>
        <v>Series J</v>
      </c>
      <c r="D86" s="130">
        <f t="shared" ref="D86:J86" si="49">if($G23 = 0, 0 ,  if( $J$3 = false , 0 , if( or($D23="options", $D23 = "warrants"), if(and($J23 &lt; D$138,$G23&gt;0), $G23 * $H23  * iferror(if($D23 = "warrants" , (D$138 - $J23) / D$138 , 1 ),0), 0) , if(and($O23="full participating",D$119&lt;&gt;D$46), $G23 * $H23, if($O23="participating preferred with cap", D68 , if($D23="preferred", if( $G23 * $H23 * D$138 &gt; ( sumproduct(D$50:D$64,--($E$23:$E$37=$E23)) * $M23 / sumproduct($M$23:$M$37,--($E$23:$E$37=$E23)) ) , $G23 * $H23, 0) , $G23 * $H23) ) ) ) ) )</f>
        <v>0</v>
      </c>
      <c r="E86" s="130">
        <f t="shared" si="49"/>
        <v>0</v>
      </c>
      <c r="F86" s="130">
        <f t="shared" si="49"/>
        <v>0</v>
      </c>
      <c r="G86" s="130">
        <f t="shared" si="49"/>
        <v>0</v>
      </c>
      <c r="H86" s="130">
        <f t="shared" si="49"/>
        <v>0</v>
      </c>
      <c r="I86" s="130">
        <f t="shared" si="49"/>
        <v>0</v>
      </c>
      <c r="J86" s="130">
        <f t="shared" si="49"/>
        <v>0</v>
      </c>
    </row>
    <row r="87">
      <c r="B87" s="86" t="str">
        <f t="shared" si="50"/>
        <v>Series I</v>
      </c>
      <c r="D87" s="130">
        <f t="shared" ref="D87:J87" si="51">if($G24 = 0, 0 ,  if( $J$3 = false , 0 , if( or($D24="options", $D24 = "warrants"), if(and($J24 &lt; D$138,$G24&gt;0), $G24 * $H24  * iferror(if($D24 = "warrants" , (D$138 - $J24) / D$138 , 1 ),0), 0) , if(and($O24="full participating",D$119&lt;&gt;D$46), $G24 * $H24, if($O24="participating preferred with cap", D69 , if($D24="preferred", if( $G24 * $H24 * D$138 &gt; ( sumproduct(D$50:D$64,--($E$23:$E$37=$E24)) * $M24 / sumproduct($M$23:$M$37,--($E$23:$E$37=$E24)) ) , $G24 * $H24, 0) , $G24 * $H24) ) ) ) ) )</f>
        <v>0</v>
      </c>
      <c r="E87" s="130">
        <f t="shared" si="51"/>
        <v>0</v>
      </c>
      <c r="F87" s="130">
        <f t="shared" si="51"/>
        <v>0</v>
      </c>
      <c r="G87" s="130">
        <f t="shared" si="51"/>
        <v>0</v>
      </c>
      <c r="H87" s="130">
        <f t="shared" si="51"/>
        <v>0</v>
      </c>
      <c r="I87" s="130">
        <f t="shared" si="51"/>
        <v>0</v>
      </c>
      <c r="J87" s="130">
        <f t="shared" si="51"/>
        <v>0</v>
      </c>
    </row>
    <row r="88">
      <c r="B88" s="86" t="str">
        <f t="shared" si="50"/>
        <v>Series H</v>
      </c>
      <c r="D88" s="130">
        <f t="shared" ref="D88:J88" si="52">if($G25 = 0, 0 ,  if( $J$3 = false , 0 , if( or($D25="options", $D25 = "warrants"), if(and($J25 &lt; D$138,$G25&gt;0), $G25 * $H25  * iferror(if($D25 = "warrants" , (D$138 - $J25) / D$138 , 1 ),0), 0) , if(and($O25="full participating",D$119&lt;&gt;D$46), $G25 * $H25, if($O25="participating preferred with cap", D70 , if($D25="preferred", if( $G25 * $H25 * D$138 &gt; ( sumproduct(D$50:D$64,--($E$23:$E$37=$E25)) * $M25 / sumproduct($M$23:$M$37,--($E$23:$E$37=$E25)) ) , $G25 * $H25, 0) , $G25 * $H25) ) ) ) ) )</f>
        <v>0</v>
      </c>
      <c r="E88" s="130">
        <f t="shared" si="52"/>
        <v>0</v>
      </c>
      <c r="F88" s="130">
        <f t="shared" si="52"/>
        <v>0</v>
      </c>
      <c r="G88" s="130">
        <f t="shared" si="52"/>
        <v>0</v>
      </c>
      <c r="H88" s="130">
        <f t="shared" si="52"/>
        <v>0</v>
      </c>
      <c r="I88" s="130">
        <f t="shared" si="52"/>
        <v>0</v>
      </c>
      <c r="J88" s="130">
        <f t="shared" si="52"/>
        <v>0</v>
      </c>
    </row>
    <row r="89">
      <c r="B89" s="86" t="str">
        <f t="shared" si="50"/>
        <v>Series G</v>
      </c>
      <c r="D89" s="130">
        <f t="shared" ref="D89:J89" si="53">if($G26 = 0, 0 ,  if( $J$3 = false , 0 , if( or($D26="options", $D26 = "warrants"), if(and($J26 &lt; D$138,$G26&gt;0), $G26 * $H26  * iferror(if($D26 = "warrants" , (D$138 - $J26) / D$138 , 1 ),0), 0) , if(and($O26="full participating",D$119&lt;&gt;D$46), $G26 * $H26, if($O26="participating preferred with cap", D71 , if($D26="preferred", if( $G26 * $H26 * D$138 &gt; ( sumproduct(D$50:D$64,--($E$23:$E$37=$E26)) * $M26 / sumproduct($M$23:$M$37,--($E$23:$E$37=$E26)) ) , $G26 * $H26, 0) , $G26 * $H26) ) ) ) ) )</f>
        <v>0</v>
      </c>
      <c r="E89" s="130">
        <f t="shared" si="53"/>
        <v>0</v>
      </c>
      <c r="F89" s="130">
        <f t="shared" si="53"/>
        <v>0</v>
      </c>
      <c r="G89" s="130">
        <f t="shared" si="53"/>
        <v>0</v>
      </c>
      <c r="H89" s="130">
        <f t="shared" si="53"/>
        <v>0</v>
      </c>
      <c r="I89" s="130">
        <f t="shared" si="53"/>
        <v>0</v>
      </c>
      <c r="J89" s="130">
        <f t="shared" si="53"/>
        <v>0</v>
      </c>
    </row>
    <row r="90">
      <c r="B90" s="86" t="str">
        <f t="shared" si="50"/>
        <v>Series F</v>
      </c>
      <c r="D90" s="130">
        <f t="shared" ref="D90:J90" si="54">if($G27 = 0, 0 ,  if( $J$3 = false , 0 , if( or($D27="options", $D27 = "warrants"), if(and($J27 &lt; D$138,$G27&gt;0), $G27 * $H27  * iferror(if($D27 = "warrants" , (D$138 - $J27) / D$138 , 1 ),0), 0) , if(and($O27="full participating",D$119&lt;&gt;D$46), $G27 * $H27, if($O27="participating preferred with cap", D72 , if($D27="preferred", if( $G27 * $H27 * D$138 &gt; ( sumproduct(D$50:D$64,--($E$23:$E$37=$E27)) * $M27 / sumproduct($M$23:$M$37,--($E$23:$E$37=$E27)) ) , $G27 * $H27, 0) , $G27 * $H27) ) ) ) ) )</f>
        <v>0</v>
      </c>
      <c r="E90" s="130">
        <f t="shared" si="54"/>
        <v>0</v>
      </c>
      <c r="F90" s="130">
        <f t="shared" si="54"/>
        <v>0</v>
      </c>
      <c r="G90" s="130">
        <f t="shared" si="54"/>
        <v>0</v>
      </c>
      <c r="H90" s="130">
        <f t="shared" si="54"/>
        <v>0</v>
      </c>
      <c r="I90" s="130">
        <f t="shared" si="54"/>
        <v>0</v>
      </c>
      <c r="J90" s="130">
        <f t="shared" si="54"/>
        <v>0</v>
      </c>
    </row>
    <row r="91">
      <c r="B91" s="86" t="str">
        <f t="shared" si="50"/>
        <v>Series E</v>
      </c>
      <c r="D91" s="130">
        <f t="shared" ref="D91:J91" si="55">if($G28 = 0, 0 ,  if( $J$3 = false , 0 , if( or($D28="options", $D28 = "warrants"), if(and($J28 &lt; D$138,$G28&gt;0), $G28 * $H28  * iferror(if($D28 = "warrants" , (D$138 - $J28) / D$138 , 1 ),0), 0) , if(and($O28="full participating",D$119&lt;&gt;D$46), $G28 * $H28, if($O28="participating preferred with cap", D73 , if($D28="preferred", if( $G28 * $H28 * D$138 &gt; ( sumproduct(D$50:D$64,--($E$23:$E$37=$E28)) * $M28 / sumproduct($M$23:$M$37,--($E$23:$E$37=$E28)) ) , $G28 * $H28, 0) , $G28 * $H28) ) ) ) ) )</f>
        <v>0</v>
      </c>
      <c r="E91" s="130">
        <f t="shared" si="55"/>
        <v>0</v>
      </c>
      <c r="F91" s="130">
        <f t="shared" si="55"/>
        <v>0</v>
      </c>
      <c r="G91" s="130">
        <f t="shared" si="55"/>
        <v>0</v>
      </c>
      <c r="H91" s="130">
        <f t="shared" si="55"/>
        <v>0</v>
      </c>
      <c r="I91" s="130">
        <f t="shared" si="55"/>
        <v>0</v>
      </c>
      <c r="J91" s="130">
        <f t="shared" si="55"/>
        <v>0</v>
      </c>
    </row>
    <row r="92">
      <c r="B92" s="86" t="str">
        <f t="shared" si="50"/>
        <v>Series D</v>
      </c>
      <c r="D92" s="130">
        <f t="shared" ref="D92:J92" si="56">if($G29 = 0, 0 ,  if( $J$3 = false , 0 , if( or($D29="options", $D29 = "warrants"), if(and($J29 &lt; D$138,$G29&gt;0), $G29 * $H29  * iferror(if($D29 = "warrants" , (D$138 - $J29) / D$138 , 1 ),0), 0) , if(and($O29="full participating",D$119&lt;&gt;D$46), $G29 * $H29, if($O29="participating preferred with cap", D74 , if($D29="preferred", if( $G29 * $H29 * D$138 &gt; ( sumproduct(D$50:D$64,--($E$23:$E$37=$E29)) * $M29 / sumproduct($M$23:$M$37,--($E$23:$E$37=$E29)) ) , $G29 * $H29, 0) , $G29 * $H29) ) ) ) ) )</f>
        <v>0</v>
      </c>
      <c r="E92" s="130">
        <f t="shared" si="56"/>
        <v>0</v>
      </c>
      <c r="F92" s="130">
        <f t="shared" si="56"/>
        <v>0</v>
      </c>
      <c r="G92" s="130">
        <f t="shared" si="56"/>
        <v>0</v>
      </c>
      <c r="H92" s="130">
        <f t="shared" si="56"/>
        <v>0</v>
      </c>
      <c r="I92" s="130">
        <f t="shared" si="56"/>
        <v>0</v>
      </c>
      <c r="J92" s="130">
        <f t="shared" si="56"/>
        <v>0</v>
      </c>
    </row>
    <row r="93">
      <c r="B93" s="86" t="str">
        <f t="shared" si="50"/>
        <v>Series C</v>
      </c>
      <c r="D93" s="130">
        <f t="shared" ref="D93:J93" si="57">if($G30 = 0, 0 ,  if( $J$3 = false , 0 , if( or($D30="options", $D30 = "warrants"), if(and($J30 &lt; D$138,$G30&gt;0), $G30 * $H30  * iferror(if($D30 = "warrants" , (D$138 - $J30) / D$138 , 1 ),0), 0) , if(and($O30="full participating",D$119&lt;&gt;D$46), $G30 * $H30, if($O30="participating preferred with cap", D75 , if($D30="preferred", if( $G30 * $H30 * D$138 &gt; ( sumproduct(D$50:D$64,--($E$23:$E$37=$E30)) * $M30 / sumproduct($M$23:$M$37,--($E$23:$E$37=$E30)) ) , $G30 * $H30, 0) , $G30 * $H30) ) ) ) ) )</f>
        <v>0</v>
      </c>
      <c r="E93" s="130">
        <f t="shared" si="57"/>
        <v>0</v>
      </c>
      <c r="F93" s="130">
        <f t="shared" si="57"/>
        <v>0</v>
      </c>
      <c r="G93" s="130">
        <f t="shared" si="57"/>
        <v>0</v>
      </c>
      <c r="H93" s="130">
        <f t="shared" si="57"/>
        <v>0</v>
      </c>
      <c r="I93" s="130">
        <f t="shared" si="57"/>
        <v>0</v>
      </c>
      <c r="J93" s="130">
        <f t="shared" si="57"/>
        <v>0</v>
      </c>
    </row>
    <row r="94">
      <c r="B94" s="86" t="str">
        <f t="shared" si="50"/>
        <v>Series B</v>
      </c>
      <c r="D94" s="130">
        <f t="shared" ref="D94:J94" si="58">if($G31 = 0, 0 ,  if( $J$3 = false , 0 , if( or($D31="options", $D31 = "warrants"), if(and($J31 &lt; D$138,$G31&gt;0), $G31 * $H31  * iferror(if($D31 = "warrants" , (D$138 - $J31) / D$138 , 1 ),0), 0) , if(and($O31="full participating",D$119&lt;&gt;D$46), $G31 * $H31, if($O31="participating preferred with cap", D76 , if($D31="preferred", if( $G31 * $H31 * D$138 &gt; ( sumproduct(D$50:D$64,--($E$23:$E$37=$E31)) * $M31 / sumproduct($M$23:$M$37,--($E$23:$E$37=$E31)) ) , $G31 * $H31, 0) , $G31 * $H31) ) ) ) ) )</f>
        <v>0</v>
      </c>
      <c r="E94" s="130">
        <f t="shared" si="58"/>
        <v>0</v>
      </c>
      <c r="F94" s="130">
        <f t="shared" si="58"/>
        <v>0</v>
      </c>
      <c r="G94" s="130">
        <f t="shared" si="58"/>
        <v>0</v>
      </c>
      <c r="H94" s="130">
        <f t="shared" si="58"/>
        <v>0</v>
      </c>
      <c r="I94" s="130">
        <f t="shared" si="58"/>
        <v>0</v>
      </c>
      <c r="J94" s="130">
        <f t="shared" si="58"/>
        <v>0</v>
      </c>
    </row>
    <row r="95">
      <c r="B95" s="86" t="str">
        <f t="shared" si="50"/>
        <v>Series A</v>
      </c>
      <c r="D95" s="130">
        <f t="shared" ref="D95:J95" si="59">if($G32 = 0, 0 ,  if( $J$3 = false , 0 , if( or($D32="options", $D32 = "warrants"), if(and($J32 &lt; D$138,$G32&gt;0), $G32 * $H32  * iferror(if($D32 = "warrants" , (D$138 - $J32) / D$138 , 1 ),0), 0) , if(and($O32="full participating",D$119&lt;&gt;D$46), $G32 * $H32, if($O32="participating preferred with cap", D77 , if($D32="preferred", if( $G32 * $H32 * D$138 &gt; ( sumproduct(D$50:D$64,--($E$23:$E$37=$E32)) * $M32 / sumproduct($M$23:$M$37,--($E$23:$E$37=$E32)) ) , $G32 * $H32, 0) , $G32 * $H32) ) ) ) ) )</f>
        <v>0</v>
      </c>
      <c r="E95" s="130">
        <f t="shared" si="59"/>
        <v>0</v>
      </c>
      <c r="F95" s="130">
        <f t="shared" si="59"/>
        <v>0</v>
      </c>
      <c r="G95" s="130">
        <f t="shared" si="59"/>
        <v>0</v>
      </c>
      <c r="H95" s="130">
        <f t="shared" si="59"/>
        <v>0</v>
      </c>
      <c r="I95" s="130">
        <f t="shared" si="59"/>
        <v>0</v>
      </c>
      <c r="J95" s="130">
        <f t="shared" si="59"/>
        <v>0</v>
      </c>
    </row>
    <row r="96">
      <c r="B96" s="86" t="str">
        <f t="shared" si="50"/>
        <v>Seed</v>
      </c>
      <c r="D96" s="130">
        <f t="shared" ref="D96:J96" si="60">if($G33 = 0, 0 ,  if( $J$3 = false , 0 , if( or($D33="options", $D33 = "warrants"), if(and($J33 &lt; D$138,$G33&gt;0), $G33 * $H33  * iferror(if($D33 = "warrants" , (D$138 - $J33) / D$138 , 1 ),0), 0) , if(and($O33="full participating",D$119&lt;&gt;D$46), $G33 * $H33, if($O33="participating preferred with cap", D78 , if($D33="preferred", if( $G33 * $H33 * D$138 &gt; ( sumproduct(D$50:D$64,--($E$23:$E$37=$E33)) * $M33 / sumproduct($M$23:$M$37,--($E$23:$E$37=$E33)) ) , $G33 * $H33, 0) , $G33 * $H33) ) ) ) ) )</f>
        <v>0</v>
      </c>
      <c r="E96" s="130">
        <f t="shared" si="60"/>
        <v>0</v>
      </c>
      <c r="F96" s="130">
        <f t="shared" si="60"/>
        <v>0</v>
      </c>
      <c r="G96" s="130">
        <f t="shared" si="60"/>
        <v>0</v>
      </c>
      <c r="H96" s="130">
        <f t="shared" si="60"/>
        <v>0</v>
      </c>
      <c r="I96" s="130">
        <f t="shared" si="60"/>
        <v>0</v>
      </c>
      <c r="J96" s="130">
        <f t="shared" si="60"/>
        <v>0</v>
      </c>
    </row>
    <row r="97">
      <c r="B97" s="86" t="str">
        <f t="shared" si="50"/>
        <v>Common</v>
      </c>
      <c r="D97" s="130">
        <f t="shared" ref="D97:J97" si="61">if($G34 = 0, 0 ,  if( $J$3 = false , 0 , if( or($D34="options", $D34 = "warrants"), if(and($J34 &lt; D$138,$G34&gt;0), $G34 * $H34  * iferror(if($D34 = "warrants" , (D$138 - $J34) / D$138 , 1 ),0), 0) , if(and($O34="full participating",D$119&lt;&gt;D$46), $G34 * $H34, if($O34="participating preferred with cap", D79 , if($D34="preferred", if( $G34 * $H34 * D$138 &gt; ( sumproduct(D$50:D$64,--($E$23:$E$37=$E34)) * $M34 / sumproduct($M$23:$M$37,--($E$23:$E$37=$E34)) ) , $G34 * $H34, 0) , $G34 * $H34) ) ) ) ) )</f>
        <v>0</v>
      </c>
      <c r="E97" s="130">
        <f t="shared" si="61"/>
        <v>0</v>
      </c>
      <c r="F97" s="130">
        <f t="shared" si="61"/>
        <v>0</v>
      </c>
      <c r="G97" s="130">
        <f t="shared" si="61"/>
        <v>0</v>
      </c>
      <c r="H97" s="130">
        <f t="shared" si="61"/>
        <v>0</v>
      </c>
      <c r="I97" s="130">
        <f t="shared" si="61"/>
        <v>0</v>
      </c>
      <c r="J97" s="130">
        <f t="shared" si="61"/>
        <v>0</v>
      </c>
    </row>
    <row r="98">
      <c r="B98" s="86" t="str">
        <f t="shared" si="50"/>
        <v>Options</v>
      </c>
      <c r="D98" s="130">
        <f t="shared" ref="D98:J98" si="62">if($G35 = 0, 0 ,  if( $J$3 = false , 0 , if( or($D35="options", $D35 = "warrants"), if(and($J35 &lt; D$138,$G35&gt;0), $G35 * $H35  * iferror(if($D35 = "warrants" , (D$138 - $J35) / D$138 , 1 ),0), 0) , if(and($O35="full participating",D$119&lt;&gt;D$46), $G35 * $H35, if($O35="participating preferred with cap", D80 , if($D35="preferred", if( $G35 * $H35 * D$138 &gt; ( sumproduct(D$50:D$64,--($E$23:$E$37=$E35)) * $M35 / sumproduct($M$23:$M$37,--($E$23:$E$37=$E35)) ) , $G35 * $H35, 0) , $G35 * $H35) ) ) ) ) )</f>
        <v>0</v>
      </c>
      <c r="E98" s="130">
        <f t="shared" si="62"/>
        <v>0</v>
      </c>
      <c r="F98" s="130">
        <f t="shared" si="62"/>
        <v>0</v>
      </c>
      <c r="G98" s="130">
        <f t="shared" si="62"/>
        <v>0</v>
      </c>
      <c r="H98" s="130">
        <f t="shared" si="62"/>
        <v>0</v>
      </c>
      <c r="I98" s="130">
        <f t="shared" si="62"/>
        <v>0</v>
      </c>
      <c r="J98" s="130">
        <f t="shared" si="62"/>
        <v>0</v>
      </c>
    </row>
    <row r="99">
      <c r="B99" s="86" t="str">
        <f t="shared" si="50"/>
        <v>Options</v>
      </c>
      <c r="D99" s="130">
        <f t="shared" ref="D99:J99" si="63">if($G36 = 0, 0 ,  if( $J$3 = false , 0 , if( or($D36="options", $D36 = "warrants"), if(and($J36 &lt; D$138,$G36&gt;0), $G36 * $H36  * iferror(if($D36 = "warrants" , (D$138 - $J36) / D$138 , 1 ),0), 0) , if(and($O36="full participating",D$119&lt;&gt;D$46), $G36 * $H36, if($O36="participating preferred with cap", D81 , if($D36="preferred", if( $G36 * $H36 * D$138 &gt; ( sumproduct(D$50:D$64,--($E$23:$E$37=$E36)) * $M36 / sumproduct($M$23:$M$37,--($E$23:$E$37=$E36)) ) , $G36 * $H36, 0) , $G36 * $H36) ) ) ) ) )</f>
        <v>0</v>
      </c>
      <c r="E99" s="130">
        <f t="shared" si="63"/>
        <v>0</v>
      </c>
      <c r="F99" s="130">
        <f t="shared" si="63"/>
        <v>0</v>
      </c>
      <c r="G99" s="130">
        <f t="shared" si="63"/>
        <v>0</v>
      </c>
      <c r="H99" s="130">
        <f t="shared" si="63"/>
        <v>0</v>
      </c>
      <c r="I99" s="130">
        <f t="shared" si="63"/>
        <v>0</v>
      </c>
      <c r="J99" s="130">
        <f t="shared" si="63"/>
        <v>0</v>
      </c>
    </row>
    <row r="100">
      <c r="B100" s="86" t="str">
        <f t="shared" si="50"/>
        <v>Warrants</v>
      </c>
      <c r="D100" s="130">
        <f t="shared" ref="D100:J100" si="64">if($G37 = 0, 0 ,  if( $J$3 = false , 0 , if( or($D37="options", $D37 = "warrants"), if(and($J37 &lt; D$138,$G37&gt;0), $G37 * $H37  * iferror(if($D37 = "warrants" , (D$138 - $J37) / D$138 , 1 ),0), 0) , if(and($O37="full participating",D$119&lt;&gt;D$46), $G37 * $H37, if($O37="participating preferred with cap", D82 , if($D37="preferred", if( $G37 * $H37 * D$138 &gt; ( sumproduct(D$50:D$64,--($E$23:$E$37=$E37)) * $M37 / sumproduct($M$23:$M$37,--($E$23:$E$37=$E37)) ) , $G37 * $H37, 0) , $G37 * $H37) ) ) ) ) )</f>
        <v>0</v>
      </c>
      <c r="E100" s="130">
        <f t="shared" si="64"/>
        <v>0</v>
      </c>
      <c r="F100" s="130">
        <f t="shared" si="64"/>
        <v>0</v>
      </c>
      <c r="G100" s="130">
        <f t="shared" si="64"/>
        <v>0</v>
      </c>
      <c r="H100" s="130">
        <f t="shared" si="64"/>
        <v>0</v>
      </c>
      <c r="I100" s="130">
        <f t="shared" si="64"/>
        <v>0</v>
      </c>
      <c r="J100" s="130">
        <f t="shared" si="64"/>
        <v>0</v>
      </c>
    </row>
    <row r="101">
      <c r="B101" s="124" t="s">
        <v>103</v>
      </c>
      <c r="D101" s="117">
        <f t="shared" ref="D101:J101" si="65">sum(D86:D100)</f>
        <v>0</v>
      </c>
      <c r="E101" s="117">
        <f t="shared" si="65"/>
        <v>0</v>
      </c>
      <c r="F101" s="117">
        <f t="shared" si="65"/>
        <v>0</v>
      </c>
      <c r="G101" s="117">
        <f t="shared" si="65"/>
        <v>0</v>
      </c>
      <c r="H101" s="117">
        <f t="shared" si="65"/>
        <v>0</v>
      </c>
      <c r="I101" s="117">
        <f t="shared" si="65"/>
        <v>0</v>
      </c>
      <c r="J101" s="117">
        <f t="shared" si="65"/>
        <v>0</v>
      </c>
    </row>
    <row r="102">
      <c r="B102" s="86"/>
      <c r="D102" s="122"/>
      <c r="E102" s="122"/>
      <c r="F102" s="122"/>
      <c r="G102" s="122"/>
      <c r="H102" s="122"/>
      <c r="I102" s="122"/>
      <c r="J102" s="122"/>
    </row>
    <row r="103">
      <c r="A103" s="127"/>
      <c r="B103" s="127" t="s">
        <v>241</v>
      </c>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c r="AA103" s="127"/>
    </row>
    <row r="104">
      <c r="B104" s="86" t="str">
        <f t="shared" ref="B104:B118" si="67">B23</f>
        <v>Series J</v>
      </c>
      <c r="D104" s="122">
        <f t="shared" ref="D104:J104" si="66">if($O23="participating preferred with cap", if( ($G23 * D$138) &lt; $Q23 , min( $M23 , sumproduct(D$50:D$64,--($E$23:$E$37=$E23)) * $M23 / sumproduct($M$23:$M$37,--($E$23:$E$37=$E23)) ) , 0 ) , if($O23="full participating", iferror( min( $M23 , sumproduct(D$50:D$64,--($E$23:$E$37=$E23)) * $M23 / sumproduct($M$23:$M$37,--($E$23:$E$37=$E23)) ) ,0) , if(D86 &gt; 0 , 0 , iferror( min( $M23 , sumproduct(D$50:D$64,--($E$23:$E$37=$E23)) * $M23 / sumproduct($M$23:$M$37,--($E$23:$E$37=$E23)) ) ,0) ) ) )</f>
        <v>0</v>
      </c>
      <c r="E104" s="122">
        <f t="shared" si="66"/>
        <v>0</v>
      </c>
      <c r="F104" s="122">
        <f t="shared" si="66"/>
        <v>0</v>
      </c>
      <c r="G104" s="122">
        <f t="shared" si="66"/>
        <v>0</v>
      </c>
      <c r="H104" s="122">
        <f t="shared" si="66"/>
        <v>0</v>
      </c>
      <c r="I104" s="122">
        <f t="shared" si="66"/>
        <v>0</v>
      </c>
      <c r="J104" s="122">
        <f t="shared" si="66"/>
        <v>0</v>
      </c>
    </row>
    <row r="105">
      <c r="B105" s="86" t="str">
        <f t="shared" si="67"/>
        <v>Series I</v>
      </c>
      <c r="D105" s="122">
        <f t="shared" ref="D105:J105" si="68">if($O24="participating preferred with cap", if( ($G24 * D$138) &lt; $Q24 , min( $M24 , sumproduct(D$50:D$64,--($E$23:$E$37=$E24)) * $M24 / sumproduct($M$23:$M$37,--($E$23:$E$37=$E24)) ) , 0 ) , if($O24="full participating", iferror( min( $M24 , sumproduct(D$50:D$64,--($E$23:$E$37=$E24)) * $M24 / sumproduct($M$23:$M$37,--($E$23:$E$37=$E24)) ) ,0) , if(D87 &gt; 0 , 0 , iferror( min( $M24 , sumproduct(D$50:D$64,--($E$23:$E$37=$E24)) * $M24 / sumproduct($M$23:$M$37,--($E$23:$E$37=$E24)) ) ,0) ) ) )</f>
        <v>0</v>
      </c>
      <c r="E105" s="122">
        <f t="shared" si="68"/>
        <v>0</v>
      </c>
      <c r="F105" s="122">
        <f t="shared" si="68"/>
        <v>0</v>
      </c>
      <c r="G105" s="122">
        <f t="shared" si="68"/>
        <v>0</v>
      </c>
      <c r="H105" s="122">
        <f t="shared" si="68"/>
        <v>0</v>
      </c>
      <c r="I105" s="122">
        <f t="shared" si="68"/>
        <v>0</v>
      </c>
      <c r="J105" s="122">
        <f t="shared" si="68"/>
        <v>0</v>
      </c>
    </row>
    <row r="106">
      <c r="B106" s="86" t="str">
        <f t="shared" si="67"/>
        <v>Series H</v>
      </c>
      <c r="D106" s="122">
        <f t="shared" ref="D106:J106" si="69">if($O25="participating preferred with cap", if( ($G25 * D$138) &lt; $Q25 , min( $M25 , sumproduct(D$50:D$64,--($E$23:$E$37=$E25)) * $M25 / sumproduct($M$23:$M$37,--($E$23:$E$37=$E25)) ) , 0 ) , if($O25="full participating", iferror( min( $M25 , sumproduct(D$50:D$64,--($E$23:$E$37=$E25)) * $M25 / sumproduct($M$23:$M$37,--($E$23:$E$37=$E25)) ) ,0) , if(D88 &gt; 0 , 0 , iferror( min( $M25 , sumproduct(D$50:D$64,--($E$23:$E$37=$E25)) * $M25 / sumproduct($M$23:$M$37,--($E$23:$E$37=$E25)) ) ,0) ) ) )</f>
        <v>0</v>
      </c>
      <c r="E106" s="122">
        <f t="shared" si="69"/>
        <v>0</v>
      </c>
      <c r="F106" s="122">
        <f t="shared" si="69"/>
        <v>0</v>
      </c>
      <c r="G106" s="122">
        <f t="shared" si="69"/>
        <v>0</v>
      </c>
      <c r="H106" s="122">
        <f t="shared" si="69"/>
        <v>0</v>
      </c>
      <c r="I106" s="122">
        <f t="shared" si="69"/>
        <v>0</v>
      </c>
      <c r="J106" s="122">
        <f t="shared" si="69"/>
        <v>0</v>
      </c>
    </row>
    <row r="107">
      <c r="B107" s="86" t="str">
        <f t="shared" si="67"/>
        <v>Series G</v>
      </c>
      <c r="D107" s="122">
        <f t="shared" ref="D107:J107" si="70">if($O26="participating preferred with cap", if( ($G26 * D$138) &lt; $Q26 , min( $M26 , sumproduct(D$50:D$64,--($E$23:$E$37=$E26)) * $M26 / sumproduct($M$23:$M$37,--($E$23:$E$37=$E26)) ) , 0 ) , if($O26="full participating", iferror( min( $M26 , sumproduct(D$50:D$64,--($E$23:$E$37=$E26)) * $M26 / sumproduct($M$23:$M$37,--($E$23:$E$37=$E26)) ) ,0) , if(D89 &gt; 0 , 0 , iferror( min( $M26 , sumproduct(D$50:D$64,--($E$23:$E$37=$E26)) * $M26 / sumproduct($M$23:$M$37,--($E$23:$E$37=$E26)) ) ,0) ) ) )</f>
        <v>0</v>
      </c>
      <c r="E107" s="122">
        <f t="shared" si="70"/>
        <v>0</v>
      </c>
      <c r="F107" s="122">
        <f t="shared" si="70"/>
        <v>0</v>
      </c>
      <c r="G107" s="122">
        <f t="shared" si="70"/>
        <v>0</v>
      </c>
      <c r="H107" s="122">
        <f t="shared" si="70"/>
        <v>0</v>
      </c>
      <c r="I107" s="122">
        <f t="shared" si="70"/>
        <v>0</v>
      </c>
      <c r="J107" s="122">
        <f t="shared" si="70"/>
        <v>0</v>
      </c>
    </row>
    <row r="108">
      <c r="B108" s="86" t="str">
        <f t="shared" si="67"/>
        <v>Series F</v>
      </c>
      <c r="D108" s="122">
        <f t="shared" ref="D108:J108" si="71">if($O27="participating preferred with cap", if( ($G27 * D$138) &lt; $Q27 , min( $M27 , sumproduct(D$50:D$64,--($E$23:$E$37=$E27)) * $M27 / sumproduct($M$23:$M$37,--($E$23:$E$37=$E27)) ) , 0 ) , if($O27="full participating", iferror( min( $M27 , sumproduct(D$50:D$64,--($E$23:$E$37=$E27)) * $M27 / sumproduct($M$23:$M$37,--($E$23:$E$37=$E27)) ) ,0) , if(D90 &gt; 0 , 0 , iferror( min( $M27 , sumproduct(D$50:D$64,--($E$23:$E$37=$E27)) * $M27 / sumproduct($M$23:$M$37,--($E$23:$E$37=$E27)) ) ,0) ) ) )</f>
        <v>0</v>
      </c>
      <c r="E108" s="122">
        <f t="shared" si="71"/>
        <v>0</v>
      </c>
      <c r="F108" s="122">
        <f t="shared" si="71"/>
        <v>0</v>
      </c>
      <c r="G108" s="122">
        <f t="shared" si="71"/>
        <v>0</v>
      </c>
      <c r="H108" s="122">
        <f t="shared" si="71"/>
        <v>0</v>
      </c>
      <c r="I108" s="122">
        <f t="shared" si="71"/>
        <v>0</v>
      </c>
      <c r="J108" s="122">
        <f t="shared" si="71"/>
        <v>0</v>
      </c>
    </row>
    <row r="109">
      <c r="B109" s="86" t="str">
        <f t="shared" si="67"/>
        <v>Series E</v>
      </c>
      <c r="D109" s="122">
        <f t="shared" ref="D109:J109" si="72">if($O28="participating preferred with cap", if( ($G28 * D$138) &lt; $Q28 , min( $M28 , sumproduct(D$50:D$64,--($E$23:$E$37=$E28)) * $M28 / sumproduct($M$23:$M$37,--($E$23:$E$37=$E28)) ) , 0 ) , if($O28="full participating", iferror( min( $M28 , sumproduct(D$50:D$64,--($E$23:$E$37=$E28)) * $M28 / sumproduct($M$23:$M$37,--($E$23:$E$37=$E28)) ) ,0) , if(D91 &gt; 0 , 0 , iferror( min( $M28 , sumproduct(D$50:D$64,--($E$23:$E$37=$E28)) * $M28 / sumproduct($M$23:$M$37,--($E$23:$E$37=$E28)) ) ,0) ) ) )</f>
        <v>0</v>
      </c>
      <c r="E109" s="122">
        <f t="shared" si="72"/>
        <v>0</v>
      </c>
      <c r="F109" s="122">
        <f t="shared" si="72"/>
        <v>0</v>
      </c>
      <c r="G109" s="122">
        <f t="shared" si="72"/>
        <v>0</v>
      </c>
      <c r="H109" s="122">
        <f t="shared" si="72"/>
        <v>0</v>
      </c>
      <c r="I109" s="122">
        <f t="shared" si="72"/>
        <v>0</v>
      </c>
      <c r="J109" s="122">
        <f t="shared" si="72"/>
        <v>0</v>
      </c>
    </row>
    <row r="110">
      <c r="B110" s="86" t="str">
        <f t="shared" si="67"/>
        <v>Series D</v>
      </c>
      <c r="D110" s="122">
        <f t="shared" ref="D110:J110" si="73">if($O29="participating preferred with cap", if( ($G29 * D$138) &lt; $Q29 , min( $M29 , sumproduct(D$50:D$64,--($E$23:$E$37=$E29)) * $M29 / sumproduct($M$23:$M$37,--($E$23:$E$37=$E29)) ) , 0 ) , if($O29="full participating", iferror( min( $M29 , sumproduct(D$50:D$64,--($E$23:$E$37=$E29)) * $M29 / sumproduct($M$23:$M$37,--($E$23:$E$37=$E29)) ) ,0) , if(D92 &gt; 0 , 0 , iferror( min( $M29 , sumproduct(D$50:D$64,--($E$23:$E$37=$E29)) * $M29 / sumproduct($M$23:$M$37,--($E$23:$E$37=$E29)) ) ,0) ) ) )</f>
        <v>0</v>
      </c>
      <c r="E110" s="122">
        <f t="shared" si="73"/>
        <v>0</v>
      </c>
      <c r="F110" s="122">
        <f t="shared" si="73"/>
        <v>0</v>
      </c>
      <c r="G110" s="122">
        <f t="shared" si="73"/>
        <v>0</v>
      </c>
      <c r="H110" s="122">
        <f t="shared" si="73"/>
        <v>0</v>
      </c>
      <c r="I110" s="122">
        <f t="shared" si="73"/>
        <v>0</v>
      </c>
      <c r="J110" s="122">
        <f t="shared" si="73"/>
        <v>0</v>
      </c>
    </row>
    <row r="111">
      <c r="B111" s="86" t="str">
        <f t="shared" si="67"/>
        <v>Series C</v>
      </c>
      <c r="D111" s="122">
        <f t="shared" ref="D111:J111" si="74">if($O30="participating preferred with cap", if( ($G30 * D$138) &lt; $Q30 , min( $M30 , sumproduct(D$50:D$64,--($E$23:$E$37=$E30)) * $M30 / sumproduct($M$23:$M$37,--($E$23:$E$37=$E30)) ) , 0 ) , if($O30="full participating", iferror( min( $M30 , sumproduct(D$50:D$64,--($E$23:$E$37=$E30)) * $M30 / sumproduct($M$23:$M$37,--($E$23:$E$37=$E30)) ) ,0) , if(D93 &gt; 0 , 0 , iferror( min( $M30 , sumproduct(D$50:D$64,--($E$23:$E$37=$E30)) * $M30 / sumproduct($M$23:$M$37,--($E$23:$E$37=$E30)) ) ,0) ) ) )</f>
        <v>0</v>
      </c>
      <c r="E111" s="122">
        <f t="shared" si="74"/>
        <v>0</v>
      </c>
      <c r="F111" s="122">
        <f t="shared" si="74"/>
        <v>0</v>
      </c>
      <c r="G111" s="122">
        <f t="shared" si="74"/>
        <v>0</v>
      </c>
      <c r="H111" s="122">
        <f t="shared" si="74"/>
        <v>0</v>
      </c>
      <c r="I111" s="122">
        <f t="shared" si="74"/>
        <v>0</v>
      </c>
      <c r="J111" s="122">
        <f t="shared" si="74"/>
        <v>0</v>
      </c>
    </row>
    <row r="112">
      <c r="B112" s="86" t="str">
        <f t="shared" si="67"/>
        <v>Series B</v>
      </c>
      <c r="D112" s="122">
        <f t="shared" ref="D112:J112" si="75">if($O31="participating preferred with cap", if( ($G31 * D$138) &lt; $Q31 , min( $M31 , sumproduct(D$50:D$64,--($E$23:$E$37=$E31)) * $M31 / sumproduct($M$23:$M$37,--($E$23:$E$37=$E31)) ) , 0 ) , if($O31="full participating", iferror( min( $M31 , sumproduct(D$50:D$64,--($E$23:$E$37=$E31)) * $M31 / sumproduct($M$23:$M$37,--($E$23:$E$37=$E31)) ) ,0) , if(D94 &gt; 0 , 0 , iferror( min( $M31 , sumproduct(D$50:D$64,--($E$23:$E$37=$E31)) * $M31 / sumproduct($M$23:$M$37,--($E$23:$E$37=$E31)) ) ,0) ) ) )</f>
        <v>2000000</v>
      </c>
      <c r="E112" s="122">
        <f t="shared" si="75"/>
        <v>2000000</v>
      </c>
      <c r="F112" s="122">
        <f t="shared" si="75"/>
        <v>2000000</v>
      </c>
      <c r="G112" s="122">
        <f t="shared" si="75"/>
        <v>2000000</v>
      </c>
      <c r="H112" s="122">
        <f t="shared" si="75"/>
        <v>2000000</v>
      </c>
      <c r="I112" s="122">
        <f t="shared" si="75"/>
        <v>2000000</v>
      </c>
      <c r="J112" s="122">
        <f t="shared" si="75"/>
        <v>2000000</v>
      </c>
    </row>
    <row r="113">
      <c r="B113" s="86" t="str">
        <f t="shared" si="67"/>
        <v>Series A</v>
      </c>
      <c r="D113" s="122">
        <f t="shared" ref="D113:J113" si="76">if($O32="participating preferred with cap", if( ($G32 * D$138) &lt; $Q32 , min( $M32 , sumproduct(D$50:D$64,--($E$23:$E$37=$E32)) * $M32 / sumproduct($M$23:$M$37,--($E$23:$E$37=$E32)) ) , 0 ) , if($O32="full participating", iferror( min( $M32 , sumproduct(D$50:D$64,--($E$23:$E$37=$E32)) * $M32 / sumproduct($M$23:$M$37,--($E$23:$E$37=$E32)) ) ,0) , if(D95 &gt; 0 , 0 , iferror( min( $M32 , sumproduct(D$50:D$64,--($E$23:$E$37=$E32)) * $M32 / sumproduct($M$23:$M$37,--($E$23:$E$37=$E32)) ) ,0) ) ) )</f>
        <v>0</v>
      </c>
      <c r="E113" s="122">
        <f t="shared" si="76"/>
        <v>1000000</v>
      </c>
      <c r="F113" s="122">
        <f t="shared" si="76"/>
        <v>1000000</v>
      </c>
      <c r="G113" s="122">
        <f t="shared" si="76"/>
        <v>1000000</v>
      </c>
      <c r="H113" s="122">
        <f t="shared" si="76"/>
        <v>1000000</v>
      </c>
      <c r="I113" s="122">
        <f t="shared" si="76"/>
        <v>1000000</v>
      </c>
      <c r="J113" s="122">
        <f t="shared" si="76"/>
        <v>1000000</v>
      </c>
    </row>
    <row r="114">
      <c r="B114" s="86" t="str">
        <f t="shared" si="67"/>
        <v>Seed</v>
      </c>
      <c r="D114" s="122">
        <f t="shared" ref="D114:J114" si="77">if($O33="participating preferred with cap", if( ($G33 * D$138) &lt; $Q33 , min( $M33 , sumproduct(D$50:D$64,--($E$23:$E$37=$E33)) * $M33 / sumproduct($M$23:$M$37,--($E$23:$E$37=$E33)) ) , 0 ) , if($O33="full participating", iferror( min( $M33 , sumproduct(D$50:D$64,--($E$23:$E$37=$E33)) * $M33 / sumproduct($M$23:$M$37,--($E$23:$E$37=$E33)) ) ,0) , if(D96 &gt; 0 , 0 , iferror( min( $M33 , sumproduct(D$50:D$64,--($E$23:$E$37=$E33)) * $M33 / sumproduct($M$23:$M$37,--($E$23:$E$37=$E33)) ) ,0) ) ) )</f>
        <v>0</v>
      </c>
      <c r="E114" s="122">
        <f t="shared" si="77"/>
        <v>0</v>
      </c>
      <c r="F114" s="122">
        <f t="shared" si="77"/>
        <v>500000</v>
      </c>
      <c r="G114" s="122">
        <f t="shared" si="77"/>
        <v>500000</v>
      </c>
      <c r="H114" s="122">
        <f t="shared" si="77"/>
        <v>500000</v>
      </c>
      <c r="I114" s="122">
        <f t="shared" si="77"/>
        <v>500000</v>
      </c>
      <c r="J114" s="122">
        <f t="shared" si="77"/>
        <v>500000</v>
      </c>
    </row>
    <row r="115">
      <c r="B115" s="86" t="str">
        <f t="shared" si="67"/>
        <v>Common</v>
      </c>
      <c r="D115" s="122">
        <f t="shared" ref="D115:J115" si="78">if($O34="participating preferred with cap", if( ($G34 * D$138) &lt; $Q34 , min( $M34 , sumproduct(D$50:D$64,--($E$23:$E$37=$E34)) * $M34 / sumproduct($M$23:$M$37,--($E$23:$E$37=$E34)) ) , 0 ) , if($O34="full participating", iferror( min( $M34 , sumproduct(D$50:D$64,--($E$23:$E$37=$E34)) * $M34 / sumproduct($M$23:$M$37,--($E$23:$E$37=$E34)) ) ,0) , if(D97 &gt; 0 , 0 , iferror( min( $M34 , sumproduct(D$50:D$64,--($E$23:$E$37=$E34)) * $M34 / sumproduct($M$23:$M$37,--($E$23:$E$37=$E34)) ) ,0) ) ) )</f>
        <v>0</v>
      </c>
      <c r="E115" s="122">
        <f t="shared" si="78"/>
        <v>0</v>
      </c>
      <c r="F115" s="122">
        <f t="shared" si="78"/>
        <v>0</v>
      </c>
      <c r="G115" s="122">
        <f t="shared" si="78"/>
        <v>0</v>
      </c>
      <c r="H115" s="122">
        <f t="shared" si="78"/>
        <v>0</v>
      </c>
      <c r="I115" s="122">
        <f t="shared" si="78"/>
        <v>0</v>
      </c>
      <c r="J115" s="122">
        <f t="shared" si="78"/>
        <v>0</v>
      </c>
    </row>
    <row r="116">
      <c r="B116" s="86" t="str">
        <f t="shared" si="67"/>
        <v>Options</v>
      </c>
      <c r="D116" s="122">
        <f t="shared" ref="D116:J116" si="79">if($O35="participating preferred with cap", if( ($G35 * D$138) &lt; $Q35 , min( $M35 , sumproduct(D$50:D$64,--($E$23:$E$37=$E35)) * $M35 / sumproduct($M$23:$M$37,--($E$23:$E$37=$E35)) ) , 0 ) , if($O35="full participating", iferror( min( $M35 , sumproduct(D$50:D$64,--($E$23:$E$37=$E35)) * $M35 / sumproduct($M$23:$M$37,--($E$23:$E$37=$E35)) ) ,0) , if(D98 &gt; 0 , 0 , iferror( min( $M35 , sumproduct(D$50:D$64,--($E$23:$E$37=$E35)) * $M35 / sumproduct($M$23:$M$37,--($E$23:$E$37=$E35)) ) ,0) ) ) )</f>
        <v>0</v>
      </c>
      <c r="E116" s="122">
        <f t="shared" si="79"/>
        <v>0</v>
      </c>
      <c r="F116" s="122">
        <f t="shared" si="79"/>
        <v>0</v>
      </c>
      <c r="G116" s="122">
        <f t="shared" si="79"/>
        <v>0</v>
      </c>
      <c r="H116" s="122">
        <f t="shared" si="79"/>
        <v>0</v>
      </c>
      <c r="I116" s="122">
        <f t="shared" si="79"/>
        <v>0</v>
      </c>
      <c r="J116" s="122">
        <f t="shared" si="79"/>
        <v>0</v>
      </c>
    </row>
    <row r="117">
      <c r="B117" s="86" t="str">
        <f t="shared" si="67"/>
        <v>Options</v>
      </c>
      <c r="D117" s="122">
        <f t="shared" ref="D117:J117" si="80">if($O36="participating preferred with cap", if( ($G36 * D$138) &lt; $Q36 , min( $M36 , sumproduct(D$50:D$64,--($E$23:$E$37=$E36)) * $M36 / sumproduct($M$23:$M$37,--($E$23:$E$37=$E36)) ) , 0 ) , if($O36="full participating", iferror( min( $M36 , sumproduct(D$50:D$64,--($E$23:$E$37=$E36)) * $M36 / sumproduct($M$23:$M$37,--($E$23:$E$37=$E36)) ) ,0) , if(D99 &gt; 0 , 0 , iferror( min( $M36 , sumproduct(D$50:D$64,--($E$23:$E$37=$E36)) * $M36 / sumproduct($M$23:$M$37,--($E$23:$E$37=$E36)) ) ,0) ) ) )</f>
        <v>0</v>
      </c>
      <c r="E117" s="122">
        <f t="shared" si="80"/>
        <v>0</v>
      </c>
      <c r="F117" s="122">
        <f t="shared" si="80"/>
        <v>0</v>
      </c>
      <c r="G117" s="122">
        <f t="shared" si="80"/>
        <v>0</v>
      </c>
      <c r="H117" s="122">
        <f t="shared" si="80"/>
        <v>0</v>
      </c>
      <c r="I117" s="122">
        <f t="shared" si="80"/>
        <v>0</v>
      </c>
      <c r="J117" s="122">
        <f t="shared" si="80"/>
        <v>0</v>
      </c>
    </row>
    <row r="118">
      <c r="B118" s="86" t="str">
        <f t="shared" si="67"/>
        <v>Warrants</v>
      </c>
      <c r="D118" s="122">
        <f t="shared" ref="D118:J118" si="81">if($O37="participating preferred with cap", if( ($G37 * D$138) &lt; $Q37 , min( $M37 , sumproduct(D$50:D$64,--($E$23:$E$37=$E37)) * $M37 / sumproduct($M$23:$M$37,--($E$23:$E$37=$E37)) ) , 0 ) , if($O37="full participating", iferror( min( $M37 , sumproduct(D$50:D$64,--($E$23:$E$37=$E37)) * $M37 / sumproduct($M$23:$M$37,--($E$23:$E$37=$E37)) ) ,0) , if(D100 &gt; 0 , 0 , iferror( min( $M37 , sumproduct(D$50:D$64,--($E$23:$E$37=$E37)) * $M37 / sumproduct($M$23:$M$37,--($E$23:$E$37=$E37)) ) ,0) ) ) )</f>
        <v>0</v>
      </c>
      <c r="E118" s="122">
        <f t="shared" si="81"/>
        <v>0</v>
      </c>
      <c r="F118" s="122">
        <f t="shared" si="81"/>
        <v>0</v>
      </c>
      <c r="G118" s="122">
        <f t="shared" si="81"/>
        <v>0</v>
      </c>
      <c r="H118" s="122">
        <f t="shared" si="81"/>
        <v>0</v>
      </c>
      <c r="I118" s="122">
        <f t="shared" si="81"/>
        <v>0</v>
      </c>
      <c r="J118" s="122">
        <f t="shared" si="81"/>
        <v>0</v>
      </c>
    </row>
    <row r="119">
      <c r="B119" s="124" t="s">
        <v>103</v>
      </c>
      <c r="C119" s="131" t="str">
        <f>B103</f>
        <v>Distributions to Liquidation Preferences</v>
      </c>
      <c r="D119" s="117">
        <f t="shared" ref="D119:J119" si="82">sum(D104:D118)</f>
        <v>2000000</v>
      </c>
      <c r="E119" s="117">
        <f t="shared" si="82"/>
        <v>3000000</v>
      </c>
      <c r="F119" s="117">
        <f t="shared" si="82"/>
        <v>3500000</v>
      </c>
      <c r="G119" s="117">
        <f t="shared" si="82"/>
        <v>3500000</v>
      </c>
      <c r="H119" s="117">
        <f t="shared" si="82"/>
        <v>3500000</v>
      </c>
      <c r="I119" s="117">
        <f t="shared" si="82"/>
        <v>3500000</v>
      </c>
      <c r="J119" s="117">
        <f t="shared" si="82"/>
        <v>3500000</v>
      </c>
    </row>
    <row r="120">
      <c r="B120" s="86"/>
      <c r="D120" s="122"/>
      <c r="E120" s="122"/>
      <c r="F120" s="122"/>
      <c r="G120" s="122"/>
      <c r="H120" s="122"/>
      <c r="I120" s="122"/>
      <c r="J120" s="122"/>
    </row>
    <row r="121">
      <c r="B121" s="125" t="s">
        <v>242</v>
      </c>
      <c r="D121" s="122"/>
      <c r="E121" s="122"/>
      <c r="F121" s="122"/>
      <c r="G121" s="122"/>
      <c r="H121" s="122"/>
      <c r="I121" s="122"/>
      <c r="J121" s="122"/>
    </row>
    <row r="122">
      <c r="B122" s="86" t="str">
        <f t="shared" ref="B122:B136" si="84">B23</f>
        <v>Series J</v>
      </c>
      <c r="D122" s="122">
        <f t="shared" ref="D122:J122" si="83">iferror( max( 0 , D86 / D$101 * D$137 ), 0 )</f>
        <v>0</v>
      </c>
      <c r="E122" s="122">
        <f t="shared" si="83"/>
        <v>0</v>
      </c>
      <c r="F122" s="122">
        <f t="shared" si="83"/>
        <v>0</v>
      </c>
      <c r="G122" s="122">
        <f t="shared" si="83"/>
        <v>0</v>
      </c>
      <c r="H122" s="122">
        <f t="shared" si="83"/>
        <v>0</v>
      </c>
      <c r="I122" s="122">
        <f t="shared" si="83"/>
        <v>0</v>
      </c>
      <c r="J122" s="122">
        <f t="shared" si="83"/>
        <v>0</v>
      </c>
    </row>
    <row r="123">
      <c r="B123" s="86" t="str">
        <f t="shared" si="84"/>
        <v>Series I</v>
      </c>
      <c r="D123" s="122">
        <f t="shared" ref="D123:J123" si="85">iferror( max( 0 , D87 / D$101 * D$137 ), 0 )</f>
        <v>0</v>
      </c>
      <c r="E123" s="122">
        <f t="shared" si="85"/>
        <v>0</v>
      </c>
      <c r="F123" s="122">
        <f t="shared" si="85"/>
        <v>0</v>
      </c>
      <c r="G123" s="122">
        <f t="shared" si="85"/>
        <v>0</v>
      </c>
      <c r="H123" s="122">
        <f t="shared" si="85"/>
        <v>0</v>
      </c>
      <c r="I123" s="122">
        <f t="shared" si="85"/>
        <v>0</v>
      </c>
      <c r="J123" s="122">
        <f t="shared" si="85"/>
        <v>0</v>
      </c>
    </row>
    <row r="124">
      <c r="B124" s="86" t="str">
        <f t="shared" si="84"/>
        <v>Series H</v>
      </c>
      <c r="D124" s="122">
        <f t="shared" ref="D124:J124" si="86">iferror( max( 0 , D88 / D$101 * D$137 ), 0 )</f>
        <v>0</v>
      </c>
      <c r="E124" s="122">
        <f t="shared" si="86"/>
        <v>0</v>
      </c>
      <c r="F124" s="122">
        <f t="shared" si="86"/>
        <v>0</v>
      </c>
      <c r="G124" s="122">
        <f t="shared" si="86"/>
        <v>0</v>
      </c>
      <c r="H124" s="122">
        <f t="shared" si="86"/>
        <v>0</v>
      </c>
      <c r="I124" s="122">
        <f t="shared" si="86"/>
        <v>0</v>
      </c>
      <c r="J124" s="122">
        <f t="shared" si="86"/>
        <v>0</v>
      </c>
    </row>
    <row r="125">
      <c r="B125" s="86" t="str">
        <f t="shared" si="84"/>
        <v>Series G</v>
      </c>
      <c r="D125" s="122">
        <f t="shared" ref="D125:J125" si="87">iferror( max( 0 , D89 / D$101 * D$137 ), 0 )</f>
        <v>0</v>
      </c>
      <c r="E125" s="122">
        <f t="shared" si="87"/>
        <v>0</v>
      </c>
      <c r="F125" s="122">
        <f t="shared" si="87"/>
        <v>0</v>
      </c>
      <c r="G125" s="122">
        <f t="shared" si="87"/>
        <v>0</v>
      </c>
      <c r="H125" s="122">
        <f t="shared" si="87"/>
        <v>0</v>
      </c>
      <c r="I125" s="122">
        <f t="shared" si="87"/>
        <v>0</v>
      </c>
      <c r="J125" s="122">
        <f t="shared" si="87"/>
        <v>0</v>
      </c>
    </row>
    <row r="126">
      <c r="B126" s="86" t="str">
        <f t="shared" si="84"/>
        <v>Series F</v>
      </c>
      <c r="D126" s="122">
        <f t="shared" ref="D126:J126" si="88">iferror( max( 0 , D90 / D$101 * D$137 ), 0 )</f>
        <v>0</v>
      </c>
      <c r="E126" s="122">
        <f t="shared" si="88"/>
        <v>0</v>
      </c>
      <c r="F126" s="122">
        <f t="shared" si="88"/>
        <v>0</v>
      </c>
      <c r="G126" s="122">
        <f t="shared" si="88"/>
        <v>0</v>
      </c>
      <c r="H126" s="122">
        <f t="shared" si="88"/>
        <v>0</v>
      </c>
      <c r="I126" s="122">
        <f t="shared" si="88"/>
        <v>0</v>
      </c>
      <c r="J126" s="122">
        <f t="shared" si="88"/>
        <v>0</v>
      </c>
    </row>
    <row r="127">
      <c r="B127" s="86" t="str">
        <f t="shared" si="84"/>
        <v>Series E</v>
      </c>
      <c r="D127" s="122">
        <f t="shared" ref="D127:J127" si="89">iferror( max( 0 , D91 / D$101 * D$137 ), 0 )</f>
        <v>0</v>
      </c>
      <c r="E127" s="122">
        <f t="shared" si="89"/>
        <v>0</v>
      </c>
      <c r="F127" s="122">
        <f t="shared" si="89"/>
        <v>0</v>
      </c>
      <c r="G127" s="122">
        <f t="shared" si="89"/>
        <v>0</v>
      </c>
      <c r="H127" s="122">
        <f t="shared" si="89"/>
        <v>0</v>
      </c>
      <c r="I127" s="122">
        <f t="shared" si="89"/>
        <v>0</v>
      </c>
      <c r="J127" s="122">
        <f t="shared" si="89"/>
        <v>0</v>
      </c>
    </row>
    <row r="128">
      <c r="B128" s="86" t="str">
        <f t="shared" si="84"/>
        <v>Series D</v>
      </c>
      <c r="D128" s="122">
        <f t="shared" ref="D128:J128" si="90">iferror( max( 0 , D92 / D$101 * D$137 ), 0 )</f>
        <v>0</v>
      </c>
      <c r="E128" s="122">
        <f t="shared" si="90"/>
        <v>0</v>
      </c>
      <c r="F128" s="122">
        <f t="shared" si="90"/>
        <v>0</v>
      </c>
      <c r="G128" s="122">
        <f t="shared" si="90"/>
        <v>0</v>
      </c>
      <c r="H128" s="122">
        <f t="shared" si="90"/>
        <v>0</v>
      </c>
      <c r="I128" s="122">
        <f t="shared" si="90"/>
        <v>0</v>
      </c>
      <c r="J128" s="122">
        <f t="shared" si="90"/>
        <v>0</v>
      </c>
    </row>
    <row r="129">
      <c r="B129" s="86" t="str">
        <f t="shared" si="84"/>
        <v>Series C</v>
      </c>
      <c r="D129" s="122">
        <f t="shared" ref="D129:J129" si="91">iferror( max( 0 , D93 / D$101 * D$137 ), 0 )</f>
        <v>0</v>
      </c>
      <c r="E129" s="122">
        <f t="shared" si="91"/>
        <v>0</v>
      </c>
      <c r="F129" s="122">
        <f t="shared" si="91"/>
        <v>0</v>
      </c>
      <c r="G129" s="122">
        <f t="shared" si="91"/>
        <v>0</v>
      </c>
      <c r="H129" s="122">
        <f t="shared" si="91"/>
        <v>0</v>
      </c>
      <c r="I129" s="122">
        <f t="shared" si="91"/>
        <v>0</v>
      </c>
      <c r="J129" s="122">
        <f t="shared" si="91"/>
        <v>0</v>
      </c>
    </row>
    <row r="130">
      <c r="B130" s="86" t="str">
        <f t="shared" si="84"/>
        <v>Series B</v>
      </c>
      <c r="D130" s="122">
        <f t="shared" ref="D130:J130" si="92">iferror( max( 0 , D94 / D$101 * D$137 ), 0 )</f>
        <v>0</v>
      </c>
      <c r="E130" s="122">
        <f t="shared" si="92"/>
        <v>0</v>
      </c>
      <c r="F130" s="122">
        <f t="shared" si="92"/>
        <v>0</v>
      </c>
      <c r="G130" s="122">
        <f t="shared" si="92"/>
        <v>0</v>
      </c>
      <c r="H130" s="122">
        <f t="shared" si="92"/>
        <v>0</v>
      </c>
      <c r="I130" s="122">
        <f t="shared" si="92"/>
        <v>0</v>
      </c>
      <c r="J130" s="122">
        <f t="shared" si="92"/>
        <v>0</v>
      </c>
    </row>
    <row r="131">
      <c r="B131" s="86" t="str">
        <f t="shared" si="84"/>
        <v>Series A</v>
      </c>
      <c r="D131" s="122">
        <f t="shared" ref="D131:J131" si="93">iferror( max( 0 , D95 / D$101 * D$137 ), 0 )</f>
        <v>0</v>
      </c>
      <c r="E131" s="122">
        <f t="shared" si="93"/>
        <v>0</v>
      </c>
      <c r="F131" s="122">
        <f t="shared" si="93"/>
        <v>0</v>
      </c>
      <c r="G131" s="122">
        <f t="shared" si="93"/>
        <v>0</v>
      </c>
      <c r="H131" s="122">
        <f t="shared" si="93"/>
        <v>0</v>
      </c>
      <c r="I131" s="122">
        <f t="shared" si="93"/>
        <v>0</v>
      </c>
      <c r="J131" s="122">
        <f t="shared" si="93"/>
        <v>0</v>
      </c>
    </row>
    <row r="132">
      <c r="B132" s="86" t="str">
        <f t="shared" si="84"/>
        <v>Seed</v>
      </c>
      <c r="D132" s="122">
        <f t="shared" ref="D132:J132" si="94">iferror( max( 0 , D96 / D$101 * D$137 ), 0 )</f>
        <v>0</v>
      </c>
      <c r="E132" s="122">
        <f t="shared" si="94"/>
        <v>0</v>
      </c>
      <c r="F132" s="122">
        <f t="shared" si="94"/>
        <v>0</v>
      </c>
      <c r="G132" s="122">
        <f t="shared" si="94"/>
        <v>0</v>
      </c>
      <c r="H132" s="122">
        <f t="shared" si="94"/>
        <v>0</v>
      </c>
      <c r="I132" s="122">
        <f t="shared" si="94"/>
        <v>0</v>
      </c>
      <c r="J132" s="122">
        <f t="shared" si="94"/>
        <v>0</v>
      </c>
    </row>
    <row r="133">
      <c r="B133" s="86" t="str">
        <f t="shared" si="84"/>
        <v>Common</v>
      </c>
      <c r="D133" s="122">
        <f t="shared" ref="D133:J133" si="95">iferror( max( 0 , D97 / D$101 * D$137 ), 0 )</f>
        <v>0</v>
      </c>
      <c r="E133" s="122">
        <f t="shared" si="95"/>
        <v>0</v>
      </c>
      <c r="F133" s="122">
        <f t="shared" si="95"/>
        <v>0</v>
      </c>
      <c r="G133" s="122">
        <f t="shared" si="95"/>
        <v>0</v>
      </c>
      <c r="H133" s="122">
        <f t="shared" si="95"/>
        <v>0</v>
      </c>
      <c r="I133" s="122">
        <f t="shared" si="95"/>
        <v>0</v>
      </c>
      <c r="J133" s="122">
        <f t="shared" si="95"/>
        <v>0</v>
      </c>
    </row>
    <row r="134">
      <c r="B134" s="86" t="str">
        <f t="shared" si="84"/>
        <v>Options</v>
      </c>
      <c r="D134" s="122">
        <f t="shared" ref="D134:J134" si="96">iferror( max( 0 , D98 / D$101 * D$137 ), 0 )</f>
        <v>0</v>
      </c>
      <c r="E134" s="122">
        <f t="shared" si="96"/>
        <v>0</v>
      </c>
      <c r="F134" s="122">
        <f t="shared" si="96"/>
        <v>0</v>
      </c>
      <c r="G134" s="122">
        <f t="shared" si="96"/>
        <v>0</v>
      </c>
      <c r="H134" s="122">
        <f t="shared" si="96"/>
        <v>0</v>
      </c>
      <c r="I134" s="122">
        <f t="shared" si="96"/>
        <v>0</v>
      </c>
      <c r="J134" s="122">
        <f t="shared" si="96"/>
        <v>0</v>
      </c>
    </row>
    <row r="135">
      <c r="B135" s="86" t="str">
        <f t="shared" si="84"/>
        <v>Options</v>
      </c>
      <c r="D135" s="122">
        <f t="shared" ref="D135:J135" si="97">iferror( max( 0 , D99 / D$101 * D$137 ), 0 )</f>
        <v>0</v>
      </c>
      <c r="E135" s="122">
        <f t="shared" si="97"/>
        <v>0</v>
      </c>
      <c r="F135" s="122">
        <f t="shared" si="97"/>
        <v>0</v>
      </c>
      <c r="G135" s="122">
        <f t="shared" si="97"/>
        <v>0</v>
      </c>
      <c r="H135" s="122">
        <f t="shared" si="97"/>
        <v>0</v>
      </c>
      <c r="I135" s="122">
        <f t="shared" si="97"/>
        <v>0</v>
      </c>
      <c r="J135" s="122">
        <f t="shared" si="97"/>
        <v>0</v>
      </c>
    </row>
    <row r="136">
      <c r="B136" s="86" t="str">
        <f t="shared" si="84"/>
        <v>Warrants</v>
      </c>
      <c r="D136" s="122">
        <f t="shared" ref="D136:J136" si="98">iferror( max( 0 , D100 / D$101 * D$137 ), 0 )</f>
        <v>0</v>
      </c>
      <c r="E136" s="122">
        <f t="shared" si="98"/>
        <v>0</v>
      </c>
      <c r="F136" s="122">
        <f t="shared" si="98"/>
        <v>0</v>
      </c>
      <c r="G136" s="122">
        <f t="shared" si="98"/>
        <v>0</v>
      </c>
      <c r="H136" s="122">
        <f t="shared" si="98"/>
        <v>0</v>
      </c>
      <c r="I136" s="122">
        <f t="shared" si="98"/>
        <v>0</v>
      </c>
      <c r="J136" s="122">
        <f t="shared" si="98"/>
        <v>0</v>
      </c>
    </row>
    <row r="137">
      <c r="B137" s="124" t="s">
        <v>103</v>
      </c>
      <c r="C137" s="132" t="str">
        <f>B121</f>
        <v>Distributions to Common</v>
      </c>
      <c r="D137" s="117">
        <f t="shared" ref="D137:J137" si="99">iferror(max(0,D46-D119),0)</f>
        <v>0</v>
      </c>
      <c r="E137" s="117">
        <f t="shared" si="99"/>
        <v>0</v>
      </c>
      <c r="F137" s="117">
        <f t="shared" si="99"/>
        <v>500000</v>
      </c>
      <c r="G137" s="117">
        <f t="shared" si="99"/>
        <v>4500000</v>
      </c>
      <c r="H137" s="117">
        <f t="shared" si="99"/>
        <v>12500000</v>
      </c>
      <c r="I137" s="117">
        <f t="shared" si="99"/>
        <v>28500000</v>
      </c>
      <c r="J137" s="117">
        <f t="shared" si="99"/>
        <v>60500000</v>
      </c>
    </row>
    <row r="138">
      <c r="B138" s="124" t="s">
        <v>243</v>
      </c>
      <c r="D138" s="133">
        <f t="shared" ref="D138:J138" si="100">iferror( D137/D101 , 0)</f>
        <v>0</v>
      </c>
      <c r="E138" s="133">
        <f t="shared" si="100"/>
        <v>0</v>
      </c>
      <c r="F138" s="133">
        <f t="shared" si="100"/>
        <v>0</v>
      </c>
      <c r="G138" s="133">
        <f t="shared" si="100"/>
        <v>0</v>
      </c>
      <c r="H138" s="133">
        <f t="shared" si="100"/>
        <v>0</v>
      </c>
      <c r="I138" s="133">
        <f t="shared" si="100"/>
        <v>0</v>
      </c>
      <c r="J138" s="133">
        <f t="shared" si="100"/>
        <v>0</v>
      </c>
    </row>
    <row r="139">
      <c r="B139" s="86"/>
      <c r="D139" s="122"/>
      <c r="E139" s="122"/>
      <c r="F139" s="122"/>
      <c r="G139" s="122"/>
      <c r="H139" s="122"/>
      <c r="I139" s="122"/>
      <c r="J139" s="122"/>
    </row>
    <row r="140">
      <c r="B140" s="125" t="s">
        <v>244</v>
      </c>
      <c r="D140" s="134">
        <f t="shared" ref="D140:J140" si="101">sum(D141:D155)</f>
        <v>2000000</v>
      </c>
      <c r="E140" s="134">
        <f t="shared" si="101"/>
        <v>3000000</v>
      </c>
      <c r="F140" s="134">
        <f t="shared" si="101"/>
        <v>3500000</v>
      </c>
      <c r="G140" s="134">
        <f t="shared" si="101"/>
        <v>3500000</v>
      </c>
      <c r="H140" s="134">
        <f t="shared" si="101"/>
        <v>3500000</v>
      </c>
      <c r="I140" s="134">
        <f t="shared" si="101"/>
        <v>3500000</v>
      </c>
      <c r="J140" s="134">
        <f t="shared" si="101"/>
        <v>3500000</v>
      </c>
    </row>
    <row r="141">
      <c r="B141" s="86" t="str">
        <f t="shared" ref="B141:B155" si="103">B23</f>
        <v>Series J</v>
      </c>
      <c r="D141" s="130">
        <f t="shared" ref="D141:J141" si="102">D104+D122</f>
        <v>0</v>
      </c>
      <c r="E141" s="130">
        <f t="shared" si="102"/>
        <v>0</v>
      </c>
      <c r="F141" s="130">
        <f t="shared" si="102"/>
        <v>0</v>
      </c>
      <c r="G141" s="130">
        <f t="shared" si="102"/>
        <v>0</v>
      </c>
      <c r="H141" s="130">
        <f t="shared" si="102"/>
        <v>0</v>
      </c>
      <c r="I141" s="130">
        <f t="shared" si="102"/>
        <v>0</v>
      </c>
      <c r="J141" s="130">
        <f t="shared" si="102"/>
        <v>0</v>
      </c>
    </row>
    <row r="142">
      <c r="B142" s="86" t="str">
        <f t="shared" si="103"/>
        <v>Series I</v>
      </c>
      <c r="D142" s="130">
        <f t="shared" ref="D142:J142" si="104">D105+D123</f>
        <v>0</v>
      </c>
      <c r="E142" s="130">
        <f t="shared" si="104"/>
        <v>0</v>
      </c>
      <c r="F142" s="130">
        <f t="shared" si="104"/>
        <v>0</v>
      </c>
      <c r="G142" s="130">
        <f t="shared" si="104"/>
        <v>0</v>
      </c>
      <c r="H142" s="130">
        <f t="shared" si="104"/>
        <v>0</v>
      </c>
      <c r="I142" s="130">
        <f t="shared" si="104"/>
        <v>0</v>
      </c>
      <c r="J142" s="130">
        <f t="shared" si="104"/>
        <v>0</v>
      </c>
    </row>
    <row r="143">
      <c r="B143" s="86" t="str">
        <f t="shared" si="103"/>
        <v>Series H</v>
      </c>
      <c r="D143" s="130">
        <f t="shared" ref="D143:J143" si="105">D106+D124</f>
        <v>0</v>
      </c>
      <c r="E143" s="130">
        <f t="shared" si="105"/>
        <v>0</v>
      </c>
      <c r="F143" s="130">
        <f t="shared" si="105"/>
        <v>0</v>
      </c>
      <c r="G143" s="130">
        <f t="shared" si="105"/>
        <v>0</v>
      </c>
      <c r="H143" s="130">
        <f t="shared" si="105"/>
        <v>0</v>
      </c>
      <c r="I143" s="130">
        <f t="shared" si="105"/>
        <v>0</v>
      </c>
      <c r="J143" s="130">
        <f t="shared" si="105"/>
        <v>0</v>
      </c>
    </row>
    <row r="144">
      <c r="B144" s="86" t="str">
        <f t="shared" si="103"/>
        <v>Series G</v>
      </c>
      <c r="D144" s="130">
        <f t="shared" ref="D144:J144" si="106">D107+D125</f>
        <v>0</v>
      </c>
      <c r="E144" s="130">
        <f t="shared" si="106"/>
        <v>0</v>
      </c>
      <c r="F144" s="130">
        <f t="shared" si="106"/>
        <v>0</v>
      </c>
      <c r="G144" s="130">
        <f t="shared" si="106"/>
        <v>0</v>
      </c>
      <c r="H144" s="130">
        <f t="shared" si="106"/>
        <v>0</v>
      </c>
      <c r="I144" s="130">
        <f t="shared" si="106"/>
        <v>0</v>
      </c>
      <c r="J144" s="130">
        <f t="shared" si="106"/>
        <v>0</v>
      </c>
    </row>
    <row r="145">
      <c r="B145" s="86" t="str">
        <f t="shared" si="103"/>
        <v>Series F</v>
      </c>
      <c r="D145" s="130">
        <f t="shared" ref="D145:J145" si="107">D108+D126</f>
        <v>0</v>
      </c>
      <c r="E145" s="130">
        <f t="shared" si="107"/>
        <v>0</v>
      </c>
      <c r="F145" s="130">
        <f t="shared" si="107"/>
        <v>0</v>
      </c>
      <c r="G145" s="130">
        <f t="shared" si="107"/>
        <v>0</v>
      </c>
      <c r="H145" s="130">
        <f t="shared" si="107"/>
        <v>0</v>
      </c>
      <c r="I145" s="130">
        <f t="shared" si="107"/>
        <v>0</v>
      </c>
      <c r="J145" s="130">
        <f t="shared" si="107"/>
        <v>0</v>
      </c>
    </row>
    <row r="146">
      <c r="B146" s="86" t="str">
        <f t="shared" si="103"/>
        <v>Series E</v>
      </c>
      <c r="D146" s="130">
        <f t="shared" ref="D146:J146" si="108">D109+D127</f>
        <v>0</v>
      </c>
      <c r="E146" s="130">
        <f t="shared" si="108"/>
        <v>0</v>
      </c>
      <c r="F146" s="130">
        <f t="shared" si="108"/>
        <v>0</v>
      </c>
      <c r="G146" s="130">
        <f t="shared" si="108"/>
        <v>0</v>
      </c>
      <c r="H146" s="130">
        <f t="shared" si="108"/>
        <v>0</v>
      </c>
      <c r="I146" s="130">
        <f t="shared" si="108"/>
        <v>0</v>
      </c>
      <c r="J146" s="130">
        <f t="shared" si="108"/>
        <v>0</v>
      </c>
    </row>
    <row r="147">
      <c r="B147" s="86" t="str">
        <f t="shared" si="103"/>
        <v>Series D</v>
      </c>
      <c r="D147" s="130">
        <f t="shared" ref="D147:J147" si="109">D110+D128</f>
        <v>0</v>
      </c>
      <c r="E147" s="130">
        <f t="shared" si="109"/>
        <v>0</v>
      </c>
      <c r="F147" s="130">
        <f t="shared" si="109"/>
        <v>0</v>
      </c>
      <c r="G147" s="130">
        <f t="shared" si="109"/>
        <v>0</v>
      </c>
      <c r="H147" s="130">
        <f t="shared" si="109"/>
        <v>0</v>
      </c>
      <c r="I147" s="130">
        <f t="shared" si="109"/>
        <v>0</v>
      </c>
      <c r="J147" s="130">
        <f t="shared" si="109"/>
        <v>0</v>
      </c>
    </row>
    <row r="148">
      <c r="B148" s="86" t="str">
        <f t="shared" si="103"/>
        <v>Series C</v>
      </c>
      <c r="D148" s="130">
        <f t="shared" ref="D148:J148" si="110">D111+D129</f>
        <v>0</v>
      </c>
      <c r="E148" s="130">
        <f t="shared" si="110"/>
        <v>0</v>
      </c>
      <c r="F148" s="130">
        <f t="shared" si="110"/>
        <v>0</v>
      </c>
      <c r="G148" s="130">
        <f t="shared" si="110"/>
        <v>0</v>
      </c>
      <c r="H148" s="130">
        <f t="shared" si="110"/>
        <v>0</v>
      </c>
      <c r="I148" s="130">
        <f t="shared" si="110"/>
        <v>0</v>
      </c>
      <c r="J148" s="130">
        <f t="shared" si="110"/>
        <v>0</v>
      </c>
    </row>
    <row r="149">
      <c r="B149" s="86" t="str">
        <f t="shared" si="103"/>
        <v>Series B</v>
      </c>
      <c r="D149" s="130">
        <f t="shared" ref="D149:J149" si="111">D112+D130</f>
        <v>2000000</v>
      </c>
      <c r="E149" s="130">
        <f t="shared" si="111"/>
        <v>2000000</v>
      </c>
      <c r="F149" s="130">
        <f t="shared" si="111"/>
        <v>2000000</v>
      </c>
      <c r="G149" s="130">
        <f t="shared" si="111"/>
        <v>2000000</v>
      </c>
      <c r="H149" s="130">
        <f t="shared" si="111"/>
        <v>2000000</v>
      </c>
      <c r="I149" s="130">
        <f t="shared" si="111"/>
        <v>2000000</v>
      </c>
      <c r="J149" s="130">
        <f t="shared" si="111"/>
        <v>2000000</v>
      </c>
    </row>
    <row r="150">
      <c r="B150" s="86" t="str">
        <f t="shared" si="103"/>
        <v>Series A</v>
      </c>
      <c r="D150" s="130">
        <f t="shared" ref="D150:J150" si="112">D113+D131</f>
        <v>0</v>
      </c>
      <c r="E150" s="130">
        <f t="shared" si="112"/>
        <v>1000000</v>
      </c>
      <c r="F150" s="130">
        <f t="shared" si="112"/>
        <v>1000000</v>
      </c>
      <c r="G150" s="130">
        <f t="shared" si="112"/>
        <v>1000000</v>
      </c>
      <c r="H150" s="130">
        <f t="shared" si="112"/>
        <v>1000000</v>
      </c>
      <c r="I150" s="130">
        <f t="shared" si="112"/>
        <v>1000000</v>
      </c>
      <c r="J150" s="130">
        <f t="shared" si="112"/>
        <v>1000000</v>
      </c>
    </row>
    <row r="151">
      <c r="B151" s="86" t="str">
        <f t="shared" si="103"/>
        <v>Seed</v>
      </c>
      <c r="D151" s="130">
        <f t="shared" ref="D151:J151" si="113">D114+D132</f>
        <v>0</v>
      </c>
      <c r="E151" s="130">
        <f t="shared" si="113"/>
        <v>0</v>
      </c>
      <c r="F151" s="130">
        <f t="shared" si="113"/>
        <v>500000</v>
      </c>
      <c r="G151" s="130">
        <f t="shared" si="113"/>
        <v>500000</v>
      </c>
      <c r="H151" s="130">
        <f t="shared" si="113"/>
        <v>500000</v>
      </c>
      <c r="I151" s="130">
        <f t="shared" si="113"/>
        <v>500000</v>
      </c>
      <c r="J151" s="130">
        <f t="shared" si="113"/>
        <v>500000</v>
      </c>
    </row>
    <row r="152">
      <c r="B152" s="86" t="str">
        <f t="shared" si="103"/>
        <v>Common</v>
      </c>
      <c r="D152" s="130">
        <f t="shared" ref="D152:J152" si="114">D115+D133</f>
        <v>0</v>
      </c>
      <c r="E152" s="130">
        <f t="shared" si="114"/>
        <v>0</v>
      </c>
      <c r="F152" s="130">
        <f t="shared" si="114"/>
        <v>0</v>
      </c>
      <c r="G152" s="130">
        <f t="shared" si="114"/>
        <v>0</v>
      </c>
      <c r="H152" s="130">
        <f t="shared" si="114"/>
        <v>0</v>
      </c>
      <c r="I152" s="130">
        <f t="shared" si="114"/>
        <v>0</v>
      </c>
      <c r="J152" s="130">
        <f t="shared" si="114"/>
        <v>0</v>
      </c>
    </row>
    <row r="153">
      <c r="B153" s="86" t="str">
        <f t="shared" si="103"/>
        <v>Options</v>
      </c>
      <c r="D153" s="130">
        <f t="shared" ref="D153:J153" si="115">D116+D134</f>
        <v>0</v>
      </c>
      <c r="E153" s="130">
        <f t="shared" si="115"/>
        <v>0</v>
      </c>
      <c r="F153" s="130">
        <f t="shared" si="115"/>
        <v>0</v>
      </c>
      <c r="G153" s="130">
        <f t="shared" si="115"/>
        <v>0</v>
      </c>
      <c r="H153" s="130">
        <f t="shared" si="115"/>
        <v>0</v>
      </c>
      <c r="I153" s="130">
        <f t="shared" si="115"/>
        <v>0</v>
      </c>
      <c r="J153" s="130">
        <f t="shared" si="115"/>
        <v>0</v>
      </c>
    </row>
    <row r="154">
      <c r="B154" s="86" t="str">
        <f t="shared" si="103"/>
        <v>Options</v>
      </c>
      <c r="D154" s="130">
        <f t="shared" ref="D154:J154" si="116">D117+D135</f>
        <v>0</v>
      </c>
      <c r="E154" s="130">
        <f t="shared" si="116"/>
        <v>0</v>
      </c>
      <c r="F154" s="130">
        <f t="shared" si="116"/>
        <v>0</v>
      </c>
      <c r="G154" s="130">
        <f t="shared" si="116"/>
        <v>0</v>
      </c>
      <c r="H154" s="130">
        <f t="shared" si="116"/>
        <v>0</v>
      </c>
      <c r="I154" s="130">
        <f t="shared" si="116"/>
        <v>0</v>
      </c>
      <c r="J154" s="130">
        <f t="shared" si="116"/>
        <v>0</v>
      </c>
    </row>
    <row r="155">
      <c r="B155" s="86" t="str">
        <f t="shared" si="103"/>
        <v>Warrants</v>
      </c>
      <c r="D155" s="130">
        <f t="shared" ref="D155:J155" si="117">D118+D136</f>
        <v>0</v>
      </c>
      <c r="E155" s="130">
        <f t="shared" si="117"/>
        <v>0</v>
      </c>
      <c r="F155" s="130">
        <f t="shared" si="117"/>
        <v>0</v>
      </c>
      <c r="G155" s="130">
        <f t="shared" si="117"/>
        <v>0</v>
      </c>
      <c r="H155" s="130">
        <f t="shared" si="117"/>
        <v>0</v>
      </c>
      <c r="I155" s="130">
        <f t="shared" si="117"/>
        <v>0</v>
      </c>
      <c r="J155" s="130">
        <f t="shared" si="117"/>
        <v>0</v>
      </c>
    </row>
    <row r="156">
      <c r="B156" s="124" t="s">
        <v>103</v>
      </c>
      <c r="D156" s="117">
        <f t="shared" ref="D156:J156" si="118">sum(D141:D155)</f>
        <v>2000000</v>
      </c>
      <c r="E156" s="117">
        <f t="shared" si="118"/>
        <v>3000000</v>
      </c>
      <c r="F156" s="117">
        <f t="shared" si="118"/>
        <v>3500000</v>
      </c>
      <c r="G156" s="117">
        <f t="shared" si="118"/>
        <v>3500000</v>
      </c>
      <c r="H156" s="117">
        <f t="shared" si="118"/>
        <v>3500000</v>
      </c>
      <c r="I156" s="117">
        <f t="shared" si="118"/>
        <v>3500000</v>
      </c>
      <c r="J156" s="117">
        <f t="shared" si="118"/>
        <v>3500000</v>
      </c>
    </row>
    <row r="157">
      <c r="B157" s="125" t="s">
        <v>245</v>
      </c>
      <c r="D157" s="122">
        <f t="shared" ref="D157:J157" si="119">D156-D46</f>
        <v>0</v>
      </c>
      <c r="E157" s="122">
        <f t="shared" si="119"/>
        <v>0</v>
      </c>
      <c r="F157" s="122">
        <f t="shared" si="119"/>
        <v>-500000</v>
      </c>
      <c r="G157" s="122">
        <f t="shared" si="119"/>
        <v>-4500000</v>
      </c>
      <c r="H157" s="122">
        <f t="shared" si="119"/>
        <v>-12500000</v>
      </c>
      <c r="I157" s="122">
        <f t="shared" si="119"/>
        <v>-28500000</v>
      </c>
      <c r="J157" s="122">
        <f t="shared" si="119"/>
        <v>-60500000</v>
      </c>
    </row>
    <row r="158">
      <c r="B158" s="125"/>
      <c r="D158" s="122"/>
      <c r="E158" s="122"/>
      <c r="F158" s="122"/>
      <c r="G158" s="122"/>
      <c r="H158" s="122"/>
      <c r="I158" s="122"/>
      <c r="J158" s="122"/>
    </row>
    <row r="159">
      <c r="B159" s="125" t="s">
        <v>246</v>
      </c>
      <c r="D159" s="122"/>
      <c r="E159" s="122"/>
      <c r="F159" s="122"/>
      <c r="G159" s="122"/>
      <c r="H159" s="122"/>
      <c r="I159" s="122"/>
      <c r="J159" s="122"/>
    </row>
    <row r="160">
      <c r="B160" s="86" t="str">
        <f t="shared" ref="B160:B174" si="121">B23</f>
        <v>Series J</v>
      </c>
      <c r="D160" s="133">
        <f t="shared" ref="D160:J160" si="120">iferror(sum(D122,D104) /  if( or($D23="options", $D23 = "warrants") , D86 , $G23 ) ,0)</f>
        <v>0</v>
      </c>
      <c r="E160" s="133">
        <f t="shared" si="120"/>
        <v>0</v>
      </c>
      <c r="F160" s="133">
        <f t="shared" si="120"/>
        <v>0</v>
      </c>
      <c r="G160" s="133">
        <f t="shared" si="120"/>
        <v>0</v>
      </c>
      <c r="H160" s="133">
        <f t="shared" si="120"/>
        <v>0</v>
      </c>
      <c r="I160" s="133">
        <f t="shared" si="120"/>
        <v>0</v>
      </c>
      <c r="J160" s="133">
        <f t="shared" si="120"/>
        <v>0</v>
      </c>
    </row>
    <row r="161">
      <c r="B161" s="86" t="str">
        <f t="shared" si="121"/>
        <v>Series I</v>
      </c>
      <c r="D161" s="133">
        <f t="shared" ref="D161:J161" si="122">iferror(sum(D123,D105) /  if( or($D24="options", $D24 = "warrants") , D87 , $G24 ) ,0)</f>
        <v>0</v>
      </c>
      <c r="E161" s="133">
        <f t="shared" si="122"/>
        <v>0</v>
      </c>
      <c r="F161" s="133">
        <f t="shared" si="122"/>
        <v>0</v>
      </c>
      <c r="G161" s="133">
        <f t="shared" si="122"/>
        <v>0</v>
      </c>
      <c r="H161" s="133">
        <f t="shared" si="122"/>
        <v>0</v>
      </c>
      <c r="I161" s="133">
        <f t="shared" si="122"/>
        <v>0</v>
      </c>
      <c r="J161" s="133">
        <f t="shared" si="122"/>
        <v>0</v>
      </c>
    </row>
    <row r="162">
      <c r="B162" s="86" t="str">
        <f t="shared" si="121"/>
        <v>Series H</v>
      </c>
      <c r="D162" s="133">
        <f t="shared" ref="D162:J162" si="123">iferror(sum(D124,D106) /  if( or($D25="options", $D25 = "warrants") , D88 , $G25 ) ,0)</f>
        <v>0</v>
      </c>
      <c r="E162" s="133">
        <f t="shared" si="123"/>
        <v>0</v>
      </c>
      <c r="F162" s="133">
        <f t="shared" si="123"/>
        <v>0</v>
      </c>
      <c r="G162" s="133">
        <f t="shared" si="123"/>
        <v>0</v>
      </c>
      <c r="H162" s="133">
        <f t="shared" si="123"/>
        <v>0</v>
      </c>
      <c r="I162" s="133">
        <f t="shared" si="123"/>
        <v>0</v>
      </c>
      <c r="J162" s="133">
        <f t="shared" si="123"/>
        <v>0</v>
      </c>
    </row>
    <row r="163">
      <c r="B163" s="86" t="str">
        <f t="shared" si="121"/>
        <v>Series G</v>
      </c>
      <c r="D163" s="133">
        <f t="shared" ref="D163:J163" si="124">iferror(sum(D125,D107) /  if( or($D26="options", $D26 = "warrants") , D89 , $G26 ) ,0)</f>
        <v>0</v>
      </c>
      <c r="E163" s="133">
        <f t="shared" si="124"/>
        <v>0</v>
      </c>
      <c r="F163" s="133">
        <f t="shared" si="124"/>
        <v>0</v>
      </c>
      <c r="G163" s="133">
        <f t="shared" si="124"/>
        <v>0</v>
      </c>
      <c r="H163" s="133">
        <f t="shared" si="124"/>
        <v>0</v>
      </c>
      <c r="I163" s="133">
        <f t="shared" si="124"/>
        <v>0</v>
      </c>
      <c r="J163" s="133">
        <f t="shared" si="124"/>
        <v>0</v>
      </c>
    </row>
    <row r="164">
      <c r="B164" s="86" t="str">
        <f t="shared" si="121"/>
        <v>Series F</v>
      </c>
      <c r="D164" s="133">
        <f t="shared" ref="D164:J164" si="125">iferror(sum(D126,D108) /  if( or($D27="options", $D27 = "warrants") , D90 , $G27 ) ,0)</f>
        <v>0</v>
      </c>
      <c r="E164" s="133">
        <f t="shared" si="125"/>
        <v>0</v>
      </c>
      <c r="F164" s="133">
        <f t="shared" si="125"/>
        <v>0</v>
      </c>
      <c r="G164" s="133">
        <f t="shared" si="125"/>
        <v>0</v>
      </c>
      <c r="H164" s="133">
        <f t="shared" si="125"/>
        <v>0</v>
      </c>
      <c r="I164" s="133">
        <f t="shared" si="125"/>
        <v>0</v>
      </c>
      <c r="J164" s="133">
        <f t="shared" si="125"/>
        <v>0</v>
      </c>
    </row>
    <row r="165">
      <c r="B165" s="86" t="str">
        <f t="shared" si="121"/>
        <v>Series E</v>
      </c>
      <c r="D165" s="133">
        <f t="shared" ref="D165:J165" si="126">iferror(sum(D127,D109) /  if( or($D28="options", $D28 = "warrants") , D91 , $G28 ) ,0)</f>
        <v>0</v>
      </c>
      <c r="E165" s="133">
        <f t="shared" si="126"/>
        <v>0</v>
      </c>
      <c r="F165" s="133">
        <f t="shared" si="126"/>
        <v>0</v>
      </c>
      <c r="G165" s="133">
        <f t="shared" si="126"/>
        <v>0</v>
      </c>
      <c r="H165" s="133">
        <f t="shared" si="126"/>
        <v>0</v>
      </c>
      <c r="I165" s="133">
        <f t="shared" si="126"/>
        <v>0</v>
      </c>
      <c r="J165" s="133">
        <f t="shared" si="126"/>
        <v>0</v>
      </c>
    </row>
    <row r="166">
      <c r="B166" s="86" t="str">
        <f t="shared" si="121"/>
        <v>Series D</v>
      </c>
      <c r="D166" s="133">
        <f t="shared" ref="D166:J166" si="127">iferror(sum(D128,D110) /  if( or($D29="options", $D29 = "warrants") , D92 , $G29 ) ,0)</f>
        <v>0</v>
      </c>
      <c r="E166" s="133">
        <f t="shared" si="127"/>
        <v>0</v>
      </c>
      <c r="F166" s="133">
        <f t="shared" si="127"/>
        <v>0</v>
      </c>
      <c r="G166" s="133">
        <f t="shared" si="127"/>
        <v>0</v>
      </c>
      <c r="H166" s="133">
        <f t="shared" si="127"/>
        <v>0</v>
      </c>
      <c r="I166" s="133">
        <f t="shared" si="127"/>
        <v>0</v>
      </c>
      <c r="J166" s="133">
        <f t="shared" si="127"/>
        <v>0</v>
      </c>
    </row>
    <row r="167">
      <c r="B167" s="86" t="str">
        <f t="shared" si="121"/>
        <v>Series C</v>
      </c>
      <c r="D167" s="133">
        <f t="shared" ref="D167:J167" si="128">iferror(sum(D129,D111) /  if( or($D30="options", $D30 = "warrants") , D93 , $G30 ) ,0)</f>
        <v>0</v>
      </c>
      <c r="E167" s="133">
        <f t="shared" si="128"/>
        <v>0</v>
      </c>
      <c r="F167" s="133">
        <f t="shared" si="128"/>
        <v>0</v>
      </c>
      <c r="G167" s="133">
        <f t="shared" si="128"/>
        <v>0</v>
      </c>
      <c r="H167" s="133">
        <f t="shared" si="128"/>
        <v>0</v>
      </c>
      <c r="I167" s="133">
        <f t="shared" si="128"/>
        <v>0</v>
      </c>
      <c r="J167" s="133">
        <f t="shared" si="128"/>
        <v>0</v>
      </c>
    </row>
    <row r="168">
      <c r="B168" s="86" t="str">
        <f t="shared" si="121"/>
        <v>Series B</v>
      </c>
      <c r="D168" s="133">
        <f t="shared" ref="D168:J168" si="129">iferror(sum(D130,D112) /  if( or($D31="options", $D31 = "warrants") , D94 , $G31 ) ,0)</f>
        <v>1</v>
      </c>
      <c r="E168" s="133">
        <f t="shared" si="129"/>
        <v>1</v>
      </c>
      <c r="F168" s="133">
        <f t="shared" si="129"/>
        <v>1</v>
      </c>
      <c r="G168" s="133">
        <f t="shared" si="129"/>
        <v>1</v>
      </c>
      <c r="H168" s="133">
        <f t="shared" si="129"/>
        <v>1</v>
      </c>
      <c r="I168" s="133">
        <f t="shared" si="129"/>
        <v>1</v>
      </c>
      <c r="J168" s="133">
        <f t="shared" si="129"/>
        <v>1</v>
      </c>
    </row>
    <row r="169">
      <c r="B169" s="86" t="str">
        <f t="shared" si="121"/>
        <v>Series A</v>
      </c>
      <c r="D169" s="133">
        <f t="shared" ref="D169:J169" si="130">iferror(sum(D131,D113) /  if( or($D32="options", $D32 = "warrants") , D95 , $G32 ) ,0)</f>
        <v>0</v>
      </c>
      <c r="E169" s="133">
        <f t="shared" si="130"/>
        <v>0.5</v>
      </c>
      <c r="F169" s="133">
        <f t="shared" si="130"/>
        <v>0.5</v>
      </c>
      <c r="G169" s="133">
        <f t="shared" si="130"/>
        <v>0.5</v>
      </c>
      <c r="H169" s="133">
        <f t="shared" si="130"/>
        <v>0.5</v>
      </c>
      <c r="I169" s="133">
        <f t="shared" si="130"/>
        <v>0.5</v>
      </c>
      <c r="J169" s="133">
        <f t="shared" si="130"/>
        <v>0.5</v>
      </c>
    </row>
    <row r="170">
      <c r="B170" s="86" t="str">
        <f t="shared" si="121"/>
        <v>Seed</v>
      </c>
      <c r="D170" s="133">
        <f t="shared" ref="D170:J170" si="131">iferror(sum(D132,D114) /  if( or($D33="options", $D33 = "warrants") , D96 , $G33 ) ,0)</f>
        <v>0</v>
      </c>
      <c r="E170" s="133">
        <f t="shared" si="131"/>
        <v>0</v>
      </c>
      <c r="F170" s="133">
        <f t="shared" si="131"/>
        <v>0.1</v>
      </c>
      <c r="G170" s="133">
        <f t="shared" si="131"/>
        <v>0.1</v>
      </c>
      <c r="H170" s="133">
        <f t="shared" si="131"/>
        <v>0.1</v>
      </c>
      <c r="I170" s="133">
        <f t="shared" si="131"/>
        <v>0.1</v>
      </c>
      <c r="J170" s="133">
        <f t="shared" si="131"/>
        <v>0.1</v>
      </c>
    </row>
    <row r="171">
      <c r="B171" s="86" t="str">
        <f t="shared" si="121"/>
        <v>Common</v>
      </c>
      <c r="D171" s="133">
        <f t="shared" ref="D171:J171" si="132">iferror(sum(D133,D115) /  if( or($D34="options", $D34 = "warrants") , D97 , $G34 ) ,0)</f>
        <v>0</v>
      </c>
      <c r="E171" s="133">
        <f t="shared" si="132"/>
        <v>0</v>
      </c>
      <c r="F171" s="133">
        <f t="shared" si="132"/>
        <v>0</v>
      </c>
      <c r="G171" s="133">
        <f t="shared" si="132"/>
        <v>0</v>
      </c>
      <c r="H171" s="133">
        <f t="shared" si="132"/>
        <v>0</v>
      </c>
      <c r="I171" s="133">
        <f t="shared" si="132"/>
        <v>0</v>
      </c>
      <c r="J171" s="133">
        <f t="shared" si="132"/>
        <v>0</v>
      </c>
    </row>
    <row r="172">
      <c r="B172" s="86" t="str">
        <f t="shared" si="121"/>
        <v>Options</v>
      </c>
      <c r="D172" s="133">
        <f t="shared" ref="D172:J172" si="133">iferror(sum(D134,D116) /  if( or($D35="options", $D35 = "warrants") , D98 , $G35 ) ,0)</f>
        <v>0</v>
      </c>
      <c r="E172" s="133">
        <f t="shared" si="133"/>
        <v>0</v>
      </c>
      <c r="F172" s="133">
        <f t="shared" si="133"/>
        <v>0</v>
      </c>
      <c r="G172" s="133">
        <f t="shared" si="133"/>
        <v>0</v>
      </c>
      <c r="H172" s="133">
        <f t="shared" si="133"/>
        <v>0</v>
      </c>
      <c r="I172" s="133">
        <f t="shared" si="133"/>
        <v>0</v>
      </c>
      <c r="J172" s="133">
        <f t="shared" si="133"/>
        <v>0</v>
      </c>
    </row>
    <row r="173">
      <c r="B173" s="86" t="str">
        <f t="shared" si="121"/>
        <v>Options</v>
      </c>
      <c r="D173" s="133">
        <f t="shared" ref="D173:J173" si="134">iferror(sum(D135,D117) /  if( or($D36="options", $D36 = "warrants") , D99 , $G36 ) ,0)</f>
        <v>0</v>
      </c>
      <c r="E173" s="133">
        <f t="shared" si="134"/>
        <v>0</v>
      </c>
      <c r="F173" s="133">
        <f t="shared" si="134"/>
        <v>0</v>
      </c>
      <c r="G173" s="133">
        <f t="shared" si="134"/>
        <v>0</v>
      </c>
      <c r="H173" s="133">
        <f t="shared" si="134"/>
        <v>0</v>
      </c>
      <c r="I173" s="133">
        <f t="shared" si="134"/>
        <v>0</v>
      </c>
      <c r="J173" s="133">
        <f t="shared" si="134"/>
        <v>0</v>
      </c>
    </row>
    <row r="174">
      <c r="B174" s="86" t="str">
        <f t="shared" si="121"/>
        <v>Warrants</v>
      </c>
      <c r="D174" s="133">
        <f t="shared" ref="D174:J174" si="135">iferror(sum(D136,D118) /  if( or($D37="options", $D37 = "warrants") , D100 , $G37 ) ,0)</f>
        <v>0</v>
      </c>
      <c r="E174" s="133">
        <f t="shared" si="135"/>
        <v>0</v>
      </c>
      <c r="F174" s="133">
        <f t="shared" si="135"/>
        <v>0</v>
      </c>
      <c r="G174" s="133">
        <f t="shared" si="135"/>
        <v>0</v>
      </c>
      <c r="H174" s="133">
        <f t="shared" si="135"/>
        <v>0</v>
      </c>
      <c r="I174" s="133">
        <f t="shared" si="135"/>
        <v>0</v>
      </c>
      <c r="J174" s="133">
        <f t="shared" si="135"/>
        <v>0</v>
      </c>
    </row>
    <row r="175">
      <c r="B175" s="124"/>
      <c r="D175" s="122"/>
      <c r="E175" s="122"/>
      <c r="F175" s="122"/>
      <c r="G175" s="122"/>
      <c r="H175" s="122"/>
      <c r="I175" s="122"/>
      <c r="J175" s="122"/>
    </row>
    <row r="176">
      <c r="B176" s="125" t="s">
        <v>247</v>
      </c>
      <c r="D176" s="135">
        <v>1.0</v>
      </c>
      <c r="E176" s="135">
        <v>1.0</v>
      </c>
      <c r="F176" s="135">
        <v>1.0</v>
      </c>
      <c r="G176" s="135">
        <v>1.0</v>
      </c>
      <c r="H176" s="135">
        <v>1.0</v>
      </c>
      <c r="I176" s="135">
        <v>1.0</v>
      </c>
      <c r="J176" s="135">
        <v>1.0</v>
      </c>
      <c r="L176" s="15" t="s">
        <v>248</v>
      </c>
    </row>
    <row r="177">
      <c r="B177" s="86" t="str">
        <f t="shared" ref="B177:B191" si="137">B50</f>
        <v>Series J</v>
      </c>
      <c r="D177" s="130">
        <f t="shared" ref="D177:J177" si="136">D$176*D141</f>
        <v>0</v>
      </c>
      <c r="E177" s="130">
        <f t="shared" si="136"/>
        <v>0</v>
      </c>
      <c r="F177" s="130">
        <f t="shared" si="136"/>
        <v>0</v>
      </c>
      <c r="G177" s="130">
        <f t="shared" si="136"/>
        <v>0</v>
      </c>
      <c r="H177" s="130">
        <f t="shared" si="136"/>
        <v>0</v>
      </c>
      <c r="I177" s="130">
        <f t="shared" si="136"/>
        <v>0</v>
      </c>
      <c r="J177" s="130">
        <f t="shared" si="136"/>
        <v>0</v>
      </c>
    </row>
    <row r="178">
      <c r="B178" s="86" t="str">
        <f t="shared" si="137"/>
        <v>Series I</v>
      </c>
      <c r="D178" s="130">
        <f t="shared" ref="D178:J178" si="138">D$176*D142</f>
        <v>0</v>
      </c>
      <c r="E178" s="130">
        <f t="shared" si="138"/>
        <v>0</v>
      </c>
      <c r="F178" s="130">
        <f t="shared" si="138"/>
        <v>0</v>
      </c>
      <c r="G178" s="130">
        <f t="shared" si="138"/>
        <v>0</v>
      </c>
      <c r="H178" s="130">
        <f t="shared" si="138"/>
        <v>0</v>
      </c>
      <c r="I178" s="130">
        <f t="shared" si="138"/>
        <v>0</v>
      </c>
      <c r="J178" s="130">
        <f t="shared" si="138"/>
        <v>0</v>
      </c>
    </row>
    <row r="179">
      <c r="B179" s="86" t="str">
        <f t="shared" si="137"/>
        <v>Series H</v>
      </c>
      <c r="D179" s="130">
        <f t="shared" ref="D179:J179" si="139">D$176*D143</f>
        <v>0</v>
      </c>
      <c r="E179" s="130">
        <f t="shared" si="139"/>
        <v>0</v>
      </c>
      <c r="F179" s="130">
        <f t="shared" si="139"/>
        <v>0</v>
      </c>
      <c r="G179" s="130">
        <f t="shared" si="139"/>
        <v>0</v>
      </c>
      <c r="H179" s="130">
        <f t="shared" si="139"/>
        <v>0</v>
      </c>
      <c r="I179" s="130">
        <f t="shared" si="139"/>
        <v>0</v>
      </c>
      <c r="J179" s="130">
        <f t="shared" si="139"/>
        <v>0</v>
      </c>
    </row>
    <row r="180">
      <c r="B180" s="86" t="str">
        <f t="shared" si="137"/>
        <v>Series G</v>
      </c>
      <c r="D180" s="130">
        <f t="shared" ref="D180:J180" si="140">D$176*D144</f>
        <v>0</v>
      </c>
      <c r="E180" s="130">
        <f t="shared" si="140"/>
        <v>0</v>
      </c>
      <c r="F180" s="130">
        <f t="shared" si="140"/>
        <v>0</v>
      </c>
      <c r="G180" s="130">
        <f t="shared" si="140"/>
        <v>0</v>
      </c>
      <c r="H180" s="130">
        <f t="shared" si="140"/>
        <v>0</v>
      </c>
      <c r="I180" s="130">
        <f t="shared" si="140"/>
        <v>0</v>
      </c>
      <c r="J180" s="130">
        <f t="shared" si="140"/>
        <v>0</v>
      </c>
    </row>
    <row r="181">
      <c r="B181" s="86" t="str">
        <f t="shared" si="137"/>
        <v>Series F</v>
      </c>
      <c r="D181" s="130">
        <f t="shared" ref="D181:J181" si="141">D$176*D145</f>
        <v>0</v>
      </c>
      <c r="E181" s="130">
        <f t="shared" si="141"/>
        <v>0</v>
      </c>
      <c r="F181" s="130">
        <f t="shared" si="141"/>
        <v>0</v>
      </c>
      <c r="G181" s="130">
        <f t="shared" si="141"/>
        <v>0</v>
      </c>
      <c r="H181" s="130">
        <f t="shared" si="141"/>
        <v>0</v>
      </c>
      <c r="I181" s="130">
        <f t="shared" si="141"/>
        <v>0</v>
      </c>
      <c r="J181" s="130">
        <f t="shared" si="141"/>
        <v>0</v>
      </c>
    </row>
    <row r="182">
      <c r="B182" s="86" t="str">
        <f t="shared" si="137"/>
        <v>Series E</v>
      </c>
      <c r="D182" s="130">
        <f t="shared" ref="D182:J182" si="142">D$176*D146</f>
        <v>0</v>
      </c>
      <c r="E182" s="130">
        <f t="shared" si="142"/>
        <v>0</v>
      </c>
      <c r="F182" s="130">
        <f t="shared" si="142"/>
        <v>0</v>
      </c>
      <c r="G182" s="130">
        <f t="shared" si="142"/>
        <v>0</v>
      </c>
      <c r="H182" s="130">
        <f t="shared" si="142"/>
        <v>0</v>
      </c>
      <c r="I182" s="130">
        <f t="shared" si="142"/>
        <v>0</v>
      </c>
      <c r="J182" s="130">
        <f t="shared" si="142"/>
        <v>0</v>
      </c>
    </row>
    <row r="183">
      <c r="B183" s="86" t="str">
        <f t="shared" si="137"/>
        <v>Series D</v>
      </c>
      <c r="D183" s="130">
        <f t="shared" ref="D183:J183" si="143">D$176*D147</f>
        <v>0</v>
      </c>
      <c r="E183" s="130">
        <f t="shared" si="143"/>
        <v>0</v>
      </c>
      <c r="F183" s="130">
        <f t="shared" si="143"/>
        <v>0</v>
      </c>
      <c r="G183" s="130">
        <f t="shared" si="143"/>
        <v>0</v>
      </c>
      <c r="H183" s="130">
        <f t="shared" si="143"/>
        <v>0</v>
      </c>
      <c r="I183" s="130">
        <f t="shared" si="143"/>
        <v>0</v>
      </c>
      <c r="J183" s="130">
        <f t="shared" si="143"/>
        <v>0</v>
      </c>
    </row>
    <row r="184">
      <c r="B184" s="86" t="str">
        <f t="shared" si="137"/>
        <v>Series C</v>
      </c>
      <c r="D184" s="130">
        <f t="shared" ref="D184:J184" si="144">D$176*D148</f>
        <v>0</v>
      </c>
      <c r="E184" s="130">
        <f t="shared" si="144"/>
        <v>0</v>
      </c>
      <c r="F184" s="130">
        <f t="shared" si="144"/>
        <v>0</v>
      </c>
      <c r="G184" s="130">
        <f t="shared" si="144"/>
        <v>0</v>
      </c>
      <c r="H184" s="130">
        <f t="shared" si="144"/>
        <v>0</v>
      </c>
      <c r="I184" s="130">
        <f t="shared" si="144"/>
        <v>0</v>
      </c>
      <c r="J184" s="130">
        <f t="shared" si="144"/>
        <v>0</v>
      </c>
    </row>
    <row r="185">
      <c r="B185" s="86" t="str">
        <f t="shared" si="137"/>
        <v>Series B</v>
      </c>
      <c r="D185" s="130">
        <f t="shared" ref="D185:J185" si="145">D$176*D149</f>
        <v>2000000</v>
      </c>
      <c r="E185" s="130">
        <f t="shared" si="145"/>
        <v>2000000</v>
      </c>
      <c r="F185" s="130">
        <f t="shared" si="145"/>
        <v>2000000</v>
      </c>
      <c r="G185" s="130">
        <f t="shared" si="145"/>
        <v>2000000</v>
      </c>
      <c r="H185" s="130">
        <f t="shared" si="145"/>
        <v>2000000</v>
      </c>
      <c r="I185" s="130">
        <f t="shared" si="145"/>
        <v>2000000</v>
      </c>
      <c r="J185" s="130">
        <f t="shared" si="145"/>
        <v>2000000</v>
      </c>
    </row>
    <row r="186">
      <c r="B186" s="86" t="str">
        <f t="shared" si="137"/>
        <v>Series A</v>
      </c>
      <c r="D186" s="130">
        <f t="shared" ref="D186:J186" si="146">D$176*D150</f>
        <v>0</v>
      </c>
      <c r="E186" s="130">
        <f t="shared" si="146"/>
        <v>1000000</v>
      </c>
      <c r="F186" s="130">
        <f t="shared" si="146"/>
        <v>1000000</v>
      </c>
      <c r="G186" s="130">
        <f t="shared" si="146"/>
        <v>1000000</v>
      </c>
      <c r="H186" s="130">
        <f t="shared" si="146"/>
        <v>1000000</v>
      </c>
      <c r="I186" s="130">
        <f t="shared" si="146"/>
        <v>1000000</v>
      </c>
      <c r="J186" s="130">
        <f t="shared" si="146"/>
        <v>1000000</v>
      </c>
    </row>
    <row r="187">
      <c r="B187" s="86" t="str">
        <f t="shared" si="137"/>
        <v>Seed</v>
      </c>
      <c r="D187" s="130">
        <f t="shared" ref="D187:J187" si="147">D$176*D151</f>
        <v>0</v>
      </c>
      <c r="E187" s="130">
        <f t="shared" si="147"/>
        <v>0</v>
      </c>
      <c r="F187" s="130">
        <f t="shared" si="147"/>
        <v>500000</v>
      </c>
      <c r="G187" s="130">
        <f t="shared" si="147"/>
        <v>500000</v>
      </c>
      <c r="H187" s="130">
        <f t="shared" si="147"/>
        <v>500000</v>
      </c>
      <c r="I187" s="130">
        <f t="shared" si="147"/>
        <v>500000</v>
      </c>
      <c r="J187" s="130">
        <f t="shared" si="147"/>
        <v>500000</v>
      </c>
    </row>
    <row r="188">
      <c r="B188" s="86" t="str">
        <f t="shared" si="137"/>
        <v>Common</v>
      </c>
      <c r="D188" s="130">
        <f t="shared" ref="D188:J188" si="148">D$176*D152</f>
        <v>0</v>
      </c>
      <c r="E188" s="130">
        <f t="shared" si="148"/>
        <v>0</v>
      </c>
      <c r="F188" s="130">
        <f t="shared" si="148"/>
        <v>0</v>
      </c>
      <c r="G188" s="130">
        <f t="shared" si="148"/>
        <v>0</v>
      </c>
      <c r="H188" s="130">
        <f t="shared" si="148"/>
        <v>0</v>
      </c>
      <c r="I188" s="130">
        <f t="shared" si="148"/>
        <v>0</v>
      </c>
      <c r="J188" s="130">
        <f t="shared" si="148"/>
        <v>0</v>
      </c>
    </row>
    <row r="189">
      <c r="B189" s="86" t="str">
        <f t="shared" si="137"/>
        <v>Options</v>
      </c>
      <c r="D189" s="130">
        <f t="shared" ref="D189:J189" si="149">D$176*D153</f>
        <v>0</v>
      </c>
      <c r="E189" s="130">
        <f t="shared" si="149"/>
        <v>0</v>
      </c>
      <c r="F189" s="130">
        <f t="shared" si="149"/>
        <v>0</v>
      </c>
      <c r="G189" s="130">
        <f t="shared" si="149"/>
        <v>0</v>
      </c>
      <c r="H189" s="130">
        <f t="shared" si="149"/>
        <v>0</v>
      </c>
      <c r="I189" s="130">
        <f t="shared" si="149"/>
        <v>0</v>
      </c>
      <c r="J189" s="130">
        <f t="shared" si="149"/>
        <v>0</v>
      </c>
    </row>
    <row r="190">
      <c r="B190" s="86" t="str">
        <f t="shared" si="137"/>
        <v>Options</v>
      </c>
      <c r="D190" s="130">
        <f t="shared" ref="D190:J190" si="150">D$176*D154</f>
        <v>0</v>
      </c>
      <c r="E190" s="130">
        <f t="shared" si="150"/>
        <v>0</v>
      </c>
      <c r="F190" s="130">
        <f t="shared" si="150"/>
        <v>0</v>
      </c>
      <c r="G190" s="130">
        <f t="shared" si="150"/>
        <v>0</v>
      </c>
      <c r="H190" s="130">
        <f t="shared" si="150"/>
        <v>0</v>
      </c>
      <c r="I190" s="130">
        <f t="shared" si="150"/>
        <v>0</v>
      </c>
      <c r="J190" s="130">
        <f t="shared" si="150"/>
        <v>0</v>
      </c>
    </row>
    <row r="191">
      <c r="B191" s="86" t="str">
        <f t="shared" si="137"/>
        <v>Warrants</v>
      </c>
      <c r="D191" s="130">
        <f t="shared" ref="D191:J191" si="151">D$176*D155</f>
        <v>0</v>
      </c>
      <c r="E191" s="130">
        <f t="shared" si="151"/>
        <v>0</v>
      </c>
      <c r="F191" s="130">
        <f t="shared" si="151"/>
        <v>0</v>
      </c>
      <c r="G191" s="130">
        <f t="shared" si="151"/>
        <v>0</v>
      </c>
      <c r="H191" s="130">
        <f t="shared" si="151"/>
        <v>0</v>
      </c>
      <c r="I191" s="130">
        <f t="shared" si="151"/>
        <v>0</v>
      </c>
      <c r="J191" s="130">
        <f t="shared" si="151"/>
        <v>0</v>
      </c>
    </row>
    <row r="192">
      <c r="B192" s="124"/>
      <c r="D192" s="122"/>
      <c r="E192" s="122"/>
      <c r="F192" s="122"/>
      <c r="G192" s="122"/>
      <c r="H192" s="122"/>
      <c r="I192" s="122"/>
      <c r="J192" s="122"/>
    </row>
    <row r="193">
      <c r="B193" s="124" t="s">
        <v>249</v>
      </c>
      <c r="D193" s="120">
        <v>0.0</v>
      </c>
      <c r="E193" s="120">
        <v>0.0</v>
      </c>
      <c r="F193" s="120">
        <v>0.0</v>
      </c>
      <c r="G193" s="120">
        <v>0.0</v>
      </c>
      <c r="H193" s="120">
        <v>0.0</v>
      </c>
      <c r="I193" s="120">
        <v>0.0</v>
      </c>
      <c r="J193" s="120">
        <v>0.0</v>
      </c>
      <c r="L193" s="15" t="s">
        <v>250</v>
      </c>
    </row>
    <row r="194">
      <c r="B194" s="124" t="str">
        <f t="shared" ref="B194:B208" si="153">B50</f>
        <v>Series J</v>
      </c>
      <c r="D194" s="122">
        <f t="shared" ref="D194:J194" si="152">iferror( (D141-D177) / D$193 ,0)</f>
        <v>0</v>
      </c>
      <c r="E194" s="122">
        <f t="shared" si="152"/>
        <v>0</v>
      </c>
      <c r="F194" s="122">
        <f t="shared" si="152"/>
        <v>0</v>
      </c>
      <c r="G194" s="122">
        <f t="shared" si="152"/>
        <v>0</v>
      </c>
      <c r="H194" s="122">
        <f t="shared" si="152"/>
        <v>0</v>
      </c>
      <c r="I194" s="122">
        <f t="shared" si="152"/>
        <v>0</v>
      </c>
      <c r="J194" s="122">
        <f t="shared" si="152"/>
        <v>0</v>
      </c>
    </row>
    <row r="195">
      <c r="B195" s="124" t="str">
        <f t="shared" si="153"/>
        <v>Series I</v>
      </c>
      <c r="D195" s="122">
        <f t="shared" ref="D195:J195" si="154">iferror( (D142-D178) / D$193 ,0)</f>
        <v>0</v>
      </c>
      <c r="E195" s="122">
        <f t="shared" si="154"/>
        <v>0</v>
      </c>
      <c r="F195" s="122">
        <f t="shared" si="154"/>
        <v>0</v>
      </c>
      <c r="G195" s="122">
        <f t="shared" si="154"/>
        <v>0</v>
      </c>
      <c r="H195" s="122">
        <f t="shared" si="154"/>
        <v>0</v>
      </c>
      <c r="I195" s="122">
        <f t="shared" si="154"/>
        <v>0</v>
      </c>
      <c r="J195" s="122">
        <f t="shared" si="154"/>
        <v>0</v>
      </c>
    </row>
    <row r="196">
      <c r="B196" s="124" t="str">
        <f t="shared" si="153"/>
        <v>Series H</v>
      </c>
      <c r="D196" s="122">
        <f t="shared" ref="D196:J196" si="155">iferror( (D143-D179) / D$193 ,0)</f>
        <v>0</v>
      </c>
      <c r="E196" s="122">
        <f t="shared" si="155"/>
        <v>0</v>
      </c>
      <c r="F196" s="122">
        <f t="shared" si="155"/>
        <v>0</v>
      </c>
      <c r="G196" s="122">
        <f t="shared" si="155"/>
        <v>0</v>
      </c>
      <c r="H196" s="122">
        <f t="shared" si="155"/>
        <v>0</v>
      </c>
      <c r="I196" s="122">
        <f t="shared" si="155"/>
        <v>0</v>
      </c>
      <c r="J196" s="122">
        <f t="shared" si="155"/>
        <v>0</v>
      </c>
    </row>
    <row r="197">
      <c r="B197" s="124" t="str">
        <f t="shared" si="153"/>
        <v>Series G</v>
      </c>
      <c r="D197" s="122">
        <f t="shared" ref="D197:J197" si="156">iferror( (D144-D180) / D$193 ,0)</f>
        <v>0</v>
      </c>
      <c r="E197" s="122">
        <f t="shared" si="156"/>
        <v>0</v>
      </c>
      <c r="F197" s="122">
        <f t="shared" si="156"/>
        <v>0</v>
      </c>
      <c r="G197" s="122">
        <f t="shared" si="156"/>
        <v>0</v>
      </c>
      <c r="H197" s="122">
        <f t="shared" si="156"/>
        <v>0</v>
      </c>
      <c r="I197" s="122">
        <f t="shared" si="156"/>
        <v>0</v>
      </c>
      <c r="J197" s="122">
        <f t="shared" si="156"/>
        <v>0</v>
      </c>
    </row>
    <row r="198">
      <c r="B198" s="124" t="str">
        <f t="shared" si="153"/>
        <v>Series F</v>
      </c>
      <c r="D198" s="122">
        <f t="shared" ref="D198:J198" si="157">iferror( (D145-D181) / D$193 ,0)</f>
        <v>0</v>
      </c>
      <c r="E198" s="122">
        <f t="shared" si="157"/>
        <v>0</v>
      </c>
      <c r="F198" s="122">
        <f t="shared" si="157"/>
        <v>0</v>
      </c>
      <c r="G198" s="122">
        <f t="shared" si="157"/>
        <v>0</v>
      </c>
      <c r="H198" s="122">
        <f t="shared" si="157"/>
        <v>0</v>
      </c>
      <c r="I198" s="122">
        <f t="shared" si="157"/>
        <v>0</v>
      </c>
      <c r="J198" s="122">
        <f t="shared" si="157"/>
        <v>0</v>
      </c>
    </row>
    <row r="199">
      <c r="B199" s="124" t="str">
        <f t="shared" si="153"/>
        <v>Series E</v>
      </c>
      <c r="D199" s="122">
        <f t="shared" ref="D199:J199" si="158">iferror( (D146-D182) / D$193 ,0)</f>
        <v>0</v>
      </c>
      <c r="E199" s="122">
        <f t="shared" si="158"/>
        <v>0</v>
      </c>
      <c r="F199" s="122">
        <f t="shared" si="158"/>
        <v>0</v>
      </c>
      <c r="G199" s="122">
        <f t="shared" si="158"/>
        <v>0</v>
      </c>
      <c r="H199" s="122">
        <f t="shared" si="158"/>
        <v>0</v>
      </c>
      <c r="I199" s="122">
        <f t="shared" si="158"/>
        <v>0</v>
      </c>
      <c r="J199" s="122">
        <f t="shared" si="158"/>
        <v>0</v>
      </c>
    </row>
    <row r="200">
      <c r="B200" s="124" t="str">
        <f t="shared" si="153"/>
        <v>Series D</v>
      </c>
      <c r="D200" s="122">
        <f t="shared" ref="D200:J200" si="159">iferror( (D147-D183) / D$193 ,0)</f>
        <v>0</v>
      </c>
      <c r="E200" s="122">
        <f t="shared" si="159"/>
        <v>0</v>
      </c>
      <c r="F200" s="122">
        <f t="shared" si="159"/>
        <v>0</v>
      </c>
      <c r="G200" s="122">
        <f t="shared" si="159"/>
        <v>0</v>
      </c>
      <c r="H200" s="122">
        <f t="shared" si="159"/>
        <v>0</v>
      </c>
      <c r="I200" s="122">
        <f t="shared" si="159"/>
        <v>0</v>
      </c>
      <c r="J200" s="122">
        <f t="shared" si="159"/>
        <v>0</v>
      </c>
    </row>
    <row r="201">
      <c r="B201" s="124" t="str">
        <f t="shared" si="153"/>
        <v>Series C</v>
      </c>
      <c r="D201" s="122">
        <f t="shared" ref="D201:J201" si="160">iferror( (D148-D184) / D$193 ,0)</f>
        <v>0</v>
      </c>
      <c r="E201" s="122">
        <f t="shared" si="160"/>
        <v>0</v>
      </c>
      <c r="F201" s="122">
        <f t="shared" si="160"/>
        <v>0</v>
      </c>
      <c r="G201" s="122">
        <f t="shared" si="160"/>
        <v>0</v>
      </c>
      <c r="H201" s="122">
        <f t="shared" si="160"/>
        <v>0</v>
      </c>
      <c r="I201" s="122">
        <f t="shared" si="160"/>
        <v>0</v>
      </c>
      <c r="J201" s="122">
        <f t="shared" si="160"/>
        <v>0</v>
      </c>
    </row>
    <row r="202">
      <c r="B202" s="124" t="str">
        <f t="shared" si="153"/>
        <v>Series B</v>
      </c>
      <c r="D202" s="122">
        <f t="shared" ref="D202:J202" si="161">iferror( (D149-D185) / D$193 ,0)</f>
        <v>0</v>
      </c>
      <c r="E202" s="122">
        <f t="shared" si="161"/>
        <v>0</v>
      </c>
      <c r="F202" s="122">
        <f t="shared" si="161"/>
        <v>0</v>
      </c>
      <c r="G202" s="122">
        <f t="shared" si="161"/>
        <v>0</v>
      </c>
      <c r="H202" s="122">
        <f t="shared" si="161"/>
        <v>0</v>
      </c>
      <c r="I202" s="122">
        <f t="shared" si="161"/>
        <v>0</v>
      </c>
      <c r="J202" s="122">
        <f t="shared" si="161"/>
        <v>0</v>
      </c>
    </row>
    <row r="203">
      <c r="B203" s="124" t="str">
        <f t="shared" si="153"/>
        <v>Series A</v>
      </c>
      <c r="D203" s="122">
        <f t="shared" ref="D203:J203" si="162">iferror( (D150-D186) / D$193 ,0)</f>
        <v>0</v>
      </c>
      <c r="E203" s="122">
        <f t="shared" si="162"/>
        <v>0</v>
      </c>
      <c r="F203" s="122">
        <f t="shared" si="162"/>
        <v>0</v>
      </c>
      <c r="G203" s="122">
        <f t="shared" si="162"/>
        <v>0</v>
      </c>
      <c r="H203" s="122">
        <f t="shared" si="162"/>
        <v>0</v>
      </c>
      <c r="I203" s="122">
        <f t="shared" si="162"/>
        <v>0</v>
      </c>
      <c r="J203" s="122">
        <f t="shared" si="162"/>
        <v>0</v>
      </c>
    </row>
    <row r="204">
      <c r="B204" s="124" t="str">
        <f t="shared" si="153"/>
        <v>Seed</v>
      </c>
      <c r="D204" s="122">
        <f t="shared" ref="D204:J204" si="163">iferror( (D151-D187) / D$193 ,0)</f>
        <v>0</v>
      </c>
      <c r="E204" s="122">
        <f t="shared" si="163"/>
        <v>0</v>
      </c>
      <c r="F204" s="122">
        <f t="shared" si="163"/>
        <v>0</v>
      </c>
      <c r="G204" s="122">
        <f t="shared" si="163"/>
        <v>0</v>
      </c>
      <c r="H204" s="122">
        <f t="shared" si="163"/>
        <v>0</v>
      </c>
      <c r="I204" s="122">
        <f t="shared" si="163"/>
        <v>0</v>
      </c>
      <c r="J204" s="122">
        <f t="shared" si="163"/>
        <v>0</v>
      </c>
    </row>
    <row r="205">
      <c r="B205" s="124" t="str">
        <f t="shared" si="153"/>
        <v>Common</v>
      </c>
      <c r="D205" s="122">
        <f t="shared" ref="D205:J205" si="164">iferror( (D152-D188) / D$193 ,0)</f>
        <v>0</v>
      </c>
      <c r="E205" s="122">
        <f t="shared" si="164"/>
        <v>0</v>
      </c>
      <c r="F205" s="122">
        <f t="shared" si="164"/>
        <v>0</v>
      </c>
      <c r="G205" s="122">
        <f t="shared" si="164"/>
        <v>0</v>
      </c>
      <c r="H205" s="122">
        <f t="shared" si="164"/>
        <v>0</v>
      </c>
      <c r="I205" s="122">
        <f t="shared" si="164"/>
        <v>0</v>
      </c>
      <c r="J205" s="122">
        <f t="shared" si="164"/>
        <v>0</v>
      </c>
    </row>
    <row r="206">
      <c r="B206" s="124" t="str">
        <f t="shared" si="153"/>
        <v>Options</v>
      </c>
      <c r="D206" s="122">
        <f t="shared" ref="D206:J206" si="165">iferror( (D153-D189) / D$193 ,0)</f>
        <v>0</v>
      </c>
      <c r="E206" s="122">
        <f t="shared" si="165"/>
        <v>0</v>
      </c>
      <c r="F206" s="122">
        <f t="shared" si="165"/>
        <v>0</v>
      </c>
      <c r="G206" s="122">
        <f t="shared" si="165"/>
        <v>0</v>
      </c>
      <c r="H206" s="122">
        <f t="shared" si="165"/>
        <v>0</v>
      </c>
      <c r="I206" s="122">
        <f t="shared" si="165"/>
        <v>0</v>
      </c>
      <c r="J206" s="122">
        <f t="shared" si="165"/>
        <v>0</v>
      </c>
    </row>
    <row r="207">
      <c r="B207" s="124" t="str">
        <f t="shared" si="153"/>
        <v>Options</v>
      </c>
      <c r="D207" s="122">
        <f t="shared" ref="D207:J207" si="166">iferror( (D154-D190) / D$193 ,0)</f>
        <v>0</v>
      </c>
      <c r="E207" s="122">
        <f t="shared" si="166"/>
        <v>0</v>
      </c>
      <c r="F207" s="122">
        <f t="shared" si="166"/>
        <v>0</v>
      </c>
      <c r="G207" s="122">
        <f t="shared" si="166"/>
        <v>0</v>
      </c>
      <c r="H207" s="122">
        <f t="shared" si="166"/>
        <v>0</v>
      </c>
      <c r="I207" s="122">
        <f t="shared" si="166"/>
        <v>0</v>
      </c>
      <c r="J207" s="122">
        <f t="shared" si="166"/>
        <v>0</v>
      </c>
    </row>
    <row r="208">
      <c r="B208" s="124" t="str">
        <f t="shared" si="153"/>
        <v>Warrants</v>
      </c>
      <c r="D208" s="122">
        <f t="shared" ref="D208:J208" si="167">iferror( (D155-D191) / D$193 ,0)</f>
        <v>0</v>
      </c>
      <c r="E208" s="122">
        <f t="shared" si="167"/>
        <v>0</v>
      </c>
      <c r="F208" s="122">
        <f t="shared" si="167"/>
        <v>0</v>
      </c>
      <c r="G208" s="122">
        <f t="shared" si="167"/>
        <v>0</v>
      </c>
      <c r="H208" s="122">
        <f t="shared" si="167"/>
        <v>0</v>
      </c>
      <c r="I208" s="122">
        <f t="shared" si="167"/>
        <v>0</v>
      </c>
      <c r="J208" s="122">
        <f t="shared" si="167"/>
        <v>0</v>
      </c>
    </row>
    <row r="209">
      <c r="B209" s="124"/>
      <c r="D209" s="122"/>
      <c r="E209" s="122"/>
      <c r="F209" s="122"/>
      <c r="G209" s="122"/>
      <c r="H209" s="122"/>
      <c r="I209" s="122"/>
      <c r="J209" s="122"/>
    </row>
    <row r="210">
      <c r="B210" s="136" t="s">
        <v>251</v>
      </c>
      <c r="D210" s="122"/>
      <c r="E210" s="122"/>
      <c r="F210" s="122"/>
      <c r="G210" s="122"/>
      <c r="H210" s="122"/>
      <c r="I210" s="122"/>
      <c r="J210" s="122"/>
    </row>
    <row r="211">
      <c r="B211" s="124" t="s">
        <v>252</v>
      </c>
      <c r="D211" s="135">
        <f t="shared" ref="D211:I211" si="168">1/count($D42:$J42)</f>
        <v>0.1428571429</v>
      </c>
      <c r="E211" s="135">
        <f t="shared" si="168"/>
        <v>0.1428571429</v>
      </c>
      <c r="F211" s="135">
        <f t="shared" si="168"/>
        <v>0.1428571429</v>
      </c>
      <c r="G211" s="135">
        <f t="shared" si="168"/>
        <v>0.1428571429</v>
      </c>
      <c r="H211" s="135">
        <f t="shared" si="168"/>
        <v>0.1428571429</v>
      </c>
      <c r="I211" s="135">
        <f t="shared" si="168"/>
        <v>0.1428571429</v>
      </c>
      <c r="J211" s="137">
        <f>1-sum(D211:I211)</f>
        <v>0.1428571429</v>
      </c>
    </row>
    <row r="212">
      <c r="B212" s="124"/>
      <c r="D212" s="122"/>
      <c r="E212" s="122"/>
      <c r="F212" s="122"/>
      <c r="G212" s="122"/>
      <c r="H212" s="122"/>
      <c r="I212" s="122"/>
      <c r="J212" s="122"/>
    </row>
    <row r="213">
      <c r="B213" s="124" t="s">
        <v>253</v>
      </c>
      <c r="D213" s="138" t="s">
        <v>254</v>
      </c>
      <c r="E213" s="138" t="s">
        <v>255</v>
      </c>
      <c r="F213" s="138" t="s">
        <v>256</v>
      </c>
      <c r="G213" s="139" t="s">
        <v>257</v>
      </c>
      <c r="H213" s="138"/>
      <c r="I213" s="138"/>
      <c r="J213" s="138"/>
    </row>
    <row r="214">
      <c r="B214" s="86" t="str">
        <f t="shared" ref="B214:B228" si="169">B23</f>
        <v>Series J</v>
      </c>
      <c r="D214" s="122">
        <f t="shared" ref="D214:D228" si="170">sumproduct(D$211:J$211,D160:J160)*G23</f>
        <v>0</v>
      </c>
      <c r="E214" s="122">
        <f t="shared" ref="E214:E228" si="171">D214-F23-if(D23="options",sumproduct(D$211:J$211,D86:J86)*J23,0)</f>
        <v>0</v>
      </c>
      <c r="F214" s="133">
        <f t="shared" ref="F214:F228" si="172">iferror(D214/F23,0)</f>
        <v>0</v>
      </c>
      <c r="G214" s="108">
        <f t="shared" ref="G214:G228" si="173">if(or(D23="options",D23="common",D23="warrants"),0, iferror(E214/D214,0))</f>
        <v>0</v>
      </c>
      <c r="H214" s="122"/>
      <c r="I214" s="122"/>
      <c r="J214" s="122"/>
    </row>
    <row r="215">
      <c r="B215" s="86" t="str">
        <f t="shared" si="169"/>
        <v>Series I</v>
      </c>
      <c r="D215" s="122">
        <f t="shared" si="170"/>
        <v>0</v>
      </c>
      <c r="E215" s="122">
        <f t="shared" si="171"/>
        <v>0</v>
      </c>
      <c r="F215" s="133">
        <f t="shared" si="172"/>
        <v>0</v>
      </c>
      <c r="G215" s="108">
        <f t="shared" si="173"/>
        <v>0</v>
      </c>
      <c r="H215" s="122"/>
      <c r="I215" s="122"/>
      <c r="J215" s="122"/>
    </row>
    <row r="216">
      <c r="B216" s="86" t="str">
        <f t="shared" si="169"/>
        <v>Series H</v>
      </c>
      <c r="D216" s="122">
        <f t="shared" si="170"/>
        <v>0</v>
      </c>
      <c r="E216" s="122">
        <f t="shared" si="171"/>
        <v>0</v>
      </c>
      <c r="F216" s="133">
        <f t="shared" si="172"/>
        <v>0</v>
      </c>
      <c r="G216" s="108">
        <f t="shared" si="173"/>
        <v>0</v>
      </c>
      <c r="H216" s="122"/>
      <c r="I216" s="122"/>
      <c r="J216" s="122"/>
    </row>
    <row r="217">
      <c r="B217" s="86" t="str">
        <f t="shared" si="169"/>
        <v>Series G</v>
      </c>
      <c r="D217" s="122">
        <f t="shared" si="170"/>
        <v>0</v>
      </c>
      <c r="E217" s="122">
        <f t="shared" si="171"/>
        <v>0</v>
      </c>
      <c r="F217" s="133">
        <f t="shared" si="172"/>
        <v>0</v>
      </c>
      <c r="G217" s="108">
        <f t="shared" si="173"/>
        <v>0</v>
      </c>
      <c r="H217" s="122"/>
      <c r="I217" s="122"/>
      <c r="J217" s="122"/>
    </row>
    <row r="218">
      <c r="B218" s="86" t="str">
        <f t="shared" si="169"/>
        <v>Series F</v>
      </c>
      <c r="D218" s="122">
        <f t="shared" si="170"/>
        <v>0</v>
      </c>
      <c r="E218" s="122">
        <f t="shared" si="171"/>
        <v>0</v>
      </c>
      <c r="F218" s="133">
        <f t="shared" si="172"/>
        <v>0</v>
      </c>
      <c r="G218" s="108">
        <f t="shared" si="173"/>
        <v>0</v>
      </c>
      <c r="H218" s="122"/>
      <c r="I218" s="122"/>
      <c r="J218" s="122"/>
    </row>
    <row r="219">
      <c r="B219" s="86" t="str">
        <f t="shared" si="169"/>
        <v>Series E</v>
      </c>
      <c r="D219" s="122">
        <f t="shared" si="170"/>
        <v>0</v>
      </c>
      <c r="E219" s="122">
        <f t="shared" si="171"/>
        <v>0</v>
      </c>
      <c r="F219" s="133">
        <f t="shared" si="172"/>
        <v>0</v>
      </c>
      <c r="G219" s="108">
        <f t="shared" si="173"/>
        <v>0</v>
      </c>
      <c r="H219" s="122"/>
      <c r="I219" s="122"/>
      <c r="J219" s="122"/>
    </row>
    <row r="220">
      <c r="B220" s="86" t="str">
        <f t="shared" si="169"/>
        <v>Series D</v>
      </c>
      <c r="D220" s="122">
        <f t="shared" si="170"/>
        <v>0</v>
      </c>
      <c r="E220" s="122">
        <f t="shared" si="171"/>
        <v>0</v>
      </c>
      <c r="F220" s="133">
        <f t="shared" si="172"/>
        <v>0</v>
      </c>
      <c r="G220" s="108">
        <f t="shared" si="173"/>
        <v>0</v>
      </c>
      <c r="H220" s="122"/>
      <c r="I220" s="122"/>
      <c r="J220" s="122"/>
    </row>
    <row r="221">
      <c r="B221" s="86" t="str">
        <f t="shared" si="169"/>
        <v>Series C</v>
      </c>
      <c r="D221" s="122">
        <f t="shared" si="170"/>
        <v>0</v>
      </c>
      <c r="E221" s="122">
        <f t="shared" si="171"/>
        <v>0</v>
      </c>
      <c r="F221" s="133">
        <f t="shared" si="172"/>
        <v>0</v>
      </c>
      <c r="G221" s="108">
        <f t="shared" si="173"/>
        <v>0</v>
      </c>
      <c r="H221" s="122"/>
      <c r="I221" s="122"/>
      <c r="J221" s="122"/>
    </row>
    <row r="222">
      <c r="B222" s="86" t="str">
        <f t="shared" si="169"/>
        <v>Series B</v>
      </c>
      <c r="D222" s="122">
        <f t="shared" si="170"/>
        <v>2000000</v>
      </c>
      <c r="E222" s="122">
        <f t="shared" si="171"/>
        <v>0</v>
      </c>
      <c r="F222" s="133">
        <f t="shared" si="172"/>
        <v>1</v>
      </c>
      <c r="G222" s="108">
        <f t="shared" si="173"/>
        <v>0</v>
      </c>
      <c r="H222" s="122"/>
      <c r="I222" s="122"/>
      <c r="J222" s="122"/>
    </row>
    <row r="223">
      <c r="B223" s="86" t="str">
        <f t="shared" si="169"/>
        <v>Series A</v>
      </c>
      <c r="D223" s="122">
        <f t="shared" si="170"/>
        <v>857142.8571</v>
      </c>
      <c r="E223" s="122">
        <f t="shared" si="171"/>
        <v>-142857.1429</v>
      </c>
      <c r="F223" s="133">
        <f t="shared" si="172"/>
        <v>0.8571428571</v>
      </c>
      <c r="G223" s="108">
        <f t="shared" si="173"/>
        <v>-0.1666666667</v>
      </c>
      <c r="H223" s="122"/>
      <c r="I223" s="122"/>
      <c r="J223" s="122"/>
    </row>
    <row r="224">
      <c r="B224" s="86" t="str">
        <f t="shared" si="169"/>
        <v>Seed</v>
      </c>
      <c r="D224" s="122">
        <f t="shared" si="170"/>
        <v>357142.8571</v>
      </c>
      <c r="E224" s="122">
        <f t="shared" si="171"/>
        <v>-142857.1429</v>
      </c>
      <c r="F224" s="133">
        <f t="shared" si="172"/>
        <v>0.7142857143</v>
      </c>
      <c r="G224" s="108">
        <f t="shared" si="173"/>
        <v>-0.4</v>
      </c>
      <c r="H224" s="122"/>
      <c r="I224" s="122"/>
      <c r="J224" s="122"/>
    </row>
    <row r="225">
      <c r="B225" s="86" t="str">
        <f t="shared" si="169"/>
        <v>Common</v>
      </c>
      <c r="D225" s="122">
        <f t="shared" si="170"/>
        <v>0</v>
      </c>
      <c r="E225" s="122">
        <f t="shared" si="171"/>
        <v>0</v>
      </c>
      <c r="F225" s="133">
        <f t="shared" si="172"/>
        <v>0</v>
      </c>
      <c r="G225" s="108">
        <f t="shared" si="173"/>
        <v>0</v>
      </c>
      <c r="H225" s="122"/>
      <c r="I225" s="122"/>
      <c r="J225" s="122"/>
    </row>
    <row r="226">
      <c r="B226" s="86" t="str">
        <f t="shared" si="169"/>
        <v>Options</v>
      </c>
      <c r="D226" s="122">
        <f t="shared" si="170"/>
        <v>0</v>
      </c>
      <c r="E226" s="122">
        <f t="shared" si="171"/>
        <v>0</v>
      </c>
      <c r="F226" s="133">
        <f t="shared" si="172"/>
        <v>0</v>
      </c>
      <c r="G226" s="108">
        <f t="shared" si="173"/>
        <v>0</v>
      </c>
      <c r="H226" s="122"/>
      <c r="I226" s="122"/>
      <c r="J226" s="122"/>
    </row>
    <row r="227">
      <c r="B227" s="86" t="str">
        <f t="shared" si="169"/>
        <v>Options</v>
      </c>
      <c r="D227" s="122">
        <f t="shared" si="170"/>
        <v>0</v>
      </c>
      <c r="E227" s="122">
        <f t="shared" si="171"/>
        <v>0</v>
      </c>
      <c r="F227" s="133">
        <f t="shared" si="172"/>
        <v>0</v>
      </c>
      <c r="G227" s="108">
        <f t="shared" si="173"/>
        <v>0</v>
      </c>
      <c r="H227" s="122"/>
      <c r="I227" s="122"/>
      <c r="J227" s="122"/>
    </row>
    <row r="228">
      <c r="B228" s="86" t="str">
        <f t="shared" si="169"/>
        <v>Warrants</v>
      </c>
      <c r="D228" s="122">
        <f t="shared" si="170"/>
        <v>0</v>
      </c>
      <c r="E228" s="122">
        <f t="shared" si="171"/>
        <v>0</v>
      </c>
      <c r="F228" s="133">
        <f t="shared" si="172"/>
        <v>0</v>
      </c>
      <c r="G228" s="108">
        <f t="shared" si="173"/>
        <v>0</v>
      </c>
      <c r="H228" s="122"/>
      <c r="I228" s="122"/>
      <c r="J228" s="122"/>
    </row>
    <row r="229">
      <c r="B229" s="124"/>
      <c r="D229" s="122"/>
      <c r="E229" s="122"/>
      <c r="F229" s="122"/>
      <c r="G229" s="122"/>
      <c r="H229" s="122"/>
      <c r="I229" s="122"/>
      <c r="J229" s="122"/>
    </row>
    <row r="230">
      <c r="B230" s="86"/>
    </row>
    <row r="231">
      <c r="B231" s="86"/>
    </row>
    <row r="232">
      <c r="B232" s="86"/>
    </row>
    <row r="233">
      <c r="B233" s="86"/>
    </row>
    <row r="234">
      <c r="B234" s="86"/>
    </row>
    <row r="235">
      <c r="B235" s="86"/>
    </row>
    <row r="236">
      <c r="B236" s="86"/>
    </row>
    <row r="237">
      <c r="B237" s="86"/>
    </row>
    <row r="238">
      <c r="B238" s="86"/>
    </row>
    <row r="239">
      <c r="B239" s="86"/>
    </row>
    <row r="240">
      <c r="B240" s="86"/>
    </row>
    <row r="241">
      <c r="B241" s="86"/>
    </row>
    <row r="242">
      <c r="B242" s="86"/>
    </row>
    <row r="243">
      <c r="B243" s="86"/>
    </row>
    <row r="244">
      <c r="B244" s="86"/>
    </row>
    <row r="245">
      <c r="B245" s="86"/>
    </row>
    <row r="246">
      <c r="B246" s="86"/>
    </row>
    <row r="247">
      <c r="B247" s="86"/>
    </row>
    <row r="248">
      <c r="B248" s="86"/>
    </row>
    <row r="249">
      <c r="B249" s="86"/>
    </row>
    <row r="250">
      <c r="B250" s="86"/>
    </row>
    <row r="251">
      <c r="B251" s="86"/>
    </row>
    <row r="252">
      <c r="B252" s="86"/>
    </row>
    <row r="253">
      <c r="B253" s="86"/>
    </row>
    <row r="254">
      <c r="B254" s="86"/>
    </row>
    <row r="255">
      <c r="B255" s="86"/>
    </row>
    <row r="256">
      <c r="B256" s="86"/>
    </row>
    <row r="257">
      <c r="B257" s="86"/>
    </row>
    <row r="258">
      <c r="B258" s="86"/>
    </row>
    <row r="259">
      <c r="B259" s="86"/>
    </row>
    <row r="260">
      <c r="B260" s="86"/>
    </row>
    <row r="261">
      <c r="B261" s="86"/>
    </row>
    <row r="262">
      <c r="B262" s="86"/>
    </row>
    <row r="263">
      <c r="B263" s="86"/>
    </row>
    <row r="264">
      <c r="B264" s="86"/>
    </row>
    <row r="265">
      <c r="B265" s="86"/>
    </row>
    <row r="266">
      <c r="B266" s="86"/>
    </row>
    <row r="267">
      <c r="B267" s="86"/>
    </row>
    <row r="268">
      <c r="B268" s="86"/>
    </row>
    <row r="269">
      <c r="B269" s="86"/>
    </row>
    <row r="270">
      <c r="B270" s="86"/>
    </row>
  </sheetData>
  <dataValidations>
    <dataValidation type="list" allowBlank="1" showErrorMessage="1" sqref="O23:O37">
      <formula1>"Non Participating,Full Participating,Participating Preferred with Cap"</formula1>
    </dataValidation>
    <dataValidation type="list" allowBlank="1" showErrorMessage="1" sqref="D23:D37">
      <formula1>"Common,Preferred,Options,Warrants"</formula1>
    </dataValidation>
    <dataValidation type="list" allowBlank="1" showErrorMessage="1" sqref="E23:E37">
      <formula1>'Exit Waterfall'!B23:B$37</formula1>
    </dataValidation>
    <dataValidation type="list" allowBlank="1" showErrorMessage="1" sqref="S23:S37">
      <formula1>"Non cumulative,Cumulative,Not declared"</formula1>
    </dataValidation>
  </dataValidations>
  <hyperlinks>
    <hyperlink r:id="rId1" ref="L6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6.5"/>
    <col customWidth="1" min="2" max="2" width="23.63"/>
    <col customWidth="1" min="3" max="3" width="6.0"/>
    <col customWidth="1" min="4" max="6" width="13.75"/>
    <col customWidth="1" min="7" max="9" width="13.5"/>
    <col customWidth="1" min="10" max="10" width="14.88"/>
    <col customWidth="1" min="11" max="11" width="4.75"/>
    <col customWidth="1" min="12" max="12" width="13.0"/>
    <col customWidth="1" min="13" max="13" width="12.88"/>
    <col customWidth="1" min="14" max="14" width="5.5"/>
    <col customWidth="1" min="15" max="15" width="21.88"/>
    <col customWidth="1" min="16" max="17" width="13.5"/>
    <col customWidth="1" min="18" max="18" width="5.63"/>
    <col customWidth="1" min="19" max="19" width="13.13"/>
    <col customWidth="1" min="20" max="22" width="13.5"/>
    <col customWidth="1" min="23" max="23" width="13.13"/>
    <col customWidth="1" min="24" max="24" width="7.13"/>
    <col customWidth="1" min="25" max="29" width="13.5"/>
  </cols>
  <sheetData>
    <row r="1">
      <c r="B1" s="86"/>
    </row>
    <row r="2">
      <c r="B2" s="87" t="s">
        <v>168</v>
      </c>
      <c r="H2" s="22" t="s">
        <v>74</v>
      </c>
    </row>
    <row r="3">
      <c r="B3" s="88" t="s">
        <v>169</v>
      </c>
      <c r="H3" s="53" t="s">
        <v>118</v>
      </c>
      <c r="I3" s="21"/>
      <c r="J3" s="59" t="b">
        <v>0</v>
      </c>
      <c r="K3" s="15" t="s">
        <v>170</v>
      </c>
    </row>
    <row r="4" collapsed="1">
      <c r="B4" s="86"/>
      <c r="T4" s="15"/>
      <c r="U4" s="15"/>
    </row>
    <row r="5" hidden="1" outlineLevel="1">
      <c r="A5" s="89"/>
      <c r="B5" s="90" t="s">
        <v>171</v>
      </c>
      <c r="C5" s="91"/>
      <c r="D5" s="92"/>
      <c r="E5" s="92"/>
      <c r="F5" s="93"/>
      <c r="G5" s="93"/>
      <c r="H5" s="93"/>
      <c r="I5" s="93"/>
      <c r="P5" s="89"/>
      <c r="Q5" s="89"/>
      <c r="R5" s="89"/>
      <c r="S5" s="89"/>
      <c r="T5" s="89"/>
      <c r="U5" s="89"/>
      <c r="V5" s="89"/>
      <c r="W5" s="89"/>
      <c r="X5" s="89"/>
      <c r="Y5" s="89"/>
      <c r="Z5" s="89"/>
      <c r="AA5" s="89"/>
      <c r="AB5" s="89"/>
      <c r="AC5" s="89"/>
    </row>
    <row r="6" hidden="1" outlineLevel="1">
      <c r="A6" s="89"/>
      <c r="B6" s="94" t="s">
        <v>172</v>
      </c>
      <c r="C6" s="91"/>
      <c r="D6" s="92"/>
      <c r="E6" s="92"/>
      <c r="F6" s="93"/>
      <c r="G6" s="93"/>
      <c r="H6" s="93"/>
      <c r="I6" s="93"/>
      <c r="P6" s="89"/>
      <c r="Q6" s="89"/>
      <c r="R6" s="89"/>
      <c r="S6" s="89"/>
      <c r="T6" s="89"/>
      <c r="U6" s="89"/>
      <c r="V6" s="89"/>
      <c r="W6" s="89"/>
      <c r="X6" s="89"/>
      <c r="Y6" s="89"/>
      <c r="Z6" s="89"/>
      <c r="AA6" s="89"/>
      <c r="AB6" s="89"/>
      <c r="AC6" s="89"/>
    </row>
    <row r="7" hidden="1" outlineLevel="1">
      <c r="A7" s="89"/>
      <c r="B7" s="94" t="s">
        <v>173</v>
      </c>
      <c r="C7" s="91"/>
      <c r="D7" s="92"/>
      <c r="E7" s="92"/>
      <c r="F7" s="93"/>
      <c r="G7" s="93"/>
      <c r="H7" s="93"/>
      <c r="I7" s="93"/>
      <c r="P7" s="89"/>
      <c r="Q7" s="89"/>
      <c r="R7" s="89"/>
      <c r="S7" s="89"/>
      <c r="T7" s="89"/>
      <c r="U7" s="89"/>
      <c r="V7" s="89"/>
      <c r="W7" s="89"/>
      <c r="X7" s="89"/>
      <c r="Y7" s="89"/>
      <c r="Z7" s="89"/>
      <c r="AA7" s="89"/>
      <c r="AB7" s="89"/>
      <c r="AC7" s="89"/>
    </row>
    <row r="8" hidden="1" outlineLevel="1">
      <c r="A8" s="89"/>
      <c r="B8" s="94" t="s">
        <v>174</v>
      </c>
      <c r="C8" s="91"/>
      <c r="D8" s="92"/>
      <c r="E8" s="92"/>
      <c r="F8" s="93"/>
      <c r="G8" s="93"/>
      <c r="H8" s="93"/>
      <c r="I8" s="93"/>
      <c r="P8" s="89"/>
      <c r="Q8" s="89"/>
      <c r="R8" s="89"/>
      <c r="S8" s="89"/>
      <c r="T8" s="89"/>
      <c r="U8" s="89"/>
      <c r="V8" s="89"/>
      <c r="W8" s="89"/>
      <c r="X8" s="89"/>
      <c r="Y8" s="89"/>
      <c r="Z8" s="89"/>
      <c r="AA8" s="89"/>
      <c r="AB8" s="89"/>
      <c r="AC8" s="89"/>
    </row>
    <row r="9" hidden="1" outlineLevel="1">
      <c r="A9" s="89"/>
      <c r="B9" s="94" t="s">
        <v>175</v>
      </c>
      <c r="C9" s="91"/>
      <c r="D9" s="92"/>
      <c r="E9" s="92"/>
      <c r="F9" s="93"/>
      <c r="G9" s="93"/>
      <c r="H9" s="93"/>
      <c r="I9" s="93"/>
      <c r="P9" s="89"/>
      <c r="Q9" s="89"/>
      <c r="R9" s="89"/>
      <c r="S9" s="89"/>
      <c r="T9" s="89"/>
      <c r="U9" s="89"/>
      <c r="V9" s="89"/>
      <c r="W9" s="89"/>
      <c r="X9" s="89"/>
      <c r="Y9" s="89"/>
      <c r="Z9" s="89"/>
      <c r="AA9" s="89"/>
      <c r="AB9" s="89"/>
      <c r="AC9" s="89"/>
    </row>
    <row r="10" hidden="1" outlineLevel="1">
      <c r="A10" s="89"/>
      <c r="B10" s="94" t="s">
        <v>176</v>
      </c>
      <c r="C10" s="91"/>
      <c r="D10" s="92"/>
      <c r="E10" s="92"/>
      <c r="F10" s="93"/>
      <c r="G10" s="93"/>
      <c r="H10" s="93"/>
      <c r="I10" s="93"/>
      <c r="P10" s="89"/>
      <c r="Q10" s="89"/>
      <c r="R10" s="89"/>
      <c r="S10" s="89"/>
      <c r="T10" s="89"/>
      <c r="U10" s="89"/>
      <c r="V10" s="89"/>
      <c r="W10" s="89"/>
      <c r="X10" s="89"/>
      <c r="Y10" s="89"/>
      <c r="Z10" s="89"/>
      <c r="AA10" s="89"/>
      <c r="AB10" s="89"/>
      <c r="AC10" s="89"/>
    </row>
    <row r="11" hidden="1" outlineLevel="1">
      <c r="A11" s="89"/>
      <c r="B11" s="94" t="s">
        <v>177</v>
      </c>
      <c r="C11" s="91"/>
      <c r="D11" s="92"/>
      <c r="E11" s="92"/>
      <c r="F11" s="93"/>
      <c r="G11" s="93"/>
      <c r="H11" s="93"/>
      <c r="I11" s="93"/>
      <c r="P11" s="89"/>
      <c r="Q11" s="89"/>
      <c r="R11" s="89"/>
      <c r="S11" s="89"/>
      <c r="T11" s="89"/>
      <c r="U11" s="89"/>
      <c r="V11" s="89"/>
      <c r="W11" s="89"/>
      <c r="X11" s="89"/>
      <c r="Y11" s="89"/>
      <c r="Z11" s="89"/>
      <c r="AA11" s="89"/>
      <c r="AB11" s="89"/>
      <c r="AC11" s="89"/>
    </row>
    <row r="12" hidden="1" outlineLevel="1">
      <c r="A12" s="89"/>
      <c r="B12" s="94" t="s">
        <v>178</v>
      </c>
      <c r="C12" s="91"/>
      <c r="D12" s="92"/>
      <c r="E12" s="92"/>
      <c r="F12" s="93"/>
      <c r="G12" s="93"/>
      <c r="H12" s="93"/>
      <c r="I12" s="93"/>
      <c r="P12" s="89"/>
      <c r="Q12" s="89"/>
      <c r="R12" s="89"/>
      <c r="S12" s="89"/>
      <c r="T12" s="89"/>
      <c r="U12" s="89"/>
      <c r="V12" s="89"/>
      <c r="W12" s="89"/>
      <c r="X12" s="89"/>
      <c r="Y12" s="89"/>
      <c r="Z12" s="89"/>
      <c r="AA12" s="89"/>
      <c r="AB12" s="89"/>
      <c r="AC12" s="89"/>
    </row>
    <row r="13" hidden="1" outlineLevel="1">
      <c r="A13" s="89"/>
      <c r="B13" s="94" t="s">
        <v>179</v>
      </c>
      <c r="C13" s="91"/>
      <c r="D13" s="92"/>
      <c r="E13" s="92"/>
      <c r="F13" s="93"/>
      <c r="G13" s="93"/>
      <c r="H13" s="93"/>
      <c r="I13" s="93"/>
      <c r="P13" s="89"/>
      <c r="Q13" s="89"/>
      <c r="R13" s="89"/>
      <c r="S13" s="89"/>
      <c r="T13" s="89"/>
      <c r="U13" s="89"/>
      <c r="V13" s="89"/>
      <c r="W13" s="89"/>
      <c r="X13" s="89"/>
      <c r="Y13" s="89"/>
      <c r="Z13" s="89"/>
      <c r="AA13" s="89"/>
      <c r="AB13" s="89"/>
      <c r="AC13" s="89"/>
    </row>
    <row r="14" hidden="1" outlineLevel="1">
      <c r="A14" s="89"/>
      <c r="B14" s="94" t="s">
        <v>180</v>
      </c>
      <c r="C14" s="91"/>
      <c r="D14" s="92"/>
      <c r="E14" s="92"/>
      <c r="F14" s="93"/>
      <c r="G14" s="93"/>
      <c r="H14" s="93"/>
      <c r="I14" s="93"/>
      <c r="P14" s="89"/>
      <c r="Q14" s="89"/>
      <c r="R14" s="89"/>
      <c r="S14" s="89"/>
      <c r="T14" s="89"/>
      <c r="U14" s="89"/>
      <c r="V14" s="89"/>
      <c r="W14" s="89"/>
      <c r="X14" s="89"/>
      <c r="Y14" s="89"/>
      <c r="Z14" s="89"/>
      <c r="AA14" s="89"/>
      <c r="AB14" s="89"/>
      <c r="AC14" s="89"/>
    </row>
    <row r="15" hidden="1" outlineLevel="1">
      <c r="A15" s="89"/>
      <c r="B15" s="94" t="s">
        <v>181</v>
      </c>
      <c r="C15" s="91"/>
      <c r="D15" s="92"/>
      <c r="E15" s="92"/>
      <c r="F15" s="93"/>
      <c r="G15" s="93"/>
      <c r="H15" s="93"/>
      <c r="I15" s="93"/>
      <c r="P15" s="89"/>
      <c r="Q15" s="89"/>
      <c r="R15" s="89"/>
      <c r="S15" s="89"/>
      <c r="T15" s="89"/>
      <c r="U15" s="89"/>
      <c r="V15" s="89"/>
      <c r="W15" s="89"/>
      <c r="X15" s="89"/>
      <c r="Y15" s="89"/>
      <c r="Z15" s="89"/>
      <c r="AA15" s="89"/>
      <c r="AB15" s="89"/>
      <c r="AC15" s="89"/>
    </row>
    <row r="16" hidden="1" outlineLevel="1">
      <c r="A16" s="89"/>
      <c r="B16" s="94" t="s">
        <v>258</v>
      </c>
      <c r="C16" s="91"/>
      <c r="D16" s="92"/>
      <c r="E16" s="92"/>
      <c r="F16" s="93"/>
      <c r="G16" s="93"/>
      <c r="H16" s="93"/>
      <c r="I16" s="93"/>
      <c r="P16" s="89"/>
      <c r="Q16" s="89"/>
      <c r="R16" s="89"/>
      <c r="S16" s="89"/>
      <c r="T16" s="89"/>
      <c r="U16" s="89"/>
      <c r="V16" s="89"/>
      <c r="W16" s="89"/>
      <c r="X16" s="89"/>
      <c r="Y16" s="89"/>
      <c r="Z16" s="89"/>
      <c r="AA16" s="89"/>
      <c r="AB16" s="89"/>
      <c r="AC16" s="89"/>
    </row>
    <row r="17" hidden="1" outlineLevel="1">
      <c r="A17" s="89"/>
      <c r="B17" s="90" t="s">
        <v>259</v>
      </c>
      <c r="C17" s="91"/>
      <c r="D17" s="92"/>
      <c r="E17" s="92"/>
      <c r="F17" s="93"/>
      <c r="G17" s="93"/>
      <c r="H17" s="93"/>
      <c r="I17" s="93"/>
      <c r="J17" s="95"/>
      <c r="P17" s="89"/>
      <c r="Q17" s="89"/>
      <c r="R17" s="89"/>
      <c r="S17" s="89"/>
      <c r="T17" s="89"/>
      <c r="U17" s="89"/>
      <c r="V17" s="89"/>
      <c r="W17" s="89"/>
      <c r="X17" s="89"/>
      <c r="Y17" s="89"/>
      <c r="Z17" s="89"/>
      <c r="AA17" s="89"/>
      <c r="AB17" s="89"/>
      <c r="AC17" s="89"/>
    </row>
    <row r="18" hidden="1" outlineLevel="1">
      <c r="A18" s="89"/>
      <c r="B18" s="94" t="s">
        <v>260</v>
      </c>
      <c r="C18" s="91"/>
      <c r="D18" s="92"/>
      <c r="E18" s="92"/>
      <c r="F18" s="93"/>
      <c r="G18" s="93"/>
      <c r="H18" s="93"/>
      <c r="I18" s="93"/>
      <c r="J18" s="95"/>
      <c r="P18" s="89"/>
      <c r="Q18" s="89"/>
      <c r="R18" s="89"/>
      <c r="S18" s="89"/>
      <c r="T18" s="89"/>
      <c r="U18" s="89"/>
      <c r="V18" s="89"/>
      <c r="W18" s="89"/>
      <c r="X18" s="89"/>
      <c r="Y18" s="89"/>
      <c r="Z18" s="89"/>
      <c r="AA18" s="89"/>
      <c r="AB18" s="89"/>
      <c r="AC18" s="89"/>
    </row>
    <row r="19" hidden="1" outlineLevel="1">
      <c r="A19" s="89"/>
      <c r="B19" s="90" t="s">
        <v>184</v>
      </c>
      <c r="C19" s="91"/>
      <c r="D19" s="92"/>
      <c r="E19" s="92"/>
      <c r="F19" s="93"/>
      <c r="G19" s="93"/>
      <c r="H19" s="93"/>
      <c r="I19" s="93"/>
      <c r="J19" s="95"/>
      <c r="P19" s="89"/>
      <c r="Q19" s="89"/>
      <c r="R19" s="89"/>
      <c r="S19" s="89"/>
      <c r="T19" s="89"/>
      <c r="U19" s="89"/>
      <c r="V19" s="89"/>
      <c r="W19" s="89"/>
      <c r="X19" s="89"/>
      <c r="Y19" s="89"/>
      <c r="Z19" s="89"/>
      <c r="AA19" s="89"/>
      <c r="AB19" s="89"/>
      <c r="AC19" s="89"/>
    </row>
    <row r="20" hidden="1" outlineLevel="1">
      <c r="A20" s="89"/>
      <c r="B20" s="94"/>
      <c r="C20" s="91"/>
      <c r="D20" s="92"/>
      <c r="E20" s="92"/>
      <c r="F20" s="93"/>
      <c r="G20" s="93"/>
      <c r="H20" s="93"/>
      <c r="I20" s="93"/>
      <c r="J20" s="95"/>
      <c r="P20" s="89"/>
      <c r="Q20" s="89"/>
      <c r="R20" s="89"/>
      <c r="S20" s="89"/>
      <c r="T20" s="89"/>
      <c r="U20" s="89"/>
      <c r="V20" s="89"/>
      <c r="W20" s="89"/>
      <c r="X20" s="89"/>
      <c r="Y20" s="89"/>
      <c r="Z20" s="89"/>
      <c r="AA20" s="89"/>
      <c r="AB20" s="89"/>
      <c r="AC20" s="89"/>
    </row>
    <row r="21">
      <c r="B21" s="96" t="s">
        <v>185</v>
      </c>
      <c r="C21" s="97"/>
      <c r="D21" s="98" t="s">
        <v>186</v>
      </c>
      <c r="E21" s="98" t="s">
        <v>187</v>
      </c>
      <c r="F21" s="99" t="s">
        <v>188</v>
      </c>
      <c r="G21" s="99" t="s">
        <v>189</v>
      </c>
      <c r="H21" s="99" t="s">
        <v>190</v>
      </c>
      <c r="I21" s="99" t="s">
        <v>191</v>
      </c>
      <c r="J21" s="99" t="s">
        <v>192</v>
      </c>
      <c r="K21" s="100"/>
      <c r="L21" s="100" t="s">
        <v>193</v>
      </c>
      <c r="M21" s="100" t="s">
        <v>194</v>
      </c>
      <c r="N21" s="100"/>
      <c r="O21" s="101" t="s">
        <v>195</v>
      </c>
      <c r="P21" s="102" t="s">
        <v>196</v>
      </c>
      <c r="Q21" s="99" t="s">
        <v>197</v>
      </c>
      <c r="R21" s="100"/>
      <c r="S21" s="29" t="s">
        <v>198</v>
      </c>
      <c r="T21" s="29" t="s">
        <v>199</v>
      </c>
      <c r="U21" s="29" t="s">
        <v>200</v>
      </c>
      <c r="V21" s="29" t="s">
        <v>201</v>
      </c>
      <c r="W21" s="29" t="s">
        <v>202</v>
      </c>
      <c r="Y21" s="29" t="s">
        <v>261</v>
      </c>
      <c r="Z21" s="29" t="s">
        <v>132</v>
      </c>
      <c r="AA21" s="29" t="s">
        <v>262</v>
      </c>
      <c r="AB21" s="29" t="s">
        <v>263</v>
      </c>
      <c r="AC21" s="66"/>
    </row>
    <row r="22">
      <c r="B22" s="86"/>
      <c r="G22" s="103" t="s">
        <v>203</v>
      </c>
      <c r="H22" s="103" t="s">
        <v>204</v>
      </c>
      <c r="I22" s="103" t="s">
        <v>205</v>
      </c>
      <c r="J22" s="103" t="s">
        <v>206</v>
      </c>
      <c r="L22" s="103" t="s">
        <v>207</v>
      </c>
      <c r="M22" s="103" t="s">
        <v>208</v>
      </c>
      <c r="O22" s="103" t="s">
        <v>209</v>
      </c>
      <c r="P22" s="103" t="s">
        <v>210</v>
      </c>
      <c r="Q22" s="103" t="s">
        <v>211</v>
      </c>
      <c r="S22" s="104" t="s">
        <v>212</v>
      </c>
      <c r="T22" s="104" t="s">
        <v>213</v>
      </c>
      <c r="U22" s="104" t="s">
        <v>214</v>
      </c>
      <c r="V22" s="103" t="s">
        <v>215</v>
      </c>
      <c r="W22" s="103" t="s">
        <v>216</v>
      </c>
      <c r="X22" s="103"/>
      <c r="Y22" s="103" t="s">
        <v>264</v>
      </c>
      <c r="AB22" s="103" t="s">
        <v>265</v>
      </c>
    </row>
    <row r="23">
      <c r="B23" s="105" t="s">
        <v>217</v>
      </c>
      <c r="D23" s="105" t="s">
        <v>218</v>
      </c>
      <c r="E23" s="105" t="str">
        <f t="shared" ref="E23:E37" si="1">B23</f>
        <v>Series J</v>
      </c>
      <c r="F23" s="106">
        <v>0.0</v>
      </c>
      <c r="G23" s="106">
        <f t="shared" ref="G23:G33" si="2">iferror(F23/J23,0)</f>
        <v>0</v>
      </c>
      <c r="H23" s="107">
        <v>1.0</v>
      </c>
      <c r="I23" s="108">
        <f t="shared" ref="I23:I37" si="3">iferror(G23/G$39,0)</f>
        <v>0</v>
      </c>
      <c r="J23" s="109">
        <v>0.0</v>
      </c>
      <c r="L23" s="107">
        <v>1.0</v>
      </c>
      <c r="M23" s="106">
        <f t="shared" ref="M23:M37" si="4">F23 * L23 + U23</f>
        <v>0</v>
      </c>
      <c r="O23" s="111" t="s">
        <v>219</v>
      </c>
      <c r="P23" s="107">
        <v>0.0</v>
      </c>
      <c r="Q23" s="21">
        <f t="shared" ref="Q23:Q37" si="5">if(O23="participating preferred with cap",P23 * F23 , 0 )</f>
        <v>0</v>
      </c>
      <c r="S23" s="112" t="s">
        <v>220</v>
      </c>
      <c r="T23" s="113">
        <v>0.05</v>
      </c>
      <c r="U23" s="21">
        <f t="shared" ref="U23:U37" si="6">if($S23="not declared",0,if($S23="non cumulative",$F23*$T23,IFERROR($T23/365*($V23-$W23)*$F23,0)))</f>
        <v>0</v>
      </c>
      <c r="V23" s="114">
        <f t="shared" ref="V23:V37" si="7">EDATE(TODAY(),0)</f>
        <v>46107</v>
      </c>
      <c r="W23" s="114">
        <f t="shared" ref="W23:W37" si="8">EDATE(TODAY(),-12*4)</f>
        <v>44646</v>
      </c>
      <c r="Y23" s="59" t="b">
        <v>0</v>
      </c>
      <c r="Z23" s="140">
        <v>0.2</v>
      </c>
      <c r="AA23" s="120">
        <v>0.0</v>
      </c>
      <c r="AB23" s="38" t="s">
        <v>266</v>
      </c>
    </row>
    <row r="24">
      <c r="B24" s="105" t="s">
        <v>221</v>
      </c>
      <c r="D24" s="105" t="s">
        <v>218</v>
      </c>
      <c r="E24" s="105" t="str">
        <f t="shared" si="1"/>
        <v>Series I</v>
      </c>
      <c r="F24" s="106">
        <v>0.0</v>
      </c>
      <c r="G24" s="106">
        <f t="shared" si="2"/>
        <v>0</v>
      </c>
      <c r="H24" s="107">
        <v>1.0</v>
      </c>
      <c r="I24" s="108">
        <f t="shared" si="3"/>
        <v>0</v>
      </c>
      <c r="J24" s="109">
        <v>0.0</v>
      </c>
      <c r="L24" s="107">
        <v>1.0</v>
      </c>
      <c r="M24" s="106">
        <f t="shared" si="4"/>
        <v>0</v>
      </c>
      <c r="O24" s="111" t="s">
        <v>219</v>
      </c>
      <c r="P24" s="107">
        <v>0.0</v>
      </c>
      <c r="Q24" s="21">
        <f t="shared" si="5"/>
        <v>0</v>
      </c>
      <c r="S24" s="112" t="s">
        <v>220</v>
      </c>
      <c r="T24" s="113">
        <v>0.05</v>
      </c>
      <c r="U24" s="21">
        <f t="shared" si="6"/>
        <v>0</v>
      </c>
      <c r="V24" s="114">
        <f t="shared" si="7"/>
        <v>46107</v>
      </c>
      <c r="W24" s="114">
        <f t="shared" si="8"/>
        <v>44646</v>
      </c>
      <c r="Y24" s="59" t="b">
        <v>0</v>
      </c>
      <c r="Z24" s="140">
        <v>0.2</v>
      </c>
      <c r="AA24" s="120">
        <v>0.0</v>
      </c>
      <c r="AB24" s="38" t="s">
        <v>266</v>
      </c>
    </row>
    <row r="25">
      <c r="B25" s="105" t="s">
        <v>222</v>
      </c>
      <c r="D25" s="105" t="s">
        <v>218</v>
      </c>
      <c r="E25" s="105" t="str">
        <f t="shared" si="1"/>
        <v>Series H</v>
      </c>
      <c r="F25" s="106">
        <v>0.0</v>
      </c>
      <c r="G25" s="106">
        <f t="shared" si="2"/>
        <v>0</v>
      </c>
      <c r="H25" s="107">
        <v>1.0</v>
      </c>
      <c r="I25" s="108">
        <f t="shared" si="3"/>
        <v>0</v>
      </c>
      <c r="J25" s="109">
        <v>0.0</v>
      </c>
      <c r="L25" s="107">
        <v>1.0</v>
      </c>
      <c r="M25" s="106">
        <f t="shared" si="4"/>
        <v>0</v>
      </c>
      <c r="O25" s="111" t="s">
        <v>219</v>
      </c>
      <c r="P25" s="107">
        <v>0.0</v>
      </c>
      <c r="Q25" s="21">
        <f t="shared" si="5"/>
        <v>0</v>
      </c>
      <c r="S25" s="112" t="s">
        <v>220</v>
      </c>
      <c r="T25" s="113">
        <v>0.05</v>
      </c>
      <c r="U25" s="21">
        <f t="shared" si="6"/>
        <v>0</v>
      </c>
      <c r="V25" s="114">
        <f t="shared" si="7"/>
        <v>46107</v>
      </c>
      <c r="W25" s="114">
        <f t="shared" si="8"/>
        <v>44646</v>
      </c>
      <c r="Y25" s="59" t="b">
        <v>0</v>
      </c>
      <c r="Z25" s="140">
        <v>0.2</v>
      </c>
      <c r="AA25" s="120">
        <v>0.0</v>
      </c>
      <c r="AB25" s="38" t="s">
        <v>266</v>
      </c>
    </row>
    <row r="26">
      <c r="B26" s="105" t="s">
        <v>223</v>
      </c>
      <c r="D26" s="105" t="s">
        <v>218</v>
      </c>
      <c r="E26" s="105" t="str">
        <f t="shared" si="1"/>
        <v>Series G</v>
      </c>
      <c r="F26" s="106">
        <v>0.0</v>
      </c>
      <c r="G26" s="106">
        <f t="shared" si="2"/>
        <v>0</v>
      </c>
      <c r="H26" s="107">
        <v>1.0</v>
      </c>
      <c r="I26" s="108">
        <f t="shared" si="3"/>
        <v>0</v>
      </c>
      <c r="J26" s="109">
        <v>0.0</v>
      </c>
      <c r="L26" s="107">
        <v>1.0</v>
      </c>
      <c r="M26" s="106">
        <f t="shared" si="4"/>
        <v>0</v>
      </c>
      <c r="O26" s="111" t="s">
        <v>219</v>
      </c>
      <c r="P26" s="107">
        <v>0.0</v>
      </c>
      <c r="Q26" s="21">
        <f t="shared" si="5"/>
        <v>0</v>
      </c>
      <c r="S26" s="112" t="s">
        <v>220</v>
      </c>
      <c r="T26" s="113">
        <v>0.05</v>
      </c>
      <c r="U26" s="21">
        <f t="shared" si="6"/>
        <v>0</v>
      </c>
      <c r="V26" s="114">
        <f t="shared" si="7"/>
        <v>46107</v>
      </c>
      <c r="W26" s="114">
        <f t="shared" si="8"/>
        <v>44646</v>
      </c>
      <c r="Y26" s="59" t="b">
        <v>0</v>
      </c>
      <c r="Z26" s="140">
        <v>0.2</v>
      </c>
      <c r="AA26" s="120">
        <v>0.0</v>
      </c>
      <c r="AB26" s="38" t="s">
        <v>266</v>
      </c>
    </row>
    <row r="27">
      <c r="B27" s="105" t="s">
        <v>224</v>
      </c>
      <c r="D27" s="105" t="s">
        <v>218</v>
      </c>
      <c r="E27" s="105" t="str">
        <f t="shared" si="1"/>
        <v>Series F</v>
      </c>
      <c r="F27" s="106">
        <v>0.0</v>
      </c>
      <c r="G27" s="106">
        <f t="shared" si="2"/>
        <v>0</v>
      </c>
      <c r="H27" s="107">
        <v>1.0</v>
      </c>
      <c r="I27" s="108">
        <f t="shared" si="3"/>
        <v>0</v>
      </c>
      <c r="J27" s="109">
        <v>0.0</v>
      </c>
      <c r="L27" s="107">
        <v>1.0</v>
      </c>
      <c r="M27" s="106">
        <f t="shared" si="4"/>
        <v>0</v>
      </c>
      <c r="O27" s="111" t="s">
        <v>219</v>
      </c>
      <c r="P27" s="107">
        <v>0.0</v>
      </c>
      <c r="Q27" s="21">
        <f t="shared" si="5"/>
        <v>0</v>
      </c>
      <c r="S27" s="112" t="s">
        <v>220</v>
      </c>
      <c r="T27" s="113">
        <v>0.05</v>
      </c>
      <c r="U27" s="21">
        <f t="shared" si="6"/>
        <v>0</v>
      </c>
      <c r="V27" s="114">
        <f t="shared" si="7"/>
        <v>46107</v>
      </c>
      <c r="W27" s="114">
        <f t="shared" si="8"/>
        <v>44646</v>
      </c>
      <c r="Y27" s="59" t="b">
        <v>0</v>
      </c>
      <c r="Z27" s="140">
        <v>0.2</v>
      </c>
      <c r="AA27" s="120">
        <v>0.0</v>
      </c>
      <c r="AB27" s="38" t="s">
        <v>266</v>
      </c>
    </row>
    <row r="28">
      <c r="B28" s="105" t="s">
        <v>225</v>
      </c>
      <c r="D28" s="105" t="s">
        <v>218</v>
      </c>
      <c r="E28" s="105" t="str">
        <f t="shared" si="1"/>
        <v>Series E</v>
      </c>
      <c r="F28" s="106">
        <v>0.0</v>
      </c>
      <c r="G28" s="106">
        <f t="shared" si="2"/>
        <v>0</v>
      </c>
      <c r="H28" s="107">
        <v>1.0</v>
      </c>
      <c r="I28" s="108">
        <f t="shared" si="3"/>
        <v>0</v>
      </c>
      <c r="J28" s="109">
        <v>0.0</v>
      </c>
      <c r="L28" s="107">
        <v>1.0</v>
      </c>
      <c r="M28" s="106">
        <f t="shared" si="4"/>
        <v>0</v>
      </c>
      <c r="O28" s="111" t="s">
        <v>219</v>
      </c>
      <c r="P28" s="107">
        <v>0.0</v>
      </c>
      <c r="Q28" s="21">
        <f t="shared" si="5"/>
        <v>0</v>
      </c>
      <c r="S28" s="112" t="s">
        <v>220</v>
      </c>
      <c r="T28" s="113">
        <v>0.05</v>
      </c>
      <c r="U28" s="21">
        <f t="shared" si="6"/>
        <v>0</v>
      </c>
      <c r="V28" s="114">
        <f t="shared" si="7"/>
        <v>46107</v>
      </c>
      <c r="W28" s="114">
        <f t="shared" si="8"/>
        <v>44646</v>
      </c>
      <c r="Y28" s="59" t="b">
        <v>0</v>
      </c>
      <c r="Z28" s="140">
        <v>0.2</v>
      </c>
      <c r="AA28" s="120">
        <v>0.0</v>
      </c>
      <c r="AB28" s="38" t="s">
        <v>266</v>
      </c>
    </row>
    <row r="29">
      <c r="B29" s="105" t="s">
        <v>226</v>
      </c>
      <c r="D29" s="105" t="s">
        <v>218</v>
      </c>
      <c r="E29" s="105" t="str">
        <f t="shared" si="1"/>
        <v>Series D</v>
      </c>
      <c r="F29" s="115">
        <v>0.0</v>
      </c>
      <c r="G29" s="106">
        <f t="shared" si="2"/>
        <v>0</v>
      </c>
      <c r="H29" s="107">
        <v>1.0</v>
      </c>
      <c r="I29" s="108">
        <f t="shared" si="3"/>
        <v>0</v>
      </c>
      <c r="J29" s="109">
        <v>0.0</v>
      </c>
      <c r="L29" s="107">
        <v>1.0</v>
      </c>
      <c r="M29" s="106">
        <f t="shared" si="4"/>
        <v>0</v>
      </c>
      <c r="O29" s="111" t="s">
        <v>219</v>
      </c>
      <c r="P29" s="107">
        <v>0.0</v>
      </c>
      <c r="Q29" s="21">
        <f t="shared" si="5"/>
        <v>0</v>
      </c>
      <c r="S29" s="112" t="s">
        <v>220</v>
      </c>
      <c r="T29" s="113">
        <v>0.05</v>
      </c>
      <c r="U29" s="21">
        <f t="shared" si="6"/>
        <v>0</v>
      </c>
      <c r="V29" s="114">
        <f t="shared" si="7"/>
        <v>46107</v>
      </c>
      <c r="W29" s="114">
        <f t="shared" si="8"/>
        <v>44646</v>
      </c>
      <c r="Y29" s="59" t="b">
        <v>0</v>
      </c>
      <c r="Z29" s="140">
        <v>0.2</v>
      </c>
      <c r="AA29" s="120">
        <v>0.0</v>
      </c>
      <c r="AB29" s="38" t="s">
        <v>266</v>
      </c>
    </row>
    <row r="30">
      <c r="B30" s="105" t="s">
        <v>227</v>
      </c>
      <c r="D30" s="105" t="s">
        <v>218</v>
      </c>
      <c r="E30" s="105" t="str">
        <f t="shared" si="1"/>
        <v>Series C</v>
      </c>
      <c r="F30" s="115">
        <v>650000.0</v>
      </c>
      <c r="G30" s="106">
        <f t="shared" si="2"/>
        <v>0</v>
      </c>
      <c r="H30" s="107">
        <v>1.0</v>
      </c>
      <c r="I30" s="108">
        <f t="shared" si="3"/>
        <v>0</v>
      </c>
      <c r="J30" s="109">
        <v>0.0</v>
      </c>
      <c r="L30" s="107">
        <v>1.0</v>
      </c>
      <c r="M30" s="106">
        <f t="shared" si="4"/>
        <v>650000</v>
      </c>
      <c r="O30" s="111" t="s">
        <v>219</v>
      </c>
      <c r="P30" s="107">
        <v>0.0</v>
      </c>
      <c r="Q30" s="21">
        <f t="shared" si="5"/>
        <v>0</v>
      </c>
      <c r="S30" s="112" t="s">
        <v>220</v>
      </c>
      <c r="T30" s="113">
        <v>0.05</v>
      </c>
      <c r="U30" s="21">
        <f t="shared" si="6"/>
        <v>0</v>
      </c>
      <c r="V30" s="114">
        <f t="shared" si="7"/>
        <v>46107</v>
      </c>
      <c r="W30" s="114">
        <f t="shared" si="8"/>
        <v>44646</v>
      </c>
      <c r="Y30" s="59" t="b">
        <v>0</v>
      </c>
      <c r="Z30" s="140">
        <v>0.2</v>
      </c>
      <c r="AA30" s="120">
        <v>8000000.0</v>
      </c>
      <c r="AB30" s="38" t="s">
        <v>149</v>
      </c>
    </row>
    <row r="31">
      <c r="B31" s="105" t="s">
        <v>228</v>
      </c>
      <c r="D31" s="105" t="s">
        <v>218</v>
      </c>
      <c r="E31" s="105" t="str">
        <f t="shared" si="1"/>
        <v>Series B</v>
      </c>
      <c r="F31" s="115">
        <f t="shared" ref="F31:F32" si="9">F32*2</f>
        <v>2000000</v>
      </c>
      <c r="G31" s="106">
        <f t="shared" si="2"/>
        <v>2000000</v>
      </c>
      <c r="H31" s="107">
        <v>1.0</v>
      </c>
      <c r="I31" s="108">
        <f t="shared" si="3"/>
        <v>0.1052631579</v>
      </c>
      <c r="J31" s="109">
        <v>1.0</v>
      </c>
      <c r="L31" s="107">
        <v>1.0</v>
      </c>
      <c r="M31" s="106">
        <f t="shared" si="4"/>
        <v>2000000</v>
      </c>
      <c r="O31" s="111" t="s">
        <v>219</v>
      </c>
      <c r="P31" s="107">
        <v>0.0</v>
      </c>
      <c r="Q31" s="21">
        <f t="shared" si="5"/>
        <v>0</v>
      </c>
      <c r="S31" s="112" t="s">
        <v>220</v>
      </c>
      <c r="T31" s="113">
        <v>0.05</v>
      </c>
      <c r="U31" s="21">
        <f t="shared" si="6"/>
        <v>0</v>
      </c>
      <c r="V31" s="114">
        <f t="shared" si="7"/>
        <v>46107</v>
      </c>
      <c r="W31" s="114">
        <f t="shared" si="8"/>
        <v>44646</v>
      </c>
      <c r="Y31" s="59" t="b">
        <v>0</v>
      </c>
      <c r="Z31" s="140">
        <v>0.2</v>
      </c>
      <c r="AA31" s="120">
        <v>0.0</v>
      </c>
      <c r="AB31" s="38" t="s">
        <v>266</v>
      </c>
    </row>
    <row r="32">
      <c r="B32" s="105" t="s">
        <v>229</v>
      </c>
      <c r="D32" s="105" t="s">
        <v>218</v>
      </c>
      <c r="E32" s="105" t="str">
        <f t="shared" si="1"/>
        <v>Series A</v>
      </c>
      <c r="F32" s="115">
        <f t="shared" si="9"/>
        <v>1000000</v>
      </c>
      <c r="G32" s="106">
        <f t="shared" si="2"/>
        <v>2000000</v>
      </c>
      <c r="H32" s="107">
        <v>1.0</v>
      </c>
      <c r="I32" s="108">
        <f t="shared" si="3"/>
        <v>0.1052631579</v>
      </c>
      <c r="J32" s="109">
        <v>0.5</v>
      </c>
      <c r="L32" s="107">
        <v>1.0</v>
      </c>
      <c r="M32" s="106">
        <f t="shared" si="4"/>
        <v>1000000</v>
      </c>
      <c r="O32" s="111" t="s">
        <v>219</v>
      </c>
      <c r="P32" s="107">
        <v>0.0</v>
      </c>
      <c r="Q32" s="21">
        <f t="shared" si="5"/>
        <v>0</v>
      </c>
      <c r="S32" s="112" t="s">
        <v>220</v>
      </c>
      <c r="T32" s="113">
        <v>0.05</v>
      </c>
      <c r="U32" s="21">
        <f t="shared" si="6"/>
        <v>0</v>
      </c>
      <c r="V32" s="114">
        <f t="shared" si="7"/>
        <v>46107</v>
      </c>
      <c r="W32" s="114">
        <f t="shared" si="8"/>
        <v>44646</v>
      </c>
      <c r="Y32" s="59" t="b">
        <v>0</v>
      </c>
      <c r="Z32" s="140">
        <v>0.2</v>
      </c>
      <c r="AA32" s="120">
        <v>0.0</v>
      </c>
      <c r="AB32" s="38" t="s">
        <v>266</v>
      </c>
    </row>
    <row r="33">
      <c r="B33" s="105" t="s">
        <v>230</v>
      </c>
      <c r="D33" s="105" t="s">
        <v>218</v>
      </c>
      <c r="E33" s="105" t="str">
        <f t="shared" si="1"/>
        <v>Seed</v>
      </c>
      <c r="F33" s="115">
        <v>500000.0</v>
      </c>
      <c r="G33" s="106">
        <f t="shared" si="2"/>
        <v>5000000</v>
      </c>
      <c r="H33" s="107">
        <v>1.0</v>
      </c>
      <c r="I33" s="108">
        <f t="shared" si="3"/>
        <v>0.2631578947</v>
      </c>
      <c r="J33" s="109">
        <v>0.1</v>
      </c>
      <c r="L33" s="107">
        <v>1.0</v>
      </c>
      <c r="M33" s="106">
        <f t="shared" si="4"/>
        <v>500000</v>
      </c>
      <c r="O33" s="111" t="s">
        <v>219</v>
      </c>
      <c r="P33" s="107">
        <v>0.0</v>
      </c>
      <c r="Q33" s="21">
        <f t="shared" si="5"/>
        <v>0</v>
      </c>
      <c r="S33" s="112" t="s">
        <v>220</v>
      </c>
      <c r="T33" s="113">
        <v>0.05</v>
      </c>
      <c r="U33" s="21">
        <f t="shared" si="6"/>
        <v>0</v>
      </c>
      <c r="V33" s="114">
        <f t="shared" si="7"/>
        <v>46107</v>
      </c>
      <c r="W33" s="114">
        <f t="shared" si="8"/>
        <v>44646</v>
      </c>
      <c r="Y33" s="59" t="b">
        <v>0</v>
      </c>
      <c r="Z33" s="140">
        <v>0.2</v>
      </c>
      <c r="AA33" s="120">
        <v>0.0</v>
      </c>
      <c r="AB33" s="38" t="s">
        <v>266</v>
      </c>
    </row>
    <row r="34">
      <c r="B34" s="105" t="s">
        <v>96</v>
      </c>
      <c r="D34" s="105" t="s">
        <v>96</v>
      </c>
      <c r="E34" s="105" t="str">
        <f t="shared" si="1"/>
        <v>Common</v>
      </c>
      <c r="F34" s="106">
        <v>0.0</v>
      </c>
      <c r="G34" s="106">
        <v>1.0E7</v>
      </c>
      <c r="H34" s="107">
        <v>1.0</v>
      </c>
      <c r="I34" s="108">
        <f t="shared" si="3"/>
        <v>0.5263157895</v>
      </c>
      <c r="J34" s="109">
        <v>0.0</v>
      </c>
      <c r="L34" s="107">
        <v>1.0</v>
      </c>
      <c r="M34" s="106">
        <f t="shared" si="4"/>
        <v>0</v>
      </c>
      <c r="O34" s="111" t="s">
        <v>219</v>
      </c>
      <c r="P34" s="107">
        <v>0.0</v>
      </c>
      <c r="Q34" s="21">
        <f t="shared" si="5"/>
        <v>0</v>
      </c>
      <c r="S34" s="112" t="s">
        <v>220</v>
      </c>
      <c r="T34" s="113">
        <v>0.05</v>
      </c>
      <c r="U34" s="21">
        <f t="shared" si="6"/>
        <v>0</v>
      </c>
      <c r="V34" s="114">
        <f t="shared" si="7"/>
        <v>46107</v>
      </c>
      <c r="W34" s="114">
        <f t="shared" si="8"/>
        <v>44646</v>
      </c>
      <c r="Y34" s="59" t="b">
        <v>0</v>
      </c>
      <c r="Z34" s="140">
        <v>0.2</v>
      </c>
      <c r="AA34" s="120">
        <v>0.0</v>
      </c>
      <c r="AB34" s="38" t="s">
        <v>266</v>
      </c>
    </row>
    <row r="35">
      <c r="B35" s="105" t="s">
        <v>81</v>
      </c>
      <c r="D35" s="105" t="s">
        <v>81</v>
      </c>
      <c r="E35" s="105" t="str">
        <f t="shared" si="1"/>
        <v>Options</v>
      </c>
      <c r="F35" s="106">
        <v>0.0</v>
      </c>
      <c r="G35" s="106">
        <v>0.0</v>
      </c>
      <c r="H35" s="107">
        <v>1.0</v>
      </c>
      <c r="I35" s="108">
        <f t="shared" si="3"/>
        <v>0</v>
      </c>
      <c r="J35" s="109">
        <v>0.0</v>
      </c>
      <c r="L35" s="107">
        <v>1.0</v>
      </c>
      <c r="M35" s="106">
        <f t="shared" si="4"/>
        <v>0</v>
      </c>
      <c r="O35" s="111" t="s">
        <v>219</v>
      </c>
      <c r="P35" s="107">
        <v>0.0</v>
      </c>
      <c r="Q35" s="21">
        <f t="shared" si="5"/>
        <v>0</v>
      </c>
      <c r="S35" s="112" t="s">
        <v>220</v>
      </c>
      <c r="T35" s="113">
        <v>0.05</v>
      </c>
      <c r="U35" s="21">
        <f t="shared" si="6"/>
        <v>0</v>
      </c>
      <c r="V35" s="114">
        <f t="shared" si="7"/>
        <v>46107</v>
      </c>
      <c r="W35" s="114">
        <f t="shared" si="8"/>
        <v>44646</v>
      </c>
      <c r="Y35" s="59" t="b">
        <v>0</v>
      </c>
      <c r="Z35" s="140">
        <v>0.2</v>
      </c>
      <c r="AA35" s="120">
        <v>0.0</v>
      </c>
      <c r="AB35" s="38" t="s">
        <v>266</v>
      </c>
    </row>
    <row r="36">
      <c r="B36" s="105" t="s">
        <v>81</v>
      </c>
      <c r="D36" s="105" t="s">
        <v>81</v>
      </c>
      <c r="E36" s="105" t="str">
        <f t="shared" si="1"/>
        <v>Options</v>
      </c>
      <c r="F36" s="106">
        <v>0.0</v>
      </c>
      <c r="G36" s="106">
        <v>0.0</v>
      </c>
      <c r="H36" s="107">
        <v>1.0</v>
      </c>
      <c r="I36" s="108">
        <f t="shared" si="3"/>
        <v>0</v>
      </c>
      <c r="J36" s="109">
        <v>0.0</v>
      </c>
      <c r="L36" s="107">
        <v>1.0</v>
      </c>
      <c r="M36" s="106">
        <f t="shared" si="4"/>
        <v>0</v>
      </c>
      <c r="O36" s="111" t="s">
        <v>219</v>
      </c>
      <c r="P36" s="107">
        <v>0.0</v>
      </c>
      <c r="Q36" s="21">
        <f t="shared" si="5"/>
        <v>0</v>
      </c>
      <c r="S36" s="112" t="s">
        <v>220</v>
      </c>
      <c r="T36" s="113">
        <v>0.05</v>
      </c>
      <c r="U36" s="21">
        <f t="shared" si="6"/>
        <v>0</v>
      </c>
      <c r="V36" s="114">
        <f t="shared" si="7"/>
        <v>46107</v>
      </c>
      <c r="W36" s="114">
        <f t="shared" si="8"/>
        <v>44646</v>
      </c>
      <c r="Y36" s="59" t="b">
        <v>0</v>
      </c>
      <c r="Z36" s="140">
        <v>0.2</v>
      </c>
      <c r="AA36" s="120">
        <v>0.0</v>
      </c>
      <c r="AB36" s="38" t="s">
        <v>266</v>
      </c>
    </row>
    <row r="37">
      <c r="B37" s="105" t="s">
        <v>231</v>
      </c>
      <c r="D37" s="105" t="s">
        <v>231</v>
      </c>
      <c r="E37" s="105" t="str">
        <f t="shared" si="1"/>
        <v>Warrants</v>
      </c>
      <c r="F37" s="106">
        <v>0.0</v>
      </c>
      <c r="G37" s="106">
        <v>0.0</v>
      </c>
      <c r="H37" s="107">
        <v>1.0</v>
      </c>
      <c r="I37" s="108">
        <f t="shared" si="3"/>
        <v>0</v>
      </c>
      <c r="J37" s="109">
        <v>0.0</v>
      </c>
      <c r="L37" s="107">
        <v>1.0</v>
      </c>
      <c r="M37" s="106">
        <f t="shared" si="4"/>
        <v>0</v>
      </c>
      <c r="O37" s="111" t="s">
        <v>219</v>
      </c>
      <c r="P37" s="107">
        <v>0.0</v>
      </c>
      <c r="Q37" s="21">
        <f t="shared" si="5"/>
        <v>0</v>
      </c>
      <c r="S37" s="112" t="s">
        <v>220</v>
      </c>
      <c r="T37" s="113">
        <v>0.05</v>
      </c>
      <c r="U37" s="21">
        <f t="shared" si="6"/>
        <v>0</v>
      </c>
      <c r="V37" s="114">
        <f t="shared" si="7"/>
        <v>46107</v>
      </c>
      <c r="W37" s="114">
        <f t="shared" si="8"/>
        <v>44646</v>
      </c>
      <c r="Y37" s="59" t="b">
        <v>0</v>
      </c>
      <c r="Z37" s="140">
        <v>0.2</v>
      </c>
      <c r="AA37" s="120">
        <v>0.0</v>
      </c>
      <c r="AB37" s="38" t="s">
        <v>266</v>
      </c>
    </row>
    <row r="38">
      <c r="B38" s="86"/>
    </row>
    <row r="39">
      <c r="B39" s="116" t="s">
        <v>103</v>
      </c>
      <c r="C39" s="73"/>
      <c r="D39" s="73"/>
      <c r="E39" s="73"/>
      <c r="F39" s="117">
        <f t="shared" ref="F39:G39" si="10">sum(F22:F38)</f>
        <v>4150000</v>
      </c>
      <c r="G39" s="117">
        <f t="shared" si="10"/>
        <v>19000000</v>
      </c>
      <c r="H39" s="73"/>
      <c r="I39" s="118">
        <f>iferror(G39/G$39,0)</f>
        <v>1</v>
      </c>
      <c r="J39" s="73"/>
      <c r="K39" s="117"/>
      <c r="L39" s="117"/>
      <c r="M39" s="117">
        <f>sum(M22:M38)</f>
        <v>4150000</v>
      </c>
      <c r="N39" s="117"/>
      <c r="O39" s="117"/>
      <c r="P39" s="117"/>
      <c r="Q39" s="117"/>
      <c r="R39" s="117"/>
      <c r="S39" s="117"/>
      <c r="T39" s="117"/>
      <c r="U39" s="117"/>
      <c r="V39" s="117"/>
      <c r="W39" s="117"/>
      <c r="Y39" s="117"/>
      <c r="Z39" s="117"/>
      <c r="AA39" s="117"/>
      <c r="AB39" s="117"/>
    </row>
    <row r="40">
      <c r="B40" s="86"/>
    </row>
    <row r="41">
      <c r="B41" s="119" t="s">
        <v>232</v>
      </c>
    </row>
    <row r="42">
      <c r="B42" s="119" t="s">
        <v>233</v>
      </c>
      <c r="D42" s="120">
        <f>ROUNDDOWN(large($M23:$M37,D47)/500000,0)*500000</f>
        <v>2000000</v>
      </c>
      <c r="E42" s="120">
        <f t="shared" ref="E42:J42" si="11">MAX(D42+1000000,if(large($M23:$M37,E47)&gt;0,ROUNDDOWN(large($M23:$M37,E47)/500000,0)*500000+D42,D42*2))</f>
        <v>3000000</v>
      </c>
      <c r="F42" s="120">
        <f t="shared" si="11"/>
        <v>4000000</v>
      </c>
      <c r="G42" s="120">
        <f t="shared" si="11"/>
        <v>5000000</v>
      </c>
      <c r="H42" s="120">
        <f t="shared" si="11"/>
        <v>10000000</v>
      </c>
      <c r="I42" s="120">
        <f t="shared" si="11"/>
        <v>20000000</v>
      </c>
      <c r="J42" s="120">
        <f t="shared" si="11"/>
        <v>40000000</v>
      </c>
    </row>
    <row r="43">
      <c r="B43" s="119" t="s">
        <v>234</v>
      </c>
      <c r="D43" s="120">
        <v>0.0</v>
      </c>
      <c r="E43" s="120">
        <v>0.0</v>
      </c>
      <c r="F43" s="120">
        <v>0.0</v>
      </c>
      <c r="G43" s="120">
        <v>0.0</v>
      </c>
      <c r="H43" s="120">
        <v>0.0</v>
      </c>
      <c r="I43" s="120">
        <v>0.0</v>
      </c>
      <c r="J43" s="120">
        <v>0.0</v>
      </c>
    </row>
    <row r="44">
      <c r="B44" s="121" t="s">
        <v>235</v>
      </c>
      <c r="D44" s="120">
        <v>0.0</v>
      </c>
      <c r="E44" s="120">
        <v>0.0</v>
      </c>
      <c r="F44" s="120">
        <v>0.0</v>
      </c>
      <c r="G44" s="120">
        <v>0.0</v>
      </c>
      <c r="H44" s="120">
        <v>0.0</v>
      </c>
      <c r="I44" s="120">
        <v>0.0</v>
      </c>
      <c r="J44" s="120">
        <v>0.0</v>
      </c>
      <c r="K44" s="122"/>
      <c r="L44" s="122"/>
      <c r="M44" s="122"/>
    </row>
    <row r="45">
      <c r="B45" s="119" t="s">
        <v>236</v>
      </c>
      <c r="D45" s="122">
        <f t="shared" ref="D45:J45" si="12">sumproduct( --($D23:$D37="options"), $J23:$J37 , D121:D135 )</f>
        <v>0</v>
      </c>
      <c r="E45" s="122">
        <f t="shared" si="12"/>
        <v>0</v>
      </c>
      <c r="F45" s="122">
        <f t="shared" si="12"/>
        <v>0</v>
      </c>
      <c r="G45" s="122">
        <f t="shared" si="12"/>
        <v>0</v>
      </c>
      <c r="H45" s="122">
        <f t="shared" si="12"/>
        <v>0</v>
      </c>
      <c r="I45" s="122">
        <f t="shared" si="12"/>
        <v>0</v>
      </c>
      <c r="J45" s="122">
        <f t="shared" si="12"/>
        <v>0</v>
      </c>
      <c r="K45" s="122"/>
      <c r="L45" s="122"/>
      <c r="M45" s="122"/>
    </row>
    <row r="46">
      <c r="B46" s="119" t="s">
        <v>232</v>
      </c>
      <c r="D46" s="123">
        <f t="shared" ref="D46:J46" si="13">sum(D42,abs(D43)*-1,abs(D44)*-1,D45)</f>
        <v>2000000</v>
      </c>
      <c r="E46" s="123">
        <f t="shared" si="13"/>
        <v>3000000</v>
      </c>
      <c r="F46" s="123">
        <f t="shared" si="13"/>
        <v>4000000</v>
      </c>
      <c r="G46" s="123">
        <f t="shared" si="13"/>
        <v>5000000</v>
      </c>
      <c r="H46" s="123">
        <f t="shared" si="13"/>
        <v>10000000</v>
      </c>
      <c r="I46" s="123">
        <f t="shared" si="13"/>
        <v>20000000</v>
      </c>
      <c r="J46" s="123">
        <f t="shared" si="13"/>
        <v>40000000</v>
      </c>
      <c r="K46" s="122"/>
      <c r="L46" s="122"/>
      <c r="M46" s="122"/>
    </row>
    <row r="47">
      <c r="B47" s="124" t="s">
        <v>237</v>
      </c>
      <c r="D47" s="21">
        <v>1.0</v>
      </c>
      <c r="E47" s="21">
        <f t="shared" ref="E47:J47" si="14">D47+1</f>
        <v>2</v>
      </c>
      <c r="F47" s="21">
        <f t="shared" si="14"/>
        <v>3</v>
      </c>
      <c r="G47" s="21">
        <f t="shared" si="14"/>
        <v>4</v>
      </c>
      <c r="H47" s="21">
        <f t="shared" si="14"/>
        <v>5</v>
      </c>
      <c r="I47" s="21">
        <f t="shared" si="14"/>
        <v>6</v>
      </c>
      <c r="J47" s="21">
        <f t="shared" si="14"/>
        <v>7</v>
      </c>
    </row>
    <row r="48">
      <c r="B48" s="86"/>
      <c r="K48" s="122"/>
      <c r="L48" s="122"/>
      <c r="M48" s="122"/>
    </row>
    <row r="49">
      <c r="B49" s="125" t="s">
        <v>238</v>
      </c>
    </row>
    <row r="50">
      <c r="B50" s="86" t="str">
        <f t="shared" ref="B50:B64" si="16">E23</f>
        <v>Series J</v>
      </c>
      <c r="D50" s="122">
        <f t="shared" ref="D50:J50" si="15">max(0,min(sumproduct($M$23:$M$37,--($E$23:$E$37=$B139)),D$46-sum(D$49:D49)))</f>
        <v>0</v>
      </c>
      <c r="E50" s="122">
        <f t="shared" si="15"/>
        <v>0</v>
      </c>
      <c r="F50" s="122">
        <f t="shared" si="15"/>
        <v>0</v>
      </c>
      <c r="G50" s="122">
        <f t="shared" si="15"/>
        <v>0</v>
      </c>
      <c r="H50" s="122">
        <f t="shared" si="15"/>
        <v>0</v>
      </c>
      <c r="I50" s="122">
        <f t="shared" si="15"/>
        <v>0</v>
      </c>
      <c r="J50" s="122">
        <f t="shared" si="15"/>
        <v>0</v>
      </c>
    </row>
    <row r="51">
      <c r="B51" s="86" t="str">
        <f t="shared" si="16"/>
        <v>Series I</v>
      </c>
      <c r="D51" s="122">
        <f t="shared" ref="D51:J51" si="17">max(0,min(sumproduct($M$23:$M$37,--($E$23:$E$37=$B140)),D$46-sum(D$49:D50)))</f>
        <v>0</v>
      </c>
      <c r="E51" s="122">
        <f t="shared" si="17"/>
        <v>0</v>
      </c>
      <c r="F51" s="122">
        <f t="shared" si="17"/>
        <v>0</v>
      </c>
      <c r="G51" s="122">
        <f t="shared" si="17"/>
        <v>0</v>
      </c>
      <c r="H51" s="122">
        <f t="shared" si="17"/>
        <v>0</v>
      </c>
      <c r="I51" s="122">
        <f t="shared" si="17"/>
        <v>0</v>
      </c>
      <c r="J51" s="122">
        <f t="shared" si="17"/>
        <v>0</v>
      </c>
    </row>
    <row r="52">
      <c r="B52" s="86" t="str">
        <f t="shared" si="16"/>
        <v>Series H</v>
      </c>
      <c r="D52" s="122">
        <f t="shared" ref="D52:J52" si="18">max(0,min(sumproduct($M$23:$M$37,--($E$23:$E$37=$B141)),D$46-sum(D$49:D51)))</f>
        <v>0</v>
      </c>
      <c r="E52" s="122">
        <f t="shared" si="18"/>
        <v>0</v>
      </c>
      <c r="F52" s="122">
        <f t="shared" si="18"/>
        <v>0</v>
      </c>
      <c r="G52" s="122">
        <f t="shared" si="18"/>
        <v>0</v>
      </c>
      <c r="H52" s="122">
        <f t="shared" si="18"/>
        <v>0</v>
      </c>
      <c r="I52" s="122">
        <f t="shared" si="18"/>
        <v>0</v>
      </c>
      <c r="J52" s="122">
        <f t="shared" si="18"/>
        <v>0</v>
      </c>
    </row>
    <row r="53">
      <c r="B53" s="86" t="str">
        <f t="shared" si="16"/>
        <v>Series G</v>
      </c>
      <c r="D53" s="122">
        <f t="shared" ref="D53:J53" si="19">max(0,min(sumproduct($M$23:$M$37,--($E$23:$E$37=$B142)),D$46-sum(D$49:D52)))</f>
        <v>0</v>
      </c>
      <c r="E53" s="122">
        <f t="shared" si="19"/>
        <v>0</v>
      </c>
      <c r="F53" s="122">
        <f t="shared" si="19"/>
        <v>0</v>
      </c>
      <c r="G53" s="122">
        <f t="shared" si="19"/>
        <v>0</v>
      </c>
      <c r="H53" s="122">
        <f t="shared" si="19"/>
        <v>0</v>
      </c>
      <c r="I53" s="122">
        <f t="shared" si="19"/>
        <v>0</v>
      </c>
      <c r="J53" s="122">
        <f t="shared" si="19"/>
        <v>0</v>
      </c>
    </row>
    <row r="54">
      <c r="B54" s="86" t="str">
        <f t="shared" si="16"/>
        <v>Series F</v>
      </c>
      <c r="D54" s="122">
        <f t="shared" ref="D54:J54" si="20">max(0,min(sumproduct($M$23:$M$37,--($E$23:$E$37=$B143)),D$46-sum(D$49:D53)))</f>
        <v>0</v>
      </c>
      <c r="E54" s="122">
        <f t="shared" si="20"/>
        <v>0</v>
      </c>
      <c r="F54" s="122">
        <f t="shared" si="20"/>
        <v>0</v>
      </c>
      <c r="G54" s="122">
        <f t="shared" si="20"/>
        <v>0</v>
      </c>
      <c r="H54" s="122">
        <f t="shared" si="20"/>
        <v>0</v>
      </c>
      <c r="I54" s="122">
        <f t="shared" si="20"/>
        <v>0</v>
      </c>
      <c r="J54" s="122">
        <f t="shared" si="20"/>
        <v>0</v>
      </c>
    </row>
    <row r="55">
      <c r="B55" s="86" t="str">
        <f t="shared" si="16"/>
        <v>Series E</v>
      </c>
      <c r="D55" s="122">
        <f t="shared" ref="D55:J55" si="21">max(0,min(sumproduct($M$23:$M$37,--($E$23:$E$37=$B144)),D$46-sum(D$49:D54)))</f>
        <v>0</v>
      </c>
      <c r="E55" s="122">
        <f t="shared" si="21"/>
        <v>0</v>
      </c>
      <c r="F55" s="122">
        <f t="shared" si="21"/>
        <v>0</v>
      </c>
      <c r="G55" s="122">
        <f t="shared" si="21"/>
        <v>0</v>
      </c>
      <c r="H55" s="122">
        <f t="shared" si="21"/>
        <v>0</v>
      </c>
      <c r="I55" s="122">
        <f t="shared" si="21"/>
        <v>0</v>
      </c>
      <c r="J55" s="122">
        <f t="shared" si="21"/>
        <v>0</v>
      </c>
    </row>
    <row r="56">
      <c r="B56" s="86" t="str">
        <f t="shared" si="16"/>
        <v>Series D</v>
      </c>
      <c r="D56" s="122">
        <f t="shared" ref="D56:J56" si="22">max(0,min(sumproduct($M$23:$M$37,--($E$23:$E$37=$B145)),D$46-sum(D$49:D55)))</f>
        <v>0</v>
      </c>
      <c r="E56" s="122">
        <f t="shared" si="22"/>
        <v>0</v>
      </c>
      <c r="F56" s="122">
        <f t="shared" si="22"/>
        <v>0</v>
      </c>
      <c r="G56" s="122">
        <f t="shared" si="22"/>
        <v>0</v>
      </c>
      <c r="H56" s="122">
        <f t="shared" si="22"/>
        <v>0</v>
      </c>
      <c r="I56" s="122">
        <f t="shared" si="22"/>
        <v>0</v>
      </c>
      <c r="J56" s="122">
        <f t="shared" si="22"/>
        <v>0</v>
      </c>
    </row>
    <row r="57">
      <c r="B57" s="86" t="str">
        <f t="shared" si="16"/>
        <v>Series C</v>
      </c>
      <c r="D57" s="122">
        <f t="shared" ref="D57:J57" si="23">max(0,min(sumproduct($M$23:$M$37,--($E$23:$E$37=$B146)),D$46-sum(D$49:D56)))</f>
        <v>650000</v>
      </c>
      <c r="E57" s="122">
        <f t="shared" si="23"/>
        <v>650000</v>
      </c>
      <c r="F57" s="122">
        <f t="shared" si="23"/>
        <v>650000</v>
      </c>
      <c r="G57" s="122">
        <f t="shared" si="23"/>
        <v>650000</v>
      </c>
      <c r="H57" s="122">
        <f t="shared" si="23"/>
        <v>650000</v>
      </c>
      <c r="I57" s="122">
        <f t="shared" si="23"/>
        <v>650000</v>
      </c>
      <c r="J57" s="122">
        <f t="shared" si="23"/>
        <v>650000</v>
      </c>
    </row>
    <row r="58">
      <c r="B58" s="86" t="str">
        <f t="shared" si="16"/>
        <v>Series B</v>
      </c>
      <c r="D58" s="122">
        <f t="shared" ref="D58:J58" si="24">max(0,min(sumproduct($M$23:$M$37,--($E$23:$E$37=$B147)),D$46-sum(D$49:D57)))</f>
        <v>1350000</v>
      </c>
      <c r="E58" s="122">
        <f t="shared" si="24"/>
        <v>2000000</v>
      </c>
      <c r="F58" s="122">
        <f t="shared" si="24"/>
        <v>2000000</v>
      </c>
      <c r="G58" s="122">
        <f t="shared" si="24"/>
        <v>2000000</v>
      </c>
      <c r="H58" s="122">
        <f t="shared" si="24"/>
        <v>2000000</v>
      </c>
      <c r="I58" s="122">
        <f t="shared" si="24"/>
        <v>2000000</v>
      </c>
      <c r="J58" s="122">
        <f t="shared" si="24"/>
        <v>2000000</v>
      </c>
    </row>
    <row r="59">
      <c r="B59" s="86" t="str">
        <f t="shared" si="16"/>
        <v>Series A</v>
      </c>
      <c r="D59" s="122">
        <f t="shared" ref="D59:J59" si="25">max(0,min(sumproduct($M$23:$M$37,--($E$23:$E$37=$B148)),D$46-sum(D$49:D58)))</f>
        <v>0</v>
      </c>
      <c r="E59" s="122">
        <f t="shared" si="25"/>
        <v>350000</v>
      </c>
      <c r="F59" s="122">
        <f t="shared" si="25"/>
        <v>1000000</v>
      </c>
      <c r="G59" s="122">
        <f t="shared" si="25"/>
        <v>1000000</v>
      </c>
      <c r="H59" s="122">
        <f t="shared" si="25"/>
        <v>1000000</v>
      </c>
      <c r="I59" s="122">
        <f t="shared" si="25"/>
        <v>1000000</v>
      </c>
      <c r="J59" s="122">
        <f t="shared" si="25"/>
        <v>1000000</v>
      </c>
    </row>
    <row r="60">
      <c r="B60" s="86" t="str">
        <f t="shared" si="16"/>
        <v>Seed</v>
      </c>
      <c r="D60" s="122">
        <f t="shared" ref="D60:J60" si="26">max(0,min(sumproduct($M$23:$M$37,--($E$23:$E$37=$B149)),D$46-sum(D$49:D59)))</f>
        <v>0</v>
      </c>
      <c r="E60" s="122">
        <f t="shared" si="26"/>
        <v>0</v>
      </c>
      <c r="F60" s="122">
        <f t="shared" si="26"/>
        <v>350000</v>
      </c>
      <c r="G60" s="122">
        <f t="shared" si="26"/>
        <v>500000</v>
      </c>
      <c r="H60" s="122">
        <f t="shared" si="26"/>
        <v>500000</v>
      </c>
      <c r="I60" s="122">
        <f t="shared" si="26"/>
        <v>500000</v>
      </c>
      <c r="J60" s="122">
        <f t="shared" si="26"/>
        <v>500000</v>
      </c>
    </row>
    <row r="61">
      <c r="B61" s="86" t="str">
        <f t="shared" si="16"/>
        <v>Common</v>
      </c>
      <c r="D61" s="122">
        <f t="shared" ref="D61:J61" si="27">max(0,min(sumproduct($M$23:$M$37,--($E$23:$E$37=$B150)),D$46-sum(D$49:D60)))</f>
        <v>0</v>
      </c>
      <c r="E61" s="122">
        <f t="shared" si="27"/>
        <v>0</v>
      </c>
      <c r="F61" s="122">
        <f t="shared" si="27"/>
        <v>0</v>
      </c>
      <c r="G61" s="122">
        <f t="shared" si="27"/>
        <v>0</v>
      </c>
      <c r="H61" s="122">
        <f t="shared" si="27"/>
        <v>0</v>
      </c>
      <c r="I61" s="122">
        <f t="shared" si="27"/>
        <v>0</v>
      </c>
      <c r="J61" s="122">
        <f t="shared" si="27"/>
        <v>0</v>
      </c>
    </row>
    <row r="62">
      <c r="B62" s="86" t="str">
        <f t="shared" si="16"/>
        <v>Options</v>
      </c>
      <c r="D62" s="122">
        <f t="shared" ref="D62:J62" si="28">max(0,min(sumproduct($M$23:$M$37,--($E$23:$E$37=$B151)),D$46-sum(D$49:D61)))</f>
        <v>0</v>
      </c>
      <c r="E62" s="122">
        <f t="shared" si="28"/>
        <v>0</v>
      </c>
      <c r="F62" s="122">
        <f t="shared" si="28"/>
        <v>0</v>
      </c>
      <c r="G62" s="122">
        <f t="shared" si="28"/>
        <v>0</v>
      </c>
      <c r="H62" s="122">
        <f t="shared" si="28"/>
        <v>0</v>
      </c>
      <c r="I62" s="122">
        <f t="shared" si="28"/>
        <v>0</v>
      </c>
      <c r="J62" s="122">
        <f t="shared" si="28"/>
        <v>0</v>
      </c>
    </row>
    <row r="63">
      <c r="B63" s="86" t="str">
        <f t="shared" si="16"/>
        <v>Options</v>
      </c>
      <c r="D63" s="122">
        <f t="shared" ref="D63:J63" si="29">max(0,min(sumproduct($M$23:$M$37,--($E$23:$E$37=$B152)),D$46-sum(D$49:D62)))</f>
        <v>0</v>
      </c>
      <c r="E63" s="122">
        <f t="shared" si="29"/>
        <v>0</v>
      </c>
      <c r="F63" s="122">
        <f t="shared" si="29"/>
        <v>0</v>
      </c>
      <c r="G63" s="122">
        <f t="shared" si="29"/>
        <v>0</v>
      </c>
      <c r="H63" s="122">
        <f t="shared" si="29"/>
        <v>0</v>
      </c>
      <c r="I63" s="122">
        <f t="shared" si="29"/>
        <v>0</v>
      </c>
      <c r="J63" s="122">
        <f t="shared" si="29"/>
        <v>0</v>
      </c>
    </row>
    <row r="64">
      <c r="B64" s="86" t="str">
        <f t="shared" si="16"/>
        <v>Warrants</v>
      </c>
      <c r="D64" s="122">
        <f t="shared" ref="D64:J64" si="30">max(0,min(sumproduct($M$23:$M$37,--($E$23:$E$37=$B153)),D$46-sum(D$49:D63)))</f>
        <v>0</v>
      </c>
      <c r="E64" s="122">
        <f t="shared" si="30"/>
        <v>0</v>
      </c>
      <c r="F64" s="122">
        <f t="shared" si="30"/>
        <v>0</v>
      </c>
      <c r="G64" s="122">
        <f t="shared" si="30"/>
        <v>0</v>
      </c>
      <c r="H64" s="122">
        <f t="shared" si="30"/>
        <v>0</v>
      </c>
      <c r="I64" s="122">
        <f t="shared" si="30"/>
        <v>0</v>
      </c>
      <c r="J64" s="122">
        <f t="shared" si="30"/>
        <v>0</v>
      </c>
    </row>
    <row r="65">
      <c r="B65" s="124" t="s">
        <v>103</v>
      </c>
      <c r="D65" s="117">
        <f t="shared" ref="D65:J65" si="31">sum(D50:D64)</f>
        <v>2000000</v>
      </c>
      <c r="E65" s="117">
        <f t="shared" si="31"/>
        <v>3000000</v>
      </c>
      <c r="F65" s="117">
        <f t="shared" si="31"/>
        <v>4000000</v>
      </c>
      <c r="G65" s="117">
        <f t="shared" si="31"/>
        <v>4150000</v>
      </c>
      <c r="H65" s="117">
        <f t="shared" si="31"/>
        <v>4150000</v>
      </c>
      <c r="I65" s="117">
        <f t="shared" si="31"/>
        <v>4150000</v>
      </c>
      <c r="J65" s="117">
        <f t="shared" si="31"/>
        <v>4150000</v>
      </c>
    </row>
    <row r="66">
      <c r="D66" s="122"/>
      <c r="E66" s="122"/>
      <c r="F66" s="122"/>
      <c r="G66" s="122"/>
      <c r="H66" s="122"/>
      <c r="I66" s="122"/>
      <c r="J66" s="122"/>
    </row>
    <row r="67" outlineLevel="1">
      <c r="A67" s="89"/>
      <c r="B67" s="126" t="s">
        <v>267</v>
      </c>
      <c r="C67" s="89"/>
      <c r="D67" s="127"/>
      <c r="E67" s="127"/>
      <c r="F67" s="127"/>
      <c r="G67" s="127"/>
      <c r="H67" s="127"/>
      <c r="I67" s="127"/>
      <c r="J67" s="127"/>
      <c r="K67" s="89"/>
      <c r="L67" s="141" t="s">
        <v>268</v>
      </c>
      <c r="M67" s="89"/>
      <c r="N67" s="89"/>
      <c r="O67" s="89"/>
      <c r="P67" s="89"/>
      <c r="Q67" s="89"/>
      <c r="R67" s="89"/>
      <c r="S67" s="89"/>
      <c r="T67" s="89"/>
      <c r="U67" s="89"/>
      <c r="V67" s="89"/>
      <c r="W67" s="89"/>
      <c r="X67" s="89"/>
      <c r="Y67" s="89"/>
      <c r="Z67" s="89"/>
      <c r="AA67" s="89"/>
      <c r="AB67" s="89"/>
      <c r="AC67" s="89"/>
    </row>
    <row r="68" outlineLevel="1">
      <c r="A68" s="89"/>
      <c r="B68" s="86" t="str">
        <f t="shared" ref="B68:B82" si="33">B50</f>
        <v>Series J</v>
      </c>
      <c r="C68" s="89"/>
      <c r="D68" s="127">
        <f t="shared" ref="D68:J68" si="32">if($Y23 = false , 0 , if(or($AB23 = "postmoney SAFE",$AB23 = "carta premoney SAFE") , D$136 , SUMPRODUCT(D$121:D$135,--($Y$23:$Y$37 = false)) ) )</f>
        <v>0</v>
      </c>
      <c r="E68" s="127">
        <f t="shared" si="32"/>
        <v>0</v>
      </c>
      <c r="F68" s="127">
        <f t="shared" si="32"/>
        <v>0</v>
      </c>
      <c r="G68" s="127">
        <f t="shared" si="32"/>
        <v>0</v>
      </c>
      <c r="H68" s="127">
        <f t="shared" si="32"/>
        <v>0</v>
      </c>
      <c r="I68" s="127">
        <f t="shared" si="32"/>
        <v>0</v>
      </c>
      <c r="J68" s="127">
        <f t="shared" si="32"/>
        <v>0</v>
      </c>
      <c r="K68" s="89"/>
      <c r="L68" s="141"/>
      <c r="M68" s="89"/>
      <c r="N68" s="89"/>
      <c r="O68" s="89"/>
      <c r="P68" s="89"/>
      <c r="Q68" s="89"/>
      <c r="R68" s="89"/>
      <c r="S68" s="89"/>
      <c r="T68" s="89"/>
      <c r="U68" s="89"/>
      <c r="V68" s="89"/>
      <c r="W68" s="89"/>
      <c r="X68" s="89"/>
      <c r="Y68" s="89"/>
      <c r="Z68" s="89"/>
      <c r="AA68" s="89"/>
      <c r="AB68" s="89"/>
      <c r="AC68" s="89"/>
    </row>
    <row r="69" outlineLevel="1">
      <c r="A69" s="89"/>
      <c r="B69" s="86" t="str">
        <f t="shared" si="33"/>
        <v>Series I</v>
      </c>
      <c r="C69" s="89"/>
      <c r="D69" s="127">
        <f t="shared" ref="D69:J69" si="34">if($Y24 = false , 0 , if(or($AB24 = "postmoney SAFE",$AB24 = "carta premoney SAFE") , D$136 , SUMPRODUCT(D$121:D$135,--($Y$23:$Y$37 = false)) ) )</f>
        <v>0</v>
      </c>
      <c r="E69" s="127">
        <f t="shared" si="34"/>
        <v>0</v>
      </c>
      <c r="F69" s="127">
        <f t="shared" si="34"/>
        <v>0</v>
      </c>
      <c r="G69" s="127">
        <f t="shared" si="34"/>
        <v>0</v>
      </c>
      <c r="H69" s="127">
        <f t="shared" si="34"/>
        <v>0</v>
      </c>
      <c r="I69" s="127">
        <f t="shared" si="34"/>
        <v>0</v>
      </c>
      <c r="J69" s="127">
        <f t="shared" si="34"/>
        <v>0</v>
      </c>
      <c r="K69" s="89"/>
      <c r="L69" s="141"/>
      <c r="M69" s="89"/>
      <c r="N69" s="89"/>
      <c r="O69" s="89"/>
      <c r="P69" s="89"/>
      <c r="Q69" s="89"/>
      <c r="R69" s="89"/>
      <c r="S69" s="89"/>
      <c r="T69" s="89"/>
      <c r="U69" s="89"/>
      <c r="V69" s="89"/>
      <c r="W69" s="89"/>
      <c r="X69" s="89"/>
      <c r="Y69" s="89"/>
      <c r="Z69" s="89"/>
      <c r="AA69" s="89"/>
      <c r="AB69" s="89"/>
      <c r="AC69" s="89"/>
    </row>
    <row r="70" outlineLevel="1">
      <c r="A70" s="89"/>
      <c r="B70" s="86" t="str">
        <f t="shared" si="33"/>
        <v>Series H</v>
      </c>
      <c r="C70" s="89"/>
      <c r="D70" s="127">
        <f t="shared" ref="D70:J70" si="35">if($Y25 = false , 0 , if(or($AB25 = "postmoney SAFE",$AB25 = "carta premoney SAFE") , D$136 , SUMPRODUCT(D$121:D$135,--($Y$23:$Y$37 = false)) ) )</f>
        <v>0</v>
      </c>
      <c r="E70" s="127">
        <f t="shared" si="35"/>
        <v>0</v>
      </c>
      <c r="F70" s="127">
        <f t="shared" si="35"/>
        <v>0</v>
      </c>
      <c r="G70" s="127">
        <f t="shared" si="35"/>
        <v>0</v>
      </c>
      <c r="H70" s="127">
        <f t="shared" si="35"/>
        <v>0</v>
      </c>
      <c r="I70" s="127">
        <f t="shared" si="35"/>
        <v>0</v>
      </c>
      <c r="J70" s="127">
        <f t="shared" si="35"/>
        <v>0</v>
      </c>
      <c r="K70" s="89"/>
      <c r="L70" s="141"/>
      <c r="M70" s="89"/>
      <c r="N70" s="89"/>
      <c r="O70" s="89"/>
      <c r="P70" s="89"/>
      <c r="Q70" s="89"/>
      <c r="R70" s="89"/>
      <c r="S70" s="89"/>
      <c r="T70" s="89"/>
      <c r="U70" s="89"/>
      <c r="V70" s="89"/>
      <c r="W70" s="89"/>
      <c r="X70" s="89"/>
      <c r="Y70" s="89"/>
      <c r="Z70" s="89"/>
      <c r="AA70" s="89"/>
      <c r="AB70" s="89"/>
      <c r="AC70" s="89"/>
    </row>
    <row r="71" outlineLevel="1">
      <c r="A71" s="89"/>
      <c r="B71" s="86" t="str">
        <f t="shared" si="33"/>
        <v>Series G</v>
      </c>
      <c r="C71" s="89"/>
      <c r="D71" s="127">
        <f t="shared" ref="D71:J71" si="36">if($Y26 = false , 0 , if(or($AB26 = "postmoney SAFE",$AB26 = "carta premoney SAFE") , D$136 , SUMPRODUCT(D$121:D$135,--($Y$23:$Y$37 = false)) ) )</f>
        <v>0</v>
      </c>
      <c r="E71" s="127">
        <f t="shared" si="36"/>
        <v>0</v>
      </c>
      <c r="F71" s="127">
        <f t="shared" si="36"/>
        <v>0</v>
      </c>
      <c r="G71" s="127">
        <f t="shared" si="36"/>
        <v>0</v>
      </c>
      <c r="H71" s="127">
        <f t="shared" si="36"/>
        <v>0</v>
      </c>
      <c r="I71" s="127">
        <f t="shared" si="36"/>
        <v>0</v>
      </c>
      <c r="J71" s="127">
        <f t="shared" si="36"/>
        <v>0</v>
      </c>
      <c r="K71" s="89"/>
      <c r="L71" s="141"/>
      <c r="M71" s="89"/>
      <c r="N71" s="89"/>
      <c r="O71" s="89"/>
      <c r="P71" s="89"/>
      <c r="Q71" s="89"/>
      <c r="R71" s="89"/>
      <c r="S71" s="89"/>
      <c r="T71" s="89"/>
      <c r="U71" s="89"/>
      <c r="V71" s="89"/>
      <c r="W71" s="89"/>
      <c r="X71" s="89"/>
      <c r="Y71" s="89"/>
      <c r="Z71" s="89"/>
      <c r="AA71" s="89"/>
      <c r="AB71" s="89"/>
      <c r="AC71" s="89"/>
    </row>
    <row r="72" outlineLevel="1">
      <c r="A72" s="89"/>
      <c r="B72" s="86" t="str">
        <f t="shared" si="33"/>
        <v>Series F</v>
      </c>
      <c r="C72" s="89"/>
      <c r="D72" s="127">
        <f t="shared" ref="D72:J72" si="37">if($Y27 = false , 0 , if(or($AB27 = "postmoney SAFE",$AB27 = "carta premoney SAFE") , D$136 , SUMPRODUCT(D$121:D$135,--($Y$23:$Y$37 = false)) ) )</f>
        <v>0</v>
      </c>
      <c r="E72" s="127">
        <f t="shared" si="37"/>
        <v>0</v>
      </c>
      <c r="F72" s="127">
        <f t="shared" si="37"/>
        <v>0</v>
      </c>
      <c r="G72" s="127">
        <f t="shared" si="37"/>
        <v>0</v>
      </c>
      <c r="H72" s="127">
        <f t="shared" si="37"/>
        <v>0</v>
      </c>
      <c r="I72" s="127">
        <f t="shared" si="37"/>
        <v>0</v>
      </c>
      <c r="J72" s="127">
        <f t="shared" si="37"/>
        <v>0</v>
      </c>
      <c r="K72" s="89"/>
      <c r="L72" s="141"/>
      <c r="M72" s="89"/>
      <c r="N72" s="89"/>
      <c r="O72" s="89"/>
      <c r="P72" s="89"/>
      <c r="Q72" s="89"/>
      <c r="R72" s="89"/>
      <c r="S72" s="89"/>
      <c r="T72" s="89"/>
      <c r="U72" s="89"/>
      <c r="V72" s="89"/>
      <c r="W72" s="89"/>
      <c r="X72" s="89"/>
      <c r="Y72" s="89"/>
      <c r="Z72" s="89"/>
      <c r="AA72" s="89"/>
      <c r="AB72" s="89"/>
      <c r="AC72" s="89"/>
    </row>
    <row r="73" outlineLevel="1">
      <c r="A73" s="89"/>
      <c r="B73" s="86" t="str">
        <f t="shared" si="33"/>
        <v>Series E</v>
      </c>
      <c r="C73" s="89"/>
      <c r="D73" s="127">
        <f t="shared" ref="D73:J73" si="38">if($Y28 = false , 0 , if(or($AB28 = "postmoney SAFE",$AB28 = "carta premoney SAFE") , D$136 , SUMPRODUCT(D$121:D$135,--($Y$23:$Y$37 = false)) ) )</f>
        <v>0</v>
      </c>
      <c r="E73" s="127">
        <f t="shared" si="38"/>
        <v>0</v>
      </c>
      <c r="F73" s="127">
        <f t="shared" si="38"/>
        <v>0</v>
      </c>
      <c r="G73" s="127">
        <f t="shared" si="38"/>
        <v>0</v>
      </c>
      <c r="H73" s="127">
        <f t="shared" si="38"/>
        <v>0</v>
      </c>
      <c r="I73" s="127">
        <f t="shared" si="38"/>
        <v>0</v>
      </c>
      <c r="J73" s="127">
        <f t="shared" si="38"/>
        <v>0</v>
      </c>
      <c r="K73" s="89"/>
      <c r="L73" s="141"/>
      <c r="M73" s="89"/>
      <c r="N73" s="89"/>
      <c r="O73" s="89"/>
      <c r="P73" s="89"/>
      <c r="Q73" s="89"/>
      <c r="R73" s="89"/>
      <c r="S73" s="89"/>
      <c r="T73" s="89"/>
      <c r="U73" s="89"/>
      <c r="V73" s="89"/>
      <c r="W73" s="89"/>
      <c r="X73" s="89"/>
      <c r="Y73" s="89"/>
      <c r="Z73" s="89"/>
      <c r="AA73" s="89"/>
      <c r="AB73" s="89"/>
      <c r="AC73" s="89"/>
    </row>
    <row r="74" outlineLevel="1">
      <c r="A74" s="89"/>
      <c r="B74" s="86" t="str">
        <f t="shared" si="33"/>
        <v>Series D</v>
      </c>
      <c r="C74" s="89"/>
      <c r="D74" s="127">
        <f t="shared" ref="D74:J74" si="39">if($Y29 = false , 0 , if(or($AB29 = "postmoney SAFE",$AB29 = "carta premoney SAFE") , D$136 , SUMPRODUCT(D$121:D$135,--($Y$23:$Y$37 = false)) ) )</f>
        <v>0</v>
      </c>
      <c r="E74" s="127">
        <f t="shared" si="39"/>
        <v>0</v>
      </c>
      <c r="F74" s="127">
        <f t="shared" si="39"/>
        <v>0</v>
      </c>
      <c r="G74" s="127">
        <f t="shared" si="39"/>
        <v>0</v>
      </c>
      <c r="H74" s="127">
        <f t="shared" si="39"/>
        <v>0</v>
      </c>
      <c r="I74" s="127">
        <f t="shared" si="39"/>
        <v>0</v>
      </c>
      <c r="J74" s="127">
        <f t="shared" si="39"/>
        <v>0</v>
      </c>
      <c r="K74" s="89"/>
      <c r="L74" s="141"/>
      <c r="M74" s="89"/>
      <c r="N74" s="89"/>
      <c r="O74" s="89"/>
      <c r="P74" s="89"/>
      <c r="Q74" s="89"/>
      <c r="R74" s="89"/>
      <c r="S74" s="89"/>
      <c r="T74" s="89"/>
      <c r="U74" s="89"/>
      <c r="V74" s="89"/>
      <c r="W74" s="89"/>
      <c r="X74" s="89"/>
      <c r="Y74" s="89"/>
      <c r="Z74" s="89"/>
      <c r="AA74" s="89"/>
      <c r="AB74" s="89"/>
      <c r="AC74" s="89"/>
    </row>
    <row r="75" outlineLevel="1">
      <c r="A75" s="89"/>
      <c r="B75" s="86" t="str">
        <f t="shared" si="33"/>
        <v>Series C</v>
      </c>
      <c r="C75" s="89"/>
      <c r="D75" s="127">
        <f t="shared" ref="D75:J75" si="40">if($Y30 = false , 0 , if(or($AB30 = "postmoney SAFE",$AB30 = "carta premoney SAFE") , D$136 , SUMPRODUCT(D$121:D$135,--($Y$23:$Y$37 = false)) ) )</f>
        <v>0</v>
      </c>
      <c r="E75" s="127">
        <f t="shared" si="40"/>
        <v>0</v>
      </c>
      <c r="F75" s="127">
        <f t="shared" si="40"/>
        <v>0</v>
      </c>
      <c r="G75" s="127">
        <f t="shared" si="40"/>
        <v>0</v>
      </c>
      <c r="H75" s="127">
        <f t="shared" si="40"/>
        <v>0</v>
      </c>
      <c r="I75" s="127">
        <f t="shared" si="40"/>
        <v>0</v>
      </c>
      <c r="J75" s="127">
        <f t="shared" si="40"/>
        <v>0</v>
      </c>
      <c r="K75" s="89"/>
      <c r="L75" s="141"/>
      <c r="M75" s="89"/>
      <c r="N75" s="89"/>
      <c r="O75" s="89"/>
      <c r="P75" s="89"/>
      <c r="Q75" s="89"/>
      <c r="R75" s="89"/>
      <c r="S75" s="89"/>
      <c r="T75" s="89"/>
      <c r="U75" s="89"/>
      <c r="V75" s="89"/>
      <c r="W75" s="89"/>
      <c r="X75" s="89"/>
      <c r="Y75" s="89"/>
      <c r="Z75" s="89"/>
      <c r="AA75" s="89"/>
      <c r="AB75" s="89"/>
      <c r="AC75" s="89"/>
    </row>
    <row r="76" outlineLevel="1">
      <c r="A76" s="89"/>
      <c r="B76" s="86" t="str">
        <f t="shared" si="33"/>
        <v>Series B</v>
      </c>
      <c r="C76" s="89"/>
      <c r="D76" s="127">
        <f t="shared" ref="D76:J76" si="41">if($Y31 = false , 0 , if(or($AB31 = "postmoney SAFE",$AB31 = "carta premoney SAFE") , D$136 , SUMPRODUCT(D$121:D$135,--($Y$23:$Y$37 = false)) ) )</f>
        <v>0</v>
      </c>
      <c r="E76" s="127">
        <f t="shared" si="41"/>
        <v>0</v>
      </c>
      <c r="F76" s="127">
        <f t="shared" si="41"/>
        <v>0</v>
      </c>
      <c r="G76" s="127">
        <f t="shared" si="41"/>
        <v>0</v>
      </c>
      <c r="H76" s="127">
        <f t="shared" si="41"/>
        <v>0</v>
      </c>
      <c r="I76" s="127">
        <f t="shared" si="41"/>
        <v>0</v>
      </c>
      <c r="J76" s="127">
        <f t="shared" si="41"/>
        <v>0</v>
      </c>
      <c r="K76" s="89"/>
      <c r="L76" s="141"/>
      <c r="M76" s="89"/>
      <c r="N76" s="89"/>
      <c r="O76" s="89"/>
      <c r="P76" s="89"/>
      <c r="Q76" s="89"/>
      <c r="R76" s="89"/>
      <c r="S76" s="89"/>
      <c r="T76" s="89"/>
      <c r="U76" s="89"/>
      <c r="V76" s="89"/>
      <c r="W76" s="89"/>
      <c r="X76" s="89"/>
      <c r="Y76" s="89"/>
      <c r="Z76" s="89"/>
      <c r="AA76" s="89"/>
      <c r="AB76" s="89"/>
      <c r="AC76" s="89"/>
    </row>
    <row r="77" outlineLevel="1">
      <c r="A77" s="89"/>
      <c r="B77" s="86" t="str">
        <f t="shared" si="33"/>
        <v>Series A</v>
      </c>
      <c r="C77" s="89"/>
      <c r="D77" s="127">
        <f t="shared" ref="D77:J77" si="42">if($Y32 = false , 0 , if(or($AB32 = "postmoney SAFE",$AB32 = "carta premoney SAFE") , D$136 , SUMPRODUCT(D$121:D$135,--($Y$23:$Y$37 = false)) ) )</f>
        <v>0</v>
      </c>
      <c r="E77" s="127">
        <f t="shared" si="42"/>
        <v>0</v>
      </c>
      <c r="F77" s="127">
        <f t="shared" si="42"/>
        <v>0</v>
      </c>
      <c r="G77" s="127">
        <f t="shared" si="42"/>
        <v>0</v>
      </c>
      <c r="H77" s="127">
        <f t="shared" si="42"/>
        <v>0</v>
      </c>
      <c r="I77" s="127">
        <f t="shared" si="42"/>
        <v>0</v>
      </c>
      <c r="J77" s="127">
        <f t="shared" si="42"/>
        <v>0</v>
      </c>
      <c r="K77" s="89"/>
      <c r="L77" s="141"/>
      <c r="M77" s="89"/>
      <c r="N77" s="89"/>
      <c r="O77" s="89"/>
      <c r="P77" s="89"/>
      <c r="Q77" s="89"/>
      <c r="R77" s="89"/>
      <c r="S77" s="89"/>
      <c r="T77" s="89"/>
      <c r="U77" s="89"/>
      <c r="V77" s="89"/>
      <c r="W77" s="89"/>
      <c r="X77" s="89"/>
      <c r="Y77" s="89"/>
      <c r="Z77" s="89"/>
      <c r="AA77" s="89"/>
      <c r="AB77" s="89"/>
      <c r="AC77" s="89"/>
    </row>
    <row r="78" outlineLevel="1">
      <c r="A78" s="89"/>
      <c r="B78" s="86" t="str">
        <f t="shared" si="33"/>
        <v>Seed</v>
      </c>
      <c r="C78" s="89"/>
      <c r="D78" s="127">
        <f t="shared" ref="D78:J78" si="43">if($Y33 = false , 0 , if(or($AB33 = "postmoney SAFE",$AB33 = "carta premoney SAFE") , D$136 , SUMPRODUCT(D$121:D$135,--($Y$23:$Y$37 = false)) ) )</f>
        <v>0</v>
      </c>
      <c r="E78" s="127">
        <f t="shared" si="43"/>
        <v>0</v>
      </c>
      <c r="F78" s="127">
        <f t="shared" si="43"/>
        <v>0</v>
      </c>
      <c r="G78" s="127">
        <f t="shared" si="43"/>
        <v>0</v>
      </c>
      <c r="H78" s="127">
        <f t="shared" si="43"/>
        <v>0</v>
      </c>
      <c r="I78" s="127">
        <f t="shared" si="43"/>
        <v>0</v>
      </c>
      <c r="J78" s="127">
        <f t="shared" si="43"/>
        <v>0</v>
      </c>
      <c r="K78" s="89"/>
      <c r="L78" s="141"/>
      <c r="M78" s="89"/>
      <c r="N78" s="89"/>
      <c r="O78" s="89"/>
      <c r="P78" s="89"/>
      <c r="Q78" s="89"/>
      <c r="R78" s="89"/>
      <c r="S78" s="89"/>
      <c r="T78" s="89"/>
      <c r="U78" s="89"/>
      <c r="V78" s="89"/>
      <c r="W78" s="89"/>
      <c r="X78" s="89"/>
      <c r="Y78" s="89"/>
      <c r="Z78" s="89"/>
      <c r="AA78" s="89"/>
      <c r="AB78" s="89"/>
      <c r="AC78" s="89"/>
    </row>
    <row r="79" outlineLevel="1">
      <c r="A79" s="89"/>
      <c r="B79" s="86" t="str">
        <f t="shared" si="33"/>
        <v>Common</v>
      </c>
      <c r="C79" s="89"/>
      <c r="D79" s="127">
        <f t="shared" ref="D79:J79" si="44">if($Y34 = false , 0 , if(or($AB34 = "postmoney SAFE",$AB34 = "carta premoney SAFE") , D$136 , SUMPRODUCT(D$121:D$135,--($Y$23:$Y$37 = false)) ) )</f>
        <v>0</v>
      </c>
      <c r="E79" s="127">
        <f t="shared" si="44"/>
        <v>0</v>
      </c>
      <c r="F79" s="127">
        <f t="shared" si="44"/>
        <v>0</v>
      </c>
      <c r="G79" s="127">
        <f t="shared" si="44"/>
        <v>0</v>
      </c>
      <c r="H79" s="127">
        <f t="shared" si="44"/>
        <v>0</v>
      </c>
      <c r="I79" s="127">
        <f t="shared" si="44"/>
        <v>0</v>
      </c>
      <c r="J79" s="127">
        <f t="shared" si="44"/>
        <v>0</v>
      </c>
      <c r="K79" s="89"/>
      <c r="L79" s="141"/>
      <c r="M79" s="89"/>
      <c r="N79" s="89"/>
      <c r="O79" s="89"/>
      <c r="P79" s="89"/>
      <c r="Q79" s="89"/>
      <c r="R79" s="89"/>
      <c r="S79" s="89"/>
      <c r="T79" s="89"/>
      <c r="U79" s="89"/>
      <c r="V79" s="89"/>
      <c r="W79" s="89"/>
      <c r="X79" s="89"/>
      <c r="Y79" s="89"/>
      <c r="Z79" s="89"/>
      <c r="AA79" s="89"/>
      <c r="AB79" s="89"/>
      <c r="AC79" s="89"/>
    </row>
    <row r="80" outlineLevel="1">
      <c r="A80" s="89"/>
      <c r="B80" s="86" t="str">
        <f t="shared" si="33"/>
        <v>Options</v>
      </c>
      <c r="C80" s="89"/>
      <c r="D80" s="127">
        <f t="shared" ref="D80:J80" si="45">if($Y35 = false , 0 , if(or($AB35 = "postmoney SAFE",$AB35 = "carta premoney SAFE") , D$136 , SUMPRODUCT(D$121:D$135,--($Y$23:$Y$37 = false)) ) )</f>
        <v>0</v>
      </c>
      <c r="E80" s="127">
        <f t="shared" si="45"/>
        <v>0</v>
      </c>
      <c r="F80" s="127">
        <f t="shared" si="45"/>
        <v>0</v>
      </c>
      <c r="G80" s="127">
        <f t="shared" si="45"/>
        <v>0</v>
      </c>
      <c r="H80" s="127">
        <f t="shared" si="45"/>
        <v>0</v>
      </c>
      <c r="I80" s="127">
        <f t="shared" si="45"/>
        <v>0</v>
      </c>
      <c r="J80" s="127">
        <f t="shared" si="45"/>
        <v>0</v>
      </c>
      <c r="K80" s="89"/>
      <c r="L80" s="141"/>
      <c r="M80" s="89"/>
      <c r="N80" s="89"/>
      <c r="O80" s="89"/>
      <c r="P80" s="89"/>
      <c r="Q80" s="89"/>
      <c r="R80" s="89"/>
      <c r="S80" s="89"/>
      <c r="T80" s="89"/>
      <c r="U80" s="89"/>
      <c r="V80" s="89"/>
      <c r="W80" s="89"/>
      <c r="X80" s="89"/>
      <c r="Y80" s="89"/>
      <c r="Z80" s="89"/>
      <c r="AA80" s="89"/>
      <c r="AB80" s="89"/>
      <c r="AC80" s="89"/>
    </row>
    <row r="81" outlineLevel="1">
      <c r="A81" s="89"/>
      <c r="B81" s="86" t="str">
        <f t="shared" si="33"/>
        <v>Options</v>
      </c>
      <c r="C81" s="89"/>
      <c r="D81" s="127">
        <f t="shared" ref="D81:J81" si="46">if($Y36 = false , 0 , if(or($AB36 = "postmoney SAFE",$AB36 = "carta premoney SAFE") , D$136 , SUMPRODUCT(D$121:D$135,--($Y$23:$Y$37 = false)) ) )</f>
        <v>0</v>
      </c>
      <c r="E81" s="127">
        <f t="shared" si="46"/>
        <v>0</v>
      </c>
      <c r="F81" s="127">
        <f t="shared" si="46"/>
        <v>0</v>
      </c>
      <c r="G81" s="127">
        <f t="shared" si="46"/>
        <v>0</v>
      </c>
      <c r="H81" s="127">
        <f t="shared" si="46"/>
        <v>0</v>
      </c>
      <c r="I81" s="127">
        <f t="shared" si="46"/>
        <v>0</v>
      </c>
      <c r="J81" s="127">
        <f t="shared" si="46"/>
        <v>0</v>
      </c>
      <c r="K81" s="89"/>
      <c r="L81" s="141"/>
      <c r="M81" s="89"/>
      <c r="N81" s="89"/>
      <c r="O81" s="89"/>
      <c r="P81" s="89"/>
      <c r="Q81" s="89"/>
      <c r="R81" s="89"/>
      <c r="S81" s="89"/>
      <c r="T81" s="89"/>
      <c r="U81" s="89"/>
      <c r="V81" s="89"/>
      <c r="W81" s="89"/>
      <c r="X81" s="89"/>
      <c r="Y81" s="89"/>
      <c r="Z81" s="89"/>
      <c r="AA81" s="89"/>
      <c r="AB81" s="89"/>
      <c r="AC81" s="89"/>
    </row>
    <row r="82" outlineLevel="1">
      <c r="A82" s="89"/>
      <c r="B82" s="86" t="str">
        <f t="shared" si="33"/>
        <v>Warrants</v>
      </c>
      <c r="C82" s="89"/>
      <c r="D82" s="127">
        <f t="shared" ref="D82:J82" si="47">if($Y37 = false , 0 , if(or($AB37 = "postmoney SAFE",$AB37 = "carta premoney SAFE") , D$136 , SUMPRODUCT(D$121:D$135,--($Y$23:$Y$37 = false)) ) )</f>
        <v>0</v>
      </c>
      <c r="E82" s="127">
        <f t="shared" si="47"/>
        <v>0</v>
      </c>
      <c r="F82" s="127">
        <f t="shared" si="47"/>
        <v>0</v>
      </c>
      <c r="G82" s="127">
        <f t="shared" si="47"/>
        <v>0</v>
      </c>
      <c r="H82" s="127">
        <f t="shared" si="47"/>
        <v>0</v>
      </c>
      <c r="I82" s="127">
        <f t="shared" si="47"/>
        <v>0</v>
      </c>
      <c r="J82" s="127">
        <f t="shared" si="47"/>
        <v>0</v>
      </c>
      <c r="K82" s="89"/>
      <c r="L82" s="141"/>
      <c r="M82" s="89"/>
      <c r="N82" s="89"/>
      <c r="O82" s="89"/>
      <c r="P82" s="89"/>
      <c r="Q82" s="89"/>
      <c r="R82" s="89"/>
      <c r="S82" s="89"/>
      <c r="T82" s="89"/>
      <c r="U82" s="89"/>
      <c r="V82" s="89"/>
      <c r="W82" s="89"/>
      <c r="X82" s="89"/>
      <c r="Y82" s="89"/>
      <c r="Z82" s="89"/>
      <c r="AA82" s="89"/>
      <c r="AB82" s="89"/>
      <c r="AC82" s="89"/>
    </row>
    <row r="83" outlineLevel="1">
      <c r="A83" s="89"/>
      <c r="B83" s="126"/>
      <c r="C83" s="89"/>
      <c r="D83" s="127"/>
      <c r="E83" s="127"/>
      <c r="F83" s="127"/>
      <c r="G83" s="127"/>
      <c r="H83" s="127"/>
      <c r="I83" s="127"/>
      <c r="J83" s="127"/>
      <c r="K83" s="89"/>
      <c r="L83" s="141"/>
      <c r="M83" s="89"/>
      <c r="N83" s="89"/>
      <c r="O83" s="89"/>
      <c r="P83" s="89"/>
      <c r="Q83" s="89"/>
      <c r="R83" s="89"/>
      <c r="S83" s="89"/>
      <c r="T83" s="89"/>
      <c r="U83" s="89"/>
      <c r="V83" s="89"/>
      <c r="W83" s="89"/>
      <c r="X83" s="89"/>
      <c r="Y83" s="89"/>
      <c r="Z83" s="89"/>
      <c r="AA83" s="89"/>
      <c r="AB83" s="89"/>
      <c r="AC83" s="89"/>
    </row>
    <row r="84" outlineLevel="1">
      <c r="A84" s="89"/>
      <c r="B84" s="126" t="s">
        <v>269</v>
      </c>
      <c r="C84" s="89"/>
      <c r="D84" s="127"/>
      <c r="E84" s="127"/>
      <c r="F84" s="127"/>
      <c r="G84" s="127"/>
      <c r="H84" s="127"/>
      <c r="I84" s="127"/>
      <c r="J84" s="127"/>
      <c r="K84" s="89"/>
      <c r="L84" s="141" t="s">
        <v>270</v>
      </c>
      <c r="M84" s="89"/>
      <c r="N84" s="89"/>
      <c r="O84" s="89"/>
      <c r="P84" s="89"/>
      <c r="Q84" s="89"/>
      <c r="R84" s="89"/>
      <c r="S84" s="89"/>
      <c r="T84" s="89"/>
      <c r="U84" s="89"/>
      <c r="V84" s="89"/>
      <c r="W84" s="89"/>
      <c r="X84" s="89"/>
      <c r="Y84" s="89"/>
      <c r="Z84" s="89"/>
      <c r="AA84" s="89"/>
      <c r="AB84" s="89"/>
      <c r="AC84" s="89"/>
    </row>
    <row r="85" outlineLevel="1">
      <c r="A85" s="89"/>
      <c r="B85" s="86" t="str">
        <f t="shared" ref="B85:B99" si="49">B23</f>
        <v>Series J</v>
      </c>
      <c r="C85" s="89"/>
      <c r="D85" s="122">
        <f t="shared" ref="D85:J85" si="48">if( and($J$3 = TRUE, $Y23 = TRUE) , iferror( $F23 / if($AA23&lt;&gt;0, min(D$173*(1-$Z23),$AA23 / D68) , D$173*(1-$Z23)) * $H23 , 0 ) , 0 )</f>
        <v>0</v>
      </c>
      <c r="E85" s="122">
        <f t="shared" si="48"/>
        <v>0</v>
      </c>
      <c r="F85" s="122">
        <f t="shared" si="48"/>
        <v>0</v>
      </c>
      <c r="G85" s="122">
        <f t="shared" si="48"/>
        <v>0</v>
      </c>
      <c r="H85" s="122">
        <f t="shared" si="48"/>
        <v>0</v>
      </c>
      <c r="I85" s="122">
        <f t="shared" si="48"/>
        <v>0</v>
      </c>
      <c r="J85" s="122">
        <f t="shared" si="48"/>
        <v>0</v>
      </c>
      <c r="K85" s="89"/>
      <c r="L85" s="141"/>
      <c r="M85" s="89"/>
      <c r="N85" s="89"/>
      <c r="O85" s="89"/>
      <c r="P85" s="89"/>
      <c r="Q85" s="89"/>
      <c r="R85" s="89"/>
      <c r="S85" s="89"/>
      <c r="T85" s="89"/>
      <c r="U85" s="89"/>
      <c r="V85" s="89"/>
      <c r="W85" s="89"/>
      <c r="X85" s="89"/>
      <c r="Y85" s="89"/>
      <c r="Z85" s="89"/>
      <c r="AA85" s="89"/>
      <c r="AB85" s="89"/>
      <c r="AC85" s="89"/>
    </row>
    <row r="86" outlineLevel="1">
      <c r="A86" s="89"/>
      <c r="B86" s="86" t="str">
        <f t="shared" si="49"/>
        <v>Series I</v>
      </c>
      <c r="C86" s="89"/>
      <c r="D86" s="122">
        <f t="shared" ref="D86:J86" si="50">if( and($J$3 = TRUE, $Y24 = TRUE) , iferror( $F24 / if($AA24&lt;&gt;0, min(D$173*(1-$Z24),$AA24 / D69) , D$173*(1-$Z24)) * $H24 , 0 ) , 0 )</f>
        <v>0</v>
      </c>
      <c r="E86" s="122">
        <f t="shared" si="50"/>
        <v>0</v>
      </c>
      <c r="F86" s="122">
        <f t="shared" si="50"/>
        <v>0</v>
      </c>
      <c r="G86" s="122">
        <f t="shared" si="50"/>
        <v>0</v>
      </c>
      <c r="H86" s="122">
        <f t="shared" si="50"/>
        <v>0</v>
      </c>
      <c r="I86" s="122">
        <f t="shared" si="50"/>
        <v>0</v>
      </c>
      <c r="J86" s="122">
        <f t="shared" si="50"/>
        <v>0</v>
      </c>
      <c r="K86" s="89"/>
      <c r="L86" s="141"/>
      <c r="M86" s="89"/>
      <c r="N86" s="89"/>
      <c r="O86" s="89"/>
      <c r="P86" s="89"/>
      <c r="Q86" s="89"/>
      <c r="R86" s="89"/>
      <c r="S86" s="89"/>
      <c r="T86" s="89"/>
      <c r="U86" s="89"/>
      <c r="V86" s="89"/>
      <c r="W86" s="89"/>
      <c r="X86" s="89"/>
      <c r="Y86" s="89"/>
      <c r="Z86" s="89"/>
      <c r="AA86" s="89"/>
      <c r="AB86" s="89"/>
      <c r="AC86" s="89"/>
    </row>
    <row r="87" outlineLevel="1">
      <c r="A87" s="89"/>
      <c r="B87" s="86" t="str">
        <f t="shared" si="49"/>
        <v>Series H</v>
      </c>
      <c r="C87" s="89"/>
      <c r="D87" s="122">
        <f t="shared" ref="D87:J87" si="51">if( and($J$3 = TRUE, $Y25 = TRUE) , iferror( $F25 / if($AA25&lt;&gt;0, min(D$173*(1-$Z25),$AA25 / D70) , D$173*(1-$Z25)) * $H25 , 0 ) , 0 )</f>
        <v>0</v>
      </c>
      <c r="E87" s="122">
        <f t="shared" si="51"/>
        <v>0</v>
      </c>
      <c r="F87" s="122">
        <f t="shared" si="51"/>
        <v>0</v>
      </c>
      <c r="G87" s="122">
        <f t="shared" si="51"/>
        <v>0</v>
      </c>
      <c r="H87" s="122">
        <f t="shared" si="51"/>
        <v>0</v>
      </c>
      <c r="I87" s="122">
        <f t="shared" si="51"/>
        <v>0</v>
      </c>
      <c r="J87" s="122">
        <f t="shared" si="51"/>
        <v>0</v>
      </c>
      <c r="K87" s="89"/>
      <c r="L87" s="141"/>
      <c r="M87" s="89"/>
      <c r="N87" s="89"/>
      <c r="O87" s="89"/>
      <c r="P87" s="89"/>
      <c r="Q87" s="89"/>
      <c r="R87" s="89"/>
      <c r="S87" s="89"/>
      <c r="T87" s="89"/>
      <c r="U87" s="89"/>
      <c r="V87" s="89"/>
      <c r="W87" s="89"/>
      <c r="X87" s="89"/>
      <c r="Y87" s="89"/>
      <c r="Z87" s="89"/>
      <c r="AA87" s="89"/>
      <c r="AB87" s="89"/>
      <c r="AC87" s="89"/>
    </row>
    <row r="88" outlineLevel="1">
      <c r="A88" s="89"/>
      <c r="B88" s="86" t="str">
        <f t="shared" si="49"/>
        <v>Series G</v>
      </c>
      <c r="C88" s="89"/>
      <c r="D88" s="122">
        <f t="shared" ref="D88:J88" si="52">if( and($J$3 = TRUE, $Y26 = TRUE) , iferror( $F26 / if($AA26&lt;&gt;0, min(D$173*(1-$Z26),$AA26 / D71) , D$173*(1-$Z26)) * $H26 , 0 ) , 0 )</f>
        <v>0</v>
      </c>
      <c r="E88" s="122">
        <f t="shared" si="52"/>
        <v>0</v>
      </c>
      <c r="F88" s="122">
        <f t="shared" si="52"/>
        <v>0</v>
      </c>
      <c r="G88" s="122">
        <f t="shared" si="52"/>
        <v>0</v>
      </c>
      <c r="H88" s="122">
        <f t="shared" si="52"/>
        <v>0</v>
      </c>
      <c r="I88" s="122">
        <f t="shared" si="52"/>
        <v>0</v>
      </c>
      <c r="J88" s="122">
        <f t="shared" si="52"/>
        <v>0</v>
      </c>
      <c r="K88" s="89"/>
      <c r="L88" s="141"/>
      <c r="M88" s="89"/>
      <c r="N88" s="89"/>
      <c r="O88" s="89"/>
      <c r="P88" s="89"/>
      <c r="Q88" s="89"/>
      <c r="R88" s="89"/>
      <c r="S88" s="89"/>
      <c r="T88" s="89"/>
      <c r="U88" s="89"/>
      <c r="V88" s="89"/>
      <c r="W88" s="89"/>
      <c r="X88" s="89"/>
      <c r="Y88" s="89"/>
      <c r="Z88" s="89"/>
      <c r="AA88" s="89"/>
      <c r="AB88" s="89"/>
      <c r="AC88" s="89"/>
    </row>
    <row r="89" outlineLevel="1">
      <c r="A89" s="89"/>
      <c r="B89" s="86" t="str">
        <f t="shared" si="49"/>
        <v>Series F</v>
      </c>
      <c r="C89" s="89"/>
      <c r="D89" s="122">
        <f t="shared" ref="D89:J89" si="53">if( and($J$3 = TRUE, $Y27 = TRUE) , iferror( $F27 / if($AA27&lt;&gt;0, min(D$173*(1-$Z27),$AA27 / D72) , D$173*(1-$Z27)) * $H27 , 0 ) , 0 )</f>
        <v>0</v>
      </c>
      <c r="E89" s="122">
        <f t="shared" si="53"/>
        <v>0</v>
      </c>
      <c r="F89" s="122">
        <f t="shared" si="53"/>
        <v>0</v>
      </c>
      <c r="G89" s="122">
        <f t="shared" si="53"/>
        <v>0</v>
      </c>
      <c r="H89" s="122">
        <f t="shared" si="53"/>
        <v>0</v>
      </c>
      <c r="I89" s="122">
        <f t="shared" si="53"/>
        <v>0</v>
      </c>
      <c r="J89" s="122">
        <f t="shared" si="53"/>
        <v>0</v>
      </c>
      <c r="K89" s="89"/>
      <c r="L89" s="141"/>
      <c r="M89" s="89"/>
      <c r="N89" s="89"/>
      <c r="O89" s="89"/>
      <c r="P89" s="89"/>
      <c r="Q89" s="89"/>
      <c r="R89" s="89"/>
      <c r="S89" s="89"/>
      <c r="T89" s="89"/>
      <c r="U89" s="89"/>
      <c r="V89" s="89"/>
      <c r="W89" s="89"/>
      <c r="X89" s="89"/>
      <c r="Y89" s="89"/>
      <c r="Z89" s="89"/>
      <c r="AA89" s="89"/>
      <c r="AB89" s="89"/>
      <c r="AC89" s="89"/>
    </row>
    <row r="90" outlineLevel="1">
      <c r="A90" s="89"/>
      <c r="B90" s="86" t="str">
        <f t="shared" si="49"/>
        <v>Series E</v>
      </c>
      <c r="C90" s="89"/>
      <c r="D90" s="122">
        <f t="shared" ref="D90:J90" si="54">if( and($J$3 = TRUE, $Y28 = TRUE) , iferror( $F28 / if($AA28&lt;&gt;0, min(D$173*(1-$Z28),$AA28 / D73) , D$173*(1-$Z28)) * $H28 , 0 ) , 0 )</f>
        <v>0</v>
      </c>
      <c r="E90" s="122">
        <f t="shared" si="54"/>
        <v>0</v>
      </c>
      <c r="F90" s="122">
        <f t="shared" si="54"/>
        <v>0</v>
      </c>
      <c r="G90" s="122">
        <f t="shared" si="54"/>
        <v>0</v>
      </c>
      <c r="H90" s="122">
        <f t="shared" si="54"/>
        <v>0</v>
      </c>
      <c r="I90" s="122">
        <f t="shared" si="54"/>
        <v>0</v>
      </c>
      <c r="J90" s="122">
        <f t="shared" si="54"/>
        <v>0</v>
      </c>
      <c r="K90" s="89"/>
      <c r="L90" s="141"/>
      <c r="M90" s="89"/>
      <c r="N90" s="89"/>
      <c r="O90" s="89"/>
      <c r="P90" s="89"/>
      <c r="Q90" s="89"/>
      <c r="R90" s="89"/>
      <c r="S90" s="89"/>
      <c r="T90" s="89"/>
      <c r="U90" s="89"/>
      <c r="V90" s="89"/>
      <c r="W90" s="89"/>
      <c r="X90" s="89"/>
      <c r="Y90" s="89"/>
      <c r="Z90" s="89"/>
      <c r="AA90" s="89"/>
      <c r="AB90" s="89"/>
      <c r="AC90" s="89"/>
    </row>
    <row r="91" outlineLevel="1">
      <c r="A91" s="89"/>
      <c r="B91" s="86" t="str">
        <f t="shared" si="49"/>
        <v>Series D</v>
      </c>
      <c r="C91" s="89"/>
      <c r="D91" s="122">
        <f t="shared" ref="D91:J91" si="55">if( and($J$3 = TRUE, $Y29 = TRUE) , iferror( $F29 / if($AA29&lt;&gt;0, min(D$173*(1-$Z29),$AA29 / D74) , D$173*(1-$Z29)) * $H29 , 0 ) , 0 )</f>
        <v>0</v>
      </c>
      <c r="E91" s="122">
        <f t="shared" si="55"/>
        <v>0</v>
      </c>
      <c r="F91" s="122">
        <f t="shared" si="55"/>
        <v>0</v>
      </c>
      <c r="G91" s="122">
        <f t="shared" si="55"/>
        <v>0</v>
      </c>
      <c r="H91" s="122">
        <f t="shared" si="55"/>
        <v>0</v>
      </c>
      <c r="I91" s="122">
        <f t="shared" si="55"/>
        <v>0</v>
      </c>
      <c r="J91" s="122">
        <f t="shared" si="55"/>
        <v>0</v>
      </c>
      <c r="K91" s="89"/>
      <c r="L91" s="141"/>
      <c r="M91" s="89"/>
      <c r="N91" s="89"/>
      <c r="O91" s="89"/>
      <c r="P91" s="89"/>
      <c r="Q91" s="89"/>
      <c r="R91" s="89"/>
      <c r="S91" s="89"/>
      <c r="T91" s="89"/>
      <c r="U91" s="89"/>
      <c r="V91" s="89"/>
      <c r="W91" s="89"/>
      <c r="X91" s="89"/>
      <c r="Y91" s="89"/>
      <c r="Z91" s="89"/>
      <c r="AA91" s="89"/>
      <c r="AB91" s="89"/>
      <c r="AC91" s="89"/>
    </row>
    <row r="92" outlineLevel="1">
      <c r="A92" s="89"/>
      <c r="B92" s="86" t="str">
        <f t="shared" si="49"/>
        <v>Series C</v>
      </c>
      <c r="C92" s="89"/>
      <c r="D92" s="122">
        <f t="shared" ref="D92:J92" si="56">if( and($J$3 = TRUE, $Y30 = TRUE) , iferror( $F30 / if($AA30&lt;&gt;0, min(D$173*(1-$Z30),$AA30 / D75) , D$173*(1-$Z30)) * $H30 , 0 ) , 0 )</f>
        <v>0</v>
      </c>
      <c r="E92" s="122">
        <f t="shared" si="56"/>
        <v>0</v>
      </c>
      <c r="F92" s="122">
        <f t="shared" si="56"/>
        <v>0</v>
      </c>
      <c r="G92" s="122">
        <f t="shared" si="56"/>
        <v>0</v>
      </c>
      <c r="H92" s="122">
        <f t="shared" si="56"/>
        <v>0</v>
      </c>
      <c r="I92" s="122">
        <f t="shared" si="56"/>
        <v>0</v>
      </c>
      <c r="J92" s="122">
        <f t="shared" si="56"/>
        <v>0</v>
      </c>
      <c r="K92" s="89"/>
      <c r="L92" s="141"/>
      <c r="M92" s="89"/>
      <c r="N92" s="89"/>
      <c r="O92" s="89"/>
      <c r="P92" s="89"/>
      <c r="Q92" s="89"/>
      <c r="R92" s="89"/>
      <c r="S92" s="89"/>
      <c r="T92" s="89"/>
      <c r="U92" s="89"/>
      <c r="V92" s="89"/>
      <c r="W92" s="89"/>
      <c r="X92" s="89"/>
      <c r="Y92" s="89"/>
      <c r="Z92" s="89"/>
      <c r="AA92" s="89"/>
      <c r="AB92" s="89"/>
      <c r="AC92" s="89"/>
    </row>
    <row r="93" outlineLevel="1">
      <c r="A93" s="89"/>
      <c r="B93" s="86" t="str">
        <f t="shared" si="49"/>
        <v>Series B</v>
      </c>
      <c r="C93" s="89"/>
      <c r="D93" s="122">
        <f t="shared" ref="D93:J93" si="57">if( and($J$3 = TRUE, $Y31 = TRUE) , iferror( $F31 / if($AA31&lt;&gt;0, min(D$173*(1-$Z31),$AA31 / D76) , D$173*(1-$Z31)) * $H31 , 0 ) , 0 )</f>
        <v>0</v>
      </c>
      <c r="E93" s="122">
        <f t="shared" si="57"/>
        <v>0</v>
      </c>
      <c r="F93" s="122">
        <f t="shared" si="57"/>
        <v>0</v>
      </c>
      <c r="G93" s="122">
        <f t="shared" si="57"/>
        <v>0</v>
      </c>
      <c r="H93" s="122">
        <f t="shared" si="57"/>
        <v>0</v>
      </c>
      <c r="I93" s="122">
        <f t="shared" si="57"/>
        <v>0</v>
      </c>
      <c r="J93" s="122">
        <f t="shared" si="57"/>
        <v>0</v>
      </c>
      <c r="K93" s="89"/>
      <c r="L93" s="141"/>
      <c r="M93" s="89"/>
      <c r="N93" s="89"/>
      <c r="O93" s="89"/>
      <c r="P93" s="89"/>
      <c r="Q93" s="89"/>
      <c r="R93" s="89"/>
      <c r="S93" s="89"/>
      <c r="T93" s="89"/>
      <c r="U93" s="89"/>
      <c r="V93" s="89"/>
      <c r="W93" s="89"/>
      <c r="X93" s="89"/>
      <c r="Y93" s="89"/>
      <c r="Z93" s="89"/>
      <c r="AA93" s="89"/>
      <c r="AB93" s="89"/>
      <c r="AC93" s="89"/>
    </row>
    <row r="94" outlineLevel="1">
      <c r="A94" s="89"/>
      <c r="B94" s="86" t="str">
        <f t="shared" si="49"/>
        <v>Series A</v>
      </c>
      <c r="C94" s="89"/>
      <c r="D94" s="122">
        <f t="shared" ref="D94:J94" si="58">if( and($J$3 = TRUE, $Y32 = TRUE) , iferror( $F32 / if($AA32&lt;&gt;0, min(D$173*(1-$Z32),$AA32 / D77) , D$173*(1-$Z32)) * $H32 , 0 ) , 0 )</f>
        <v>0</v>
      </c>
      <c r="E94" s="122">
        <f t="shared" si="58"/>
        <v>0</v>
      </c>
      <c r="F94" s="122">
        <f t="shared" si="58"/>
        <v>0</v>
      </c>
      <c r="G94" s="122">
        <f t="shared" si="58"/>
        <v>0</v>
      </c>
      <c r="H94" s="122">
        <f t="shared" si="58"/>
        <v>0</v>
      </c>
      <c r="I94" s="122">
        <f t="shared" si="58"/>
        <v>0</v>
      </c>
      <c r="J94" s="122">
        <f t="shared" si="58"/>
        <v>0</v>
      </c>
      <c r="K94" s="89"/>
      <c r="L94" s="141"/>
      <c r="M94" s="89"/>
      <c r="N94" s="89"/>
      <c r="O94" s="89"/>
      <c r="P94" s="89"/>
      <c r="Q94" s="89"/>
      <c r="R94" s="89"/>
      <c r="S94" s="89"/>
      <c r="T94" s="89"/>
      <c r="U94" s="89"/>
      <c r="V94" s="89"/>
      <c r="W94" s="89"/>
      <c r="X94" s="89"/>
      <c r="Y94" s="89"/>
      <c r="Z94" s="89"/>
      <c r="AA94" s="89"/>
      <c r="AB94" s="89"/>
      <c r="AC94" s="89"/>
    </row>
    <row r="95" outlineLevel="1">
      <c r="A95" s="89"/>
      <c r="B95" s="86" t="str">
        <f t="shared" si="49"/>
        <v>Seed</v>
      </c>
      <c r="C95" s="89"/>
      <c r="D95" s="122">
        <f t="shared" ref="D95:J95" si="59">if( and($J$3 = TRUE, $Y33 = TRUE) , iferror( $F33 / if($AA33&lt;&gt;0, min(D$173*(1-$Z33),$AA33 / D78) , D$173*(1-$Z33)) * $H33 , 0 ) , 0 )</f>
        <v>0</v>
      </c>
      <c r="E95" s="122">
        <f t="shared" si="59"/>
        <v>0</v>
      </c>
      <c r="F95" s="122">
        <f t="shared" si="59"/>
        <v>0</v>
      </c>
      <c r="G95" s="122">
        <f t="shared" si="59"/>
        <v>0</v>
      </c>
      <c r="H95" s="122">
        <f t="shared" si="59"/>
        <v>0</v>
      </c>
      <c r="I95" s="122">
        <f t="shared" si="59"/>
        <v>0</v>
      </c>
      <c r="J95" s="122">
        <f t="shared" si="59"/>
        <v>0</v>
      </c>
      <c r="K95" s="89"/>
      <c r="L95" s="141"/>
      <c r="M95" s="89"/>
      <c r="N95" s="89"/>
      <c r="O95" s="89"/>
      <c r="P95" s="89"/>
      <c r="Q95" s="89"/>
      <c r="R95" s="89"/>
      <c r="S95" s="89"/>
      <c r="T95" s="89"/>
      <c r="U95" s="89"/>
      <c r="V95" s="89"/>
      <c r="W95" s="89"/>
      <c r="X95" s="89"/>
      <c r="Y95" s="89"/>
      <c r="Z95" s="89"/>
      <c r="AA95" s="89"/>
      <c r="AB95" s="89"/>
      <c r="AC95" s="89"/>
    </row>
    <row r="96" outlineLevel="1">
      <c r="A96" s="89"/>
      <c r="B96" s="86" t="str">
        <f t="shared" si="49"/>
        <v>Common</v>
      </c>
      <c r="C96" s="89"/>
      <c r="D96" s="122">
        <f t="shared" ref="D96:J96" si="60">if( and($J$3 = TRUE, $Y34 = TRUE) , iferror( $F34 / if($AA34&lt;&gt;0, min(D$173*(1-$Z34),$AA34 / D79) , D$173*(1-$Z34)) * $H34 , 0 ) , 0 )</f>
        <v>0</v>
      </c>
      <c r="E96" s="122">
        <f t="shared" si="60"/>
        <v>0</v>
      </c>
      <c r="F96" s="122">
        <f t="shared" si="60"/>
        <v>0</v>
      </c>
      <c r="G96" s="122">
        <f t="shared" si="60"/>
        <v>0</v>
      </c>
      <c r="H96" s="122">
        <f t="shared" si="60"/>
        <v>0</v>
      </c>
      <c r="I96" s="122">
        <f t="shared" si="60"/>
        <v>0</v>
      </c>
      <c r="J96" s="122">
        <f t="shared" si="60"/>
        <v>0</v>
      </c>
      <c r="K96" s="89"/>
      <c r="L96" s="141"/>
      <c r="M96" s="89"/>
      <c r="N96" s="89"/>
      <c r="O96" s="89"/>
      <c r="P96" s="89"/>
      <c r="Q96" s="89"/>
      <c r="R96" s="89"/>
      <c r="S96" s="89"/>
      <c r="T96" s="89"/>
      <c r="U96" s="89"/>
      <c r="V96" s="89"/>
      <c r="W96" s="89"/>
      <c r="X96" s="89"/>
      <c r="Y96" s="89"/>
      <c r="Z96" s="89"/>
      <c r="AA96" s="89"/>
      <c r="AB96" s="89"/>
      <c r="AC96" s="89"/>
    </row>
    <row r="97" outlineLevel="1">
      <c r="A97" s="89"/>
      <c r="B97" s="86" t="str">
        <f t="shared" si="49"/>
        <v>Options</v>
      </c>
      <c r="C97" s="89"/>
      <c r="D97" s="122">
        <f t="shared" ref="D97:J97" si="61">if( and($J$3 = TRUE, $Y35 = TRUE) , iferror( $F35 / if($AA35&lt;&gt;0, min(D$173*(1-$Z35),$AA35 / D80) , D$173*(1-$Z35)) * $H35 , 0 ) , 0 )</f>
        <v>0</v>
      </c>
      <c r="E97" s="122">
        <f t="shared" si="61"/>
        <v>0</v>
      </c>
      <c r="F97" s="122">
        <f t="shared" si="61"/>
        <v>0</v>
      </c>
      <c r="G97" s="122">
        <f t="shared" si="61"/>
        <v>0</v>
      </c>
      <c r="H97" s="122">
        <f t="shared" si="61"/>
        <v>0</v>
      </c>
      <c r="I97" s="122">
        <f t="shared" si="61"/>
        <v>0</v>
      </c>
      <c r="J97" s="122">
        <f t="shared" si="61"/>
        <v>0</v>
      </c>
      <c r="K97" s="89"/>
      <c r="L97" s="141"/>
      <c r="M97" s="89"/>
      <c r="N97" s="89"/>
      <c r="O97" s="89"/>
      <c r="P97" s="89"/>
      <c r="Q97" s="89"/>
      <c r="R97" s="89"/>
      <c r="S97" s="89"/>
      <c r="T97" s="89"/>
      <c r="U97" s="89"/>
      <c r="V97" s="89"/>
      <c r="W97" s="89"/>
      <c r="X97" s="89"/>
      <c r="Y97" s="89"/>
      <c r="Z97" s="89"/>
      <c r="AA97" s="89"/>
      <c r="AB97" s="89"/>
      <c r="AC97" s="89"/>
    </row>
    <row r="98" outlineLevel="1">
      <c r="A98" s="89"/>
      <c r="B98" s="86" t="str">
        <f t="shared" si="49"/>
        <v>Options</v>
      </c>
      <c r="C98" s="89"/>
      <c r="D98" s="122">
        <f t="shared" ref="D98:J98" si="62">if( and($J$3 = TRUE, $Y36 = TRUE) , iferror( $F36 / if($AA36&lt;&gt;0, min(D$173*(1-$Z36),$AA36 / D81) , D$173*(1-$Z36)) * $H36 , 0 ) , 0 )</f>
        <v>0</v>
      </c>
      <c r="E98" s="122">
        <f t="shared" si="62"/>
        <v>0</v>
      </c>
      <c r="F98" s="122">
        <f t="shared" si="62"/>
        <v>0</v>
      </c>
      <c r="G98" s="122">
        <f t="shared" si="62"/>
        <v>0</v>
      </c>
      <c r="H98" s="122">
        <f t="shared" si="62"/>
        <v>0</v>
      </c>
      <c r="I98" s="122">
        <f t="shared" si="62"/>
        <v>0</v>
      </c>
      <c r="J98" s="122">
        <f t="shared" si="62"/>
        <v>0</v>
      </c>
      <c r="K98" s="89"/>
      <c r="L98" s="141"/>
      <c r="M98" s="89"/>
      <c r="N98" s="89"/>
      <c r="O98" s="89"/>
      <c r="P98" s="89"/>
      <c r="Q98" s="89"/>
      <c r="R98" s="89"/>
      <c r="S98" s="89"/>
      <c r="T98" s="89"/>
      <c r="U98" s="89"/>
      <c r="V98" s="89"/>
      <c r="W98" s="89"/>
      <c r="X98" s="89"/>
      <c r="Y98" s="89"/>
      <c r="Z98" s="89"/>
      <c r="AA98" s="89"/>
      <c r="AB98" s="89"/>
      <c r="AC98" s="89"/>
    </row>
    <row r="99" outlineLevel="1">
      <c r="A99" s="89"/>
      <c r="B99" s="86" t="str">
        <f t="shared" si="49"/>
        <v>Warrants</v>
      </c>
      <c r="C99" s="89"/>
      <c r="D99" s="122">
        <f t="shared" ref="D99:J99" si="63">if( and($J$3 = TRUE, $Y37 = TRUE) , iferror( $F37 / if($AA37&lt;&gt;0, min(D$173*(1-$Z37),$AA37 / D82) , D$173*(1-$Z37)) * $H37 , 0 ) , 0 )</f>
        <v>0</v>
      </c>
      <c r="E99" s="122">
        <f t="shared" si="63"/>
        <v>0</v>
      </c>
      <c r="F99" s="122">
        <f t="shared" si="63"/>
        <v>0</v>
      </c>
      <c r="G99" s="122">
        <f t="shared" si="63"/>
        <v>0</v>
      </c>
      <c r="H99" s="122">
        <f t="shared" si="63"/>
        <v>0</v>
      </c>
      <c r="I99" s="122">
        <f t="shared" si="63"/>
        <v>0</v>
      </c>
      <c r="J99" s="122">
        <f t="shared" si="63"/>
        <v>0</v>
      </c>
      <c r="K99" s="89"/>
      <c r="L99" s="141"/>
      <c r="M99" s="89"/>
      <c r="N99" s="89"/>
      <c r="O99" s="89"/>
      <c r="P99" s="89"/>
      <c r="Q99" s="89"/>
      <c r="R99" s="89"/>
      <c r="S99" s="89"/>
      <c r="T99" s="89"/>
      <c r="U99" s="89"/>
      <c r="V99" s="89"/>
      <c r="W99" s="89"/>
      <c r="X99" s="89"/>
      <c r="Y99" s="89"/>
      <c r="Z99" s="89"/>
      <c r="AA99" s="89"/>
      <c r="AB99" s="89"/>
      <c r="AC99" s="89"/>
    </row>
    <row r="100" outlineLevel="1">
      <c r="A100" s="89"/>
      <c r="B100" s="124" t="s">
        <v>103</v>
      </c>
      <c r="C100" s="89"/>
      <c r="D100" s="117">
        <f t="shared" ref="D100:J100" si="64">sum(D85:D99)</f>
        <v>0</v>
      </c>
      <c r="E100" s="117">
        <f t="shared" si="64"/>
        <v>0</v>
      </c>
      <c r="F100" s="117">
        <f t="shared" si="64"/>
        <v>0</v>
      </c>
      <c r="G100" s="117">
        <f t="shared" si="64"/>
        <v>0</v>
      </c>
      <c r="H100" s="117">
        <f t="shared" si="64"/>
        <v>0</v>
      </c>
      <c r="I100" s="117">
        <f t="shared" si="64"/>
        <v>0</v>
      </c>
      <c r="J100" s="117">
        <f t="shared" si="64"/>
        <v>0</v>
      </c>
      <c r="K100" s="89"/>
      <c r="L100" s="141"/>
      <c r="M100" s="89"/>
      <c r="N100" s="89"/>
      <c r="O100" s="89"/>
      <c r="P100" s="89"/>
      <c r="Q100" s="89"/>
      <c r="R100" s="89"/>
      <c r="S100" s="89"/>
      <c r="T100" s="89"/>
      <c r="U100" s="89"/>
      <c r="V100" s="89"/>
      <c r="W100" s="89"/>
      <c r="X100" s="89"/>
      <c r="Y100" s="89"/>
      <c r="Z100" s="89"/>
      <c r="AA100" s="89"/>
      <c r="AB100" s="89"/>
      <c r="AC100" s="89"/>
    </row>
    <row r="101" outlineLevel="1">
      <c r="A101" s="89"/>
      <c r="B101" s="126"/>
      <c r="C101" s="89"/>
      <c r="D101" s="127"/>
      <c r="E101" s="127"/>
      <c r="F101" s="127"/>
      <c r="G101" s="127"/>
      <c r="H101" s="127"/>
      <c r="I101" s="127"/>
      <c r="J101" s="127"/>
      <c r="K101" s="89"/>
      <c r="L101" s="141"/>
      <c r="M101" s="89"/>
      <c r="N101" s="89"/>
      <c r="O101" s="89"/>
      <c r="P101" s="89"/>
      <c r="Q101" s="89"/>
      <c r="R101" s="89"/>
      <c r="S101" s="89"/>
      <c r="T101" s="89"/>
      <c r="U101" s="89"/>
      <c r="V101" s="89"/>
      <c r="W101" s="89"/>
      <c r="X101" s="89"/>
      <c r="Y101" s="89"/>
      <c r="Z101" s="89"/>
      <c r="AA101" s="89"/>
      <c r="AB101" s="89"/>
      <c r="AC101" s="89"/>
    </row>
    <row r="102" outlineLevel="1">
      <c r="A102" s="89"/>
      <c r="B102" s="126" t="s">
        <v>271</v>
      </c>
      <c r="C102" s="89"/>
      <c r="D102" s="127"/>
      <c r="E102" s="127"/>
      <c r="F102" s="127"/>
      <c r="G102" s="127"/>
      <c r="H102" s="127"/>
      <c r="I102" s="127"/>
      <c r="J102" s="127"/>
      <c r="K102" s="89"/>
      <c r="L102" s="128" t="s">
        <v>272</v>
      </c>
      <c r="M102" s="89"/>
      <c r="N102" s="89"/>
      <c r="O102" s="89"/>
      <c r="P102" s="89"/>
      <c r="Q102" s="89"/>
      <c r="R102" s="89"/>
      <c r="S102" s="89"/>
      <c r="T102" s="89"/>
      <c r="U102" s="89"/>
      <c r="V102" s="89"/>
      <c r="W102" s="89"/>
      <c r="X102" s="89"/>
      <c r="Y102" s="89"/>
      <c r="Z102" s="89"/>
      <c r="AA102" s="89"/>
      <c r="AB102" s="89"/>
      <c r="AC102" s="89"/>
    </row>
    <row r="103" outlineLevel="1">
      <c r="A103" s="89"/>
      <c r="B103" s="86" t="str">
        <f t="shared" ref="B103:B117" si="66">B23</f>
        <v>Series J</v>
      </c>
      <c r="C103" s="89"/>
      <c r="D103" s="127">
        <f t="shared" ref="D103:J103" si="65">if(or($G23 = 0,D$65=D$46), 0 ,  if($O23="participating preferred with cap", if(D139 = 0 , $G23 , min($G23 , iferror( ( $Q23 - $M23 ) / D$173 , 0 ) ) ) , 0 ) )</f>
        <v>0</v>
      </c>
      <c r="E103" s="127">
        <f t="shared" si="65"/>
        <v>0</v>
      </c>
      <c r="F103" s="127">
        <f t="shared" si="65"/>
        <v>0</v>
      </c>
      <c r="G103" s="127">
        <f t="shared" si="65"/>
        <v>0</v>
      </c>
      <c r="H103" s="127">
        <f t="shared" si="65"/>
        <v>0</v>
      </c>
      <c r="I103" s="127">
        <f t="shared" si="65"/>
        <v>0</v>
      </c>
      <c r="J103" s="127">
        <f t="shared" si="65"/>
        <v>0</v>
      </c>
      <c r="K103" s="89"/>
      <c r="L103" s="89"/>
      <c r="M103" s="89"/>
      <c r="N103" s="89"/>
      <c r="O103" s="89"/>
      <c r="P103" s="89"/>
      <c r="Q103" s="89"/>
      <c r="R103" s="89"/>
      <c r="S103" s="89"/>
      <c r="T103" s="89"/>
      <c r="U103" s="89"/>
      <c r="V103" s="89"/>
      <c r="W103" s="89"/>
      <c r="X103" s="89"/>
      <c r="Y103" s="89"/>
      <c r="Z103" s="89"/>
      <c r="AA103" s="89"/>
      <c r="AB103" s="89"/>
      <c r="AC103" s="89"/>
    </row>
    <row r="104" outlineLevel="1">
      <c r="A104" s="89"/>
      <c r="B104" s="86" t="str">
        <f t="shared" si="66"/>
        <v>Series I</v>
      </c>
      <c r="C104" s="89"/>
      <c r="D104" s="127">
        <f t="shared" ref="D104:J104" si="67">if(or($G24 = 0,D$65=D$46), 0 ,  if($O24="participating preferred with cap", if(D140 = 0 , $G24 , min($G24 , iferror( ( $Q24 - $M24 ) / D$173 , 0 ) ) ) , 0 ) )</f>
        <v>0</v>
      </c>
      <c r="E104" s="127">
        <f t="shared" si="67"/>
        <v>0</v>
      </c>
      <c r="F104" s="127">
        <f t="shared" si="67"/>
        <v>0</v>
      </c>
      <c r="G104" s="127">
        <f t="shared" si="67"/>
        <v>0</v>
      </c>
      <c r="H104" s="127">
        <f t="shared" si="67"/>
        <v>0</v>
      </c>
      <c r="I104" s="127">
        <f t="shared" si="67"/>
        <v>0</v>
      </c>
      <c r="J104" s="127">
        <f t="shared" si="67"/>
        <v>0</v>
      </c>
      <c r="K104" s="89"/>
      <c r="L104" s="89"/>
      <c r="M104" s="89"/>
      <c r="N104" s="89"/>
      <c r="O104" s="89"/>
      <c r="P104" s="89"/>
      <c r="Q104" s="89"/>
      <c r="R104" s="89"/>
      <c r="S104" s="89"/>
      <c r="T104" s="89"/>
      <c r="U104" s="89"/>
      <c r="V104" s="89"/>
      <c r="W104" s="89"/>
      <c r="X104" s="89"/>
      <c r="Y104" s="89"/>
      <c r="Z104" s="89"/>
      <c r="AA104" s="89"/>
      <c r="AB104" s="89"/>
      <c r="AC104" s="89"/>
    </row>
    <row r="105" outlineLevel="1">
      <c r="A105" s="89"/>
      <c r="B105" s="86" t="str">
        <f t="shared" si="66"/>
        <v>Series H</v>
      </c>
      <c r="C105" s="89"/>
      <c r="D105" s="127">
        <f t="shared" ref="D105:J105" si="68">if(or($G25 = 0,D$65=D$46), 0 ,  if($O25="participating preferred with cap", if(D141 = 0 , $G25 , min($G25 , iferror( ( $Q25 - $M25 ) / D$173 , 0 ) ) ) , 0 ) )</f>
        <v>0</v>
      </c>
      <c r="E105" s="127">
        <f t="shared" si="68"/>
        <v>0</v>
      </c>
      <c r="F105" s="127">
        <f t="shared" si="68"/>
        <v>0</v>
      </c>
      <c r="G105" s="127">
        <f t="shared" si="68"/>
        <v>0</v>
      </c>
      <c r="H105" s="127">
        <f t="shared" si="68"/>
        <v>0</v>
      </c>
      <c r="I105" s="127">
        <f t="shared" si="68"/>
        <v>0</v>
      </c>
      <c r="J105" s="127">
        <f t="shared" si="68"/>
        <v>0</v>
      </c>
      <c r="K105" s="89"/>
      <c r="L105" s="89"/>
      <c r="M105" s="89"/>
      <c r="N105" s="89"/>
      <c r="O105" s="89"/>
      <c r="P105" s="89"/>
      <c r="Q105" s="89"/>
      <c r="R105" s="89"/>
      <c r="S105" s="89"/>
      <c r="T105" s="89"/>
      <c r="U105" s="89"/>
      <c r="V105" s="89"/>
      <c r="W105" s="89"/>
      <c r="X105" s="89"/>
      <c r="Y105" s="89"/>
      <c r="Z105" s="89"/>
      <c r="AA105" s="89"/>
      <c r="AB105" s="89"/>
      <c r="AC105" s="89"/>
    </row>
    <row r="106" outlineLevel="1">
      <c r="A106" s="89"/>
      <c r="B106" s="86" t="str">
        <f t="shared" si="66"/>
        <v>Series G</v>
      </c>
      <c r="C106" s="89"/>
      <c r="D106" s="127">
        <f t="shared" ref="D106:J106" si="69">if(or($G26 = 0,D$65=D$46), 0 ,  if($O26="participating preferred with cap", if(D142 = 0 , $G26 , min($G26 , iferror( ( $Q26 - $M26 ) / D$173 , 0 ) ) ) , 0 ) )</f>
        <v>0</v>
      </c>
      <c r="E106" s="127">
        <f t="shared" si="69"/>
        <v>0</v>
      </c>
      <c r="F106" s="127">
        <f t="shared" si="69"/>
        <v>0</v>
      </c>
      <c r="G106" s="127">
        <f t="shared" si="69"/>
        <v>0</v>
      </c>
      <c r="H106" s="127">
        <f t="shared" si="69"/>
        <v>0</v>
      </c>
      <c r="I106" s="127">
        <f t="shared" si="69"/>
        <v>0</v>
      </c>
      <c r="J106" s="127">
        <f t="shared" si="69"/>
        <v>0</v>
      </c>
      <c r="K106" s="89"/>
      <c r="L106" s="89"/>
      <c r="M106" s="89"/>
      <c r="N106" s="89"/>
      <c r="O106" s="89"/>
      <c r="P106" s="89"/>
      <c r="Q106" s="89"/>
      <c r="R106" s="89"/>
      <c r="S106" s="89"/>
      <c r="T106" s="89"/>
      <c r="U106" s="89"/>
      <c r="V106" s="89"/>
      <c r="W106" s="89"/>
      <c r="X106" s="89"/>
      <c r="Y106" s="89"/>
      <c r="Z106" s="89"/>
      <c r="AA106" s="89"/>
      <c r="AB106" s="89"/>
      <c r="AC106" s="89"/>
    </row>
    <row r="107" outlineLevel="1">
      <c r="A107" s="89"/>
      <c r="B107" s="86" t="str">
        <f t="shared" si="66"/>
        <v>Series F</v>
      </c>
      <c r="C107" s="89"/>
      <c r="D107" s="127">
        <f t="shared" ref="D107:J107" si="70">if(or($G27 = 0,D$65=D$46), 0 ,  if($O27="participating preferred with cap", if(D143 = 0 , $G27 , min($G27 , iferror( ( $Q27 - $M27 ) / D$173 , 0 ) ) ) , 0 ) )</f>
        <v>0</v>
      </c>
      <c r="E107" s="127">
        <f t="shared" si="70"/>
        <v>0</v>
      </c>
      <c r="F107" s="127">
        <f t="shared" si="70"/>
        <v>0</v>
      </c>
      <c r="G107" s="127">
        <f t="shared" si="70"/>
        <v>0</v>
      </c>
      <c r="H107" s="127">
        <f t="shared" si="70"/>
        <v>0</v>
      </c>
      <c r="I107" s="127">
        <f t="shared" si="70"/>
        <v>0</v>
      </c>
      <c r="J107" s="127">
        <f t="shared" si="70"/>
        <v>0</v>
      </c>
      <c r="K107" s="89"/>
      <c r="L107" s="89"/>
      <c r="M107" s="89"/>
      <c r="N107" s="89"/>
      <c r="O107" s="89"/>
      <c r="P107" s="89"/>
      <c r="Q107" s="89"/>
      <c r="R107" s="89"/>
      <c r="S107" s="89"/>
      <c r="T107" s="89"/>
      <c r="U107" s="89"/>
      <c r="V107" s="89"/>
      <c r="W107" s="89"/>
      <c r="X107" s="89"/>
      <c r="Y107" s="89"/>
      <c r="Z107" s="89"/>
      <c r="AA107" s="89"/>
      <c r="AB107" s="89"/>
      <c r="AC107" s="89"/>
    </row>
    <row r="108" outlineLevel="1">
      <c r="A108" s="89"/>
      <c r="B108" s="86" t="str">
        <f t="shared" si="66"/>
        <v>Series E</v>
      </c>
      <c r="C108" s="89"/>
      <c r="D108" s="127">
        <f t="shared" ref="D108:J108" si="71">if(or($G28 = 0,D$65=D$46), 0 ,  if($O28="participating preferred with cap", if(D144 = 0 , $G28 , min($G28 , iferror( ( $Q28 - $M28 ) / D$173 , 0 ) ) ) , 0 ) )</f>
        <v>0</v>
      </c>
      <c r="E108" s="127">
        <f t="shared" si="71"/>
        <v>0</v>
      </c>
      <c r="F108" s="127">
        <f t="shared" si="71"/>
        <v>0</v>
      </c>
      <c r="G108" s="127">
        <f t="shared" si="71"/>
        <v>0</v>
      </c>
      <c r="H108" s="127">
        <f t="shared" si="71"/>
        <v>0</v>
      </c>
      <c r="I108" s="127">
        <f t="shared" si="71"/>
        <v>0</v>
      </c>
      <c r="J108" s="127">
        <f t="shared" si="71"/>
        <v>0</v>
      </c>
      <c r="K108" s="89"/>
      <c r="L108" s="89"/>
      <c r="M108" s="89"/>
      <c r="N108" s="89"/>
      <c r="O108" s="89"/>
      <c r="P108" s="89"/>
      <c r="Q108" s="89"/>
      <c r="R108" s="89"/>
      <c r="S108" s="89"/>
      <c r="T108" s="89"/>
      <c r="U108" s="89"/>
      <c r="V108" s="89"/>
      <c r="W108" s="89"/>
      <c r="X108" s="89"/>
      <c r="Y108" s="89"/>
      <c r="Z108" s="89"/>
      <c r="AA108" s="89"/>
      <c r="AB108" s="89"/>
      <c r="AC108" s="89"/>
    </row>
    <row r="109" outlineLevel="1">
      <c r="A109" s="89"/>
      <c r="B109" s="86" t="str">
        <f t="shared" si="66"/>
        <v>Series D</v>
      </c>
      <c r="C109" s="89"/>
      <c r="D109" s="127">
        <f t="shared" ref="D109:J109" si="72">if(or($G29 = 0,D$65=D$46), 0 ,  if($O29="participating preferred with cap", if(D145 = 0 , $G29 , min($G29 , iferror( ( $Q29 - $M29 ) / D$173 , 0 ) ) ) , 0 ) )</f>
        <v>0</v>
      </c>
      <c r="E109" s="127">
        <f t="shared" si="72"/>
        <v>0</v>
      </c>
      <c r="F109" s="127">
        <f t="shared" si="72"/>
        <v>0</v>
      </c>
      <c r="G109" s="127">
        <f t="shared" si="72"/>
        <v>0</v>
      </c>
      <c r="H109" s="127">
        <f t="shared" si="72"/>
        <v>0</v>
      </c>
      <c r="I109" s="127">
        <f t="shared" si="72"/>
        <v>0</v>
      </c>
      <c r="J109" s="127">
        <f t="shared" si="72"/>
        <v>0</v>
      </c>
      <c r="K109" s="89"/>
      <c r="L109" s="89"/>
      <c r="M109" s="89"/>
      <c r="N109" s="89"/>
      <c r="O109" s="89"/>
      <c r="P109" s="89"/>
      <c r="Q109" s="89"/>
      <c r="R109" s="89"/>
      <c r="S109" s="89"/>
      <c r="T109" s="89"/>
      <c r="U109" s="89"/>
      <c r="V109" s="89"/>
      <c r="W109" s="89"/>
      <c r="X109" s="89"/>
      <c r="Y109" s="89"/>
      <c r="Z109" s="89"/>
      <c r="AA109" s="89"/>
      <c r="AB109" s="89"/>
      <c r="AC109" s="89"/>
    </row>
    <row r="110" outlineLevel="1">
      <c r="A110" s="89"/>
      <c r="B110" s="86" t="str">
        <f t="shared" si="66"/>
        <v>Series C</v>
      </c>
      <c r="C110" s="89"/>
      <c r="D110" s="127">
        <f t="shared" ref="D110:J110" si="73">if(or($G30 = 0,D$65=D$46), 0 ,  if($O30="participating preferred with cap", if(D146 = 0 , $G30 , min($G30 , iferror( ( $Q30 - $M30 ) / D$173 , 0 ) ) ) , 0 ) )</f>
        <v>0</v>
      </c>
      <c r="E110" s="127">
        <f t="shared" si="73"/>
        <v>0</v>
      </c>
      <c r="F110" s="127">
        <f t="shared" si="73"/>
        <v>0</v>
      </c>
      <c r="G110" s="127">
        <f t="shared" si="73"/>
        <v>0</v>
      </c>
      <c r="H110" s="127">
        <f t="shared" si="73"/>
        <v>0</v>
      </c>
      <c r="I110" s="127">
        <f t="shared" si="73"/>
        <v>0</v>
      </c>
      <c r="J110" s="127">
        <f t="shared" si="73"/>
        <v>0</v>
      </c>
      <c r="K110" s="89"/>
      <c r="L110" s="89"/>
      <c r="M110" s="89"/>
      <c r="N110" s="89"/>
      <c r="O110" s="89"/>
      <c r="P110" s="89"/>
      <c r="Q110" s="89"/>
      <c r="R110" s="89"/>
      <c r="S110" s="89"/>
      <c r="T110" s="89"/>
      <c r="U110" s="89"/>
      <c r="V110" s="89"/>
      <c r="W110" s="89"/>
      <c r="X110" s="89"/>
      <c r="Y110" s="89"/>
      <c r="Z110" s="89"/>
      <c r="AA110" s="89"/>
      <c r="AB110" s="89"/>
      <c r="AC110" s="89"/>
    </row>
    <row r="111" outlineLevel="1">
      <c r="A111" s="89"/>
      <c r="B111" s="86" t="str">
        <f t="shared" si="66"/>
        <v>Series B</v>
      </c>
      <c r="C111" s="89"/>
      <c r="D111" s="127">
        <f t="shared" ref="D111:J111" si="74">if(or($G31 = 0,D$65=D$46), 0 ,  if($O31="participating preferred with cap", if(D147 = 0 , $G31 , min($G31 , iferror( ( $Q31 - $M31 ) / D$173 , 0 ) ) ) , 0 ) )</f>
        <v>0</v>
      </c>
      <c r="E111" s="127">
        <f t="shared" si="74"/>
        <v>0</v>
      </c>
      <c r="F111" s="127">
        <f t="shared" si="74"/>
        <v>0</v>
      </c>
      <c r="G111" s="127">
        <f t="shared" si="74"/>
        <v>0</v>
      </c>
      <c r="H111" s="127">
        <f t="shared" si="74"/>
        <v>0</v>
      </c>
      <c r="I111" s="127">
        <f t="shared" si="74"/>
        <v>0</v>
      </c>
      <c r="J111" s="127">
        <f t="shared" si="74"/>
        <v>0</v>
      </c>
      <c r="K111" s="89"/>
      <c r="L111" s="89"/>
      <c r="M111" s="89"/>
      <c r="N111" s="89"/>
      <c r="O111" s="89"/>
      <c r="P111" s="89"/>
      <c r="Q111" s="89"/>
      <c r="R111" s="89"/>
      <c r="S111" s="89"/>
      <c r="T111" s="89"/>
      <c r="U111" s="89"/>
      <c r="V111" s="89"/>
      <c r="W111" s="89"/>
      <c r="X111" s="89"/>
      <c r="Y111" s="89"/>
      <c r="Z111" s="89"/>
      <c r="AA111" s="89"/>
      <c r="AB111" s="89"/>
      <c r="AC111" s="89"/>
    </row>
    <row r="112" outlineLevel="1">
      <c r="A112" s="89"/>
      <c r="B112" s="86" t="str">
        <f t="shared" si="66"/>
        <v>Series A</v>
      </c>
      <c r="C112" s="89"/>
      <c r="D112" s="127">
        <f t="shared" ref="D112:J112" si="75">if(or($G32 = 0,D$65=D$46), 0 ,  if($O32="participating preferred with cap", if(D148 = 0 , $G32 , min($G32 , iferror( ( $Q32 - $M32 ) / D$173 , 0 ) ) ) , 0 ) )</f>
        <v>0</v>
      </c>
      <c r="E112" s="127">
        <f t="shared" si="75"/>
        <v>0</v>
      </c>
      <c r="F112" s="127">
        <f t="shared" si="75"/>
        <v>0</v>
      </c>
      <c r="G112" s="127">
        <f t="shared" si="75"/>
        <v>0</v>
      </c>
      <c r="H112" s="127">
        <f t="shared" si="75"/>
        <v>0</v>
      </c>
      <c r="I112" s="127">
        <f t="shared" si="75"/>
        <v>0</v>
      </c>
      <c r="J112" s="127">
        <f t="shared" si="75"/>
        <v>0</v>
      </c>
      <c r="K112" s="89"/>
      <c r="L112" s="89"/>
      <c r="M112" s="89"/>
      <c r="N112" s="89"/>
      <c r="O112" s="89"/>
      <c r="P112" s="89"/>
      <c r="Q112" s="89"/>
      <c r="R112" s="89"/>
      <c r="S112" s="89"/>
      <c r="T112" s="89"/>
      <c r="U112" s="89"/>
      <c r="V112" s="89"/>
      <c r="W112" s="89"/>
      <c r="X112" s="89"/>
      <c r="Y112" s="89"/>
      <c r="Z112" s="89"/>
      <c r="AA112" s="89"/>
      <c r="AB112" s="89"/>
      <c r="AC112" s="89"/>
    </row>
    <row r="113" outlineLevel="1">
      <c r="A113" s="89"/>
      <c r="B113" s="86" t="str">
        <f t="shared" si="66"/>
        <v>Seed</v>
      </c>
      <c r="C113" s="89"/>
      <c r="D113" s="127">
        <f t="shared" ref="D113:J113" si="76">if(or($G33 = 0,D$65=D$46), 0 ,  if($O33="participating preferred with cap", if(D149 = 0 , $G33 , min($G33 , iferror( ( $Q33 - $M33 ) / D$173 , 0 ) ) ) , 0 ) )</f>
        <v>0</v>
      </c>
      <c r="E113" s="127">
        <f t="shared" si="76"/>
        <v>0</v>
      </c>
      <c r="F113" s="127">
        <f t="shared" si="76"/>
        <v>0</v>
      </c>
      <c r="G113" s="127">
        <f t="shared" si="76"/>
        <v>0</v>
      </c>
      <c r="H113" s="127">
        <f t="shared" si="76"/>
        <v>0</v>
      </c>
      <c r="I113" s="127">
        <f t="shared" si="76"/>
        <v>0</v>
      </c>
      <c r="J113" s="127">
        <f t="shared" si="76"/>
        <v>0</v>
      </c>
      <c r="K113" s="89"/>
      <c r="L113" s="89"/>
      <c r="M113" s="89"/>
      <c r="N113" s="89"/>
      <c r="O113" s="89"/>
      <c r="P113" s="89"/>
      <c r="Q113" s="89"/>
      <c r="R113" s="89"/>
      <c r="S113" s="89"/>
      <c r="T113" s="89"/>
      <c r="U113" s="89"/>
      <c r="V113" s="89"/>
      <c r="W113" s="89"/>
      <c r="X113" s="89"/>
      <c r="Y113" s="89"/>
      <c r="Z113" s="89"/>
      <c r="AA113" s="89"/>
      <c r="AB113" s="89"/>
      <c r="AC113" s="89"/>
    </row>
    <row r="114" outlineLevel="1">
      <c r="A114" s="89"/>
      <c r="B114" s="86" t="str">
        <f t="shared" si="66"/>
        <v>Common</v>
      </c>
      <c r="C114" s="89"/>
      <c r="D114" s="127">
        <f t="shared" ref="D114:J114" si="77">if(or($G34 = 0,D$65=D$46), 0 ,  if($O34="participating preferred with cap", if(D150 = 0 , $G34 , min($G34 , iferror( ( $Q34 - $M34 ) / D$173 , 0 ) ) ) , 0 ) )</f>
        <v>0</v>
      </c>
      <c r="E114" s="127">
        <f t="shared" si="77"/>
        <v>0</v>
      </c>
      <c r="F114" s="127">
        <f t="shared" si="77"/>
        <v>0</v>
      </c>
      <c r="G114" s="127">
        <f t="shared" si="77"/>
        <v>0</v>
      </c>
      <c r="H114" s="127">
        <f t="shared" si="77"/>
        <v>0</v>
      </c>
      <c r="I114" s="127">
        <f t="shared" si="77"/>
        <v>0</v>
      </c>
      <c r="J114" s="127">
        <f t="shared" si="77"/>
        <v>0</v>
      </c>
      <c r="K114" s="89"/>
      <c r="L114" s="89"/>
      <c r="M114" s="89"/>
      <c r="N114" s="89"/>
      <c r="O114" s="89"/>
      <c r="P114" s="89"/>
      <c r="Q114" s="89"/>
      <c r="R114" s="89"/>
      <c r="S114" s="89"/>
      <c r="T114" s="89"/>
      <c r="U114" s="89"/>
      <c r="V114" s="89"/>
      <c r="W114" s="89"/>
      <c r="X114" s="89"/>
      <c r="Y114" s="89"/>
      <c r="Z114" s="89"/>
      <c r="AA114" s="89"/>
      <c r="AB114" s="89"/>
      <c r="AC114" s="89"/>
    </row>
    <row r="115" outlineLevel="1">
      <c r="A115" s="89"/>
      <c r="B115" s="86" t="str">
        <f t="shared" si="66"/>
        <v>Options</v>
      </c>
      <c r="C115" s="89"/>
      <c r="D115" s="127">
        <f t="shared" ref="D115:J115" si="78">if(or($G35 = 0,D$65=D$46), 0 ,  if($O35="participating preferred with cap", if(D151 = 0 , $G35 , min($G35 , iferror( ( $Q35 - $M35 ) / D$173 , 0 ) ) ) , 0 ) )</f>
        <v>0</v>
      </c>
      <c r="E115" s="127">
        <f t="shared" si="78"/>
        <v>0</v>
      </c>
      <c r="F115" s="127">
        <f t="shared" si="78"/>
        <v>0</v>
      </c>
      <c r="G115" s="127">
        <f t="shared" si="78"/>
        <v>0</v>
      </c>
      <c r="H115" s="127">
        <f t="shared" si="78"/>
        <v>0</v>
      </c>
      <c r="I115" s="127">
        <f t="shared" si="78"/>
        <v>0</v>
      </c>
      <c r="J115" s="127">
        <f t="shared" si="78"/>
        <v>0</v>
      </c>
      <c r="K115" s="89"/>
      <c r="L115" s="89"/>
      <c r="M115" s="89"/>
      <c r="N115" s="89"/>
      <c r="O115" s="89"/>
      <c r="P115" s="89"/>
      <c r="Q115" s="89"/>
      <c r="R115" s="89"/>
      <c r="S115" s="89"/>
      <c r="T115" s="89"/>
      <c r="U115" s="89"/>
      <c r="V115" s="89"/>
      <c r="W115" s="89"/>
      <c r="X115" s="89"/>
      <c r="Y115" s="89"/>
      <c r="Z115" s="89"/>
      <c r="AA115" s="89"/>
      <c r="AB115" s="89"/>
      <c r="AC115" s="89"/>
    </row>
    <row r="116" outlineLevel="1">
      <c r="A116" s="89"/>
      <c r="B116" s="86" t="str">
        <f t="shared" si="66"/>
        <v>Options</v>
      </c>
      <c r="C116" s="89"/>
      <c r="D116" s="127">
        <f t="shared" ref="D116:J116" si="79">if(or($G36 = 0,D$65=D$46), 0 ,  if($O36="participating preferred with cap", if(D152 = 0 , $G36 , min($G36 , iferror( ( $Q36 - $M36 ) / D$173 , 0 ) ) ) , 0 ) )</f>
        <v>0</v>
      </c>
      <c r="E116" s="127">
        <f t="shared" si="79"/>
        <v>0</v>
      </c>
      <c r="F116" s="127">
        <f t="shared" si="79"/>
        <v>0</v>
      </c>
      <c r="G116" s="127">
        <f t="shared" si="79"/>
        <v>0</v>
      </c>
      <c r="H116" s="127">
        <f t="shared" si="79"/>
        <v>0</v>
      </c>
      <c r="I116" s="127">
        <f t="shared" si="79"/>
        <v>0</v>
      </c>
      <c r="J116" s="127">
        <f t="shared" si="79"/>
        <v>0</v>
      </c>
      <c r="K116" s="89"/>
      <c r="L116" s="89"/>
      <c r="M116" s="89"/>
      <c r="N116" s="89"/>
      <c r="O116" s="89"/>
      <c r="P116" s="89"/>
      <c r="Q116" s="89"/>
      <c r="R116" s="89"/>
      <c r="S116" s="89"/>
      <c r="T116" s="89"/>
      <c r="U116" s="89"/>
      <c r="V116" s="89"/>
      <c r="W116" s="89"/>
      <c r="X116" s="89"/>
      <c r="Y116" s="89"/>
      <c r="Z116" s="89"/>
      <c r="AA116" s="89"/>
      <c r="AB116" s="89"/>
      <c r="AC116" s="89"/>
    </row>
    <row r="117" outlineLevel="1">
      <c r="A117" s="89"/>
      <c r="B117" s="86" t="str">
        <f t="shared" si="66"/>
        <v>Warrants</v>
      </c>
      <c r="C117" s="89"/>
      <c r="D117" s="127">
        <f t="shared" ref="D117:J117" si="80">if(or($G37 = 0,D$65=D$46), 0 ,  if($O37="participating preferred with cap", if(D153 = 0 , $G37 , min($G37 , iferror( ( $Q37 - $M37 ) / D$173 , 0 ) ) ) , 0 ) )</f>
        <v>0</v>
      </c>
      <c r="E117" s="127">
        <f t="shared" si="80"/>
        <v>0</v>
      </c>
      <c r="F117" s="127">
        <f t="shared" si="80"/>
        <v>0</v>
      </c>
      <c r="G117" s="127">
        <f t="shared" si="80"/>
        <v>0</v>
      </c>
      <c r="H117" s="127">
        <f t="shared" si="80"/>
        <v>0</v>
      </c>
      <c r="I117" s="127">
        <f t="shared" si="80"/>
        <v>0</v>
      </c>
      <c r="J117" s="127">
        <f t="shared" si="80"/>
        <v>0</v>
      </c>
      <c r="K117" s="89"/>
      <c r="L117" s="89"/>
      <c r="M117" s="89"/>
      <c r="N117" s="89"/>
      <c r="O117" s="89"/>
      <c r="P117" s="89"/>
      <c r="Q117" s="89"/>
      <c r="R117" s="89"/>
      <c r="S117" s="89"/>
      <c r="T117" s="89"/>
      <c r="U117" s="89"/>
      <c r="V117" s="89"/>
      <c r="W117" s="89"/>
      <c r="X117" s="89"/>
      <c r="Y117" s="89"/>
      <c r="Z117" s="89"/>
      <c r="AA117" s="89"/>
      <c r="AB117" s="89"/>
      <c r="AC117" s="89"/>
    </row>
    <row r="118" outlineLevel="1">
      <c r="A118" s="89"/>
      <c r="B118" s="124" t="s">
        <v>103</v>
      </c>
      <c r="C118" s="89"/>
      <c r="D118" s="117">
        <f t="shared" ref="D118:J118" si="81">sum(D103:D117)</f>
        <v>0</v>
      </c>
      <c r="E118" s="117">
        <f t="shared" si="81"/>
        <v>0</v>
      </c>
      <c r="F118" s="117">
        <f t="shared" si="81"/>
        <v>0</v>
      </c>
      <c r="G118" s="117">
        <f t="shared" si="81"/>
        <v>0</v>
      </c>
      <c r="H118" s="117">
        <f t="shared" si="81"/>
        <v>0</v>
      </c>
      <c r="I118" s="117">
        <f t="shared" si="81"/>
        <v>0</v>
      </c>
      <c r="J118" s="117">
        <f t="shared" si="81"/>
        <v>0</v>
      </c>
      <c r="K118" s="89"/>
      <c r="L118" s="89"/>
      <c r="M118" s="89"/>
      <c r="N118" s="89"/>
      <c r="O118" s="89"/>
      <c r="P118" s="89"/>
      <c r="Q118" s="89"/>
      <c r="R118" s="89"/>
      <c r="S118" s="89"/>
      <c r="T118" s="89"/>
      <c r="U118" s="89"/>
      <c r="V118" s="89"/>
      <c r="W118" s="89"/>
      <c r="X118" s="89"/>
      <c r="Y118" s="89"/>
      <c r="Z118" s="89"/>
      <c r="AA118" s="89"/>
      <c r="AB118" s="89"/>
      <c r="AC118" s="89"/>
    </row>
    <row r="119" outlineLevel="1">
      <c r="A119" s="89"/>
      <c r="B119" s="129"/>
      <c r="C119" s="89"/>
      <c r="D119" s="127"/>
      <c r="E119" s="127"/>
      <c r="F119" s="127"/>
      <c r="G119" s="127"/>
      <c r="H119" s="127"/>
      <c r="I119" s="127"/>
      <c r="J119" s="127"/>
      <c r="K119" s="89"/>
      <c r="L119" s="89"/>
      <c r="M119" s="89"/>
      <c r="N119" s="89"/>
      <c r="O119" s="89"/>
      <c r="P119" s="89"/>
      <c r="Q119" s="89"/>
      <c r="R119" s="89"/>
      <c r="S119" s="89"/>
      <c r="T119" s="89"/>
      <c r="U119" s="89"/>
      <c r="V119" s="89"/>
      <c r="W119" s="89"/>
      <c r="X119" s="89"/>
      <c r="Y119" s="89"/>
      <c r="Z119" s="89"/>
      <c r="AA119" s="89"/>
      <c r="AB119" s="89"/>
      <c r="AC119" s="89"/>
    </row>
    <row r="120">
      <c r="A120" s="89"/>
      <c r="B120" s="129" t="s">
        <v>189</v>
      </c>
      <c r="C120" s="89"/>
      <c r="D120" s="127"/>
      <c r="E120" s="127"/>
      <c r="G120" s="127"/>
      <c r="H120" s="127"/>
      <c r="I120" s="127"/>
      <c r="J120" s="127"/>
      <c r="K120" s="89"/>
      <c r="L120" s="89"/>
      <c r="M120" s="89"/>
      <c r="N120" s="89"/>
      <c r="O120" s="89"/>
      <c r="P120" s="89"/>
      <c r="Q120" s="89"/>
      <c r="R120" s="89"/>
      <c r="S120" s="89"/>
      <c r="T120" s="89"/>
      <c r="U120" s="89"/>
      <c r="V120" s="89"/>
      <c r="W120" s="89"/>
      <c r="X120" s="89"/>
      <c r="Y120" s="89"/>
      <c r="Z120" s="89"/>
      <c r="AA120" s="89"/>
      <c r="AB120" s="89"/>
      <c r="AC120" s="89"/>
    </row>
    <row r="121">
      <c r="B121" s="86" t="str">
        <f t="shared" ref="B121:B135" si="83">B23</f>
        <v>Series J</v>
      </c>
      <c r="D121" s="130">
        <f t="shared" ref="D121:J121" si="82">if( $J$3 = false , 0 , if( $Y23 = true , if(D85 * D$173 = $M23 , 0 , D85) , if($G23 = 0, 0 , if( or($D23="options", $D23 = "warrants"), if(and($J23 &lt; D$173,$G23&gt;0), $G23 * $H23  * iferror(if($D23 = "warrants" , (D$173 - $J23) / D$173 , 1 ),0), 0) , if(and($O23="full participating",D$154&lt;&gt;D$46), $G23 * $H23, if($O23="participating preferred with cap", D103 , if($D23="preferred", if( $G23 * $H23 * D$173 &gt; ( sumproduct(D$50:D$64,--($E$23:$E$37=$E23)) * $M23 / sumproduct($M$23:$M$37,--($E$23:$E$37=$E23)) ) , $G23 * $H23, 0) , $G23 * $H23) ) ) ) ) ) )</f>
        <v>0</v>
      </c>
      <c r="E121" s="130">
        <f t="shared" si="82"/>
        <v>0</v>
      </c>
      <c r="F121" s="130">
        <f t="shared" si="82"/>
        <v>0</v>
      </c>
      <c r="G121" s="130">
        <f t="shared" si="82"/>
        <v>0</v>
      </c>
      <c r="H121" s="130">
        <f t="shared" si="82"/>
        <v>0</v>
      </c>
      <c r="I121" s="130">
        <f t="shared" si="82"/>
        <v>0</v>
      </c>
      <c r="J121" s="130">
        <f t="shared" si="82"/>
        <v>0</v>
      </c>
    </row>
    <row r="122">
      <c r="B122" s="86" t="str">
        <f t="shared" si="83"/>
        <v>Series I</v>
      </c>
      <c r="D122" s="130">
        <f t="shared" ref="D122:J122" si="84">if( $J$3 = false , 0 , if( $Y24 = true , if(D86 * D$173 = $M24 , 0 , D86) , if($G24 = 0, 0 , if( or($D24="options", $D24 = "warrants"), if(and($J24 &lt; D$173,$G24&gt;0), $G24 * $H24  * iferror(if($D24 = "warrants" , (D$173 - $J24) / D$173 , 1 ),0), 0) , if(and($O24="full participating",D$154&lt;&gt;D$46), $G24 * $H24, if($O24="participating preferred with cap", D104 , if($D24="preferred", if( $G24 * $H24 * D$173 &gt; ( sumproduct(D$50:D$64,--($E$23:$E$37=$E24)) * $M24 / sumproduct($M$23:$M$37,--($E$23:$E$37=$E24)) ) , $G24 * $H24, 0) , $G24 * $H24) ) ) ) ) ) )</f>
        <v>0</v>
      </c>
      <c r="E122" s="130">
        <f t="shared" si="84"/>
        <v>0</v>
      </c>
      <c r="F122" s="130">
        <f t="shared" si="84"/>
        <v>0</v>
      </c>
      <c r="G122" s="130">
        <f t="shared" si="84"/>
        <v>0</v>
      </c>
      <c r="H122" s="130">
        <f t="shared" si="84"/>
        <v>0</v>
      </c>
      <c r="I122" s="130">
        <f t="shared" si="84"/>
        <v>0</v>
      </c>
      <c r="J122" s="130">
        <f t="shared" si="84"/>
        <v>0</v>
      </c>
    </row>
    <row r="123">
      <c r="B123" s="86" t="str">
        <f t="shared" si="83"/>
        <v>Series H</v>
      </c>
      <c r="D123" s="130">
        <f t="shared" ref="D123:J123" si="85">if( $J$3 = false , 0 , if( $Y25 = true , if(D87 * D$173 = $M25 , 0 , D87) , if($G25 = 0, 0 , if( or($D25="options", $D25 = "warrants"), if(and($J25 &lt; D$173,$G25&gt;0), $G25 * $H25  * iferror(if($D25 = "warrants" , (D$173 - $J25) / D$173 , 1 ),0), 0) , if(and($O25="full participating",D$154&lt;&gt;D$46), $G25 * $H25, if($O25="participating preferred with cap", D105 , if($D25="preferred", if( $G25 * $H25 * D$173 &gt; ( sumproduct(D$50:D$64,--($E$23:$E$37=$E25)) * $M25 / sumproduct($M$23:$M$37,--($E$23:$E$37=$E25)) ) , $G25 * $H25, 0) , $G25 * $H25) ) ) ) ) ) )</f>
        <v>0</v>
      </c>
      <c r="E123" s="130">
        <f t="shared" si="85"/>
        <v>0</v>
      </c>
      <c r="F123" s="130">
        <f t="shared" si="85"/>
        <v>0</v>
      </c>
      <c r="G123" s="130">
        <f t="shared" si="85"/>
        <v>0</v>
      </c>
      <c r="H123" s="130">
        <f t="shared" si="85"/>
        <v>0</v>
      </c>
      <c r="I123" s="130">
        <f t="shared" si="85"/>
        <v>0</v>
      </c>
      <c r="J123" s="130">
        <f t="shared" si="85"/>
        <v>0</v>
      </c>
    </row>
    <row r="124">
      <c r="B124" s="86" t="str">
        <f t="shared" si="83"/>
        <v>Series G</v>
      </c>
      <c r="D124" s="130">
        <f t="shared" ref="D124:J124" si="86">if( $J$3 = false , 0 , if( $Y26 = true , if(D88 * D$173 = $M26 , 0 , D88) , if($G26 = 0, 0 , if( or($D26="options", $D26 = "warrants"), if(and($J26 &lt; D$173,$G26&gt;0), $G26 * $H26  * iferror(if($D26 = "warrants" , (D$173 - $J26) / D$173 , 1 ),0), 0) , if(and($O26="full participating",D$154&lt;&gt;D$46), $G26 * $H26, if($O26="participating preferred with cap", D106 , if($D26="preferred", if( $G26 * $H26 * D$173 &gt; ( sumproduct(D$50:D$64,--($E$23:$E$37=$E26)) * $M26 / sumproduct($M$23:$M$37,--($E$23:$E$37=$E26)) ) , $G26 * $H26, 0) , $G26 * $H26) ) ) ) ) ) )</f>
        <v>0</v>
      </c>
      <c r="E124" s="130">
        <f t="shared" si="86"/>
        <v>0</v>
      </c>
      <c r="F124" s="130">
        <f t="shared" si="86"/>
        <v>0</v>
      </c>
      <c r="G124" s="130">
        <f t="shared" si="86"/>
        <v>0</v>
      </c>
      <c r="H124" s="130">
        <f t="shared" si="86"/>
        <v>0</v>
      </c>
      <c r="I124" s="130">
        <f t="shared" si="86"/>
        <v>0</v>
      </c>
      <c r="J124" s="130">
        <f t="shared" si="86"/>
        <v>0</v>
      </c>
    </row>
    <row r="125">
      <c r="B125" s="86" t="str">
        <f t="shared" si="83"/>
        <v>Series F</v>
      </c>
      <c r="D125" s="130">
        <f t="shared" ref="D125:J125" si="87">if( $J$3 = false , 0 , if( $Y27 = true , if(D89 * D$173 = $M27 , 0 , D89) , if($G27 = 0, 0 , if( or($D27="options", $D27 = "warrants"), if(and($J27 &lt; D$173,$G27&gt;0), $G27 * $H27  * iferror(if($D27 = "warrants" , (D$173 - $J27) / D$173 , 1 ),0), 0) , if(and($O27="full participating",D$154&lt;&gt;D$46), $G27 * $H27, if($O27="participating preferred with cap", D107 , if($D27="preferred", if( $G27 * $H27 * D$173 &gt; ( sumproduct(D$50:D$64,--($E$23:$E$37=$E27)) * $M27 / sumproduct($M$23:$M$37,--($E$23:$E$37=$E27)) ) , $G27 * $H27, 0) , $G27 * $H27) ) ) ) ) ) )</f>
        <v>0</v>
      </c>
      <c r="E125" s="130">
        <f t="shared" si="87"/>
        <v>0</v>
      </c>
      <c r="F125" s="130">
        <f t="shared" si="87"/>
        <v>0</v>
      </c>
      <c r="G125" s="130">
        <f t="shared" si="87"/>
        <v>0</v>
      </c>
      <c r="H125" s="130">
        <f t="shared" si="87"/>
        <v>0</v>
      </c>
      <c r="I125" s="130">
        <f t="shared" si="87"/>
        <v>0</v>
      </c>
      <c r="J125" s="130">
        <f t="shared" si="87"/>
        <v>0</v>
      </c>
    </row>
    <row r="126">
      <c r="B126" s="86" t="str">
        <f t="shared" si="83"/>
        <v>Series E</v>
      </c>
      <c r="D126" s="130">
        <f t="shared" ref="D126:J126" si="88">if( $J$3 = false , 0 , if( $Y28 = true , if(D90 * D$173 = $M28 , 0 , D90) , if($G28 = 0, 0 , if( or($D28="options", $D28 = "warrants"), if(and($J28 &lt; D$173,$G28&gt;0), $G28 * $H28  * iferror(if($D28 = "warrants" , (D$173 - $J28) / D$173 , 1 ),0), 0) , if(and($O28="full participating",D$154&lt;&gt;D$46), $G28 * $H28, if($O28="participating preferred with cap", D108 , if($D28="preferred", if( $G28 * $H28 * D$173 &gt; ( sumproduct(D$50:D$64,--($E$23:$E$37=$E28)) * $M28 / sumproduct($M$23:$M$37,--($E$23:$E$37=$E28)) ) , $G28 * $H28, 0) , $G28 * $H28) ) ) ) ) ) )</f>
        <v>0</v>
      </c>
      <c r="E126" s="130">
        <f t="shared" si="88"/>
        <v>0</v>
      </c>
      <c r="F126" s="130">
        <f t="shared" si="88"/>
        <v>0</v>
      </c>
      <c r="G126" s="130">
        <f t="shared" si="88"/>
        <v>0</v>
      </c>
      <c r="H126" s="130">
        <f t="shared" si="88"/>
        <v>0</v>
      </c>
      <c r="I126" s="130">
        <f t="shared" si="88"/>
        <v>0</v>
      </c>
      <c r="J126" s="130">
        <f t="shared" si="88"/>
        <v>0</v>
      </c>
    </row>
    <row r="127">
      <c r="B127" s="86" t="str">
        <f t="shared" si="83"/>
        <v>Series D</v>
      </c>
      <c r="D127" s="130">
        <f t="shared" ref="D127:J127" si="89">if( $J$3 = false , 0 , if( $Y29 = true , if(D91 * D$173 = $M29 , 0 , D91) , if($G29 = 0, 0 , if( or($D29="options", $D29 = "warrants"), if(and($J29 &lt; D$173,$G29&gt;0), $G29 * $H29  * iferror(if($D29 = "warrants" , (D$173 - $J29) / D$173 , 1 ),0), 0) , if(and($O29="full participating",D$154&lt;&gt;D$46), $G29 * $H29, if($O29="participating preferred with cap", D109 , if($D29="preferred", if( $G29 * $H29 * D$173 &gt; ( sumproduct(D$50:D$64,--($E$23:$E$37=$E29)) * $M29 / sumproduct($M$23:$M$37,--($E$23:$E$37=$E29)) ) , $G29 * $H29, 0) , $G29 * $H29) ) ) ) ) ) )</f>
        <v>0</v>
      </c>
      <c r="E127" s="130">
        <f t="shared" si="89"/>
        <v>0</v>
      </c>
      <c r="F127" s="130">
        <f t="shared" si="89"/>
        <v>0</v>
      </c>
      <c r="G127" s="130">
        <f t="shared" si="89"/>
        <v>0</v>
      </c>
      <c r="H127" s="130">
        <f t="shared" si="89"/>
        <v>0</v>
      </c>
      <c r="I127" s="130">
        <f t="shared" si="89"/>
        <v>0</v>
      </c>
      <c r="J127" s="130">
        <f t="shared" si="89"/>
        <v>0</v>
      </c>
    </row>
    <row r="128">
      <c r="B128" s="86" t="str">
        <f t="shared" si="83"/>
        <v>Series C</v>
      </c>
      <c r="D128" s="130">
        <f t="shared" ref="D128:J128" si="90">if( $J$3 = false , 0 , if( $Y30 = true , if(D92 * D$173 = $M30 , 0 , D92) , if($G30 = 0, 0 , if( or($D30="options", $D30 = "warrants"), if(and($J30 &lt; D$173,$G30&gt;0), $G30 * $H30  * iferror(if($D30 = "warrants" , (D$173 - $J30) / D$173 , 1 ),0), 0) , if(and($O30="full participating",D$154&lt;&gt;D$46), $G30 * $H30, if($O30="participating preferred with cap", D110 , if($D30="preferred", if( $G30 * $H30 * D$173 &gt; ( sumproduct(D$50:D$64,--($E$23:$E$37=$E30)) * $M30 / sumproduct($M$23:$M$37,--($E$23:$E$37=$E30)) ) , $G30 * $H30, 0) , $G30 * $H30) ) ) ) ) ) )</f>
        <v>0</v>
      </c>
      <c r="E128" s="130">
        <f t="shared" si="90"/>
        <v>0</v>
      </c>
      <c r="F128" s="130">
        <f t="shared" si="90"/>
        <v>0</v>
      </c>
      <c r="G128" s="130">
        <f t="shared" si="90"/>
        <v>0</v>
      </c>
      <c r="H128" s="130">
        <f t="shared" si="90"/>
        <v>0</v>
      </c>
      <c r="I128" s="130">
        <f t="shared" si="90"/>
        <v>0</v>
      </c>
      <c r="J128" s="130">
        <f t="shared" si="90"/>
        <v>0</v>
      </c>
    </row>
    <row r="129">
      <c r="B129" s="86" t="str">
        <f t="shared" si="83"/>
        <v>Series B</v>
      </c>
      <c r="D129" s="130">
        <f t="shared" ref="D129:J129" si="91">if( $J$3 = false , 0 , if( $Y31 = true , if(D93 * D$173 = $M31 , 0 , D93) , if($G31 = 0, 0 , if( or($D31="options", $D31 = "warrants"), if(and($J31 &lt; D$173,$G31&gt;0), $G31 * $H31  * iferror(if($D31 = "warrants" , (D$173 - $J31) / D$173 , 1 ),0), 0) , if(and($O31="full participating",D$154&lt;&gt;D$46), $G31 * $H31, if($O31="participating preferred with cap", D111 , if($D31="preferred", if( $G31 * $H31 * D$173 &gt; ( sumproduct(D$50:D$64,--($E$23:$E$37=$E31)) * $M31 / sumproduct($M$23:$M$37,--($E$23:$E$37=$E31)) ) , $G31 * $H31, 0) , $G31 * $H31) ) ) ) ) ) )</f>
        <v>0</v>
      </c>
      <c r="E129" s="130">
        <f t="shared" si="91"/>
        <v>0</v>
      </c>
      <c r="F129" s="130">
        <f t="shared" si="91"/>
        <v>0</v>
      </c>
      <c r="G129" s="130">
        <f t="shared" si="91"/>
        <v>0</v>
      </c>
      <c r="H129" s="130">
        <f t="shared" si="91"/>
        <v>0</v>
      </c>
      <c r="I129" s="130">
        <f t="shared" si="91"/>
        <v>0</v>
      </c>
      <c r="J129" s="130">
        <f t="shared" si="91"/>
        <v>0</v>
      </c>
    </row>
    <row r="130">
      <c r="B130" s="86" t="str">
        <f t="shared" si="83"/>
        <v>Series A</v>
      </c>
      <c r="D130" s="130">
        <f t="shared" ref="D130:J130" si="92">if( $J$3 = false , 0 , if( $Y32 = true , if(D94 * D$173 = $M32 , 0 , D94) , if($G32 = 0, 0 , if( or($D32="options", $D32 = "warrants"), if(and($J32 &lt; D$173,$G32&gt;0), $G32 * $H32  * iferror(if($D32 = "warrants" , (D$173 - $J32) / D$173 , 1 ),0), 0) , if(and($O32="full participating",D$154&lt;&gt;D$46), $G32 * $H32, if($O32="participating preferred with cap", D112 , if($D32="preferred", if( $G32 * $H32 * D$173 &gt; ( sumproduct(D$50:D$64,--($E$23:$E$37=$E32)) * $M32 / sumproduct($M$23:$M$37,--($E$23:$E$37=$E32)) ) , $G32 * $H32, 0) , $G32 * $H32) ) ) ) ) ) )</f>
        <v>0</v>
      </c>
      <c r="E130" s="130">
        <f t="shared" si="92"/>
        <v>0</v>
      </c>
      <c r="F130" s="130">
        <f t="shared" si="92"/>
        <v>0</v>
      </c>
      <c r="G130" s="130">
        <f t="shared" si="92"/>
        <v>0</v>
      </c>
      <c r="H130" s="130">
        <f t="shared" si="92"/>
        <v>0</v>
      </c>
      <c r="I130" s="130">
        <f t="shared" si="92"/>
        <v>0</v>
      </c>
      <c r="J130" s="130">
        <f t="shared" si="92"/>
        <v>0</v>
      </c>
    </row>
    <row r="131">
      <c r="B131" s="86" t="str">
        <f t="shared" si="83"/>
        <v>Seed</v>
      </c>
      <c r="D131" s="130">
        <f t="shared" ref="D131:J131" si="93">if( $J$3 = false , 0 , if( $Y33 = true , if(D95 * D$173 = $M33 , 0 , D95) , if($G33 = 0, 0 , if( or($D33="options", $D33 = "warrants"), if(and($J33 &lt; D$173,$G33&gt;0), $G33 * $H33  * iferror(if($D33 = "warrants" , (D$173 - $J33) / D$173 , 1 ),0), 0) , if(and($O33="full participating",D$154&lt;&gt;D$46), $G33 * $H33, if($O33="participating preferred with cap", D113 , if($D33="preferred", if( $G33 * $H33 * D$173 &gt; ( sumproduct(D$50:D$64,--($E$23:$E$37=$E33)) * $M33 / sumproduct($M$23:$M$37,--($E$23:$E$37=$E33)) ) , $G33 * $H33, 0) , $G33 * $H33) ) ) ) ) ) )</f>
        <v>0</v>
      </c>
      <c r="E131" s="130">
        <f t="shared" si="93"/>
        <v>0</v>
      </c>
      <c r="F131" s="130">
        <f t="shared" si="93"/>
        <v>0</v>
      </c>
      <c r="G131" s="130">
        <f t="shared" si="93"/>
        <v>0</v>
      </c>
      <c r="H131" s="130">
        <f t="shared" si="93"/>
        <v>0</v>
      </c>
      <c r="I131" s="130">
        <f t="shared" si="93"/>
        <v>0</v>
      </c>
      <c r="J131" s="130">
        <f t="shared" si="93"/>
        <v>0</v>
      </c>
    </row>
    <row r="132">
      <c r="B132" s="86" t="str">
        <f t="shared" si="83"/>
        <v>Common</v>
      </c>
      <c r="D132" s="130">
        <f t="shared" ref="D132:J132" si="94">if( $J$3 = false , 0 , if( $Y34 = true , if(D96 * D$173 = $M34 , 0 , D96) , if($G34 = 0, 0 , if( or($D34="options", $D34 = "warrants"), if(and($J34 &lt; D$173,$G34&gt;0), $G34 * $H34  * iferror(if($D34 = "warrants" , (D$173 - $J34) / D$173 , 1 ),0), 0) , if(and($O34="full participating",D$154&lt;&gt;D$46), $G34 * $H34, if($O34="participating preferred with cap", D114 , if($D34="preferred", if( $G34 * $H34 * D$173 &gt; ( sumproduct(D$50:D$64,--($E$23:$E$37=$E34)) * $M34 / sumproduct($M$23:$M$37,--($E$23:$E$37=$E34)) ) , $G34 * $H34, 0) , $G34 * $H34) ) ) ) ) ) )</f>
        <v>0</v>
      </c>
      <c r="E132" s="130">
        <f t="shared" si="94"/>
        <v>0</v>
      </c>
      <c r="F132" s="130">
        <f t="shared" si="94"/>
        <v>0</v>
      </c>
      <c r="G132" s="130">
        <f t="shared" si="94"/>
        <v>0</v>
      </c>
      <c r="H132" s="130">
        <f t="shared" si="94"/>
        <v>0</v>
      </c>
      <c r="I132" s="130">
        <f t="shared" si="94"/>
        <v>0</v>
      </c>
      <c r="J132" s="130">
        <f t="shared" si="94"/>
        <v>0</v>
      </c>
    </row>
    <row r="133">
      <c r="B133" s="86" t="str">
        <f t="shared" si="83"/>
        <v>Options</v>
      </c>
      <c r="D133" s="130">
        <f t="shared" ref="D133:J133" si="95">if( $J$3 = false , 0 , if( $Y35 = true , if(D97 * D$173 = $M35 , 0 , D97) , if($G35 = 0, 0 , if( or($D35="options", $D35 = "warrants"), if(and($J35 &lt; D$173,$G35&gt;0), $G35 * $H35  * iferror(if($D35 = "warrants" , (D$173 - $J35) / D$173 , 1 ),0), 0) , if(and($O35="full participating",D$154&lt;&gt;D$46), $G35 * $H35, if($O35="participating preferred with cap", D115 , if($D35="preferred", if( $G35 * $H35 * D$173 &gt; ( sumproduct(D$50:D$64,--($E$23:$E$37=$E35)) * $M35 / sumproduct($M$23:$M$37,--($E$23:$E$37=$E35)) ) , $G35 * $H35, 0) , $G35 * $H35) ) ) ) ) ) )</f>
        <v>0</v>
      </c>
      <c r="E133" s="130">
        <f t="shared" si="95"/>
        <v>0</v>
      </c>
      <c r="F133" s="130">
        <f t="shared" si="95"/>
        <v>0</v>
      </c>
      <c r="G133" s="130">
        <f t="shared" si="95"/>
        <v>0</v>
      </c>
      <c r="H133" s="130">
        <f t="shared" si="95"/>
        <v>0</v>
      </c>
      <c r="I133" s="130">
        <f t="shared" si="95"/>
        <v>0</v>
      </c>
      <c r="J133" s="130">
        <f t="shared" si="95"/>
        <v>0</v>
      </c>
    </row>
    <row r="134">
      <c r="B134" s="86" t="str">
        <f t="shared" si="83"/>
        <v>Options</v>
      </c>
      <c r="D134" s="130">
        <f t="shared" ref="D134:J134" si="96">if( $J$3 = false , 0 , if( $Y36 = true , if(D98 * D$173 = $M36 , 0 , D98) , if($G36 = 0, 0 , if( or($D36="options", $D36 = "warrants"), if(and($J36 &lt; D$173,$G36&gt;0), $G36 * $H36  * iferror(if($D36 = "warrants" , (D$173 - $J36) / D$173 , 1 ),0), 0) , if(and($O36="full participating",D$154&lt;&gt;D$46), $G36 * $H36, if($O36="participating preferred with cap", D116 , if($D36="preferred", if( $G36 * $H36 * D$173 &gt; ( sumproduct(D$50:D$64,--($E$23:$E$37=$E36)) * $M36 / sumproduct($M$23:$M$37,--($E$23:$E$37=$E36)) ) , $G36 * $H36, 0) , $G36 * $H36) ) ) ) ) ) )</f>
        <v>0</v>
      </c>
      <c r="E134" s="130">
        <f t="shared" si="96"/>
        <v>0</v>
      </c>
      <c r="F134" s="130">
        <f t="shared" si="96"/>
        <v>0</v>
      </c>
      <c r="G134" s="130">
        <f t="shared" si="96"/>
        <v>0</v>
      </c>
      <c r="H134" s="130">
        <f t="shared" si="96"/>
        <v>0</v>
      </c>
      <c r="I134" s="130">
        <f t="shared" si="96"/>
        <v>0</v>
      </c>
      <c r="J134" s="130">
        <f t="shared" si="96"/>
        <v>0</v>
      </c>
    </row>
    <row r="135">
      <c r="B135" s="86" t="str">
        <f t="shared" si="83"/>
        <v>Warrants</v>
      </c>
      <c r="D135" s="130">
        <f t="shared" ref="D135:J135" si="97">if( $J$3 = false , 0 , if( $Y37 = true , if(D99 * D$173 = $M37 , 0 , D99) , if($G37 = 0, 0 , if( or($D37="options", $D37 = "warrants"), if(and($J37 &lt; D$173,$G37&gt;0), $G37 * $H37  * iferror(if($D37 = "warrants" , (D$173 - $J37) / D$173 , 1 ),0), 0) , if(and($O37="full participating",D$154&lt;&gt;D$46), $G37 * $H37, if($O37="participating preferred with cap", D117 , if($D37="preferred", if( $G37 * $H37 * D$173 &gt; ( sumproduct(D$50:D$64,--($E$23:$E$37=$E37)) * $M37 / sumproduct($M$23:$M$37,--($E$23:$E$37=$E37)) ) , $G37 * $H37, 0) , $G37 * $H37) ) ) ) ) ) )</f>
        <v>0</v>
      </c>
      <c r="E135" s="130">
        <f t="shared" si="97"/>
        <v>0</v>
      </c>
      <c r="F135" s="130">
        <f t="shared" si="97"/>
        <v>0</v>
      </c>
      <c r="G135" s="130">
        <f t="shared" si="97"/>
        <v>0</v>
      </c>
      <c r="H135" s="130">
        <f t="shared" si="97"/>
        <v>0</v>
      </c>
      <c r="I135" s="130">
        <f t="shared" si="97"/>
        <v>0</v>
      </c>
      <c r="J135" s="130">
        <f t="shared" si="97"/>
        <v>0</v>
      </c>
    </row>
    <row r="136">
      <c r="B136" s="124" t="s">
        <v>103</v>
      </c>
      <c r="D136" s="117">
        <f t="shared" ref="D136:J136" si="98">sum(D121:D135)</f>
        <v>0</v>
      </c>
      <c r="E136" s="117">
        <f t="shared" si="98"/>
        <v>0</v>
      </c>
      <c r="F136" s="117">
        <f t="shared" si="98"/>
        <v>0</v>
      </c>
      <c r="G136" s="117">
        <f t="shared" si="98"/>
        <v>0</v>
      </c>
      <c r="H136" s="117">
        <f t="shared" si="98"/>
        <v>0</v>
      </c>
      <c r="I136" s="117">
        <f t="shared" si="98"/>
        <v>0</v>
      </c>
      <c r="J136" s="117">
        <f t="shared" si="98"/>
        <v>0</v>
      </c>
    </row>
    <row r="137">
      <c r="B137" s="86"/>
      <c r="D137" s="122"/>
      <c r="E137" s="122"/>
      <c r="F137" s="122"/>
      <c r="G137" s="122"/>
      <c r="H137" s="122"/>
      <c r="I137" s="122"/>
      <c r="J137" s="122"/>
    </row>
    <row r="138">
      <c r="A138" s="127"/>
      <c r="B138" s="127" t="s">
        <v>241</v>
      </c>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row>
    <row r="139">
      <c r="B139" s="86" t="str">
        <f t="shared" ref="B139:B153" si="100">B23</f>
        <v>Series J</v>
      </c>
      <c r="D139" s="122">
        <f t="shared" ref="D139:J139" si="99">if($O23="participating preferred with cap", if( ($G23 * D$173) &lt; $Q23 , min( $M23 , sumproduct(D$50:D$64,--($E$23:$E$37=$E23)) * $M23 / sumproduct($M$23:$M$37,--($E$23:$E$37=$E23)) ) , 0 ) , if($O23="full participating", iferror( min( $M23 , sumproduct(D$50:D$64,--($E$23:$E$37=$E23)) * $M23 / sumproduct($M$23:$M$37,--($E$23:$E$37=$E23)) ) ,0) , if(D121 &gt; 0 , 0 , iferror( min( $M23 , sumproduct(D$50:D$64,--($E$23:$E$37=$E23)) * $M23 / sumproduct($M$23:$M$37,--($E$23:$E$37=$E23)) ) ,0) ) ) )</f>
        <v>0</v>
      </c>
      <c r="E139" s="122">
        <f t="shared" si="99"/>
        <v>0</v>
      </c>
      <c r="F139" s="122">
        <f t="shared" si="99"/>
        <v>0</v>
      </c>
      <c r="G139" s="122">
        <f t="shared" si="99"/>
        <v>0</v>
      </c>
      <c r="H139" s="122">
        <f t="shared" si="99"/>
        <v>0</v>
      </c>
      <c r="I139" s="122">
        <f t="shared" si="99"/>
        <v>0</v>
      </c>
      <c r="J139" s="122">
        <f t="shared" si="99"/>
        <v>0</v>
      </c>
    </row>
    <row r="140">
      <c r="B140" s="86" t="str">
        <f t="shared" si="100"/>
        <v>Series I</v>
      </c>
      <c r="D140" s="122">
        <f t="shared" ref="D140:J140" si="101">if($O24="participating preferred with cap", if( ($G24 * D$173) &lt; $Q24 , min( $M24 , sumproduct(D$50:D$64,--($E$23:$E$37=$E24)) * $M24 / sumproduct($M$23:$M$37,--($E$23:$E$37=$E24)) ) , 0 ) , if($O24="full participating", iferror( min( $M24 , sumproduct(D$50:D$64,--($E$23:$E$37=$E24)) * $M24 / sumproduct($M$23:$M$37,--($E$23:$E$37=$E24)) ) ,0) , if(D122 &gt; 0 , 0 , iferror( min( $M24 , sumproduct(D$50:D$64,--($E$23:$E$37=$E24)) * $M24 / sumproduct($M$23:$M$37,--($E$23:$E$37=$E24)) ) ,0) ) ) )</f>
        <v>0</v>
      </c>
      <c r="E140" s="122">
        <f t="shared" si="101"/>
        <v>0</v>
      </c>
      <c r="F140" s="122">
        <f t="shared" si="101"/>
        <v>0</v>
      </c>
      <c r="G140" s="122">
        <f t="shared" si="101"/>
        <v>0</v>
      </c>
      <c r="H140" s="122">
        <f t="shared" si="101"/>
        <v>0</v>
      </c>
      <c r="I140" s="122">
        <f t="shared" si="101"/>
        <v>0</v>
      </c>
      <c r="J140" s="122">
        <f t="shared" si="101"/>
        <v>0</v>
      </c>
    </row>
    <row r="141">
      <c r="B141" s="86" t="str">
        <f t="shared" si="100"/>
        <v>Series H</v>
      </c>
      <c r="D141" s="122">
        <f t="shared" ref="D141:J141" si="102">if($O25="participating preferred with cap", if( ($G25 * D$173) &lt; $Q25 , min( $M25 , sumproduct(D$50:D$64,--($E$23:$E$37=$E25)) * $M25 / sumproduct($M$23:$M$37,--($E$23:$E$37=$E25)) ) , 0 ) , if($O25="full participating", iferror( min( $M25 , sumproduct(D$50:D$64,--($E$23:$E$37=$E25)) * $M25 / sumproduct($M$23:$M$37,--($E$23:$E$37=$E25)) ) ,0) , if(D123 &gt; 0 , 0 , iferror( min( $M25 , sumproduct(D$50:D$64,--($E$23:$E$37=$E25)) * $M25 / sumproduct($M$23:$M$37,--($E$23:$E$37=$E25)) ) ,0) ) ) )</f>
        <v>0</v>
      </c>
      <c r="E141" s="122">
        <f t="shared" si="102"/>
        <v>0</v>
      </c>
      <c r="F141" s="122">
        <f t="shared" si="102"/>
        <v>0</v>
      </c>
      <c r="G141" s="122">
        <f t="shared" si="102"/>
        <v>0</v>
      </c>
      <c r="H141" s="122">
        <f t="shared" si="102"/>
        <v>0</v>
      </c>
      <c r="I141" s="122">
        <f t="shared" si="102"/>
        <v>0</v>
      </c>
      <c r="J141" s="122">
        <f t="shared" si="102"/>
        <v>0</v>
      </c>
    </row>
    <row r="142">
      <c r="B142" s="86" t="str">
        <f t="shared" si="100"/>
        <v>Series G</v>
      </c>
      <c r="D142" s="122">
        <f t="shared" ref="D142:J142" si="103">if($O26="participating preferred with cap", if( ($G26 * D$173) &lt; $Q26 , min( $M26 , sumproduct(D$50:D$64,--($E$23:$E$37=$E26)) * $M26 / sumproduct($M$23:$M$37,--($E$23:$E$37=$E26)) ) , 0 ) , if($O26="full participating", iferror( min( $M26 , sumproduct(D$50:D$64,--($E$23:$E$37=$E26)) * $M26 / sumproduct($M$23:$M$37,--($E$23:$E$37=$E26)) ) ,0) , if(D124 &gt; 0 , 0 , iferror( min( $M26 , sumproduct(D$50:D$64,--($E$23:$E$37=$E26)) * $M26 / sumproduct($M$23:$M$37,--($E$23:$E$37=$E26)) ) ,0) ) ) )</f>
        <v>0</v>
      </c>
      <c r="E142" s="122">
        <f t="shared" si="103"/>
        <v>0</v>
      </c>
      <c r="F142" s="122">
        <f t="shared" si="103"/>
        <v>0</v>
      </c>
      <c r="G142" s="122">
        <f t="shared" si="103"/>
        <v>0</v>
      </c>
      <c r="H142" s="122">
        <f t="shared" si="103"/>
        <v>0</v>
      </c>
      <c r="I142" s="122">
        <f t="shared" si="103"/>
        <v>0</v>
      </c>
      <c r="J142" s="122">
        <f t="shared" si="103"/>
        <v>0</v>
      </c>
    </row>
    <row r="143">
      <c r="B143" s="86" t="str">
        <f t="shared" si="100"/>
        <v>Series F</v>
      </c>
      <c r="D143" s="122">
        <f t="shared" ref="D143:J143" si="104">if($O27="participating preferred with cap", if( ($G27 * D$173) &lt; $Q27 , min( $M27 , sumproduct(D$50:D$64,--($E$23:$E$37=$E27)) * $M27 / sumproduct($M$23:$M$37,--($E$23:$E$37=$E27)) ) , 0 ) , if($O27="full participating", iferror( min( $M27 , sumproduct(D$50:D$64,--($E$23:$E$37=$E27)) * $M27 / sumproduct($M$23:$M$37,--($E$23:$E$37=$E27)) ) ,0) , if(D125 &gt; 0 , 0 , iferror( min( $M27 , sumproduct(D$50:D$64,--($E$23:$E$37=$E27)) * $M27 / sumproduct($M$23:$M$37,--($E$23:$E$37=$E27)) ) ,0) ) ) )</f>
        <v>0</v>
      </c>
      <c r="E143" s="122">
        <f t="shared" si="104"/>
        <v>0</v>
      </c>
      <c r="F143" s="122">
        <f t="shared" si="104"/>
        <v>0</v>
      </c>
      <c r="G143" s="122">
        <f t="shared" si="104"/>
        <v>0</v>
      </c>
      <c r="H143" s="122">
        <f t="shared" si="104"/>
        <v>0</v>
      </c>
      <c r="I143" s="122">
        <f t="shared" si="104"/>
        <v>0</v>
      </c>
      <c r="J143" s="122">
        <f t="shared" si="104"/>
        <v>0</v>
      </c>
    </row>
    <row r="144">
      <c r="B144" s="86" t="str">
        <f t="shared" si="100"/>
        <v>Series E</v>
      </c>
      <c r="D144" s="122">
        <f t="shared" ref="D144:J144" si="105">if($O28="participating preferred with cap", if( ($G28 * D$173) &lt; $Q28 , min( $M28 , sumproduct(D$50:D$64,--($E$23:$E$37=$E28)) * $M28 / sumproduct($M$23:$M$37,--($E$23:$E$37=$E28)) ) , 0 ) , if($O28="full participating", iferror( min( $M28 , sumproduct(D$50:D$64,--($E$23:$E$37=$E28)) * $M28 / sumproduct($M$23:$M$37,--($E$23:$E$37=$E28)) ) ,0) , if(D126 &gt; 0 , 0 , iferror( min( $M28 , sumproduct(D$50:D$64,--($E$23:$E$37=$E28)) * $M28 / sumproduct($M$23:$M$37,--($E$23:$E$37=$E28)) ) ,0) ) ) )</f>
        <v>0</v>
      </c>
      <c r="E144" s="122">
        <f t="shared" si="105"/>
        <v>0</v>
      </c>
      <c r="F144" s="122">
        <f t="shared" si="105"/>
        <v>0</v>
      </c>
      <c r="G144" s="122">
        <f t="shared" si="105"/>
        <v>0</v>
      </c>
      <c r="H144" s="122">
        <f t="shared" si="105"/>
        <v>0</v>
      </c>
      <c r="I144" s="122">
        <f t="shared" si="105"/>
        <v>0</v>
      </c>
      <c r="J144" s="122">
        <f t="shared" si="105"/>
        <v>0</v>
      </c>
    </row>
    <row r="145">
      <c r="B145" s="86" t="str">
        <f t="shared" si="100"/>
        <v>Series D</v>
      </c>
      <c r="D145" s="122">
        <f t="shared" ref="D145:J145" si="106">if($O29="participating preferred with cap", if( ($G29 * D$173) &lt; $Q29 , min( $M29 , sumproduct(D$50:D$64,--($E$23:$E$37=$E29)) * $M29 / sumproduct($M$23:$M$37,--($E$23:$E$37=$E29)) ) , 0 ) , if($O29="full participating", iferror( min( $M29 , sumproduct(D$50:D$64,--($E$23:$E$37=$E29)) * $M29 / sumproduct($M$23:$M$37,--($E$23:$E$37=$E29)) ) ,0) , if(D127 &gt; 0 , 0 , iferror( min( $M29 , sumproduct(D$50:D$64,--($E$23:$E$37=$E29)) * $M29 / sumproduct($M$23:$M$37,--($E$23:$E$37=$E29)) ) ,0) ) ) )</f>
        <v>0</v>
      </c>
      <c r="E145" s="122">
        <f t="shared" si="106"/>
        <v>0</v>
      </c>
      <c r="F145" s="122">
        <f t="shared" si="106"/>
        <v>0</v>
      </c>
      <c r="G145" s="122">
        <f t="shared" si="106"/>
        <v>0</v>
      </c>
      <c r="H145" s="122">
        <f t="shared" si="106"/>
        <v>0</v>
      </c>
      <c r="I145" s="122">
        <f t="shared" si="106"/>
        <v>0</v>
      </c>
      <c r="J145" s="122">
        <f t="shared" si="106"/>
        <v>0</v>
      </c>
    </row>
    <row r="146">
      <c r="B146" s="86" t="str">
        <f t="shared" si="100"/>
        <v>Series C</v>
      </c>
      <c r="D146" s="122">
        <f t="shared" ref="D146:J146" si="107">if($O30="participating preferred with cap", if( ($G30 * D$173) &lt; $Q30 , min( $M30 , sumproduct(D$50:D$64,--($E$23:$E$37=$E30)) * $M30 / sumproduct($M$23:$M$37,--($E$23:$E$37=$E30)) ) , 0 ) , if($O30="full participating", iferror( min( $M30 , sumproduct(D$50:D$64,--($E$23:$E$37=$E30)) * $M30 / sumproduct($M$23:$M$37,--($E$23:$E$37=$E30)) ) ,0) , if(D128 &gt; 0 , 0 , iferror( min( $M30 , sumproduct(D$50:D$64,--($E$23:$E$37=$E30)) * $M30 / sumproduct($M$23:$M$37,--($E$23:$E$37=$E30)) ) ,0) ) ) )</f>
        <v>650000</v>
      </c>
      <c r="E146" s="122">
        <f t="shared" si="107"/>
        <v>650000</v>
      </c>
      <c r="F146" s="122">
        <f t="shared" si="107"/>
        <v>650000</v>
      </c>
      <c r="G146" s="122">
        <f t="shared" si="107"/>
        <v>650000</v>
      </c>
      <c r="H146" s="122">
        <f t="shared" si="107"/>
        <v>650000</v>
      </c>
      <c r="I146" s="122">
        <f t="shared" si="107"/>
        <v>650000</v>
      </c>
      <c r="J146" s="122">
        <f t="shared" si="107"/>
        <v>650000</v>
      </c>
    </row>
    <row r="147">
      <c r="B147" s="86" t="str">
        <f t="shared" si="100"/>
        <v>Series B</v>
      </c>
      <c r="D147" s="122">
        <f t="shared" ref="D147:J147" si="108">if($O31="participating preferred with cap", if( ($G31 * D$173) &lt; $Q31 , min( $M31 , sumproduct(D$50:D$64,--($E$23:$E$37=$E31)) * $M31 / sumproduct($M$23:$M$37,--($E$23:$E$37=$E31)) ) , 0 ) , if($O31="full participating", iferror( min( $M31 , sumproduct(D$50:D$64,--($E$23:$E$37=$E31)) * $M31 / sumproduct($M$23:$M$37,--($E$23:$E$37=$E31)) ) ,0) , if(D129 &gt; 0 , 0 , iferror( min( $M31 , sumproduct(D$50:D$64,--($E$23:$E$37=$E31)) * $M31 / sumproduct($M$23:$M$37,--($E$23:$E$37=$E31)) ) ,0) ) ) )</f>
        <v>1350000</v>
      </c>
      <c r="E147" s="122">
        <f t="shared" si="108"/>
        <v>2000000</v>
      </c>
      <c r="F147" s="122">
        <f t="shared" si="108"/>
        <v>2000000</v>
      </c>
      <c r="G147" s="122">
        <f t="shared" si="108"/>
        <v>2000000</v>
      </c>
      <c r="H147" s="122">
        <f t="shared" si="108"/>
        <v>2000000</v>
      </c>
      <c r="I147" s="122">
        <f t="shared" si="108"/>
        <v>2000000</v>
      </c>
      <c r="J147" s="122">
        <f t="shared" si="108"/>
        <v>2000000</v>
      </c>
    </row>
    <row r="148">
      <c r="B148" s="86" t="str">
        <f t="shared" si="100"/>
        <v>Series A</v>
      </c>
      <c r="D148" s="122">
        <f t="shared" ref="D148:J148" si="109">if($O32="participating preferred with cap", if( ($G32 * D$173) &lt; $Q32 , min( $M32 , sumproduct(D$50:D$64,--($E$23:$E$37=$E32)) * $M32 / sumproduct($M$23:$M$37,--($E$23:$E$37=$E32)) ) , 0 ) , if($O32="full participating", iferror( min( $M32 , sumproduct(D$50:D$64,--($E$23:$E$37=$E32)) * $M32 / sumproduct($M$23:$M$37,--($E$23:$E$37=$E32)) ) ,0) , if(D130 &gt; 0 , 0 , iferror( min( $M32 , sumproduct(D$50:D$64,--($E$23:$E$37=$E32)) * $M32 / sumproduct($M$23:$M$37,--($E$23:$E$37=$E32)) ) ,0) ) ) )</f>
        <v>0</v>
      </c>
      <c r="E148" s="122">
        <f t="shared" si="109"/>
        <v>350000</v>
      </c>
      <c r="F148" s="122">
        <f t="shared" si="109"/>
        <v>1000000</v>
      </c>
      <c r="G148" s="122">
        <f t="shared" si="109"/>
        <v>1000000</v>
      </c>
      <c r="H148" s="122">
        <f t="shared" si="109"/>
        <v>1000000</v>
      </c>
      <c r="I148" s="122">
        <f t="shared" si="109"/>
        <v>1000000</v>
      </c>
      <c r="J148" s="122">
        <f t="shared" si="109"/>
        <v>1000000</v>
      </c>
    </row>
    <row r="149">
      <c r="B149" s="86" t="str">
        <f t="shared" si="100"/>
        <v>Seed</v>
      </c>
      <c r="D149" s="122">
        <f t="shared" ref="D149:J149" si="110">if($O33="participating preferred with cap", if( ($G33 * D$173) &lt; $Q33 , min( $M33 , sumproduct(D$50:D$64,--($E$23:$E$37=$E33)) * $M33 / sumproduct($M$23:$M$37,--($E$23:$E$37=$E33)) ) , 0 ) , if($O33="full participating", iferror( min( $M33 , sumproduct(D$50:D$64,--($E$23:$E$37=$E33)) * $M33 / sumproduct($M$23:$M$37,--($E$23:$E$37=$E33)) ) ,0) , if(D131 &gt; 0 , 0 , iferror( min( $M33 , sumproduct(D$50:D$64,--($E$23:$E$37=$E33)) * $M33 / sumproduct($M$23:$M$37,--($E$23:$E$37=$E33)) ) ,0) ) ) )</f>
        <v>0</v>
      </c>
      <c r="E149" s="122">
        <f t="shared" si="110"/>
        <v>0</v>
      </c>
      <c r="F149" s="122">
        <f t="shared" si="110"/>
        <v>350000</v>
      </c>
      <c r="G149" s="122">
        <f t="shared" si="110"/>
        <v>500000</v>
      </c>
      <c r="H149" s="122">
        <f t="shared" si="110"/>
        <v>500000</v>
      </c>
      <c r="I149" s="122">
        <f t="shared" si="110"/>
        <v>500000</v>
      </c>
      <c r="J149" s="122">
        <f t="shared" si="110"/>
        <v>500000</v>
      </c>
    </row>
    <row r="150">
      <c r="B150" s="86" t="str">
        <f t="shared" si="100"/>
        <v>Common</v>
      </c>
      <c r="D150" s="122">
        <f t="shared" ref="D150:J150" si="111">if($O34="participating preferred with cap", if( ($G34 * D$173) &lt; $Q34 , min( $M34 , sumproduct(D$50:D$64,--($E$23:$E$37=$E34)) * $M34 / sumproduct($M$23:$M$37,--($E$23:$E$37=$E34)) ) , 0 ) , if($O34="full participating", iferror( min( $M34 , sumproduct(D$50:D$64,--($E$23:$E$37=$E34)) * $M34 / sumproduct($M$23:$M$37,--($E$23:$E$37=$E34)) ) ,0) , if(D132 &gt; 0 , 0 , iferror( min( $M34 , sumproduct(D$50:D$64,--($E$23:$E$37=$E34)) * $M34 / sumproduct($M$23:$M$37,--($E$23:$E$37=$E34)) ) ,0) ) ) )</f>
        <v>0</v>
      </c>
      <c r="E150" s="122">
        <f t="shared" si="111"/>
        <v>0</v>
      </c>
      <c r="F150" s="122">
        <f t="shared" si="111"/>
        <v>0</v>
      </c>
      <c r="G150" s="122">
        <f t="shared" si="111"/>
        <v>0</v>
      </c>
      <c r="H150" s="122">
        <f t="shared" si="111"/>
        <v>0</v>
      </c>
      <c r="I150" s="122">
        <f t="shared" si="111"/>
        <v>0</v>
      </c>
      <c r="J150" s="122">
        <f t="shared" si="111"/>
        <v>0</v>
      </c>
    </row>
    <row r="151">
      <c r="B151" s="86" t="str">
        <f t="shared" si="100"/>
        <v>Options</v>
      </c>
      <c r="D151" s="122">
        <f t="shared" ref="D151:J151" si="112">if($O35="participating preferred with cap", if( ($G35 * D$173) &lt; $Q35 , min( $M35 , sumproduct(D$50:D$64,--($E$23:$E$37=$E35)) * $M35 / sumproduct($M$23:$M$37,--($E$23:$E$37=$E35)) ) , 0 ) , if($O35="full participating", iferror( min( $M35 , sumproduct(D$50:D$64,--($E$23:$E$37=$E35)) * $M35 / sumproduct($M$23:$M$37,--($E$23:$E$37=$E35)) ) ,0) , if(D133 &gt; 0 , 0 , iferror( min( $M35 , sumproduct(D$50:D$64,--($E$23:$E$37=$E35)) * $M35 / sumproduct($M$23:$M$37,--($E$23:$E$37=$E35)) ) ,0) ) ) )</f>
        <v>0</v>
      </c>
      <c r="E151" s="122">
        <f t="shared" si="112"/>
        <v>0</v>
      </c>
      <c r="F151" s="122">
        <f t="shared" si="112"/>
        <v>0</v>
      </c>
      <c r="G151" s="122">
        <f t="shared" si="112"/>
        <v>0</v>
      </c>
      <c r="H151" s="122">
        <f t="shared" si="112"/>
        <v>0</v>
      </c>
      <c r="I151" s="122">
        <f t="shared" si="112"/>
        <v>0</v>
      </c>
      <c r="J151" s="122">
        <f t="shared" si="112"/>
        <v>0</v>
      </c>
    </row>
    <row r="152">
      <c r="B152" s="86" t="str">
        <f t="shared" si="100"/>
        <v>Options</v>
      </c>
      <c r="D152" s="122">
        <f t="shared" ref="D152:J152" si="113">if($O36="participating preferred with cap", if( ($G36 * D$173) &lt; $Q36 , min( $M36 , sumproduct(D$50:D$64,--($E$23:$E$37=$E36)) * $M36 / sumproduct($M$23:$M$37,--($E$23:$E$37=$E36)) ) , 0 ) , if($O36="full participating", iferror( min( $M36 , sumproduct(D$50:D$64,--($E$23:$E$37=$E36)) * $M36 / sumproduct($M$23:$M$37,--($E$23:$E$37=$E36)) ) ,0) , if(D134 &gt; 0 , 0 , iferror( min( $M36 , sumproduct(D$50:D$64,--($E$23:$E$37=$E36)) * $M36 / sumproduct($M$23:$M$37,--($E$23:$E$37=$E36)) ) ,0) ) ) )</f>
        <v>0</v>
      </c>
      <c r="E152" s="122">
        <f t="shared" si="113"/>
        <v>0</v>
      </c>
      <c r="F152" s="122">
        <f t="shared" si="113"/>
        <v>0</v>
      </c>
      <c r="G152" s="122">
        <f t="shared" si="113"/>
        <v>0</v>
      </c>
      <c r="H152" s="122">
        <f t="shared" si="113"/>
        <v>0</v>
      </c>
      <c r="I152" s="122">
        <f t="shared" si="113"/>
        <v>0</v>
      </c>
      <c r="J152" s="122">
        <f t="shared" si="113"/>
        <v>0</v>
      </c>
    </row>
    <row r="153">
      <c r="B153" s="86" t="str">
        <f t="shared" si="100"/>
        <v>Warrants</v>
      </c>
      <c r="D153" s="122">
        <f t="shared" ref="D153:J153" si="114">if($O37="participating preferred with cap", if( ($G37 * D$173) &lt; $Q37 , min( $M37 , sumproduct(D$50:D$64,--($E$23:$E$37=$E37)) * $M37 / sumproduct($M$23:$M$37,--($E$23:$E$37=$E37)) ) , 0 ) , if($O37="full participating", iferror( min( $M37 , sumproduct(D$50:D$64,--($E$23:$E$37=$E37)) * $M37 / sumproduct($M$23:$M$37,--($E$23:$E$37=$E37)) ) ,0) , if(D135 &gt; 0 , 0 , iferror( min( $M37 , sumproduct(D$50:D$64,--($E$23:$E$37=$E37)) * $M37 / sumproduct($M$23:$M$37,--($E$23:$E$37=$E37)) ) ,0) ) ) )</f>
        <v>0</v>
      </c>
      <c r="E153" s="122">
        <f t="shared" si="114"/>
        <v>0</v>
      </c>
      <c r="F153" s="122">
        <f t="shared" si="114"/>
        <v>0</v>
      </c>
      <c r="G153" s="122">
        <f t="shared" si="114"/>
        <v>0</v>
      </c>
      <c r="H153" s="122">
        <f t="shared" si="114"/>
        <v>0</v>
      </c>
      <c r="I153" s="122">
        <f t="shared" si="114"/>
        <v>0</v>
      </c>
      <c r="J153" s="122">
        <f t="shared" si="114"/>
        <v>0</v>
      </c>
    </row>
    <row r="154">
      <c r="B154" s="124" t="s">
        <v>103</v>
      </c>
      <c r="C154" s="131" t="str">
        <f>B138</f>
        <v>Distributions to Liquidation Preferences</v>
      </c>
      <c r="D154" s="117">
        <f t="shared" ref="D154:J154" si="115">sum(D139:D153)</f>
        <v>2000000</v>
      </c>
      <c r="E154" s="117">
        <f t="shared" si="115"/>
        <v>3000000</v>
      </c>
      <c r="F154" s="117">
        <f t="shared" si="115"/>
        <v>4000000</v>
      </c>
      <c r="G154" s="117">
        <f t="shared" si="115"/>
        <v>4150000</v>
      </c>
      <c r="H154" s="117">
        <f t="shared" si="115"/>
        <v>4150000</v>
      </c>
      <c r="I154" s="117">
        <f t="shared" si="115"/>
        <v>4150000</v>
      </c>
      <c r="J154" s="117">
        <f t="shared" si="115"/>
        <v>4150000</v>
      </c>
    </row>
    <row r="155">
      <c r="B155" s="86"/>
      <c r="D155" s="122"/>
      <c r="E155" s="122"/>
      <c r="F155" s="122"/>
      <c r="G155" s="122"/>
      <c r="H155" s="122"/>
      <c r="I155" s="122"/>
      <c r="J155" s="122"/>
    </row>
    <row r="156">
      <c r="B156" s="125" t="s">
        <v>242</v>
      </c>
      <c r="D156" s="122"/>
      <c r="E156" s="122"/>
      <c r="F156" s="122"/>
      <c r="G156" s="122"/>
      <c r="H156" s="122"/>
      <c r="I156" s="122"/>
      <c r="J156" s="122"/>
    </row>
    <row r="157">
      <c r="B157" s="86" t="str">
        <f t="shared" ref="B157:B171" si="117">B23</f>
        <v>Series J</v>
      </c>
      <c r="D157" s="122">
        <f t="shared" ref="D157:J157" si="116">iferror( max( 0 , D121 / D$136 * D$172 ), 0 )</f>
        <v>0</v>
      </c>
      <c r="E157" s="122">
        <f t="shared" si="116"/>
        <v>0</v>
      </c>
      <c r="F157" s="122">
        <f t="shared" si="116"/>
        <v>0</v>
      </c>
      <c r="G157" s="122">
        <f t="shared" si="116"/>
        <v>0</v>
      </c>
      <c r="H157" s="122">
        <f t="shared" si="116"/>
        <v>0</v>
      </c>
      <c r="I157" s="122">
        <f t="shared" si="116"/>
        <v>0</v>
      </c>
      <c r="J157" s="122">
        <f t="shared" si="116"/>
        <v>0</v>
      </c>
    </row>
    <row r="158">
      <c r="B158" s="86" t="str">
        <f t="shared" si="117"/>
        <v>Series I</v>
      </c>
      <c r="D158" s="122">
        <f t="shared" ref="D158:J158" si="118">iferror( max( 0 , D122 / D$136 * D$172 ), 0 )</f>
        <v>0</v>
      </c>
      <c r="E158" s="122">
        <f t="shared" si="118"/>
        <v>0</v>
      </c>
      <c r="F158" s="122">
        <f t="shared" si="118"/>
        <v>0</v>
      </c>
      <c r="G158" s="122">
        <f t="shared" si="118"/>
        <v>0</v>
      </c>
      <c r="H158" s="122">
        <f t="shared" si="118"/>
        <v>0</v>
      </c>
      <c r="I158" s="122">
        <f t="shared" si="118"/>
        <v>0</v>
      </c>
      <c r="J158" s="122">
        <f t="shared" si="118"/>
        <v>0</v>
      </c>
    </row>
    <row r="159">
      <c r="B159" s="86" t="str">
        <f t="shared" si="117"/>
        <v>Series H</v>
      </c>
      <c r="D159" s="122">
        <f t="shared" ref="D159:J159" si="119">iferror( max( 0 , D123 / D$136 * D$172 ), 0 )</f>
        <v>0</v>
      </c>
      <c r="E159" s="122">
        <f t="shared" si="119"/>
        <v>0</v>
      </c>
      <c r="F159" s="122">
        <f t="shared" si="119"/>
        <v>0</v>
      </c>
      <c r="G159" s="122">
        <f t="shared" si="119"/>
        <v>0</v>
      </c>
      <c r="H159" s="122">
        <f t="shared" si="119"/>
        <v>0</v>
      </c>
      <c r="I159" s="122">
        <f t="shared" si="119"/>
        <v>0</v>
      </c>
      <c r="J159" s="122">
        <f t="shared" si="119"/>
        <v>0</v>
      </c>
    </row>
    <row r="160">
      <c r="B160" s="86" t="str">
        <f t="shared" si="117"/>
        <v>Series G</v>
      </c>
      <c r="D160" s="122">
        <f t="shared" ref="D160:J160" si="120">iferror( max( 0 , D124 / D$136 * D$172 ), 0 )</f>
        <v>0</v>
      </c>
      <c r="E160" s="122">
        <f t="shared" si="120"/>
        <v>0</v>
      </c>
      <c r="F160" s="122">
        <f t="shared" si="120"/>
        <v>0</v>
      </c>
      <c r="G160" s="122">
        <f t="shared" si="120"/>
        <v>0</v>
      </c>
      <c r="H160" s="122">
        <f t="shared" si="120"/>
        <v>0</v>
      </c>
      <c r="I160" s="122">
        <f t="shared" si="120"/>
        <v>0</v>
      </c>
      <c r="J160" s="122">
        <f t="shared" si="120"/>
        <v>0</v>
      </c>
    </row>
    <row r="161">
      <c r="B161" s="86" t="str">
        <f t="shared" si="117"/>
        <v>Series F</v>
      </c>
      <c r="D161" s="122">
        <f t="shared" ref="D161:J161" si="121">iferror( max( 0 , D125 / D$136 * D$172 ), 0 )</f>
        <v>0</v>
      </c>
      <c r="E161" s="122">
        <f t="shared" si="121"/>
        <v>0</v>
      </c>
      <c r="F161" s="122">
        <f t="shared" si="121"/>
        <v>0</v>
      </c>
      <c r="G161" s="122">
        <f t="shared" si="121"/>
        <v>0</v>
      </c>
      <c r="H161" s="122">
        <f t="shared" si="121"/>
        <v>0</v>
      </c>
      <c r="I161" s="122">
        <f t="shared" si="121"/>
        <v>0</v>
      </c>
      <c r="J161" s="122">
        <f t="shared" si="121"/>
        <v>0</v>
      </c>
    </row>
    <row r="162">
      <c r="B162" s="86" t="str">
        <f t="shared" si="117"/>
        <v>Series E</v>
      </c>
      <c r="D162" s="122">
        <f t="shared" ref="D162:J162" si="122">iferror( max( 0 , D126 / D$136 * D$172 ), 0 )</f>
        <v>0</v>
      </c>
      <c r="E162" s="122">
        <f t="shared" si="122"/>
        <v>0</v>
      </c>
      <c r="F162" s="122">
        <f t="shared" si="122"/>
        <v>0</v>
      </c>
      <c r="G162" s="122">
        <f t="shared" si="122"/>
        <v>0</v>
      </c>
      <c r="H162" s="122">
        <f t="shared" si="122"/>
        <v>0</v>
      </c>
      <c r="I162" s="122">
        <f t="shared" si="122"/>
        <v>0</v>
      </c>
      <c r="J162" s="122">
        <f t="shared" si="122"/>
        <v>0</v>
      </c>
    </row>
    <row r="163">
      <c r="B163" s="86" t="str">
        <f t="shared" si="117"/>
        <v>Series D</v>
      </c>
      <c r="D163" s="122">
        <f t="shared" ref="D163:J163" si="123">iferror( max( 0 , D127 / D$136 * D$172 ), 0 )</f>
        <v>0</v>
      </c>
      <c r="E163" s="122">
        <f t="shared" si="123"/>
        <v>0</v>
      </c>
      <c r="F163" s="122">
        <f t="shared" si="123"/>
        <v>0</v>
      </c>
      <c r="G163" s="122">
        <f t="shared" si="123"/>
        <v>0</v>
      </c>
      <c r="H163" s="122">
        <f t="shared" si="123"/>
        <v>0</v>
      </c>
      <c r="I163" s="122">
        <f t="shared" si="123"/>
        <v>0</v>
      </c>
      <c r="J163" s="122">
        <f t="shared" si="123"/>
        <v>0</v>
      </c>
    </row>
    <row r="164">
      <c r="B164" s="86" t="str">
        <f t="shared" si="117"/>
        <v>Series C</v>
      </c>
      <c r="D164" s="122">
        <f t="shared" ref="D164:J164" si="124">iferror( max( 0 , D128 / D$136 * D$172 ), 0 )</f>
        <v>0</v>
      </c>
      <c r="E164" s="122">
        <f t="shared" si="124"/>
        <v>0</v>
      </c>
      <c r="F164" s="122">
        <f t="shared" si="124"/>
        <v>0</v>
      </c>
      <c r="G164" s="122">
        <f t="shared" si="124"/>
        <v>0</v>
      </c>
      <c r="H164" s="122">
        <f t="shared" si="124"/>
        <v>0</v>
      </c>
      <c r="I164" s="122">
        <f t="shared" si="124"/>
        <v>0</v>
      </c>
      <c r="J164" s="122">
        <f t="shared" si="124"/>
        <v>0</v>
      </c>
    </row>
    <row r="165">
      <c r="B165" s="86" t="str">
        <f t="shared" si="117"/>
        <v>Series B</v>
      </c>
      <c r="D165" s="122">
        <f t="shared" ref="D165:J165" si="125">iferror( max( 0 , D129 / D$136 * D$172 ), 0 )</f>
        <v>0</v>
      </c>
      <c r="E165" s="122">
        <f t="shared" si="125"/>
        <v>0</v>
      </c>
      <c r="F165" s="122">
        <f t="shared" si="125"/>
        <v>0</v>
      </c>
      <c r="G165" s="122">
        <f t="shared" si="125"/>
        <v>0</v>
      </c>
      <c r="H165" s="122">
        <f t="shared" si="125"/>
        <v>0</v>
      </c>
      <c r="I165" s="122">
        <f t="shared" si="125"/>
        <v>0</v>
      </c>
      <c r="J165" s="122">
        <f t="shared" si="125"/>
        <v>0</v>
      </c>
    </row>
    <row r="166">
      <c r="B166" s="86" t="str">
        <f t="shared" si="117"/>
        <v>Series A</v>
      </c>
      <c r="D166" s="122">
        <f t="shared" ref="D166:J166" si="126">iferror( max( 0 , D130 / D$136 * D$172 ), 0 )</f>
        <v>0</v>
      </c>
      <c r="E166" s="122">
        <f t="shared" si="126"/>
        <v>0</v>
      </c>
      <c r="F166" s="122">
        <f t="shared" si="126"/>
        <v>0</v>
      </c>
      <c r="G166" s="122">
        <f t="shared" si="126"/>
        <v>0</v>
      </c>
      <c r="H166" s="122">
        <f t="shared" si="126"/>
        <v>0</v>
      </c>
      <c r="I166" s="122">
        <f t="shared" si="126"/>
        <v>0</v>
      </c>
      <c r="J166" s="122">
        <f t="shared" si="126"/>
        <v>0</v>
      </c>
    </row>
    <row r="167">
      <c r="B167" s="86" t="str">
        <f t="shared" si="117"/>
        <v>Seed</v>
      </c>
      <c r="D167" s="122">
        <f t="shared" ref="D167:J167" si="127">iferror( max( 0 , D131 / D$136 * D$172 ), 0 )</f>
        <v>0</v>
      </c>
      <c r="E167" s="122">
        <f t="shared" si="127"/>
        <v>0</v>
      </c>
      <c r="F167" s="122">
        <f t="shared" si="127"/>
        <v>0</v>
      </c>
      <c r="G167" s="122">
        <f t="shared" si="127"/>
        <v>0</v>
      </c>
      <c r="H167" s="122">
        <f t="shared" si="127"/>
        <v>0</v>
      </c>
      <c r="I167" s="122">
        <f t="shared" si="127"/>
        <v>0</v>
      </c>
      <c r="J167" s="122">
        <f t="shared" si="127"/>
        <v>0</v>
      </c>
    </row>
    <row r="168">
      <c r="B168" s="86" t="str">
        <f t="shared" si="117"/>
        <v>Common</v>
      </c>
      <c r="D168" s="122">
        <f t="shared" ref="D168:J168" si="128">iferror( max( 0 , D132 / D$136 * D$172 ), 0 )</f>
        <v>0</v>
      </c>
      <c r="E168" s="122">
        <f t="shared" si="128"/>
        <v>0</v>
      </c>
      <c r="F168" s="122">
        <f t="shared" si="128"/>
        <v>0</v>
      </c>
      <c r="G168" s="122">
        <f t="shared" si="128"/>
        <v>0</v>
      </c>
      <c r="H168" s="122">
        <f t="shared" si="128"/>
        <v>0</v>
      </c>
      <c r="I168" s="122">
        <f t="shared" si="128"/>
        <v>0</v>
      </c>
      <c r="J168" s="122">
        <f t="shared" si="128"/>
        <v>0</v>
      </c>
    </row>
    <row r="169">
      <c r="B169" s="86" t="str">
        <f t="shared" si="117"/>
        <v>Options</v>
      </c>
      <c r="D169" s="122">
        <f t="shared" ref="D169:J169" si="129">iferror( max( 0 , D133 / D$136 * D$172 ), 0 )</f>
        <v>0</v>
      </c>
      <c r="E169" s="122">
        <f t="shared" si="129"/>
        <v>0</v>
      </c>
      <c r="F169" s="122">
        <f t="shared" si="129"/>
        <v>0</v>
      </c>
      <c r="G169" s="122">
        <f t="shared" si="129"/>
        <v>0</v>
      </c>
      <c r="H169" s="122">
        <f t="shared" si="129"/>
        <v>0</v>
      </c>
      <c r="I169" s="122">
        <f t="shared" si="129"/>
        <v>0</v>
      </c>
      <c r="J169" s="122">
        <f t="shared" si="129"/>
        <v>0</v>
      </c>
    </row>
    <row r="170">
      <c r="B170" s="86" t="str">
        <f t="shared" si="117"/>
        <v>Options</v>
      </c>
      <c r="D170" s="122">
        <f t="shared" ref="D170:J170" si="130">iferror( max( 0 , D134 / D$136 * D$172 ), 0 )</f>
        <v>0</v>
      </c>
      <c r="E170" s="122">
        <f t="shared" si="130"/>
        <v>0</v>
      </c>
      <c r="F170" s="122">
        <f t="shared" si="130"/>
        <v>0</v>
      </c>
      <c r="G170" s="122">
        <f t="shared" si="130"/>
        <v>0</v>
      </c>
      <c r="H170" s="122">
        <f t="shared" si="130"/>
        <v>0</v>
      </c>
      <c r="I170" s="122">
        <f t="shared" si="130"/>
        <v>0</v>
      </c>
      <c r="J170" s="122">
        <f t="shared" si="130"/>
        <v>0</v>
      </c>
    </row>
    <row r="171">
      <c r="B171" s="86" t="str">
        <f t="shared" si="117"/>
        <v>Warrants</v>
      </c>
      <c r="D171" s="122">
        <f t="shared" ref="D171:J171" si="131">iferror( max( 0 , D135 / D$136 * D$172 ), 0 )</f>
        <v>0</v>
      </c>
      <c r="E171" s="122">
        <f t="shared" si="131"/>
        <v>0</v>
      </c>
      <c r="F171" s="122">
        <f t="shared" si="131"/>
        <v>0</v>
      </c>
      <c r="G171" s="122">
        <f t="shared" si="131"/>
        <v>0</v>
      </c>
      <c r="H171" s="122">
        <f t="shared" si="131"/>
        <v>0</v>
      </c>
      <c r="I171" s="122">
        <f t="shared" si="131"/>
        <v>0</v>
      </c>
      <c r="J171" s="122">
        <f t="shared" si="131"/>
        <v>0</v>
      </c>
    </row>
    <row r="172">
      <c r="B172" s="124" t="s">
        <v>103</v>
      </c>
      <c r="C172" s="132" t="str">
        <f>B156</f>
        <v>Distributions to Common</v>
      </c>
      <c r="D172" s="117">
        <f t="shared" ref="D172:J172" si="132">iferror(max(0,D46-D154),0)</f>
        <v>0</v>
      </c>
      <c r="E172" s="117">
        <f t="shared" si="132"/>
        <v>0</v>
      </c>
      <c r="F172" s="117">
        <f t="shared" si="132"/>
        <v>0</v>
      </c>
      <c r="G172" s="117">
        <f t="shared" si="132"/>
        <v>850000</v>
      </c>
      <c r="H172" s="117">
        <f t="shared" si="132"/>
        <v>5850000</v>
      </c>
      <c r="I172" s="117">
        <f t="shared" si="132"/>
        <v>15850000</v>
      </c>
      <c r="J172" s="117">
        <f t="shared" si="132"/>
        <v>35850000</v>
      </c>
    </row>
    <row r="173">
      <c r="B173" s="124" t="s">
        <v>243</v>
      </c>
      <c r="D173" s="133">
        <f t="shared" ref="D173:J173" si="133">iferror( D172/D136 , 0)</f>
        <v>0</v>
      </c>
      <c r="E173" s="133">
        <f t="shared" si="133"/>
        <v>0</v>
      </c>
      <c r="F173" s="133">
        <f t="shared" si="133"/>
        <v>0</v>
      </c>
      <c r="G173" s="133">
        <f t="shared" si="133"/>
        <v>0</v>
      </c>
      <c r="H173" s="133">
        <f t="shared" si="133"/>
        <v>0</v>
      </c>
      <c r="I173" s="133">
        <f t="shared" si="133"/>
        <v>0</v>
      </c>
      <c r="J173" s="133">
        <f t="shared" si="133"/>
        <v>0</v>
      </c>
    </row>
    <row r="174">
      <c r="B174" s="86"/>
      <c r="D174" s="122"/>
      <c r="E174" s="122"/>
      <c r="F174" s="122"/>
      <c r="G174" s="122"/>
      <c r="H174" s="122"/>
      <c r="I174" s="122"/>
      <c r="J174" s="122"/>
    </row>
    <row r="175">
      <c r="B175" s="125" t="s">
        <v>244</v>
      </c>
      <c r="D175" s="134">
        <f t="shared" ref="D175:J175" si="134">sum(D176:D190)</f>
        <v>2000000</v>
      </c>
      <c r="E175" s="134">
        <f t="shared" si="134"/>
        <v>3000000</v>
      </c>
      <c r="F175" s="134">
        <f t="shared" si="134"/>
        <v>4000000</v>
      </c>
      <c r="G175" s="134">
        <f t="shared" si="134"/>
        <v>4150000</v>
      </c>
      <c r="H175" s="134">
        <f t="shared" si="134"/>
        <v>4150000</v>
      </c>
      <c r="I175" s="134">
        <f t="shared" si="134"/>
        <v>4150000</v>
      </c>
      <c r="J175" s="134">
        <f t="shared" si="134"/>
        <v>4150000</v>
      </c>
    </row>
    <row r="176">
      <c r="B176" s="86" t="str">
        <f t="shared" ref="B176:B190" si="136">B23</f>
        <v>Series J</v>
      </c>
      <c r="D176" s="130">
        <f t="shared" ref="D176:J176" si="135">D139+D157</f>
        <v>0</v>
      </c>
      <c r="E176" s="130">
        <f t="shared" si="135"/>
        <v>0</v>
      </c>
      <c r="F176" s="130">
        <f t="shared" si="135"/>
        <v>0</v>
      </c>
      <c r="G176" s="130">
        <f t="shared" si="135"/>
        <v>0</v>
      </c>
      <c r="H176" s="130">
        <f t="shared" si="135"/>
        <v>0</v>
      </c>
      <c r="I176" s="130">
        <f t="shared" si="135"/>
        <v>0</v>
      </c>
      <c r="J176" s="130">
        <f t="shared" si="135"/>
        <v>0</v>
      </c>
    </row>
    <row r="177">
      <c r="B177" s="86" t="str">
        <f t="shared" si="136"/>
        <v>Series I</v>
      </c>
      <c r="D177" s="130">
        <f t="shared" ref="D177:J177" si="137">D140+D158</f>
        <v>0</v>
      </c>
      <c r="E177" s="130">
        <f t="shared" si="137"/>
        <v>0</v>
      </c>
      <c r="F177" s="130">
        <f t="shared" si="137"/>
        <v>0</v>
      </c>
      <c r="G177" s="130">
        <f t="shared" si="137"/>
        <v>0</v>
      </c>
      <c r="H177" s="130">
        <f t="shared" si="137"/>
        <v>0</v>
      </c>
      <c r="I177" s="130">
        <f t="shared" si="137"/>
        <v>0</v>
      </c>
      <c r="J177" s="130">
        <f t="shared" si="137"/>
        <v>0</v>
      </c>
    </row>
    <row r="178">
      <c r="B178" s="86" t="str">
        <f t="shared" si="136"/>
        <v>Series H</v>
      </c>
      <c r="D178" s="130">
        <f t="shared" ref="D178:J178" si="138">D141+D159</f>
        <v>0</v>
      </c>
      <c r="E178" s="130">
        <f t="shared" si="138"/>
        <v>0</v>
      </c>
      <c r="F178" s="130">
        <f t="shared" si="138"/>
        <v>0</v>
      </c>
      <c r="G178" s="130">
        <f t="shared" si="138"/>
        <v>0</v>
      </c>
      <c r="H178" s="130">
        <f t="shared" si="138"/>
        <v>0</v>
      </c>
      <c r="I178" s="130">
        <f t="shared" si="138"/>
        <v>0</v>
      </c>
      <c r="J178" s="130">
        <f t="shared" si="138"/>
        <v>0</v>
      </c>
    </row>
    <row r="179">
      <c r="B179" s="86" t="str">
        <f t="shared" si="136"/>
        <v>Series G</v>
      </c>
      <c r="D179" s="130">
        <f t="shared" ref="D179:J179" si="139">D142+D160</f>
        <v>0</v>
      </c>
      <c r="E179" s="130">
        <f t="shared" si="139"/>
        <v>0</v>
      </c>
      <c r="F179" s="130">
        <f t="shared" si="139"/>
        <v>0</v>
      </c>
      <c r="G179" s="130">
        <f t="shared" si="139"/>
        <v>0</v>
      </c>
      <c r="H179" s="130">
        <f t="shared" si="139"/>
        <v>0</v>
      </c>
      <c r="I179" s="130">
        <f t="shared" si="139"/>
        <v>0</v>
      </c>
      <c r="J179" s="130">
        <f t="shared" si="139"/>
        <v>0</v>
      </c>
    </row>
    <row r="180">
      <c r="B180" s="86" t="str">
        <f t="shared" si="136"/>
        <v>Series F</v>
      </c>
      <c r="D180" s="130">
        <f t="shared" ref="D180:J180" si="140">D143+D161</f>
        <v>0</v>
      </c>
      <c r="E180" s="130">
        <f t="shared" si="140"/>
        <v>0</v>
      </c>
      <c r="F180" s="130">
        <f t="shared" si="140"/>
        <v>0</v>
      </c>
      <c r="G180" s="130">
        <f t="shared" si="140"/>
        <v>0</v>
      </c>
      <c r="H180" s="130">
        <f t="shared" si="140"/>
        <v>0</v>
      </c>
      <c r="I180" s="130">
        <f t="shared" si="140"/>
        <v>0</v>
      </c>
      <c r="J180" s="130">
        <f t="shared" si="140"/>
        <v>0</v>
      </c>
    </row>
    <row r="181">
      <c r="B181" s="86" t="str">
        <f t="shared" si="136"/>
        <v>Series E</v>
      </c>
      <c r="D181" s="130">
        <f t="shared" ref="D181:J181" si="141">D144+D162</f>
        <v>0</v>
      </c>
      <c r="E181" s="130">
        <f t="shared" si="141"/>
        <v>0</v>
      </c>
      <c r="F181" s="130">
        <f t="shared" si="141"/>
        <v>0</v>
      </c>
      <c r="G181" s="130">
        <f t="shared" si="141"/>
        <v>0</v>
      </c>
      <c r="H181" s="130">
        <f t="shared" si="141"/>
        <v>0</v>
      </c>
      <c r="I181" s="130">
        <f t="shared" si="141"/>
        <v>0</v>
      </c>
      <c r="J181" s="130">
        <f t="shared" si="141"/>
        <v>0</v>
      </c>
    </row>
    <row r="182">
      <c r="B182" s="86" t="str">
        <f t="shared" si="136"/>
        <v>Series D</v>
      </c>
      <c r="D182" s="130">
        <f t="shared" ref="D182:J182" si="142">D145+D163</f>
        <v>0</v>
      </c>
      <c r="E182" s="130">
        <f t="shared" si="142"/>
        <v>0</v>
      </c>
      <c r="F182" s="130">
        <f t="shared" si="142"/>
        <v>0</v>
      </c>
      <c r="G182" s="130">
        <f t="shared" si="142"/>
        <v>0</v>
      </c>
      <c r="H182" s="130">
        <f t="shared" si="142"/>
        <v>0</v>
      </c>
      <c r="I182" s="130">
        <f t="shared" si="142"/>
        <v>0</v>
      </c>
      <c r="J182" s="130">
        <f t="shared" si="142"/>
        <v>0</v>
      </c>
    </row>
    <row r="183">
      <c r="B183" s="86" t="str">
        <f t="shared" si="136"/>
        <v>Series C</v>
      </c>
      <c r="D183" s="130">
        <f t="shared" ref="D183:J183" si="143">D146+D164</f>
        <v>650000</v>
      </c>
      <c r="E183" s="130">
        <f t="shared" si="143"/>
        <v>650000</v>
      </c>
      <c r="F183" s="130">
        <f t="shared" si="143"/>
        <v>650000</v>
      </c>
      <c r="G183" s="130">
        <f t="shared" si="143"/>
        <v>650000</v>
      </c>
      <c r="H183" s="130">
        <f t="shared" si="143"/>
        <v>650000</v>
      </c>
      <c r="I183" s="130">
        <f t="shared" si="143"/>
        <v>650000</v>
      </c>
      <c r="J183" s="130">
        <f t="shared" si="143"/>
        <v>650000</v>
      </c>
    </row>
    <row r="184">
      <c r="B184" s="86" t="str">
        <f t="shared" si="136"/>
        <v>Series B</v>
      </c>
      <c r="D184" s="130">
        <f t="shared" ref="D184:J184" si="144">D147+D165</f>
        <v>1350000</v>
      </c>
      <c r="E184" s="130">
        <f t="shared" si="144"/>
        <v>2000000</v>
      </c>
      <c r="F184" s="130">
        <f t="shared" si="144"/>
        <v>2000000</v>
      </c>
      <c r="G184" s="130">
        <f t="shared" si="144"/>
        <v>2000000</v>
      </c>
      <c r="H184" s="130">
        <f t="shared" si="144"/>
        <v>2000000</v>
      </c>
      <c r="I184" s="130">
        <f t="shared" si="144"/>
        <v>2000000</v>
      </c>
      <c r="J184" s="130">
        <f t="shared" si="144"/>
        <v>2000000</v>
      </c>
    </row>
    <row r="185">
      <c r="B185" s="86" t="str">
        <f t="shared" si="136"/>
        <v>Series A</v>
      </c>
      <c r="D185" s="130">
        <f t="shared" ref="D185:J185" si="145">D148+D166</f>
        <v>0</v>
      </c>
      <c r="E185" s="130">
        <f t="shared" si="145"/>
        <v>350000</v>
      </c>
      <c r="F185" s="130">
        <f t="shared" si="145"/>
        <v>1000000</v>
      </c>
      <c r="G185" s="130">
        <f t="shared" si="145"/>
        <v>1000000</v>
      </c>
      <c r="H185" s="130">
        <f t="shared" si="145"/>
        <v>1000000</v>
      </c>
      <c r="I185" s="130">
        <f t="shared" si="145"/>
        <v>1000000</v>
      </c>
      <c r="J185" s="130">
        <f t="shared" si="145"/>
        <v>1000000</v>
      </c>
    </row>
    <row r="186">
      <c r="B186" s="86" t="str">
        <f t="shared" si="136"/>
        <v>Seed</v>
      </c>
      <c r="D186" s="130">
        <f t="shared" ref="D186:J186" si="146">D149+D167</f>
        <v>0</v>
      </c>
      <c r="E186" s="130">
        <f t="shared" si="146"/>
        <v>0</v>
      </c>
      <c r="F186" s="130">
        <f t="shared" si="146"/>
        <v>350000</v>
      </c>
      <c r="G186" s="130">
        <f t="shared" si="146"/>
        <v>500000</v>
      </c>
      <c r="H186" s="130">
        <f t="shared" si="146"/>
        <v>500000</v>
      </c>
      <c r="I186" s="130">
        <f t="shared" si="146"/>
        <v>500000</v>
      </c>
      <c r="J186" s="130">
        <f t="shared" si="146"/>
        <v>500000</v>
      </c>
    </row>
    <row r="187">
      <c r="B187" s="86" t="str">
        <f t="shared" si="136"/>
        <v>Common</v>
      </c>
      <c r="D187" s="130">
        <f t="shared" ref="D187:J187" si="147">D150+D168</f>
        <v>0</v>
      </c>
      <c r="E187" s="130">
        <f t="shared" si="147"/>
        <v>0</v>
      </c>
      <c r="F187" s="130">
        <f t="shared" si="147"/>
        <v>0</v>
      </c>
      <c r="G187" s="130">
        <f t="shared" si="147"/>
        <v>0</v>
      </c>
      <c r="H187" s="130">
        <f t="shared" si="147"/>
        <v>0</v>
      </c>
      <c r="I187" s="130">
        <f t="shared" si="147"/>
        <v>0</v>
      </c>
      <c r="J187" s="130">
        <f t="shared" si="147"/>
        <v>0</v>
      </c>
    </row>
    <row r="188">
      <c r="B188" s="86" t="str">
        <f t="shared" si="136"/>
        <v>Options</v>
      </c>
      <c r="D188" s="130">
        <f t="shared" ref="D188:J188" si="148">D151+D169</f>
        <v>0</v>
      </c>
      <c r="E188" s="130">
        <f t="shared" si="148"/>
        <v>0</v>
      </c>
      <c r="F188" s="130">
        <f t="shared" si="148"/>
        <v>0</v>
      </c>
      <c r="G188" s="130">
        <f t="shared" si="148"/>
        <v>0</v>
      </c>
      <c r="H188" s="130">
        <f t="shared" si="148"/>
        <v>0</v>
      </c>
      <c r="I188" s="130">
        <f t="shared" si="148"/>
        <v>0</v>
      </c>
      <c r="J188" s="130">
        <f t="shared" si="148"/>
        <v>0</v>
      </c>
    </row>
    <row r="189">
      <c r="B189" s="86" t="str">
        <f t="shared" si="136"/>
        <v>Options</v>
      </c>
      <c r="D189" s="130">
        <f t="shared" ref="D189:J189" si="149">D152+D170</f>
        <v>0</v>
      </c>
      <c r="E189" s="130">
        <f t="shared" si="149"/>
        <v>0</v>
      </c>
      <c r="F189" s="130">
        <f t="shared" si="149"/>
        <v>0</v>
      </c>
      <c r="G189" s="130">
        <f t="shared" si="149"/>
        <v>0</v>
      </c>
      <c r="H189" s="130">
        <f t="shared" si="149"/>
        <v>0</v>
      </c>
      <c r="I189" s="130">
        <f t="shared" si="149"/>
        <v>0</v>
      </c>
      <c r="J189" s="130">
        <f t="shared" si="149"/>
        <v>0</v>
      </c>
    </row>
    <row r="190">
      <c r="B190" s="86" t="str">
        <f t="shared" si="136"/>
        <v>Warrants</v>
      </c>
      <c r="D190" s="130">
        <f t="shared" ref="D190:J190" si="150">D153+D171</f>
        <v>0</v>
      </c>
      <c r="E190" s="130">
        <f t="shared" si="150"/>
        <v>0</v>
      </c>
      <c r="F190" s="130">
        <f t="shared" si="150"/>
        <v>0</v>
      </c>
      <c r="G190" s="130">
        <f t="shared" si="150"/>
        <v>0</v>
      </c>
      <c r="H190" s="130">
        <f t="shared" si="150"/>
        <v>0</v>
      </c>
      <c r="I190" s="130">
        <f t="shared" si="150"/>
        <v>0</v>
      </c>
      <c r="J190" s="130">
        <f t="shared" si="150"/>
        <v>0</v>
      </c>
    </row>
    <row r="191">
      <c r="B191" s="124" t="s">
        <v>103</v>
      </c>
      <c r="D191" s="117">
        <f t="shared" ref="D191:J191" si="151">sum(D176:D190)</f>
        <v>2000000</v>
      </c>
      <c r="E191" s="117">
        <f t="shared" si="151"/>
        <v>3000000</v>
      </c>
      <c r="F191" s="117">
        <f t="shared" si="151"/>
        <v>4000000</v>
      </c>
      <c r="G191" s="117">
        <f t="shared" si="151"/>
        <v>4150000</v>
      </c>
      <c r="H191" s="117">
        <f t="shared" si="151"/>
        <v>4150000</v>
      </c>
      <c r="I191" s="117">
        <f t="shared" si="151"/>
        <v>4150000</v>
      </c>
      <c r="J191" s="117">
        <f t="shared" si="151"/>
        <v>4150000</v>
      </c>
    </row>
    <row r="192">
      <c r="B192" s="125" t="s">
        <v>245</v>
      </c>
      <c r="D192" s="122">
        <f t="shared" ref="D192:J192" si="152">D191-D46</f>
        <v>0</v>
      </c>
      <c r="E192" s="122">
        <f t="shared" si="152"/>
        <v>0</v>
      </c>
      <c r="F192" s="122">
        <f t="shared" si="152"/>
        <v>0</v>
      </c>
      <c r="G192" s="122">
        <f t="shared" si="152"/>
        <v>-850000</v>
      </c>
      <c r="H192" s="122">
        <f t="shared" si="152"/>
        <v>-5850000</v>
      </c>
      <c r="I192" s="122">
        <f t="shared" si="152"/>
        <v>-15850000</v>
      </c>
      <c r="J192" s="122">
        <f t="shared" si="152"/>
        <v>-35850000</v>
      </c>
    </row>
    <row r="193">
      <c r="B193" s="125"/>
      <c r="D193" s="122"/>
      <c r="E193" s="122"/>
      <c r="F193" s="122"/>
      <c r="G193" s="122"/>
      <c r="H193" s="122"/>
      <c r="I193" s="122"/>
      <c r="J193" s="122"/>
    </row>
    <row r="194">
      <c r="B194" s="125" t="s">
        <v>246</v>
      </c>
      <c r="D194" s="122"/>
      <c r="E194" s="122"/>
      <c r="F194" s="122"/>
      <c r="G194" s="122"/>
      <c r="H194" s="122"/>
      <c r="I194" s="122"/>
      <c r="J194" s="122"/>
      <c r="L194" s="15" t="s">
        <v>273</v>
      </c>
    </row>
    <row r="195">
      <c r="B195" s="86" t="str">
        <f t="shared" ref="B195:B209" si="154">B23</f>
        <v>Series J</v>
      </c>
      <c r="D195" s="133">
        <f t="shared" ref="D195:J195" si="153">iferror(sum(D157,D139) /  if( or($D23="options", $D23 = "warrants") , D121 , $G23 ) ,0)</f>
        <v>0</v>
      </c>
      <c r="E195" s="133">
        <f t="shared" si="153"/>
        <v>0</v>
      </c>
      <c r="F195" s="133">
        <f t="shared" si="153"/>
        <v>0</v>
      </c>
      <c r="G195" s="133">
        <f t="shared" si="153"/>
        <v>0</v>
      </c>
      <c r="H195" s="133">
        <f t="shared" si="153"/>
        <v>0</v>
      </c>
      <c r="I195" s="133">
        <f t="shared" si="153"/>
        <v>0</v>
      </c>
      <c r="J195" s="133">
        <f t="shared" si="153"/>
        <v>0</v>
      </c>
    </row>
    <row r="196">
      <c r="B196" s="86" t="str">
        <f t="shared" si="154"/>
        <v>Series I</v>
      </c>
      <c r="D196" s="133">
        <f t="shared" ref="D196:J196" si="155">iferror(sum(D158,D140) /  if( or($D24="options", $D24 = "warrants") , D122 , $G24 ) ,0)</f>
        <v>0</v>
      </c>
      <c r="E196" s="133">
        <f t="shared" si="155"/>
        <v>0</v>
      </c>
      <c r="F196" s="133">
        <f t="shared" si="155"/>
        <v>0</v>
      </c>
      <c r="G196" s="133">
        <f t="shared" si="155"/>
        <v>0</v>
      </c>
      <c r="H196" s="133">
        <f t="shared" si="155"/>
        <v>0</v>
      </c>
      <c r="I196" s="133">
        <f t="shared" si="155"/>
        <v>0</v>
      </c>
      <c r="J196" s="133">
        <f t="shared" si="155"/>
        <v>0</v>
      </c>
    </row>
    <row r="197">
      <c r="B197" s="86" t="str">
        <f t="shared" si="154"/>
        <v>Series H</v>
      </c>
      <c r="D197" s="133">
        <f t="shared" ref="D197:J197" si="156">iferror(sum(D159,D141) /  if( or($D25="options", $D25 = "warrants") , D123 , $G25 ) ,0)</f>
        <v>0</v>
      </c>
      <c r="E197" s="133">
        <f t="shared" si="156"/>
        <v>0</v>
      </c>
      <c r="F197" s="133">
        <f t="shared" si="156"/>
        <v>0</v>
      </c>
      <c r="G197" s="133">
        <f t="shared" si="156"/>
        <v>0</v>
      </c>
      <c r="H197" s="133">
        <f t="shared" si="156"/>
        <v>0</v>
      </c>
      <c r="I197" s="133">
        <f t="shared" si="156"/>
        <v>0</v>
      </c>
      <c r="J197" s="133">
        <f t="shared" si="156"/>
        <v>0</v>
      </c>
    </row>
    <row r="198">
      <c r="B198" s="86" t="str">
        <f t="shared" si="154"/>
        <v>Series G</v>
      </c>
      <c r="D198" s="133">
        <f t="shared" ref="D198:J198" si="157">iferror(sum(D160,D142) /  if( or($D26="options", $D26 = "warrants") , D124 , $G26 ) ,0)</f>
        <v>0</v>
      </c>
      <c r="E198" s="133">
        <f t="shared" si="157"/>
        <v>0</v>
      </c>
      <c r="F198" s="133">
        <f t="shared" si="157"/>
        <v>0</v>
      </c>
      <c r="G198" s="133">
        <f t="shared" si="157"/>
        <v>0</v>
      </c>
      <c r="H198" s="133">
        <f t="shared" si="157"/>
        <v>0</v>
      </c>
      <c r="I198" s="133">
        <f t="shared" si="157"/>
        <v>0</v>
      </c>
      <c r="J198" s="133">
        <f t="shared" si="157"/>
        <v>0</v>
      </c>
    </row>
    <row r="199">
      <c r="B199" s="86" t="str">
        <f t="shared" si="154"/>
        <v>Series F</v>
      </c>
      <c r="D199" s="133">
        <f t="shared" ref="D199:J199" si="158">iferror(sum(D161,D143) /  if( or($D27="options", $D27 = "warrants") , D125 , $G27 ) ,0)</f>
        <v>0</v>
      </c>
      <c r="E199" s="133">
        <f t="shared" si="158"/>
        <v>0</v>
      </c>
      <c r="F199" s="133">
        <f t="shared" si="158"/>
        <v>0</v>
      </c>
      <c r="G199" s="133">
        <f t="shared" si="158"/>
        <v>0</v>
      </c>
      <c r="H199" s="133">
        <f t="shared" si="158"/>
        <v>0</v>
      </c>
      <c r="I199" s="133">
        <f t="shared" si="158"/>
        <v>0</v>
      </c>
      <c r="J199" s="133">
        <f t="shared" si="158"/>
        <v>0</v>
      </c>
    </row>
    <row r="200">
      <c r="B200" s="86" t="str">
        <f t="shared" si="154"/>
        <v>Series E</v>
      </c>
      <c r="D200" s="133">
        <f t="shared" ref="D200:J200" si="159">iferror(sum(D162,D144) /  if( or($D28="options", $D28 = "warrants") , D126 , $G28 ) ,0)</f>
        <v>0</v>
      </c>
      <c r="E200" s="133">
        <f t="shared" si="159"/>
        <v>0</v>
      </c>
      <c r="F200" s="133">
        <f t="shared" si="159"/>
        <v>0</v>
      </c>
      <c r="G200" s="133">
        <f t="shared" si="159"/>
        <v>0</v>
      </c>
      <c r="H200" s="133">
        <f t="shared" si="159"/>
        <v>0</v>
      </c>
      <c r="I200" s="133">
        <f t="shared" si="159"/>
        <v>0</v>
      </c>
      <c r="J200" s="133">
        <f t="shared" si="159"/>
        <v>0</v>
      </c>
    </row>
    <row r="201">
      <c r="B201" s="86" t="str">
        <f t="shared" si="154"/>
        <v>Series D</v>
      </c>
      <c r="D201" s="133">
        <f t="shared" ref="D201:J201" si="160">iferror(sum(D163,D145) /  if( or($D29="options", $D29 = "warrants") , D127 , $G29 ) ,0)</f>
        <v>0</v>
      </c>
      <c r="E201" s="133">
        <f t="shared" si="160"/>
        <v>0</v>
      </c>
      <c r="F201" s="133">
        <f t="shared" si="160"/>
        <v>0</v>
      </c>
      <c r="G201" s="133">
        <f t="shared" si="160"/>
        <v>0</v>
      </c>
      <c r="H201" s="133">
        <f t="shared" si="160"/>
        <v>0</v>
      </c>
      <c r="I201" s="133">
        <f t="shared" si="160"/>
        <v>0</v>
      </c>
      <c r="J201" s="133">
        <f t="shared" si="160"/>
        <v>0</v>
      </c>
    </row>
    <row r="202">
      <c r="B202" s="86" t="str">
        <f t="shared" si="154"/>
        <v>Series C</v>
      </c>
      <c r="D202" s="133">
        <f t="shared" ref="D202:J202" si="161">iferror(sum(D164,D146) /  if( or($D30="options", $D30 = "warrants", $Y30 = true) , D128 , $G30 ) ,0)</f>
        <v>0</v>
      </c>
      <c r="E202" s="133">
        <f t="shared" si="161"/>
        <v>0</v>
      </c>
      <c r="F202" s="133">
        <f t="shared" si="161"/>
        <v>0</v>
      </c>
      <c r="G202" s="133">
        <f t="shared" si="161"/>
        <v>0</v>
      </c>
      <c r="H202" s="133">
        <f t="shared" si="161"/>
        <v>0</v>
      </c>
      <c r="I202" s="133">
        <f t="shared" si="161"/>
        <v>0</v>
      </c>
      <c r="J202" s="133">
        <f t="shared" si="161"/>
        <v>0</v>
      </c>
    </row>
    <row r="203">
      <c r="B203" s="86" t="str">
        <f t="shared" si="154"/>
        <v>Series B</v>
      </c>
      <c r="D203" s="133">
        <f t="shared" ref="D203:J203" si="162">iferror(sum(D165,D147) /  if( or($D31="options", $D31 = "warrants") , D129 , $G31 ) ,0)</f>
        <v>0.675</v>
      </c>
      <c r="E203" s="133">
        <f t="shared" si="162"/>
        <v>1</v>
      </c>
      <c r="F203" s="133">
        <f t="shared" si="162"/>
        <v>1</v>
      </c>
      <c r="G203" s="133">
        <f t="shared" si="162"/>
        <v>1</v>
      </c>
      <c r="H203" s="133">
        <f t="shared" si="162"/>
        <v>1</v>
      </c>
      <c r="I203" s="133">
        <f t="shared" si="162"/>
        <v>1</v>
      </c>
      <c r="J203" s="133">
        <f t="shared" si="162"/>
        <v>1</v>
      </c>
    </row>
    <row r="204">
      <c r="B204" s="86" t="str">
        <f t="shared" si="154"/>
        <v>Series A</v>
      </c>
      <c r="D204" s="133">
        <f t="shared" ref="D204:J204" si="163">iferror(sum(D166,D148) /  if( or($D32="options", $D32 = "warrants") , D130 , $G32 ) ,0)</f>
        <v>0</v>
      </c>
      <c r="E204" s="133">
        <f t="shared" si="163"/>
        <v>0.175</v>
      </c>
      <c r="F204" s="133">
        <f t="shared" si="163"/>
        <v>0.5</v>
      </c>
      <c r="G204" s="133">
        <f t="shared" si="163"/>
        <v>0.5</v>
      </c>
      <c r="H204" s="133">
        <f t="shared" si="163"/>
        <v>0.5</v>
      </c>
      <c r="I204" s="133">
        <f t="shared" si="163"/>
        <v>0.5</v>
      </c>
      <c r="J204" s="133">
        <f t="shared" si="163"/>
        <v>0.5</v>
      </c>
    </row>
    <row r="205">
      <c r="B205" s="86" t="str">
        <f t="shared" si="154"/>
        <v>Seed</v>
      </c>
      <c r="D205" s="133">
        <f t="shared" ref="D205:J205" si="164">iferror(sum(D167,D149) /  if( or($D33="options", $D33 = "warrants") , D131 , $G33 ) ,0)</f>
        <v>0</v>
      </c>
      <c r="E205" s="133">
        <f t="shared" si="164"/>
        <v>0</v>
      </c>
      <c r="F205" s="133">
        <f t="shared" si="164"/>
        <v>0.07</v>
      </c>
      <c r="G205" s="133">
        <f t="shared" si="164"/>
        <v>0.1</v>
      </c>
      <c r="H205" s="133">
        <f t="shared" si="164"/>
        <v>0.1</v>
      </c>
      <c r="I205" s="133">
        <f t="shared" si="164"/>
        <v>0.1</v>
      </c>
      <c r="J205" s="133">
        <f t="shared" si="164"/>
        <v>0.1</v>
      </c>
    </row>
    <row r="206">
      <c r="B206" s="86" t="str">
        <f t="shared" si="154"/>
        <v>Common</v>
      </c>
      <c r="D206" s="133">
        <f t="shared" ref="D206:J206" si="165">iferror(sum(D168,D150) /  if( or($D34="options", $D34 = "warrants") , D132 , $G34 ) ,0)</f>
        <v>0</v>
      </c>
      <c r="E206" s="133">
        <f t="shared" si="165"/>
        <v>0</v>
      </c>
      <c r="F206" s="133">
        <f t="shared" si="165"/>
        <v>0</v>
      </c>
      <c r="G206" s="133">
        <f t="shared" si="165"/>
        <v>0</v>
      </c>
      <c r="H206" s="133">
        <f t="shared" si="165"/>
        <v>0</v>
      </c>
      <c r="I206" s="133">
        <f t="shared" si="165"/>
        <v>0</v>
      </c>
      <c r="J206" s="133">
        <f t="shared" si="165"/>
        <v>0</v>
      </c>
    </row>
    <row r="207">
      <c r="B207" s="86" t="str">
        <f t="shared" si="154"/>
        <v>Options</v>
      </c>
      <c r="D207" s="133">
        <f t="shared" ref="D207:J207" si="166">iferror(sum(D169,D151) /  if( or($D35="options", $D35 = "warrants") , D133 , $G35 ) ,0)</f>
        <v>0</v>
      </c>
      <c r="E207" s="133">
        <f t="shared" si="166"/>
        <v>0</v>
      </c>
      <c r="F207" s="133">
        <f t="shared" si="166"/>
        <v>0</v>
      </c>
      <c r="G207" s="133">
        <f t="shared" si="166"/>
        <v>0</v>
      </c>
      <c r="H207" s="133">
        <f t="shared" si="166"/>
        <v>0</v>
      </c>
      <c r="I207" s="133">
        <f t="shared" si="166"/>
        <v>0</v>
      </c>
      <c r="J207" s="133">
        <f t="shared" si="166"/>
        <v>0</v>
      </c>
    </row>
    <row r="208">
      <c r="B208" s="86" t="str">
        <f t="shared" si="154"/>
        <v>Options</v>
      </c>
      <c r="D208" s="133">
        <f t="shared" ref="D208:J208" si="167">iferror(sum(D170,D152) /  if( or($D36="options", $D36 = "warrants") , D134 , $G36 ) ,0)</f>
        <v>0</v>
      </c>
      <c r="E208" s="133">
        <f t="shared" si="167"/>
        <v>0</v>
      </c>
      <c r="F208" s="133">
        <f t="shared" si="167"/>
        <v>0</v>
      </c>
      <c r="G208" s="133">
        <f t="shared" si="167"/>
        <v>0</v>
      </c>
      <c r="H208" s="133">
        <f t="shared" si="167"/>
        <v>0</v>
      </c>
      <c r="I208" s="133">
        <f t="shared" si="167"/>
        <v>0</v>
      </c>
      <c r="J208" s="133">
        <f t="shared" si="167"/>
        <v>0</v>
      </c>
    </row>
    <row r="209">
      <c r="B209" s="86" t="str">
        <f t="shared" si="154"/>
        <v>Warrants</v>
      </c>
      <c r="D209" s="133">
        <f t="shared" ref="D209:J209" si="168">iferror(sum(D171,D153) /  if( or($D37="options", $D37 = "warrants") , D135 , $G37 ) ,0)</f>
        <v>0</v>
      </c>
      <c r="E209" s="133">
        <f t="shared" si="168"/>
        <v>0</v>
      </c>
      <c r="F209" s="133">
        <f t="shared" si="168"/>
        <v>0</v>
      </c>
      <c r="G209" s="133">
        <f t="shared" si="168"/>
        <v>0</v>
      </c>
      <c r="H209" s="133">
        <f t="shared" si="168"/>
        <v>0</v>
      </c>
      <c r="I209" s="133">
        <f t="shared" si="168"/>
        <v>0</v>
      </c>
      <c r="J209" s="133">
        <f t="shared" si="168"/>
        <v>0</v>
      </c>
    </row>
    <row r="210">
      <c r="B210" s="124"/>
      <c r="D210" s="122"/>
      <c r="E210" s="122"/>
      <c r="F210" s="122"/>
      <c r="G210" s="122"/>
      <c r="H210" s="122"/>
      <c r="I210" s="122"/>
      <c r="J210" s="122"/>
    </row>
    <row r="211">
      <c r="B211" s="125" t="s">
        <v>247</v>
      </c>
      <c r="D211" s="135">
        <v>1.0</v>
      </c>
      <c r="E211" s="135">
        <v>1.0</v>
      </c>
      <c r="F211" s="135">
        <v>1.0</v>
      </c>
      <c r="G211" s="135">
        <v>1.0</v>
      </c>
      <c r="H211" s="135">
        <v>1.0</v>
      </c>
      <c r="I211" s="135">
        <v>1.0</v>
      </c>
      <c r="J211" s="135">
        <v>1.0</v>
      </c>
      <c r="L211" s="15" t="s">
        <v>248</v>
      </c>
    </row>
    <row r="212">
      <c r="B212" s="86" t="str">
        <f t="shared" ref="B212:B226" si="170">B23</f>
        <v>Series J</v>
      </c>
      <c r="D212" s="130">
        <f t="shared" ref="D212:J212" si="169">D$211*D176</f>
        <v>0</v>
      </c>
      <c r="E212" s="130">
        <f t="shared" si="169"/>
        <v>0</v>
      </c>
      <c r="F212" s="130">
        <f t="shared" si="169"/>
        <v>0</v>
      </c>
      <c r="G212" s="130">
        <f t="shared" si="169"/>
        <v>0</v>
      </c>
      <c r="H212" s="130">
        <f t="shared" si="169"/>
        <v>0</v>
      </c>
      <c r="I212" s="130">
        <f t="shared" si="169"/>
        <v>0</v>
      </c>
      <c r="J212" s="130">
        <f t="shared" si="169"/>
        <v>0</v>
      </c>
    </row>
    <row r="213">
      <c r="B213" s="86" t="str">
        <f t="shared" si="170"/>
        <v>Series I</v>
      </c>
      <c r="D213" s="130">
        <f t="shared" ref="D213:J213" si="171">D$211*D177</f>
        <v>0</v>
      </c>
      <c r="E213" s="130">
        <f t="shared" si="171"/>
        <v>0</v>
      </c>
      <c r="F213" s="130">
        <f t="shared" si="171"/>
        <v>0</v>
      </c>
      <c r="G213" s="130">
        <f t="shared" si="171"/>
        <v>0</v>
      </c>
      <c r="H213" s="130">
        <f t="shared" si="171"/>
        <v>0</v>
      </c>
      <c r="I213" s="130">
        <f t="shared" si="171"/>
        <v>0</v>
      </c>
      <c r="J213" s="130">
        <f t="shared" si="171"/>
        <v>0</v>
      </c>
    </row>
    <row r="214">
      <c r="B214" s="86" t="str">
        <f t="shared" si="170"/>
        <v>Series H</v>
      </c>
      <c r="D214" s="130">
        <f t="shared" ref="D214:J214" si="172">D$211*D178</f>
        <v>0</v>
      </c>
      <c r="E214" s="130">
        <f t="shared" si="172"/>
        <v>0</v>
      </c>
      <c r="F214" s="130">
        <f t="shared" si="172"/>
        <v>0</v>
      </c>
      <c r="G214" s="130">
        <f t="shared" si="172"/>
        <v>0</v>
      </c>
      <c r="H214" s="130">
        <f t="shared" si="172"/>
        <v>0</v>
      </c>
      <c r="I214" s="130">
        <f t="shared" si="172"/>
        <v>0</v>
      </c>
      <c r="J214" s="130">
        <f t="shared" si="172"/>
        <v>0</v>
      </c>
    </row>
    <row r="215">
      <c r="B215" s="86" t="str">
        <f t="shared" si="170"/>
        <v>Series G</v>
      </c>
      <c r="D215" s="130">
        <f t="shared" ref="D215:J215" si="173">D$211*D179</f>
        <v>0</v>
      </c>
      <c r="E215" s="130">
        <f t="shared" si="173"/>
        <v>0</v>
      </c>
      <c r="F215" s="130">
        <f t="shared" si="173"/>
        <v>0</v>
      </c>
      <c r="G215" s="130">
        <f t="shared" si="173"/>
        <v>0</v>
      </c>
      <c r="H215" s="130">
        <f t="shared" si="173"/>
        <v>0</v>
      </c>
      <c r="I215" s="130">
        <f t="shared" si="173"/>
        <v>0</v>
      </c>
      <c r="J215" s="130">
        <f t="shared" si="173"/>
        <v>0</v>
      </c>
    </row>
    <row r="216">
      <c r="B216" s="86" t="str">
        <f t="shared" si="170"/>
        <v>Series F</v>
      </c>
      <c r="D216" s="130">
        <f t="shared" ref="D216:J216" si="174">D$211*D180</f>
        <v>0</v>
      </c>
      <c r="E216" s="130">
        <f t="shared" si="174"/>
        <v>0</v>
      </c>
      <c r="F216" s="130">
        <f t="shared" si="174"/>
        <v>0</v>
      </c>
      <c r="G216" s="130">
        <f t="shared" si="174"/>
        <v>0</v>
      </c>
      <c r="H216" s="130">
        <f t="shared" si="174"/>
        <v>0</v>
      </c>
      <c r="I216" s="130">
        <f t="shared" si="174"/>
        <v>0</v>
      </c>
      <c r="J216" s="130">
        <f t="shared" si="174"/>
        <v>0</v>
      </c>
    </row>
    <row r="217">
      <c r="B217" s="86" t="str">
        <f t="shared" si="170"/>
        <v>Series E</v>
      </c>
      <c r="D217" s="130">
        <f t="shared" ref="D217:J217" si="175">D$211*D181</f>
        <v>0</v>
      </c>
      <c r="E217" s="130">
        <f t="shared" si="175"/>
        <v>0</v>
      </c>
      <c r="F217" s="130">
        <f t="shared" si="175"/>
        <v>0</v>
      </c>
      <c r="G217" s="130">
        <f t="shared" si="175"/>
        <v>0</v>
      </c>
      <c r="H217" s="130">
        <f t="shared" si="175"/>
        <v>0</v>
      </c>
      <c r="I217" s="130">
        <f t="shared" si="175"/>
        <v>0</v>
      </c>
      <c r="J217" s="130">
        <f t="shared" si="175"/>
        <v>0</v>
      </c>
    </row>
    <row r="218">
      <c r="B218" s="86" t="str">
        <f t="shared" si="170"/>
        <v>Series D</v>
      </c>
      <c r="D218" s="130">
        <f t="shared" ref="D218:J218" si="176">D$211*D182</f>
        <v>0</v>
      </c>
      <c r="E218" s="130">
        <f t="shared" si="176"/>
        <v>0</v>
      </c>
      <c r="F218" s="130">
        <f t="shared" si="176"/>
        <v>0</v>
      </c>
      <c r="G218" s="130">
        <f t="shared" si="176"/>
        <v>0</v>
      </c>
      <c r="H218" s="130">
        <f t="shared" si="176"/>
        <v>0</v>
      </c>
      <c r="I218" s="130">
        <f t="shared" si="176"/>
        <v>0</v>
      </c>
      <c r="J218" s="130">
        <f t="shared" si="176"/>
        <v>0</v>
      </c>
    </row>
    <row r="219">
      <c r="B219" s="86" t="str">
        <f t="shared" si="170"/>
        <v>Series C</v>
      </c>
      <c r="D219" s="130">
        <f t="shared" ref="D219:J219" si="177">D$211*D183</f>
        <v>650000</v>
      </c>
      <c r="E219" s="130">
        <f t="shared" si="177"/>
        <v>650000</v>
      </c>
      <c r="F219" s="130">
        <f t="shared" si="177"/>
        <v>650000</v>
      </c>
      <c r="G219" s="130">
        <f t="shared" si="177"/>
        <v>650000</v>
      </c>
      <c r="H219" s="130">
        <f t="shared" si="177"/>
        <v>650000</v>
      </c>
      <c r="I219" s="130">
        <f t="shared" si="177"/>
        <v>650000</v>
      </c>
      <c r="J219" s="130">
        <f t="shared" si="177"/>
        <v>650000</v>
      </c>
    </row>
    <row r="220">
      <c r="B220" s="86" t="str">
        <f t="shared" si="170"/>
        <v>Series B</v>
      </c>
      <c r="D220" s="130">
        <f t="shared" ref="D220:J220" si="178">D$211*D184</f>
        <v>1350000</v>
      </c>
      <c r="E220" s="130">
        <f t="shared" si="178"/>
        <v>2000000</v>
      </c>
      <c r="F220" s="130">
        <f t="shared" si="178"/>
        <v>2000000</v>
      </c>
      <c r="G220" s="130">
        <f t="shared" si="178"/>
        <v>2000000</v>
      </c>
      <c r="H220" s="130">
        <f t="shared" si="178"/>
        <v>2000000</v>
      </c>
      <c r="I220" s="130">
        <f t="shared" si="178"/>
        <v>2000000</v>
      </c>
      <c r="J220" s="130">
        <f t="shared" si="178"/>
        <v>2000000</v>
      </c>
    </row>
    <row r="221">
      <c r="B221" s="86" t="str">
        <f t="shared" si="170"/>
        <v>Series A</v>
      </c>
      <c r="D221" s="130">
        <f t="shared" ref="D221:J221" si="179">D$211*D185</f>
        <v>0</v>
      </c>
      <c r="E221" s="130">
        <f t="shared" si="179"/>
        <v>350000</v>
      </c>
      <c r="F221" s="130">
        <f t="shared" si="179"/>
        <v>1000000</v>
      </c>
      <c r="G221" s="130">
        <f t="shared" si="179"/>
        <v>1000000</v>
      </c>
      <c r="H221" s="130">
        <f t="shared" si="179"/>
        <v>1000000</v>
      </c>
      <c r="I221" s="130">
        <f t="shared" si="179"/>
        <v>1000000</v>
      </c>
      <c r="J221" s="130">
        <f t="shared" si="179"/>
        <v>1000000</v>
      </c>
    </row>
    <row r="222">
      <c r="B222" s="86" t="str">
        <f t="shared" si="170"/>
        <v>Seed</v>
      </c>
      <c r="D222" s="130">
        <f t="shared" ref="D222:J222" si="180">D$211*D186</f>
        <v>0</v>
      </c>
      <c r="E222" s="130">
        <f t="shared" si="180"/>
        <v>0</v>
      </c>
      <c r="F222" s="130">
        <f t="shared" si="180"/>
        <v>350000</v>
      </c>
      <c r="G222" s="130">
        <f t="shared" si="180"/>
        <v>500000</v>
      </c>
      <c r="H222" s="130">
        <f t="shared" si="180"/>
        <v>500000</v>
      </c>
      <c r="I222" s="130">
        <f t="shared" si="180"/>
        <v>500000</v>
      </c>
      <c r="J222" s="130">
        <f t="shared" si="180"/>
        <v>500000</v>
      </c>
    </row>
    <row r="223">
      <c r="B223" s="86" t="str">
        <f t="shared" si="170"/>
        <v>Common</v>
      </c>
      <c r="D223" s="130">
        <f t="shared" ref="D223:J223" si="181">D$211*D187</f>
        <v>0</v>
      </c>
      <c r="E223" s="130">
        <f t="shared" si="181"/>
        <v>0</v>
      </c>
      <c r="F223" s="130">
        <f t="shared" si="181"/>
        <v>0</v>
      </c>
      <c r="G223" s="130">
        <f t="shared" si="181"/>
        <v>0</v>
      </c>
      <c r="H223" s="130">
        <f t="shared" si="181"/>
        <v>0</v>
      </c>
      <c r="I223" s="130">
        <f t="shared" si="181"/>
        <v>0</v>
      </c>
      <c r="J223" s="130">
        <f t="shared" si="181"/>
        <v>0</v>
      </c>
    </row>
    <row r="224">
      <c r="B224" s="86" t="str">
        <f t="shared" si="170"/>
        <v>Options</v>
      </c>
      <c r="D224" s="130">
        <f t="shared" ref="D224:J224" si="182">D$211*D188</f>
        <v>0</v>
      </c>
      <c r="E224" s="130">
        <f t="shared" si="182"/>
        <v>0</v>
      </c>
      <c r="F224" s="130">
        <f t="shared" si="182"/>
        <v>0</v>
      </c>
      <c r="G224" s="130">
        <f t="shared" si="182"/>
        <v>0</v>
      </c>
      <c r="H224" s="130">
        <f t="shared" si="182"/>
        <v>0</v>
      </c>
      <c r="I224" s="130">
        <f t="shared" si="182"/>
        <v>0</v>
      </c>
      <c r="J224" s="130">
        <f t="shared" si="182"/>
        <v>0</v>
      </c>
    </row>
    <row r="225">
      <c r="B225" s="86" t="str">
        <f t="shared" si="170"/>
        <v>Options</v>
      </c>
      <c r="D225" s="130">
        <f t="shared" ref="D225:J225" si="183">D$211*D189</f>
        <v>0</v>
      </c>
      <c r="E225" s="130">
        <f t="shared" si="183"/>
        <v>0</v>
      </c>
      <c r="F225" s="130">
        <f t="shared" si="183"/>
        <v>0</v>
      </c>
      <c r="G225" s="130">
        <f t="shared" si="183"/>
        <v>0</v>
      </c>
      <c r="H225" s="130">
        <f t="shared" si="183"/>
        <v>0</v>
      </c>
      <c r="I225" s="130">
        <f t="shared" si="183"/>
        <v>0</v>
      </c>
      <c r="J225" s="130">
        <f t="shared" si="183"/>
        <v>0</v>
      </c>
    </row>
    <row r="226">
      <c r="B226" s="86" t="str">
        <f t="shared" si="170"/>
        <v>Warrants</v>
      </c>
      <c r="D226" s="130">
        <f t="shared" ref="D226:J226" si="184">D$211*D190</f>
        <v>0</v>
      </c>
      <c r="E226" s="130">
        <f t="shared" si="184"/>
        <v>0</v>
      </c>
      <c r="F226" s="130">
        <f t="shared" si="184"/>
        <v>0</v>
      </c>
      <c r="G226" s="130">
        <f t="shared" si="184"/>
        <v>0</v>
      </c>
      <c r="H226" s="130">
        <f t="shared" si="184"/>
        <v>0</v>
      </c>
      <c r="I226" s="130">
        <f t="shared" si="184"/>
        <v>0</v>
      </c>
      <c r="J226" s="130">
        <f t="shared" si="184"/>
        <v>0</v>
      </c>
    </row>
    <row r="227">
      <c r="B227" s="124"/>
      <c r="D227" s="122"/>
      <c r="E227" s="122"/>
      <c r="F227" s="122"/>
      <c r="G227" s="122"/>
      <c r="H227" s="122"/>
      <c r="I227" s="122"/>
      <c r="J227" s="122"/>
    </row>
    <row r="228">
      <c r="B228" s="124" t="s">
        <v>249</v>
      </c>
      <c r="D228" s="120">
        <v>0.0</v>
      </c>
      <c r="E228" s="120">
        <v>0.0</v>
      </c>
      <c r="F228" s="120">
        <v>0.0</v>
      </c>
      <c r="G228" s="120">
        <v>0.0</v>
      </c>
      <c r="H228" s="120">
        <v>0.0</v>
      </c>
      <c r="I228" s="120">
        <v>0.0</v>
      </c>
      <c r="J228" s="120">
        <v>0.0</v>
      </c>
      <c r="L228" s="15" t="s">
        <v>250</v>
      </c>
    </row>
    <row r="229">
      <c r="B229" s="124" t="str">
        <f t="shared" ref="B229:B243" si="186">B23</f>
        <v>Series J</v>
      </c>
      <c r="D229" s="122">
        <f t="shared" ref="D229:J229" si="185">iferror( (D176-D212) / D$228 ,0)</f>
        <v>0</v>
      </c>
      <c r="E229" s="122">
        <f t="shared" si="185"/>
        <v>0</v>
      </c>
      <c r="F229" s="122">
        <f t="shared" si="185"/>
        <v>0</v>
      </c>
      <c r="G229" s="122">
        <f t="shared" si="185"/>
        <v>0</v>
      </c>
      <c r="H229" s="122">
        <f t="shared" si="185"/>
        <v>0</v>
      </c>
      <c r="I229" s="122">
        <f t="shared" si="185"/>
        <v>0</v>
      </c>
      <c r="J229" s="122">
        <f t="shared" si="185"/>
        <v>0</v>
      </c>
    </row>
    <row r="230">
      <c r="B230" s="124" t="str">
        <f t="shared" si="186"/>
        <v>Series I</v>
      </c>
      <c r="D230" s="122">
        <f t="shared" ref="D230:J230" si="187">iferror( (D177-D213) / D$228 ,0)</f>
        <v>0</v>
      </c>
      <c r="E230" s="122">
        <f t="shared" si="187"/>
        <v>0</v>
      </c>
      <c r="F230" s="122">
        <f t="shared" si="187"/>
        <v>0</v>
      </c>
      <c r="G230" s="122">
        <f t="shared" si="187"/>
        <v>0</v>
      </c>
      <c r="H230" s="122">
        <f t="shared" si="187"/>
        <v>0</v>
      </c>
      <c r="I230" s="122">
        <f t="shared" si="187"/>
        <v>0</v>
      </c>
      <c r="J230" s="122">
        <f t="shared" si="187"/>
        <v>0</v>
      </c>
    </row>
    <row r="231">
      <c r="B231" s="124" t="str">
        <f t="shared" si="186"/>
        <v>Series H</v>
      </c>
      <c r="D231" s="122">
        <f t="shared" ref="D231:J231" si="188">iferror( (D178-D214) / D$228 ,0)</f>
        <v>0</v>
      </c>
      <c r="E231" s="122">
        <f t="shared" si="188"/>
        <v>0</v>
      </c>
      <c r="F231" s="122">
        <f t="shared" si="188"/>
        <v>0</v>
      </c>
      <c r="G231" s="122">
        <f t="shared" si="188"/>
        <v>0</v>
      </c>
      <c r="H231" s="122">
        <f t="shared" si="188"/>
        <v>0</v>
      </c>
      <c r="I231" s="122">
        <f t="shared" si="188"/>
        <v>0</v>
      </c>
      <c r="J231" s="122">
        <f t="shared" si="188"/>
        <v>0</v>
      </c>
    </row>
    <row r="232">
      <c r="B232" s="124" t="str">
        <f t="shared" si="186"/>
        <v>Series G</v>
      </c>
      <c r="D232" s="122">
        <f t="shared" ref="D232:J232" si="189">iferror( (D179-D215) / D$228 ,0)</f>
        <v>0</v>
      </c>
      <c r="E232" s="122">
        <f t="shared" si="189"/>
        <v>0</v>
      </c>
      <c r="F232" s="122">
        <f t="shared" si="189"/>
        <v>0</v>
      </c>
      <c r="G232" s="122">
        <f t="shared" si="189"/>
        <v>0</v>
      </c>
      <c r="H232" s="122">
        <f t="shared" si="189"/>
        <v>0</v>
      </c>
      <c r="I232" s="122">
        <f t="shared" si="189"/>
        <v>0</v>
      </c>
      <c r="J232" s="122">
        <f t="shared" si="189"/>
        <v>0</v>
      </c>
    </row>
    <row r="233">
      <c r="B233" s="124" t="str">
        <f t="shared" si="186"/>
        <v>Series F</v>
      </c>
      <c r="D233" s="122">
        <f t="shared" ref="D233:J233" si="190">iferror( (D180-D216) / D$228 ,0)</f>
        <v>0</v>
      </c>
      <c r="E233" s="122">
        <f t="shared" si="190"/>
        <v>0</v>
      </c>
      <c r="F233" s="122">
        <f t="shared" si="190"/>
        <v>0</v>
      </c>
      <c r="G233" s="122">
        <f t="shared" si="190"/>
        <v>0</v>
      </c>
      <c r="H233" s="122">
        <f t="shared" si="190"/>
        <v>0</v>
      </c>
      <c r="I233" s="122">
        <f t="shared" si="190"/>
        <v>0</v>
      </c>
      <c r="J233" s="122">
        <f t="shared" si="190"/>
        <v>0</v>
      </c>
    </row>
    <row r="234">
      <c r="B234" s="124" t="str">
        <f t="shared" si="186"/>
        <v>Series E</v>
      </c>
      <c r="D234" s="122">
        <f t="shared" ref="D234:J234" si="191">iferror( (D181-D217) / D$228 ,0)</f>
        <v>0</v>
      </c>
      <c r="E234" s="122">
        <f t="shared" si="191"/>
        <v>0</v>
      </c>
      <c r="F234" s="122">
        <f t="shared" si="191"/>
        <v>0</v>
      </c>
      <c r="G234" s="122">
        <f t="shared" si="191"/>
        <v>0</v>
      </c>
      <c r="H234" s="122">
        <f t="shared" si="191"/>
        <v>0</v>
      </c>
      <c r="I234" s="122">
        <f t="shared" si="191"/>
        <v>0</v>
      </c>
      <c r="J234" s="122">
        <f t="shared" si="191"/>
        <v>0</v>
      </c>
    </row>
    <row r="235">
      <c r="B235" s="124" t="str">
        <f t="shared" si="186"/>
        <v>Series D</v>
      </c>
      <c r="D235" s="122">
        <f t="shared" ref="D235:J235" si="192">iferror( (D182-D218) / D$228 ,0)</f>
        <v>0</v>
      </c>
      <c r="E235" s="122">
        <f t="shared" si="192"/>
        <v>0</v>
      </c>
      <c r="F235" s="122">
        <f t="shared" si="192"/>
        <v>0</v>
      </c>
      <c r="G235" s="122">
        <f t="shared" si="192"/>
        <v>0</v>
      </c>
      <c r="H235" s="122">
        <f t="shared" si="192"/>
        <v>0</v>
      </c>
      <c r="I235" s="122">
        <f t="shared" si="192"/>
        <v>0</v>
      </c>
      <c r="J235" s="122">
        <f t="shared" si="192"/>
        <v>0</v>
      </c>
    </row>
    <row r="236">
      <c r="B236" s="124" t="str">
        <f t="shared" si="186"/>
        <v>Series C</v>
      </c>
      <c r="D236" s="122">
        <f t="shared" ref="D236:J236" si="193">iferror( (D183-D219) / D$228 ,0)</f>
        <v>0</v>
      </c>
      <c r="E236" s="122">
        <f t="shared" si="193"/>
        <v>0</v>
      </c>
      <c r="F236" s="122">
        <f t="shared" si="193"/>
        <v>0</v>
      </c>
      <c r="G236" s="122">
        <f t="shared" si="193"/>
        <v>0</v>
      </c>
      <c r="H236" s="122">
        <f t="shared" si="193"/>
        <v>0</v>
      </c>
      <c r="I236" s="122">
        <f t="shared" si="193"/>
        <v>0</v>
      </c>
      <c r="J236" s="122">
        <f t="shared" si="193"/>
        <v>0</v>
      </c>
    </row>
    <row r="237">
      <c r="B237" s="124" t="str">
        <f t="shared" si="186"/>
        <v>Series B</v>
      </c>
      <c r="D237" s="122">
        <f t="shared" ref="D237:J237" si="194">iferror( (D184-D220) / D$228 ,0)</f>
        <v>0</v>
      </c>
      <c r="E237" s="122">
        <f t="shared" si="194"/>
        <v>0</v>
      </c>
      <c r="F237" s="122">
        <f t="shared" si="194"/>
        <v>0</v>
      </c>
      <c r="G237" s="122">
        <f t="shared" si="194"/>
        <v>0</v>
      </c>
      <c r="H237" s="122">
        <f t="shared" si="194"/>
        <v>0</v>
      </c>
      <c r="I237" s="122">
        <f t="shared" si="194"/>
        <v>0</v>
      </c>
      <c r="J237" s="122">
        <f t="shared" si="194"/>
        <v>0</v>
      </c>
    </row>
    <row r="238">
      <c r="B238" s="124" t="str">
        <f t="shared" si="186"/>
        <v>Series A</v>
      </c>
      <c r="D238" s="122">
        <f t="shared" ref="D238:J238" si="195">iferror( (D185-D221) / D$228 ,0)</f>
        <v>0</v>
      </c>
      <c r="E238" s="122">
        <f t="shared" si="195"/>
        <v>0</v>
      </c>
      <c r="F238" s="122">
        <f t="shared" si="195"/>
        <v>0</v>
      </c>
      <c r="G238" s="122">
        <f t="shared" si="195"/>
        <v>0</v>
      </c>
      <c r="H238" s="122">
        <f t="shared" si="195"/>
        <v>0</v>
      </c>
      <c r="I238" s="122">
        <f t="shared" si="195"/>
        <v>0</v>
      </c>
      <c r="J238" s="122">
        <f t="shared" si="195"/>
        <v>0</v>
      </c>
    </row>
    <row r="239">
      <c r="B239" s="124" t="str">
        <f t="shared" si="186"/>
        <v>Seed</v>
      </c>
      <c r="D239" s="122">
        <f t="shared" ref="D239:J239" si="196">iferror( (D186-D222) / D$228 ,0)</f>
        <v>0</v>
      </c>
      <c r="E239" s="122">
        <f t="shared" si="196"/>
        <v>0</v>
      </c>
      <c r="F239" s="122">
        <f t="shared" si="196"/>
        <v>0</v>
      </c>
      <c r="G239" s="122">
        <f t="shared" si="196"/>
        <v>0</v>
      </c>
      <c r="H239" s="122">
        <f t="shared" si="196"/>
        <v>0</v>
      </c>
      <c r="I239" s="122">
        <f t="shared" si="196"/>
        <v>0</v>
      </c>
      <c r="J239" s="122">
        <f t="shared" si="196"/>
        <v>0</v>
      </c>
    </row>
    <row r="240">
      <c r="B240" s="124" t="str">
        <f t="shared" si="186"/>
        <v>Common</v>
      </c>
      <c r="D240" s="122">
        <f t="shared" ref="D240:J240" si="197">iferror( (D187-D223) / D$228 ,0)</f>
        <v>0</v>
      </c>
      <c r="E240" s="122">
        <f t="shared" si="197"/>
        <v>0</v>
      </c>
      <c r="F240" s="122">
        <f t="shared" si="197"/>
        <v>0</v>
      </c>
      <c r="G240" s="122">
        <f t="shared" si="197"/>
        <v>0</v>
      </c>
      <c r="H240" s="122">
        <f t="shared" si="197"/>
        <v>0</v>
      </c>
      <c r="I240" s="122">
        <f t="shared" si="197"/>
        <v>0</v>
      </c>
      <c r="J240" s="122">
        <f t="shared" si="197"/>
        <v>0</v>
      </c>
    </row>
    <row r="241">
      <c r="B241" s="124" t="str">
        <f t="shared" si="186"/>
        <v>Options</v>
      </c>
      <c r="D241" s="122">
        <f t="shared" ref="D241:J241" si="198">iferror( (D188-D224) / D$228 ,0)</f>
        <v>0</v>
      </c>
      <c r="E241" s="122">
        <f t="shared" si="198"/>
        <v>0</v>
      </c>
      <c r="F241" s="122">
        <f t="shared" si="198"/>
        <v>0</v>
      </c>
      <c r="G241" s="122">
        <f t="shared" si="198"/>
        <v>0</v>
      </c>
      <c r="H241" s="122">
        <f t="shared" si="198"/>
        <v>0</v>
      </c>
      <c r="I241" s="122">
        <f t="shared" si="198"/>
        <v>0</v>
      </c>
      <c r="J241" s="122">
        <f t="shared" si="198"/>
        <v>0</v>
      </c>
    </row>
    <row r="242">
      <c r="B242" s="124" t="str">
        <f t="shared" si="186"/>
        <v>Options</v>
      </c>
      <c r="D242" s="122">
        <f t="shared" ref="D242:J242" si="199">iferror( (D189-D225) / D$228 ,0)</f>
        <v>0</v>
      </c>
      <c r="E242" s="122">
        <f t="shared" si="199"/>
        <v>0</v>
      </c>
      <c r="F242" s="122">
        <f t="shared" si="199"/>
        <v>0</v>
      </c>
      <c r="G242" s="122">
        <f t="shared" si="199"/>
        <v>0</v>
      </c>
      <c r="H242" s="122">
        <f t="shared" si="199"/>
        <v>0</v>
      </c>
      <c r="I242" s="122">
        <f t="shared" si="199"/>
        <v>0</v>
      </c>
      <c r="J242" s="122">
        <f t="shared" si="199"/>
        <v>0</v>
      </c>
    </row>
    <row r="243">
      <c r="B243" s="124" t="str">
        <f t="shared" si="186"/>
        <v>Warrants</v>
      </c>
      <c r="D243" s="122">
        <f t="shared" ref="D243:J243" si="200">iferror( (D190-D226) / D$228 ,0)</f>
        <v>0</v>
      </c>
      <c r="E243" s="122">
        <f t="shared" si="200"/>
        <v>0</v>
      </c>
      <c r="F243" s="122">
        <f t="shared" si="200"/>
        <v>0</v>
      </c>
      <c r="G243" s="122">
        <f t="shared" si="200"/>
        <v>0</v>
      </c>
      <c r="H243" s="122">
        <f t="shared" si="200"/>
        <v>0</v>
      </c>
      <c r="I243" s="122">
        <f t="shared" si="200"/>
        <v>0</v>
      </c>
      <c r="J243" s="122">
        <f t="shared" si="200"/>
        <v>0</v>
      </c>
    </row>
    <row r="244">
      <c r="B244" s="124"/>
      <c r="D244" s="122"/>
      <c r="E244" s="122"/>
      <c r="F244" s="122"/>
      <c r="G244" s="122"/>
      <c r="H244" s="122"/>
      <c r="I244" s="122"/>
      <c r="J244" s="122"/>
    </row>
    <row r="245">
      <c r="B245" s="136" t="s">
        <v>274</v>
      </c>
      <c r="D245" s="122"/>
      <c r="E245" s="122"/>
      <c r="F245" s="122"/>
      <c r="G245" s="122"/>
      <c r="H245" s="122"/>
      <c r="I245" s="122"/>
      <c r="J245" s="122"/>
    </row>
    <row r="246">
      <c r="B246" s="124" t="s">
        <v>252</v>
      </c>
      <c r="D246" s="135">
        <f t="shared" ref="D246:I246" si="201">1/count($D42:$J42)</f>
        <v>0.1428571429</v>
      </c>
      <c r="E246" s="135">
        <f t="shared" si="201"/>
        <v>0.1428571429</v>
      </c>
      <c r="F246" s="135">
        <f t="shared" si="201"/>
        <v>0.1428571429</v>
      </c>
      <c r="G246" s="135">
        <f t="shared" si="201"/>
        <v>0.1428571429</v>
      </c>
      <c r="H246" s="135">
        <f t="shared" si="201"/>
        <v>0.1428571429</v>
      </c>
      <c r="I246" s="135">
        <f t="shared" si="201"/>
        <v>0.1428571429</v>
      </c>
      <c r="J246" s="137">
        <f>1-sum(D246:I246)</f>
        <v>0.1428571429</v>
      </c>
    </row>
    <row r="247">
      <c r="B247" s="124"/>
      <c r="D247" s="122"/>
      <c r="E247" s="122"/>
      <c r="F247" s="122"/>
      <c r="G247" s="122"/>
      <c r="H247" s="122"/>
      <c r="I247" s="122"/>
      <c r="J247" s="122"/>
    </row>
    <row r="248">
      <c r="B248" s="124" t="s">
        <v>253</v>
      </c>
      <c r="D248" s="138" t="s">
        <v>254</v>
      </c>
      <c r="E248" s="138" t="s">
        <v>255</v>
      </c>
      <c r="F248" s="138" t="s">
        <v>256</v>
      </c>
      <c r="G248" s="139" t="s">
        <v>257</v>
      </c>
      <c r="H248" s="138"/>
      <c r="I248" s="138"/>
      <c r="J248" s="138"/>
    </row>
    <row r="249">
      <c r="B249" s="86" t="str">
        <f t="shared" ref="B249:B263" si="202">B23</f>
        <v>Series J</v>
      </c>
      <c r="D249" s="122">
        <f t="shared" ref="D249:D263" si="203">sumproduct(D$246:J$246,D176:J176)</f>
        <v>0</v>
      </c>
      <c r="E249" s="122">
        <f t="shared" ref="E249:E263" si="204">D249-F23-if(D23="options",sumproduct(D$246:J$246,D121:J121)*J23,0)</f>
        <v>0</v>
      </c>
      <c r="F249" s="133">
        <f t="shared" ref="F249:F263" si="205">iferror(D249/F23,0)</f>
        <v>0</v>
      </c>
      <c r="G249" s="108">
        <f t="shared" ref="G249:G263" si="206">if(or(D23="options",D23="common",D23="warrants"),0, iferror(E249/D249,0))</f>
        <v>0</v>
      </c>
      <c r="H249" s="122"/>
      <c r="I249" s="122"/>
      <c r="J249" s="122"/>
    </row>
    <row r="250">
      <c r="B250" s="86" t="str">
        <f t="shared" si="202"/>
        <v>Series I</v>
      </c>
      <c r="D250" s="122">
        <f t="shared" si="203"/>
        <v>0</v>
      </c>
      <c r="E250" s="122">
        <f t="shared" si="204"/>
        <v>0</v>
      </c>
      <c r="F250" s="133">
        <f t="shared" si="205"/>
        <v>0</v>
      </c>
      <c r="G250" s="108">
        <f t="shared" si="206"/>
        <v>0</v>
      </c>
      <c r="H250" s="122"/>
      <c r="I250" s="122"/>
      <c r="J250" s="122"/>
    </row>
    <row r="251">
      <c r="B251" s="86" t="str">
        <f t="shared" si="202"/>
        <v>Series H</v>
      </c>
      <c r="D251" s="122">
        <f t="shared" si="203"/>
        <v>0</v>
      </c>
      <c r="E251" s="122">
        <f t="shared" si="204"/>
        <v>0</v>
      </c>
      <c r="F251" s="133">
        <f t="shared" si="205"/>
        <v>0</v>
      </c>
      <c r="G251" s="108">
        <f t="shared" si="206"/>
        <v>0</v>
      </c>
      <c r="H251" s="122"/>
      <c r="I251" s="122"/>
      <c r="J251" s="122"/>
    </row>
    <row r="252">
      <c r="B252" s="86" t="str">
        <f t="shared" si="202"/>
        <v>Series G</v>
      </c>
      <c r="D252" s="122">
        <f t="shared" si="203"/>
        <v>0</v>
      </c>
      <c r="E252" s="122">
        <f t="shared" si="204"/>
        <v>0</v>
      </c>
      <c r="F252" s="133">
        <f t="shared" si="205"/>
        <v>0</v>
      </c>
      <c r="G252" s="108">
        <f t="shared" si="206"/>
        <v>0</v>
      </c>
      <c r="H252" s="122"/>
      <c r="I252" s="122"/>
      <c r="J252" s="122"/>
    </row>
    <row r="253">
      <c r="B253" s="86" t="str">
        <f t="shared" si="202"/>
        <v>Series F</v>
      </c>
      <c r="D253" s="122">
        <f t="shared" si="203"/>
        <v>0</v>
      </c>
      <c r="E253" s="122">
        <f t="shared" si="204"/>
        <v>0</v>
      </c>
      <c r="F253" s="133">
        <f t="shared" si="205"/>
        <v>0</v>
      </c>
      <c r="G253" s="108">
        <f t="shared" si="206"/>
        <v>0</v>
      </c>
      <c r="H253" s="122"/>
      <c r="I253" s="122"/>
      <c r="J253" s="122"/>
    </row>
    <row r="254">
      <c r="B254" s="86" t="str">
        <f t="shared" si="202"/>
        <v>Series E</v>
      </c>
      <c r="D254" s="122">
        <f t="shared" si="203"/>
        <v>0</v>
      </c>
      <c r="E254" s="122">
        <f t="shared" si="204"/>
        <v>0</v>
      </c>
      <c r="F254" s="133">
        <f t="shared" si="205"/>
        <v>0</v>
      </c>
      <c r="G254" s="108">
        <f t="shared" si="206"/>
        <v>0</v>
      </c>
      <c r="H254" s="122"/>
      <c r="I254" s="122"/>
      <c r="J254" s="122"/>
    </row>
    <row r="255">
      <c r="B255" s="86" t="str">
        <f t="shared" si="202"/>
        <v>Series D</v>
      </c>
      <c r="D255" s="122">
        <f t="shared" si="203"/>
        <v>0</v>
      </c>
      <c r="E255" s="122">
        <f t="shared" si="204"/>
        <v>0</v>
      </c>
      <c r="F255" s="133">
        <f t="shared" si="205"/>
        <v>0</v>
      </c>
      <c r="G255" s="108">
        <f t="shared" si="206"/>
        <v>0</v>
      </c>
      <c r="H255" s="122"/>
      <c r="I255" s="122"/>
      <c r="J255" s="122"/>
    </row>
    <row r="256">
      <c r="B256" s="86" t="str">
        <f t="shared" si="202"/>
        <v>Series C</v>
      </c>
      <c r="D256" s="122">
        <f t="shared" si="203"/>
        <v>650000</v>
      </c>
      <c r="E256" s="122">
        <f t="shared" si="204"/>
        <v>0.0000000001164153218</v>
      </c>
      <c r="F256" s="133">
        <f t="shared" si="205"/>
        <v>1</v>
      </c>
      <c r="G256" s="108">
        <f t="shared" si="206"/>
        <v>0</v>
      </c>
      <c r="H256" s="122"/>
      <c r="I256" s="122"/>
      <c r="J256" s="122"/>
    </row>
    <row r="257">
      <c r="B257" s="86" t="str">
        <f t="shared" si="202"/>
        <v>Series B</v>
      </c>
      <c r="D257" s="122">
        <f t="shared" si="203"/>
        <v>1907142.857</v>
      </c>
      <c r="E257" s="122">
        <f t="shared" si="204"/>
        <v>-92857.14286</v>
      </c>
      <c r="F257" s="133">
        <f t="shared" si="205"/>
        <v>0.9535714286</v>
      </c>
      <c r="G257" s="108">
        <f t="shared" si="206"/>
        <v>-0.04868913858</v>
      </c>
      <c r="H257" s="122"/>
      <c r="I257" s="122"/>
      <c r="J257" s="122"/>
    </row>
    <row r="258">
      <c r="B258" s="86" t="str">
        <f t="shared" si="202"/>
        <v>Series A</v>
      </c>
      <c r="D258" s="122">
        <f t="shared" si="203"/>
        <v>764285.7143</v>
      </c>
      <c r="E258" s="122">
        <f t="shared" si="204"/>
        <v>-235714.2857</v>
      </c>
      <c r="F258" s="133">
        <f t="shared" si="205"/>
        <v>0.7642857143</v>
      </c>
      <c r="G258" s="108">
        <f t="shared" si="206"/>
        <v>-0.308411215</v>
      </c>
      <c r="H258" s="122"/>
      <c r="I258" s="122"/>
      <c r="J258" s="122"/>
    </row>
    <row r="259">
      <c r="B259" s="86" t="str">
        <f t="shared" si="202"/>
        <v>Seed</v>
      </c>
      <c r="D259" s="122">
        <f t="shared" si="203"/>
        <v>335714.2857</v>
      </c>
      <c r="E259" s="122">
        <f t="shared" si="204"/>
        <v>-164285.7143</v>
      </c>
      <c r="F259" s="133">
        <f t="shared" si="205"/>
        <v>0.6714285714</v>
      </c>
      <c r="G259" s="108">
        <f t="shared" si="206"/>
        <v>-0.4893617021</v>
      </c>
      <c r="H259" s="122"/>
      <c r="I259" s="122"/>
      <c r="J259" s="122"/>
    </row>
    <row r="260">
      <c r="B260" s="86" t="str">
        <f t="shared" si="202"/>
        <v>Common</v>
      </c>
      <c r="D260" s="122">
        <f t="shared" si="203"/>
        <v>0</v>
      </c>
      <c r="E260" s="122">
        <f t="shared" si="204"/>
        <v>0</v>
      </c>
      <c r="F260" s="133">
        <f t="shared" si="205"/>
        <v>0</v>
      </c>
      <c r="G260" s="108">
        <f t="shared" si="206"/>
        <v>0</v>
      </c>
      <c r="H260" s="122"/>
      <c r="I260" s="122"/>
      <c r="J260" s="122"/>
    </row>
    <row r="261">
      <c r="B261" s="86" t="str">
        <f t="shared" si="202"/>
        <v>Options</v>
      </c>
      <c r="D261" s="122">
        <f t="shared" si="203"/>
        <v>0</v>
      </c>
      <c r="E261" s="122">
        <f t="shared" si="204"/>
        <v>0</v>
      </c>
      <c r="F261" s="133">
        <f t="shared" si="205"/>
        <v>0</v>
      </c>
      <c r="G261" s="108">
        <f t="shared" si="206"/>
        <v>0</v>
      </c>
      <c r="H261" s="122"/>
      <c r="I261" s="122"/>
      <c r="J261" s="122"/>
    </row>
    <row r="262">
      <c r="B262" s="86" t="str">
        <f t="shared" si="202"/>
        <v>Options</v>
      </c>
      <c r="D262" s="122">
        <f t="shared" si="203"/>
        <v>0</v>
      </c>
      <c r="E262" s="122">
        <f t="shared" si="204"/>
        <v>0</v>
      </c>
      <c r="F262" s="133">
        <f t="shared" si="205"/>
        <v>0</v>
      </c>
      <c r="G262" s="108">
        <f t="shared" si="206"/>
        <v>0</v>
      </c>
      <c r="H262" s="122"/>
      <c r="I262" s="122"/>
      <c r="J262" s="122"/>
    </row>
    <row r="263">
      <c r="B263" s="86" t="str">
        <f t="shared" si="202"/>
        <v>Warrants</v>
      </c>
      <c r="D263" s="122">
        <f t="shared" si="203"/>
        <v>0</v>
      </c>
      <c r="E263" s="122">
        <f t="shared" si="204"/>
        <v>0</v>
      </c>
      <c r="F263" s="133">
        <f t="shared" si="205"/>
        <v>0</v>
      </c>
      <c r="G263" s="108">
        <f t="shared" si="206"/>
        <v>0</v>
      </c>
      <c r="H263" s="122"/>
      <c r="I263" s="122"/>
      <c r="J263" s="122"/>
    </row>
    <row r="264">
      <c r="B264" s="124"/>
      <c r="D264" s="122"/>
      <c r="E264" s="122"/>
      <c r="F264" s="122"/>
      <c r="G264" s="122"/>
      <c r="H264" s="122"/>
      <c r="I264" s="122"/>
      <c r="J264" s="122"/>
    </row>
    <row r="265">
      <c r="B265" s="86"/>
    </row>
    <row r="266">
      <c r="B266" s="86"/>
    </row>
    <row r="267">
      <c r="B267" s="86"/>
    </row>
    <row r="268">
      <c r="B268" s="86"/>
    </row>
    <row r="269">
      <c r="B269" s="86"/>
    </row>
    <row r="270">
      <c r="B270" s="86"/>
    </row>
    <row r="271">
      <c r="B271" s="86"/>
    </row>
    <row r="272">
      <c r="B272" s="86"/>
    </row>
    <row r="273">
      <c r="B273" s="86"/>
    </row>
    <row r="274">
      <c r="B274" s="86"/>
    </row>
    <row r="275">
      <c r="B275" s="86"/>
    </row>
    <row r="276">
      <c r="B276" s="86"/>
    </row>
    <row r="277">
      <c r="B277" s="86"/>
    </row>
    <row r="278">
      <c r="B278" s="86"/>
    </row>
    <row r="279">
      <c r="B279" s="86"/>
    </row>
    <row r="280">
      <c r="B280" s="86"/>
    </row>
    <row r="281">
      <c r="B281" s="86"/>
    </row>
    <row r="282">
      <c r="B282" s="86"/>
    </row>
    <row r="283">
      <c r="B283" s="86"/>
    </row>
    <row r="284">
      <c r="B284" s="86"/>
    </row>
    <row r="285">
      <c r="B285" s="86"/>
    </row>
    <row r="286">
      <c r="B286" s="86"/>
    </row>
    <row r="287">
      <c r="B287" s="86"/>
    </row>
    <row r="288">
      <c r="B288" s="86"/>
    </row>
    <row r="289">
      <c r="B289" s="86"/>
    </row>
    <row r="290">
      <c r="B290" s="86"/>
    </row>
    <row r="291">
      <c r="B291" s="86"/>
    </row>
    <row r="292">
      <c r="B292" s="86"/>
    </row>
    <row r="293">
      <c r="B293" s="86"/>
    </row>
    <row r="294">
      <c r="B294" s="86"/>
    </row>
    <row r="295">
      <c r="B295" s="86"/>
    </row>
    <row r="296">
      <c r="B296" s="86"/>
    </row>
    <row r="297">
      <c r="B297" s="86"/>
    </row>
    <row r="298">
      <c r="B298" s="86"/>
    </row>
    <row r="299">
      <c r="B299" s="86"/>
    </row>
    <row r="300">
      <c r="B300" s="86"/>
    </row>
    <row r="301">
      <c r="B301" s="86"/>
    </row>
    <row r="302">
      <c r="B302" s="86"/>
    </row>
    <row r="303">
      <c r="B303" s="86"/>
    </row>
    <row r="304">
      <c r="B304" s="86"/>
    </row>
    <row r="305">
      <c r="B305" s="86"/>
    </row>
  </sheetData>
  <dataValidations>
    <dataValidation type="list" allowBlank="1" showErrorMessage="1" sqref="O23:O37">
      <formula1>"Non Participating,Full Participating,Participating Preferred with Cap"</formula1>
    </dataValidation>
    <dataValidation type="list" allowBlank="1" showErrorMessage="1" sqref="D23:D37">
      <formula1>"Common,Preferred,Options,Warrants"</formula1>
    </dataValidation>
    <dataValidation type="list" allowBlank="1" showErrorMessage="1" sqref="E23:E37">
      <formula1>'Exit Waterfall, with Convertibl'!B23:B$37</formula1>
    </dataValidation>
    <dataValidation type="list" allowBlank="1" sqref="AB23:AB37">
      <formula1>"postmoney SAFE,premoney SAFE,convertible note,carta premoney SAFE,not applicable"</formula1>
    </dataValidation>
    <dataValidation type="list" allowBlank="1" showErrorMessage="1" sqref="S23:S37">
      <formula1>"Non cumulative,Cumulative,Not declared"</formula1>
    </dataValidation>
  </dataValidations>
  <hyperlinks>
    <hyperlink r:id="rId1" ref="L10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2" width="37.88"/>
    <col customWidth="1" min="10" max="10" width="14.25"/>
    <col customWidth="1" min="11" max="11" width="10.0"/>
    <col customWidth="1" min="12" max="12" width="14.63"/>
    <col customWidth="1" min="13" max="13" width="16.88"/>
    <col customWidth="1" min="14" max="14" width="13.25"/>
    <col customWidth="1" min="15" max="16" width="13.63"/>
    <col customWidth="1" min="17" max="18" width="16.0"/>
    <col customWidth="1" min="19" max="19" width="13.5"/>
    <col customWidth="1" min="20" max="20" width="14.13"/>
    <col customWidth="1" min="21" max="21" width="13.25"/>
    <col customWidth="1" min="22" max="22" width="15.13"/>
    <col customWidth="1" min="23" max="23" width="14.5"/>
    <col customWidth="1" min="24" max="24" width="13.5"/>
    <col customWidth="1" min="25" max="29" width="13.25"/>
  </cols>
  <sheetData>
    <row r="1">
      <c r="M1" s="21"/>
      <c r="S1" s="21"/>
      <c r="T1" s="21"/>
      <c r="U1" s="21"/>
      <c r="V1" s="21"/>
      <c r="W1" s="21"/>
      <c r="X1" s="21"/>
      <c r="AC1" s="142"/>
    </row>
    <row r="2">
      <c r="B2" s="1" t="s">
        <v>275</v>
      </c>
      <c r="M2" s="21"/>
      <c r="S2" s="21"/>
      <c r="T2" s="21"/>
      <c r="U2" s="21"/>
      <c r="V2" s="21"/>
      <c r="W2" s="21"/>
      <c r="X2" s="21"/>
      <c r="AC2" s="142"/>
    </row>
    <row r="3">
      <c r="B3" s="23" t="s">
        <v>276</v>
      </c>
      <c r="M3" s="21"/>
      <c r="S3" s="21"/>
      <c r="T3" s="21"/>
      <c r="U3" s="21"/>
      <c r="V3" s="21"/>
      <c r="W3" s="21"/>
      <c r="X3" s="21"/>
      <c r="AC3" s="142"/>
    </row>
    <row r="4">
      <c r="M4" s="21"/>
      <c r="S4" s="21"/>
      <c r="T4" s="21"/>
      <c r="U4" s="21"/>
      <c r="V4" s="21"/>
      <c r="W4" s="21"/>
      <c r="X4" s="21"/>
      <c r="AC4" s="142"/>
    </row>
    <row r="5">
      <c r="B5" s="24" t="s">
        <v>76</v>
      </c>
      <c r="C5" s="25"/>
      <c r="D5" s="25"/>
      <c r="E5" s="25"/>
      <c r="F5" s="25"/>
      <c r="G5" s="25"/>
      <c r="H5" s="25"/>
      <c r="I5" s="25"/>
      <c r="J5" s="25"/>
      <c r="L5" s="24" t="s">
        <v>77</v>
      </c>
      <c r="M5" s="26"/>
      <c r="N5" s="25"/>
      <c r="O5" s="25"/>
      <c r="P5" s="25"/>
      <c r="Q5" s="26"/>
      <c r="R5" s="26"/>
      <c r="S5" s="26"/>
      <c r="T5" s="26"/>
      <c r="U5" s="26"/>
      <c r="V5" s="26"/>
      <c r="W5" s="25"/>
      <c r="X5" s="25"/>
      <c r="Y5" s="25"/>
      <c r="Z5" s="25"/>
      <c r="AA5" s="25"/>
      <c r="AC5" s="142"/>
    </row>
    <row r="6">
      <c r="M6" s="21"/>
      <c r="Q6" s="21"/>
      <c r="R6" s="21"/>
      <c r="S6" s="21"/>
      <c r="T6" s="21"/>
      <c r="U6" s="21"/>
      <c r="V6" s="21"/>
      <c r="AC6" s="142"/>
    </row>
    <row r="7">
      <c r="A7" s="27"/>
      <c r="B7" s="28" t="s">
        <v>78</v>
      </c>
      <c r="C7" s="29" t="s">
        <v>79</v>
      </c>
      <c r="D7" s="29" t="s">
        <v>80</v>
      </c>
      <c r="E7" s="29" t="s">
        <v>81</v>
      </c>
      <c r="F7" s="29" t="s">
        <v>82</v>
      </c>
      <c r="G7" s="29" t="s">
        <v>83</v>
      </c>
      <c r="H7" s="30" t="s">
        <v>190</v>
      </c>
      <c r="I7" s="29" t="s">
        <v>84</v>
      </c>
      <c r="J7" s="29" t="s">
        <v>85</v>
      </c>
      <c r="K7" s="27"/>
      <c r="L7" s="28" t="s">
        <v>86</v>
      </c>
      <c r="M7" s="30" t="s">
        <v>87</v>
      </c>
      <c r="N7" s="30" t="s">
        <v>88</v>
      </c>
      <c r="O7" s="30" t="s">
        <v>88</v>
      </c>
      <c r="P7" s="30" t="s">
        <v>89</v>
      </c>
      <c r="Q7" s="30" t="str">
        <f t="shared" ref="Q7:R7" si="1">C7&amp;" Issued or Transferred"</f>
        <v>Common Shares Issued or Transferred</v>
      </c>
      <c r="R7" s="30" t="str">
        <f t="shared" si="1"/>
        <v>Preferred Shares Issued or Transferred</v>
      </c>
      <c r="S7" s="30" t="str">
        <f>E7&amp;" Issued, Cancelled, or Recategorized"</f>
        <v>Options Issued, Cancelled, or Recategorized</v>
      </c>
      <c r="T7" s="29" t="str">
        <f t="shared" ref="T7:X7" si="2">C7</f>
        <v>Common Shares</v>
      </c>
      <c r="U7" s="29" t="str">
        <f t="shared" si="2"/>
        <v>Preferred Shares</v>
      </c>
      <c r="V7" s="29" t="str">
        <f t="shared" si="2"/>
        <v>Options</v>
      </c>
      <c r="W7" s="29" t="str">
        <f t="shared" si="2"/>
        <v>Issued and Outstanding</v>
      </c>
      <c r="X7" s="29" t="str">
        <f t="shared" si="2"/>
        <v>% Issued and Outstanding</v>
      </c>
      <c r="Y7" s="30" t="s">
        <v>190</v>
      </c>
      <c r="Z7" s="30" t="str">
        <f t="shared" ref="Z7:AA7" si="3">I7</f>
        <v>Fully Diluted Shares</v>
      </c>
      <c r="AA7" s="29" t="str">
        <f t="shared" si="3"/>
        <v>% Fully Diluted</v>
      </c>
      <c r="AC7" s="142"/>
    </row>
    <row r="8">
      <c r="B8" s="31"/>
      <c r="D8" s="32" t="s">
        <v>90</v>
      </c>
      <c r="I8" s="33" t="s">
        <v>277</v>
      </c>
      <c r="M8" s="32" t="s">
        <v>91</v>
      </c>
      <c r="N8" s="32" t="s">
        <v>92</v>
      </c>
      <c r="O8" s="32" t="s">
        <v>93</v>
      </c>
      <c r="P8" s="32" t="s">
        <v>94</v>
      </c>
      <c r="Q8" s="33" t="s">
        <v>95</v>
      </c>
      <c r="R8" s="32"/>
      <c r="S8" s="32"/>
      <c r="Y8" s="21"/>
      <c r="Z8" s="33" t="str">
        <f t="shared" ref="Z8:AA8" si="4">I8</f>
        <v>on an as-converted basis</v>
      </c>
      <c r="AA8" s="33" t="str">
        <f t="shared" si="4"/>
        <v/>
      </c>
      <c r="AC8" s="142"/>
    </row>
    <row r="9">
      <c r="B9" s="34" t="s">
        <v>96</v>
      </c>
      <c r="C9" s="35"/>
      <c r="D9" s="35"/>
      <c r="E9" s="35"/>
      <c r="F9" s="36"/>
      <c r="G9" s="37"/>
      <c r="H9" s="36"/>
      <c r="I9" s="36"/>
      <c r="J9" s="37"/>
      <c r="M9" s="21"/>
      <c r="N9" s="36"/>
      <c r="O9" s="36"/>
      <c r="P9" s="36"/>
      <c r="Q9" s="36"/>
      <c r="R9" s="36"/>
      <c r="S9" s="36"/>
      <c r="T9" s="36"/>
      <c r="U9" s="36"/>
      <c r="V9" s="36"/>
      <c r="W9" s="36"/>
      <c r="X9" s="37"/>
      <c r="Y9" s="36"/>
      <c r="Z9" s="36"/>
      <c r="AA9" s="37"/>
      <c r="AC9" s="142"/>
    </row>
    <row r="10">
      <c r="B10" s="38" t="s">
        <v>78</v>
      </c>
      <c r="C10" s="39">
        <v>0.0</v>
      </c>
      <c r="D10" s="40">
        <v>0.0</v>
      </c>
      <c r="E10" s="41">
        <v>0.0</v>
      </c>
      <c r="F10" s="36">
        <f t="shared" ref="F10:F14" si="5">D10+C10</f>
        <v>0</v>
      </c>
      <c r="G10" s="37">
        <f t="shared" ref="G10:G14" si="6">iferror(F10/F$35,0)</f>
        <v>0</v>
      </c>
      <c r="H10" s="143">
        <v>1.0</v>
      </c>
      <c r="I10" s="36">
        <f t="shared" ref="I10:I14" si="7">E10+D10*H10+C10</f>
        <v>0</v>
      </c>
      <c r="J10" s="37">
        <f t="shared" ref="J10:J14" si="8">iferror(I10/I$35,0)</f>
        <v>0</v>
      </c>
      <c r="L10" s="42">
        <v>0.0</v>
      </c>
      <c r="M10" s="42">
        <v>0.0</v>
      </c>
      <c r="N10" s="42">
        <v>0.0</v>
      </c>
      <c r="O10" s="42">
        <v>0.0</v>
      </c>
      <c r="P10" s="42">
        <v>0.0</v>
      </c>
      <c r="Q10" s="39">
        <v>0.0</v>
      </c>
      <c r="R10" s="39">
        <v>0.0</v>
      </c>
      <c r="S10" s="39">
        <v>0.0</v>
      </c>
      <c r="T10" s="36">
        <f t="shared" ref="T10:T14" si="9">C10+Q10</f>
        <v>0</v>
      </c>
      <c r="U10" s="36">
        <f t="shared" ref="U10:U14" si="10">O10+D10+N10+R10</f>
        <v>0</v>
      </c>
      <c r="V10" s="36">
        <f t="shared" ref="V10:V14" si="11">E10+P10+S10</f>
        <v>0</v>
      </c>
      <c r="W10" s="36">
        <f t="shared" ref="W10:W14" si="12">U10+T10</f>
        <v>0</v>
      </c>
      <c r="X10" s="37">
        <f t="shared" ref="X10:X14" si="13">iferror(W10/W$35,0)</f>
        <v>0</v>
      </c>
      <c r="Y10" s="144">
        <v>1.0</v>
      </c>
      <c r="Z10" s="36">
        <f t="shared" ref="Z10:Z14" si="14">T10+V10+round((U10-N10-O10)*Y10,0)+N10+O10</f>
        <v>0</v>
      </c>
      <c r="AA10" s="37">
        <f t="shared" ref="AA10:AA14" si="15">iferror(Z10/Z$35,0)</f>
        <v>0</v>
      </c>
      <c r="AC10" s="142"/>
    </row>
    <row r="11">
      <c r="B11" s="38" t="s">
        <v>78</v>
      </c>
      <c r="C11" s="39">
        <v>0.0</v>
      </c>
      <c r="D11" s="40">
        <v>0.0</v>
      </c>
      <c r="E11" s="41">
        <v>0.0</v>
      </c>
      <c r="F11" s="36">
        <f t="shared" si="5"/>
        <v>0</v>
      </c>
      <c r="G11" s="37">
        <f t="shared" si="6"/>
        <v>0</v>
      </c>
      <c r="H11" s="143">
        <v>1.0</v>
      </c>
      <c r="I11" s="36">
        <f t="shared" si="7"/>
        <v>0</v>
      </c>
      <c r="J11" s="37">
        <f t="shared" si="8"/>
        <v>0</v>
      </c>
      <c r="L11" s="42">
        <v>0.0</v>
      </c>
      <c r="M11" s="42">
        <v>0.0</v>
      </c>
      <c r="N11" s="42">
        <v>0.0</v>
      </c>
      <c r="O11" s="42">
        <v>0.0</v>
      </c>
      <c r="P11" s="42">
        <v>0.0</v>
      </c>
      <c r="Q11" s="39">
        <v>0.0</v>
      </c>
      <c r="R11" s="39">
        <v>0.0</v>
      </c>
      <c r="S11" s="39">
        <v>0.0</v>
      </c>
      <c r="T11" s="36">
        <f t="shared" si="9"/>
        <v>0</v>
      </c>
      <c r="U11" s="36">
        <f t="shared" si="10"/>
        <v>0</v>
      </c>
      <c r="V11" s="36">
        <f t="shared" si="11"/>
        <v>0</v>
      </c>
      <c r="W11" s="36">
        <f t="shared" si="12"/>
        <v>0</v>
      </c>
      <c r="X11" s="37">
        <f t="shared" si="13"/>
        <v>0</v>
      </c>
      <c r="Y11" s="144">
        <v>1.0</v>
      </c>
      <c r="Z11" s="36">
        <f t="shared" si="14"/>
        <v>0</v>
      </c>
      <c r="AA11" s="37">
        <f t="shared" si="15"/>
        <v>0</v>
      </c>
      <c r="AC11" s="142"/>
    </row>
    <row r="12">
      <c r="B12" s="38" t="s">
        <v>78</v>
      </c>
      <c r="C12" s="39">
        <v>0.0</v>
      </c>
      <c r="D12" s="40">
        <v>0.0</v>
      </c>
      <c r="E12" s="41">
        <v>0.0</v>
      </c>
      <c r="F12" s="36">
        <f t="shared" si="5"/>
        <v>0</v>
      </c>
      <c r="G12" s="37">
        <f t="shared" si="6"/>
        <v>0</v>
      </c>
      <c r="H12" s="143">
        <v>1.0</v>
      </c>
      <c r="I12" s="36">
        <f t="shared" si="7"/>
        <v>0</v>
      </c>
      <c r="J12" s="37">
        <f t="shared" si="8"/>
        <v>0</v>
      </c>
      <c r="L12" s="42">
        <v>0.0</v>
      </c>
      <c r="M12" s="42">
        <v>0.0</v>
      </c>
      <c r="N12" s="42">
        <v>0.0</v>
      </c>
      <c r="O12" s="42">
        <v>0.0</v>
      </c>
      <c r="P12" s="42">
        <v>0.0</v>
      </c>
      <c r="Q12" s="39">
        <v>0.0</v>
      </c>
      <c r="R12" s="39">
        <v>0.0</v>
      </c>
      <c r="S12" s="39">
        <v>0.0</v>
      </c>
      <c r="T12" s="36">
        <f t="shared" si="9"/>
        <v>0</v>
      </c>
      <c r="U12" s="36">
        <f t="shared" si="10"/>
        <v>0</v>
      </c>
      <c r="V12" s="36">
        <f t="shared" si="11"/>
        <v>0</v>
      </c>
      <c r="W12" s="36">
        <f t="shared" si="12"/>
        <v>0</v>
      </c>
      <c r="X12" s="37">
        <f t="shared" si="13"/>
        <v>0</v>
      </c>
      <c r="Y12" s="144">
        <v>1.0</v>
      </c>
      <c r="Z12" s="36">
        <f t="shared" si="14"/>
        <v>0</v>
      </c>
      <c r="AA12" s="37">
        <f t="shared" si="15"/>
        <v>0</v>
      </c>
      <c r="AC12" s="142"/>
    </row>
    <row r="13">
      <c r="B13" s="38" t="s">
        <v>78</v>
      </c>
      <c r="C13" s="39">
        <v>0.0</v>
      </c>
      <c r="D13" s="40">
        <v>0.0</v>
      </c>
      <c r="E13" s="41">
        <v>0.0</v>
      </c>
      <c r="F13" s="36">
        <f t="shared" si="5"/>
        <v>0</v>
      </c>
      <c r="G13" s="37">
        <f t="shared" si="6"/>
        <v>0</v>
      </c>
      <c r="H13" s="143">
        <v>1.0</v>
      </c>
      <c r="I13" s="36">
        <f t="shared" si="7"/>
        <v>0</v>
      </c>
      <c r="J13" s="37">
        <f t="shared" si="8"/>
        <v>0</v>
      </c>
      <c r="L13" s="42">
        <v>0.0</v>
      </c>
      <c r="M13" s="42">
        <v>0.0</v>
      </c>
      <c r="N13" s="42">
        <v>0.0</v>
      </c>
      <c r="O13" s="42">
        <v>0.0</v>
      </c>
      <c r="P13" s="42">
        <v>0.0</v>
      </c>
      <c r="Q13" s="39">
        <v>0.0</v>
      </c>
      <c r="R13" s="39">
        <v>0.0</v>
      </c>
      <c r="S13" s="39">
        <v>0.0</v>
      </c>
      <c r="T13" s="36">
        <f t="shared" si="9"/>
        <v>0</v>
      </c>
      <c r="U13" s="36">
        <f t="shared" si="10"/>
        <v>0</v>
      </c>
      <c r="V13" s="36">
        <f t="shared" si="11"/>
        <v>0</v>
      </c>
      <c r="W13" s="36">
        <f t="shared" si="12"/>
        <v>0</v>
      </c>
      <c r="X13" s="37">
        <f t="shared" si="13"/>
        <v>0</v>
      </c>
      <c r="Y13" s="144">
        <v>1.0</v>
      </c>
      <c r="Z13" s="36">
        <f t="shared" si="14"/>
        <v>0</v>
      </c>
      <c r="AA13" s="37">
        <f t="shared" si="15"/>
        <v>0</v>
      </c>
      <c r="AC13" s="142"/>
    </row>
    <row r="14">
      <c r="B14" s="38" t="s">
        <v>78</v>
      </c>
      <c r="C14" s="39">
        <v>0.0</v>
      </c>
      <c r="D14" s="40">
        <v>0.0</v>
      </c>
      <c r="E14" s="41">
        <v>0.0</v>
      </c>
      <c r="F14" s="36">
        <f t="shared" si="5"/>
        <v>0</v>
      </c>
      <c r="G14" s="37">
        <f t="shared" si="6"/>
        <v>0</v>
      </c>
      <c r="H14" s="143">
        <v>1.0</v>
      </c>
      <c r="I14" s="36">
        <f t="shared" si="7"/>
        <v>0</v>
      </c>
      <c r="J14" s="37">
        <f t="shared" si="8"/>
        <v>0</v>
      </c>
      <c r="L14" s="42">
        <v>0.0</v>
      </c>
      <c r="M14" s="42">
        <v>0.0</v>
      </c>
      <c r="N14" s="42">
        <v>0.0</v>
      </c>
      <c r="O14" s="42">
        <v>0.0</v>
      </c>
      <c r="P14" s="42">
        <v>0.0</v>
      </c>
      <c r="Q14" s="39">
        <v>0.0</v>
      </c>
      <c r="R14" s="39">
        <v>0.0</v>
      </c>
      <c r="S14" s="39">
        <v>0.0</v>
      </c>
      <c r="T14" s="36">
        <f t="shared" si="9"/>
        <v>0</v>
      </c>
      <c r="U14" s="36">
        <f t="shared" si="10"/>
        <v>0</v>
      </c>
      <c r="V14" s="36">
        <f t="shared" si="11"/>
        <v>0</v>
      </c>
      <c r="W14" s="36">
        <f t="shared" si="12"/>
        <v>0</v>
      </c>
      <c r="X14" s="37">
        <f t="shared" si="13"/>
        <v>0</v>
      </c>
      <c r="Y14" s="144">
        <v>1.0</v>
      </c>
      <c r="Z14" s="36">
        <f t="shared" si="14"/>
        <v>0</v>
      </c>
      <c r="AA14" s="37">
        <f t="shared" si="15"/>
        <v>0</v>
      </c>
      <c r="AC14" s="142"/>
    </row>
    <row r="15">
      <c r="B15" s="15"/>
      <c r="C15" s="43"/>
      <c r="D15" s="43"/>
      <c r="E15" s="43"/>
      <c r="F15" s="21"/>
      <c r="H15" s="21"/>
      <c r="I15" s="21"/>
      <c r="M15" s="21"/>
      <c r="N15" s="36"/>
      <c r="O15" s="36"/>
      <c r="P15" s="44"/>
      <c r="Q15" s="44"/>
      <c r="R15" s="44"/>
      <c r="S15" s="44"/>
      <c r="T15" s="44"/>
      <c r="U15" s="36"/>
      <c r="V15" s="36"/>
      <c r="Y15" s="36"/>
      <c r="Z15" s="36"/>
      <c r="AC15" s="142"/>
    </row>
    <row r="16">
      <c r="B16" s="34" t="s">
        <v>97</v>
      </c>
      <c r="C16" s="43"/>
      <c r="D16" s="43"/>
      <c r="E16" s="43"/>
      <c r="F16" s="21"/>
      <c r="H16" s="21"/>
      <c r="I16" s="21"/>
      <c r="M16" s="21"/>
      <c r="N16" s="36"/>
      <c r="O16" s="36"/>
      <c r="P16" s="44"/>
      <c r="Q16" s="44"/>
      <c r="R16" s="44"/>
      <c r="S16" s="44"/>
      <c r="T16" s="44"/>
      <c r="U16" s="36"/>
      <c r="V16" s="36"/>
      <c r="Y16" s="36"/>
      <c r="Z16" s="36"/>
      <c r="AC16" s="142"/>
    </row>
    <row r="17">
      <c r="B17" s="45" t="str">
        <f>B16&amp;" issued and outstanding"</f>
        <v>Options and RSUs issued and outstanding</v>
      </c>
      <c r="C17" s="39">
        <v>0.0</v>
      </c>
      <c r="D17" s="40">
        <v>0.0</v>
      </c>
      <c r="E17" s="41">
        <v>0.0</v>
      </c>
      <c r="F17" s="36">
        <f t="shared" ref="F17:F20" si="16">D17+C17</f>
        <v>0</v>
      </c>
      <c r="G17" s="37">
        <f t="shared" ref="G17:G20" si="17">iferror(F17/F$35,0)</f>
        <v>0</v>
      </c>
      <c r="H17" s="143">
        <v>1.0</v>
      </c>
      <c r="I17" s="36">
        <f t="shared" ref="I17:I20" si="18">E17+D17*H17+C17</f>
        <v>0</v>
      </c>
      <c r="J17" s="37">
        <f t="shared" ref="J17:J20" si="19">iferror(I17/I$35,0)</f>
        <v>0</v>
      </c>
      <c r="L17" s="42">
        <v>0.0</v>
      </c>
      <c r="M17" s="42">
        <v>0.0</v>
      </c>
      <c r="N17" s="42">
        <v>0.0</v>
      </c>
      <c r="O17" s="42">
        <v>0.0</v>
      </c>
      <c r="P17" s="42">
        <v>0.0</v>
      </c>
      <c r="Q17" s="39">
        <v>0.0</v>
      </c>
      <c r="R17" s="39">
        <v>0.0</v>
      </c>
      <c r="S17" s="39">
        <f>abs(N67)</f>
        <v>0</v>
      </c>
      <c r="T17" s="36">
        <f t="shared" ref="T17:T20" si="20">C17+Q17</f>
        <v>0</v>
      </c>
      <c r="U17" s="36">
        <f t="shared" ref="U17:U20" si="21">O17+D17+N17+R17</f>
        <v>0</v>
      </c>
      <c r="V17" s="36">
        <f t="shared" ref="V17:V20" si="22">E17+P17+S17</f>
        <v>0</v>
      </c>
      <c r="W17" s="36">
        <f t="shared" ref="W17:W20" si="23">U17+T17</f>
        <v>0</v>
      </c>
      <c r="X17" s="37">
        <f t="shared" ref="X17:X20" si="24">iferror(W17/W$35,0)</f>
        <v>0</v>
      </c>
      <c r="Y17" s="143">
        <v>1.0</v>
      </c>
      <c r="Z17" s="36">
        <f t="shared" ref="Z17:Z20" si="25">T17+V17+round((U17-N17-O17)*Y17,0)+N17+O17</f>
        <v>0</v>
      </c>
      <c r="AA17" s="37">
        <f t="shared" ref="AA17:AA20" si="26">iferror(Z17/Z$35,0)</f>
        <v>0</v>
      </c>
      <c r="AC17" s="142"/>
    </row>
    <row r="18">
      <c r="B18" s="45" t="s">
        <v>98</v>
      </c>
      <c r="C18" s="39">
        <v>0.0</v>
      </c>
      <c r="D18" s="40">
        <v>0.0</v>
      </c>
      <c r="E18" s="41">
        <v>0.0</v>
      </c>
      <c r="F18" s="36">
        <f t="shared" si="16"/>
        <v>0</v>
      </c>
      <c r="G18" s="37">
        <f t="shared" si="17"/>
        <v>0</v>
      </c>
      <c r="H18" s="143">
        <v>1.0</v>
      </c>
      <c r="I18" s="36">
        <f t="shared" si="18"/>
        <v>0</v>
      </c>
      <c r="J18" s="37">
        <f t="shared" si="19"/>
        <v>0</v>
      </c>
      <c r="L18" s="42">
        <v>0.0</v>
      </c>
      <c r="M18" s="42">
        <v>0.0</v>
      </c>
      <c r="N18" s="42">
        <v>0.0</v>
      </c>
      <c r="O18" s="42">
        <v>0.0</v>
      </c>
      <c r="P18" s="42">
        <v>0.0</v>
      </c>
      <c r="Q18" s="39">
        <v>0.0</v>
      </c>
      <c r="R18" s="39">
        <v>0.0</v>
      </c>
      <c r="S18" s="39">
        <f>S19*-1+abs(N67)*-1</f>
        <v>0</v>
      </c>
      <c r="T18" s="36">
        <f t="shared" si="20"/>
        <v>0</v>
      </c>
      <c r="U18" s="36">
        <f t="shared" si="21"/>
        <v>0</v>
      </c>
      <c r="V18" s="36">
        <f t="shared" si="22"/>
        <v>0</v>
      </c>
      <c r="W18" s="36">
        <f t="shared" si="23"/>
        <v>0</v>
      </c>
      <c r="X18" s="37">
        <f t="shared" si="24"/>
        <v>0</v>
      </c>
      <c r="Y18" s="143">
        <v>1.0</v>
      </c>
      <c r="Z18" s="36">
        <f t="shared" si="25"/>
        <v>0</v>
      </c>
      <c r="AA18" s="37">
        <f t="shared" si="26"/>
        <v>0</v>
      </c>
      <c r="AC18" s="142"/>
    </row>
    <row r="19">
      <c r="B19" s="45" t="s">
        <v>99</v>
      </c>
      <c r="C19" s="42">
        <v>0.0</v>
      </c>
      <c r="D19" s="42">
        <v>0.0</v>
      </c>
      <c r="E19" s="42">
        <v>0.0</v>
      </c>
      <c r="F19" s="36">
        <f t="shared" si="16"/>
        <v>0</v>
      </c>
      <c r="G19" s="37">
        <f t="shared" si="17"/>
        <v>0</v>
      </c>
      <c r="H19" s="143">
        <v>1.0</v>
      </c>
      <c r="I19" s="36">
        <f t="shared" si="18"/>
        <v>0</v>
      </c>
      <c r="J19" s="37">
        <f t="shared" si="19"/>
        <v>0</v>
      </c>
      <c r="L19" s="42">
        <v>0.0</v>
      </c>
      <c r="M19" s="42">
        <v>0.0</v>
      </c>
      <c r="N19" s="42">
        <v>0.0</v>
      </c>
      <c r="O19" s="42">
        <v>0.0</v>
      </c>
      <c r="P19" s="36">
        <f>N69</f>
        <v>0</v>
      </c>
      <c r="Q19" s="39">
        <v>0.0</v>
      </c>
      <c r="R19" s="39">
        <v>0.0</v>
      </c>
      <c r="S19" s="39">
        <f>-1*E19</f>
        <v>0</v>
      </c>
      <c r="T19" s="36">
        <f t="shared" si="20"/>
        <v>0</v>
      </c>
      <c r="U19" s="36">
        <f t="shared" si="21"/>
        <v>0</v>
      </c>
      <c r="V19" s="36">
        <f t="shared" si="22"/>
        <v>0</v>
      </c>
      <c r="W19" s="36">
        <f t="shared" si="23"/>
        <v>0</v>
      </c>
      <c r="X19" s="37">
        <f t="shared" si="24"/>
        <v>0</v>
      </c>
      <c r="Y19" s="143">
        <v>1.0</v>
      </c>
      <c r="Z19" s="36">
        <f t="shared" si="25"/>
        <v>0</v>
      </c>
      <c r="AA19" s="37">
        <f t="shared" si="26"/>
        <v>0</v>
      </c>
      <c r="AC19" s="142"/>
    </row>
    <row r="20">
      <c r="B20" s="45" t="s">
        <v>278</v>
      </c>
      <c r="C20" s="39">
        <v>0.0</v>
      </c>
      <c r="D20" s="40">
        <v>0.0</v>
      </c>
      <c r="E20" s="41">
        <v>0.0</v>
      </c>
      <c r="F20" s="36">
        <f t="shared" si="16"/>
        <v>0</v>
      </c>
      <c r="G20" s="37">
        <f t="shared" si="17"/>
        <v>0</v>
      </c>
      <c r="H20" s="143">
        <v>1.0</v>
      </c>
      <c r="I20" s="36">
        <f t="shared" si="18"/>
        <v>0</v>
      </c>
      <c r="J20" s="37">
        <f t="shared" si="19"/>
        <v>0</v>
      </c>
      <c r="L20" s="42">
        <v>0.0</v>
      </c>
      <c r="M20" s="42">
        <v>0.0</v>
      </c>
      <c r="N20" s="42">
        <v>0.0</v>
      </c>
      <c r="O20" s="42">
        <v>0.0</v>
      </c>
      <c r="P20" s="145">
        <v>0.0</v>
      </c>
      <c r="Q20" s="39">
        <v>0.0</v>
      </c>
      <c r="R20" s="39">
        <v>0.0</v>
      </c>
      <c r="S20" s="39">
        <v>0.0</v>
      </c>
      <c r="T20" s="36">
        <f t="shared" si="20"/>
        <v>0</v>
      </c>
      <c r="U20" s="36">
        <f t="shared" si="21"/>
        <v>0</v>
      </c>
      <c r="V20" s="36">
        <f t="shared" si="22"/>
        <v>0</v>
      </c>
      <c r="W20" s="36">
        <f t="shared" si="23"/>
        <v>0</v>
      </c>
      <c r="X20" s="37">
        <f t="shared" si="24"/>
        <v>0</v>
      </c>
      <c r="Y20" s="143">
        <v>1.0</v>
      </c>
      <c r="Z20" s="39">
        <f t="shared" si="25"/>
        <v>0</v>
      </c>
      <c r="AA20" s="37">
        <f t="shared" si="26"/>
        <v>0</v>
      </c>
      <c r="AC20" s="142"/>
    </row>
    <row r="21">
      <c r="C21" s="43"/>
      <c r="D21" s="43"/>
      <c r="E21" s="43"/>
      <c r="F21" s="21"/>
      <c r="H21" s="21"/>
      <c r="I21" s="21"/>
      <c r="M21" s="21"/>
      <c r="N21" s="36"/>
      <c r="O21" s="36"/>
      <c r="P21" s="36"/>
      <c r="Q21" s="36"/>
      <c r="R21" s="36"/>
      <c r="S21" s="36"/>
      <c r="T21" s="36"/>
      <c r="U21" s="36"/>
      <c r="V21" s="36"/>
      <c r="Y21" s="21"/>
      <c r="Z21" s="21"/>
      <c r="AC21" s="142"/>
    </row>
    <row r="22">
      <c r="B22" s="34" t="s">
        <v>279</v>
      </c>
      <c r="C22" s="43"/>
      <c r="D22" s="43"/>
      <c r="E22" s="43"/>
      <c r="F22" s="21"/>
      <c r="H22" s="21"/>
      <c r="I22" s="21"/>
      <c r="M22" s="21"/>
      <c r="N22" s="36"/>
      <c r="O22" s="36"/>
      <c r="P22" s="36"/>
      <c r="Q22" s="36"/>
      <c r="R22" s="36"/>
      <c r="S22" s="36"/>
      <c r="T22" s="36"/>
      <c r="U22" s="36"/>
      <c r="V22" s="36"/>
      <c r="Y22" s="21"/>
      <c r="Z22" s="21"/>
      <c r="AA22" s="46"/>
      <c r="AC22" s="142"/>
    </row>
    <row r="23">
      <c r="B23" s="38" t="str">
        <f t="shared" ref="B23:B26" si="27">L56</f>
        <v>Investor</v>
      </c>
      <c r="C23" s="42">
        <v>0.0</v>
      </c>
      <c r="D23" s="42">
        <v>0.0</v>
      </c>
      <c r="E23" s="42">
        <v>0.0</v>
      </c>
      <c r="F23" s="36">
        <f t="shared" ref="F23:F26" si="28">D23+C23</f>
        <v>0</v>
      </c>
      <c r="G23" s="37">
        <f t="shared" ref="G23:G26" si="29">iferror(F23/F$35,0)</f>
        <v>0</v>
      </c>
      <c r="H23" s="144">
        <v>1.0</v>
      </c>
      <c r="I23" s="36">
        <f t="shared" ref="I23:I26" si="30">E23+D23*H23+C23</f>
        <v>0</v>
      </c>
      <c r="J23" s="37">
        <f t="shared" ref="J23:J26" si="31">iferror(I23/I$35,0)</f>
        <v>0</v>
      </c>
      <c r="L23" s="39">
        <v>0.0</v>
      </c>
      <c r="M23" s="36">
        <f t="shared" ref="M23:M26" si="32">iferror(N$42*O23,0)</f>
        <v>0</v>
      </c>
      <c r="N23" s="36">
        <f t="shared" ref="N23:N26" si="33">X56</f>
        <v>0</v>
      </c>
      <c r="O23" s="36">
        <f t="shared" ref="O23:O26" si="34">iferror(if(N$48="rounddown",rounddown(L23/N$42,0),if(N$48="roundup",roundup(L23/N$42,0),if(N$48="round",round(L23/N$42,0),L23/N$42))),0)</f>
        <v>0</v>
      </c>
      <c r="P23" s="42">
        <v>0.0</v>
      </c>
      <c r="Q23" s="39">
        <v>0.0</v>
      </c>
      <c r="R23" s="39">
        <v>0.0</v>
      </c>
      <c r="S23" s="39">
        <v>0.0</v>
      </c>
      <c r="T23" s="36">
        <f t="shared" ref="T23:T26" si="35">C23+Q23</f>
        <v>0</v>
      </c>
      <c r="U23" s="36">
        <f t="shared" ref="U23:U26" si="36">O23+D23+N23+R23</f>
        <v>0</v>
      </c>
      <c r="V23" s="36">
        <f t="shared" ref="V23:V26" si="37">E23+P23+S23</f>
        <v>0</v>
      </c>
      <c r="W23" s="36">
        <f t="shared" ref="W23:W26" si="38">U23+T23</f>
        <v>0</v>
      </c>
      <c r="X23" s="37">
        <f t="shared" ref="X23:X26" si="39">iferror(W23/W$35,0)</f>
        <v>0</v>
      </c>
      <c r="Y23" s="144">
        <v>1.0</v>
      </c>
      <c r="Z23" s="36">
        <f t="shared" ref="Z23:Z26" si="40">T23+V23+round((U23-N23-O23)*Y23,0)+N23+O23</f>
        <v>0</v>
      </c>
      <c r="AA23" s="37">
        <f t="shared" ref="AA23:AA26" si="41">iferror(Z23/Z$35,0)</f>
        <v>0</v>
      </c>
      <c r="AC23" s="142"/>
    </row>
    <row r="24">
      <c r="B24" s="38" t="str">
        <f t="shared" si="27"/>
        <v>Investor</v>
      </c>
      <c r="C24" s="42">
        <v>0.0</v>
      </c>
      <c r="D24" s="42">
        <v>0.0</v>
      </c>
      <c r="E24" s="42">
        <v>0.0</v>
      </c>
      <c r="F24" s="36">
        <f t="shared" si="28"/>
        <v>0</v>
      </c>
      <c r="G24" s="37">
        <f t="shared" si="29"/>
        <v>0</v>
      </c>
      <c r="H24" s="144">
        <v>1.0</v>
      </c>
      <c r="I24" s="36">
        <f t="shared" si="30"/>
        <v>0</v>
      </c>
      <c r="J24" s="37">
        <f t="shared" si="31"/>
        <v>0</v>
      </c>
      <c r="L24" s="39">
        <v>0.0</v>
      </c>
      <c r="M24" s="36">
        <f t="shared" si="32"/>
        <v>0</v>
      </c>
      <c r="N24" s="36">
        <f t="shared" si="33"/>
        <v>0</v>
      </c>
      <c r="O24" s="36">
        <f t="shared" si="34"/>
        <v>0</v>
      </c>
      <c r="P24" s="42">
        <v>0.0</v>
      </c>
      <c r="Q24" s="39">
        <v>0.0</v>
      </c>
      <c r="R24" s="39">
        <v>0.0</v>
      </c>
      <c r="S24" s="39">
        <v>0.0</v>
      </c>
      <c r="T24" s="36">
        <f t="shared" si="35"/>
        <v>0</v>
      </c>
      <c r="U24" s="36">
        <f t="shared" si="36"/>
        <v>0</v>
      </c>
      <c r="V24" s="36">
        <f t="shared" si="37"/>
        <v>0</v>
      </c>
      <c r="W24" s="36">
        <f t="shared" si="38"/>
        <v>0</v>
      </c>
      <c r="X24" s="37">
        <f t="shared" si="39"/>
        <v>0</v>
      </c>
      <c r="Y24" s="144">
        <v>1.0</v>
      </c>
      <c r="Z24" s="36">
        <f t="shared" si="40"/>
        <v>0</v>
      </c>
      <c r="AA24" s="37">
        <f t="shared" si="41"/>
        <v>0</v>
      </c>
      <c r="AC24" s="142"/>
    </row>
    <row r="25">
      <c r="B25" s="38" t="str">
        <f t="shared" si="27"/>
        <v>Investor</v>
      </c>
      <c r="C25" s="42">
        <v>0.0</v>
      </c>
      <c r="D25" s="42">
        <v>0.0</v>
      </c>
      <c r="E25" s="42">
        <v>0.0</v>
      </c>
      <c r="F25" s="36">
        <f t="shared" si="28"/>
        <v>0</v>
      </c>
      <c r="G25" s="37">
        <f t="shared" si="29"/>
        <v>0</v>
      </c>
      <c r="H25" s="144">
        <v>1.0</v>
      </c>
      <c r="I25" s="36">
        <f t="shared" si="30"/>
        <v>0</v>
      </c>
      <c r="J25" s="37">
        <f t="shared" si="31"/>
        <v>0</v>
      </c>
      <c r="L25" s="39">
        <v>0.0</v>
      </c>
      <c r="M25" s="36">
        <f t="shared" si="32"/>
        <v>0</v>
      </c>
      <c r="N25" s="36">
        <f t="shared" si="33"/>
        <v>0</v>
      </c>
      <c r="O25" s="36">
        <f t="shared" si="34"/>
        <v>0</v>
      </c>
      <c r="P25" s="42">
        <v>0.0</v>
      </c>
      <c r="Q25" s="39">
        <v>0.0</v>
      </c>
      <c r="R25" s="39">
        <v>0.0</v>
      </c>
      <c r="S25" s="39">
        <v>0.0</v>
      </c>
      <c r="T25" s="36">
        <f t="shared" si="35"/>
        <v>0</v>
      </c>
      <c r="U25" s="36">
        <f t="shared" si="36"/>
        <v>0</v>
      </c>
      <c r="V25" s="36">
        <f t="shared" si="37"/>
        <v>0</v>
      </c>
      <c r="W25" s="36">
        <f t="shared" si="38"/>
        <v>0</v>
      </c>
      <c r="X25" s="37">
        <f t="shared" si="39"/>
        <v>0</v>
      </c>
      <c r="Y25" s="144">
        <v>1.0</v>
      </c>
      <c r="Z25" s="36">
        <f t="shared" si="40"/>
        <v>0</v>
      </c>
      <c r="AA25" s="37">
        <f t="shared" si="41"/>
        <v>0</v>
      </c>
      <c r="AC25" s="142"/>
    </row>
    <row r="26">
      <c r="B26" s="38" t="str">
        <f t="shared" si="27"/>
        <v>Investor</v>
      </c>
      <c r="C26" s="42">
        <v>0.0</v>
      </c>
      <c r="D26" s="42">
        <v>0.0</v>
      </c>
      <c r="E26" s="42">
        <v>0.0</v>
      </c>
      <c r="F26" s="36">
        <f t="shared" si="28"/>
        <v>0</v>
      </c>
      <c r="G26" s="37">
        <f t="shared" si="29"/>
        <v>0</v>
      </c>
      <c r="H26" s="144">
        <v>1.0</v>
      </c>
      <c r="I26" s="36">
        <f t="shared" si="30"/>
        <v>0</v>
      </c>
      <c r="J26" s="37">
        <f t="shared" si="31"/>
        <v>0</v>
      </c>
      <c r="L26" s="39">
        <v>0.0</v>
      </c>
      <c r="M26" s="36">
        <f t="shared" si="32"/>
        <v>0</v>
      </c>
      <c r="N26" s="36">
        <f t="shared" si="33"/>
        <v>0</v>
      </c>
      <c r="O26" s="36">
        <f t="shared" si="34"/>
        <v>0</v>
      </c>
      <c r="P26" s="42">
        <v>0.0</v>
      </c>
      <c r="Q26" s="39">
        <v>0.0</v>
      </c>
      <c r="R26" s="39">
        <v>0.0</v>
      </c>
      <c r="S26" s="39">
        <v>0.0</v>
      </c>
      <c r="T26" s="36">
        <f t="shared" si="35"/>
        <v>0</v>
      </c>
      <c r="U26" s="36">
        <f t="shared" si="36"/>
        <v>0</v>
      </c>
      <c r="V26" s="36">
        <f t="shared" si="37"/>
        <v>0</v>
      </c>
      <c r="W26" s="36">
        <f t="shared" si="38"/>
        <v>0</v>
      </c>
      <c r="X26" s="37">
        <f t="shared" si="39"/>
        <v>0</v>
      </c>
      <c r="Y26" s="144">
        <v>1.0</v>
      </c>
      <c r="Z26" s="36">
        <f t="shared" si="40"/>
        <v>0</v>
      </c>
      <c r="AA26" s="37">
        <f t="shared" si="41"/>
        <v>0</v>
      </c>
      <c r="AC26" s="142"/>
    </row>
    <row r="27">
      <c r="C27" s="42"/>
      <c r="D27" s="43"/>
      <c r="E27" s="36"/>
      <c r="F27" s="36"/>
      <c r="G27" s="36"/>
      <c r="H27" s="36"/>
      <c r="I27" s="36"/>
      <c r="J27" s="36"/>
      <c r="K27" s="36"/>
      <c r="L27" s="36"/>
      <c r="M27" s="36"/>
      <c r="N27" s="36"/>
      <c r="O27" s="36"/>
      <c r="P27" s="36"/>
      <c r="Q27" s="36"/>
      <c r="R27" s="36"/>
      <c r="S27" s="36"/>
      <c r="T27" s="36"/>
      <c r="U27" s="36"/>
      <c r="V27" s="36"/>
      <c r="W27" s="36"/>
      <c r="X27" s="37"/>
      <c r="Y27" s="36"/>
      <c r="Z27" s="36"/>
      <c r="AA27" s="37"/>
      <c r="AC27" s="44"/>
    </row>
    <row r="28">
      <c r="B28" s="34" t="s">
        <v>101</v>
      </c>
      <c r="C28" s="43"/>
      <c r="D28" s="43"/>
      <c r="E28" s="36"/>
      <c r="F28" s="36"/>
      <c r="G28" s="36"/>
      <c r="H28" s="36"/>
      <c r="I28" s="36"/>
      <c r="J28" s="36"/>
      <c r="K28" s="36"/>
      <c r="L28" s="36"/>
      <c r="M28" s="36"/>
      <c r="N28" s="36"/>
      <c r="O28" s="36"/>
      <c r="P28" s="36"/>
      <c r="Q28" s="36"/>
      <c r="R28" s="36"/>
      <c r="S28" s="36"/>
      <c r="T28" s="36"/>
      <c r="U28" s="36"/>
      <c r="V28" s="36"/>
      <c r="W28" s="36"/>
      <c r="X28" s="37"/>
      <c r="Y28" s="36"/>
      <c r="Z28" s="36"/>
      <c r="AA28" s="37"/>
      <c r="AC28" s="44"/>
    </row>
    <row r="29">
      <c r="B29" s="38" t="s">
        <v>102</v>
      </c>
      <c r="C29" s="40">
        <v>0.0</v>
      </c>
      <c r="D29" s="39">
        <v>0.0</v>
      </c>
      <c r="E29" s="42">
        <v>0.0</v>
      </c>
      <c r="F29" s="36">
        <f t="shared" ref="F29:F33" si="42">D29+C29</f>
        <v>0</v>
      </c>
      <c r="G29" s="37">
        <f t="shared" ref="G29:G33" si="43">iferror(F29/F$35,0)</f>
        <v>0</v>
      </c>
      <c r="H29" s="144">
        <v>1.0</v>
      </c>
      <c r="I29" s="36">
        <f t="shared" ref="I29:I33" si="44">E29+D29+C29</f>
        <v>0</v>
      </c>
      <c r="J29" s="37">
        <f t="shared" ref="J29:J33" si="45">iferror(I29/I$35,0)</f>
        <v>0</v>
      </c>
      <c r="L29" s="39">
        <v>0.0</v>
      </c>
      <c r="M29" s="36">
        <f t="shared" ref="M29:M33" si="46">iferror(N$42*O29,0)</f>
        <v>0</v>
      </c>
      <c r="N29" s="42">
        <v>0.0</v>
      </c>
      <c r="O29" s="36">
        <f t="shared" ref="O29:O33" si="47">iferror(if(N$48="rounddown",rounddown(L29/N$42,0),if(N$48="roundup",roundup(L29/N$42,0),if(N$48="round",round(L29/N$42,0),L29/N$42))),0)</f>
        <v>0</v>
      </c>
      <c r="P29" s="42">
        <v>0.0</v>
      </c>
      <c r="Q29" s="39">
        <v>0.0</v>
      </c>
      <c r="R29" s="39">
        <f t="shared" ref="R29:R33" si="48">if(and(M76=true,P76="new shares"),Z76,0)</f>
        <v>0</v>
      </c>
      <c r="S29" s="39">
        <v>0.0</v>
      </c>
      <c r="T29" s="36">
        <f t="shared" ref="T29:T33" si="49">C29+Q29</f>
        <v>0</v>
      </c>
      <c r="U29" s="36">
        <f t="shared" ref="U29:U33" si="50">O29+D29+N29+R29</f>
        <v>0</v>
      </c>
      <c r="V29" s="36">
        <f t="shared" ref="V29:V33" si="51">E29+P29+S29</f>
        <v>0</v>
      </c>
      <c r="W29" s="36">
        <f t="shared" ref="W29:W33" si="52">U29+T29</f>
        <v>0</v>
      </c>
      <c r="X29" s="37">
        <f t="shared" ref="X29:X33" si="53">iferror(W29/W$35,0)</f>
        <v>0</v>
      </c>
      <c r="Y29" s="144">
        <f t="shared" ref="Y29:Y33" si="54">if(and(M76=true,P76="conversion ratio",U29-N29-O29&gt;0),X76,1)</f>
        <v>1</v>
      </c>
      <c r="Z29" s="36">
        <f t="shared" ref="Z29:Z33" si="55">T29+V29+round((U29-N29-O29)*Y29,0)+N29+O29</f>
        <v>0</v>
      </c>
      <c r="AA29" s="37">
        <f t="shared" ref="AA29:AA33" si="56">iferror(Z29/Z$35,0)</f>
        <v>0</v>
      </c>
      <c r="AC29" s="142"/>
    </row>
    <row r="30">
      <c r="B30" s="38" t="s">
        <v>102</v>
      </c>
      <c r="C30" s="40">
        <v>0.0</v>
      </c>
      <c r="D30" s="39">
        <v>0.0</v>
      </c>
      <c r="E30" s="42">
        <v>0.0</v>
      </c>
      <c r="F30" s="36">
        <f t="shared" si="42"/>
        <v>0</v>
      </c>
      <c r="G30" s="37">
        <f t="shared" si="43"/>
        <v>0</v>
      </c>
      <c r="H30" s="144">
        <v>1.0</v>
      </c>
      <c r="I30" s="36">
        <f t="shared" si="44"/>
        <v>0</v>
      </c>
      <c r="J30" s="37">
        <f t="shared" si="45"/>
        <v>0</v>
      </c>
      <c r="L30" s="39">
        <v>0.0</v>
      </c>
      <c r="M30" s="36">
        <f t="shared" si="46"/>
        <v>0</v>
      </c>
      <c r="N30" s="42">
        <v>0.0</v>
      </c>
      <c r="O30" s="36">
        <f t="shared" si="47"/>
        <v>0</v>
      </c>
      <c r="P30" s="42">
        <v>0.0</v>
      </c>
      <c r="Q30" s="39">
        <v>0.0</v>
      </c>
      <c r="R30" s="39">
        <f t="shared" si="48"/>
        <v>0</v>
      </c>
      <c r="S30" s="39">
        <v>0.0</v>
      </c>
      <c r="T30" s="36">
        <f t="shared" si="49"/>
        <v>0</v>
      </c>
      <c r="U30" s="36">
        <f t="shared" si="50"/>
        <v>0</v>
      </c>
      <c r="V30" s="36">
        <f t="shared" si="51"/>
        <v>0</v>
      </c>
      <c r="W30" s="36">
        <f t="shared" si="52"/>
        <v>0</v>
      </c>
      <c r="X30" s="37">
        <f t="shared" si="53"/>
        <v>0</v>
      </c>
      <c r="Y30" s="144">
        <f t="shared" si="54"/>
        <v>1</v>
      </c>
      <c r="Z30" s="36">
        <f t="shared" si="55"/>
        <v>0</v>
      </c>
      <c r="AA30" s="37">
        <f t="shared" si="56"/>
        <v>0</v>
      </c>
      <c r="AC30" s="142"/>
    </row>
    <row r="31">
      <c r="B31" s="38" t="s">
        <v>102</v>
      </c>
      <c r="C31" s="40">
        <v>0.0</v>
      </c>
      <c r="D31" s="40">
        <v>0.0</v>
      </c>
      <c r="E31" s="42">
        <v>0.0</v>
      </c>
      <c r="F31" s="36">
        <f t="shared" si="42"/>
        <v>0</v>
      </c>
      <c r="G31" s="37">
        <f t="shared" si="43"/>
        <v>0</v>
      </c>
      <c r="H31" s="144">
        <v>1.0</v>
      </c>
      <c r="I31" s="36">
        <f t="shared" si="44"/>
        <v>0</v>
      </c>
      <c r="J31" s="37">
        <f t="shared" si="45"/>
        <v>0</v>
      </c>
      <c r="L31" s="39">
        <v>0.0</v>
      </c>
      <c r="M31" s="36">
        <f t="shared" si="46"/>
        <v>0</v>
      </c>
      <c r="N31" s="42">
        <v>0.0</v>
      </c>
      <c r="O31" s="36">
        <f t="shared" si="47"/>
        <v>0</v>
      </c>
      <c r="P31" s="42">
        <v>0.0</v>
      </c>
      <c r="Q31" s="39">
        <v>0.0</v>
      </c>
      <c r="R31" s="39">
        <f t="shared" si="48"/>
        <v>0</v>
      </c>
      <c r="S31" s="39">
        <v>0.0</v>
      </c>
      <c r="T31" s="36">
        <f t="shared" si="49"/>
        <v>0</v>
      </c>
      <c r="U31" s="36">
        <f t="shared" si="50"/>
        <v>0</v>
      </c>
      <c r="V31" s="36">
        <f t="shared" si="51"/>
        <v>0</v>
      </c>
      <c r="W31" s="36">
        <f t="shared" si="52"/>
        <v>0</v>
      </c>
      <c r="X31" s="37">
        <f t="shared" si="53"/>
        <v>0</v>
      </c>
      <c r="Y31" s="144">
        <f t="shared" si="54"/>
        <v>1</v>
      </c>
      <c r="Z31" s="36">
        <f t="shared" si="55"/>
        <v>0</v>
      </c>
      <c r="AA31" s="37">
        <f t="shared" si="56"/>
        <v>0</v>
      </c>
      <c r="AC31" s="142"/>
    </row>
    <row r="32">
      <c r="B32" s="38" t="s">
        <v>102</v>
      </c>
      <c r="C32" s="40">
        <v>0.0</v>
      </c>
      <c r="D32" s="40">
        <v>0.0</v>
      </c>
      <c r="E32" s="42">
        <v>0.0</v>
      </c>
      <c r="F32" s="36">
        <f t="shared" si="42"/>
        <v>0</v>
      </c>
      <c r="G32" s="37">
        <f t="shared" si="43"/>
        <v>0</v>
      </c>
      <c r="H32" s="144">
        <v>1.0</v>
      </c>
      <c r="I32" s="36">
        <f t="shared" si="44"/>
        <v>0</v>
      </c>
      <c r="J32" s="37">
        <f t="shared" si="45"/>
        <v>0</v>
      </c>
      <c r="L32" s="47">
        <v>0.0</v>
      </c>
      <c r="M32" s="36">
        <f t="shared" si="46"/>
        <v>0</v>
      </c>
      <c r="N32" s="42">
        <v>0.0</v>
      </c>
      <c r="O32" s="36">
        <f t="shared" si="47"/>
        <v>0</v>
      </c>
      <c r="P32" s="42">
        <v>0.0</v>
      </c>
      <c r="Q32" s="39">
        <v>0.0</v>
      </c>
      <c r="R32" s="39">
        <f t="shared" si="48"/>
        <v>0</v>
      </c>
      <c r="S32" s="39">
        <v>0.0</v>
      </c>
      <c r="T32" s="36">
        <f t="shared" si="49"/>
        <v>0</v>
      </c>
      <c r="U32" s="36">
        <f t="shared" si="50"/>
        <v>0</v>
      </c>
      <c r="V32" s="36">
        <f t="shared" si="51"/>
        <v>0</v>
      </c>
      <c r="W32" s="36">
        <f t="shared" si="52"/>
        <v>0</v>
      </c>
      <c r="X32" s="37">
        <f t="shared" si="53"/>
        <v>0</v>
      </c>
      <c r="Y32" s="144">
        <f t="shared" si="54"/>
        <v>1</v>
      </c>
      <c r="Z32" s="36">
        <f t="shared" si="55"/>
        <v>0</v>
      </c>
      <c r="AA32" s="37">
        <f t="shared" si="56"/>
        <v>0</v>
      </c>
      <c r="AC32" s="142"/>
    </row>
    <row r="33">
      <c r="B33" s="38" t="s">
        <v>102</v>
      </c>
      <c r="C33" s="40">
        <v>0.0</v>
      </c>
      <c r="D33" s="40">
        <v>0.0</v>
      </c>
      <c r="E33" s="42">
        <v>0.0</v>
      </c>
      <c r="F33" s="36">
        <f t="shared" si="42"/>
        <v>0</v>
      </c>
      <c r="G33" s="37">
        <f t="shared" si="43"/>
        <v>0</v>
      </c>
      <c r="H33" s="144">
        <v>1.0</v>
      </c>
      <c r="I33" s="36">
        <f t="shared" si="44"/>
        <v>0</v>
      </c>
      <c r="J33" s="37">
        <f t="shared" si="45"/>
        <v>0</v>
      </c>
      <c r="L33" s="47">
        <v>0.0</v>
      </c>
      <c r="M33" s="36">
        <f t="shared" si="46"/>
        <v>0</v>
      </c>
      <c r="N33" s="42">
        <v>0.0</v>
      </c>
      <c r="O33" s="36">
        <f t="shared" si="47"/>
        <v>0</v>
      </c>
      <c r="P33" s="42">
        <v>0.0</v>
      </c>
      <c r="Q33" s="39">
        <v>0.0</v>
      </c>
      <c r="R33" s="39">
        <f t="shared" si="48"/>
        <v>0</v>
      </c>
      <c r="S33" s="39">
        <v>0.0</v>
      </c>
      <c r="T33" s="36">
        <f t="shared" si="49"/>
        <v>0</v>
      </c>
      <c r="U33" s="36">
        <f t="shared" si="50"/>
        <v>0</v>
      </c>
      <c r="V33" s="36">
        <f t="shared" si="51"/>
        <v>0</v>
      </c>
      <c r="W33" s="36">
        <f t="shared" si="52"/>
        <v>0</v>
      </c>
      <c r="X33" s="37">
        <f t="shared" si="53"/>
        <v>0</v>
      </c>
      <c r="Y33" s="144">
        <f t="shared" si="54"/>
        <v>1</v>
      </c>
      <c r="Z33" s="36">
        <f t="shared" si="55"/>
        <v>0</v>
      </c>
      <c r="AA33" s="37">
        <f t="shared" si="56"/>
        <v>0</v>
      </c>
      <c r="AC33" s="142"/>
    </row>
    <row r="34">
      <c r="C34" s="43"/>
      <c r="D34" s="43"/>
      <c r="E34" s="43"/>
      <c r="M34" s="21"/>
      <c r="N34" s="21"/>
      <c r="O34" s="21"/>
      <c r="P34" s="21"/>
      <c r="Q34" s="21"/>
      <c r="R34" s="21"/>
      <c r="S34" s="21"/>
      <c r="Y34" s="21"/>
      <c r="Z34" s="21"/>
      <c r="AC34" s="142"/>
    </row>
    <row r="35">
      <c r="B35" s="48" t="s">
        <v>103</v>
      </c>
      <c r="C35" s="49">
        <f t="shared" ref="C35:F35" si="57">sum(C8:C34)</f>
        <v>0</v>
      </c>
      <c r="D35" s="49">
        <f t="shared" si="57"/>
        <v>0</v>
      </c>
      <c r="E35" s="49">
        <f t="shared" si="57"/>
        <v>0</v>
      </c>
      <c r="F35" s="49">
        <f t="shared" si="57"/>
        <v>0</v>
      </c>
      <c r="G35" s="50">
        <f>iferror(F35/F$35,0)</f>
        <v>0</v>
      </c>
      <c r="H35" s="49"/>
      <c r="I35" s="49">
        <f>sum(I8:I34)</f>
        <v>0</v>
      </c>
      <c r="J35" s="50">
        <f>iferror(I35/I$35,0)</f>
        <v>0</v>
      </c>
      <c r="L35" s="49">
        <f t="shared" ref="L35:W35" si="58">sum(L8:L34)</f>
        <v>0</v>
      </c>
      <c r="M35" s="49">
        <f t="shared" si="58"/>
        <v>0</v>
      </c>
      <c r="N35" s="49">
        <f t="shared" si="58"/>
        <v>0</v>
      </c>
      <c r="O35" s="49">
        <f t="shared" si="58"/>
        <v>0</v>
      </c>
      <c r="P35" s="49">
        <f t="shared" si="58"/>
        <v>0</v>
      </c>
      <c r="Q35" s="49">
        <f t="shared" si="58"/>
        <v>0</v>
      </c>
      <c r="R35" s="49">
        <f t="shared" si="58"/>
        <v>0</v>
      </c>
      <c r="S35" s="49">
        <f t="shared" si="58"/>
        <v>0</v>
      </c>
      <c r="T35" s="49">
        <f t="shared" si="58"/>
        <v>0</v>
      </c>
      <c r="U35" s="49">
        <f t="shared" si="58"/>
        <v>0</v>
      </c>
      <c r="V35" s="49">
        <f t="shared" si="58"/>
        <v>0</v>
      </c>
      <c r="W35" s="49">
        <f t="shared" si="58"/>
        <v>0</v>
      </c>
      <c r="X35" s="50">
        <f>iferror(W35/W$35,0)</f>
        <v>0</v>
      </c>
      <c r="Y35" s="146">
        <f>iferror(Z35/W35,0)</f>
        <v>0</v>
      </c>
      <c r="Z35" s="49">
        <f>sum(Z8:Z34)</f>
        <v>0</v>
      </c>
      <c r="AA35" s="50">
        <f>iferror(Z35/Z$35,0)</f>
        <v>0</v>
      </c>
      <c r="AC35" s="142"/>
    </row>
    <row r="36">
      <c r="M36" s="21"/>
      <c r="P36" s="36"/>
      <c r="AC36" s="142"/>
    </row>
    <row r="37">
      <c r="L37" s="47" t="s">
        <v>104</v>
      </c>
      <c r="M37" s="21"/>
      <c r="N37" s="21"/>
      <c r="O37" s="52"/>
      <c r="P37" s="36"/>
      <c r="R37" s="21"/>
      <c r="S37" s="21"/>
      <c r="T37" s="21"/>
      <c r="U37" s="21"/>
      <c r="V37" s="21"/>
      <c r="W37" s="21"/>
      <c r="AC37" s="142"/>
    </row>
    <row r="38">
      <c r="L38" s="53" t="s">
        <v>105</v>
      </c>
      <c r="M38" s="21"/>
      <c r="N38" s="21">
        <f>M35</f>
        <v>0</v>
      </c>
      <c r="O38" s="15" t="s">
        <v>106</v>
      </c>
      <c r="S38" s="21"/>
      <c r="T38" s="21"/>
      <c r="U38" s="21"/>
      <c r="V38" s="21"/>
      <c r="W38" s="21"/>
      <c r="AC38" s="142"/>
    </row>
    <row r="39">
      <c r="L39" s="53" t="s">
        <v>107</v>
      </c>
      <c r="M39" s="21"/>
      <c r="N39" s="47">
        <v>0.0</v>
      </c>
      <c r="O39" s="15" t="s">
        <v>108</v>
      </c>
      <c r="S39" s="21"/>
      <c r="T39" s="21"/>
      <c r="U39" s="21"/>
      <c r="V39" s="21"/>
      <c r="W39" s="21"/>
      <c r="X39" s="21"/>
      <c r="AC39" s="142"/>
    </row>
    <row r="40">
      <c r="L40" s="53" t="s">
        <v>109</v>
      </c>
      <c r="M40" s="21"/>
      <c r="N40" s="21">
        <f>N42*Z35</f>
        <v>0</v>
      </c>
      <c r="O40" s="15" t="s">
        <v>110</v>
      </c>
      <c r="S40" s="21"/>
      <c r="T40" s="21"/>
      <c r="U40" s="21"/>
      <c r="V40" s="21"/>
      <c r="W40" s="21"/>
      <c r="X40" s="21"/>
      <c r="AC40" s="142"/>
    </row>
    <row r="41">
      <c r="L41" s="53" t="s">
        <v>111</v>
      </c>
      <c r="M41" s="21"/>
      <c r="N41" s="21">
        <f>Q29+I35+if(N46=true,R35+Q35+sumproduct(--(M76:M81=true),Y76:Y81),0)+max(0,sumifs(X$56:X$60,M$56:M$60,"postmoney SAFE"))+if(N53="investor friendly",max(0,sumifs(X$56:X$60,M$56:M$60,"premoney SAFE"))+max(0,sumifs(X$56:X$60,M$56:M$60,"convertible note")),0)+if(N65="investor friendly",N69,0)</f>
        <v>0</v>
      </c>
      <c r="O41" s="15" t="s">
        <v>112</v>
      </c>
      <c r="S41" s="21"/>
      <c r="T41" s="21"/>
      <c r="U41" s="21"/>
      <c r="V41" s="21"/>
      <c r="W41" s="21"/>
      <c r="X41" s="21"/>
      <c r="AC41" s="142"/>
    </row>
    <row r="42">
      <c r="L42" s="53" t="s">
        <v>113</v>
      </c>
      <c r="M42" s="21"/>
      <c r="N42" s="54">
        <f>iferror(if(isnumber(N47),round(N39/N41,N47),N39/N41),0)</f>
        <v>0</v>
      </c>
      <c r="O42" s="15" t="s">
        <v>114</v>
      </c>
      <c r="S42" s="21"/>
      <c r="T42" s="21"/>
      <c r="U42" s="21"/>
      <c r="V42" s="21"/>
      <c r="W42" s="21"/>
      <c r="X42" s="21"/>
      <c r="AC42" s="142"/>
    </row>
    <row r="43">
      <c r="L43" s="53" t="s">
        <v>115</v>
      </c>
      <c r="M43" s="21"/>
      <c r="N43" s="21">
        <f>iferror(N39-(N41-I35)*N42,0)</f>
        <v>0</v>
      </c>
      <c r="O43" s="15" t="s">
        <v>116</v>
      </c>
      <c r="S43" s="21"/>
      <c r="T43" s="21"/>
      <c r="U43" s="21"/>
      <c r="V43" s="21"/>
      <c r="W43" s="21"/>
      <c r="X43" s="21"/>
      <c r="AC43" s="142"/>
    </row>
    <row r="44">
      <c r="L44" s="53"/>
      <c r="M44" s="21"/>
      <c r="N44" s="21"/>
      <c r="O44" s="15"/>
      <c r="S44" s="21"/>
      <c r="T44" s="21"/>
      <c r="U44" s="21"/>
      <c r="V44" s="21"/>
      <c r="W44" s="21"/>
      <c r="X44" s="21"/>
      <c r="AC44" s="142"/>
    </row>
    <row r="45">
      <c r="L45" s="55" t="s">
        <v>117</v>
      </c>
      <c r="M45" s="56"/>
      <c r="N45" s="56"/>
      <c r="O45" s="57"/>
      <c r="P45" s="58"/>
      <c r="Q45" s="58"/>
      <c r="R45" s="58"/>
      <c r="S45" s="56"/>
      <c r="T45" s="56"/>
      <c r="U45" s="56"/>
      <c r="V45" s="56"/>
      <c r="W45" s="56"/>
      <c r="X45" s="56"/>
      <c r="AC45" s="142"/>
    </row>
    <row r="46">
      <c r="L46" s="53" t="s">
        <v>118</v>
      </c>
      <c r="M46" s="21"/>
      <c r="N46" s="59" t="b">
        <v>0</v>
      </c>
      <c r="O46" s="15" t="s">
        <v>119</v>
      </c>
      <c r="S46" s="21"/>
      <c r="T46" s="21"/>
      <c r="U46" s="21"/>
      <c r="V46" s="21"/>
      <c r="W46" s="21"/>
      <c r="X46" s="21"/>
      <c r="AC46" s="142"/>
    </row>
    <row r="47">
      <c r="L47" s="53" t="str">
        <f>if(isnumber(N47),"Round share prices to "&amp;N47&amp;" significant digits","Do not round share prices")</f>
        <v>Round share prices to 4 significant digits</v>
      </c>
      <c r="M47" s="21"/>
      <c r="N47" s="59">
        <v>4.0</v>
      </c>
      <c r="O47" s="15" t="s">
        <v>120</v>
      </c>
      <c r="S47" s="21"/>
      <c r="T47" s="21"/>
      <c r="U47" s="21"/>
      <c r="V47" s="21"/>
      <c r="W47" s="21"/>
      <c r="X47" s="21"/>
      <c r="AC47" s="142"/>
    </row>
    <row r="48">
      <c r="L48" s="53" t="s">
        <v>121</v>
      </c>
      <c r="M48" s="21"/>
      <c r="N48" s="59" t="s">
        <v>122</v>
      </c>
      <c r="O48" s="15" t="s">
        <v>123</v>
      </c>
      <c r="S48" s="21"/>
      <c r="T48" s="21"/>
      <c r="U48" s="21"/>
      <c r="V48" s="21"/>
      <c r="W48" s="21"/>
      <c r="X48" s="21"/>
      <c r="AC48" s="142"/>
    </row>
    <row r="49">
      <c r="L49" s="53" t="s">
        <v>124</v>
      </c>
      <c r="M49" s="21"/>
      <c r="N49" s="60">
        <f>today()</f>
        <v>46107</v>
      </c>
      <c r="O49" s="15" t="s">
        <v>125</v>
      </c>
      <c r="S49" s="21"/>
      <c r="T49" s="21"/>
      <c r="U49" s="21"/>
      <c r="V49" s="21"/>
      <c r="W49" s="21"/>
      <c r="X49" s="21"/>
      <c r="AC49" s="142"/>
    </row>
    <row r="50">
      <c r="L50" s="61"/>
      <c r="M50" s="21"/>
      <c r="S50" s="21"/>
      <c r="T50" s="21"/>
      <c r="U50" s="21"/>
      <c r="V50" s="21"/>
      <c r="W50" s="21"/>
      <c r="X50" s="21"/>
      <c r="AC50" s="142"/>
    </row>
    <row r="51">
      <c r="L51" s="62" t="s">
        <v>126</v>
      </c>
      <c r="M51" s="56"/>
      <c r="N51" s="58"/>
      <c r="O51" s="58"/>
      <c r="P51" s="58"/>
      <c r="Q51" s="58"/>
      <c r="R51" s="58"/>
      <c r="S51" s="56"/>
      <c r="T51" s="56"/>
      <c r="U51" s="56"/>
      <c r="V51" s="56"/>
      <c r="W51" s="56"/>
      <c r="X51" s="56"/>
      <c r="AC51" s="142"/>
    </row>
    <row r="52">
      <c r="L52" s="15" t="s">
        <v>127</v>
      </c>
      <c r="M52" s="15"/>
      <c r="N52" s="15"/>
      <c r="O52" s="15"/>
      <c r="S52" s="21"/>
      <c r="T52" s="21"/>
      <c r="U52" s="21"/>
      <c r="V52" s="21"/>
      <c r="W52" s="21"/>
      <c r="X52" s="21"/>
      <c r="AC52" s="142"/>
    </row>
    <row r="53">
      <c r="L53" s="63" t="s">
        <v>128</v>
      </c>
      <c r="M53" s="64"/>
      <c r="N53" s="38" t="s">
        <v>129</v>
      </c>
      <c r="O53" s="15" t="s">
        <v>130</v>
      </c>
      <c r="P53" s="66"/>
      <c r="Q53" s="66"/>
      <c r="R53" s="66"/>
      <c r="S53" s="66"/>
      <c r="T53" s="66"/>
      <c r="U53" s="66"/>
      <c r="V53" s="66"/>
      <c r="W53" s="66"/>
      <c r="X53" s="67"/>
      <c r="AC53" s="142"/>
    </row>
    <row r="54">
      <c r="L54" s="28" t="s">
        <v>102</v>
      </c>
      <c r="M54" s="28" t="s">
        <v>131</v>
      </c>
      <c r="N54" s="29" t="s">
        <v>86</v>
      </c>
      <c r="O54" s="29" t="s">
        <v>132</v>
      </c>
      <c r="P54" s="29" t="s">
        <v>133</v>
      </c>
      <c r="Q54" s="29" t="s">
        <v>134</v>
      </c>
      <c r="R54" s="29" t="s">
        <v>135</v>
      </c>
      <c r="S54" s="29" t="s">
        <v>136</v>
      </c>
      <c r="T54" s="29" t="s">
        <v>137</v>
      </c>
      <c r="U54" s="29" t="s">
        <v>111</v>
      </c>
      <c r="V54" s="29" t="s">
        <v>113</v>
      </c>
      <c r="W54" s="29" t="s">
        <v>138</v>
      </c>
      <c r="X54" s="30" t="s">
        <v>88</v>
      </c>
      <c r="AC54" s="142"/>
    </row>
    <row r="55">
      <c r="L55" s="33" t="s">
        <v>139</v>
      </c>
      <c r="O55" s="32" t="s">
        <v>140</v>
      </c>
      <c r="P55" s="32" t="s">
        <v>141</v>
      </c>
      <c r="Q55" s="32" t="s">
        <v>142</v>
      </c>
      <c r="R55" s="32" t="s">
        <v>143</v>
      </c>
      <c r="S55" s="32" t="s">
        <v>144</v>
      </c>
      <c r="T55" s="32" t="s">
        <v>145</v>
      </c>
      <c r="U55" s="32" t="s">
        <v>146</v>
      </c>
      <c r="V55" s="32" t="s">
        <v>147</v>
      </c>
      <c r="W55" s="32" t="s">
        <v>148</v>
      </c>
      <c r="X55" s="32" t="s">
        <v>92</v>
      </c>
      <c r="AC55" s="142"/>
    </row>
    <row r="56">
      <c r="L56" s="38" t="s">
        <v>102</v>
      </c>
      <c r="M56" s="38" t="s">
        <v>149</v>
      </c>
      <c r="N56" s="39">
        <v>0.0</v>
      </c>
      <c r="O56" s="69">
        <v>0.0</v>
      </c>
      <c r="P56" s="39">
        <v>0.0</v>
      </c>
      <c r="Q56" s="68">
        <v>0.0</v>
      </c>
      <c r="R56" s="69">
        <v>0.0</v>
      </c>
      <c r="S56" s="60">
        <f t="shared" ref="S56:S59" si="59">today()-365</f>
        <v>45742</v>
      </c>
      <c r="T56" s="36">
        <f t="shared" ref="T56:T59" si="60">IFERROR(R56/365*(N$49-S56)*N56,0)</f>
        <v>0</v>
      </c>
      <c r="U56" s="39">
        <f t="shared" ref="U56:U59" si="61">if(M56="postmoney SAFE",I$35+max(0,sum(X$56:X$60)),I$35+if(N$65="investor friendly",N$69,0))+if(N$46=true,R$35+Q$35+sumproduct(--(M$76:M$81=true),Y$76:Y$81),0)</f>
        <v>0</v>
      </c>
      <c r="V56" s="70">
        <f t="shared" ref="V56:V59" si="62">iferror(if(isnumber(N$47),round(if(and(Q56&lt;&gt;0,M56="postmoney SAFE"),(N56/Q56)/U56,if(P56&lt;&gt;0, min(P56/U56,N$42*(1-O56)),N$42*(1-O56))),N$47),if(and(Q56&lt;&gt;0,M56="postmoney SAFE"),(N56/Q56)/U56,if(P56&lt;&gt;0, min(P56/U56,N$42*(1-O56)),N$42*(1-O56)))),0)</f>
        <v>0</v>
      </c>
      <c r="W56" s="71">
        <f t="shared" ref="W56:W59" si="63">iferror(((T56+N56)/V56-X56)*V56,0)</f>
        <v>0</v>
      </c>
      <c r="X56" s="36">
        <f t="shared" ref="X56:X59" si="64">if(N$46=true, iferror(if(N$48="rounddown",rounddown((T56+N56)/V56,0),if(N$48="roundup",roundup((T56+N56)/V56,0),if(N$48="round",round((T56+N56)/V56,0),(T56+N56)/V56))),0),0)</f>
        <v>0</v>
      </c>
      <c r="AC56" s="142"/>
    </row>
    <row r="57">
      <c r="L57" s="38" t="s">
        <v>102</v>
      </c>
      <c r="M57" s="38" t="s">
        <v>150</v>
      </c>
      <c r="N57" s="40">
        <v>0.0</v>
      </c>
      <c r="O57" s="69">
        <v>0.0</v>
      </c>
      <c r="P57" s="40">
        <v>0.0</v>
      </c>
      <c r="Q57" s="69">
        <v>0.0</v>
      </c>
      <c r="R57" s="69">
        <v>0.0</v>
      </c>
      <c r="S57" s="60">
        <f t="shared" si="59"/>
        <v>45742</v>
      </c>
      <c r="T57" s="36">
        <f t="shared" si="60"/>
        <v>0</v>
      </c>
      <c r="U57" s="39">
        <f t="shared" si="61"/>
        <v>0</v>
      </c>
      <c r="V57" s="70">
        <f t="shared" si="62"/>
        <v>0</v>
      </c>
      <c r="W57" s="71">
        <f t="shared" si="63"/>
        <v>0</v>
      </c>
      <c r="X57" s="36">
        <f t="shared" si="64"/>
        <v>0</v>
      </c>
      <c r="AC57" s="142"/>
    </row>
    <row r="58">
      <c r="L58" s="38" t="s">
        <v>102</v>
      </c>
      <c r="M58" s="38" t="s">
        <v>151</v>
      </c>
      <c r="N58" s="39">
        <v>0.0</v>
      </c>
      <c r="O58" s="72">
        <v>0.0</v>
      </c>
      <c r="P58" s="39">
        <v>0.0</v>
      </c>
      <c r="Q58" s="72">
        <v>0.0</v>
      </c>
      <c r="R58" s="72">
        <v>0.0</v>
      </c>
      <c r="S58" s="60">
        <f t="shared" si="59"/>
        <v>45742</v>
      </c>
      <c r="T58" s="36">
        <f t="shared" si="60"/>
        <v>0</v>
      </c>
      <c r="U58" s="39">
        <f t="shared" si="61"/>
        <v>0</v>
      </c>
      <c r="V58" s="70">
        <f t="shared" si="62"/>
        <v>0</v>
      </c>
      <c r="W58" s="71">
        <f t="shared" si="63"/>
        <v>0</v>
      </c>
      <c r="X58" s="36">
        <f t="shared" si="64"/>
        <v>0</v>
      </c>
      <c r="AC58" s="142"/>
    </row>
    <row r="59">
      <c r="L59" s="38" t="s">
        <v>102</v>
      </c>
      <c r="M59" s="38" t="s">
        <v>149</v>
      </c>
      <c r="N59" s="39">
        <v>0.0</v>
      </c>
      <c r="O59" s="72">
        <v>0.0</v>
      </c>
      <c r="P59" s="39">
        <v>0.0</v>
      </c>
      <c r="Q59" s="72">
        <v>0.0</v>
      </c>
      <c r="R59" s="72">
        <v>0.0</v>
      </c>
      <c r="S59" s="60">
        <f t="shared" si="59"/>
        <v>45742</v>
      </c>
      <c r="T59" s="36">
        <f t="shared" si="60"/>
        <v>0</v>
      </c>
      <c r="U59" s="39">
        <f t="shared" si="61"/>
        <v>0</v>
      </c>
      <c r="V59" s="70">
        <f t="shared" si="62"/>
        <v>0</v>
      </c>
      <c r="W59" s="71">
        <f t="shared" si="63"/>
        <v>0</v>
      </c>
      <c r="X59" s="36">
        <f t="shared" si="64"/>
        <v>0</v>
      </c>
      <c r="AC59" s="142"/>
    </row>
    <row r="60">
      <c r="M60" s="15"/>
      <c r="O60" s="15"/>
      <c r="S60" s="21"/>
      <c r="T60" s="21"/>
      <c r="U60" s="21"/>
      <c r="V60" s="21"/>
      <c r="W60" s="21"/>
      <c r="X60" s="21"/>
      <c r="AC60" s="142"/>
    </row>
    <row r="61">
      <c r="L61" s="48" t="s">
        <v>103</v>
      </c>
      <c r="M61" s="73"/>
      <c r="N61" s="74">
        <f>sum(N56:N59)</f>
        <v>0</v>
      </c>
      <c r="O61" s="48"/>
      <c r="P61" s="73"/>
      <c r="Q61" s="73"/>
      <c r="R61" s="73"/>
      <c r="S61" s="75"/>
      <c r="T61" s="76">
        <f>sum(T56:T59)</f>
        <v>0</v>
      </c>
      <c r="U61" s="75"/>
      <c r="V61" s="77">
        <f>iferror((T61+N61)/X61,0)</f>
        <v>0</v>
      </c>
      <c r="W61" s="78">
        <f t="shared" ref="W61:X61" si="65">sum(W56:W59)</f>
        <v>0</v>
      </c>
      <c r="X61" s="76">
        <f t="shared" si="65"/>
        <v>0</v>
      </c>
      <c r="AC61" s="142"/>
    </row>
    <row r="62">
      <c r="L62" s="61"/>
      <c r="N62" s="79"/>
      <c r="O62" s="15"/>
      <c r="S62" s="21"/>
      <c r="T62" s="21"/>
      <c r="U62" s="21"/>
      <c r="V62" s="21"/>
      <c r="W62" s="21"/>
      <c r="AC62" s="142"/>
    </row>
    <row r="63">
      <c r="L63" s="80" t="s">
        <v>152</v>
      </c>
      <c r="M63" s="81"/>
      <c r="N63" s="82"/>
      <c r="O63" s="57"/>
      <c r="P63" s="57"/>
      <c r="Q63" s="58"/>
      <c r="R63" s="58"/>
      <c r="S63" s="56"/>
      <c r="T63" s="56"/>
      <c r="U63" s="56"/>
      <c r="V63" s="56"/>
      <c r="W63" s="56"/>
      <c r="X63" s="56"/>
      <c r="AC63" s="142"/>
    </row>
    <row r="64">
      <c r="L64" s="83" t="s">
        <v>153</v>
      </c>
      <c r="M64" s="64"/>
      <c r="N64" s="147">
        <v>0.0</v>
      </c>
      <c r="O64" s="15" t="s">
        <v>155</v>
      </c>
      <c r="S64" s="21"/>
      <c r="T64" s="21"/>
      <c r="U64" s="21"/>
      <c r="V64" s="21"/>
      <c r="W64" s="21"/>
      <c r="X64" s="21"/>
      <c r="AC64" s="142"/>
    </row>
    <row r="65">
      <c r="L65" s="63" t="s">
        <v>156</v>
      </c>
      <c r="M65" s="64"/>
      <c r="N65" s="38" t="s">
        <v>129</v>
      </c>
      <c r="O65" s="15" t="s">
        <v>157</v>
      </c>
      <c r="S65" s="21"/>
      <c r="T65" s="21"/>
      <c r="U65" s="21"/>
      <c r="V65" s="21"/>
      <c r="W65" s="21"/>
      <c r="X65" s="21"/>
      <c r="AC65" s="142"/>
    </row>
    <row r="66">
      <c r="L66" s="83" t="s">
        <v>158</v>
      </c>
      <c r="M66" s="64"/>
      <c r="N66" s="36">
        <f>if(N46=true, iferror(round(Z35*N64,0),0),0)</f>
        <v>0</v>
      </c>
      <c r="O66" s="15" t="s">
        <v>159</v>
      </c>
      <c r="S66" s="21"/>
      <c r="T66" s="21"/>
      <c r="U66" s="21"/>
      <c r="V66" s="21"/>
      <c r="W66" s="21"/>
      <c r="X66" s="21"/>
      <c r="AC66" s="142"/>
    </row>
    <row r="67">
      <c r="L67" s="63" t="s">
        <v>160</v>
      </c>
      <c r="M67" s="64"/>
      <c r="N67" s="39">
        <v>0.0</v>
      </c>
      <c r="O67" s="15" t="s">
        <v>161</v>
      </c>
      <c r="S67" s="21"/>
      <c r="T67" s="21"/>
      <c r="U67" s="21"/>
      <c r="V67" s="21"/>
      <c r="W67" s="21"/>
      <c r="X67" s="21"/>
      <c r="AC67" s="142"/>
    </row>
    <row r="68">
      <c r="L68" s="83" t="s">
        <v>162</v>
      </c>
      <c r="M68" s="64"/>
      <c r="N68" s="36">
        <f>max(0,E18+E19-abs(N67))</f>
        <v>0</v>
      </c>
      <c r="O68" s="15" t="s">
        <v>163</v>
      </c>
      <c r="S68" s="21"/>
      <c r="T68" s="21"/>
      <c r="U68" s="21"/>
      <c r="V68" s="21"/>
      <c r="W68" s="21"/>
      <c r="X68" s="21"/>
      <c r="AC68" s="142"/>
    </row>
    <row r="69">
      <c r="L69" s="85" t="s">
        <v>164</v>
      </c>
      <c r="M69" s="64"/>
      <c r="N69" s="36">
        <f>max(0,N66-N68)</f>
        <v>0</v>
      </c>
      <c r="O69" s="15" t="s">
        <v>165</v>
      </c>
      <c r="S69" s="21"/>
      <c r="T69" s="21"/>
      <c r="U69" s="21"/>
      <c r="V69" s="21"/>
      <c r="W69" s="21"/>
      <c r="X69" s="21"/>
      <c r="AC69" s="142"/>
    </row>
    <row r="70">
      <c r="L70" s="85" t="s">
        <v>166</v>
      </c>
      <c r="M70" s="64"/>
      <c r="N70" s="37">
        <f>AA18+AA19</f>
        <v>0</v>
      </c>
      <c r="O70" s="15" t="s">
        <v>280</v>
      </c>
      <c r="S70" s="21"/>
      <c r="T70" s="21"/>
      <c r="U70" s="21"/>
      <c r="V70" s="21"/>
      <c r="W70" s="21"/>
      <c r="X70" s="21"/>
      <c r="AC70" s="142"/>
    </row>
    <row r="71">
      <c r="L71" s="15"/>
      <c r="M71" s="21"/>
      <c r="S71" s="21"/>
      <c r="T71" s="21"/>
      <c r="U71" s="21"/>
      <c r="V71" s="21"/>
      <c r="W71" s="21"/>
      <c r="X71" s="21"/>
      <c r="AC71" s="142"/>
    </row>
    <row r="72">
      <c r="L72" s="80" t="s">
        <v>281</v>
      </c>
      <c r="M72" s="81"/>
      <c r="N72" s="82"/>
      <c r="O72" s="57"/>
      <c r="P72" s="57"/>
      <c r="Q72" s="148"/>
      <c r="R72" s="80"/>
      <c r="S72" s="81"/>
      <c r="T72" s="82"/>
      <c r="U72" s="57"/>
      <c r="V72" s="57"/>
      <c r="W72" s="57"/>
      <c r="X72" s="57"/>
      <c r="AC72" s="142"/>
    </row>
    <row r="73">
      <c r="S73" s="21"/>
      <c r="T73" s="21"/>
      <c r="U73" s="21"/>
      <c r="V73" s="21"/>
      <c r="W73" s="21"/>
      <c r="X73" s="21"/>
      <c r="AC73" s="142"/>
    </row>
    <row r="74">
      <c r="L74" s="28" t="s">
        <v>102</v>
      </c>
      <c r="M74" s="28" t="s">
        <v>282</v>
      </c>
      <c r="N74" s="28" t="s">
        <v>283</v>
      </c>
      <c r="O74" s="28" t="s">
        <v>284</v>
      </c>
      <c r="P74" s="29" t="s">
        <v>285</v>
      </c>
      <c r="Q74" s="15" t="s">
        <v>286</v>
      </c>
      <c r="R74" s="15" t="s">
        <v>287</v>
      </c>
      <c r="S74" s="15" t="s">
        <v>288</v>
      </c>
      <c r="T74" s="15" t="s">
        <v>289</v>
      </c>
      <c r="U74" s="15" t="s">
        <v>290</v>
      </c>
      <c r="V74" s="15" t="s">
        <v>291</v>
      </c>
      <c r="W74" s="15" t="s">
        <v>292</v>
      </c>
      <c r="X74" s="15" t="s">
        <v>293</v>
      </c>
      <c r="Y74" s="15" t="s">
        <v>294</v>
      </c>
      <c r="Z74" s="15" t="s">
        <v>295</v>
      </c>
    </row>
    <row r="75">
      <c r="L75" s="33" t="s">
        <v>139</v>
      </c>
      <c r="N75" s="33" t="s">
        <v>296</v>
      </c>
      <c r="O75" s="33" t="s">
        <v>297</v>
      </c>
      <c r="P75" s="33"/>
      <c r="Q75" s="33"/>
      <c r="R75" s="33"/>
      <c r="T75" s="33"/>
      <c r="U75" s="33"/>
      <c r="V75" s="33"/>
      <c r="W75" s="33" t="s">
        <v>298</v>
      </c>
      <c r="X75" s="33"/>
      <c r="Y75" s="32" t="s">
        <v>299</v>
      </c>
      <c r="Z75" s="32" t="s">
        <v>300</v>
      </c>
    </row>
    <row r="76">
      <c r="L76" s="38" t="str">
        <f t="shared" ref="L76:L80" si="66">B29</f>
        <v>Investor</v>
      </c>
      <c r="M76" s="59" t="b">
        <v>1</v>
      </c>
      <c r="N76" s="47">
        <f>R76*D29</f>
        <v>0</v>
      </c>
      <c r="O76" s="149" t="s">
        <v>301</v>
      </c>
      <c r="P76" s="149" t="s">
        <v>302</v>
      </c>
      <c r="Q76" s="144">
        <v>1.0</v>
      </c>
      <c r="R76" s="144">
        <v>0.0</v>
      </c>
      <c r="S76" s="150">
        <f t="shared" ref="S76:S80" si="67">iferror(if(N76&lt;&gt;0, 1+((O$35+R$35)/I$35/(1-J29)),0),0)</f>
        <v>0</v>
      </c>
      <c r="T76" s="150">
        <f t="shared" ref="T76:T80" si="68">iferror(if(N76&lt;&gt;0, max(1,R76/N$42*Q76),0),0)</f>
        <v>0</v>
      </c>
      <c r="U76" s="150">
        <f t="shared" ref="U76:U80" si="69">iferror(if(N76&lt;&gt;0, max(1,R76/(R76*(I$35+N$38/R76)/(I$35+O$35))*Q76),0),0)</f>
        <v>0</v>
      </c>
      <c r="V76" s="150">
        <f t="shared" ref="V76:V80" si="70">iferror(if(N76&lt;&gt;0, max(1,R76/(R76*(F$35+N$38/R76)/(F$35+N76/O$35))*Q76),0),0)</f>
        <v>0</v>
      </c>
      <c r="W76" s="149" t="s">
        <v>303</v>
      </c>
      <c r="X76" s="150">
        <f t="shared" ref="X76:X80" si="71">if(O76="ownership",S76, if(W76="full ratchet",T76,if(W76="broad-based weighted average",U76,if(W76="narrow-based weighted average",V76, 1))))</f>
        <v>0</v>
      </c>
      <c r="Y76" s="21">
        <f t="shared" ref="Y76:Y80" si="72">if(Y29&lt;&gt;1,Z29-U29,0)</f>
        <v>0</v>
      </c>
      <c r="Z76" s="21">
        <f t="shared" ref="Z76:Z80" si="73">if(and(M76=true,P76="new shares",N76&lt;&gt;0),if(O76="value",X76*F29-F29,J29*(N$35+O$35+R$35+S$35+Q$35)),0)</f>
        <v>0</v>
      </c>
    </row>
    <row r="77">
      <c r="L77" s="38" t="str">
        <f t="shared" si="66"/>
        <v>Investor</v>
      </c>
      <c r="M77" s="59" t="b">
        <v>0</v>
      </c>
      <c r="N77" s="47">
        <v>0.0</v>
      </c>
      <c r="O77" s="149" t="s">
        <v>301</v>
      </c>
      <c r="P77" s="149" t="s">
        <v>302</v>
      </c>
      <c r="Q77" s="144">
        <v>1.0</v>
      </c>
      <c r="R77" s="144">
        <v>0.0</v>
      </c>
      <c r="S77" s="150">
        <f t="shared" si="67"/>
        <v>0</v>
      </c>
      <c r="T77" s="150">
        <f t="shared" si="68"/>
        <v>0</v>
      </c>
      <c r="U77" s="150">
        <f t="shared" si="69"/>
        <v>0</v>
      </c>
      <c r="V77" s="150">
        <f t="shared" si="70"/>
        <v>0</v>
      </c>
      <c r="W77" s="149" t="s">
        <v>303</v>
      </c>
      <c r="X77" s="150">
        <f t="shared" si="71"/>
        <v>0</v>
      </c>
      <c r="Y77" s="21">
        <f t="shared" si="72"/>
        <v>0</v>
      </c>
      <c r="Z77" s="21">
        <f t="shared" si="73"/>
        <v>0</v>
      </c>
    </row>
    <row r="78">
      <c r="L78" s="38" t="str">
        <f t="shared" si="66"/>
        <v>Investor</v>
      </c>
      <c r="M78" s="59" t="b">
        <v>0</v>
      </c>
      <c r="N78" s="47">
        <v>0.0</v>
      </c>
      <c r="O78" s="149" t="s">
        <v>301</v>
      </c>
      <c r="P78" s="149" t="s">
        <v>302</v>
      </c>
      <c r="Q78" s="144">
        <v>1.0</v>
      </c>
      <c r="R78" s="144">
        <v>0.0</v>
      </c>
      <c r="S78" s="150">
        <f t="shared" si="67"/>
        <v>0</v>
      </c>
      <c r="T78" s="150">
        <f t="shared" si="68"/>
        <v>0</v>
      </c>
      <c r="U78" s="150">
        <f t="shared" si="69"/>
        <v>0</v>
      </c>
      <c r="V78" s="150">
        <f t="shared" si="70"/>
        <v>0</v>
      </c>
      <c r="W78" s="149" t="s">
        <v>303</v>
      </c>
      <c r="X78" s="150">
        <f t="shared" si="71"/>
        <v>0</v>
      </c>
      <c r="Y78" s="21">
        <f t="shared" si="72"/>
        <v>0</v>
      </c>
      <c r="Z78" s="21">
        <f t="shared" si="73"/>
        <v>0</v>
      </c>
    </row>
    <row r="79">
      <c r="L79" s="38" t="str">
        <f t="shared" si="66"/>
        <v>Investor</v>
      </c>
      <c r="M79" s="59" t="b">
        <v>0</v>
      </c>
      <c r="N79" s="47">
        <v>0.0</v>
      </c>
      <c r="O79" s="149" t="s">
        <v>301</v>
      </c>
      <c r="P79" s="149" t="s">
        <v>302</v>
      </c>
      <c r="Q79" s="144">
        <v>1.0</v>
      </c>
      <c r="R79" s="144">
        <v>0.0</v>
      </c>
      <c r="S79" s="150">
        <f t="shared" si="67"/>
        <v>0</v>
      </c>
      <c r="T79" s="150">
        <f t="shared" si="68"/>
        <v>0</v>
      </c>
      <c r="U79" s="150">
        <f t="shared" si="69"/>
        <v>0</v>
      </c>
      <c r="V79" s="150">
        <f t="shared" si="70"/>
        <v>0</v>
      </c>
      <c r="W79" s="149" t="s">
        <v>303</v>
      </c>
      <c r="X79" s="150">
        <f t="shared" si="71"/>
        <v>0</v>
      </c>
      <c r="Y79" s="21">
        <f t="shared" si="72"/>
        <v>0</v>
      </c>
      <c r="Z79" s="21">
        <f t="shared" si="73"/>
        <v>0</v>
      </c>
    </row>
    <row r="80">
      <c r="L80" s="38" t="str">
        <f t="shared" si="66"/>
        <v>Investor</v>
      </c>
      <c r="M80" s="59" t="b">
        <v>0</v>
      </c>
      <c r="N80" s="47">
        <v>0.0</v>
      </c>
      <c r="O80" s="149" t="s">
        <v>301</v>
      </c>
      <c r="P80" s="149" t="s">
        <v>302</v>
      </c>
      <c r="Q80" s="144">
        <v>1.0</v>
      </c>
      <c r="R80" s="144">
        <v>0.0</v>
      </c>
      <c r="S80" s="150">
        <f t="shared" si="67"/>
        <v>0</v>
      </c>
      <c r="T80" s="150">
        <f t="shared" si="68"/>
        <v>0</v>
      </c>
      <c r="U80" s="150">
        <f t="shared" si="69"/>
        <v>0</v>
      </c>
      <c r="V80" s="150">
        <f t="shared" si="70"/>
        <v>0</v>
      </c>
      <c r="W80" s="149" t="s">
        <v>303</v>
      </c>
      <c r="X80" s="150">
        <f t="shared" si="71"/>
        <v>0</v>
      </c>
      <c r="Y80" s="21">
        <f t="shared" si="72"/>
        <v>0</v>
      </c>
      <c r="Z80" s="21">
        <f t="shared" si="73"/>
        <v>0</v>
      </c>
    </row>
    <row r="81">
      <c r="V81" s="21"/>
      <c r="W81" s="21"/>
      <c r="X81" s="21"/>
      <c r="Y81" s="21"/>
      <c r="Z81" s="21"/>
    </row>
    <row r="82">
      <c r="L82" s="48" t="s">
        <v>103</v>
      </c>
      <c r="M82" s="73"/>
      <c r="N82" s="76">
        <f>sum(N76:N80)</f>
        <v>0</v>
      </c>
      <c r="O82" s="73"/>
      <c r="P82" s="48"/>
      <c r="Q82" s="48"/>
      <c r="R82" s="73"/>
      <c r="S82" s="73"/>
      <c r="T82" s="73"/>
      <c r="U82" s="73"/>
      <c r="V82" s="75"/>
      <c r="W82" s="75"/>
      <c r="X82" s="75"/>
      <c r="Y82" s="76">
        <f>sumproduct(Z9:Z34,--(Y9:Y34&lt;&gt;1))-sumproduct(U9:U34,--(Y9:Y34&lt;&gt;1))</f>
        <v>0</v>
      </c>
      <c r="Z82" s="76">
        <f>sum(Z76:Z80)</f>
        <v>0</v>
      </c>
    </row>
    <row r="83">
      <c r="T83" s="21"/>
      <c r="U83" s="21"/>
      <c r="V83" s="21"/>
      <c r="W83" s="21"/>
      <c r="X83" s="21"/>
      <c r="Y83" s="21"/>
    </row>
    <row r="84">
      <c r="T84" s="21"/>
      <c r="U84" s="21"/>
      <c r="V84" s="21"/>
      <c r="W84" s="21"/>
      <c r="X84" s="21"/>
      <c r="Y84" s="21"/>
    </row>
    <row r="85">
      <c r="S85" s="21"/>
      <c r="T85" s="21"/>
      <c r="U85" s="21"/>
      <c r="V85" s="21"/>
      <c r="W85" s="21"/>
      <c r="X85" s="21"/>
      <c r="AC85" s="142"/>
    </row>
  </sheetData>
  <dataValidations>
    <dataValidation type="list" allowBlank="1" showErrorMessage="1" sqref="W76:W80">
      <formula1>"full ratchet,broad-based weighted average,narrow-based weighted average"</formula1>
    </dataValidation>
    <dataValidation type="list" allowBlank="1" showErrorMessage="1" sqref="P76:P80">
      <formula1>"conversion ratio,new shares"</formula1>
    </dataValidation>
    <dataValidation type="list" allowBlank="1" sqref="M56:M59">
      <formula1>"postmoney SAFE,premoney SAFE,convertible note"</formula1>
    </dataValidation>
    <dataValidation type="list" allowBlank="1" sqref="N48">
      <formula1>"none,round,roundup,rounddown"</formula1>
    </dataValidation>
    <dataValidation type="list" allowBlank="1" showErrorMessage="1" sqref="O76:O80">
      <formula1>"ownership,value"</formula1>
    </dataValidation>
    <dataValidation type="list" allowBlank="1" sqref="N53 N65">
      <formula1>"investor friendly,founder friendly"</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2" width="32.63"/>
    <col customWidth="1" min="10" max="10" width="10.0"/>
    <col customWidth="1" min="11" max="11" width="14.63"/>
    <col customWidth="1" min="12" max="12" width="16.88"/>
    <col customWidth="1" min="13" max="13" width="13.25"/>
    <col customWidth="1" min="14" max="15" width="13.63"/>
    <col customWidth="1" min="16" max="16" width="16.0"/>
    <col customWidth="1" min="17" max="17" width="13.5"/>
    <col customWidth="1" min="18" max="18" width="14.13"/>
    <col customWidth="1" min="19" max="19" width="13.25"/>
    <col customWidth="1" min="20" max="20" width="15.13"/>
    <col customWidth="1" min="21" max="21" width="14.5"/>
    <col customWidth="1" min="22" max="22" width="13.5"/>
    <col customWidth="1" min="23" max="26" width="13.25"/>
  </cols>
  <sheetData>
    <row r="1">
      <c r="L1" s="21"/>
      <c r="Q1" s="21"/>
      <c r="R1" s="21"/>
      <c r="S1" s="21"/>
      <c r="T1" s="21"/>
      <c r="U1" s="21"/>
      <c r="V1" s="21"/>
    </row>
    <row r="2">
      <c r="B2" s="1" t="s">
        <v>275</v>
      </c>
      <c r="L2" s="21"/>
      <c r="Q2" s="21"/>
      <c r="R2" s="21"/>
      <c r="S2" s="21"/>
      <c r="T2" s="21"/>
      <c r="U2" s="21"/>
      <c r="V2" s="21"/>
    </row>
    <row r="3">
      <c r="B3" s="23" t="s">
        <v>304</v>
      </c>
      <c r="L3" s="21"/>
      <c r="Q3" s="21"/>
      <c r="R3" s="21"/>
      <c r="S3" s="21"/>
      <c r="T3" s="21"/>
      <c r="U3" s="21"/>
      <c r="V3" s="21"/>
    </row>
    <row r="4">
      <c r="L4" s="21"/>
      <c r="Q4" s="21"/>
      <c r="R4" s="21"/>
      <c r="S4" s="21"/>
      <c r="T4" s="21"/>
      <c r="U4" s="21"/>
      <c r="V4" s="21"/>
    </row>
    <row r="5">
      <c r="B5" s="24" t="s">
        <v>76</v>
      </c>
      <c r="C5" s="25"/>
      <c r="D5" s="25"/>
      <c r="E5" s="25"/>
      <c r="F5" s="25"/>
      <c r="G5" s="25"/>
      <c r="H5" s="25"/>
      <c r="I5" s="25"/>
      <c r="K5" s="24" t="s">
        <v>77</v>
      </c>
      <c r="L5" s="26"/>
      <c r="M5" s="25"/>
      <c r="N5" s="25"/>
      <c r="O5" s="25"/>
      <c r="P5" s="26"/>
      <c r="Q5" s="26"/>
      <c r="R5" s="26"/>
      <c r="S5" s="26"/>
      <c r="T5" s="26"/>
      <c r="U5" s="26"/>
      <c r="V5" s="25"/>
      <c r="W5" s="25"/>
      <c r="X5" s="25"/>
      <c r="Y5" s="25"/>
    </row>
    <row r="6">
      <c r="L6" s="21"/>
      <c r="P6" s="21"/>
      <c r="Q6" s="21"/>
      <c r="R6" s="21"/>
      <c r="S6" s="21"/>
      <c r="T6" s="21"/>
      <c r="U6" s="21"/>
    </row>
    <row r="7">
      <c r="A7" s="27"/>
      <c r="B7" s="28" t="s">
        <v>78</v>
      </c>
      <c r="C7" s="29" t="s">
        <v>79</v>
      </c>
      <c r="D7" s="29" t="s">
        <v>80</v>
      </c>
      <c r="E7" s="29" t="s">
        <v>81</v>
      </c>
      <c r="F7" s="29" t="s">
        <v>82</v>
      </c>
      <c r="G7" s="29" t="s">
        <v>83</v>
      </c>
      <c r="H7" s="29" t="s">
        <v>84</v>
      </c>
      <c r="I7" s="29" t="s">
        <v>85</v>
      </c>
      <c r="J7" s="27"/>
      <c r="K7" s="28" t="s">
        <v>86</v>
      </c>
      <c r="L7" s="30" t="s">
        <v>87</v>
      </c>
      <c r="M7" s="30" t="s">
        <v>88</v>
      </c>
      <c r="N7" s="30" t="s">
        <v>88</v>
      </c>
      <c r="O7" s="30" t="s">
        <v>89</v>
      </c>
      <c r="P7" s="30" t="str">
        <f t="shared" ref="P7:Q7" si="1">C7&amp;" Transferred"</f>
        <v>Common Shares Transferred</v>
      </c>
      <c r="Q7" s="30" t="str">
        <f t="shared" si="1"/>
        <v>Preferred Shares Transferred</v>
      </c>
      <c r="R7" s="30" t="str">
        <f>E7&amp;" Issued, Cancelled, or Recategorized"</f>
        <v>Options Issued, Cancelled, or Recategorized</v>
      </c>
      <c r="S7" s="29" t="str">
        <f t="shared" ref="S7:Y7" si="2">C7</f>
        <v>Common Shares</v>
      </c>
      <c r="T7" s="29" t="str">
        <f t="shared" si="2"/>
        <v>Preferred Shares</v>
      </c>
      <c r="U7" s="29" t="str">
        <f t="shared" si="2"/>
        <v>Options</v>
      </c>
      <c r="V7" s="29" t="str">
        <f t="shared" si="2"/>
        <v>Issued and Outstanding</v>
      </c>
      <c r="W7" s="29" t="str">
        <f t="shared" si="2"/>
        <v>% Issued and Outstanding</v>
      </c>
      <c r="X7" s="30" t="str">
        <f t="shared" si="2"/>
        <v>Fully Diluted Shares</v>
      </c>
      <c r="Y7" s="29" t="str">
        <f t="shared" si="2"/>
        <v>% Fully Diluted</v>
      </c>
    </row>
    <row r="8">
      <c r="B8" s="31"/>
      <c r="D8" s="32" t="s">
        <v>90</v>
      </c>
      <c r="L8" s="32" t="s">
        <v>91</v>
      </c>
      <c r="M8" s="32" t="s">
        <v>92</v>
      </c>
      <c r="N8" s="32" t="s">
        <v>93</v>
      </c>
      <c r="O8" s="32" t="s">
        <v>94</v>
      </c>
      <c r="P8" s="33" t="s">
        <v>95</v>
      </c>
      <c r="Q8" s="32"/>
      <c r="R8" s="32"/>
      <c r="X8" s="21"/>
    </row>
    <row r="9">
      <c r="B9" s="34" t="s">
        <v>96</v>
      </c>
      <c r="C9" s="35"/>
      <c r="D9" s="35"/>
      <c r="E9" s="35"/>
      <c r="F9" s="36"/>
      <c r="G9" s="37"/>
      <c r="H9" s="36"/>
      <c r="I9" s="37"/>
      <c r="L9" s="21"/>
      <c r="M9" s="36"/>
      <c r="N9" s="36"/>
      <c r="O9" s="36"/>
      <c r="P9" s="36"/>
      <c r="Q9" s="36"/>
      <c r="R9" s="36"/>
      <c r="S9" s="36"/>
      <c r="T9" s="36"/>
      <c r="U9" s="36"/>
      <c r="V9" s="36"/>
      <c r="W9" s="37"/>
      <c r="X9" s="36"/>
      <c r="Y9" s="37"/>
    </row>
    <row r="10">
      <c r="B10" s="38" t="s">
        <v>78</v>
      </c>
      <c r="C10" s="39">
        <v>0.0</v>
      </c>
      <c r="D10" s="40">
        <v>0.0</v>
      </c>
      <c r="E10" s="41">
        <v>0.0</v>
      </c>
      <c r="F10" s="36">
        <f t="shared" ref="F10:F14" si="3">D10+C10</f>
        <v>0</v>
      </c>
      <c r="G10" s="37">
        <f t="shared" ref="G10:G14" si="4">iferror(F10/F$23,0)</f>
        <v>0</v>
      </c>
      <c r="H10" s="36">
        <f t="shared" ref="H10:H14" si="5">E10+D10+C10</f>
        <v>0</v>
      </c>
      <c r="I10" s="37">
        <f t="shared" ref="I10:I14" si="6">iferror(H10/H$23,0)</f>
        <v>0</v>
      </c>
      <c r="K10" s="42">
        <v>0.0</v>
      </c>
      <c r="L10" s="42">
        <v>0.0</v>
      </c>
      <c r="M10" s="42">
        <v>0.0</v>
      </c>
      <c r="N10" s="36">
        <f t="shared" ref="N10:N14" si="7">iferror(if(M$34="rounddown",rounddown(K10/M$30,0),if(M$34="roundup",roundup(K10/M$30,0),if(M$34="round",round(K10/M$30,0),K10/M$30))),0)</f>
        <v>0</v>
      </c>
      <c r="O10" s="42">
        <v>0.0</v>
      </c>
      <c r="P10" s="39">
        <v>0.0</v>
      </c>
      <c r="Q10" s="39">
        <v>0.0</v>
      </c>
      <c r="R10" s="39">
        <v>0.0</v>
      </c>
      <c r="S10" s="36">
        <f t="shared" ref="S10:S14" si="8">C10+P10</f>
        <v>0</v>
      </c>
      <c r="T10" s="36">
        <f t="shared" ref="T10:T14" si="9">N10+D10+M10+Q10</f>
        <v>0</v>
      </c>
      <c r="U10" s="36">
        <f t="shared" ref="U10:U14" si="10">E10+O10+R10</f>
        <v>0</v>
      </c>
      <c r="V10" s="36">
        <f t="shared" ref="V10:V14" si="11">T10+S10</f>
        <v>0</v>
      </c>
      <c r="W10" s="37">
        <f t="shared" ref="W10:W14" si="12">iferror(V10/V$23,0)</f>
        <v>0</v>
      </c>
      <c r="X10" s="36">
        <f t="shared" ref="X10:X14" si="13">U10+T10+S10</f>
        <v>0</v>
      </c>
      <c r="Y10" s="37">
        <f t="shared" ref="Y10:Y14" si="14">iferror(X10/X$23,0)</f>
        <v>0</v>
      </c>
    </row>
    <row r="11">
      <c r="B11" s="38" t="s">
        <v>78</v>
      </c>
      <c r="C11" s="39">
        <v>0.0</v>
      </c>
      <c r="D11" s="40">
        <v>0.0</v>
      </c>
      <c r="E11" s="41">
        <v>0.0</v>
      </c>
      <c r="F11" s="36">
        <f t="shared" si="3"/>
        <v>0</v>
      </c>
      <c r="G11" s="37">
        <f t="shared" si="4"/>
        <v>0</v>
      </c>
      <c r="H11" s="36">
        <f t="shared" si="5"/>
        <v>0</v>
      </c>
      <c r="I11" s="37">
        <f t="shared" si="6"/>
        <v>0</v>
      </c>
      <c r="K11" s="42">
        <v>0.0</v>
      </c>
      <c r="L11" s="42">
        <v>0.0</v>
      </c>
      <c r="M11" s="42">
        <v>0.0</v>
      </c>
      <c r="N11" s="36">
        <f t="shared" si="7"/>
        <v>0</v>
      </c>
      <c r="O11" s="42">
        <v>0.0</v>
      </c>
      <c r="P11" s="39">
        <v>0.0</v>
      </c>
      <c r="Q11" s="39">
        <v>0.0</v>
      </c>
      <c r="R11" s="39">
        <v>0.0</v>
      </c>
      <c r="S11" s="36">
        <f t="shared" si="8"/>
        <v>0</v>
      </c>
      <c r="T11" s="36">
        <f t="shared" si="9"/>
        <v>0</v>
      </c>
      <c r="U11" s="36">
        <f t="shared" si="10"/>
        <v>0</v>
      </c>
      <c r="V11" s="36">
        <f t="shared" si="11"/>
        <v>0</v>
      </c>
      <c r="W11" s="37">
        <f t="shared" si="12"/>
        <v>0</v>
      </c>
      <c r="X11" s="36">
        <f t="shared" si="13"/>
        <v>0</v>
      </c>
      <c r="Y11" s="37">
        <f t="shared" si="14"/>
        <v>0</v>
      </c>
    </row>
    <row r="12">
      <c r="B12" s="38" t="s">
        <v>78</v>
      </c>
      <c r="C12" s="39">
        <v>0.0</v>
      </c>
      <c r="D12" s="40">
        <v>0.0</v>
      </c>
      <c r="E12" s="41">
        <v>0.0</v>
      </c>
      <c r="F12" s="36">
        <f t="shared" si="3"/>
        <v>0</v>
      </c>
      <c r="G12" s="37">
        <f t="shared" si="4"/>
        <v>0</v>
      </c>
      <c r="H12" s="36">
        <f t="shared" si="5"/>
        <v>0</v>
      </c>
      <c r="I12" s="37">
        <f t="shared" si="6"/>
        <v>0</v>
      </c>
      <c r="K12" s="42">
        <v>0.0</v>
      </c>
      <c r="L12" s="42">
        <v>0.0</v>
      </c>
      <c r="M12" s="42">
        <v>0.0</v>
      </c>
      <c r="N12" s="36">
        <f t="shared" si="7"/>
        <v>0</v>
      </c>
      <c r="O12" s="42">
        <v>0.0</v>
      </c>
      <c r="P12" s="39">
        <v>0.0</v>
      </c>
      <c r="Q12" s="39">
        <v>0.0</v>
      </c>
      <c r="R12" s="39">
        <v>0.0</v>
      </c>
      <c r="S12" s="36">
        <f t="shared" si="8"/>
        <v>0</v>
      </c>
      <c r="T12" s="36">
        <f t="shared" si="9"/>
        <v>0</v>
      </c>
      <c r="U12" s="36">
        <f t="shared" si="10"/>
        <v>0</v>
      </c>
      <c r="V12" s="36">
        <f t="shared" si="11"/>
        <v>0</v>
      </c>
      <c r="W12" s="37">
        <f t="shared" si="12"/>
        <v>0</v>
      </c>
      <c r="X12" s="36">
        <f t="shared" si="13"/>
        <v>0</v>
      </c>
      <c r="Y12" s="37">
        <f t="shared" si="14"/>
        <v>0</v>
      </c>
    </row>
    <row r="13">
      <c r="B13" s="38" t="s">
        <v>78</v>
      </c>
      <c r="C13" s="39">
        <v>0.0</v>
      </c>
      <c r="D13" s="40">
        <v>0.0</v>
      </c>
      <c r="E13" s="41">
        <v>0.0</v>
      </c>
      <c r="F13" s="36">
        <f t="shared" si="3"/>
        <v>0</v>
      </c>
      <c r="G13" s="37">
        <f t="shared" si="4"/>
        <v>0</v>
      </c>
      <c r="H13" s="36">
        <f t="shared" si="5"/>
        <v>0</v>
      </c>
      <c r="I13" s="37">
        <f t="shared" si="6"/>
        <v>0</v>
      </c>
      <c r="K13" s="42">
        <v>0.0</v>
      </c>
      <c r="L13" s="42">
        <v>0.0</v>
      </c>
      <c r="M13" s="42">
        <v>0.0</v>
      </c>
      <c r="N13" s="36">
        <f t="shared" si="7"/>
        <v>0</v>
      </c>
      <c r="O13" s="42">
        <v>0.0</v>
      </c>
      <c r="P13" s="39">
        <v>0.0</v>
      </c>
      <c r="Q13" s="39">
        <v>0.0</v>
      </c>
      <c r="R13" s="39">
        <v>0.0</v>
      </c>
      <c r="S13" s="36">
        <f t="shared" si="8"/>
        <v>0</v>
      </c>
      <c r="T13" s="36">
        <f t="shared" si="9"/>
        <v>0</v>
      </c>
      <c r="U13" s="36">
        <f t="shared" si="10"/>
        <v>0</v>
      </c>
      <c r="V13" s="36">
        <f t="shared" si="11"/>
        <v>0</v>
      </c>
      <c r="W13" s="37">
        <f t="shared" si="12"/>
        <v>0</v>
      </c>
      <c r="X13" s="36">
        <f t="shared" si="13"/>
        <v>0</v>
      </c>
      <c r="Y13" s="37">
        <f t="shared" si="14"/>
        <v>0</v>
      </c>
    </row>
    <row r="14">
      <c r="B14" s="38" t="s">
        <v>78</v>
      </c>
      <c r="C14" s="39">
        <v>0.0</v>
      </c>
      <c r="D14" s="40">
        <v>0.0</v>
      </c>
      <c r="E14" s="41">
        <v>0.0</v>
      </c>
      <c r="F14" s="36">
        <f t="shared" si="3"/>
        <v>0</v>
      </c>
      <c r="G14" s="37">
        <f t="shared" si="4"/>
        <v>0</v>
      </c>
      <c r="H14" s="36">
        <f t="shared" si="5"/>
        <v>0</v>
      </c>
      <c r="I14" s="37">
        <f t="shared" si="6"/>
        <v>0</v>
      </c>
      <c r="K14" s="42">
        <v>0.0</v>
      </c>
      <c r="L14" s="42">
        <v>0.0</v>
      </c>
      <c r="M14" s="42">
        <v>0.0</v>
      </c>
      <c r="N14" s="36">
        <f t="shared" si="7"/>
        <v>0</v>
      </c>
      <c r="O14" s="42">
        <v>0.0</v>
      </c>
      <c r="P14" s="39">
        <v>0.0</v>
      </c>
      <c r="Q14" s="39">
        <v>0.0</v>
      </c>
      <c r="R14" s="39">
        <v>0.0</v>
      </c>
      <c r="S14" s="36">
        <f t="shared" si="8"/>
        <v>0</v>
      </c>
      <c r="T14" s="36">
        <f t="shared" si="9"/>
        <v>0</v>
      </c>
      <c r="U14" s="36">
        <f t="shared" si="10"/>
        <v>0</v>
      </c>
      <c r="V14" s="36">
        <f t="shared" si="11"/>
        <v>0</v>
      </c>
      <c r="W14" s="37">
        <f t="shared" si="12"/>
        <v>0</v>
      </c>
      <c r="X14" s="36">
        <f t="shared" si="13"/>
        <v>0</v>
      </c>
      <c r="Y14" s="37">
        <f t="shared" si="14"/>
        <v>0</v>
      </c>
    </row>
    <row r="15">
      <c r="B15" s="15"/>
      <c r="C15" s="43"/>
      <c r="D15" s="43"/>
      <c r="E15" s="43"/>
      <c r="F15" s="21"/>
      <c r="H15" s="21"/>
      <c r="L15" s="21"/>
      <c r="M15" s="36"/>
      <c r="N15" s="36"/>
      <c r="O15" s="44"/>
      <c r="P15" s="44"/>
      <c r="Q15" s="44"/>
      <c r="R15" s="44"/>
      <c r="S15" s="44"/>
      <c r="T15" s="36"/>
      <c r="U15" s="36"/>
      <c r="X15" s="36"/>
    </row>
    <row r="16">
      <c r="B16" s="34" t="s">
        <v>101</v>
      </c>
      <c r="C16" s="43"/>
      <c r="D16" s="43"/>
      <c r="E16" s="36"/>
      <c r="F16" s="36"/>
      <c r="G16" s="36"/>
      <c r="H16" s="36"/>
      <c r="I16" s="36"/>
      <c r="J16" s="36"/>
      <c r="K16" s="36"/>
      <c r="L16" s="36"/>
      <c r="M16" s="36"/>
      <c r="N16" s="36"/>
      <c r="O16" s="36"/>
      <c r="P16" s="36"/>
      <c r="Q16" s="36"/>
      <c r="R16" s="36"/>
      <c r="S16" s="36"/>
      <c r="T16" s="36"/>
      <c r="U16" s="36"/>
      <c r="V16" s="36"/>
      <c r="W16" s="37"/>
      <c r="X16" s="36"/>
      <c r="Y16" s="37"/>
    </row>
    <row r="17">
      <c r="B17" s="38" t="s">
        <v>102</v>
      </c>
      <c r="C17" s="42">
        <v>0.0</v>
      </c>
      <c r="D17" s="42">
        <v>0.0</v>
      </c>
      <c r="E17" s="42">
        <v>0.0</v>
      </c>
      <c r="F17" s="36">
        <f t="shared" ref="F17:F21" si="15">D17+C17</f>
        <v>0</v>
      </c>
      <c r="G17" s="37">
        <f t="shared" ref="G17:G21" si="16">iferror(F17/F$23,0)</f>
        <v>0</v>
      </c>
      <c r="H17" s="36">
        <f t="shared" ref="H17:H21" si="17">E17+D17+C17</f>
        <v>0</v>
      </c>
      <c r="I17" s="37">
        <f t="shared" ref="I17:I21" si="18">iferror(H17/H$23,0)</f>
        <v>0</v>
      </c>
      <c r="K17" s="39">
        <v>0.0</v>
      </c>
      <c r="L17" s="36">
        <f t="shared" ref="L17:L21" si="19">iferror(M$30*N17,0)</f>
        <v>0</v>
      </c>
      <c r="M17" s="42">
        <v>0.0</v>
      </c>
      <c r="N17" s="36">
        <f t="shared" ref="N17:N21" si="20">iferror(if(M$34="rounddown",rounddown(K17/M$30,0),if(M$34="roundup",roundup(K17/M$30,0),if(M$34="round",round(K17/M$30,0),K17/M$30))),0)</f>
        <v>0</v>
      </c>
      <c r="O17" s="42">
        <v>0.0</v>
      </c>
      <c r="P17" s="39">
        <v>0.0</v>
      </c>
      <c r="Q17" s="39">
        <v>0.0</v>
      </c>
      <c r="R17" s="39">
        <v>0.0</v>
      </c>
      <c r="S17" s="36">
        <f t="shared" ref="S17:S21" si="21">C17+P17</f>
        <v>0</v>
      </c>
      <c r="T17" s="36">
        <f t="shared" ref="T17:T21" si="22">N17+D17+M17+Q17</f>
        <v>0</v>
      </c>
      <c r="U17" s="36">
        <f t="shared" ref="U17:U21" si="23">E17+O17+R17</f>
        <v>0</v>
      </c>
      <c r="V17" s="36">
        <f t="shared" ref="V17:V21" si="24">T17+S17</f>
        <v>0</v>
      </c>
      <c r="W17" s="37">
        <f t="shared" ref="W17:W21" si="25">iferror(V17/V$23,0)</f>
        <v>0</v>
      </c>
      <c r="X17" s="36">
        <f t="shared" ref="X17:X21" si="26">U17+T17+S17</f>
        <v>0</v>
      </c>
      <c r="Y17" s="37">
        <f t="shared" ref="Y17:Y21" si="27">iferror(X17/X$23,0)</f>
        <v>0</v>
      </c>
    </row>
    <row r="18">
      <c r="B18" s="38" t="s">
        <v>102</v>
      </c>
      <c r="C18" s="42">
        <v>0.0</v>
      </c>
      <c r="D18" s="42">
        <v>0.0</v>
      </c>
      <c r="E18" s="42">
        <v>0.0</v>
      </c>
      <c r="F18" s="36">
        <f t="shared" si="15"/>
        <v>0</v>
      </c>
      <c r="G18" s="37">
        <f t="shared" si="16"/>
        <v>0</v>
      </c>
      <c r="H18" s="36">
        <f t="shared" si="17"/>
        <v>0</v>
      </c>
      <c r="I18" s="37">
        <f t="shared" si="18"/>
        <v>0</v>
      </c>
      <c r="K18" s="39">
        <v>0.0</v>
      </c>
      <c r="L18" s="36">
        <f t="shared" si="19"/>
        <v>0</v>
      </c>
      <c r="M18" s="42">
        <v>0.0</v>
      </c>
      <c r="N18" s="36">
        <f t="shared" si="20"/>
        <v>0</v>
      </c>
      <c r="O18" s="42">
        <v>0.0</v>
      </c>
      <c r="P18" s="39">
        <v>0.0</v>
      </c>
      <c r="Q18" s="39">
        <v>0.0</v>
      </c>
      <c r="R18" s="39">
        <v>0.0</v>
      </c>
      <c r="S18" s="36">
        <f t="shared" si="21"/>
        <v>0</v>
      </c>
      <c r="T18" s="36">
        <f t="shared" si="22"/>
        <v>0</v>
      </c>
      <c r="U18" s="36">
        <f t="shared" si="23"/>
        <v>0</v>
      </c>
      <c r="V18" s="36">
        <f t="shared" si="24"/>
        <v>0</v>
      </c>
      <c r="W18" s="37">
        <f t="shared" si="25"/>
        <v>0</v>
      </c>
      <c r="X18" s="36">
        <f t="shared" si="26"/>
        <v>0</v>
      </c>
      <c r="Y18" s="37">
        <f t="shared" si="27"/>
        <v>0</v>
      </c>
    </row>
    <row r="19">
      <c r="B19" s="38" t="s">
        <v>102</v>
      </c>
      <c r="C19" s="42">
        <v>0.0</v>
      </c>
      <c r="D19" s="42">
        <v>0.0</v>
      </c>
      <c r="E19" s="42">
        <v>0.0</v>
      </c>
      <c r="F19" s="36">
        <f t="shared" si="15"/>
        <v>0</v>
      </c>
      <c r="G19" s="37">
        <f t="shared" si="16"/>
        <v>0</v>
      </c>
      <c r="H19" s="36">
        <f t="shared" si="17"/>
        <v>0</v>
      </c>
      <c r="I19" s="37">
        <f t="shared" si="18"/>
        <v>0</v>
      </c>
      <c r="K19" s="39">
        <v>0.0</v>
      </c>
      <c r="L19" s="36">
        <f t="shared" si="19"/>
        <v>0</v>
      </c>
      <c r="M19" s="42">
        <v>0.0</v>
      </c>
      <c r="N19" s="36">
        <f t="shared" si="20"/>
        <v>0</v>
      </c>
      <c r="O19" s="42">
        <v>0.0</v>
      </c>
      <c r="P19" s="39">
        <v>0.0</v>
      </c>
      <c r="Q19" s="39">
        <v>0.0</v>
      </c>
      <c r="R19" s="39">
        <v>0.0</v>
      </c>
      <c r="S19" s="36">
        <f t="shared" si="21"/>
        <v>0</v>
      </c>
      <c r="T19" s="36">
        <f t="shared" si="22"/>
        <v>0</v>
      </c>
      <c r="U19" s="36">
        <f t="shared" si="23"/>
        <v>0</v>
      </c>
      <c r="V19" s="36">
        <f t="shared" si="24"/>
        <v>0</v>
      </c>
      <c r="W19" s="37">
        <f t="shared" si="25"/>
        <v>0</v>
      </c>
      <c r="X19" s="36">
        <f t="shared" si="26"/>
        <v>0</v>
      </c>
      <c r="Y19" s="37">
        <f t="shared" si="27"/>
        <v>0</v>
      </c>
    </row>
    <row r="20">
      <c r="B20" s="38" t="s">
        <v>102</v>
      </c>
      <c r="C20" s="42">
        <v>0.0</v>
      </c>
      <c r="D20" s="42">
        <v>0.0</v>
      </c>
      <c r="E20" s="42">
        <v>0.0</v>
      </c>
      <c r="F20" s="36">
        <f t="shared" si="15"/>
        <v>0</v>
      </c>
      <c r="G20" s="37">
        <f t="shared" si="16"/>
        <v>0</v>
      </c>
      <c r="H20" s="36">
        <f t="shared" si="17"/>
        <v>0</v>
      </c>
      <c r="I20" s="37">
        <f t="shared" si="18"/>
        <v>0</v>
      </c>
      <c r="K20" s="47">
        <v>0.0</v>
      </c>
      <c r="L20" s="36">
        <f t="shared" si="19"/>
        <v>0</v>
      </c>
      <c r="M20" s="42">
        <v>0.0</v>
      </c>
      <c r="N20" s="36">
        <f t="shared" si="20"/>
        <v>0</v>
      </c>
      <c r="O20" s="42">
        <v>0.0</v>
      </c>
      <c r="P20" s="39">
        <v>0.0</v>
      </c>
      <c r="Q20" s="39">
        <v>0.0</v>
      </c>
      <c r="R20" s="39">
        <v>0.0</v>
      </c>
      <c r="S20" s="36">
        <f t="shared" si="21"/>
        <v>0</v>
      </c>
      <c r="T20" s="36">
        <f t="shared" si="22"/>
        <v>0</v>
      </c>
      <c r="U20" s="36">
        <f t="shared" si="23"/>
        <v>0</v>
      </c>
      <c r="V20" s="36">
        <f t="shared" si="24"/>
        <v>0</v>
      </c>
      <c r="W20" s="37">
        <f t="shared" si="25"/>
        <v>0</v>
      </c>
      <c r="X20" s="36">
        <f t="shared" si="26"/>
        <v>0</v>
      </c>
      <c r="Y20" s="37">
        <f t="shared" si="27"/>
        <v>0</v>
      </c>
    </row>
    <row r="21">
      <c r="B21" s="38" t="s">
        <v>102</v>
      </c>
      <c r="C21" s="42">
        <v>0.0</v>
      </c>
      <c r="D21" s="42">
        <v>0.0</v>
      </c>
      <c r="E21" s="42">
        <v>0.0</v>
      </c>
      <c r="F21" s="36">
        <f t="shared" si="15"/>
        <v>0</v>
      </c>
      <c r="G21" s="37">
        <f t="shared" si="16"/>
        <v>0</v>
      </c>
      <c r="H21" s="36">
        <f t="shared" si="17"/>
        <v>0</v>
      </c>
      <c r="I21" s="37">
        <f t="shared" si="18"/>
        <v>0</v>
      </c>
      <c r="K21" s="47">
        <v>0.0</v>
      </c>
      <c r="L21" s="36">
        <f t="shared" si="19"/>
        <v>0</v>
      </c>
      <c r="M21" s="42">
        <v>0.0</v>
      </c>
      <c r="N21" s="36">
        <f t="shared" si="20"/>
        <v>0</v>
      </c>
      <c r="O21" s="42">
        <v>0.0</v>
      </c>
      <c r="P21" s="39">
        <v>0.0</v>
      </c>
      <c r="Q21" s="39">
        <v>0.0</v>
      </c>
      <c r="R21" s="39">
        <v>0.0</v>
      </c>
      <c r="S21" s="36">
        <f t="shared" si="21"/>
        <v>0</v>
      </c>
      <c r="T21" s="36">
        <f t="shared" si="22"/>
        <v>0</v>
      </c>
      <c r="U21" s="36">
        <f t="shared" si="23"/>
        <v>0</v>
      </c>
      <c r="V21" s="36">
        <f t="shared" si="24"/>
        <v>0</v>
      </c>
      <c r="W21" s="37">
        <f t="shared" si="25"/>
        <v>0</v>
      </c>
      <c r="X21" s="36">
        <f t="shared" si="26"/>
        <v>0</v>
      </c>
      <c r="Y21" s="37">
        <f t="shared" si="27"/>
        <v>0</v>
      </c>
    </row>
    <row r="22">
      <c r="C22" s="43"/>
      <c r="D22" s="43"/>
      <c r="E22" s="43"/>
      <c r="L22" s="21"/>
      <c r="M22" s="21"/>
      <c r="N22" s="21"/>
      <c r="O22" s="21"/>
      <c r="P22" s="21"/>
      <c r="Q22" s="21"/>
      <c r="R22" s="21"/>
      <c r="X22" s="21"/>
    </row>
    <row r="23">
      <c r="B23" s="48" t="s">
        <v>103</v>
      </c>
      <c r="C23" s="49">
        <f t="shared" ref="C23:F23" si="28">sum(C8:C22)</f>
        <v>0</v>
      </c>
      <c r="D23" s="49">
        <f t="shared" si="28"/>
        <v>0</v>
      </c>
      <c r="E23" s="49">
        <f t="shared" si="28"/>
        <v>0</v>
      </c>
      <c r="F23" s="49">
        <f t="shared" si="28"/>
        <v>0</v>
      </c>
      <c r="G23" s="50">
        <f>iferror(F23/F$23,0)</f>
        <v>0</v>
      </c>
      <c r="H23" s="49">
        <f>sum(H8:H22)</f>
        <v>0</v>
      </c>
      <c r="I23" s="50">
        <f>iferror(H23/H$23,0)</f>
        <v>0</v>
      </c>
      <c r="K23" s="49">
        <f t="shared" ref="K23:P23" si="29">sum(K8:K22)</f>
        <v>0</v>
      </c>
      <c r="L23" s="49">
        <f t="shared" si="29"/>
        <v>0</v>
      </c>
      <c r="M23" s="49">
        <f t="shared" si="29"/>
        <v>0</v>
      </c>
      <c r="N23" s="49">
        <f t="shared" si="29"/>
        <v>0</v>
      </c>
      <c r="O23" s="49">
        <f t="shared" si="29"/>
        <v>0</v>
      </c>
      <c r="P23" s="49">
        <f t="shared" si="29"/>
        <v>0</v>
      </c>
      <c r="Q23" s="49"/>
      <c r="R23" s="49"/>
      <c r="S23" s="49">
        <f t="shared" ref="S23:V23" si="30">sum(S8:S22)</f>
        <v>0</v>
      </c>
      <c r="T23" s="49">
        <f t="shared" si="30"/>
        <v>0</v>
      </c>
      <c r="U23" s="49">
        <f t="shared" si="30"/>
        <v>0</v>
      </c>
      <c r="V23" s="49">
        <f t="shared" si="30"/>
        <v>0</v>
      </c>
      <c r="W23" s="50">
        <f>iferror(V23/V$23,0)</f>
        <v>0</v>
      </c>
      <c r="X23" s="49">
        <f>sum(X8:X22)</f>
        <v>0</v>
      </c>
      <c r="Y23" s="50">
        <f>iferror(X23/X$23,0)</f>
        <v>0</v>
      </c>
    </row>
    <row r="24">
      <c r="L24" s="21"/>
    </row>
    <row r="25">
      <c r="K25" s="47" t="s">
        <v>230</v>
      </c>
      <c r="L25" s="21"/>
      <c r="M25" s="21"/>
      <c r="N25" s="52"/>
      <c r="Q25" s="21"/>
      <c r="R25" s="21"/>
      <c r="S25" s="21"/>
      <c r="T25" s="21"/>
      <c r="U25" s="21"/>
      <c r="V25" s="21"/>
    </row>
    <row r="26">
      <c r="K26" s="53" t="s">
        <v>105</v>
      </c>
      <c r="L26" s="21"/>
      <c r="M26" s="21">
        <f>L23</f>
        <v>0</v>
      </c>
      <c r="N26" s="15" t="s">
        <v>106</v>
      </c>
      <c r="Q26" s="21"/>
      <c r="R26" s="21"/>
      <c r="S26" s="21"/>
      <c r="T26" s="21"/>
      <c r="U26" s="21"/>
      <c r="V26" s="21"/>
    </row>
    <row r="27">
      <c r="K27" s="53" t="s">
        <v>107</v>
      </c>
      <c r="L27" s="21"/>
      <c r="M27" s="47">
        <v>0.0</v>
      </c>
      <c r="N27" s="15" t="s">
        <v>108</v>
      </c>
      <c r="Q27" s="21"/>
      <c r="R27" s="21"/>
      <c r="S27" s="21"/>
      <c r="T27" s="21"/>
      <c r="U27" s="21"/>
      <c r="V27" s="21"/>
    </row>
    <row r="28">
      <c r="K28" s="53" t="s">
        <v>109</v>
      </c>
      <c r="L28" s="21"/>
      <c r="M28" s="21">
        <f>M26+M27</f>
        <v>0</v>
      </c>
      <c r="N28" s="15" t="s">
        <v>110</v>
      </c>
      <c r="Q28" s="21"/>
      <c r="R28" s="21"/>
      <c r="S28" s="21"/>
      <c r="T28" s="21"/>
      <c r="U28" s="21"/>
      <c r="V28" s="21"/>
    </row>
    <row r="29">
      <c r="K29" s="53" t="s">
        <v>111</v>
      </c>
      <c r="L29" s="21"/>
      <c r="M29" s="21">
        <f>H23</f>
        <v>0</v>
      </c>
      <c r="N29" s="15" t="s">
        <v>112</v>
      </c>
      <c r="Q29" s="21"/>
      <c r="R29" s="21"/>
      <c r="S29" s="21"/>
      <c r="T29" s="21"/>
      <c r="U29" s="21"/>
      <c r="V29" s="21"/>
    </row>
    <row r="30">
      <c r="K30" s="53" t="s">
        <v>113</v>
      </c>
      <c r="L30" s="21"/>
      <c r="M30" s="54">
        <f>iferror(if(isnumber(M33),round(M27/M29,M33),M27/M29),0)</f>
        <v>0</v>
      </c>
      <c r="N30" s="15" t="s">
        <v>305</v>
      </c>
      <c r="Q30" s="21"/>
      <c r="R30" s="21"/>
      <c r="S30" s="21"/>
      <c r="T30" s="21"/>
      <c r="U30" s="21"/>
      <c r="V30" s="21"/>
    </row>
    <row r="31">
      <c r="K31" s="53"/>
      <c r="L31" s="21"/>
      <c r="M31" s="21"/>
      <c r="N31" s="15"/>
      <c r="Q31" s="21"/>
      <c r="R31" s="21"/>
      <c r="S31" s="21"/>
      <c r="T31" s="21"/>
      <c r="U31" s="21"/>
      <c r="V31" s="21"/>
    </row>
    <row r="32">
      <c r="K32" s="55" t="s">
        <v>117</v>
      </c>
      <c r="L32" s="56"/>
      <c r="M32" s="56"/>
      <c r="N32" s="57"/>
      <c r="O32" s="58"/>
      <c r="P32" s="58"/>
      <c r="Q32" s="56"/>
      <c r="R32" s="56"/>
      <c r="S32" s="56"/>
      <c r="T32" s="56"/>
      <c r="U32" s="56"/>
      <c r="V32" s="56"/>
    </row>
    <row r="33">
      <c r="K33" s="53" t="str">
        <f>if(isnumber(M33),"Round share prices to "&amp;M33&amp;" significant digits","Do not round share prices")</f>
        <v>Round share prices to 4 significant digits</v>
      </c>
      <c r="L33" s="21"/>
      <c r="M33" s="59">
        <v>4.0</v>
      </c>
      <c r="N33" s="15" t="s">
        <v>120</v>
      </c>
      <c r="Q33" s="21"/>
      <c r="R33" s="21"/>
      <c r="S33" s="21"/>
      <c r="T33" s="21"/>
      <c r="U33" s="21"/>
      <c r="V33" s="21"/>
    </row>
    <row r="34">
      <c r="K34" s="53" t="s">
        <v>121</v>
      </c>
      <c r="L34" s="21"/>
      <c r="M34" s="59" t="s">
        <v>122</v>
      </c>
      <c r="N34" s="15" t="s">
        <v>123</v>
      </c>
      <c r="Q34" s="21"/>
      <c r="R34" s="21"/>
      <c r="S34" s="21"/>
      <c r="T34" s="21"/>
      <c r="U34" s="21"/>
      <c r="V34" s="21"/>
    </row>
    <row r="35">
      <c r="K35" s="61"/>
      <c r="L35" s="21"/>
      <c r="Q35" s="21"/>
      <c r="R35" s="21"/>
      <c r="S35" s="21"/>
      <c r="T35" s="21"/>
      <c r="U35" s="21"/>
      <c r="V35" s="21"/>
    </row>
    <row r="36">
      <c r="K36" s="15"/>
      <c r="L36" s="21"/>
      <c r="Q36" s="21"/>
      <c r="R36" s="21"/>
      <c r="S36" s="21"/>
      <c r="T36" s="21"/>
      <c r="U36" s="21"/>
      <c r="V36" s="21"/>
    </row>
  </sheetData>
  <dataValidations>
    <dataValidation type="list" allowBlank="1" sqref="M34">
      <formula1>"none,round,roundup,rounddown"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2" width="32.63"/>
    <col customWidth="1" min="10" max="10" width="10.0"/>
    <col customWidth="1" min="11" max="11" width="14.63"/>
    <col customWidth="1" min="12" max="12" width="16.88"/>
    <col customWidth="1" min="13" max="13" width="13.25"/>
    <col customWidth="1" min="14" max="15" width="13.63"/>
    <col customWidth="1" min="16" max="16" width="16.0"/>
    <col customWidth="1" min="17" max="17" width="13.5"/>
    <col customWidth="1" min="18" max="18" width="14.13"/>
    <col customWidth="1" min="19" max="19" width="13.25"/>
    <col customWidth="1" min="20" max="20" width="15.13"/>
    <col customWidth="1" min="21" max="21" width="14.5"/>
    <col customWidth="1" min="22" max="22" width="13.5"/>
    <col customWidth="1" min="23" max="26" width="13.25"/>
  </cols>
  <sheetData>
    <row r="1">
      <c r="L1" s="21"/>
      <c r="Q1" s="21"/>
      <c r="R1" s="21"/>
      <c r="S1" s="21"/>
      <c r="T1" s="21"/>
      <c r="U1" s="21"/>
      <c r="V1" s="21"/>
    </row>
    <row r="2">
      <c r="B2" s="1" t="s">
        <v>275</v>
      </c>
      <c r="L2" s="21"/>
      <c r="Q2" s="21"/>
      <c r="R2" s="21"/>
      <c r="S2" s="21"/>
      <c r="T2" s="21"/>
      <c r="U2" s="21"/>
      <c r="V2" s="21"/>
    </row>
    <row r="3">
      <c r="B3" s="23" t="s">
        <v>306</v>
      </c>
      <c r="L3" s="21"/>
      <c r="Q3" s="21"/>
      <c r="R3" s="21"/>
      <c r="S3" s="21"/>
      <c r="T3" s="21"/>
      <c r="U3" s="21"/>
      <c r="V3" s="21"/>
    </row>
    <row r="4">
      <c r="L4" s="21"/>
      <c r="Q4" s="21"/>
      <c r="R4" s="21"/>
      <c r="S4" s="21"/>
      <c r="T4" s="21"/>
      <c r="U4" s="21"/>
      <c r="V4" s="21"/>
    </row>
    <row r="5">
      <c r="B5" s="24" t="s">
        <v>76</v>
      </c>
      <c r="C5" s="25"/>
      <c r="D5" s="25"/>
      <c r="E5" s="25"/>
      <c r="F5" s="25"/>
      <c r="G5" s="25"/>
      <c r="H5" s="25"/>
      <c r="I5" s="25"/>
      <c r="K5" s="24" t="s">
        <v>77</v>
      </c>
      <c r="L5" s="26"/>
      <c r="M5" s="25"/>
      <c r="N5" s="25"/>
      <c r="O5" s="25"/>
      <c r="P5" s="26"/>
      <c r="Q5" s="26"/>
      <c r="R5" s="26"/>
      <c r="S5" s="26"/>
      <c r="T5" s="26"/>
      <c r="U5" s="26"/>
      <c r="V5" s="25"/>
      <c r="W5" s="25"/>
      <c r="X5" s="25"/>
      <c r="Y5" s="25"/>
    </row>
    <row r="6">
      <c r="L6" s="21"/>
      <c r="P6" s="21"/>
      <c r="Q6" s="21"/>
      <c r="R6" s="21"/>
      <c r="S6" s="21"/>
      <c r="T6" s="21"/>
      <c r="U6" s="21"/>
    </row>
    <row r="7">
      <c r="A7" s="27"/>
      <c r="B7" s="28" t="s">
        <v>78</v>
      </c>
      <c r="C7" s="29" t="s">
        <v>79</v>
      </c>
      <c r="D7" s="29" t="s">
        <v>80</v>
      </c>
      <c r="E7" s="29" t="s">
        <v>81</v>
      </c>
      <c r="F7" s="29" t="s">
        <v>82</v>
      </c>
      <c r="G7" s="29" t="s">
        <v>83</v>
      </c>
      <c r="H7" s="29" t="s">
        <v>84</v>
      </c>
      <c r="I7" s="29" t="s">
        <v>85</v>
      </c>
      <c r="J7" s="27"/>
      <c r="K7" s="28" t="s">
        <v>86</v>
      </c>
      <c r="L7" s="30" t="s">
        <v>87</v>
      </c>
      <c r="M7" s="30" t="s">
        <v>88</v>
      </c>
      <c r="N7" s="30" t="s">
        <v>88</v>
      </c>
      <c r="O7" s="30" t="s">
        <v>89</v>
      </c>
      <c r="P7" s="30" t="str">
        <f t="shared" ref="P7:Q7" si="1">C7&amp;" Transferred"</f>
        <v>Common Shares Transferred</v>
      </c>
      <c r="Q7" s="30" t="str">
        <f t="shared" si="1"/>
        <v>Preferred Shares Transferred</v>
      </c>
      <c r="R7" s="30" t="str">
        <f>E7&amp;" Issued, Cancelled, or Recategorized"</f>
        <v>Options Issued, Cancelled, or Recategorized</v>
      </c>
      <c r="S7" s="29" t="str">
        <f t="shared" ref="S7:Y7" si="2">C7</f>
        <v>Common Shares</v>
      </c>
      <c r="T7" s="29" t="str">
        <f t="shared" si="2"/>
        <v>Preferred Shares</v>
      </c>
      <c r="U7" s="29" t="str">
        <f t="shared" si="2"/>
        <v>Options</v>
      </c>
      <c r="V7" s="29" t="str">
        <f t="shared" si="2"/>
        <v>Issued and Outstanding</v>
      </c>
      <c r="W7" s="29" t="str">
        <f t="shared" si="2"/>
        <v>% Issued and Outstanding</v>
      </c>
      <c r="X7" s="30" t="str">
        <f t="shared" si="2"/>
        <v>Fully Diluted Shares</v>
      </c>
      <c r="Y7" s="29" t="str">
        <f t="shared" si="2"/>
        <v>% Fully Diluted</v>
      </c>
    </row>
    <row r="8">
      <c r="B8" s="31"/>
      <c r="D8" s="32" t="s">
        <v>90</v>
      </c>
      <c r="L8" s="32" t="s">
        <v>91</v>
      </c>
      <c r="M8" s="32" t="s">
        <v>92</v>
      </c>
      <c r="N8" s="32" t="s">
        <v>93</v>
      </c>
      <c r="O8" s="32" t="s">
        <v>94</v>
      </c>
      <c r="P8" s="33" t="s">
        <v>95</v>
      </c>
      <c r="Q8" s="32"/>
      <c r="R8" s="32"/>
      <c r="X8" s="21"/>
    </row>
    <row r="9">
      <c r="B9" s="34" t="s">
        <v>96</v>
      </c>
      <c r="C9" s="35"/>
      <c r="D9" s="35"/>
      <c r="E9" s="35"/>
      <c r="F9" s="36"/>
      <c r="G9" s="37"/>
      <c r="H9" s="36"/>
      <c r="I9" s="37"/>
      <c r="L9" s="21"/>
      <c r="M9" s="36"/>
      <c r="N9" s="36"/>
      <c r="O9" s="36"/>
      <c r="P9" s="36"/>
      <c r="Q9" s="36"/>
      <c r="R9" s="36"/>
      <c r="S9" s="36"/>
      <c r="T9" s="36"/>
      <c r="U9" s="36"/>
      <c r="V9" s="36"/>
      <c r="W9" s="37"/>
      <c r="X9" s="36"/>
      <c r="Y9" s="37"/>
    </row>
    <row r="10">
      <c r="B10" s="38" t="s">
        <v>78</v>
      </c>
      <c r="C10" s="39">
        <v>0.0</v>
      </c>
      <c r="D10" s="40">
        <v>0.0</v>
      </c>
      <c r="E10" s="41">
        <v>0.0</v>
      </c>
      <c r="F10" s="36">
        <f t="shared" ref="F10:F14" si="3">D10+C10</f>
        <v>0</v>
      </c>
      <c r="G10" s="37">
        <f t="shared" ref="G10:G14" si="4">iferror(F10/F$28,0)</f>
        <v>0</v>
      </c>
      <c r="H10" s="36">
        <f t="shared" ref="H10:H14" si="5">E10+D10+C10</f>
        <v>0</v>
      </c>
      <c r="I10" s="37">
        <f t="shared" ref="I10:I14" si="6">iferror(H10/H$28,0)</f>
        <v>0</v>
      </c>
      <c r="K10" s="42">
        <v>0.0</v>
      </c>
      <c r="L10" s="42">
        <v>0.0</v>
      </c>
      <c r="M10" s="42">
        <v>0.0</v>
      </c>
      <c r="N10" s="42">
        <v>0.0</v>
      </c>
      <c r="O10" s="42">
        <v>0.0</v>
      </c>
      <c r="P10" s="39">
        <v>0.0</v>
      </c>
      <c r="Q10" s="39">
        <v>0.0</v>
      </c>
      <c r="R10" s="39">
        <v>0.0</v>
      </c>
      <c r="S10" s="36">
        <f t="shared" ref="S10:S14" si="7">C10+P10</f>
        <v>0</v>
      </c>
      <c r="T10" s="36">
        <f t="shared" ref="T10:T14" si="8">N10+D10+M10+Q10</f>
        <v>0</v>
      </c>
      <c r="U10" s="36">
        <f t="shared" ref="U10:U14" si="9">E10+O10+R10</f>
        <v>0</v>
      </c>
      <c r="V10" s="36">
        <f t="shared" ref="V10:V14" si="10">T10+S10</f>
        <v>0</v>
      </c>
      <c r="W10" s="37">
        <f t="shared" ref="W10:W14" si="11">iferror(V10/V$28,0)</f>
        <v>0</v>
      </c>
      <c r="X10" s="36">
        <f t="shared" ref="X10:X14" si="12">U10+T10+S10</f>
        <v>0</v>
      </c>
      <c r="Y10" s="37">
        <f t="shared" ref="Y10:Y14" si="13">iferror(X10/X$28,0)</f>
        <v>0</v>
      </c>
    </row>
    <row r="11">
      <c r="B11" s="38" t="s">
        <v>78</v>
      </c>
      <c r="C11" s="39">
        <v>0.0</v>
      </c>
      <c r="D11" s="40">
        <v>0.0</v>
      </c>
      <c r="E11" s="41">
        <v>0.0</v>
      </c>
      <c r="F11" s="36">
        <f t="shared" si="3"/>
        <v>0</v>
      </c>
      <c r="G11" s="37">
        <f t="shared" si="4"/>
        <v>0</v>
      </c>
      <c r="H11" s="36">
        <f t="shared" si="5"/>
        <v>0</v>
      </c>
      <c r="I11" s="37">
        <f t="shared" si="6"/>
        <v>0</v>
      </c>
      <c r="K11" s="42">
        <v>0.0</v>
      </c>
      <c r="L11" s="42">
        <v>0.0</v>
      </c>
      <c r="M11" s="42">
        <v>0.0</v>
      </c>
      <c r="N11" s="42">
        <v>0.0</v>
      </c>
      <c r="O11" s="42">
        <v>0.0</v>
      </c>
      <c r="P11" s="39">
        <v>0.0</v>
      </c>
      <c r="Q11" s="39">
        <v>0.0</v>
      </c>
      <c r="R11" s="39">
        <v>0.0</v>
      </c>
      <c r="S11" s="36">
        <f t="shared" si="7"/>
        <v>0</v>
      </c>
      <c r="T11" s="36">
        <f t="shared" si="8"/>
        <v>0</v>
      </c>
      <c r="U11" s="36">
        <f t="shared" si="9"/>
        <v>0</v>
      </c>
      <c r="V11" s="36">
        <f t="shared" si="10"/>
        <v>0</v>
      </c>
      <c r="W11" s="37">
        <f t="shared" si="11"/>
        <v>0</v>
      </c>
      <c r="X11" s="36">
        <f t="shared" si="12"/>
        <v>0</v>
      </c>
      <c r="Y11" s="37">
        <f t="shared" si="13"/>
        <v>0</v>
      </c>
    </row>
    <row r="12">
      <c r="B12" s="38" t="s">
        <v>78</v>
      </c>
      <c r="C12" s="39">
        <v>0.0</v>
      </c>
      <c r="D12" s="40">
        <v>0.0</v>
      </c>
      <c r="E12" s="41">
        <v>0.0</v>
      </c>
      <c r="F12" s="36">
        <f t="shared" si="3"/>
        <v>0</v>
      </c>
      <c r="G12" s="37">
        <f t="shared" si="4"/>
        <v>0</v>
      </c>
      <c r="H12" s="36">
        <f t="shared" si="5"/>
        <v>0</v>
      </c>
      <c r="I12" s="37">
        <f t="shared" si="6"/>
        <v>0</v>
      </c>
      <c r="K12" s="42">
        <v>0.0</v>
      </c>
      <c r="L12" s="42">
        <v>0.0</v>
      </c>
      <c r="M12" s="42">
        <v>0.0</v>
      </c>
      <c r="N12" s="42">
        <v>0.0</v>
      </c>
      <c r="O12" s="42">
        <v>0.0</v>
      </c>
      <c r="P12" s="39">
        <v>0.0</v>
      </c>
      <c r="Q12" s="39">
        <v>0.0</v>
      </c>
      <c r="R12" s="39">
        <v>0.0</v>
      </c>
      <c r="S12" s="36">
        <f t="shared" si="7"/>
        <v>0</v>
      </c>
      <c r="T12" s="36">
        <f t="shared" si="8"/>
        <v>0</v>
      </c>
      <c r="U12" s="36">
        <f t="shared" si="9"/>
        <v>0</v>
      </c>
      <c r="V12" s="36">
        <f t="shared" si="10"/>
        <v>0</v>
      </c>
      <c r="W12" s="37">
        <f t="shared" si="11"/>
        <v>0</v>
      </c>
      <c r="X12" s="36">
        <f t="shared" si="12"/>
        <v>0</v>
      </c>
      <c r="Y12" s="37">
        <f t="shared" si="13"/>
        <v>0</v>
      </c>
    </row>
    <row r="13">
      <c r="B13" s="38" t="s">
        <v>78</v>
      </c>
      <c r="C13" s="39">
        <v>0.0</v>
      </c>
      <c r="D13" s="40">
        <v>0.0</v>
      </c>
      <c r="E13" s="41">
        <v>0.0</v>
      </c>
      <c r="F13" s="36">
        <f t="shared" si="3"/>
        <v>0</v>
      </c>
      <c r="G13" s="37">
        <f t="shared" si="4"/>
        <v>0</v>
      </c>
      <c r="H13" s="36">
        <f t="shared" si="5"/>
        <v>0</v>
      </c>
      <c r="I13" s="37">
        <f t="shared" si="6"/>
        <v>0</v>
      </c>
      <c r="K13" s="42">
        <v>0.0</v>
      </c>
      <c r="L13" s="42">
        <v>0.0</v>
      </c>
      <c r="M13" s="42">
        <v>0.0</v>
      </c>
      <c r="N13" s="42">
        <v>0.0</v>
      </c>
      <c r="O13" s="42">
        <v>0.0</v>
      </c>
      <c r="P13" s="39">
        <v>0.0</v>
      </c>
      <c r="Q13" s="39">
        <v>0.0</v>
      </c>
      <c r="R13" s="39">
        <v>0.0</v>
      </c>
      <c r="S13" s="36">
        <f t="shared" si="7"/>
        <v>0</v>
      </c>
      <c r="T13" s="36">
        <f t="shared" si="8"/>
        <v>0</v>
      </c>
      <c r="U13" s="36">
        <f t="shared" si="9"/>
        <v>0</v>
      </c>
      <c r="V13" s="36">
        <f t="shared" si="10"/>
        <v>0</v>
      </c>
      <c r="W13" s="37">
        <f t="shared" si="11"/>
        <v>0</v>
      </c>
      <c r="X13" s="36">
        <f t="shared" si="12"/>
        <v>0</v>
      </c>
      <c r="Y13" s="37">
        <f t="shared" si="13"/>
        <v>0</v>
      </c>
    </row>
    <row r="14">
      <c r="B14" s="38" t="s">
        <v>78</v>
      </c>
      <c r="C14" s="39">
        <v>0.0</v>
      </c>
      <c r="D14" s="40">
        <v>0.0</v>
      </c>
      <c r="E14" s="41">
        <v>0.0</v>
      </c>
      <c r="F14" s="36">
        <f t="shared" si="3"/>
        <v>0</v>
      </c>
      <c r="G14" s="37">
        <f t="shared" si="4"/>
        <v>0</v>
      </c>
      <c r="H14" s="36">
        <f t="shared" si="5"/>
        <v>0</v>
      </c>
      <c r="I14" s="37">
        <f t="shared" si="6"/>
        <v>0</v>
      </c>
      <c r="K14" s="42">
        <v>0.0</v>
      </c>
      <c r="L14" s="42">
        <v>0.0</v>
      </c>
      <c r="M14" s="42">
        <v>0.0</v>
      </c>
      <c r="N14" s="42">
        <v>0.0</v>
      </c>
      <c r="O14" s="42">
        <v>0.0</v>
      </c>
      <c r="P14" s="39">
        <v>0.0</v>
      </c>
      <c r="Q14" s="39">
        <v>0.0</v>
      </c>
      <c r="R14" s="39">
        <v>0.0</v>
      </c>
      <c r="S14" s="36">
        <f t="shared" si="7"/>
        <v>0</v>
      </c>
      <c r="T14" s="36">
        <f t="shared" si="8"/>
        <v>0</v>
      </c>
      <c r="U14" s="36">
        <f t="shared" si="9"/>
        <v>0</v>
      </c>
      <c r="V14" s="36">
        <f t="shared" si="10"/>
        <v>0</v>
      </c>
      <c r="W14" s="37">
        <f t="shared" si="11"/>
        <v>0</v>
      </c>
      <c r="X14" s="36">
        <f t="shared" si="12"/>
        <v>0</v>
      </c>
      <c r="Y14" s="37">
        <f t="shared" si="13"/>
        <v>0</v>
      </c>
    </row>
    <row r="15">
      <c r="B15" s="15"/>
      <c r="C15" s="43"/>
      <c r="D15" s="43"/>
      <c r="E15" s="43"/>
      <c r="F15" s="21"/>
      <c r="H15" s="21"/>
      <c r="L15" s="21"/>
      <c r="M15" s="36"/>
      <c r="N15" s="36"/>
      <c r="O15" s="44"/>
      <c r="P15" s="44"/>
      <c r="Q15" s="44"/>
      <c r="R15" s="44"/>
      <c r="S15" s="44"/>
      <c r="T15" s="36"/>
      <c r="U15" s="36"/>
      <c r="X15" s="36"/>
    </row>
    <row r="16">
      <c r="B16" s="34" t="s">
        <v>97</v>
      </c>
      <c r="C16" s="43"/>
      <c r="D16" s="43"/>
      <c r="E16" s="43"/>
      <c r="F16" s="21"/>
      <c r="H16" s="21"/>
      <c r="L16" s="21"/>
      <c r="M16" s="36"/>
      <c r="N16" s="36"/>
      <c r="O16" s="44"/>
      <c r="P16" s="44"/>
      <c r="Q16" s="44"/>
      <c r="R16" s="44"/>
      <c r="S16" s="44"/>
      <c r="T16" s="36"/>
      <c r="U16" s="36"/>
      <c r="X16" s="36"/>
    </row>
    <row r="17">
      <c r="B17" s="45" t="str">
        <f>B16&amp;" issued and outstanding"</f>
        <v>Options and RSUs issued and outstanding</v>
      </c>
      <c r="C17" s="39">
        <v>0.0</v>
      </c>
      <c r="D17" s="40">
        <v>0.0</v>
      </c>
      <c r="E17" s="41">
        <v>0.0</v>
      </c>
      <c r="F17" s="36">
        <f t="shared" ref="F17:F19" si="14">D17+C17</f>
        <v>0</v>
      </c>
      <c r="G17" s="37">
        <f t="shared" ref="G17:G19" si="15">iferror(F17/F$28,0)</f>
        <v>0</v>
      </c>
      <c r="H17" s="36">
        <f t="shared" ref="H17:H19" si="16">E17+D17+C17</f>
        <v>0</v>
      </c>
      <c r="I17" s="37">
        <f t="shared" ref="I17:I19" si="17">iferror(H17/H$28,0)</f>
        <v>0</v>
      </c>
      <c r="K17" s="42">
        <v>0.0</v>
      </c>
      <c r="L17" s="42">
        <v>0.0</v>
      </c>
      <c r="M17" s="42">
        <v>0.0</v>
      </c>
      <c r="N17" s="42">
        <v>0.0</v>
      </c>
      <c r="O17" s="42">
        <v>0.0</v>
      </c>
      <c r="P17" s="39">
        <v>0.0</v>
      </c>
      <c r="Q17" s="39">
        <v>0.0</v>
      </c>
      <c r="R17" s="39">
        <f>abs(M48)</f>
        <v>0</v>
      </c>
      <c r="S17" s="36">
        <f t="shared" ref="S17:S19" si="18">C17+P17</f>
        <v>0</v>
      </c>
      <c r="T17" s="36">
        <f t="shared" ref="T17:T19" si="19">N17+D17+M17+Q17</f>
        <v>0</v>
      </c>
      <c r="U17" s="36">
        <f t="shared" ref="U17:U19" si="20">E17+O17+R17</f>
        <v>0</v>
      </c>
      <c r="V17" s="36">
        <f t="shared" ref="V17:V19" si="21">T17+S17</f>
        <v>0</v>
      </c>
      <c r="W17" s="37">
        <f t="shared" ref="W17:W19" si="22">iferror(V17/V$28,0)</f>
        <v>0</v>
      </c>
      <c r="X17" s="36">
        <f t="shared" ref="X17:X19" si="23">U17+T17+S17</f>
        <v>0</v>
      </c>
      <c r="Y17" s="37">
        <f t="shared" ref="Y17:Y19" si="24">iferror(X17/X$28,0)</f>
        <v>0</v>
      </c>
    </row>
    <row r="18">
      <c r="B18" s="45" t="s">
        <v>98</v>
      </c>
      <c r="C18" s="39">
        <v>0.0</v>
      </c>
      <c r="D18" s="40">
        <v>0.0</v>
      </c>
      <c r="E18" s="41">
        <v>0.0</v>
      </c>
      <c r="F18" s="36">
        <f t="shared" si="14"/>
        <v>0</v>
      </c>
      <c r="G18" s="37">
        <f t="shared" si="15"/>
        <v>0</v>
      </c>
      <c r="H18" s="36">
        <f t="shared" si="16"/>
        <v>0</v>
      </c>
      <c r="I18" s="37">
        <f t="shared" si="17"/>
        <v>0</v>
      </c>
      <c r="K18" s="42">
        <v>0.0</v>
      </c>
      <c r="L18" s="42">
        <v>0.0</v>
      </c>
      <c r="M18" s="42">
        <v>0.0</v>
      </c>
      <c r="N18" s="42">
        <v>0.0</v>
      </c>
      <c r="O18" s="42">
        <v>0.0</v>
      </c>
      <c r="P18" s="39">
        <v>0.0</v>
      </c>
      <c r="Q18" s="39">
        <v>0.0</v>
      </c>
      <c r="R18" s="39">
        <f>R19*-1+abs(M48)*-1</f>
        <v>0</v>
      </c>
      <c r="S18" s="36">
        <f t="shared" si="18"/>
        <v>0</v>
      </c>
      <c r="T18" s="36">
        <f t="shared" si="19"/>
        <v>0</v>
      </c>
      <c r="U18" s="36">
        <f t="shared" si="20"/>
        <v>0</v>
      </c>
      <c r="V18" s="36">
        <f t="shared" si="21"/>
        <v>0</v>
      </c>
      <c r="W18" s="37">
        <f t="shared" si="22"/>
        <v>0</v>
      </c>
      <c r="X18" s="36">
        <f t="shared" si="23"/>
        <v>0</v>
      </c>
      <c r="Y18" s="37">
        <f t="shared" si="24"/>
        <v>0</v>
      </c>
    </row>
    <row r="19">
      <c r="B19" s="45" t="s">
        <v>99</v>
      </c>
      <c r="C19" s="42">
        <v>0.0</v>
      </c>
      <c r="D19" s="42">
        <v>0.0</v>
      </c>
      <c r="E19" s="42">
        <v>0.0</v>
      </c>
      <c r="F19" s="36">
        <f t="shared" si="14"/>
        <v>0</v>
      </c>
      <c r="G19" s="37">
        <f t="shared" si="15"/>
        <v>0</v>
      </c>
      <c r="H19" s="36">
        <f t="shared" si="16"/>
        <v>0</v>
      </c>
      <c r="I19" s="37">
        <f t="shared" si="17"/>
        <v>0</v>
      </c>
      <c r="K19" s="42">
        <v>0.0</v>
      </c>
      <c r="L19" s="42">
        <v>0.0</v>
      </c>
      <c r="M19" s="42">
        <v>0.0</v>
      </c>
      <c r="N19" s="42">
        <v>0.0</v>
      </c>
      <c r="O19" s="36">
        <f>M50</f>
        <v>0</v>
      </c>
      <c r="P19" s="39">
        <v>0.0</v>
      </c>
      <c r="Q19" s="39">
        <v>0.0</v>
      </c>
      <c r="R19" s="39">
        <f>-1*E19</f>
        <v>0</v>
      </c>
      <c r="S19" s="36">
        <f t="shared" si="18"/>
        <v>0</v>
      </c>
      <c r="T19" s="36">
        <f t="shared" si="19"/>
        <v>0</v>
      </c>
      <c r="U19" s="36">
        <f t="shared" si="20"/>
        <v>0</v>
      </c>
      <c r="V19" s="36">
        <f t="shared" si="21"/>
        <v>0</v>
      </c>
      <c r="W19" s="37">
        <f t="shared" si="22"/>
        <v>0</v>
      </c>
      <c r="X19" s="36">
        <f t="shared" si="23"/>
        <v>0</v>
      </c>
      <c r="Y19" s="37">
        <f t="shared" si="24"/>
        <v>0</v>
      </c>
    </row>
    <row r="20">
      <c r="C20" s="43"/>
      <c r="D20" s="43"/>
      <c r="E20" s="43"/>
      <c r="F20" s="21"/>
      <c r="H20" s="21"/>
      <c r="L20" s="21"/>
      <c r="M20" s="36"/>
      <c r="N20" s="36"/>
      <c r="O20" s="36"/>
      <c r="P20" s="36"/>
      <c r="Q20" s="36"/>
      <c r="R20" s="36"/>
      <c r="S20" s="36"/>
      <c r="T20" s="36"/>
      <c r="U20" s="36"/>
      <c r="X20" s="21"/>
    </row>
    <row r="21">
      <c r="B21" s="34" t="s">
        <v>101</v>
      </c>
      <c r="C21" s="43"/>
      <c r="D21" s="43"/>
      <c r="E21" s="36"/>
      <c r="F21" s="36"/>
      <c r="G21" s="36"/>
      <c r="H21" s="36"/>
      <c r="I21" s="36"/>
      <c r="J21" s="36"/>
      <c r="K21" s="36"/>
      <c r="L21" s="36"/>
      <c r="M21" s="36"/>
      <c r="N21" s="36"/>
      <c r="O21" s="36"/>
      <c r="P21" s="36"/>
      <c r="Q21" s="36"/>
      <c r="R21" s="36"/>
      <c r="S21" s="36"/>
      <c r="T21" s="36"/>
      <c r="U21" s="36"/>
      <c r="V21" s="36"/>
      <c r="W21" s="37"/>
      <c r="X21" s="36"/>
      <c r="Y21" s="37"/>
    </row>
    <row r="22">
      <c r="B22" s="38" t="s">
        <v>102</v>
      </c>
      <c r="C22" s="42">
        <v>0.0</v>
      </c>
      <c r="D22" s="42">
        <v>0.0</v>
      </c>
      <c r="E22" s="42">
        <v>0.0</v>
      </c>
      <c r="F22" s="36">
        <f t="shared" ref="F22:F26" si="25">D22+C22</f>
        <v>0</v>
      </c>
      <c r="G22" s="37">
        <f t="shared" ref="G22:G26" si="26">iferror(F22/F$28,0)</f>
        <v>0</v>
      </c>
      <c r="H22" s="36">
        <f t="shared" ref="H22:H26" si="27">E22+D22+C22</f>
        <v>0</v>
      </c>
      <c r="I22" s="37">
        <f t="shared" ref="I22:I26" si="28">iferror(H22/H$28,0)</f>
        <v>0</v>
      </c>
      <c r="K22" s="39">
        <v>0.0</v>
      </c>
      <c r="L22" s="36">
        <f t="shared" ref="L22:L26" si="29">iferror(M$35*N22,0)</f>
        <v>0</v>
      </c>
      <c r="M22" s="42">
        <v>0.0</v>
      </c>
      <c r="N22" s="36">
        <f t="shared" ref="N22:N26" si="30">iferror(if(M$41="rounddown",rounddown(K22/M$35,0),if(M$41="roundup",roundup(K22/M$35,0),if(M$41="round",round(K22/M$35,0),K22/M$35))),0)</f>
        <v>0</v>
      </c>
      <c r="O22" s="42">
        <v>0.0</v>
      </c>
      <c r="P22" s="39">
        <v>0.0</v>
      </c>
      <c r="Q22" s="39">
        <v>0.0</v>
      </c>
      <c r="R22" s="39">
        <v>0.0</v>
      </c>
      <c r="S22" s="36">
        <f t="shared" ref="S22:S26" si="31">C22+P22</f>
        <v>0</v>
      </c>
      <c r="T22" s="36">
        <f t="shared" ref="T22:T26" si="32">N22+D22+M22+Q22</f>
        <v>0</v>
      </c>
      <c r="U22" s="36">
        <f t="shared" ref="U22:U26" si="33">E22+O22+R22</f>
        <v>0</v>
      </c>
      <c r="V22" s="36">
        <f t="shared" ref="V22:V26" si="34">T22+S22</f>
        <v>0</v>
      </c>
      <c r="W22" s="37">
        <f t="shared" ref="W22:W26" si="35">iferror(V22/V$28,0)</f>
        <v>0</v>
      </c>
      <c r="X22" s="36">
        <f t="shared" ref="X22:X26" si="36">U22+T22+S22</f>
        <v>0</v>
      </c>
      <c r="Y22" s="37">
        <f t="shared" ref="Y22:Y26" si="37">iferror(X22/X$28,0)</f>
        <v>0</v>
      </c>
    </row>
    <row r="23">
      <c r="B23" s="38" t="s">
        <v>102</v>
      </c>
      <c r="C23" s="42">
        <v>0.0</v>
      </c>
      <c r="D23" s="42">
        <v>0.0</v>
      </c>
      <c r="E23" s="42">
        <v>0.0</v>
      </c>
      <c r="F23" s="36">
        <f t="shared" si="25"/>
        <v>0</v>
      </c>
      <c r="G23" s="37">
        <f t="shared" si="26"/>
        <v>0</v>
      </c>
      <c r="H23" s="36">
        <f t="shared" si="27"/>
        <v>0</v>
      </c>
      <c r="I23" s="37">
        <f t="shared" si="28"/>
        <v>0</v>
      </c>
      <c r="K23" s="39">
        <v>0.0</v>
      </c>
      <c r="L23" s="36">
        <f t="shared" si="29"/>
        <v>0</v>
      </c>
      <c r="M23" s="42">
        <v>0.0</v>
      </c>
      <c r="N23" s="36">
        <f t="shared" si="30"/>
        <v>0</v>
      </c>
      <c r="O23" s="42">
        <v>0.0</v>
      </c>
      <c r="P23" s="39">
        <v>0.0</v>
      </c>
      <c r="Q23" s="39">
        <v>0.0</v>
      </c>
      <c r="R23" s="39">
        <v>0.0</v>
      </c>
      <c r="S23" s="36">
        <f t="shared" si="31"/>
        <v>0</v>
      </c>
      <c r="T23" s="36">
        <f t="shared" si="32"/>
        <v>0</v>
      </c>
      <c r="U23" s="36">
        <f t="shared" si="33"/>
        <v>0</v>
      </c>
      <c r="V23" s="36">
        <f t="shared" si="34"/>
        <v>0</v>
      </c>
      <c r="W23" s="37">
        <f t="shared" si="35"/>
        <v>0</v>
      </c>
      <c r="X23" s="36">
        <f t="shared" si="36"/>
        <v>0</v>
      </c>
      <c r="Y23" s="37">
        <f t="shared" si="37"/>
        <v>0</v>
      </c>
    </row>
    <row r="24">
      <c r="B24" s="38" t="s">
        <v>102</v>
      </c>
      <c r="C24" s="42">
        <v>0.0</v>
      </c>
      <c r="D24" s="42">
        <v>0.0</v>
      </c>
      <c r="E24" s="42">
        <v>0.0</v>
      </c>
      <c r="F24" s="36">
        <f t="shared" si="25"/>
        <v>0</v>
      </c>
      <c r="G24" s="37">
        <f t="shared" si="26"/>
        <v>0</v>
      </c>
      <c r="H24" s="36">
        <f t="shared" si="27"/>
        <v>0</v>
      </c>
      <c r="I24" s="37">
        <f t="shared" si="28"/>
        <v>0</v>
      </c>
      <c r="K24" s="39">
        <v>0.0</v>
      </c>
      <c r="L24" s="36">
        <f t="shared" si="29"/>
        <v>0</v>
      </c>
      <c r="M24" s="42">
        <v>0.0</v>
      </c>
      <c r="N24" s="36">
        <f t="shared" si="30"/>
        <v>0</v>
      </c>
      <c r="O24" s="42">
        <v>0.0</v>
      </c>
      <c r="P24" s="39">
        <v>0.0</v>
      </c>
      <c r="Q24" s="39">
        <v>0.0</v>
      </c>
      <c r="R24" s="39">
        <v>0.0</v>
      </c>
      <c r="S24" s="36">
        <f t="shared" si="31"/>
        <v>0</v>
      </c>
      <c r="T24" s="36">
        <f t="shared" si="32"/>
        <v>0</v>
      </c>
      <c r="U24" s="36">
        <f t="shared" si="33"/>
        <v>0</v>
      </c>
      <c r="V24" s="36">
        <f t="shared" si="34"/>
        <v>0</v>
      </c>
      <c r="W24" s="37">
        <f t="shared" si="35"/>
        <v>0</v>
      </c>
      <c r="X24" s="36">
        <f t="shared" si="36"/>
        <v>0</v>
      </c>
      <c r="Y24" s="37">
        <f t="shared" si="37"/>
        <v>0</v>
      </c>
    </row>
    <row r="25">
      <c r="B25" s="38" t="s">
        <v>102</v>
      </c>
      <c r="C25" s="42">
        <v>0.0</v>
      </c>
      <c r="D25" s="42">
        <v>0.0</v>
      </c>
      <c r="E25" s="42">
        <v>0.0</v>
      </c>
      <c r="F25" s="36">
        <f t="shared" si="25"/>
        <v>0</v>
      </c>
      <c r="G25" s="37">
        <f t="shared" si="26"/>
        <v>0</v>
      </c>
      <c r="H25" s="36">
        <f t="shared" si="27"/>
        <v>0</v>
      </c>
      <c r="I25" s="37">
        <f t="shared" si="28"/>
        <v>0</v>
      </c>
      <c r="K25" s="47">
        <v>0.0</v>
      </c>
      <c r="L25" s="36">
        <f t="shared" si="29"/>
        <v>0</v>
      </c>
      <c r="M25" s="42">
        <v>0.0</v>
      </c>
      <c r="N25" s="36">
        <f t="shared" si="30"/>
        <v>0</v>
      </c>
      <c r="O25" s="42">
        <v>0.0</v>
      </c>
      <c r="P25" s="39">
        <v>0.0</v>
      </c>
      <c r="Q25" s="39">
        <v>0.0</v>
      </c>
      <c r="R25" s="39">
        <v>0.0</v>
      </c>
      <c r="S25" s="36">
        <f t="shared" si="31"/>
        <v>0</v>
      </c>
      <c r="T25" s="36">
        <f t="shared" si="32"/>
        <v>0</v>
      </c>
      <c r="U25" s="36">
        <f t="shared" si="33"/>
        <v>0</v>
      </c>
      <c r="V25" s="36">
        <f t="shared" si="34"/>
        <v>0</v>
      </c>
      <c r="W25" s="37">
        <f t="shared" si="35"/>
        <v>0</v>
      </c>
      <c r="X25" s="36">
        <f t="shared" si="36"/>
        <v>0</v>
      </c>
      <c r="Y25" s="37">
        <f t="shared" si="37"/>
        <v>0</v>
      </c>
    </row>
    <row r="26">
      <c r="B26" s="38" t="s">
        <v>102</v>
      </c>
      <c r="C26" s="42">
        <v>0.0</v>
      </c>
      <c r="D26" s="42">
        <v>0.0</v>
      </c>
      <c r="E26" s="42">
        <v>0.0</v>
      </c>
      <c r="F26" s="36">
        <f t="shared" si="25"/>
        <v>0</v>
      </c>
      <c r="G26" s="37">
        <f t="shared" si="26"/>
        <v>0</v>
      </c>
      <c r="H26" s="36">
        <f t="shared" si="27"/>
        <v>0</v>
      </c>
      <c r="I26" s="37">
        <f t="shared" si="28"/>
        <v>0</v>
      </c>
      <c r="K26" s="47">
        <v>0.0</v>
      </c>
      <c r="L26" s="36">
        <f t="shared" si="29"/>
        <v>0</v>
      </c>
      <c r="M26" s="42">
        <v>0.0</v>
      </c>
      <c r="N26" s="36">
        <f t="shared" si="30"/>
        <v>0</v>
      </c>
      <c r="O26" s="42">
        <v>0.0</v>
      </c>
      <c r="P26" s="39">
        <v>0.0</v>
      </c>
      <c r="Q26" s="39">
        <v>0.0</v>
      </c>
      <c r="R26" s="39">
        <v>0.0</v>
      </c>
      <c r="S26" s="36">
        <f t="shared" si="31"/>
        <v>0</v>
      </c>
      <c r="T26" s="36">
        <f t="shared" si="32"/>
        <v>0</v>
      </c>
      <c r="U26" s="36">
        <f t="shared" si="33"/>
        <v>0</v>
      </c>
      <c r="V26" s="36">
        <f t="shared" si="34"/>
        <v>0</v>
      </c>
      <c r="W26" s="37">
        <f t="shared" si="35"/>
        <v>0</v>
      </c>
      <c r="X26" s="36">
        <f t="shared" si="36"/>
        <v>0</v>
      </c>
      <c r="Y26" s="37">
        <f t="shared" si="37"/>
        <v>0</v>
      </c>
    </row>
    <row r="27">
      <c r="C27" s="43"/>
      <c r="D27" s="43"/>
      <c r="E27" s="43"/>
      <c r="L27" s="21"/>
      <c r="M27" s="21"/>
      <c r="N27" s="21"/>
      <c r="O27" s="21"/>
      <c r="P27" s="21"/>
      <c r="Q27" s="21"/>
      <c r="R27" s="21"/>
      <c r="X27" s="21"/>
    </row>
    <row r="28">
      <c r="B28" s="48" t="s">
        <v>103</v>
      </c>
      <c r="C28" s="49">
        <f t="shared" ref="C28:F28" si="38">sum(C8:C27)</f>
        <v>0</v>
      </c>
      <c r="D28" s="49">
        <f t="shared" si="38"/>
        <v>0</v>
      </c>
      <c r="E28" s="49">
        <f t="shared" si="38"/>
        <v>0</v>
      </c>
      <c r="F28" s="49">
        <f t="shared" si="38"/>
        <v>0</v>
      </c>
      <c r="G28" s="50">
        <f>iferror(F28/F$28,0)</f>
        <v>0</v>
      </c>
      <c r="H28" s="49">
        <f>sum(H8:H27)</f>
        <v>0</v>
      </c>
      <c r="I28" s="50">
        <f>iferror(H28/H$28,0)</f>
        <v>0</v>
      </c>
      <c r="K28" s="49">
        <f t="shared" ref="K28:P28" si="39">sum(K8:K27)</f>
        <v>0</v>
      </c>
      <c r="L28" s="49">
        <f t="shared" si="39"/>
        <v>0</v>
      </c>
      <c r="M28" s="49">
        <f t="shared" si="39"/>
        <v>0</v>
      </c>
      <c r="N28" s="49">
        <f t="shared" si="39"/>
        <v>0</v>
      </c>
      <c r="O28" s="49">
        <f t="shared" si="39"/>
        <v>0</v>
      </c>
      <c r="P28" s="49">
        <f t="shared" si="39"/>
        <v>0</v>
      </c>
      <c r="Q28" s="49"/>
      <c r="R28" s="49"/>
      <c r="S28" s="49">
        <f t="shared" ref="S28:V28" si="40">sum(S8:S27)</f>
        <v>0</v>
      </c>
      <c r="T28" s="49">
        <f t="shared" si="40"/>
        <v>0</v>
      </c>
      <c r="U28" s="49">
        <f t="shared" si="40"/>
        <v>0</v>
      </c>
      <c r="V28" s="49">
        <f t="shared" si="40"/>
        <v>0</v>
      </c>
      <c r="W28" s="50">
        <f>iferror(V28/V$28,0)</f>
        <v>0</v>
      </c>
      <c r="X28" s="49">
        <f>sum(X8:X27)</f>
        <v>0</v>
      </c>
      <c r="Y28" s="50">
        <f>iferror(X28/X$28,0)</f>
        <v>0</v>
      </c>
    </row>
    <row r="29">
      <c r="L29" s="21"/>
    </row>
    <row r="30">
      <c r="K30" s="47" t="s">
        <v>230</v>
      </c>
      <c r="L30" s="21"/>
      <c r="M30" s="21"/>
      <c r="N30" s="52"/>
      <c r="Q30" s="21"/>
      <c r="R30" s="21"/>
      <c r="S30" s="21"/>
      <c r="T30" s="21"/>
      <c r="U30" s="21"/>
      <c r="V30" s="21"/>
    </row>
    <row r="31">
      <c r="K31" s="53" t="s">
        <v>105</v>
      </c>
      <c r="L31" s="21"/>
      <c r="M31" s="21">
        <f>L28</f>
        <v>0</v>
      </c>
      <c r="N31" s="15" t="s">
        <v>106</v>
      </c>
      <c r="Q31" s="21"/>
      <c r="R31" s="21"/>
      <c r="S31" s="21"/>
      <c r="T31" s="21"/>
      <c r="U31" s="21"/>
      <c r="V31" s="21"/>
    </row>
    <row r="32">
      <c r="K32" s="53" t="s">
        <v>107</v>
      </c>
      <c r="L32" s="21"/>
      <c r="M32" s="47">
        <v>0.0</v>
      </c>
      <c r="N32" s="15" t="s">
        <v>108</v>
      </c>
      <c r="Q32" s="21"/>
      <c r="R32" s="21"/>
      <c r="S32" s="21"/>
      <c r="T32" s="21"/>
      <c r="U32" s="21"/>
      <c r="V32" s="21"/>
    </row>
    <row r="33">
      <c r="K33" s="53" t="s">
        <v>109</v>
      </c>
      <c r="L33" s="21"/>
      <c r="M33" s="21">
        <f>M35*X28</f>
        <v>0</v>
      </c>
      <c r="N33" s="15" t="s">
        <v>110</v>
      </c>
      <c r="Q33" s="21"/>
      <c r="R33" s="21"/>
      <c r="S33" s="21"/>
      <c r="T33" s="21"/>
      <c r="U33" s="21"/>
      <c r="V33" s="21"/>
    </row>
    <row r="34">
      <c r="K34" s="53" t="s">
        <v>111</v>
      </c>
      <c r="L34" s="21"/>
      <c r="M34" s="21">
        <f>H28+if(M46="investor friendly",M50,0)</f>
        <v>0</v>
      </c>
      <c r="N34" s="15" t="s">
        <v>112</v>
      </c>
      <c r="Q34" s="21"/>
      <c r="R34" s="21"/>
      <c r="S34" s="21"/>
      <c r="T34" s="21"/>
      <c r="U34" s="21"/>
      <c r="V34" s="21"/>
    </row>
    <row r="35">
      <c r="K35" s="53" t="s">
        <v>113</v>
      </c>
      <c r="L35" s="21"/>
      <c r="M35" s="54">
        <f>iferror(if(isnumber(M40),round(M32/M34,M40),M32/M34),0)</f>
        <v>0</v>
      </c>
      <c r="N35" s="15" t="s">
        <v>114</v>
      </c>
      <c r="Q35" s="21"/>
      <c r="R35" s="21"/>
      <c r="S35" s="21"/>
      <c r="T35" s="21"/>
      <c r="U35" s="21"/>
      <c r="V35" s="21"/>
    </row>
    <row r="36">
      <c r="K36" s="53" t="s">
        <v>115</v>
      </c>
      <c r="L36" s="21"/>
      <c r="M36" s="21">
        <f>iferror(M32-(M34-H28)*M35,0)</f>
        <v>0</v>
      </c>
      <c r="N36" s="15" t="s">
        <v>116</v>
      </c>
      <c r="Q36" s="21"/>
      <c r="R36" s="21"/>
      <c r="S36" s="21"/>
      <c r="T36" s="21"/>
      <c r="U36" s="21"/>
      <c r="V36" s="21"/>
    </row>
    <row r="37">
      <c r="K37" s="53"/>
      <c r="L37" s="21"/>
      <c r="M37" s="21"/>
      <c r="N37" s="15"/>
      <c r="Q37" s="21"/>
      <c r="R37" s="21"/>
      <c r="S37" s="21"/>
      <c r="T37" s="21"/>
      <c r="U37" s="21"/>
      <c r="V37" s="21"/>
    </row>
    <row r="38">
      <c r="K38" s="55" t="s">
        <v>117</v>
      </c>
      <c r="L38" s="56"/>
      <c r="M38" s="56"/>
      <c r="N38" s="57"/>
      <c r="O38" s="58"/>
      <c r="P38" s="58"/>
      <c r="Q38" s="56"/>
      <c r="R38" s="56"/>
      <c r="S38" s="56"/>
      <c r="T38" s="56"/>
      <c r="U38" s="56"/>
      <c r="V38" s="56"/>
    </row>
    <row r="39">
      <c r="K39" s="53" t="s">
        <v>118</v>
      </c>
      <c r="L39" s="21"/>
      <c r="M39" s="59" t="b">
        <v>0</v>
      </c>
      <c r="N39" s="15" t="s">
        <v>307</v>
      </c>
      <c r="Q39" s="21"/>
      <c r="R39" s="21"/>
      <c r="S39" s="21"/>
      <c r="T39" s="21"/>
      <c r="U39" s="21"/>
      <c r="V39" s="21"/>
    </row>
    <row r="40">
      <c r="K40" s="53" t="str">
        <f>if(isnumber(M40),"Round share prices to "&amp;M40&amp;" significant digits","Do not round share prices")</f>
        <v>Round share prices to 4 significant digits</v>
      </c>
      <c r="L40" s="21"/>
      <c r="M40" s="59">
        <v>4.0</v>
      </c>
      <c r="N40" s="15" t="s">
        <v>120</v>
      </c>
      <c r="Q40" s="21"/>
      <c r="R40" s="21"/>
      <c r="S40" s="21"/>
      <c r="T40" s="21"/>
      <c r="U40" s="21"/>
      <c r="V40" s="21"/>
    </row>
    <row r="41">
      <c r="K41" s="53" t="s">
        <v>121</v>
      </c>
      <c r="L41" s="21"/>
      <c r="M41" s="59" t="s">
        <v>122</v>
      </c>
      <c r="N41" s="15" t="s">
        <v>123</v>
      </c>
      <c r="Q41" s="21"/>
      <c r="R41" s="21"/>
      <c r="S41" s="21"/>
      <c r="T41" s="21"/>
      <c r="U41" s="21"/>
      <c r="V41" s="21"/>
    </row>
    <row r="42">
      <c r="K42" s="53" t="s">
        <v>124</v>
      </c>
      <c r="L42" s="21"/>
      <c r="M42" s="60">
        <f>today()</f>
        <v>46107</v>
      </c>
      <c r="N42" s="15" t="s">
        <v>125</v>
      </c>
      <c r="Q42" s="21"/>
      <c r="R42" s="21"/>
      <c r="S42" s="21"/>
      <c r="T42" s="21"/>
      <c r="U42" s="21"/>
      <c r="V42" s="21"/>
    </row>
    <row r="43">
      <c r="K43" s="61"/>
      <c r="L43" s="21"/>
      <c r="Q43" s="21"/>
      <c r="R43" s="21"/>
      <c r="S43" s="21"/>
      <c r="T43" s="21"/>
      <c r="U43" s="21"/>
      <c r="V43" s="21"/>
    </row>
    <row r="44">
      <c r="K44" s="80" t="s">
        <v>152</v>
      </c>
      <c r="L44" s="81"/>
      <c r="M44" s="82"/>
      <c r="N44" s="57"/>
      <c r="O44" s="57"/>
      <c r="P44" s="58"/>
      <c r="Q44" s="56"/>
      <c r="R44" s="56"/>
      <c r="S44" s="56"/>
      <c r="T44" s="56"/>
      <c r="U44" s="56"/>
      <c r="V44" s="56"/>
    </row>
    <row r="45">
      <c r="K45" s="83" t="s">
        <v>153</v>
      </c>
      <c r="L45" s="64"/>
      <c r="M45" s="147">
        <v>0.0</v>
      </c>
      <c r="N45" s="15" t="s">
        <v>155</v>
      </c>
      <c r="Q45" s="21"/>
      <c r="R45" s="21"/>
      <c r="S45" s="21"/>
      <c r="T45" s="21"/>
      <c r="U45" s="21"/>
      <c r="V45" s="21"/>
    </row>
    <row r="46">
      <c r="K46" s="63" t="s">
        <v>156</v>
      </c>
      <c r="L46" s="64"/>
      <c r="M46" s="38" t="s">
        <v>129</v>
      </c>
      <c r="N46" s="15" t="s">
        <v>157</v>
      </c>
      <c r="Q46" s="21"/>
      <c r="R46" s="21"/>
      <c r="S46" s="21"/>
      <c r="T46" s="21"/>
      <c r="U46" s="21"/>
      <c r="V46" s="21"/>
    </row>
    <row r="47">
      <c r="K47" s="83" t="s">
        <v>158</v>
      </c>
      <c r="L47" s="64"/>
      <c r="M47" s="36">
        <f>if(M39=true,(H28+N28-M49)*(1/(1-M45)-1),0)</f>
        <v>0</v>
      </c>
      <c r="N47" s="15" t="s">
        <v>159</v>
      </c>
      <c r="Q47" s="21"/>
      <c r="R47" s="21"/>
      <c r="S47" s="21"/>
      <c r="T47" s="21"/>
      <c r="U47" s="21"/>
      <c r="V47" s="21"/>
    </row>
    <row r="48">
      <c r="K48" s="63" t="s">
        <v>160</v>
      </c>
      <c r="L48" s="64"/>
      <c r="M48" s="39">
        <v>0.0</v>
      </c>
      <c r="N48" s="15" t="s">
        <v>161</v>
      </c>
      <c r="Q48" s="21"/>
      <c r="R48" s="21"/>
      <c r="S48" s="21"/>
      <c r="T48" s="21"/>
      <c r="U48" s="21"/>
      <c r="V48" s="21"/>
    </row>
    <row r="49">
      <c r="K49" s="83" t="s">
        <v>162</v>
      </c>
      <c r="L49" s="64"/>
      <c r="M49" s="36">
        <f>max(0,E18+E19-abs(M48))</f>
        <v>0</v>
      </c>
      <c r="N49" s="15" t="s">
        <v>163</v>
      </c>
      <c r="Q49" s="21"/>
      <c r="R49" s="21"/>
      <c r="S49" s="21"/>
      <c r="T49" s="21"/>
      <c r="U49" s="21"/>
      <c r="V49" s="21"/>
    </row>
    <row r="50">
      <c r="K50" s="85" t="s">
        <v>164</v>
      </c>
      <c r="L50" s="64"/>
      <c r="M50" s="36">
        <f>max(0,M47-M49)</f>
        <v>0</v>
      </c>
      <c r="N50" s="15" t="s">
        <v>165</v>
      </c>
      <c r="Q50" s="21"/>
      <c r="R50" s="21"/>
      <c r="S50" s="21"/>
      <c r="T50" s="21"/>
      <c r="U50" s="21"/>
      <c r="V50" s="21"/>
    </row>
    <row r="51">
      <c r="K51" s="85" t="s">
        <v>166</v>
      </c>
      <c r="L51" s="64"/>
      <c r="M51" s="37">
        <f>Y18+Y19</f>
        <v>0</v>
      </c>
      <c r="N51" s="15" t="s">
        <v>167</v>
      </c>
      <c r="Q51" s="21"/>
      <c r="R51" s="21"/>
      <c r="S51" s="21"/>
      <c r="T51" s="21"/>
      <c r="U51" s="21"/>
      <c r="V51" s="21"/>
    </row>
    <row r="52">
      <c r="K52" s="15"/>
      <c r="L52" s="21"/>
      <c r="Q52" s="21"/>
      <c r="R52" s="21"/>
      <c r="S52" s="21"/>
      <c r="T52" s="21"/>
      <c r="U52" s="21"/>
      <c r="V52" s="21"/>
    </row>
    <row r="53">
      <c r="K53" s="15"/>
      <c r="L53" s="21"/>
      <c r="Q53" s="21"/>
      <c r="R53" s="21"/>
      <c r="S53" s="21"/>
      <c r="T53" s="21"/>
      <c r="U53" s="21"/>
      <c r="V53" s="21"/>
    </row>
  </sheetData>
  <dataValidations>
    <dataValidation type="list" allowBlank="1" sqref="M41">
      <formula1>"none,round,roundup,rounddown"</formula1>
    </dataValidation>
    <dataValidation type="list" allowBlank="1" sqref="M46">
      <formula1>"investor friendly,founder friendly"</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2" width="32.63"/>
    <col customWidth="1" min="10" max="10" width="10.0"/>
    <col customWidth="1" min="11" max="11" width="14.63"/>
    <col customWidth="1" min="12" max="12" width="16.88"/>
    <col customWidth="1" min="13" max="13" width="13.25"/>
    <col customWidth="1" min="14" max="15" width="13.63"/>
    <col customWidth="1" min="16" max="16" width="16.0"/>
    <col customWidth="1" min="17" max="17" width="13.5"/>
    <col customWidth="1" min="18" max="18" width="14.13"/>
    <col customWidth="1" min="19" max="19" width="13.25"/>
    <col customWidth="1" min="20" max="20" width="15.13"/>
    <col customWidth="1" min="21" max="21" width="14.5"/>
    <col customWidth="1" min="22" max="22" width="13.5"/>
    <col customWidth="1" min="23" max="26" width="13.25"/>
  </cols>
  <sheetData>
    <row r="1">
      <c r="L1" s="21"/>
      <c r="Q1" s="21"/>
      <c r="R1" s="21"/>
      <c r="S1" s="21"/>
      <c r="T1" s="21"/>
      <c r="U1" s="21"/>
      <c r="V1" s="21"/>
    </row>
    <row r="2">
      <c r="B2" s="1" t="s">
        <v>275</v>
      </c>
      <c r="L2" s="21"/>
      <c r="Q2" s="21"/>
      <c r="R2" s="21"/>
      <c r="S2" s="21"/>
      <c r="T2" s="21"/>
      <c r="U2" s="21"/>
      <c r="V2" s="21"/>
    </row>
    <row r="3">
      <c r="B3" s="23" t="s">
        <v>308</v>
      </c>
      <c r="L3" s="21"/>
      <c r="Q3" s="21"/>
      <c r="R3" s="21"/>
      <c r="S3" s="21"/>
      <c r="T3" s="21"/>
      <c r="U3" s="21"/>
      <c r="V3" s="21"/>
    </row>
    <row r="4">
      <c r="L4" s="21"/>
      <c r="Q4" s="21"/>
      <c r="R4" s="21"/>
      <c r="S4" s="21"/>
      <c r="T4" s="21"/>
      <c r="U4" s="21"/>
      <c r="V4" s="21"/>
    </row>
    <row r="5">
      <c r="B5" s="24" t="s">
        <v>76</v>
      </c>
      <c r="C5" s="25"/>
      <c r="D5" s="25"/>
      <c r="E5" s="25"/>
      <c r="F5" s="25"/>
      <c r="G5" s="25"/>
      <c r="H5" s="25"/>
      <c r="I5" s="25"/>
      <c r="K5" s="24" t="s">
        <v>77</v>
      </c>
      <c r="L5" s="26"/>
      <c r="M5" s="25"/>
      <c r="N5" s="25"/>
      <c r="O5" s="25"/>
      <c r="P5" s="26"/>
      <c r="Q5" s="26"/>
      <c r="R5" s="26"/>
      <c r="S5" s="26"/>
      <c r="T5" s="26"/>
      <c r="U5" s="26"/>
      <c r="V5" s="25"/>
      <c r="W5" s="25"/>
      <c r="X5" s="25"/>
      <c r="Y5" s="25"/>
    </row>
    <row r="6">
      <c r="L6" s="21"/>
      <c r="P6" s="21"/>
      <c r="Q6" s="21"/>
      <c r="R6" s="21"/>
      <c r="S6" s="21"/>
      <c r="T6" s="21"/>
      <c r="U6" s="21"/>
    </row>
    <row r="7">
      <c r="A7" s="27"/>
      <c r="B7" s="28" t="s">
        <v>78</v>
      </c>
      <c r="C7" s="29" t="s">
        <v>79</v>
      </c>
      <c r="D7" s="29" t="s">
        <v>80</v>
      </c>
      <c r="E7" s="29" t="s">
        <v>81</v>
      </c>
      <c r="F7" s="29" t="s">
        <v>82</v>
      </c>
      <c r="G7" s="29" t="s">
        <v>83</v>
      </c>
      <c r="H7" s="29" t="s">
        <v>84</v>
      </c>
      <c r="I7" s="29" t="s">
        <v>85</v>
      </c>
      <c r="J7" s="27"/>
      <c r="K7" s="28" t="s">
        <v>86</v>
      </c>
      <c r="L7" s="30" t="s">
        <v>87</v>
      </c>
      <c r="M7" s="30" t="s">
        <v>88</v>
      </c>
      <c r="N7" s="30" t="s">
        <v>88</v>
      </c>
      <c r="O7" s="30" t="s">
        <v>89</v>
      </c>
      <c r="P7" s="30" t="str">
        <f t="shared" ref="P7:Q7" si="1">C7&amp;" Transferred"</f>
        <v>Common Shares Transferred</v>
      </c>
      <c r="Q7" s="30" t="str">
        <f t="shared" si="1"/>
        <v>Preferred Shares Transferred</v>
      </c>
      <c r="R7" s="30" t="str">
        <f>E7&amp;" Issued, Cancelled, or Recategorized"</f>
        <v>Options Issued, Cancelled, or Recategorized</v>
      </c>
      <c r="S7" s="29" t="str">
        <f t="shared" ref="S7:Y7" si="2">C7</f>
        <v>Common Shares</v>
      </c>
      <c r="T7" s="29" t="str">
        <f t="shared" si="2"/>
        <v>Preferred Shares</v>
      </c>
      <c r="U7" s="29" t="str">
        <f t="shared" si="2"/>
        <v>Options</v>
      </c>
      <c r="V7" s="29" t="str">
        <f t="shared" si="2"/>
        <v>Issued and Outstanding</v>
      </c>
      <c r="W7" s="29" t="str">
        <f t="shared" si="2"/>
        <v>% Issued and Outstanding</v>
      </c>
      <c r="X7" s="30" t="str">
        <f t="shared" si="2"/>
        <v>Fully Diluted Shares</v>
      </c>
      <c r="Y7" s="29" t="str">
        <f t="shared" si="2"/>
        <v>% Fully Diluted</v>
      </c>
    </row>
    <row r="8">
      <c r="B8" s="31"/>
      <c r="D8" s="32" t="s">
        <v>90</v>
      </c>
      <c r="L8" s="32" t="s">
        <v>91</v>
      </c>
      <c r="M8" s="32" t="s">
        <v>92</v>
      </c>
      <c r="N8" s="32" t="s">
        <v>93</v>
      </c>
      <c r="O8" s="32" t="s">
        <v>94</v>
      </c>
      <c r="P8" s="33" t="s">
        <v>95</v>
      </c>
      <c r="Q8" s="32"/>
      <c r="R8" s="32"/>
      <c r="X8" s="21"/>
    </row>
    <row r="9">
      <c r="B9" s="34" t="s">
        <v>96</v>
      </c>
      <c r="C9" s="35"/>
      <c r="D9" s="35"/>
      <c r="E9" s="35"/>
      <c r="F9" s="36"/>
      <c r="G9" s="37"/>
      <c r="H9" s="36"/>
      <c r="I9" s="37"/>
      <c r="L9" s="21"/>
      <c r="M9" s="36"/>
      <c r="N9" s="36"/>
      <c r="O9" s="36"/>
      <c r="P9" s="36"/>
      <c r="Q9" s="36"/>
      <c r="R9" s="36"/>
      <c r="S9" s="36"/>
      <c r="T9" s="36"/>
      <c r="U9" s="36"/>
      <c r="V9" s="36"/>
      <c r="W9" s="37"/>
      <c r="X9" s="36"/>
      <c r="Y9" s="37"/>
    </row>
    <row r="10">
      <c r="B10" s="38" t="s">
        <v>78</v>
      </c>
      <c r="C10" s="39">
        <v>0.0</v>
      </c>
      <c r="D10" s="40">
        <v>0.0</v>
      </c>
      <c r="E10" s="41">
        <v>0.0</v>
      </c>
      <c r="F10" s="36">
        <f t="shared" ref="F10:F14" si="3">D10+C10</f>
        <v>0</v>
      </c>
      <c r="G10" s="37">
        <f t="shared" ref="G10:G14" si="4">iferror(F10/F$29,0)</f>
        <v>0</v>
      </c>
      <c r="H10" s="36">
        <f t="shared" ref="H10:H14" si="5">E10+D10+C10</f>
        <v>0</v>
      </c>
      <c r="I10" s="37">
        <f t="shared" ref="I10:I14" si="6">iferror(H10/H$29,0)</f>
        <v>0</v>
      </c>
      <c r="K10" s="42">
        <v>0.0</v>
      </c>
      <c r="L10" s="42">
        <v>0.0</v>
      </c>
      <c r="M10" s="42">
        <v>0.0</v>
      </c>
      <c r="N10" s="42">
        <v>0.0</v>
      </c>
      <c r="O10" s="42">
        <v>0.0</v>
      </c>
      <c r="P10" s="39">
        <v>0.0</v>
      </c>
      <c r="Q10" s="39">
        <v>0.0</v>
      </c>
      <c r="R10" s="39">
        <v>0.0</v>
      </c>
      <c r="S10" s="36">
        <f t="shared" ref="S10:S14" si="7">C10+P10</f>
        <v>0</v>
      </c>
      <c r="T10" s="36">
        <f t="shared" ref="T10:T14" si="8">N10+D10+M10+Q10</f>
        <v>0</v>
      </c>
      <c r="U10" s="36">
        <f t="shared" ref="U10:U14" si="9">E10+O10+R10</f>
        <v>0</v>
      </c>
      <c r="V10" s="36">
        <f t="shared" ref="V10:V14" si="10">T10+S10</f>
        <v>0</v>
      </c>
      <c r="W10" s="37">
        <f t="shared" ref="W10:W14" si="11">iferror(V10/V$29,0)</f>
        <v>0</v>
      </c>
      <c r="X10" s="36">
        <f t="shared" ref="X10:X14" si="12">U10+T10+S10</f>
        <v>0</v>
      </c>
      <c r="Y10" s="37">
        <f t="shared" ref="Y10:Y14" si="13">iferror(X10/X$29,0)</f>
        <v>0</v>
      </c>
    </row>
    <row r="11">
      <c r="B11" s="38" t="s">
        <v>78</v>
      </c>
      <c r="C11" s="39">
        <v>0.0</v>
      </c>
      <c r="D11" s="40">
        <v>0.0</v>
      </c>
      <c r="E11" s="41">
        <v>0.0</v>
      </c>
      <c r="F11" s="36">
        <f t="shared" si="3"/>
        <v>0</v>
      </c>
      <c r="G11" s="37">
        <f t="shared" si="4"/>
        <v>0</v>
      </c>
      <c r="H11" s="36">
        <f t="shared" si="5"/>
        <v>0</v>
      </c>
      <c r="I11" s="37">
        <f t="shared" si="6"/>
        <v>0</v>
      </c>
      <c r="K11" s="42">
        <v>0.0</v>
      </c>
      <c r="L11" s="42">
        <v>0.0</v>
      </c>
      <c r="M11" s="42">
        <v>0.0</v>
      </c>
      <c r="N11" s="42">
        <v>0.0</v>
      </c>
      <c r="O11" s="42">
        <v>0.0</v>
      </c>
      <c r="P11" s="39">
        <v>0.0</v>
      </c>
      <c r="Q11" s="39">
        <v>0.0</v>
      </c>
      <c r="R11" s="39">
        <v>0.0</v>
      </c>
      <c r="S11" s="36">
        <f t="shared" si="7"/>
        <v>0</v>
      </c>
      <c r="T11" s="36">
        <f t="shared" si="8"/>
        <v>0</v>
      </c>
      <c r="U11" s="36">
        <f t="shared" si="9"/>
        <v>0</v>
      </c>
      <c r="V11" s="36">
        <f t="shared" si="10"/>
        <v>0</v>
      </c>
      <c r="W11" s="37">
        <f t="shared" si="11"/>
        <v>0</v>
      </c>
      <c r="X11" s="36">
        <f t="shared" si="12"/>
        <v>0</v>
      </c>
      <c r="Y11" s="37">
        <f t="shared" si="13"/>
        <v>0</v>
      </c>
    </row>
    <row r="12">
      <c r="B12" s="38" t="s">
        <v>78</v>
      </c>
      <c r="C12" s="39">
        <v>0.0</v>
      </c>
      <c r="D12" s="40">
        <v>0.0</v>
      </c>
      <c r="E12" s="41">
        <v>0.0</v>
      </c>
      <c r="F12" s="36">
        <f t="shared" si="3"/>
        <v>0</v>
      </c>
      <c r="G12" s="37">
        <f t="shared" si="4"/>
        <v>0</v>
      </c>
      <c r="H12" s="36">
        <f t="shared" si="5"/>
        <v>0</v>
      </c>
      <c r="I12" s="37">
        <f t="shared" si="6"/>
        <v>0</v>
      </c>
      <c r="K12" s="42">
        <v>0.0</v>
      </c>
      <c r="L12" s="42">
        <v>0.0</v>
      </c>
      <c r="M12" s="42">
        <v>0.0</v>
      </c>
      <c r="N12" s="42">
        <v>0.0</v>
      </c>
      <c r="O12" s="42">
        <v>0.0</v>
      </c>
      <c r="P12" s="39">
        <v>0.0</v>
      </c>
      <c r="Q12" s="39">
        <v>0.0</v>
      </c>
      <c r="R12" s="39">
        <v>0.0</v>
      </c>
      <c r="S12" s="36">
        <f t="shared" si="7"/>
        <v>0</v>
      </c>
      <c r="T12" s="36">
        <f t="shared" si="8"/>
        <v>0</v>
      </c>
      <c r="U12" s="36">
        <f t="shared" si="9"/>
        <v>0</v>
      </c>
      <c r="V12" s="36">
        <f t="shared" si="10"/>
        <v>0</v>
      </c>
      <c r="W12" s="37">
        <f t="shared" si="11"/>
        <v>0</v>
      </c>
      <c r="X12" s="36">
        <f t="shared" si="12"/>
        <v>0</v>
      </c>
      <c r="Y12" s="37">
        <f t="shared" si="13"/>
        <v>0</v>
      </c>
    </row>
    <row r="13">
      <c r="B13" s="38" t="s">
        <v>78</v>
      </c>
      <c r="C13" s="39">
        <v>0.0</v>
      </c>
      <c r="D13" s="40">
        <v>0.0</v>
      </c>
      <c r="E13" s="41">
        <v>0.0</v>
      </c>
      <c r="F13" s="36">
        <f t="shared" si="3"/>
        <v>0</v>
      </c>
      <c r="G13" s="37">
        <f t="shared" si="4"/>
        <v>0</v>
      </c>
      <c r="H13" s="36">
        <f t="shared" si="5"/>
        <v>0</v>
      </c>
      <c r="I13" s="37">
        <f t="shared" si="6"/>
        <v>0</v>
      </c>
      <c r="K13" s="42">
        <v>0.0</v>
      </c>
      <c r="L13" s="42">
        <v>0.0</v>
      </c>
      <c r="M13" s="42">
        <v>0.0</v>
      </c>
      <c r="N13" s="42">
        <v>0.0</v>
      </c>
      <c r="O13" s="42">
        <v>0.0</v>
      </c>
      <c r="P13" s="39">
        <v>0.0</v>
      </c>
      <c r="Q13" s="39">
        <v>0.0</v>
      </c>
      <c r="R13" s="39">
        <v>0.0</v>
      </c>
      <c r="S13" s="36">
        <f t="shared" si="7"/>
        <v>0</v>
      </c>
      <c r="T13" s="36">
        <f t="shared" si="8"/>
        <v>0</v>
      </c>
      <c r="U13" s="36">
        <f t="shared" si="9"/>
        <v>0</v>
      </c>
      <c r="V13" s="36">
        <f t="shared" si="10"/>
        <v>0</v>
      </c>
      <c r="W13" s="37">
        <f t="shared" si="11"/>
        <v>0</v>
      </c>
      <c r="X13" s="36">
        <f t="shared" si="12"/>
        <v>0</v>
      </c>
      <c r="Y13" s="37">
        <f t="shared" si="13"/>
        <v>0</v>
      </c>
    </row>
    <row r="14">
      <c r="B14" s="38" t="s">
        <v>78</v>
      </c>
      <c r="C14" s="39">
        <v>0.0</v>
      </c>
      <c r="D14" s="40">
        <v>0.0</v>
      </c>
      <c r="E14" s="41">
        <v>0.0</v>
      </c>
      <c r="F14" s="36">
        <f t="shared" si="3"/>
        <v>0</v>
      </c>
      <c r="G14" s="37">
        <f t="shared" si="4"/>
        <v>0</v>
      </c>
      <c r="H14" s="36">
        <f t="shared" si="5"/>
        <v>0</v>
      </c>
      <c r="I14" s="37">
        <f t="shared" si="6"/>
        <v>0</v>
      </c>
      <c r="K14" s="42">
        <v>0.0</v>
      </c>
      <c r="L14" s="42">
        <v>0.0</v>
      </c>
      <c r="M14" s="42">
        <v>0.0</v>
      </c>
      <c r="N14" s="42">
        <v>0.0</v>
      </c>
      <c r="O14" s="42">
        <v>0.0</v>
      </c>
      <c r="P14" s="39">
        <v>0.0</v>
      </c>
      <c r="Q14" s="39">
        <v>0.0</v>
      </c>
      <c r="R14" s="39">
        <v>0.0</v>
      </c>
      <c r="S14" s="36">
        <f t="shared" si="7"/>
        <v>0</v>
      </c>
      <c r="T14" s="36">
        <f t="shared" si="8"/>
        <v>0</v>
      </c>
      <c r="U14" s="36">
        <f t="shared" si="9"/>
        <v>0</v>
      </c>
      <c r="V14" s="36">
        <f t="shared" si="10"/>
        <v>0</v>
      </c>
      <c r="W14" s="37">
        <f t="shared" si="11"/>
        <v>0</v>
      </c>
      <c r="X14" s="36">
        <f t="shared" si="12"/>
        <v>0</v>
      </c>
      <c r="Y14" s="37">
        <f t="shared" si="13"/>
        <v>0</v>
      </c>
    </row>
    <row r="15">
      <c r="B15" s="15"/>
      <c r="C15" s="43"/>
      <c r="D15" s="43"/>
      <c r="E15" s="43"/>
      <c r="F15" s="21"/>
      <c r="H15" s="21"/>
      <c r="L15" s="21"/>
      <c r="M15" s="36"/>
      <c r="N15" s="36"/>
      <c r="O15" s="44"/>
      <c r="P15" s="44"/>
      <c r="Q15" s="44"/>
      <c r="R15" s="44"/>
      <c r="S15" s="44"/>
      <c r="T15" s="36"/>
      <c r="U15" s="36"/>
      <c r="X15" s="36"/>
    </row>
    <row r="16">
      <c r="B16" s="34" t="s">
        <v>100</v>
      </c>
      <c r="C16" s="43"/>
      <c r="D16" s="43"/>
      <c r="E16" s="43"/>
      <c r="F16" s="21"/>
      <c r="H16" s="21"/>
      <c r="L16" s="21"/>
      <c r="M16" s="36"/>
      <c r="N16" s="36"/>
      <c r="O16" s="36"/>
      <c r="P16" s="36"/>
      <c r="Q16" s="36"/>
      <c r="R16" s="36"/>
      <c r="S16" s="36"/>
      <c r="T16" s="36"/>
      <c r="U16" s="36"/>
      <c r="X16" s="21"/>
      <c r="Y16" s="46"/>
    </row>
    <row r="17">
      <c r="B17" s="38" t="str">
        <f t="shared" ref="B17:B20" si="14">K50</f>
        <v>Investor</v>
      </c>
      <c r="C17" s="42">
        <v>0.0</v>
      </c>
      <c r="D17" s="42">
        <v>0.0</v>
      </c>
      <c r="E17" s="42">
        <v>0.0</v>
      </c>
      <c r="F17" s="36">
        <f t="shared" ref="F17:F20" si="15">D17+C17</f>
        <v>0</v>
      </c>
      <c r="G17" s="37">
        <f t="shared" ref="G17:G20" si="16">iferror(F17/F$29,0)</f>
        <v>0</v>
      </c>
      <c r="H17" s="36">
        <f t="shared" ref="H17:H20" si="17">E17+D17+C17</f>
        <v>0</v>
      </c>
      <c r="I17" s="37">
        <f t="shared" ref="I17:I20" si="18">iferror(H17/H$29,0)</f>
        <v>0</v>
      </c>
      <c r="K17" s="39">
        <v>0.0</v>
      </c>
      <c r="L17" s="36">
        <f t="shared" ref="L17:L20" si="19">iferror(M$36*N17,0)</f>
        <v>0</v>
      </c>
      <c r="M17" s="36">
        <f t="shared" ref="M17:M20" si="20">V50</f>
        <v>0</v>
      </c>
      <c r="N17" s="36">
        <f t="shared" ref="N17:N20" si="21">iferror(if(M$42="rounddown",rounddown(K17/M$36,0),if(M$42="roundup",roundup(K17/M$36,0),if(M$42="round",round(K17/M$36,0),K17/M$36))),0)</f>
        <v>0</v>
      </c>
      <c r="O17" s="42">
        <v>0.0</v>
      </c>
      <c r="P17" s="39">
        <v>0.0</v>
      </c>
      <c r="Q17" s="39">
        <v>0.0</v>
      </c>
      <c r="R17" s="39">
        <v>0.0</v>
      </c>
      <c r="S17" s="36">
        <f t="shared" ref="S17:S20" si="22">C17+P17</f>
        <v>0</v>
      </c>
      <c r="T17" s="36">
        <f t="shared" ref="T17:T20" si="23">N17+D17+M17+Q17</f>
        <v>0</v>
      </c>
      <c r="U17" s="36">
        <f t="shared" ref="U17:U20" si="24">E17+O17+R17</f>
        <v>0</v>
      </c>
      <c r="V17" s="36">
        <f t="shared" ref="V17:V20" si="25">T17+S17</f>
        <v>0</v>
      </c>
      <c r="W17" s="37">
        <f t="shared" ref="W17:W20" si="26">iferror(V17/V$29,0)</f>
        <v>0</v>
      </c>
      <c r="X17" s="36">
        <f t="shared" ref="X17:X20" si="27">U17+T17+S17</f>
        <v>0</v>
      </c>
      <c r="Y17" s="37">
        <f t="shared" ref="Y17:Y20" si="28">iferror(X17/X$29,0)</f>
        <v>0</v>
      </c>
    </row>
    <row r="18">
      <c r="B18" s="38" t="str">
        <f t="shared" si="14"/>
        <v>Investor</v>
      </c>
      <c r="C18" s="42">
        <v>0.0</v>
      </c>
      <c r="D18" s="42">
        <v>0.0</v>
      </c>
      <c r="E18" s="42">
        <v>0.0</v>
      </c>
      <c r="F18" s="36">
        <f t="shared" si="15"/>
        <v>0</v>
      </c>
      <c r="G18" s="37">
        <f t="shared" si="16"/>
        <v>0</v>
      </c>
      <c r="H18" s="36">
        <f t="shared" si="17"/>
        <v>0</v>
      </c>
      <c r="I18" s="37">
        <f t="shared" si="18"/>
        <v>0</v>
      </c>
      <c r="K18" s="39">
        <v>0.0</v>
      </c>
      <c r="L18" s="36">
        <f t="shared" si="19"/>
        <v>0</v>
      </c>
      <c r="M18" s="36">
        <f t="shared" si="20"/>
        <v>0</v>
      </c>
      <c r="N18" s="36">
        <f t="shared" si="21"/>
        <v>0</v>
      </c>
      <c r="O18" s="42">
        <v>0.0</v>
      </c>
      <c r="P18" s="39">
        <v>0.0</v>
      </c>
      <c r="Q18" s="39">
        <v>0.0</v>
      </c>
      <c r="R18" s="39">
        <v>0.0</v>
      </c>
      <c r="S18" s="36">
        <f t="shared" si="22"/>
        <v>0</v>
      </c>
      <c r="T18" s="36">
        <f t="shared" si="23"/>
        <v>0</v>
      </c>
      <c r="U18" s="36">
        <f t="shared" si="24"/>
        <v>0</v>
      </c>
      <c r="V18" s="36">
        <f t="shared" si="25"/>
        <v>0</v>
      </c>
      <c r="W18" s="37">
        <f t="shared" si="26"/>
        <v>0</v>
      </c>
      <c r="X18" s="36">
        <f t="shared" si="27"/>
        <v>0</v>
      </c>
      <c r="Y18" s="37">
        <f t="shared" si="28"/>
        <v>0</v>
      </c>
    </row>
    <row r="19">
      <c r="B19" s="38" t="str">
        <f t="shared" si="14"/>
        <v>Investor</v>
      </c>
      <c r="C19" s="42">
        <v>0.0</v>
      </c>
      <c r="D19" s="42">
        <v>0.0</v>
      </c>
      <c r="E19" s="42">
        <v>0.0</v>
      </c>
      <c r="F19" s="36">
        <f t="shared" si="15"/>
        <v>0</v>
      </c>
      <c r="G19" s="37">
        <f t="shared" si="16"/>
        <v>0</v>
      </c>
      <c r="H19" s="36">
        <f t="shared" si="17"/>
        <v>0</v>
      </c>
      <c r="I19" s="37">
        <f t="shared" si="18"/>
        <v>0</v>
      </c>
      <c r="K19" s="39">
        <v>0.0</v>
      </c>
      <c r="L19" s="36">
        <f t="shared" si="19"/>
        <v>0</v>
      </c>
      <c r="M19" s="36">
        <f t="shared" si="20"/>
        <v>0</v>
      </c>
      <c r="N19" s="36">
        <f t="shared" si="21"/>
        <v>0</v>
      </c>
      <c r="O19" s="42">
        <v>0.0</v>
      </c>
      <c r="P19" s="39">
        <v>0.0</v>
      </c>
      <c r="Q19" s="39">
        <v>0.0</v>
      </c>
      <c r="R19" s="39">
        <v>0.0</v>
      </c>
      <c r="S19" s="36">
        <f t="shared" si="22"/>
        <v>0</v>
      </c>
      <c r="T19" s="36">
        <f t="shared" si="23"/>
        <v>0</v>
      </c>
      <c r="U19" s="36">
        <f t="shared" si="24"/>
        <v>0</v>
      </c>
      <c r="V19" s="36">
        <f t="shared" si="25"/>
        <v>0</v>
      </c>
      <c r="W19" s="37">
        <f t="shared" si="26"/>
        <v>0</v>
      </c>
      <c r="X19" s="36">
        <f t="shared" si="27"/>
        <v>0</v>
      </c>
      <c r="Y19" s="37">
        <f t="shared" si="28"/>
        <v>0</v>
      </c>
    </row>
    <row r="20">
      <c r="B20" s="38" t="str">
        <f t="shared" si="14"/>
        <v>Investor</v>
      </c>
      <c r="C20" s="42">
        <v>0.0</v>
      </c>
      <c r="D20" s="42">
        <v>0.0</v>
      </c>
      <c r="E20" s="42">
        <v>0.0</v>
      </c>
      <c r="F20" s="36">
        <f t="shared" si="15"/>
        <v>0</v>
      </c>
      <c r="G20" s="37">
        <f t="shared" si="16"/>
        <v>0</v>
      </c>
      <c r="H20" s="36">
        <f t="shared" si="17"/>
        <v>0</v>
      </c>
      <c r="I20" s="37">
        <f t="shared" si="18"/>
        <v>0</v>
      </c>
      <c r="K20" s="39">
        <v>0.0</v>
      </c>
      <c r="L20" s="36">
        <f t="shared" si="19"/>
        <v>0</v>
      </c>
      <c r="M20" s="36">
        <f t="shared" si="20"/>
        <v>0</v>
      </c>
      <c r="N20" s="36">
        <f t="shared" si="21"/>
        <v>0</v>
      </c>
      <c r="O20" s="42">
        <v>0.0</v>
      </c>
      <c r="P20" s="39">
        <v>0.0</v>
      </c>
      <c r="Q20" s="39">
        <v>0.0</v>
      </c>
      <c r="R20" s="39">
        <v>0.0</v>
      </c>
      <c r="S20" s="36">
        <f t="shared" si="22"/>
        <v>0</v>
      </c>
      <c r="T20" s="36">
        <f t="shared" si="23"/>
        <v>0</v>
      </c>
      <c r="U20" s="36">
        <f t="shared" si="24"/>
        <v>0</v>
      </c>
      <c r="V20" s="36">
        <f t="shared" si="25"/>
        <v>0</v>
      </c>
      <c r="W20" s="37">
        <f t="shared" si="26"/>
        <v>0</v>
      </c>
      <c r="X20" s="36">
        <f t="shared" si="27"/>
        <v>0</v>
      </c>
      <c r="Y20" s="37">
        <f t="shared" si="28"/>
        <v>0</v>
      </c>
    </row>
    <row r="21">
      <c r="C21" s="42"/>
      <c r="D21" s="43"/>
      <c r="E21" s="36"/>
      <c r="F21" s="36"/>
      <c r="G21" s="36"/>
      <c r="H21" s="36"/>
      <c r="I21" s="36"/>
      <c r="J21" s="36"/>
      <c r="K21" s="36"/>
      <c r="L21" s="36"/>
      <c r="M21" s="36"/>
      <c r="N21" s="36"/>
      <c r="O21" s="36"/>
      <c r="P21" s="36"/>
      <c r="Q21" s="36"/>
      <c r="R21" s="36"/>
      <c r="S21" s="36"/>
      <c r="T21" s="36"/>
      <c r="U21" s="36"/>
      <c r="V21" s="36"/>
      <c r="W21" s="37"/>
      <c r="X21" s="36"/>
      <c r="Y21" s="37"/>
    </row>
    <row r="22">
      <c r="B22" s="34" t="s">
        <v>101</v>
      </c>
      <c r="C22" s="43"/>
      <c r="D22" s="43"/>
      <c r="E22" s="36"/>
      <c r="F22" s="36"/>
      <c r="G22" s="36"/>
      <c r="H22" s="36"/>
      <c r="I22" s="36"/>
      <c r="J22" s="36"/>
      <c r="K22" s="36"/>
      <c r="L22" s="36"/>
      <c r="M22" s="36"/>
      <c r="N22" s="36"/>
      <c r="O22" s="36"/>
      <c r="P22" s="36"/>
      <c r="Q22" s="36"/>
      <c r="R22" s="36"/>
      <c r="S22" s="36"/>
      <c r="T22" s="36"/>
      <c r="U22" s="36"/>
      <c r="V22" s="36"/>
      <c r="W22" s="37"/>
      <c r="X22" s="36"/>
      <c r="Y22" s="37"/>
    </row>
    <row r="23">
      <c r="B23" s="38" t="s">
        <v>102</v>
      </c>
      <c r="C23" s="42">
        <v>0.0</v>
      </c>
      <c r="D23" s="42">
        <v>0.0</v>
      </c>
      <c r="E23" s="42">
        <v>0.0</v>
      </c>
      <c r="F23" s="36">
        <f t="shared" ref="F23:F27" si="29">D23+C23</f>
        <v>0</v>
      </c>
      <c r="G23" s="37">
        <f t="shared" ref="G23:G27" si="30">iferror(F23/F$29,0)</f>
        <v>0</v>
      </c>
      <c r="H23" s="36">
        <f t="shared" ref="H23:H27" si="31">E23+D23+C23</f>
        <v>0</v>
      </c>
      <c r="I23" s="37">
        <f t="shared" ref="I23:I27" si="32">iferror(H23/H$29,0)</f>
        <v>0</v>
      </c>
      <c r="K23" s="39">
        <v>0.0</v>
      </c>
      <c r="L23" s="36">
        <f t="shared" ref="L23:L27" si="33">iferror(M$36*N23,0)</f>
        <v>0</v>
      </c>
      <c r="M23" s="42">
        <v>0.0</v>
      </c>
      <c r="N23" s="36">
        <f t="shared" ref="N23:N27" si="34">iferror(if(M$42="rounddown",rounddown(K23/M$36,0),if(M$42="roundup",roundup(K23/M$36,0),if(M$42="round",round(K23/M$36,0),K23/M$36))),0)</f>
        <v>0</v>
      </c>
      <c r="O23" s="42">
        <v>0.0</v>
      </c>
      <c r="P23" s="39">
        <v>0.0</v>
      </c>
      <c r="Q23" s="39">
        <v>0.0</v>
      </c>
      <c r="R23" s="39">
        <v>0.0</v>
      </c>
      <c r="S23" s="36">
        <f t="shared" ref="S23:S27" si="35">C23+P23</f>
        <v>0</v>
      </c>
      <c r="T23" s="36">
        <f t="shared" ref="T23:T27" si="36">N23+D23+M23+Q23</f>
        <v>0</v>
      </c>
      <c r="U23" s="36">
        <f t="shared" ref="U23:U27" si="37">E23+O23+R23</f>
        <v>0</v>
      </c>
      <c r="V23" s="36">
        <f t="shared" ref="V23:V27" si="38">T23+S23</f>
        <v>0</v>
      </c>
      <c r="W23" s="37">
        <f t="shared" ref="W23:W27" si="39">iferror(V23/V$29,0)</f>
        <v>0</v>
      </c>
      <c r="X23" s="36">
        <f t="shared" ref="X23:X27" si="40">U23+T23+S23</f>
        <v>0</v>
      </c>
      <c r="Y23" s="37">
        <f t="shared" ref="Y23:Y27" si="41">iferror(X23/X$29,0)</f>
        <v>0</v>
      </c>
    </row>
    <row r="24">
      <c r="B24" s="38" t="s">
        <v>102</v>
      </c>
      <c r="C24" s="42">
        <v>0.0</v>
      </c>
      <c r="D24" s="42">
        <v>0.0</v>
      </c>
      <c r="E24" s="42">
        <v>0.0</v>
      </c>
      <c r="F24" s="36">
        <f t="shared" si="29"/>
        <v>0</v>
      </c>
      <c r="G24" s="37">
        <f t="shared" si="30"/>
        <v>0</v>
      </c>
      <c r="H24" s="36">
        <f t="shared" si="31"/>
        <v>0</v>
      </c>
      <c r="I24" s="37">
        <f t="shared" si="32"/>
        <v>0</v>
      </c>
      <c r="K24" s="39">
        <v>0.0</v>
      </c>
      <c r="L24" s="36">
        <f t="shared" si="33"/>
        <v>0</v>
      </c>
      <c r="M24" s="42">
        <v>0.0</v>
      </c>
      <c r="N24" s="36">
        <f t="shared" si="34"/>
        <v>0</v>
      </c>
      <c r="O24" s="42">
        <v>0.0</v>
      </c>
      <c r="P24" s="39">
        <v>0.0</v>
      </c>
      <c r="Q24" s="39">
        <v>0.0</v>
      </c>
      <c r="R24" s="39">
        <v>0.0</v>
      </c>
      <c r="S24" s="36">
        <f t="shared" si="35"/>
        <v>0</v>
      </c>
      <c r="T24" s="36">
        <f t="shared" si="36"/>
        <v>0</v>
      </c>
      <c r="U24" s="36">
        <f t="shared" si="37"/>
        <v>0</v>
      </c>
      <c r="V24" s="36">
        <f t="shared" si="38"/>
        <v>0</v>
      </c>
      <c r="W24" s="37">
        <f t="shared" si="39"/>
        <v>0</v>
      </c>
      <c r="X24" s="36">
        <f t="shared" si="40"/>
        <v>0</v>
      </c>
      <c r="Y24" s="37">
        <f t="shared" si="41"/>
        <v>0</v>
      </c>
    </row>
    <row r="25">
      <c r="B25" s="38" t="s">
        <v>102</v>
      </c>
      <c r="C25" s="42">
        <v>0.0</v>
      </c>
      <c r="D25" s="42">
        <v>0.0</v>
      </c>
      <c r="E25" s="42">
        <v>0.0</v>
      </c>
      <c r="F25" s="36">
        <f t="shared" si="29"/>
        <v>0</v>
      </c>
      <c r="G25" s="37">
        <f t="shared" si="30"/>
        <v>0</v>
      </c>
      <c r="H25" s="36">
        <f t="shared" si="31"/>
        <v>0</v>
      </c>
      <c r="I25" s="37">
        <f t="shared" si="32"/>
        <v>0</v>
      </c>
      <c r="K25" s="39">
        <v>0.0</v>
      </c>
      <c r="L25" s="36">
        <f t="shared" si="33"/>
        <v>0</v>
      </c>
      <c r="M25" s="42">
        <v>0.0</v>
      </c>
      <c r="N25" s="36">
        <f t="shared" si="34"/>
        <v>0</v>
      </c>
      <c r="O25" s="42">
        <v>0.0</v>
      </c>
      <c r="P25" s="39">
        <v>0.0</v>
      </c>
      <c r="Q25" s="39">
        <v>0.0</v>
      </c>
      <c r="R25" s="39">
        <v>0.0</v>
      </c>
      <c r="S25" s="36">
        <f t="shared" si="35"/>
        <v>0</v>
      </c>
      <c r="T25" s="36">
        <f t="shared" si="36"/>
        <v>0</v>
      </c>
      <c r="U25" s="36">
        <f t="shared" si="37"/>
        <v>0</v>
      </c>
      <c r="V25" s="36">
        <f t="shared" si="38"/>
        <v>0</v>
      </c>
      <c r="W25" s="37">
        <f t="shared" si="39"/>
        <v>0</v>
      </c>
      <c r="X25" s="36">
        <f t="shared" si="40"/>
        <v>0</v>
      </c>
      <c r="Y25" s="37">
        <f t="shared" si="41"/>
        <v>0</v>
      </c>
    </row>
    <row r="26">
      <c r="B26" s="38" t="s">
        <v>102</v>
      </c>
      <c r="C26" s="42">
        <v>0.0</v>
      </c>
      <c r="D26" s="42">
        <v>0.0</v>
      </c>
      <c r="E26" s="42">
        <v>0.0</v>
      </c>
      <c r="F26" s="36">
        <f t="shared" si="29"/>
        <v>0</v>
      </c>
      <c r="G26" s="37">
        <f t="shared" si="30"/>
        <v>0</v>
      </c>
      <c r="H26" s="36">
        <f t="shared" si="31"/>
        <v>0</v>
      </c>
      <c r="I26" s="37">
        <f t="shared" si="32"/>
        <v>0</v>
      </c>
      <c r="K26" s="47">
        <v>0.0</v>
      </c>
      <c r="L26" s="36">
        <f t="shared" si="33"/>
        <v>0</v>
      </c>
      <c r="M26" s="42">
        <v>0.0</v>
      </c>
      <c r="N26" s="36">
        <f t="shared" si="34"/>
        <v>0</v>
      </c>
      <c r="O26" s="42">
        <v>0.0</v>
      </c>
      <c r="P26" s="39">
        <v>0.0</v>
      </c>
      <c r="Q26" s="39">
        <v>0.0</v>
      </c>
      <c r="R26" s="39">
        <v>0.0</v>
      </c>
      <c r="S26" s="36">
        <f t="shared" si="35"/>
        <v>0</v>
      </c>
      <c r="T26" s="36">
        <f t="shared" si="36"/>
        <v>0</v>
      </c>
      <c r="U26" s="36">
        <f t="shared" si="37"/>
        <v>0</v>
      </c>
      <c r="V26" s="36">
        <f t="shared" si="38"/>
        <v>0</v>
      </c>
      <c r="W26" s="37">
        <f t="shared" si="39"/>
        <v>0</v>
      </c>
      <c r="X26" s="36">
        <f t="shared" si="40"/>
        <v>0</v>
      </c>
      <c r="Y26" s="37">
        <f t="shared" si="41"/>
        <v>0</v>
      </c>
    </row>
    <row r="27">
      <c r="B27" s="38" t="s">
        <v>102</v>
      </c>
      <c r="C27" s="42">
        <v>0.0</v>
      </c>
      <c r="D27" s="42">
        <v>0.0</v>
      </c>
      <c r="E27" s="42">
        <v>0.0</v>
      </c>
      <c r="F27" s="36">
        <f t="shared" si="29"/>
        <v>0</v>
      </c>
      <c r="G27" s="37">
        <f t="shared" si="30"/>
        <v>0</v>
      </c>
      <c r="H27" s="36">
        <f t="shared" si="31"/>
        <v>0</v>
      </c>
      <c r="I27" s="37">
        <f t="shared" si="32"/>
        <v>0</v>
      </c>
      <c r="K27" s="47">
        <v>0.0</v>
      </c>
      <c r="L27" s="36">
        <f t="shared" si="33"/>
        <v>0</v>
      </c>
      <c r="M27" s="42">
        <v>0.0</v>
      </c>
      <c r="N27" s="36">
        <f t="shared" si="34"/>
        <v>0</v>
      </c>
      <c r="O27" s="42">
        <v>0.0</v>
      </c>
      <c r="P27" s="39">
        <v>0.0</v>
      </c>
      <c r="Q27" s="39">
        <v>0.0</v>
      </c>
      <c r="R27" s="39">
        <v>0.0</v>
      </c>
      <c r="S27" s="36">
        <f t="shared" si="35"/>
        <v>0</v>
      </c>
      <c r="T27" s="36">
        <f t="shared" si="36"/>
        <v>0</v>
      </c>
      <c r="U27" s="36">
        <f t="shared" si="37"/>
        <v>0</v>
      </c>
      <c r="V27" s="36">
        <f t="shared" si="38"/>
        <v>0</v>
      </c>
      <c r="W27" s="37">
        <f t="shared" si="39"/>
        <v>0</v>
      </c>
      <c r="X27" s="36">
        <f t="shared" si="40"/>
        <v>0</v>
      </c>
      <c r="Y27" s="37">
        <f t="shared" si="41"/>
        <v>0</v>
      </c>
    </row>
    <row r="28">
      <c r="C28" s="43"/>
      <c r="D28" s="43"/>
      <c r="E28" s="43"/>
      <c r="L28" s="21"/>
      <c r="M28" s="21"/>
      <c r="N28" s="21"/>
      <c r="O28" s="21"/>
      <c r="P28" s="21"/>
      <c r="Q28" s="21"/>
      <c r="R28" s="21"/>
      <c r="X28" s="21"/>
    </row>
    <row r="29">
      <c r="B29" s="48" t="s">
        <v>103</v>
      </c>
      <c r="C29" s="49">
        <f t="shared" ref="C29:F29" si="42">sum(C8:C28)</f>
        <v>0</v>
      </c>
      <c r="D29" s="49">
        <f t="shared" si="42"/>
        <v>0</v>
      </c>
      <c r="E29" s="49">
        <f t="shared" si="42"/>
        <v>0</v>
      </c>
      <c r="F29" s="49">
        <f t="shared" si="42"/>
        <v>0</v>
      </c>
      <c r="G29" s="50">
        <f>iferror(F29/F$29,0)</f>
        <v>0</v>
      </c>
      <c r="H29" s="49">
        <f>sum(H8:H28)</f>
        <v>0</v>
      </c>
      <c r="I29" s="50">
        <f>iferror(H29/H$29,0)</f>
        <v>0</v>
      </c>
      <c r="K29" s="49">
        <f t="shared" ref="K29:P29" si="43">sum(K8:K28)</f>
        <v>0</v>
      </c>
      <c r="L29" s="49">
        <f t="shared" si="43"/>
        <v>0</v>
      </c>
      <c r="M29" s="49">
        <f t="shared" si="43"/>
        <v>0</v>
      </c>
      <c r="N29" s="49">
        <f t="shared" si="43"/>
        <v>0</v>
      </c>
      <c r="O29" s="49">
        <f t="shared" si="43"/>
        <v>0</v>
      </c>
      <c r="P29" s="49">
        <f t="shared" si="43"/>
        <v>0</v>
      </c>
      <c r="Q29" s="49"/>
      <c r="R29" s="49"/>
      <c r="S29" s="49">
        <f t="shared" ref="S29:V29" si="44">sum(S8:S28)</f>
        <v>0</v>
      </c>
      <c r="T29" s="49">
        <f t="shared" si="44"/>
        <v>0</v>
      </c>
      <c r="U29" s="49">
        <f t="shared" si="44"/>
        <v>0</v>
      </c>
      <c r="V29" s="49">
        <f t="shared" si="44"/>
        <v>0</v>
      </c>
      <c r="W29" s="50">
        <f>iferror(V29/V$29,0)</f>
        <v>0</v>
      </c>
      <c r="X29" s="49">
        <f>sum(X8:X28)</f>
        <v>0</v>
      </c>
      <c r="Y29" s="50">
        <f>iferror(X29/X$29,0)</f>
        <v>0</v>
      </c>
    </row>
    <row r="30">
      <c r="L30" s="21"/>
    </row>
    <row r="31">
      <c r="K31" s="47" t="s">
        <v>230</v>
      </c>
      <c r="L31" s="21"/>
      <c r="M31" s="21"/>
      <c r="N31" s="52"/>
      <c r="Q31" s="21"/>
      <c r="R31" s="21"/>
      <c r="S31" s="21"/>
      <c r="T31" s="21"/>
      <c r="U31" s="21"/>
      <c r="V31" s="21"/>
    </row>
    <row r="32">
      <c r="K32" s="53" t="s">
        <v>105</v>
      </c>
      <c r="L32" s="21"/>
      <c r="M32" s="21">
        <f>L29</f>
        <v>0</v>
      </c>
      <c r="N32" s="15" t="s">
        <v>106</v>
      </c>
      <c r="Q32" s="21"/>
      <c r="R32" s="21"/>
      <c r="S32" s="21"/>
      <c r="T32" s="21"/>
      <c r="U32" s="21"/>
      <c r="V32" s="21"/>
    </row>
    <row r="33">
      <c r="K33" s="53" t="s">
        <v>107</v>
      </c>
      <c r="L33" s="21"/>
      <c r="M33" s="47">
        <v>0.0</v>
      </c>
      <c r="N33" s="15" t="s">
        <v>108</v>
      </c>
      <c r="Q33" s="21"/>
      <c r="R33" s="21"/>
      <c r="S33" s="21"/>
      <c r="T33" s="21"/>
      <c r="U33" s="21"/>
      <c r="V33" s="21"/>
    </row>
    <row r="34">
      <c r="K34" s="53" t="s">
        <v>109</v>
      </c>
      <c r="L34" s="21"/>
      <c r="M34" s="21">
        <f>M36*X29</f>
        <v>0</v>
      </c>
      <c r="N34" s="15" t="s">
        <v>110</v>
      </c>
      <c r="Q34" s="21"/>
      <c r="R34" s="21"/>
      <c r="S34" s="21"/>
      <c r="T34" s="21"/>
      <c r="U34" s="21"/>
      <c r="V34" s="21"/>
    </row>
    <row r="35">
      <c r="K35" s="53" t="s">
        <v>111</v>
      </c>
      <c r="L35" s="21"/>
      <c r="M35" s="21">
        <f>H29+max(0,sumifs(V$50:V$54,L$50:L$54,"postmoney SAFE"))+if(M47="investor friendly",max(0,sumifs(V$50:V$54,L$50:L$54,"premoney SAFE"))+max(0,sumifs(V$50:V$54,L$50:L$54,"convertible note")),0)</f>
        <v>0</v>
      </c>
      <c r="N35" s="15" t="s">
        <v>112</v>
      </c>
      <c r="Q35" s="21"/>
      <c r="R35" s="21"/>
      <c r="S35" s="21"/>
      <c r="T35" s="21"/>
      <c r="U35" s="21"/>
      <c r="V35" s="21"/>
    </row>
    <row r="36">
      <c r="K36" s="53" t="s">
        <v>113</v>
      </c>
      <c r="L36" s="21"/>
      <c r="M36" s="54">
        <f>iferror(if(isnumber(M41),round(M33/M35,M41),M33/M35),0)</f>
        <v>0</v>
      </c>
      <c r="N36" s="15" t="s">
        <v>114</v>
      </c>
      <c r="Q36" s="21"/>
      <c r="R36" s="21"/>
      <c r="S36" s="21"/>
      <c r="T36" s="21"/>
      <c r="U36" s="21"/>
      <c r="V36" s="21"/>
    </row>
    <row r="37">
      <c r="K37" s="53" t="s">
        <v>115</v>
      </c>
      <c r="L37" s="21"/>
      <c r="M37" s="21">
        <f>iferror(M33-(M35-H29)*M36,0)</f>
        <v>0</v>
      </c>
      <c r="N37" s="15" t="s">
        <v>116</v>
      </c>
      <c r="Q37" s="21"/>
      <c r="R37" s="21"/>
      <c r="S37" s="21"/>
      <c r="T37" s="21"/>
      <c r="U37" s="21"/>
      <c r="V37" s="21"/>
    </row>
    <row r="38">
      <c r="K38" s="53"/>
      <c r="L38" s="21"/>
      <c r="M38" s="21"/>
      <c r="N38" s="15"/>
      <c r="Q38" s="21"/>
      <c r="R38" s="21"/>
      <c r="S38" s="21"/>
      <c r="T38" s="21"/>
      <c r="U38" s="21"/>
      <c r="V38" s="21"/>
    </row>
    <row r="39">
      <c r="K39" s="55" t="s">
        <v>117</v>
      </c>
      <c r="L39" s="56"/>
      <c r="M39" s="56"/>
      <c r="N39" s="57"/>
      <c r="O39" s="58"/>
      <c r="P39" s="58"/>
      <c r="Q39" s="56"/>
      <c r="R39" s="56"/>
      <c r="S39" s="56"/>
      <c r="T39" s="56"/>
      <c r="U39" s="56"/>
      <c r="V39" s="56"/>
    </row>
    <row r="40">
      <c r="K40" s="53" t="s">
        <v>118</v>
      </c>
      <c r="L40" s="21"/>
      <c r="M40" s="59" t="b">
        <v>0</v>
      </c>
      <c r="N40" s="15" t="s">
        <v>307</v>
      </c>
      <c r="Q40" s="21"/>
      <c r="R40" s="21"/>
      <c r="S40" s="21"/>
      <c r="T40" s="21"/>
      <c r="U40" s="21"/>
      <c r="V40" s="21"/>
    </row>
    <row r="41">
      <c r="K41" s="53" t="str">
        <f>if(isnumber(M41),"Round share prices to "&amp;M41&amp;" significant digits","Do not round share prices")</f>
        <v>Round share prices to 4 significant digits</v>
      </c>
      <c r="L41" s="21"/>
      <c r="M41" s="59">
        <v>4.0</v>
      </c>
      <c r="N41" s="15" t="s">
        <v>120</v>
      </c>
      <c r="Q41" s="21"/>
      <c r="R41" s="21"/>
      <c r="S41" s="21"/>
      <c r="T41" s="21"/>
      <c r="U41" s="21"/>
      <c r="V41" s="21"/>
    </row>
    <row r="42">
      <c r="K42" s="53" t="s">
        <v>121</v>
      </c>
      <c r="L42" s="21"/>
      <c r="M42" s="59" t="s">
        <v>122</v>
      </c>
      <c r="N42" s="15" t="s">
        <v>123</v>
      </c>
      <c r="Q42" s="21"/>
      <c r="R42" s="21"/>
      <c r="S42" s="21"/>
      <c r="T42" s="21"/>
      <c r="U42" s="21"/>
      <c r="V42" s="21"/>
    </row>
    <row r="43">
      <c r="K43" s="53" t="s">
        <v>124</v>
      </c>
      <c r="L43" s="21"/>
      <c r="M43" s="60">
        <f>today()</f>
        <v>46107</v>
      </c>
      <c r="N43" s="15" t="s">
        <v>125</v>
      </c>
      <c r="Q43" s="21"/>
      <c r="R43" s="21"/>
      <c r="S43" s="21"/>
      <c r="T43" s="21"/>
      <c r="U43" s="21"/>
      <c r="V43" s="21"/>
    </row>
    <row r="44">
      <c r="K44" s="61"/>
      <c r="L44" s="21"/>
      <c r="Q44" s="21"/>
      <c r="R44" s="21"/>
      <c r="S44" s="21"/>
      <c r="T44" s="21"/>
      <c r="U44" s="21"/>
      <c r="V44" s="21"/>
    </row>
    <row r="45">
      <c r="K45" s="62" t="s">
        <v>126</v>
      </c>
      <c r="L45" s="56"/>
      <c r="M45" s="58"/>
      <c r="N45" s="58"/>
      <c r="O45" s="58"/>
      <c r="P45" s="58"/>
      <c r="Q45" s="56"/>
      <c r="R45" s="56"/>
      <c r="S45" s="56"/>
      <c r="T45" s="56"/>
      <c r="U45" s="56"/>
      <c r="V45" s="56"/>
    </row>
    <row r="46">
      <c r="K46" s="15" t="s">
        <v>127</v>
      </c>
      <c r="L46" s="15"/>
      <c r="M46" s="15"/>
      <c r="N46" s="15"/>
      <c r="Q46" s="21"/>
      <c r="R46" s="21"/>
      <c r="S46" s="21"/>
      <c r="T46" s="21"/>
      <c r="U46" s="21"/>
      <c r="V46" s="21"/>
    </row>
    <row r="47">
      <c r="K47" s="63" t="s">
        <v>128</v>
      </c>
      <c r="L47" s="64"/>
      <c r="M47" s="38" t="s">
        <v>129</v>
      </c>
      <c r="N47" s="15" t="s">
        <v>157</v>
      </c>
      <c r="O47" s="66"/>
      <c r="P47" s="66"/>
      <c r="Q47" s="66"/>
      <c r="R47" s="66"/>
      <c r="S47" s="66"/>
      <c r="T47" s="66"/>
      <c r="U47" s="66"/>
      <c r="V47" s="67"/>
    </row>
    <row r="48">
      <c r="K48" s="28" t="s">
        <v>102</v>
      </c>
      <c r="L48" s="28" t="s">
        <v>131</v>
      </c>
      <c r="M48" s="29" t="s">
        <v>86</v>
      </c>
      <c r="N48" s="29" t="s">
        <v>132</v>
      </c>
      <c r="O48" s="29" t="s">
        <v>133</v>
      </c>
      <c r="P48" s="29" t="s">
        <v>135</v>
      </c>
      <c r="Q48" s="29" t="s">
        <v>136</v>
      </c>
      <c r="R48" s="29" t="s">
        <v>137</v>
      </c>
      <c r="S48" s="29" t="s">
        <v>111</v>
      </c>
      <c r="T48" s="29" t="s">
        <v>113</v>
      </c>
      <c r="U48" s="29" t="s">
        <v>138</v>
      </c>
      <c r="V48" s="30" t="s">
        <v>88</v>
      </c>
    </row>
    <row r="49">
      <c r="K49" s="33" t="s">
        <v>139</v>
      </c>
      <c r="N49" s="32" t="s">
        <v>140</v>
      </c>
      <c r="O49" s="32" t="s">
        <v>141</v>
      </c>
      <c r="P49" s="32" t="s">
        <v>143</v>
      </c>
      <c r="Q49" s="32" t="s">
        <v>144</v>
      </c>
      <c r="R49" s="32" t="s">
        <v>145</v>
      </c>
      <c r="S49" s="32" t="s">
        <v>146</v>
      </c>
      <c r="T49" s="32" t="s">
        <v>147</v>
      </c>
      <c r="U49" s="32" t="s">
        <v>148</v>
      </c>
      <c r="V49" s="32" t="s">
        <v>92</v>
      </c>
    </row>
    <row r="50">
      <c r="K50" s="38" t="s">
        <v>102</v>
      </c>
      <c r="L50" s="38" t="s">
        <v>149</v>
      </c>
      <c r="M50" s="39">
        <v>0.0</v>
      </c>
      <c r="N50" s="72">
        <v>0.0</v>
      </c>
      <c r="O50" s="39">
        <v>0.0</v>
      </c>
      <c r="P50" s="72">
        <v>0.0</v>
      </c>
      <c r="Q50" s="60">
        <f t="shared" ref="Q50:Q53" si="45">today()-365</f>
        <v>45742</v>
      </c>
      <c r="R50" s="36">
        <f t="shared" ref="R50:R53" si="46">IFERROR(P50/365*(M$43-Q50)*M50,0)</f>
        <v>0</v>
      </c>
      <c r="S50" s="39">
        <f t="shared" ref="S50:S53" si="47">if(L50="postmoney SAFE",H$29+max(0,sum(V$50:V$54)),H$29)</f>
        <v>0</v>
      </c>
      <c r="T50" s="70">
        <f t="shared" ref="T50:T53" si="48">iferror(if(isnumber(M$41),round(if(O50&lt;&gt;0, min(O50/S50,M$36*(1-N50)),M$36*(1-N50)),M$41),if(O50&lt;&gt;0, min(O50/S50,M$36*(1-N50)),M$36*(1-N50))),0)</f>
        <v>0</v>
      </c>
      <c r="U50" s="71">
        <f t="shared" ref="U50:U53" si="49">iferror(((R50+M50)/T50-V50)*T50,0)</f>
        <v>0</v>
      </c>
      <c r="V50" s="36">
        <f t="shared" ref="V50:V53" si="50">if(M$40=true, iferror(if(M$42="rounddown",rounddown((R50+M50)/T50,0),if(M$42="roundup",roundup((R50+M50)/T50,0),if(M$42="round",round((R50+M50)/T50,0),(R50+M50)/T50))),0),0)</f>
        <v>0</v>
      </c>
    </row>
    <row r="51">
      <c r="K51" s="38" t="s">
        <v>102</v>
      </c>
      <c r="L51" s="38" t="s">
        <v>149</v>
      </c>
      <c r="M51" s="39">
        <v>0.0</v>
      </c>
      <c r="N51" s="72">
        <v>0.0</v>
      </c>
      <c r="O51" s="39">
        <v>0.0</v>
      </c>
      <c r="P51" s="72">
        <v>0.0</v>
      </c>
      <c r="Q51" s="60">
        <f t="shared" si="45"/>
        <v>45742</v>
      </c>
      <c r="R51" s="36">
        <f t="shared" si="46"/>
        <v>0</v>
      </c>
      <c r="S51" s="39">
        <f t="shared" si="47"/>
        <v>0</v>
      </c>
      <c r="T51" s="70">
        <f t="shared" si="48"/>
        <v>0</v>
      </c>
      <c r="U51" s="71">
        <f t="shared" si="49"/>
        <v>0</v>
      </c>
      <c r="V51" s="36">
        <f t="shared" si="50"/>
        <v>0</v>
      </c>
    </row>
    <row r="52">
      <c r="K52" s="38" t="s">
        <v>102</v>
      </c>
      <c r="L52" s="38" t="s">
        <v>149</v>
      </c>
      <c r="M52" s="39">
        <v>0.0</v>
      </c>
      <c r="N52" s="72">
        <v>0.0</v>
      </c>
      <c r="O52" s="39">
        <v>0.0</v>
      </c>
      <c r="P52" s="72">
        <v>0.0</v>
      </c>
      <c r="Q52" s="60">
        <f t="shared" si="45"/>
        <v>45742</v>
      </c>
      <c r="R52" s="36">
        <f t="shared" si="46"/>
        <v>0</v>
      </c>
      <c r="S52" s="39">
        <f t="shared" si="47"/>
        <v>0</v>
      </c>
      <c r="T52" s="70">
        <f t="shared" si="48"/>
        <v>0</v>
      </c>
      <c r="U52" s="71">
        <f t="shared" si="49"/>
        <v>0</v>
      </c>
      <c r="V52" s="36">
        <f t="shared" si="50"/>
        <v>0</v>
      </c>
    </row>
    <row r="53">
      <c r="K53" s="38" t="s">
        <v>102</v>
      </c>
      <c r="L53" s="38" t="s">
        <v>149</v>
      </c>
      <c r="M53" s="39">
        <v>0.0</v>
      </c>
      <c r="N53" s="72">
        <v>0.0</v>
      </c>
      <c r="O53" s="39">
        <v>0.0</v>
      </c>
      <c r="P53" s="72">
        <v>0.0</v>
      </c>
      <c r="Q53" s="60">
        <f t="shared" si="45"/>
        <v>45742</v>
      </c>
      <c r="R53" s="36">
        <f t="shared" si="46"/>
        <v>0</v>
      </c>
      <c r="S53" s="39">
        <f t="shared" si="47"/>
        <v>0</v>
      </c>
      <c r="T53" s="70">
        <f t="shared" si="48"/>
        <v>0</v>
      </c>
      <c r="U53" s="71">
        <f t="shared" si="49"/>
        <v>0</v>
      </c>
      <c r="V53" s="36">
        <f t="shared" si="50"/>
        <v>0</v>
      </c>
    </row>
    <row r="54">
      <c r="L54" s="15"/>
      <c r="N54" s="15"/>
      <c r="Q54" s="21"/>
      <c r="R54" s="21"/>
      <c r="S54" s="21"/>
      <c r="T54" s="21"/>
      <c r="U54" s="21"/>
      <c r="V54" s="21"/>
    </row>
    <row r="55">
      <c r="K55" s="48" t="s">
        <v>103</v>
      </c>
      <c r="L55" s="73"/>
      <c r="M55" s="74">
        <f>sum(M50:M53)</f>
        <v>0</v>
      </c>
      <c r="N55" s="48"/>
      <c r="O55" s="73"/>
      <c r="P55" s="73"/>
      <c r="Q55" s="75"/>
      <c r="R55" s="76">
        <f>sum(R50:R53)</f>
        <v>0</v>
      </c>
      <c r="S55" s="75"/>
      <c r="T55" s="77">
        <f>iferror((R55+M55)/V55,0)</f>
        <v>0</v>
      </c>
      <c r="U55" s="78">
        <f t="shared" ref="U55:V55" si="51">sum(U50:U53)</f>
        <v>0</v>
      </c>
      <c r="V55" s="76">
        <f t="shared" si="51"/>
        <v>0</v>
      </c>
    </row>
    <row r="56">
      <c r="K56" s="61"/>
      <c r="M56" s="79"/>
      <c r="N56" s="15"/>
      <c r="Q56" s="21"/>
      <c r="R56" s="21"/>
      <c r="S56" s="21"/>
      <c r="T56" s="21"/>
      <c r="U56" s="21"/>
    </row>
    <row r="57">
      <c r="K57" s="15"/>
      <c r="L57" s="21"/>
      <c r="Q57" s="21"/>
      <c r="R57" s="21"/>
      <c r="S57" s="21"/>
      <c r="T57" s="21"/>
      <c r="U57" s="21"/>
      <c r="V57" s="21"/>
    </row>
  </sheetData>
  <dataValidations>
    <dataValidation type="list" allowBlank="1" sqref="L50:L53">
      <formula1>"postmoney SAFE,premoney SAFE,convertible note"</formula1>
    </dataValidation>
    <dataValidation type="list" allowBlank="1" sqref="M42">
      <formula1>"none,round,roundup,rounddown"</formula1>
    </dataValidation>
    <dataValidation type="list" allowBlank="1" sqref="M47">
      <formula1>"investor friendly,founder friendly"</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 customWidth="1" min="2" max="2" width="47.13"/>
    <col customWidth="1" min="3" max="3" width="43.38"/>
    <col customWidth="1" min="4" max="4" width="70.13"/>
  </cols>
  <sheetData>
    <row r="1">
      <c r="A1" s="142"/>
      <c r="B1" s="142"/>
      <c r="C1" s="142"/>
      <c r="D1" s="142"/>
      <c r="E1" s="142"/>
      <c r="F1" s="142"/>
    </row>
    <row r="2">
      <c r="A2" s="142"/>
      <c r="B2" s="151" t="s">
        <v>309</v>
      </c>
      <c r="C2" s="142"/>
      <c r="D2" s="142"/>
      <c r="E2" s="142"/>
      <c r="F2" s="142"/>
    </row>
    <row r="3">
      <c r="A3" s="142"/>
      <c r="B3" s="152" t="s">
        <v>310</v>
      </c>
      <c r="C3" s="153"/>
      <c r="D3" s="154"/>
      <c r="E3" s="142"/>
      <c r="F3" s="142"/>
    </row>
    <row r="4">
      <c r="A4" s="142"/>
      <c r="B4" s="154"/>
      <c r="C4" s="154"/>
      <c r="D4" s="154"/>
      <c r="E4" s="142"/>
      <c r="F4" s="142"/>
    </row>
    <row r="5">
      <c r="A5" s="142"/>
      <c r="B5" s="155" t="s">
        <v>311</v>
      </c>
      <c r="C5" s="155" t="s">
        <v>312</v>
      </c>
      <c r="D5" s="155" t="s">
        <v>313</v>
      </c>
      <c r="E5" s="142"/>
      <c r="F5" s="142"/>
    </row>
    <row r="6">
      <c r="A6" s="142"/>
      <c r="B6" s="154"/>
      <c r="C6" s="154"/>
      <c r="D6" s="154"/>
      <c r="E6" s="142"/>
      <c r="F6" s="142"/>
    </row>
    <row r="7">
      <c r="A7" s="142"/>
      <c r="B7" s="156" t="s">
        <v>314</v>
      </c>
      <c r="C7" s="156" t="s">
        <v>315</v>
      </c>
      <c r="D7" s="157" t="s">
        <v>316</v>
      </c>
      <c r="E7" s="142"/>
      <c r="F7" s="142"/>
    </row>
    <row r="8">
      <c r="A8" s="142"/>
      <c r="B8" s="156" t="s">
        <v>317</v>
      </c>
      <c r="C8" s="156" t="s">
        <v>318</v>
      </c>
      <c r="D8" s="157" t="s">
        <v>319</v>
      </c>
      <c r="E8" s="142"/>
      <c r="F8" s="142"/>
    </row>
    <row r="9">
      <c r="A9" s="142"/>
      <c r="B9" s="156" t="s">
        <v>320</v>
      </c>
      <c r="C9" s="156" t="s">
        <v>321</v>
      </c>
      <c r="D9" s="158" t="s">
        <v>322</v>
      </c>
      <c r="E9" s="142"/>
      <c r="F9" s="142"/>
    </row>
    <row r="10">
      <c r="A10" s="142"/>
      <c r="B10" s="156" t="s">
        <v>323</v>
      </c>
      <c r="C10" s="156" t="s">
        <v>324</v>
      </c>
      <c r="D10" s="157" t="s">
        <v>325</v>
      </c>
      <c r="E10" s="142"/>
      <c r="F10" s="142"/>
    </row>
    <row r="11">
      <c r="A11" s="142"/>
      <c r="B11" s="159" t="s">
        <v>326</v>
      </c>
      <c r="C11" s="16" t="s">
        <v>327</v>
      </c>
      <c r="D11" s="160" t="s">
        <v>328</v>
      </c>
      <c r="E11" s="142"/>
      <c r="F11" s="142"/>
    </row>
    <row r="12">
      <c r="A12" s="142"/>
      <c r="B12" s="159" t="s">
        <v>329</v>
      </c>
      <c r="C12" s="16" t="s">
        <v>330</v>
      </c>
      <c r="D12" s="160" t="s">
        <v>331</v>
      </c>
      <c r="E12" s="142"/>
      <c r="F12" s="142"/>
    </row>
    <row r="13">
      <c r="A13" s="142"/>
      <c r="B13" s="159" t="s">
        <v>332</v>
      </c>
      <c r="C13" s="16" t="s">
        <v>333</v>
      </c>
      <c r="D13" s="160" t="s">
        <v>334</v>
      </c>
      <c r="E13" s="142"/>
      <c r="F13" s="142"/>
    </row>
    <row r="14">
      <c r="A14" s="142"/>
      <c r="B14" s="159" t="s">
        <v>335</v>
      </c>
      <c r="C14" s="16" t="s">
        <v>336</v>
      </c>
      <c r="D14" s="160" t="s">
        <v>337</v>
      </c>
      <c r="E14" s="142"/>
      <c r="F14" s="142"/>
    </row>
    <row r="15">
      <c r="A15" s="142"/>
      <c r="B15" s="159" t="s">
        <v>338</v>
      </c>
      <c r="C15" s="16" t="s">
        <v>339</v>
      </c>
      <c r="D15" s="160" t="s">
        <v>340</v>
      </c>
      <c r="E15" s="142"/>
      <c r="F15" s="142"/>
    </row>
    <row r="16">
      <c r="A16" s="142"/>
      <c r="B16" s="159" t="s">
        <v>341</v>
      </c>
      <c r="C16" s="16" t="s">
        <v>342</v>
      </c>
      <c r="D16" s="160" t="s">
        <v>343</v>
      </c>
      <c r="E16" s="142"/>
      <c r="F16" s="142"/>
    </row>
    <row r="17">
      <c r="A17" s="142"/>
      <c r="B17" s="159" t="s">
        <v>344</v>
      </c>
      <c r="C17" s="16" t="s">
        <v>345</v>
      </c>
      <c r="D17" s="160" t="s">
        <v>346</v>
      </c>
      <c r="E17" s="142"/>
      <c r="F17" s="142"/>
    </row>
    <row r="18">
      <c r="A18" s="142"/>
      <c r="B18" s="161" t="s">
        <v>347</v>
      </c>
      <c r="C18" s="161" t="s">
        <v>348</v>
      </c>
      <c r="D18" s="162" t="s">
        <v>349</v>
      </c>
      <c r="E18" s="142"/>
      <c r="F18" s="142"/>
    </row>
    <row r="19">
      <c r="A19" s="142"/>
      <c r="B19" s="142"/>
      <c r="C19" s="142"/>
      <c r="D19" s="142"/>
      <c r="E19" s="142"/>
      <c r="F19" s="142"/>
    </row>
  </sheetData>
  <hyperlinks>
    <hyperlink r:id="rId1" ref="D7"/>
    <hyperlink r:id="rId2" ref="D8"/>
    <hyperlink r:id="rId3" ref="D9"/>
    <hyperlink r:id="rId4" ref="D10"/>
    <hyperlink r:id="rId5" ref="D11"/>
    <hyperlink r:id="rId6" ref="D12"/>
    <hyperlink r:id="rId7" ref="D13"/>
    <hyperlink r:id="rId8" ref="D14"/>
    <hyperlink r:id="rId9" ref="D15"/>
    <hyperlink r:id="rId10" ref="D16"/>
    <hyperlink r:id="rId11" ref="D17"/>
    <hyperlink r:id="rId12" ref="D18"/>
  </hyperlinks>
  <drawing r:id="rId13"/>
  <tableParts count="1">
    <tablePart r:id="rId1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36.5"/>
    <col customWidth="1" min="3" max="3" width="80.25"/>
  </cols>
  <sheetData>
    <row r="2">
      <c r="B2" s="1" t="s">
        <v>48</v>
      </c>
    </row>
    <row r="3">
      <c r="B3" s="23" t="s">
        <v>350</v>
      </c>
    </row>
    <row r="4">
      <c r="B4" s="15"/>
    </row>
    <row r="5">
      <c r="B5" s="57" t="s">
        <v>351</v>
      </c>
      <c r="C5" s="57" t="s">
        <v>352</v>
      </c>
    </row>
    <row r="6">
      <c r="B6" s="16"/>
      <c r="C6" s="16"/>
    </row>
    <row r="7">
      <c r="B7" s="6" t="s">
        <v>353</v>
      </c>
      <c r="C7" s="6" t="s">
        <v>354</v>
      </c>
    </row>
    <row r="8">
      <c r="B8" s="6" t="s">
        <v>107</v>
      </c>
      <c r="C8" s="6" t="s">
        <v>355</v>
      </c>
    </row>
    <row r="9">
      <c r="B9" s="6" t="s">
        <v>109</v>
      </c>
      <c r="C9" s="6" t="s">
        <v>356</v>
      </c>
    </row>
    <row r="10">
      <c r="B10" s="6" t="s">
        <v>111</v>
      </c>
      <c r="C10" s="6" t="s">
        <v>357</v>
      </c>
    </row>
    <row r="11">
      <c r="B11" s="6" t="s">
        <v>113</v>
      </c>
      <c r="C11" s="6" t="s">
        <v>358</v>
      </c>
    </row>
    <row r="12">
      <c r="B12" s="6" t="s">
        <v>359</v>
      </c>
      <c r="C12" s="6" t="s">
        <v>360</v>
      </c>
    </row>
    <row r="13">
      <c r="B13" s="6" t="s">
        <v>361</v>
      </c>
      <c r="C13" s="6" t="s">
        <v>362</v>
      </c>
    </row>
    <row r="14">
      <c r="B14" s="6" t="s">
        <v>363</v>
      </c>
      <c r="C14" s="6" t="s">
        <v>364</v>
      </c>
    </row>
    <row r="15">
      <c r="B15" s="6" t="s">
        <v>365</v>
      </c>
      <c r="C15" s="6" t="s">
        <v>366</v>
      </c>
    </row>
    <row r="16">
      <c r="B16" s="6" t="s">
        <v>367</v>
      </c>
      <c r="C16" s="6" t="s">
        <v>368</v>
      </c>
    </row>
    <row r="17">
      <c r="B17" s="6" t="s">
        <v>369</v>
      </c>
      <c r="C17" s="163" t="s">
        <v>370</v>
      </c>
    </row>
    <row r="18">
      <c r="B18" s="6" t="s">
        <v>371</v>
      </c>
      <c r="C18" s="6" t="s">
        <v>372</v>
      </c>
    </row>
    <row r="19">
      <c r="B19" s="6" t="s">
        <v>373</v>
      </c>
      <c r="C19" s="6" t="s">
        <v>374</v>
      </c>
    </row>
    <row r="20">
      <c r="B20" s="6" t="s">
        <v>375</v>
      </c>
      <c r="C20" s="6" t="s">
        <v>376</v>
      </c>
    </row>
    <row r="21">
      <c r="B21" s="6" t="s">
        <v>262</v>
      </c>
      <c r="C21" s="163" t="s">
        <v>377</v>
      </c>
    </row>
    <row r="22">
      <c r="B22" s="6" t="s">
        <v>132</v>
      </c>
      <c r="C22" s="6" t="s">
        <v>378</v>
      </c>
    </row>
    <row r="23">
      <c r="B23" s="6" t="s">
        <v>135</v>
      </c>
      <c r="C23" s="163" t="s">
        <v>379</v>
      </c>
    </row>
    <row r="24">
      <c r="B24" s="6" t="s">
        <v>79</v>
      </c>
      <c r="C24" s="163" t="s">
        <v>380</v>
      </c>
    </row>
    <row r="25">
      <c r="B25" s="6" t="s">
        <v>80</v>
      </c>
      <c r="C25" s="8" t="s">
        <v>381</v>
      </c>
    </row>
    <row r="26">
      <c r="B26" s="6" t="s">
        <v>382</v>
      </c>
      <c r="C26" s="6" t="s">
        <v>383</v>
      </c>
    </row>
    <row r="27">
      <c r="B27" s="6" t="s">
        <v>384</v>
      </c>
      <c r="C27" s="6" t="s">
        <v>385</v>
      </c>
    </row>
    <row r="28">
      <c r="B28" s="6" t="s">
        <v>84</v>
      </c>
      <c r="C28" s="6" t="s">
        <v>386</v>
      </c>
    </row>
    <row r="29">
      <c r="B29" s="6" t="s">
        <v>387</v>
      </c>
      <c r="C29" s="6" t="s">
        <v>388</v>
      </c>
    </row>
    <row r="30">
      <c r="B30" s="6" t="s">
        <v>389</v>
      </c>
      <c r="C30" s="6" t="s">
        <v>390</v>
      </c>
    </row>
    <row r="31">
      <c r="B31" s="6" t="s">
        <v>391</v>
      </c>
      <c r="C31" s="6" t="s">
        <v>392</v>
      </c>
    </row>
    <row r="32">
      <c r="B32" s="6" t="s">
        <v>393</v>
      </c>
      <c r="C32" s="6" t="s">
        <v>394</v>
      </c>
    </row>
    <row r="33">
      <c r="B33" s="6" t="s">
        <v>395</v>
      </c>
      <c r="C33" s="6" t="s">
        <v>396</v>
      </c>
    </row>
    <row r="34">
      <c r="B34" s="6" t="s">
        <v>397</v>
      </c>
      <c r="C34" s="6" t="s">
        <v>398</v>
      </c>
    </row>
    <row r="35">
      <c r="B35" s="156" t="s">
        <v>399</v>
      </c>
      <c r="C35" s="6" t="s">
        <v>400</v>
      </c>
    </row>
    <row r="36">
      <c r="B36" s="156" t="s">
        <v>401</v>
      </c>
      <c r="C36" s="163" t="s">
        <v>340</v>
      </c>
    </row>
    <row r="37">
      <c r="B37" s="156" t="s">
        <v>402</v>
      </c>
      <c r="C37" s="163" t="s">
        <v>340</v>
      </c>
    </row>
    <row r="38">
      <c r="B38" s="156" t="s">
        <v>403</v>
      </c>
      <c r="C38" s="163" t="s">
        <v>340</v>
      </c>
    </row>
    <row r="39">
      <c r="B39" s="156" t="s">
        <v>404</v>
      </c>
      <c r="C39" s="6" t="s">
        <v>405</v>
      </c>
    </row>
    <row r="40">
      <c r="B40" s="156" t="s">
        <v>406</v>
      </c>
      <c r="C40" s="6" t="s">
        <v>407</v>
      </c>
    </row>
    <row r="41">
      <c r="B41" s="156" t="s">
        <v>408</v>
      </c>
      <c r="C41" s="6" t="s">
        <v>409</v>
      </c>
    </row>
    <row r="42">
      <c r="B42" s="156" t="s">
        <v>410</v>
      </c>
      <c r="C42" s="6" t="s">
        <v>411</v>
      </c>
    </row>
    <row r="43">
      <c r="B43" s="156" t="s">
        <v>412</v>
      </c>
      <c r="C43" s="6" t="s">
        <v>413</v>
      </c>
    </row>
    <row r="44">
      <c r="B44" s="156" t="s">
        <v>414</v>
      </c>
      <c r="C44" s="6" t="s">
        <v>415</v>
      </c>
    </row>
    <row r="45">
      <c r="B45" s="156" t="s">
        <v>231</v>
      </c>
      <c r="C45" s="8" t="s">
        <v>416</v>
      </c>
    </row>
    <row r="46">
      <c r="B46" s="6" t="s">
        <v>417</v>
      </c>
      <c r="C46" s="6" t="s">
        <v>418</v>
      </c>
    </row>
  </sheetData>
  <hyperlinks>
    <hyperlink r:id="rId1" ref="C17"/>
    <hyperlink r:id="rId2" ref="C21"/>
    <hyperlink r:id="rId3" ref="C23"/>
    <hyperlink r:id="rId4" ref="C24"/>
    <hyperlink r:id="rId5" ref="C25"/>
    <hyperlink r:id="rId6" ref="C36"/>
    <hyperlink r:id="rId7" ref="C37"/>
    <hyperlink r:id="rId8" ref="C38"/>
    <hyperlink r:id="rId9" ref="C45"/>
  </hyperlinks>
  <drawing r:id="rId10"/>
  <tableParts count="1">
    <tablePart r:id="rId12"/>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7.63"/>
    <col customWidth="1" min="3" max="3" width="16.0"/>
    <col customWidth="1" min="4" max="4" width="87.5"/>
  </cols>
  <sheetData>
    <row r="1">
      <c r="C1" s="164"/>
    </row>
    <row r="2">
      <c r="B2" s="1" t="s">
        <v>50</v>
      </c>
      <c r="C2" s="164"/>
    </row>
    <row r="3">
      <c r="B3" s="23" t="s">
        <v>419</v>
      </c>
      <c r="C3" s="164"/>
    </row>
    <row r="4">
      <c r="B4" s="15"/>
      <c r="C4" s="164"/>
    </row>
    <row r="5">
      <c r="B5" s="57" t="s">
        <v>420</v>
      </c>
      <c r="C5" s="98" t="s">
        <v>136</v>
      </c>
      <c r="D5" s="57" t="s">
        <v>352</v>
      </c>
    </row>
    <row r="6">
      <c r="B6" s="6"/>
      <c r="C6" s="165"/>
      <c r="D6" s="6"/>
    </row>
    <row r="7">
      <c r="B7" s="166" t="s">
        <v>421</v>
      </c>
      <c r="C7" s="167">
        <v>46066.0</v>
      </c>
      <c r="D7" s="166" t="s">
        <v>422</v>
      </c>
    </row>
    <row r="8">
      <c r="B8" s="166" t="s">
        <v>423</v>
      </c>
      <c r="C8" s="167">
        <v>45934.0</v>
      </c>
      <c r="D8" s="166" t="s">
        <v>424</v>
      </c>
    </row>
    <row r="9">
      <c r="B9" s="166" t="s">
        <v>425</v>
      </c>
      <c r="C9" s="167">
        <v>45925.0</v>
      </c>
      <c r="D9" s="166" t="s">
        <v>426</v>
      </c>
    </row>
    <row r="10">
      <c r="B10" s="166" t="s">
        <v>427</v>
      </c>
      <c r="C10" s="167">
        <v>45712.0</v>
      </c>
      <c r="D10" s="166" t="s">
        <v>428</v>
      </c>
    </row>
    <row r="11">
      <c r="B11" s="166" t="s">
        <v>429</v>
      </c>
      <c r="C11" s="167">
        <v>45709.0</v>
      </c>
      <c r="D11" s="166" t="s">
        <v>430</v>
      </c>
    </row>
    <row r="12">
      <c r="B12" s="166" t="s">
        <v>431</v>
      </c>
      <c r="C12" s="167">
        <v>45642.0</v>
      </c>
      <c r="D12" s="166" t="s">
        <v>432</v>
      </c>
    </row>
    <row r="13">
      <c r="B13" s="166" t="s">
        <v>433</v>
      </c>
      <c r="C13" s="167">
        <v>45628.0</v>
      </c>
      <c r="D13" s="166" t="s">
        <v>434</v>
      </c>
    </row>
    <row r="14">
      <c r="B14" s="168" t="s">
        <v>435</v>
      </c>
      <c r="C14" s="169">
        <v>45574.0</v>
      </c>
      <c r="D14" s="168" t="s">
        <v>436</v>
      </c>
    </row>
    <row r="15">
      <c r="B15" s="6" t="s">
        <v>437</v>
      </c>
      <c r="C15" s="170">
        <v>45539.0</v>
      </c>
      <c r="D15" s="171" t="s">
        <v>438</v>
      </c>
    </row>
    <row r="16">
      <c r="B16" s="6" t="s">
        <v>439</v>
      </c>
      <c r="C16" s="170">
        <v>45534.0</v>
      </c>
      <c r="D16" s="171" t="s">
        <v>440</v>
      </c>
    </row>
    <row r="17">
      <c r="B17" s="6" t="s">
        <v>441</v>
      </c>
      <c r="C17" s="170">
        <v>45348.0</v>
      </c>
      <c r="D17" s="171" t="s">
        <v>442</v>
      </c>
    </row>
    <row r="18">
      <c r="B18" s="6" t="s">
        <v>443</v>
      </c>
      <c r="C18" s="170">
        <v>45328.0</v>
      </c>
      <c r="D18" s="171" t="s">
        <v>444</v>
      </c>
    </row>
    <row r="19">
      <c r="B19" s="6" t="s">
        <v>445</v>
      </c>
      <c r="C19" s="170">
        <v>45301.0</v>
      </c>
      <c r="D19" s="171" t="s">
        <v>446</v>
      </c>
    </row>
    <row r="20">
      <c r="B20" s="6" t="s">
        <v>447</v>
      </c>
      <c r="C20" s="170">
        <v>45011.0</v>
      </c>
      <c r="D20" s="171" t="s">
        <v>448</v>
      </c>
    </row>
    <row r="21">
      <c r="B21" s="6" t="s">
        <v>449</v>
      </c>
      <c r="C21" s="170">
        <v>45019.0</v>
      </c>
      <c r="D21" s="171" t="s">
        <v>450</v>
      </c>
    </row>
    <row r="22">
      <c r="B22" s="6" t="s">
        <v>451</v>
      </c>
      <c r="C22" s="170">
        <v>45011.0</v>
      </c>
      <c r="D22" s="171" t="s">
        <v>452</v>
      </c>
    </row>
    <row r="23">
      <c r="B23" s="6" t="s">
        <v>453</v>
      </c>
      <c r="C23" s="170">
        <v>45004.0</v>
      </c>
      <c r="D23" s="171" t="s">
        <v>454</v>
      </c>
    </row>
    <row r="24">
      <c r="B24" s="6" t="s">
        <v>455</v>
      </c>
      <c r="C24" s="170">
        <v>44798.0</v>
      </c>
      <c r="D24" s="8" t="s">
        <v>456</v>
      </c>
    </row>
    <row r="25">
      <c r="B25" s="6" t="s">
        <v>457</v>
      </c>
      <c r="C25" s="170">
        <v>44615.0</v>
      </c>
      <c r="D25" s="172" t="s">
        <v>458</v>
      </c>
    </row>
    <row r="26">
      <c r="B26" s="6" t="s">
        <v>459</v>
      </c>
      <c r="C26" s="170">
        <v>44565.0</v>
      </c>
      <c r="D26" s="172" t="s">
        <v>460</v>
      </c>
    </row>
    <row r="27">
      <c r="B27" s="6" t="s">
        <v>461</v>
      </c>
      <c r="C27" s="170">
        <v>44537.0</v>
      </c>
      <c r="D27" s="171" t="s">
        <v>462</v>
      </c>
    </row>
    <row r="28">
      <c r="B28" s="6" t="s">
        <v>463</v>
      </c>
      <c r="C28" s="170">
        <v>44188.0</v>
      </c>
      <c r="D28" s="171" t="s">
        <v>464</v>
      </c>
    </row>
    <row r="29">
      <c r="B29" s="6" t="s">
        <v>465</v>
      </c>
      <c r="C29" s="170">
        <v>43980.0</v>
      </c>
      <c r="D29" s="171" t="s">
        <v>466</v>
      </c>
    </row>
    <row r="30">
      <c r="B30" s="6" t="s">
        <v>467</v>
      </c>
      <c r="C30" s="170">
        <v>43941.0</v>
      </c>
      <c r="D30" s="173" t="s">
        <v>468</v>
      </c>
    </row>
    <row r="31">
      <c r="B31" s="174"/>
      <c r="C31" s="175"/>
      <c r="D31" s="173" t="s">
        <v>469</v>
      </c>
    </row>
    <row r="32">
      <c r="B32" s="174"/>
      <c r="C32" s="175"/>
      <c r="D32" s="173" t="s">
        <v>470</v>
      </c>
    </row>
    <row r="33">
      <c r="B33" s="6" t="s">
        <v>471</v>
      </c>
      <c r="C33" s="170">
        <v>43845.0</v>
      </c>
      <c r="D33" s="171" t="s">
        <v>472</v>
      </c>
    </row>
    <row r="34">
      <c r="B34" s="6" t="s">
        <v>473</v>
      </c>
      <c r="C34" s="170">
        <v>43825.0</v>
      </c>
      <c r="D34" s="173" t="s">
        <v>474</v>
      </c>
    </row>
    <row r="35">
      <c r="B35" s="6" t="s">
        <v>475</v>
      </c>
      <c r="C35" s="170">
        <v>43634.0</v>
      </c>
      <c r="D35" s="173" t="s">
        <v>476</v>
      </c>
    </row>
    <row r="36">
      <c r="B36" s="6" t="s">
        <v>477</v>
      </c>
      <c r="C36" s="170">
        <v>43633.0</v>
      </c>
      <c r="D36" s="173" t="s">
        <v>478</v>
      </c>
    </row>
    <row r="37">
      <c r="B37" s="174"/>
      <c r="C37" s="175"/>
      <c r="D37" s="173" t="s">
        <v>479</v>
      </c>
    </row>
    <row r="38">
      <c r="B38" s="174"/>
      <c r="C38" s="175"/>
      <c r="D38" s="173" t="s">
        <v>480</v>
      </c>
    </row>
    <row r="39">
      <c r="B39" s="174"/>
      <c r="C39" s="175"/>
      <c r="D39" s="173" t="s">
        <v>481</v>
      </c>
    </row>
    <row r="40">
      <c r="B40" s="174"/>
      <c r="C40" s="175"/>
      <c r="D40" s="173" t="s">
        <v>482</v>
      </c>
    </row>
    <row r="41">
      <c r="B41" s="6" t="s">
        <v>483</v>
      </c>
      <c r="C41" s="170">
        <v>43542.0</v>
      </c>
      <c r="D41" s="173" t="s">
        <v>484</v>
      </c>
    </row>
    <row r="42">
      <c r="B42" s="6" t="s">
        <v>485</v>
      </c>
      <c r="C42" s="170">
        <v>43500.0</v>
      </c>
      <c r="D42" s="173" t="s">
        <v>486</v>
      </c>
    </row>
    <row r="43">
      <c r="B43" s="6" t="s">
        <v>487</v>
      </c>
      <c r="C43" s="170">
        <v>43482.0</v>
      </c>
      <c r="D43" s="173" t="s">
        <v>488</v>
      </c>
    </row>
    <row r="44">
      <c r="B44" s="174"/>
      <c r="C44" s="175"/>
      <c r="D44" s="173" t="s">
        <v>489</v>
      </c>
    </row>
    <row r="45">
      <c r="B45" s="174"/>
      <c r="C45" s="175"/>
      <c r="D45" s="173" t="s">
        <v>490</v>
      </c>
    </row>
    <row r="46">
      <c r="B46" s="174"/>
      <c r="C46" s="175"/>
      <c r="D46" s="173" t="s">
        <v>491</v>
      </c>
    </row>
    <row r="47">
      <c r="B47" s="6" t="s">
        <v>492</v>
      </c>
      <c r="C47" s="170">
        <v>43384.0</v>
      </c>
      <c r="D47" s="173" t="s">
        <v>493</v>
      </c>
    </row>
    <row r="48">
      <c r="B48" s="6" t="s">
        <v>494</v>
      </c>
      <c r="C48" s="170">
        <v>43349.0</v>
      </c>
      <c r="D48" s="173" t="s">
        <v>495</v>
      </c>
    </row>
    <row r="49">
      <c r="B49" s="6" t="s">
        <v>496</v>
      </c>
      <c r="C49" s="170">
        <v>43241.0</v>
      </c>
      <c r="D49" s="173" t="s">
        <v>497</v>
      </c>
    </row>
    <row r="50">
      <c r="B50" s="174"/>
      <c r="C50" s="175"/>
      <c r="D50" s="173" t="s">
        <v>498</v>
      </c>
    </row>
    <row r="51">
      <c r="B51" s="174"/>
      <c r="C51" s="175"/>
      <c r="D51" s="173" t="s">
        <v>499</v>
      </c>
    </row>
    <row r="52">
      <c r="B52" s="174"/>
      <c r="C52" s="175"/>
      <c r="D52" s="173" t="s">
        <v>500</v>
      </c>
    </row>
    <row r="53">
      <c r="B53" s="174"/>
      <c r="C53" s="175"/>
      <c r="D53" s="173" t="s">
        <v>501</v>
      </c>
    </row>
    <row r="54">
      <c r="B54" s="174"/>
      <c r="C54" s="175"/>
      <c r="D54" s="173" t="s">
        <v>502</v>
      </c>
    </row>
    <row r="55">
      <c r="B55" s="174"/>
      <c r="C55" s="175"/>
      <c r="D55" s="173" t="s">
        <v>503</v>
      </c>
    </row>
    <row r="56">
      <c r="B56" s="174"/>
      <c r="C56" s="175"/>
      <c r="D56" s="173" t="s">
        <v>504</v>
      </c>
    </row>
    <row r="57">
      <c r="B57" s="174"/>
      <c r="C57" s="175"/>
      <c r="D57" s="173" t="s">
        <v>505</v>
      </c>
    </row>
    <row r="58">
      <c r="B58" s="174"/>
      <c r="C58" s="175"/>
      <c r="D58" s="173" t="s">
        <v>506</v>
      </c>
    </row>
    <row r="59">
      <c r="B59" s="174"/>
      <c r="C59" s="175"/>
      <c r="D59" s="173" t="s">
        <v>507</v>
      </c>
    </row>
    <row r="60">
      <c r="B60" s="174"/>
      <c r="C60" s="175"/>
      <c r="D60" s="173" t="s">
        <v>508</v>
      </c>
    </row>
    <row r="61">
      <c r="B61" s="174"/>
      <c r="C61" s="175"/>
      <c r="D61" s="173" t="s">
        <v>509</v>
      </c>
    </row>
    <row r="62">
      <c r="B62" s="174"/>
      <c r="C62" s="175"/>
      <c r="D62" s="173" t="s">
        <v>510</v>
      </c>
    </row>
    <row r="63">
      <c r="B63" s="174"/>
      <c r="C63" s="175"/>
      <c r="D63" s="173" t="s">
        <v>511</v>
      </c>
    </row>
    <row r="64">
      <c r="B64" s="174"/>
      <c r="C64" s="175"/>
      <c r="D64" s="173" t="s">
        <v>512</v>
      </c>
    </row>
  </sheetData>
  <hyperlinks>
    <hyperlink r:id="rId1" ref="D24"/>
  </hyperlinks>
  <drawing r:id="rId2"/>
  <tableParts count="1">
    <tablePart r:id="rId4"/>
  </tableParts>
</worksheet>
</file>