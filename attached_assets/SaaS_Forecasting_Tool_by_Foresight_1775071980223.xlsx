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5"/>
  <workbookPr/>
  <mc:AlternateContent xmlns:mc="http://schemas.openxmlformats.org/markup-compatibility/2006">
    <mc:Choice Requires="x15">
      <x15ac:absPath xmlns:x15ac="http://schemas.microsoft.com/office/spreadsheetml/2010/11/ac" url="/Users/taylordavidson/Desktop/"/>
    </mc:Choice>
  </mc:AlternateContent>
  <xr:revisionPtr revIDLastSave="0" documentId="8_{2E2215B4-7528-3A41-B815-538BCB05ACA4}" xr6:coauthVersionLast="47" xr6:coauthVersionMax="47" xr10:uidLastSave="{00000000-0000-0000-0000-000000000000}"/>
  <bookViews>
    <workbookView xWindow="0" yWindow="0" windowWidth="38400" windowHeight="24000" xr2:uid="{00000000-000D-0000-FFFF-FFFF00000000}"/>
  </bookViews>
  <sheets>
    <sheet name="README" sheetId="1" r:id="rId1"/>
    <sheet name="License" sheetId="2" r:id="rId2"/>
    <sheet name="Disclaimer" sheetId="3" r:id="rId3"/>
    <sheet name="Get Started" sheetId="4" r:id="rId4"/>
    <sheet name="Key Reports" sheetId="5" r:id="rId5"/>
    <sheet name="Forecast" sheetId="6" r:id="rId6"/>
    <sheet name="Additional Tools" sheetId="7" r:id="rId7"/>
    <sheet name="Model Comparison" sheetId="8" r:id="rId8"/>
    <sheet name="Changelog"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6" l="1"/>
  <c r="C61" i="6"/>
  <c r="C58" i="6"/>
  <c r="C57" i="6"/>
  <c r="C56" i="6"/>
  <c r="C55" i="6"/>
  <c r="C54" i="6"/>
  <c r="C53" i="6"/>
  <c r="C52" i="6"/>
  <c r="C49" i="6"/>
  <c r="C48" i="6"/>
  <c r="C47" i="6"/>
  <c r="D46" i="6"/>
  <c r="C46" i="6"/>
  <c r="BO31" i="6"/>
  <c r="BN31" i="6"/>
  <c r="BM31" i="6"/>
  <c r="BL31" i="6"/>
  <c r="BK31" i="6"/>
  <c r="BJ31" i="6"/>
  <c r="BI31" i="6"/>
  <c r="BH31" i="6"/>
  <c r="BG31" i="6"/>
  <c r="BF31" i="6"/>
  <c r="BE31" i="6"/>
  <c r="BD31" i="6"/>
  <c r="BC31" i="6"/>
  <c r="BB31" i="6"/>
  <c r="BA31" i="6"/>
  <c r="AZ31" i="6"/>
  <c r="AY31" i="6"/>
  <c r="AX31" i="6"/>
  <c r="AW31" i="6"/>
  <c r="AV31" i="6"/>
  <c r="AU31" i="6"/>
  <c r="AT31" i="6"/>
  <c r="AS31" i="6"/>
  <c r="AR31" i="6"/>
  <c r="AQ31" i="6"/>
  <c r="AP31" i="6"/>
  <c r="AO31" i="6"/>
  <c r="AN31" i="6"/>
  <c r="AM31" i="6"/>
  <c r="AL31" i="6"/>
  <c r="AK31" i="6"/>
  <c r="AJ31" i="6"/>
  <c r="AI31" i="6"/>
  <c r="AH31" i="6"/>
  <c r="AG31" i="6"/>
  <c r="AF31" i="6"/>
  <c r="AE31" i="6"/>
  <c r="AD31" i="6"/>
  <c r="AC31" i="6"/>
  <c r="AB31" i="6"/>
  <c r="AA31" i="6"/>
  <c r="Z31" i="6"/>
  <c r="Y31" i="6"/>
  <c r="X31" i="6"/>
  <c r="W31" i="6"/>
  <c r="V31" i="6"/>
  <c r="I31" i="6" s="1"/>
  <c r="U31" i="6"/>
  <c r="T31" i="6"/>
  <c r="D31" i="6"/>
  <c r="BO30" i="6"/>
  <c r="BN30" i="6"/>
  <c r="BM30" i="6"/>
  <c r="BL30" i="6"/>
  <c r="BK30" i="6"/>
  <c r="BJ30" i="6"/>
  <c r="BI30" i="6"/>
  <c r="BH30" i="6"/>
  <c r="BG30" i="6"/>
  <c r="BF30" i="6"/>
  <c r="BE30" i="6"/>
  <c r="BD30" i="6"/>
  <c r="BC30" i="6"/>
  <c r="BB30" i="6"/>
  <c r="BA30" i="6"/>
  <c r="AZ30" i="6"/>
  <c r="AY30" i="6"/>
  <c r="AX30" i="6"/>
  <c r="AW30" i="6"/>
  <c r="AV30" i="6"/>
  <c r="AU30" i="6"/>
  <c r="AT30" i="6"/>
  <c r="AS30" i="6"/>
  <c r="AR30" i="6"/>
  <c r="AQ30" i="6"/>
  <c r="AP30" i="6"/>
  <c r="AO30" i="6"/>
  <c r="AN30" i="6"/>
  <c r="AM30" i="6"/>
  <c r="AL30" i="6"/>
  <c r="AK30" i="6"/>
  <c r="AJ30" i="6"/>
  <c r="AI30" i="6"/>
  <c r="AH30" i="6"/>
  <c r="AG30" i="6"/>
  <c r="AF30" i="6"/>
  <c r="AE30" i="6"/>
  <c r="AD30" i="6"/>
  <c r="AC30" i="6"/>
  <c r="AB30" i="6"/>
  <c r="AA30" i="6"/>
  <c r="Z30" i="6"/>
  <c r="I30" i="6" s="1"/>
  <c r="Y30" i="6"/>
  <c r="X30" i="6"/>
  <c r="W30" i="6"/>
  <c r="V30" i="6"/>
  <c r="U30" i="6"/>
  <c r="T30" i="6"/>
  <c r="D30" i="6"/>
  <c r="BO29" i="6"/>
  <c r="BN29" i="6"/>
  <c r="BM29" i="6"/>
  <c r="BL29" i="6"/>
  <c r="BK29" i="6"/>
  <c r="BJ29" i="6"/>
  <c r="BI29" i="6"/>
  <c r="BH29" i="6"/>
  <c r="BG29" i="6"/>
  <c r="BF29" i="6"/>
  <c r="BE29" i="6"/>
  <c r="BD29" i="6"/>
  <c r="BC29" i="6"/>
  <c r="BB29" i="6"/>
  <c r="BA29" i="6"/>
  <c r="AZ29" i="6"/>
  <c r="AY29" i="6"/>
  <c r="AX29" i="6"/>
  <c r="AW29" i="6"/>
  <c r="AV29" i="6"/>
  <c r="AU29" i="6"/>
  <c r="AT29" i="6"/>
  <c r="AS29" i="6"/>
  <c r="AR29" i="6"/>
  <c r="AQ29" i="6"/>
  <c r="AP29" i="6"/>
  <c r="AO29" i="6"/>
  <c r="AN29" i="6"/>
  <c r="AM29" i="6"/>
  <c r="AL29" i="6"/>
  <c r="AK29" i="6"/>
  <c r="AJ29" i="6"/>
  <c r="AI29" i="6"/>
  <c r="AH29" i="6"/>
  <c r="AG29" i="6"/>
  <c r="AF29" i="6"/>
  <c r="AE29" i="6"/>
  <c r="AD29" i="6"/>
  <c r="AC29" i="6"/>
  <c r="AB29" i="6"/>
  <c r="AA29" i="6"/>
  <c r="Z29" i="6"/>
  <c r="Y29" i="6"/>
  <c r="X29" i="6"/>
  <c r="W29" i="6"/>
  <c r="V29" i="6"/>
  <c r="U29" i="6"/>
  <c r="T29" i="6"/>
  <c r="D29" i="6"/>
  <c r="BO28" i="6"/>
  <c r="BN28" i="6"/>
  <c r="BM28" i="6"/>
  <c r="BL28" i="6"/>
  <c r="BK28" i="6"/>
  <c r="BJ28" i="6"/>
  <c r="BJ69" i="6" s="1"/>
  <c r="BJ70" i="6" s="1"/>
  <c r="BI28" i="6"/>
  <c r="BH28" i="6"/>
  <c r="BG28" i="6"/>
  <c r="BF28" i="6"/>
  <c r="BE28" i="6"/>
  <c r="BD28" i="6"/>
  <c r="BC28" i="6"/>
  <c r="BB28" i="6"/>
  <c r="BB69" i="6" s="1"/>
  <c r="BB70" i="6" s="1"/>
  <c r="BA28" i="6"/>
  <c r="AZ28" i="6"/>
  <c r="AY28" i="6"/>
  <c r="AX28" i="6"/>
  <c r="AW28" i="6"/>
  <c r="AV28" i="6"/>
  <c r="AU28" i="6"/>
  <c r="AT28" i="6"/>
  <c r="AT69" i="6" s="1"/>
  <c r="AT70" i="6" s="1"/>
  <c r="AS28" i="6"/>
  <c r="AR28" i="6"/>
  <c r="AQ28" i="6"/>
  <c r="AP28" i="6"/>
  <c r="AO28" i="6"/>
  <c r="AN28" i="6"/>
  <c r="AM28" i="6"/>
  <c r="AL28" i="6"/>
  <c r="AL69" i="6" s="1"/>
  <c r="AL70" i="6" s="1"/>
  <c r="AK28" i="6"/>
  <c r="AJ28" i="6"/>
  <c r="AI28" i="6"/>
  <c r="AH28" i="6"/>
  <c r="AG28" i="6"/>
  <c r="AF28" i="6"/>
  <c r="AE28" i="6"/>
  <c r="AD28" i="6"/>
  <c r="AD69" i="6" s="1"/>
  <c r="AD70" i="6" s="1"/>
  <c r="AC28" i="6"/>
  <c r="AB28" i="6"/>
  <c r="AA28" i="6"/>
  <c r="Z28" i="6"/>
  <c r="Y28" i="6"/>
  <c r="X28" i="6"/>
  <c r="W28" i="6"/>
  <c r="V28" i="6"/>
  <c r="V69" i="6" s="1"/>
  <c r="V70" i="6" s="1"/>
  <c r="U28" i="6"/>
  <c r="T28" i="6"/>
  <c r="D28" i="6"/>
  <c r="BO27" i="6"/>
  <c r="BN27" i="6"/>
  <c r="BM27" i="6"/>
  <c r="BL27" i="6"/>
  <c r="BK27" i="6"/>
  <c r="BJ27" i="6"/>
  <c r="BI27" i="6"/>
  <c r="BH27" i="6"/>
  <c r="BG27" i="6"/>
  <c r="BF27" i="6"/>
  <c r="BE27" i="6"/>
  <c r="BD27" i="6"/>
  <c r="BC27" i="6"/>
  <c r="BB27" i="6"/>
  <c r="BA27" i="6"/>
  <c r="AZ27" i="6"/>
  <c r="AY27" i="6"/>
  <c r="AX27" i="6"/>
  <c r="AW27" i="6"/>
  <c r="AV27" i="6"/>
  <c r="AU27" i="6"/>
  <c r="AT27" i="6"/>
  <c r="AS27" i="6"/>
  <c r="AR27" i="6"/>
  <c r="AQ27" i="6"/>
  <c r="AP27" i="6"/>
  <c r="AO27" i="6"/>
  <c r="AN27" i="6"/>
  <c r="AM27" i="6"/>
  <c r="AL27" i="6"/>
  <c r="AK27" i="6"/>
  <c r="AJ27" i="6"/>
  <c r="AI27" i="6"/>
  <c r="AH27" i="6"/>
  <c r="AG27" i="6"/>
  <c r="AF27" i="6"/>
  <c r="AE27" i="6"/>
  <c r="AD27" i="6"/>
  <c r="AC27" i="6"/>
  <c r="AB27" i="6"/>
  <c r="AA27" i="6"/>
  <c r="Z27" i="6"/>
  <c r="Y27" i="6"/>
  <c r="X27" i="6"/>
  <c r="W27" i="6"/>
  <c r="V27" i="6"/>
  <c r="U27" i="6"/>
  <c r="T27" i="6"/>
  <c r="D27" i="6"/>
  <c r="BO26" i="6"/>
  <c r="BN26" i="6"/>
  <c r="BM26" i="6"/>
  <c r="BL26" i="6"/>
  <c r="BK26" i="6"/>
  <c r="BJ26" i="6"/>
  <c r="BI26" i="6"/>
  <c r="BH26" i="6"/>
  <c r="BG26" i="6"/>
  <c r="BF26" i="6"/>
  <c r="BE26" i="6"/>
  <c r="BD26" i="6"/>
  <c r="BC26" i="6"/>
  <c r="BB26" i="6"/>
  <c r="BA26" i="6"/>
  <c r="AZ26" i="6"/>
  <c r="AY26" i="6"/>
  <c r="AX26" i="6"/>
  <c r="AW26" i="6"/>
  <c r="AV26" i="6"/>
  <c r="AU26" i="6"/>
  <c r="AT26" i="6"/>
  <c r="AS26" i="6"/>
  <c r="AR26" i="6"/>
  <c r="AQ26" i="6"/>
  <c r="AP26" i="6"/>
  <c r="AO26" i="6"/>
  <c r="AN26" i="6"/>
  <c r="AM26" i="6"/>
  <c r="AL26" i="6"/>
  <c r="AK26" i="6"/>
  <c r="AJ26" i="6"/>
  <c r="AI26" i="6"/>
  <c r="AH26" i="6"/>
  <c r="AG26" i="6"/>
  <c r="AF26" i="6"/>
  <c r="AE26" i="6"/>
  <c r="AD26" i="6"/>
  <c r="AC26" i="6"/>
  <c r="AB26" i="6"/>
  <c r="AA26" i="6"/>
  <c r="Z26" i="6"/>
  <c r="Y26" i="6"/>
  <c r="X26" i="6"/>
  <c r="I26" i="6" s="1"/>
  <c r="W26" i="6"/>
  <c r="V26" i="6"/>
  <c r="U26" i="6"/>
  <c r="T26" i="6"/>
  <c r="D26" i="6"/>
  <c r="BO25" i="6"/>
  <c r="BN25" i="6"/>
  <c r="BM25" i="6"/>
  <c r="BL25" i="6"/>
  <c r="BK25" i="6"/>
  <c r="BJ25" i="6"/>
  <c r="BI25" i="6"/>
  <c r="BH25" i="6"/>
  <c r="BG25" i="6"/>
  <c r="BF25" i="6"/>
  <c r="BE25" i="6"/>
  <c r="BD25" i="6"/>
  <c r="BC25" i="6"/>
  <c r="BB25" i="6"/>
  <c r="BA25" i="6"/>
  <c r="AZ25" i="6"/>
  <c r="AY25" i="6"/>
  <c r="AX25" i="6"/>
  <c r="AW25" i="6"/>
  <c r="AV25" i="6"/>
  <c r="AU25" i="6"/>
  <c r="AT25" i="6"/>
  <c r="AS25" i="6"/>
  <c r="AR25" i="6"/>
  <c r="AQ25" i="6"/>
  <c r="AP25" i="6"/>
  <c r="AO25" i="6"/>
  <c r="AN25" i="6"/>
  <c r="AM25" i="6"/>
  <c r="AL25" i="6"/>
  <c r="AK25" i="6"/>
  <c r="AJ25" i="6"/>
  <c r="AI25" i="6"/>
  <c r="AH25" i="6"/>
  <c r="AG25" i="6"/>
  <c r="AF25" i="6"/>
  <c r="AE25" i="6"/>
  <c r="AD25" i="6"/>
  <c r="AC25" i="6"/>
  <c r="AB25" i="6"/>
  <c r="AA25" i="6"/>
  <c r="Z25" i="6"/>
  <c r="Y25" i="6"/>
  <c r="X25" i="6"/>
  <c r="W25" i="6"/>
  <c r="V25" i="6"/>
  <c r="U25" i="6"/>
  <c r="T25" i="6"/>
  <c r="I25" i="6" s="1"/>
  <c r="D25" i="6"/>
  <c r="BO24" i="6"/>
  <c r="BN24" i="6"/>
  <c r="BM24" i="6"/>
  <c r="BL24" i="6"/>
  <c r="BK24" i="6"/>
  <c r="BJ24" i="6"/>
  <c r="BI24" i="6"/>
  <c r="BH24" i="6"/>
  <c r="BG24" i="6"/>
  <c r="BF24"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T24" i="6"/>
  <c r="I24" i="6" s="1"/>
  <c r="D24" i="6"/>
  <c r="BO23" i="6"/>
  <c r="BN23" i="6"/>
  <c r="BM23" i="6"/>
  <c r="BL23" i="6"/>
  <c r="BK23" i="6"/>
  <c r="BJ23" i="6"/>
  <c r="BH23" i="6"/>
  <c r="BG23" i="6"/>
  <c r="BF23" i="6"/>
  <c r="BE23" i="6"/>
  <c r="BD23" i="6"/>
  <c r="BC23" i="6"/>
  <c r="BB23" i="6"/>
  <c r="AZ23" i="6"/>
  <c r="AY23" i="6"/>
  <c r="AX23" i="6"/>
  <c r="AW23" i="6"/>
  <c r="AV23" i="6"/>
  <c r="AU23" i="6"/>
  <c r="AT23" i="6"/>
  <c r="AR23" i="6"/>
  <c r="AQ23" i="6"/>
  <c r="AP23" i="6"/>
  <c r="AO23" i="6"/>
  <c r="AN23" i="6"/>
  <c r="AM23" i="6"/>
  <c r="AL23" i="6"/>
  <c r="AJ23" i="6"/>
  <c r="AI23" i="6"/>
  <c r="AH23" i="6"/>
  <c r="AG23" i="6"/>
  <c r="AF23" i="6"/>
  <c r="AE23" i="6"/>
  <c r="AD23" i="6"/>
  <c r="AB23" i="6"/>
  <c r="AA23" i="6"/>
  <c r="Z23" i="6"/>
  <c r="Y23" i="6"/>
  <c r="X23" i="6"/>
  <c r="W23" i="6"/>
  <c r="V23" i="6"/>
  <c r="T23" i="6"/>
  <c r="I23" i="6"/>
  <c r="D23"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J20" i="6"/>
  <c r="AI20" i="6"/>
  <c r="AH20" i="6"/>
  <c r="AG20" i="6"/>
  <c r="AF20" i="6"/>
  <c r="AE20" i="6"/>
  <c r="AD20" i="6"/>
  <c r="AC20" i="6"/>
  <c r="AB20" i="6"/>
  <c r="AA20" i="6"/>
  <c r="Z20" i="6"/>
  <c r="Y20" i="6"/>
  <c r="I20" i="6" s="1"/>
  <c r="X20" i="6"/>
  <c r="W20" i="6"/>
  <c r="V20" i="6"/>
  <c r="U20" i="6"/>
  <c r="T20" i="6"/>
  <c r="T49" i="6" s="1"/>
  <c r="D20" i="6"/>
  <c r="BO19" i="6"/>
  <c r="BN19" i="6"/>
  <c r="BM19" i="6"/>
  <c r="BL19" i="6"/>
  <c r="BK19" i="6"/>
  <c r="BJ19" i="6"/>
  <c r="BI19" i="6"/>
  <c r="BH19" i="6"/>
  <c r="BG19" i="6"/>
  <c r="BF19" i="6"/>
  <c r="BE19" i="6"/>
  <c r="BD19" i="6"/>
  <c r="BC19" i="6"/>
  <c r="BB19" i="6"/>
  <c r="BA19" i="6"/>
  <c r="AZ19" i="6"/>
  <c r="AY19" i="6"/>
  <c r="AX19" i="6"/>
  <c r="AW19" i="6"/>
  <c r="AV19" i="6"/>
  <c r="AU19" i="6"/>
  <c r="AT19" i="6"/>
  <c r="AS19" i="6"/>
  <c r="AR19" i="6"/>
  <c r="AQ19" i="6"/>
  <c r="AP19" i="6"/>
  <c r="AO19" i="6"/>
  <c r="AN19" i="6"/>
  <c r="AM19" i="6"/>
  <c r="AL19" i="6"/>
  <c r="AK19" i="6"/>
  <c r="AJ19" i="6"/>
  <c r="AI19" i="6"/>
  <c r="AH19" i="6"/>
  <c r="AG19" i="6"/>
  <c r="AF19" i="6"/>
  <c r="AE19" i="6"/>
  <c r="AD19" i="6"/>
  <c r="AC19" i="6"/>
  <c r="AB19" i="6"/>
  <c r="AA19" i="6"/>
  <c r="Z19" i="6"/>
  <c r="Y19" i="6"/>
  <c r="X19" i="6"/>
  <c r="W19" i="6"/>
  <c r="V19" i="6"/>
  <c r="U19" i="6"/>
  <c r="T19" i="6"/>
  <c r="I19" i="6"/>
  <c r="D19" i="6"/>
  <c r="BO18" i="6"/>
  <c r="BN18" i="6"/>
  <c r="BM18" i="6"/>
  <c r="BL18" i="6"/>
  <c r="BK18" i="6"/>
  <c r="BK71" i="6" s="1"/>
  <c r="BJ18" i="6"/>
  <c r="BJ71" i="6" s="1"/>
  <c r="BI18" i="6"/>
  <c r="BI71" i="6" s="1"/>
  <c r="BH18" i="6"/>
  <c r="BG18" i="6"/>
  <c r="BF18" i="6"/>
  <c r="BE18" i="6"/>
  <c r="BD18" i="6"/>
  <c r="BC18" i="6"/>
  <c r="BC71" i="6" s="1"/>
  <c r="BB18" i="6"/>
  <c r="BB71" i="6" s="1"/>
  <c r="BA18" i="6"/>
  <c r="BA71" i="6" s="1"/>
  <c r="AZ18" i="6"/>
  <c r="AY18" i="6"/>
  <c r="AX18" i="6"/>
  <c r="AW18" i="6"/>
  <c r="AV18" i="6"/>
  <c r="AU18" i="6"/>
  <c r="AU71" i="6" s="1"/>
  <c r="AT18" i="6"/>
  <c r="AT71" i="6" s="1"/>
  <c r="AS18" i="6"/>
  <c r="AS71" i="6" s="1"/>
  <c r="AR18" i="6"/>
  <c r="AQ18" i="6"/>
  <c r="AP18" i="6"/>
  <c r="AO18" i="6"/>
  <c r="AN18" i="6"/>
  <c r="AM18" i="6"/>
  <c r="AM71" i="6" s="1"/>
  <c r="AL18" i="6"/>
  <c r="AL71" i="6" s="1"/>
  <c r="AK18" i="6"/>
  <c r="AK71" i="6" s="1"/>
  <c r="AJ18" i="6"/>
  <c r="AI18" i="6"/>
  <c r="AH18" i="6"/>
  <c r="AG18" i="6"/>
  <c r="AF18" i="6"/>
  <c r="AE18" i="6"/>
  <c r="AE71" i="6" s="1"/>
  <c r="AD18" i="6"/>
  <c r="AD71" i="6" s="1"/>
  <c r="AC18" i="6"/>
  <c r="AC71" i="6" s="1"/>
  <c r="AB18" i="6"/>
  <c r="AA18" i="6"/>
  <c r="Z18" i="6"/>
  <c r="Y18" i="6"/>
  <c r="X18" i="6"/>
  <c r="W18" i="6"/>
  <c r="W71" i="6" s="1"/>
  <c r="V18" i="6"/>
  <c r="V71" i="6" s="1"/>
  <c r="U18" i="6"/>
  <c r="T18" i="6"/>
  <c r="BO17" i="6"/>
  <c r="BN17" i="6"/>
  <c r="BM17" i="6"/>
  <c r="BL17" i="6"/>
  <c r="BK17" i="6"/>
  <c r="BJ17" i="6"/>
  <c r="BI17" i="6"/>
  <c r="BH17" i="6"/>
  <c r="BG17" i="6"/>
  <c r="BF17" i="6"/>
  <c r="BE17" i="6"/>
  <c r="BD17" i="6"/>
  <c r="BC17" i="6"/>
  <c r="BB17" i="6"/>
  <c r="BA17" i="6"/>
  <c r="AZ17" i="6"/>
  <c r="AY17" i="6"/>
  <c r="AX17" i="6"/>
  <c r="AW17" i="6"/>
  <c r="AV17" i="6"/>
  <c r="AU17" i="6"/>
  <c r="AT17" i="6"/>
  <c r="AS17" i="6"/>
  <c r="AR17" i="6"/>
  <c r="AQ17" i="6"/>
  <c r="AP17" i="6"/>
  <c r="AO17" i="6"/>
  <c r="AN17" i="6"/>
  <c r="AM17" i="6"/>
  <c r="AL17" i="6"/>
  <c r="AK17" i="6"/>
  <c r="AJ17" i="6"/>
  <c r="AI17" i="6"/>
  <c r="AH17" i="6"/>
  <c r="AG17" i="6"/>
  <c r="AF17" i="6"/>
  <c r="AE17" i="6"/>
  <c r="AD17" i="6"/>
  <c r="AC17" i="6"/>
  <c r="AB17" i="6"/>
  <c r="AA17" i="6"/>
  <c r="Z17" i="6"/>
  <c r="Y17" i="6"/>
  <c r="X17" i="6"/>
  <c r="W17" i="6"/>
  <c r="I17" i="6" s="1"/>
  <c r="V17" i="6"/>
  <c r="U17" i="6"/>
  <c r="T17" i="6"/>
  <c r="D17" i="6"/>
  <c r="BO16" i="6"/>
  <c r="BN16" i="6"/>
  <c r="BM16" i="6"/>
  <c r="BL16" i="6"/>
  <c r="BK16" i="6"/>
  <c r="BJ16" i="6"/>
  <c r="BI16" i="6"/>
  <c r="BH16" i="6"/>
  <c r="BG16" i="6"/>
  <c r="BF16" i="6"/>
  <c r="BE16" i="6"/>
  <c r="BD16" i="6"/>
  <c r="BC16" i="6"/>
  <c r="BB16" i="6"/>
  <c r="BA16" i="6"/>
  <c r="AZ16" i="6"/>
  <c r="AY16" i="6"/>
  <c r="AX16" i="6"/>
  <c r="AW16" i="6"/>
  <c r="AV16" i="6"/>
  <c r="AU16" i="6"/>
  <c r="AT16" i="6"/>
  <c r="AS16" i="6"/>
  <c r="AR16" i="6"/>
  <c r="AQ16" i="6"/>
  <c r="AP16" i="6"/>
  <c r="AO16" i="6"/>
  <c r="AN16" i="6"/>
  <c r="AM16" i="6"/>
  <c r="AL16" i="6"/>
  <c r="AK16" i="6"/>
  <c r="AJ16" i="6"/>
  <c r="AI16" i="6"/>
  <c r="AH16" i="6"/>
  <c r="AG16" i="6"/>
  <c r="AF16" i="6"/>
  <c r="AE16" i="6"/>
  <c r="AD16" i="6"/>
  <c r="AC16" i="6"/>
  <c r="AB16" i="6"/>
  <c r="AA16" i="6"/>
  <c r="Z16" i="6"/>
  <c r="Y16" i="6"/>
  <c r="X16" i="6"/>
  <c r="W16" i="6"/>
  <c r="V16" i="6"/>
  <c r="U16" i="6"/>
  <c r="T16" i="6"/>
  <c r="D16" i="6"/>
  <c r="AR12" i="6"/>
  <c r="BD12" i="6" s="1"/>
  <c r="AG12" i="6"/>
  <c r="AS12" i="6" s="1"/>
  <c r="BE12" i="6" s="1"/>
  <c r="AF12" i="6"/>
  <c r="U12" i="6"/>
  <c r="V12" i="6" s="1"/>
  <c r="AH12" i="6" s="1"/>
  <c r="AT12" i="6" s="1"/>
  <c r="BF12" i="6" s="1"/>
  <c r="X6" i="6"/>
  <c r="Y6" i="6" s="1"/>
  <c r="Z6" i="6" s="1"/>
  <c r="AA6" i="6" s="1"/>
  <c r="AB6" i="6" s="1"/>
  <c r="AC6" i="6" s="1"/>
  <c r="AD6" i="6" s="1"/>
  <c r="AE6" i="6" s="1"/>
  <c r="AF6" i="6" s="1"/>
  <c r="AG6" i="6" s="1"/>
  <c r="AH6" i="6" s="1"/>
  <c r="AI6" i="6" s="1"/>
  <c r="AJ6" i="6" s="1"/>
  <c r="AK6" i="6" s="1"/>
  <c r="AL6" i="6" s="1"/>
  <c r="AM6" i="6" s="1"/>
  <c r="AN6" i="6" s="1"/>
  <c r="AO6" i="6" s="1"/>
  <c r="AP6" i="6" s="1"/>
  <c r="AQ6" i="6" s="1"/>
  <c r="AR6" i="6" s="1"/>
  <c r="AS6" i="6" s="1"/>
  <c r="AT6" i="6" s="1"/>
  <c r="AU6" i="6" s="1"/>
  <c r="AV6" i="6" s="1"/>
  <c r="AW6" i="6" s="1"/>
  <c r="AX6" i="6" s="1"/>
  <c r="AY6" i="6" s="1"/>
  <c r="AZ6" i="6" s="1"/>
  <c r="BA6" i="6" s="1"/>
  <c r="BB6" i="6" s="1"/>
  <c r="BC6" i="6" s="1"/>
  <c r="BD6" i="6" s="1"/>
  <c r="BE6" i="6" s="1"/>
  <c r="BF6" i="6" s="1"/>
  <c r="BG6" i="6" s="1"/>
  <c r="BH6" i="6" s="1"/>
  <c r="BI6" i="6" s="1"/>
  <c r="BJ6" i="6" s="1"/>
  <c r="BK6" i="6" s="1"/>
  <c r="BL6" i="6" s="1"/>
  <c r="BM6" i="6" s="1"/>
  <c r="BN6" i="6" s="1"/>
  <c r="BO6" i="6" s="1"/>
  <c r="D6" i="6" s="1"/>
  <c r="U6" i="6"/>
  <c r="V6" i="6" s="1"/>
  <c r="W6" i="6" s="1"/>
  <c r="V5" i="6"/>
  <c r="U5" i="6"/>
  <c r="T4" i="6"/>
  <c r="T10" i="6" s="1"/>
  <c r="B23" i="4"/>
  <c r="B22" i="4"/>
  <c r="B21" i="4"/>
  <c r="D19" i="4"/>
  <c r="BI23" i="6" s="1"/>
  <c r="C16" i="4"/>
  <c r="C15" i="4"/>
  <c r="B15" i="4"/>
  <c r="B19" i="6" s="1"/>
  <c r="F14" i="4"/>
  <c r="D18" i="6" s="1"/>
  <c r="C14" i="4"/>
  <c r="C12" i="4"/>
  <c r="B12" i="4"/>
  <c r="D9" i="4"/>
  <c r="B4" i="3"/>
  <c r="T39" i="6" l="1"/>
  <c r="I29" i="6"/>
  <c r="W12" i="6"/>
  <c r="U71" i="6"/>
  <c r="I18" i="6"/>
  <c r="V38" i="6" a="1"/>
  <c r="V38" i="6" s="1"/>
  <c r="W39" i="6" s="1"/>
  <c r="W57" i="6" s="1"/>
  <c r="V37" i="6" a="1"/>
  <c r="V37" i="6" s="1"/>
  <c r="V55" i="6" s="1"/>
  <c r="V41" i="6" a="1"/>
  <c r="V41" i="6" s="1"/>
  <c r="W5" i="6"/>
  <c r="U37" i="6" a="1"/>
  <c r="U37" i="6" s="1"/>
  <c r="T11" i="6"/>
  <c r="T8" i="6" s="1"/>
  <c r="W69" i="6"/>
  <c r="W70" i="6" s="1"/>
  <c r="AE69" i="6"/>
  <c r="AE70" i="6" s="1"/>
  <c r="AM69" i="6"/>
  <c r="AM70" i="6" s="1"/>
  <c r="AU69" i="6"/>
  <c r="AU70" i="6" s="1"/>
  <c r="BC69" i="6"/>
  <c r="BC70" i="6" s="1"/>
  <c r="BK69" i="6"/>
  <c r="BK70" i="6" s="1"/>
  <c r="T34" i="6"/>
  <c r="T41" i="6" a="1"/>
  <c r="T41" i="6" s="1"/>
  <c r="X69" i="6"/>
  <c r="X70" i="6" s="1"/>
  <c r="AF69" i="6"/>
  <c r="AF70" i="6" s="1"/>
  <c r="AN69" i="6"/>
  <c r="AN70" i="6" s="1"/>
  <c r="AV69" i="6"/>
  <c r="AV70" i="6" s="1"/>
  <c r="BD69" i="6"/>
  <c r="BD70" i="6" s="1"/>
  <c r="BL69" i="6"/>
  <c r="BL70" i="6" s="1"/>
  <c r="T38" i="6" a="1"/>
  <c r="T38" i="6" s="1"/>
  <c r="X71" i="6"/>
  <c r="AN71" i="6"/>
  <c r="BD71" i="6"/>
  <c r="BL71" i="6"/>
  <c r="Y69" i="6"/>
  <c r="Y70" i="6" s="1"/>
  <c r="AG69" i="6"/>
  <c r="AG70" i="6" s="1"/>
  <c r="AO69" i="6"/>
  <c r="AO70" i="6" s="1"/>
  <c r="AW69" i="6"/>
  <c r="AW70" i="6" s="1"/>
  <c r="BE69" i="6"/>
  <c r="BE70" i="6" s="1"/>
  <c r="BM69" i="6"/>
  <c r="BM70" i="6" s="1"/>
  <c r="AF71" i="6"/>
  <c r="T55" i="6"/>
  <c r="T56" i="6"/>
  <c r="Y71" i="6"/>
  <c r="AG71" i="6"/>
  <c r="AO71" i="6"/>
  <c r="AW71" i="6"/>
  <c r="BE71" i="6"/>
  <c r="BM71" i="6"/>
  <c r="T52" i="6"/>
  <c r="U55" i="6"/>
  <c r="U56" i="6"/>
  <c r="I27" i="6"/>
  <c r="U38" i="6" a="1"/>
  <c r="U38" i="6" s="1"/>
  <c r="V39" i="6" s="1"/>
  <c r="V57" i="6" s="1"/>
  <c r="I16" i="6"/>
  <c r="AV71" i="6"/>
  <c r="AI71" i="6"/>
  <c r="BG71" i="6"/>
  <c r="T69" i="6"/>
  <c r="I28" i="6"/>
  <c r="T7" i="6" a="1"/>
  <c r="T7" i="6" s="1"/>
  <c r="T42" i="6"/>
  <c r="T36" i="6"/>
  <c r="U4" i="6"/>
  <c r="AA71" i="6"/>
  <c r="AQ71" i="6"/>
  <c r="AY71" i="6"/>
  <c r="BO71" i="6"/>
  <c r="AB69" i="6"/>
  <c r="AB70" i="6" s="1"/>
  <c r="AJ69" i="6"/>
  <c r="AJ70" i="6" s="1"/>
  <c r="AR69" i="6"/>
  <c r="AR70" i="6" s="1"/>
  <c r="AZ69" i="6"/>
  <c r="AZ70" i="6" s="1"/>
  <c r="BH69" i="6"/>
  <c r="BH70" i="6" s="1"/>
  <c r="AB71" i="6"/>
  <c r="AJ71" i="6"/>
  <c r="U69" i="6"/>
  <c r="U70" i="6" s="1"/>
  <c r="AC69" i="6"/>
  <c r="AC70" i="6" s="1"/>
  <c r="AK69" i="6"/>
  <c r="AK70" i="6" s="1"/>
  <c r="AS69" i="6"/>
  <c r="AS70" i="6" s="1"/>
  <c r="BA69" i="6"/>
  <c r="BA70" i="6" s="1"/>
  <c r="BI69" i="6"/>
  <c r="BI70" i="6" s="1"/>
  <c r="T37" i="6" a="1"/>
  <c r="T37" i="6" s="1"/>
  <c r="V56" i="6"/>
  <c r="Z71" i="6"/>
  <c r="AH71" i="6"/>
  <c r="AP71" i="6"/>
  <c r="AX71" i="6"/>
  <c r="BF71" i="6"/>
  <c r="BN71" i="6"/>
  <c r="Z69" i="6"/>
  <c r="Z70" i="6" s="1"/>
  <c r="AH69" i="6"/>
  <c r="AH70" i="6" s="1"/>
  <c r="AP69" i="6"/>
  <c r="AP70" i="6" s="1"/>
  <c r="AX69" i="6"/>
  <c r="AX70" i="6" s="1"/>
  <c r="BF69" i="6"/>
  <c r="BF70" i="6" s="1"/>
  <c r="BN69" i="6"/>
  <c r="BN70" i="6" s="1"/>
  <c r="T71" i="6"/>
  <c r="AR71" i="6"/>
  <c r="AZ71" i="6"/>
  <c r="BH71" i="6"/>
  <c r="U23" i="6"/>
  <c r="AC23" i="6"/>
  <c r="AK23" i="6"/>
  <c r="AS23" i="6"/>
  <c r="BA23" i="6"/>
  <c r="AA69" i="6"/>
  <c r="AA70" i="6" s="1"/>
  <c r="AI69" i="6"/>
  <c r="AI70" i="6" s="1"/>
  <c r="AQ69" i="6"/>
  <c r="AQ70" i="6" s="1"/>
  <c r="AY69" i="6"/>
  <c r="AY70" i="6" s="1"/>
  <c r="BG69" i="6"/>
  <c r="BG70" i="6" s="1"/>
  <c r="BO69" i="6"/>
  <c r="BO70" i="6" s="1"/>
  <c r="T65" i="6" l="1"/>
  <c r="W37" i="6" a="1"/>
  <c r="W37" i="6" s="1"/>
  <c r="W55" i="6" s="1"/>
  <c r="W38" i="6" a="1"/>
  <c r="W38" i="6" s="1"/>
  <c r="W41" i="6" a="1"/>
  <c r="W41" i="6" s="1"/>
  <c r="X5" i="6"/>
  <c r="AI12" i="6"/>
  <c r="AU12" i="6" s="1"/>
  <c r="BG12" i="6" s="1"/>
  <c r="X12" i="6"/>
  <c r="T57" i="6"/>
  <c r="T47" i="6"/>
  <c r="T54" i="6"/>
  <c r="T48" i="6"/>
  <c r="T9" i="6"/>
  <c r="I71" i="6"/>
  <c r="I34" i="6"/>
  <c r="T40" i="6"/>
  <c r="T35" i="6"/>
  <c r="T53" i="6"/>
  <c r="I52" i="6"/>
  <c r="I69" i="6"/>
  <c r="T70" i="6"/>
  <c r="I70" i="6" s="1"/>
  <c r="U41" i="6" a="1"/>
  <c r="U41" i="6" s="1"/>
  <c r="U39" i="6"/>
  <c r="U57" i="6" s="1"/>
  <c r="U42" i="6"/>
  <c r="U10" i="6"/>
  <c r="V4" i="6"/>
  <c r="U7" i="6" a="1"/>
  <c r="U7" i="6" s="1"/>
  <c r="U36" i="6"/>
  <c r="U11" i="6"/>
  <c r="U8" i="6" s="1"/>
  <c r="AJ12" i="6" l="1"/>
  <c r="AV12" i="6" s="1"/>
  <c r="BH12" i="6" s="1"/>
  <c r="Y12" i="6"/>
  <c r="T43" i="6"/>
  <c r="T64" i="6"/>
  <c r="T46" i="6"/>
  <c r="U34" i="6"/>
  <c r="U54" i="6"/>
  <c r="U47" i="6"/>
  <c r="U48" i="6"/>
  <c r="T58" i="6"/>
  <c r="V7" i="6" a="1"/>
  <c r="V7" i="6" s="1"/>
  <c r="V42" i="6"/>
  <c r="W4" i="6"/>
  <c r="V10" i="6"/>
  <c r="V11" i="6"/>
  <c r="V8" i="6" s="1"/>
  <c r="V9" i="6" s="1"/>
  <c r="X39" i="6"/>
  <c r="W56" i="6"/>
  <c r="U9" i="6"/>
  <c r="Y5" i="6"/>
  <c r="X38" i="6" a="1"/>
  <c r="X38" i="6" s="1"/>
  <c r="X37" i="6" a="1"/>
  <c r="X37" i="6" s="1"/>
  <c r="X55" i="6" s="1"/>
  <c r="T76" i="6" l="1"/>
  <c r="T75" i="6"/>
  <c r="T77" i="6"/>
  <c r="T74" i="6"/>
  <c r="I74" i="6" s="1"/>
  <c r="Z5" i="6"/>
  <c r="Y38" i="6" a="1"/>
  <c r="Y38" i="6" s="1"/>
  <c r="Y41" i="6" s="1" a="1"/>
  <c r="Y41" i="6" s="1"/>
  <c r="Y37" i="6" a="1"/>
  <c r="Y37" i="6" s="1"/>
  <c r="X4" i="6"/>
  <c r="W42" i="6"/>
  <c r="W36" i="6" s="1"/>
  <c r="W10" i="6"/>
  <c r="W7" i="6" a="1"/>
  <c r="W7" i="6" s="1"/>
  <c r="W11" i="6"/>
  <c r="W8" i="6" s="1"/>
  <c r="W9" i="6" s="1"/>
  <c r="Z12" i="6"/>
  <c r="AK12" i="6"/>
  <c r="AW12" i="6" s="1"/>
  <c r="BI12" i="6" s="1"/>
  <c r="V36" i="6"/>
  <c r="X41" i="6" a="1"/>
  <c r="X41" i="6" s="1"/>
  <c r="X56" i="6"/>
  <c r="Y39" i="6"/>
  <c r="Y57" i="6" s="1"/>
  <c r="X57" i="6"/>
  <c r="T61" i="6"/>
  <c r="T66" i="6"/>
  <c r="U52" i="6"/>
  <c r="U53" i="6" s="1"/>
  <c r="U58" i="6" s="1"/>
  <c r="U65" i="6"/>
  <c r="U40" i="6"/>
  <c r="U35" i="6"/>
  <c r="U66" i="6" l="1"/>
  <c r="U61" i="6"/>
  <c r="V52" i="6"/>
  <c r="V53" i="6" s="1"/>
  <c r="V65" i="6"/>
  <c r="W47" i="6"/>
  <c r="W54" i="6"/>
  <c r="W48" i="6"/>
  <c r="X42" i="6"/>
  <c r="X36" i="6" s="1"/>
  <c r="X11" i="6"/>
  <c r="X8" i="6" s="1"/>
  <c r="X7" i="6" a="1"/>
  <c r="X7" i="6" s="1"/>
  <c r="X10" i="6"/>
  <c r="Y4" i="6"/>
  <c r="AA12" i="6"/>
  <c r="AL12" i="6"/>
  <c r="AX12" i="6" s="1"/>
  <c r="BJ12" i="6" s="1"/>
  <c r="Y55" i="6"/>
  <c r="V54" i="6"/>
  <c r="V47" i="6"/>
  <c r="V48" i="6"/>
  <c r="Z39" i="6"/>
  <c r="Z57" i="6" s="1"/>
  <c r="Y56" i="6"/>
  <c r="U64" i="6"/>
  <c r="U46" i="6"/>
  <c r="U43" i="6"/>
  <c r="V34" i="6"/>
  <c r="Z38" i="6" a="1"/>
  <c r="Z38" i="6" s="1"/>
  <c r="Z37" i="6" a="1"/>
  <c r="Z37" i="6" s="1"/>
  <c r="Z55" i="6" s="1"/>
  <c r="AA5" i="6"/>
  <c r="X54" i="6" l="1"/>
  <c r="X47" i="6"/>
  <c r="X48" i="6"/>
  <c r="V40" i="6"/>
  <c r="V35" i="6"/>
  <c r="AA38" i="6" a="1"/>
  <c r="AA38" i="6" s="1"/>
  <c r="AA37" i="6" a="1"/>
  <c r="AA37" i="6" s="1"/>
  <c r="AA41" i="6" s="1" a="1"/>
  <c r="AA41" i="6" s="1"/>
  <c r="AB5" i="6"/>
  <c r="AA39" i="6"/>
  <c r="AA57" i="6" s="1"/>
  <c r="Z56" i="6"/>
  <c r="Y11" i="6"/>
  <c r="Y8" i="6" s="1"/>
  <c r="Y9" i="6" s="1"/>
  <c r="Y10" i="6"/>
  <c r="Y42" i="6"/>
  <c r="Z4" i="6"/>
  <c r="Y7" i="6" a="1"/>
  <c r="Y7" i="6" s="1"/>
  <c r="Y36" i="6"/>
  <c r="U75" i="6"/>
  <c r="U74" i="6"/>
  <c r="U77" i="6"/>
  <c r="U76" i="6"/>
  <c r="U49" i="6"/>
  <c r="Z41" i="6" a="1"/>
  <c r="Z41" i="6" s="1"/>
  <c r="V58" i="6"/>
  <c r="X9" i="6"/>
  <c r="AM12" i="6"/>
  <c r="AY12" i="6" s="1"/>
  <c r="BK12" i="6" s="1"/>
  <c r="AB12" i="6"/>
  <c r="V61" i="6" l="1"/>
  <c r="V66" i="6"/>
  <c r="W52" i="6"/>
  <c r="W53" i="6" s="1"/>
  <c r="W65" i="6"/>
  <c r="Y54" i="6"/>
  <c r="Y47" i="6"/>
  <c r="Y48" i="6"/>
  <c r="AN12" i="6"/>
  <c r="AZ12" i="6" s="1"/>
  <c r="BL12" i="6" s="1"/>
  <c r="AC12" i="6"/>
  <c r="AB37" i="6" a="1"/>
  <c r="AB37" i="6" s="1"/>
  <c r="AB55" i="6" s="1"/>
  <c r="AB38" i="6" a="1"/>
  <c r="AB38" i="6" s="1"/>
  <c r="AC5" i="6"/>
  <c r="AA55" i="6"/>
  <c r="V49" i="6"/>
  <c r="AB39" i="6"/>
  <c r="AB57" i="6" s="1"/>
  <c r="AA56" i="6"/>
  <c r="V64" i="6"/>
  <c r="V46" i="6"/>
  <c r="V43" i="6"/>
  <c r="W34" i="6"/>
  <c r="Z42" i="6"/>
  <c r="Z36" i="6" s="1"/>
  <c r="Z7" i="6" a="1"/>
  <c r="Z7" i="6" s="1"/>
  <c r="AA4" i="6"/>
  <c r="Z11" i="6"/>
  <c r="Z8" i="6" s="1"/>
  <c r="Z10" i="6"/>
  <c r="Z54" i="6" l="1"/>
  <c r="Z47" i="6"/>
  <c r="Z48" i="6"/>
  <c r="W40" i="6"/>
  <c r="W35" i="6"/>
  <c r="W58" i="6"/>
  <c r="AB41" i="6" a="1"/>
  <c r="AB41" i="6" s="1"/>
  <c r="V74" i="6"/>
  <c r="V76" i="6"/>
  <c r="V77" i="6"/>
  <c r="V75" i="6"/>
  <c r="AC38" i="6" a="1"/>
  <c r="AC38" i="6" s="1"/>
  <c r="AC37" i="6" a="1"/>
  <c r="AC37" i="6" s="1"/>
  <c r="AC55" i="6" s="1"/>
  <c r="AD5" i="6"/>
  <c r="Z9" i="6"/>
  <c r="AO12" i="6"/>
  <c r="BA12" i="6" s="1"/>
  <c r="BM12" i="6" s="1"/>
  <c r="AD12" i="6"/>
  <c r="AA42" i="6"/>
  <c r="AA36" i="6" s="1"/>
  <c r="AA11" i="6"/>
  <c r="AA8" i="6" s="1"/>
  <c r="AA7" i="6" a="1"/>
  <c r="AA7" i="6" s="1"/>
  <c r="AA10" i="6"/>
  <c r="AB4" i="6"/>
  <c r="AC39" i="6"/>
  <c r="AC57" i="6" s="1"/>
  <c r="AB56" i="6"/>
  <c r="AA54" i="6" l="1"/>
  <c r="AA47" i="6"/>
  <c r="AA48" i="6"/>
  <c r="W61" i="6"/>
  <c r="W66" i="6"/>
  <c r="X52" i="6"/>
  <c r="X53" i="6" s="1"/>
  <c r="X58" i="6" s="1"/>
  <c r="X65" i="6"/>
  <c r="AP12" i="6"/>
  <c r="BB12" i="6" s="1"/>
  <c r="BN12" i="6" s="1"/>
  <c r="AE12" i="6"/>
  <c r="AQ12" i="6" s="1"/>
  <c r="BC12" i="6" s="1"/>
  <c r="BO12" i="6" s="1"/>
  <c r="AD39" i="6"/>
  <c r="AD57" i="6" s="1"/>
  <c r="AC56" i="6"/>
  <c r="AB11" i="6"/>
  <c r="AB8" i="6" s="1"/>
  <c r="AB42" i="6"/>
  <c r="AB36" i="6" s="1"/>
  <c r="AB7" i="6" a="1"/>
  <c r="AB7" i="6" s="1"/>
  <c r="AC4" i="6"/>
  <c r="AB10" i="6"/>
  <c r="AD38" i="6" a="1"/>
  <c r="AD38" i="6" s="1"/>
  <c r="AD37" i="6" a="1"/>
  <c r="AD37" i="6" s="1"/>
  <c r="AD55" i="6" s="1"/>
  <c r="AE5" i="6"/>
  <c r="AA9" i="6"/>
  <c r="AC41" i="6" a="1"/>
  <c r="AC41" i="6" s="1"/>
  <c r="W43" i="6"/>
  <c r="W46" i="6"/>
  <c r="W64" i="6"/>
  <c r="X34" i="6"/>
  <c r="AB47" i="6" l="1"/>
  <c r="AB54" i="6"/>
  <c r="AB48" i="6"/>
  <c r="W75" i="6"/>
  <c r="W77" i="6"/>
  <c r="W74" i="6"/>
  <c r="W76" i="6"/>
  <c r="W49" i="6"/>
  <c r="AB9" i="6"/>
  <c r="X61" i="6"/>
  <c r="X66" i="6"/>
  <c r="Y52" i="6"/>
  <c r="Y53" i="6" s="1"/>
  <c r="Y58" i="6" s="1"/>
  <c r="Y65" i="6"/>
  <c r="AD41" i="6" a="1"/>
  <c r="AD41" i="6" s="1"/>
  <c r="AE39" i="6"/>
  <c r="AE57" i="6" s="1"/>
  <c r="AD56" i="6"/>
  <c r="X40" i="6"/>
  <c r="X35" i="6"/>
  <c r="AE38" i="6" a="1"/>
  <c r="AE38" i="6" s="1"/>
  <c r="AE37" i="6" a="1"/>
  <c r="AE37" i="6" s="1"/>
  <c r="AE55" i="6" s="1"/>
  <c r="AF5" i="6"/>
  <c r="AC42" i="6"/>
  <c r="AC7" i="6" a="1"/>
  <c r="AC7" i="6" s="1"/>
  <c r="AC36" i="6"/>
  <c r="AC10" i="6"/>
  <c r="AD4" i="6"/>
  <c r="AC11" i="6"/>
  <c r="AC8" i="6" s="1"/>
  <c r="AC9" i="6" s="1"/>
  <c r="AC54" i="6" l="1"/>
  <c r="AC47" i="6"/>
  <c r="AC48" i="6"/>
  <c r="Y66" i="6"/>
  <c r="Y61" i="6"/>
  <c r="Z52" i="6"/>
  <c r="Z53" i="6" s="1"/>
  <c r="Z58" i="6" s="1"/>
  <c r="Z65" i="6"/>
  <c r="AG5" i="6"/>
  <c r="AF37" i="6" a="1"/>
  <c r="AF37" i="6" s="1"/>
  <c r="AF55" i="6" s="1"/>
  <c r="AF38" i="6" a="1"/>
  <c r="AF38" i="6" s="1"/>
  <c r="X64" i="6"/>
  <c r="X46" i="6"/>
  <c r="X43" i="6"/>
  <c r="Y34" i="6"/>
  <c r="AF39" i="6"/>
  <c r="AF57" i="6" s="1"/>
  <c r="AE56" i="6"/>
  <c r="AD7" i="6" a="1"/>
  <c r="AD7" i="6" s="1"/>
  <c r="AD10" i="6"/>
  <c r="AD42" i="6"/>
  <c r="AE4" i="6"/>
  <c r="AD36" i="6"/>
  <c r="AD11" i="6"/>
  <c r="AD8" i="6" s="1"/>
  <c r="AD9" i="6" s="1"/>
  <c r="AE41" i="6" a="1"/>
  <c r="AE41" i="6" s="1"/>
  <c r="X49" i="6"/>
  <c r="AF56" i="6" l="1"/>
  <c r="AG39" i="6"/>
  <c r="AG57" i="6" s="1"/>
  <c r="AF41" i="6" a="1"/>
  <c r="AF41" i="6" s="1"/>
  <c r="X74" i="6"/>
  <c r="X75" i="6"/>
  <c r="X76" i="6"/>
  <c r="X77" i="6"/>
  <c r="AG38" i="6" a="1"/>
  <c r="AG38" i="6" s="1"/>
  <c r="AG37" i="6" a="1"/>
  <c r="AG37" i="6" s="1"/>
  <c r="AG55" i="6" s="1"/>
  <c r="AH5" i="6"/>
  <c r="Z66" i="6"/>
  <c r="Z61" i="6"/>
  <c r="AA52" i="6"/>
  <c r="AA53" i="6" s="1"/>
  <c r="AA58" i="6" s="1"/>
  <c r="AA65" i="6"/>
  <c r="AD47" i="6"/>
  <c r="AD54" i="6"/>
  <c r="AD48" i="6"/>
  <c r="AF4" i="6"/>
  <c r="AE42" i="6"/>
  <c r="AE36" i="6" s="1"/>
  <c r="AE10" i="6"/>
  <c r="AE7" i="6" a="1"/>
  <c r="AE7" i="6" s="1"/>
  <c r="AE11" i="6"/>
  <c r="AE8" i="6" s="1"/>
  <c r="AE9" i="6" s="1"/>
  <c r="Y35" i="6"/>
  <c r="Y40" i="6"/>
  <c r="AE47" i="6" l="1"/>
  <c r="AE54" i="6"/>
  <c r="AE48" i="6"/>
  <c r="Y46" i="6"/>
  <c r="Y64" i="6"/>
  <c r="Y43" i="6"/>
  <c r="Z34" i="6"/>
  <c r="AH38" i="6" a="1"/>
  <c r="AH38" i="6" s="1"/>
  <c r="AH37" i="6" a="1"/>
  <c r="AH37" i="6" s="1"/>
  <c r="AH55" i="6" s="1"/>
  <c r="AI5" i="6"/>
  <c r="AA66" i="6"/>
  <c r="AA61" i="6"/>
  <c r="AB52" i="6"/>
  <c r="AB53" i="6" s="1"/>
  <c r="AB58" i="6" s="1"/>
  <c r="AB65" i="6"/>
  <c r="AH39" i="6"/>
  <c r="AH57" i="6" s="1"/>
  <c r="AG56" i="6"/>
  <c r="AG41" i="6" a="1"/>
  <c r="AG41" i="6" s="1"/>
  <c r="AF42" i="6"/>
  <c r="AF36" i="6" s="1"/>
  <c r="AF7" i="6" a="1"/>
  <c r="AF7" i="6" s="1"/>
  <c r="AF10" i="6"/>
  <c r="AG4" i="6"/>
  <c r="AF11" i="6"/>
  <c r="AF8" i="6" s="1"/>
  <c r="AF54" i="6" l="1"/>
  <c r="AF47" i="6"/>
  <c r="AF48" i="6"/>
  <c r="AI39" i="6"/>
  <c r="AI57" i="6" s="1"/>
  <c r="AH56" i="6"/>
  <c r="Z40" i="6"/>
  <c r="Z35" i="6"/>
  <c r="AI38" i="6" a="1"/>
  <c r="AI38" i="6" s="1"/>
  <c r="AI37" i="6" a="1"/>
  <c r="AI37" i="6" s="1"/>
  <c r="AI55" i="6" s="1"/>
  <c r="AJ5" i="6"/>
  <c r="Y74" i="6"/>
  <c r="Y75" i="6"/>
  <c r="Y76" i="6"/>
  <c r="Y77" i="6"/>
  <c r="Y49" i="6"/>
  <c r="AF9" i="6"/>
  <c r="AH41" i="6" a="1"/>
  <c r="AH41" i="6" s="1"/>
  <c r="AG11" i="6"/>
  <c r="AG8" i="6" s="1"/>
  <c r="AG9" i="6" s="1"/>
  <c r="AG10" i="6"/>
  <c r="AG42" i="6"/>
  <c r="AG7" i="6" a="1"/>
  <c r="AG7" i="6" s="1"/>
  <c r="AH4" i="6"/>
  <c r="AG36" i="6"/>
  <c r="AB66" i="6"/>
  <c r="AB61" i="6"/>
  <c r="AC52" i="6"/>
  <c r="AC53" i="6" s="1"/>
  <c r="AC58" i="6" s="1"/>
  <c r="AC65" i="6"/>
  <c r="Z64" i="6" l="1"/>
  <c r="Z46" i="6"/>
  <c r="Z43" i="6"/>
  <c r="AA34" i="6"/>
  <c r="AC66" i="6"/>
  <c r="AC61" i="6"/>
  <c r="AD52" i="6"/>
  <c r="AD53" i="6" s="1"/>
  <c r="AD58" i="6" s="1"/>
  <c r="AD65" i="6"/>
  <c r="AJ38" i="6" a="1"/>
  <c r="AJ38" i="6" s="1"/>
  <c r="AJ37" i="6" a="1"/>
  <c r="AJ37" i="6" s="1"/>
  <c r="AJ55" i="6" s="1"/>
  <c r="AK5" i="6"/>
  <c r="AG54" i="6"/>
  <c r="AG47" i="6"/>
  <c r="AG48" i="6"/>
  <c r="AH36" i="6"/>
  <c r="AH7" i="6" a="1"/>
  <c r="AH7" i="6" s="1"/>
  <c r="AH10" i="6"/>
  <c r="AH11" i="6"/>
  <c r="AH8" i="6" s="1"/>
  <c r="AH9" i="6" s="1"/>
  <c r="AH42" i="6"/>
  <c r="AI4" i="6"/>
  <c r="AI41" i="6" a="1"/>
  <c r="AI41" i="6" s="1"/>
  <c r="AJ39" i="6"/>
  <c r="AJ57" i="6" s="1"/>
  <c r="AI56" i="6"/>
  <c r="AK37" i="6" l="1" a="1"/>
  <c r="AK37" i="6" s="1"/>
  <c r="AK55" i="6" s="1"/>
  <c r="AL5" i="6"/>
  <c r="AK38" i="6" a="1"/>
  <c r="AK38" i="6" s="1"/>
  <c r="AD61" i="6"/>
  <c r="AD66" i="6"/>
  <c r="AE52" i="6"/>
  <c r="AE53" i="6" s="1"/>
  <c r="AE58" i="6" s="1"/>
  <c r="AE65" i="6"/>
  <c r="AH54" i="6"/>
  <c r="AH47" i="6"/>
  <c r="AH48" i="6"/>
  <c r="AJ41" i="6" a="1"/>
  <c r="AJ41" i="6" s="1"/>
  <c r="AA35" i="6"/>
  <c r="AA40" i="6"/>
  <c r="AI42" i="6"/>
  <c r="AJ4" i="6"/>
  <c r="AI11" i="6"/>
  <c r="AI8" i="6" s="1"/>
  <c r="AI9" i="6" s="1"/>
  <c r="AI36" i="6"/>
  <c r="AI7" i="6" a="1"/>
  <c r="AI7" i="6" s="1"/>
  <c r="AI10" i="6"/>
  <c r="AK39" i="6"/>
  <c r="AK57" i="6" s="1"/>
  <c r="AJ56" i="6"/>
  <c r="Z77" i="6"/>
  <c r="Z75" i="6"/>
  <c r="Z76" i="6"/>
  <c r="Z74" i="6"/>
  <c r="Z49" i="6"/>
  <c r="AI54" i="6" l="1"/>
  <c r="AI47" i="6"/>
  <c r="AI48" i="6"/>
  <c r="AL39" i="6"/>
  <c r="AL57" i="6" s="1"/>
  <c r="AK56" i="6"/>
  <c r="AL38" i="6" a="1"/>
  <c r="AL38" i="6" s="1"/>
  <c r="AM5" i="6"/>
  <c r="AL37" i="6" a="1"/>
  <c r="AL37" i="6" s="1"/>
  <c r="AL55" i="6" s="1"/>
  <c r="AK41" i="6" a="1"/>
  <c r="AK41" i="6" s="1"/>
  <c r="AJ42" i="6"/>
  <c r="AJ36" i="6" s="1"/>
  <c r="AJ11" i="6"/>
  <c r="AJ8" i="6" s="1"/>
  <c r="AJ7" i="6" a="1"/>
  <c r="AJ7" i="6" s="1"/>
  <c r="AJ10" i="6"/>
  <c r="AK4" i="6"/>
  <c r="AA64" i="6"/>
  <c r="AA46" i="6"/>
  <c r="AA43" i="6"/>
  <c r="AB34" i="6"/>
  <c r="AE66" i="6"/>
  <c r="AE61" i="6"/>
  <c r="AF52" i="6"/>
  <c r="AF53" i="6" s="1"/>
  <c r="AF58" i="6" s="1"/>
  <c r="AF65" i="6"/>
  <c r="AJ54" i="6" l="1"/>
  <c r="AJ47" i="6"/>
  <c r="AJ48" i="6"/>
  <c r="AA77" i="6"/>
  <c r="AA76" i="6"/>
  <c r="AA75" i="6"/>
  <c r="AA74" i="6"/>
  <c r="AM39" i="6"/>
  <c r="AM57" i="6" s="1"/>
  <c r="AL56" i="6"/>
  <c r="AK42" i="6"/>
  <c r="AK36" i="6" s="1"/>
  <c r="AK11" i="6"/>
  <c r="AK8" i="6" s="1"/>
  <c r="AK9" i="6" s="1"/>
  <c r="AK7" i="6" a="1"/>
  <c r="AK7" i="6" s="1"/>
  <c r="AL4" i="6"/>
  <c r="AK10" i="6"/>
  <c r="AM41" i="6" a="1"/>
  <c r="AM41" i="6" s="1"/>
  <c r="AM37" i="6" a="1"/>
  <c r="AM37" i="6" s="1"/>
  <c r="AM55" i="6" s="1"/>
  <c r="AM38" i="6" a="1"/>
  <c r="AM38" i="6" s="1"/>
  <c r="AN5" i="6"/>
  <c r="AA49" i="6"/>
  <c r="AF66" i="6"/>
  <c r="AF61" i="6"/>
  <c r="AG52" i="6"/>
  <c r="AG53" i="6" s="1"/>
  <c r="AG58" i="6" s="1"/>
  <c r="AG65" i="6"/>
  <c r="AJ9" i="6"/>
  <c r="AB40" i="6"/>
  <c r="AB35" i="6"/>
  <c r="AL41" i="6" a="1"/>
  <c r="AL41" i="6" s="1"/>
  <c r="AK54" i="6" l="1"/>
  <c r="AK47" i="6"/>
  <c r="AK48" i="6"/>
  <c r="AL7" i="6" a="1"/>
  <c r="AL7" i="6" s="1"/>
  <c r="AL36" i="6"/>
  <c r="AL42" i="6"/>
  <c r="AL11" i="6"/>
  <c r="AL8" i="6" s="1"/>
  <c r="AL10" i="6"/>
  <c r="AM4" i="6"/>
  <c r="AO5" i="6"/>
  <c r="AN38" i="6" a="1"/>
  <c r="AN38" i="6" s="1"/>
  <c r="AN41" i="6" a="1"/>
  <c r="AN41" i="6" s="1"/>
  <c r="AN37" i="6" a="1"/>
  <c r="AN37" i="6" s="1"/>
  <c r="AN55" i="6" s="1"/>
  <c r="AB43" i="6"/>
  <c r="AB64" i="6"/>
  <c r="AB46" i="6"/>
  <c r="AC34" i="6"/>
  <c r="AG61" i="6"/>
  <c r="AG66" i="6"/>
  <c r="AH52" i="6"/>
  <c r="AH53" i="6" s="1"/>
  <c r="AH58" i="6" s="1"/>
  <c r="AH65" i="6"/>
  <c r="AN39" i="6"/>
  <c r="AN57" i="6" s="1"/>
  <c r="AM56" i="6"/>
  <c r="AL54" i="6" l="1"/>
  <c r="AL47" i="6"/>
  <c r="AL48" i="6"/>
  <c r="AH66" i="6"/>
  <c r="AH61" i="6"/>
  <c r="AI52" i="6"/>
  <c r="AI53" i="6" s="1"/>
  <c r="AI58" i="6" s="1"/>
  <c r="AI65" i="6"/>
  <c r="AL9" i="6"/>
  <c r="AO39" i="6"/>
  <c r="AO57" i="6" s="1"/>
  <c r="AN56" i="6"/>
  <c r="AC40" i="6"/>
  <c r="AC35" i="6"/>
  <c r="AB76" i="6"/>
  <c r="AB75" i="6"/>
  <c r="AB74" i="6"/>
  <c r="AB77" i="6"/>
  <c r="AO38" i="6" a="1"/>
  <c r="AO38" i="6" s="1"/>
  <c r="AO37" i="6" a="1"/>
  <c r="AO37" i="6" s="1"/>
  <c r="AO55" i="6" s="1"/>
  <c r="AO41" i="6" a="1"/>
  <c r="AO41" i="6" s="1"/>
  <c r="AP5" i="6"/>
  <c r="AB49" i="6"/>
  <c r="AN4" i="6"/>
  <c r="AM10" i="6"/>
  <c r="AM36" i="6"/>
  <c r="AM42" i="6"/>
  <c r="AM7" i="6" a="1"/>
  <c r="AM7" i="6" s="1"/>
  <c r="AM11" i="6"/>
  <c r="AM8" i="6" s="1"/>
  <c r="AI66" i="6" l="1"/>
  <c r="AI61" i="6"/>
  <c r="AJ52" i="6"/>
  <c r="AJ53" i="6" s="1"/>
  <c r="AJ58" i="6" s="1"/>
  <c r="AJ65" i="6"/>
  <c r="AM47" i="6"/>
  <c r="AM54" i="6"/>
  <c r="AM48" i="6"/>
  <c r="AM9" i="6"/>
  <c r="AP38" i="6" a="1"/>
  <c r="AP38" i="6" s="1"/>
  <c r="AP37" i="6" a="1"/>
  <c r="AP37" i="6" s="1"/>
  <c r="AP55" i="6" s="1"/>
  <c r="AP41" i="6" a="1"/>
  <c r="AP41" i="6" s="1"/>
  <c r="AQ5" i="6"/>
  <c r="AC64" i="6"/>
  <c r="AC46" i="6"/>
  <c r="AC43" i="6"/>
  <c r="AD34" i="6"/>
  <c r="AN42" i="6"/>
  <c r="AN36" i="6" s="1"/>
  <c r="AO4" i="6"/>
  <c r="AN10" i="6"/>
  <c r="AN11" i="6"/>
  <c r="AN8" i="6" s="1"/>
  <c r="AN9" i="6" s="1"/>
  <c r="AN7" i="6" a="1"/>
  <c r="AN7" i="6" s="1"/>
  <c r="AP39" i="6"/>
  <c r="AP57" i="6" s="1"/>
  <c r="AO56" i="6"/>
  <c r="AC49" i="6"/>
  <c r="AN47" i="6" l="1"/>
  <c r="AN54" i="6"/>
  <c r="AN48" i="6"/>
  <c r="AQ37" i="6" a="1"/>
  <c r="AQ37" i="6" s="1"/>
  <c r="AQ55" i="6" s="1"/>
  <c r="AR5" i="6"/>
  <c r="AQ38" i="6" a="1"/>
  <c r="AQ38" i="6" s="1"/>
  <c r="AD40" i="6"/>
  <c r="AD35" i="6"/>
  <c r="AO11" i="6"/>
  <c r="AO8" i="6" s="1"/>
  <c r="AO9" i="6" s="1"/>
  <c r="AO10" i="6"/>
  <c r="AO42" i="6"/>
  <c r="AP4" i="6"/>
  <c r="AO7" i="6" a="1"/>
  <c r="AO7" i="6" s="1"/>
  <c r="AO36" i="6"/>
  <c r="AJ66" i="6"/>
  <c r="AJ61" i="6"/>
  <c r="AK52" i="6"/>
  <c r="AK53" i="6" s="1"/>
  <c r="AK58" i="6" s="1"/>
  <c r="AK65" i="6"/>
  <c r="AC75" i="6"/>
  <c r="AC74" i="6"/>
  <c r="AC77" i="6"/>
  <c r="AC76" i="6"/>
  <c r="AQ39" i="6"/>
  <c r="AQ57" i="6" s="1"/>
  <c r="AP56" i="6"/>
  <c r="AK66" i="6" l="1"/>
  <c r="AK61" i="6"/>
  <c r="AL52" i="6"/>
  <c r="AL53" i="6" s="1"/>
  <c r="AL58" i="6" s="1"/>
  <c r="AL65" i="6"/>
  <c r="AQ41" i="6" a="1"/>
  <c r="AQ41" i="6" s="1"/>
  <c r="AD64" i="6"/>
  <c r="AD46" i="6"/>
  <c r="AD43" i="6"/>
  <c r="AE34" i="6"/>
  <c r="AO54" i="6"/>
  <c r="AO47" i="6"/>
  <c r="AO48" i="6"/>
  <c r="AP7" i="6" a="1"/>
  <c r="AP7" i="6" s="1"/>
  <c r="AP42" i="6"/>
  <c r="AP36" i="6" s="1"/>
  <c r="AQ4" i="6"/>
  <c r="AP10" i="6"/>
  <c r="AP11" i="6"/>
  <c r="AP8" i="6" s="1"/>
  <c r="AR39" i="6"/>
  <c r="AR57" i="6" s="1"/>
  <c r="AQ56" i="6"/>
  <c r="AR38" i="6" a="1"/>
  <c r="AR38" i="6" s="1"/>
  <c r="AS5" i="6"/>
  <c r="AR37" i="6" a="1"/>
  <c r="AR37" i="6" s="1"/>
  <c r="AR55" i="6" s="1"/>
  <c r="AR41" i="6" a="1"/>
  <c r="AR41" i="6" s="1"/>
  <c r="AP54" i="6" l="1"/>
  <c r="AP47" i="6"/>
  <c r="AP48" i="6"/>
  <c r="AD74" i="6"/>
  <c r="AD76" i="6"/>
  <c r="AD75" i="6"/>
  <c r="AD77" i="6"/>
  <c r="AD49" i="6"/>
  <c r="AL61" i="6"/>
  <c r="AL66" i="6"/>
  <c r="AM52" i="6"/>
  <c r="AM53" i="6" s="1"/>
  <c r="AM58" i="6" s="1"/>
  <c r="AM65" i="6"/>
  <c r="AS38" i="6" a="1"/>
  <c r="AS38" i="6" s="1"/>
  <c r="AS37" i="6" a="1"/>
  <c r="AS37" i="6" s="1"/>
  <c r="AS55" i="6" s="1"/>
  <c r="AT5" i="6"/>
  <c r="AP9" i="6"/>
  <c r="AS39" i="6"/>
  <c r="AS57" i="6" s="1"/>
  <c r="AR56" i="6"/>
  <c r="AE40" i="6"/>
  <c r="AE35" i="6"/>
  <c r="AQ42" i="6"/>
  <c r="AQ7" i="6" a="1"/>
  <c r="AQ7" i="6" s="1"/>
  <c r="AR4" i="6"/>
  <c r="AQ36" i="6"/>
  <c r="AQ10" i="6"/>
  <c r="AQ11" i="6"/>
  <c r="AQ8" i="6" s="1"/>
  <c r="AQ54" i="6" l="1"/>
  <c r="AQ47" i="6"/>
  <c r="AQ48" i="6"/>
  <c r="AT38" i="6" a="1"/>
  <c r="AT38" i="6" s="1"/>
  <c r="AT37" i="6" a="1"/>
  <c r="AT37" i="6" s="1"/>
  <c r="AT55" i="6" s="1"/>
  <c r="AU5" i="6"/>
  <c r="AM66" i="6"/>
  <c r="AM61" i="6"/>
  <c r="AN52" i="6"/>
  <c r="AN53" i="6" s="1"/>
  <c r="AN58" i="6" s="1"/>
  <c r="AN65" i="6"/>
  <c r="AS41" i="6" a="1"/>
  <c r="AS41" i="6" s="1"/>
  <c r="AE64" i="6"/>
  <c r="AE46" i="6"/>
  <c r="AE43" i="6"/>
  <c r="AF34" i="6"/>
  <c r="AQ9" i="6"/>
  <c r="AT39" i="6"/>
  <c r="AT57" i="6" s="1"/>
  <c r="AS56" i="6"/>
  <c r="AR42" i="6"/>
  <c r="AR36" i="6" s="1"/>
  <c r="AS4" i="6"/>
  <c r="AR10" i="6"/>
  <c r="AR7" i="6" a="1"/>
  <c r="AR7" i="6" s="1"/>
  <c r="AR11" i="6"/>
  <c r="AR8" i="6" s="1"/>
  <c r="AR9" i="6" s="1"/>
  <c r="AE49" i="6"/>
  <c r="AR47" i="6" l="1"/>
  <c r="AR54" i="6"/>
  <c r="AR48" i="6"/>
  <c r="AN66" i="6"/>
  <c r="AN61" i="6"/>
  <c r="AO52" i="6"/>
  <c r="AO53" i="6" s="1"/>
  <c r="AO58" i="6" s="1"/>
  <c r="AO65" i="6"/>
  <c r="AT41" i="6" a="1"/>
  <c r="AT41" i="6" s="1"/>
  <c r="AU39" i="6"/>
  <c r="AU57" i="6" s="1"/>
  <c r="AT56" i="6"/>
  <c r="AF40" i="6"/>
  <c r="AF35" i="6"/>
  <c r="AS42" i="6"/>
  <c r="AS36" i="6" s="1"/>
  <c r="AS11" i="6"/>
  <c r="AS8" i="6" s="1"/>
  <c r="AS9" i="6" s="1"/>
  <c r="AS7" i="6" a="1"/>
  <c r="AS7" i="6" s="1"/>
  <c r="AT4" i="6"/>
  <c r="AS10" i="6"/>
  <c r="AE75" i="6"/>
  <c r="AE76" i="6"/>
  <c r="AE77" i="6"/>
  <c r="AE74" i="6"/>
  <c r="AU38" i="6" a="1"/>
  <c r="AU38" i="6" s="1"/>
  <c r="AU41" i="6" s="1" a="1"/>
  <c r="AU41" i="6" s="1"/>
  <c r="AU37" i="6" a="1"/>
  <c r="AU37" i="6" s="1"/>
  <c r="AU55" i="6" s="1"/>
  <c r="AV5" i="6"/>
  <c r="AS54" i="6" l="1"/>
  <c r="AS47" i="6"/>
  <c r="AS48" i="6"/>
  <c r="AO66" i="6"/>
  <c r="AO61" i="6"/>
  <c r="AP52" i="6"/>
  <c r="AP53" i="6" s="1"/>
  <c r="AP58" i="6" s="1"/>
  <c r="AP65" i="6"/>
  <c r="AV41" i="6" a="1"/>
  <c r="AV41" i="6" s="1"/>
  <c r="AV37" i="6" a="1"/>
  <c r="AV37" i="6" s="1"/>
  <c r="AV55" i="6" s="1"/>
  <c r="AW5" i="6"/>
  <c r="AV38" i="6" a="1"/>
  <c r="AV38" i="6" s="1"/>
  <c r="AF43" i="6"/>
  <c r="AF46" i="6"/>
  <c r="AF64" i="6"/>
  <c r="AG34" i="6"/>
  <c r="AT7" i="6" a="1"/>
  <c r="AT7" i="6" s="1"/>
  <c r="AT11" i="6"/>
  <c r="AT8" i="6" s="1"/>
  <c r="AT9" i="6" s="1"/>
  <c r="AT42" i="6"/>
  <c r="AT36" i="6" s="1"/>
  <c r="AT10" i="6"/>
  <c r="AU4" i="6"/>
  <c r="AV39" i="6"/>
  <c r="AV57" i="6" s="1"/>
  <c r="AU56" i="6"/>
  <c r="AT54" i="6" l="1"/>
  <c r="AT47" i="6"/>
  <c r="AT48" i="6"/>
  <c r="AF74" i="6"/>
  <c r="AF75" i="6"/>
  <c r="AF76" i="6"/>
  <c r="AF77" i="6"/>
  <c r="AF49" i="6"/>
  <c r="AV56" i="6"/>
  <c r="AW39" i="6"/>
  <c r="AW57" i="6" s="1"/>
  <c r="AP66" i="6"/>
  <c r="AP61" i="6"/>
  <c r="AQ52" i="6"/>
  <c r="AQ53" i="6" s="1"/>
  <c r="AQ58" i="6" s="1"/>
  <c r="AQ65" i="6"/>
  <c r="AG40" i="6"/>
  <c r="AG35" i="6"/>
  <c r="AW38" i="6" a="1"/>
  <c r="AW38" i="6" s="1"/>
  <c r="AW41" i="6" s="1" a="1"/>
  <c r="AW41" i="6" s="1"/>
  <c r="AX5" i="6"/>
  <c r="AW37" i="6" a="1"/>
  <c r="AW37" i="6" s="1"/>
  <c r="AW55" i="6" s="1"/>
  <c r="AV4" i="6"/>
  <c r="AU42" i="6"/>
  <c r="AU36" i="6" s="1"/>
  <c r="AU11" i="6"/>
  <c r="AU8" i="6" s="1"/>
  <c r="AU7" i="6" a="1"/>
  <c r="AU7" i="6" s="1"/>
  <c r="AU10" i="6"/>
  <c r="AU47" i="6" l="1"/>
  <c r="AU54" i="6"/>
  <c r="AU48" i="6"/>
  <c r="AG46" i="6"/>
  <c r="AG64" i="6"/>
  <c r="AG43" i="6"/>
  <c r="AH34" i="6"/>
  <c r="AG49" i="6"/>
  <c r="AU9" i="6"/>
  <c r="AX38" i="6" a="1"/>
  <c r="AX38" i="6" s="1"/>
  <c r="AX37" i="6" a="1"/>
  <c r="AX37" i="6" s="1"/>
  <c r="AX55" i="6" s="1"/>
  <c r="AX41" i="6" a="1"/>
  <c r="AX41" i="6" s="1"/>
  <c r="AY5" i="6"/>
  <c r="AX39" i="6"/>
  <c r="AX57" i="6" s="1"/>
  <c r="AW56" i="6"/>
  <c r="AQ66" i="6"/>
  <c r="AQ61" i="6"/>
  <c r="AR52" i="6"/>
  <c r="AR53" i="6" s="1"/>
  <c r="AR58" i="6" s="1"/>
  <c r="AR65" i="6"/>
  <c r="AV10" i="6"/>
  <c r="AV36" i="6"/>
  <c r="AV42" i="6"/>
  <c r="AV11" i="6"/>
  <c r="AV8" i="6" s="1"/>
  <c r="AV7" i="6" a="1"/>
  <c r="AV7" i="6" s="1"/>
  <c r="AW4" i="6"/>
  <c r="AH35" i="6" l="1"/>
  <c r="AH40" i="6"/>
  <c r="AW11" i="6"/>
  <c r="AW8" i="6" s="1"/>
  <c r="AW10" i="6"/>
  <c r="AW42" i="6"/>
  <c r="AW36" i="6" s="1"/>
  <c r="AW7" i="6" a="1"/>
  <c r="AW7" i="6" s="1"/>
  <c r="AX4" i="6"/>
  <c r="AG76" i="6"/>
  <c r="AG77" i="6"/>
  <c r="AG74" i="6"/>
  <c r="AG75" i="6"/>
  <c r="AV47" i="6"/>
  <c r="AV54" i="6"/>
  <c r="AV48" i="6"/>
  <c r="AY38" i="6" a="1"/>
  <c r="AY38" i="6" s="1"/>
  <c r="AY41" i="6" s="1" a="1"/>
  <c r="AY41" i="6" s="1"/>
  <c r="AY37" i="6" a="1"/>
  <c r="AY37" i="6" s="1"/>
  <c r="AY55" i="6" s="1"/>
  <c r="AZ5" i="6"/>
  <c r="AR61" i="6"/>
  <c r="AR66" i="6"/>
  <c r="AS52" i="6"/>
  <c r="AS53" i="6" s="1"/>
  <c r="AS58" i="6" s="1"/>
  <c r="AS65" i="6"/>
  <c r="AV9" i="6"/>
  <c r="AY39" i="6"/>
  <c r="AY57" i="6" s="1"/>
  <c r="AX56" i="6"/>
  <c r="AW47" i="6" l="1"/>
  <c r="AW54" i="6"/>
  <c r="AW48" i="6"/>
  <c r="AX7" i="6" a="1"/>
  <c r="AX7" i="6" s="1"/>
  <c r="AX42" i="6"/>
  <c r="AX36" i="6" s="1"/>
  <c r="AY4" i="6"/>
  <c r="AX10" i="6"/>
  <c r="AX11" i="6"/>
  <c r="AX8" i="6" s="1"/>
  <c r="AZ38" i="6" a="1"/>
  <c r="AZ38" i="6" s="1"/>
  <c r="BA5" i="6"/>
  <c r="AZ37" i="6" a="1"/>
  <c r="AZ37" i="6" s="1"/>
  <c r="AZ55" i="6" s="1"/>
  <c r="AW9" i="6"/>
  <c r="AS66" i="6"/>
  <c r="AS61" i="6"/>
  <c r="AT52" i="6"/>
  <c r="AT53" i="6" s="1"/>
  <c r="AT58" i="6" s="1"/>
  <c r="AT65" i="6"/>
  <c r="AZ39" i="6"/>
  <c r="AZ57" i="6" s="1"/>
  <c r="AY56" i="6"/>
  <c r="AH64" i="6"/>
  <c r="AH43" i="6"/>
  <c r="AH46" i="6"/>
  <c r="AI34" i="6"/>
  <c r="AX54" i="6" l="1"/>
  <c r="AX47" i="6"/>
  <c r="AX48" i="6"/>
  <c r="AH77" i="6"/>
  <c r="AH74" i="6"/>
  <c r="AH75" i="6"/>
  <c r="AH76" i="6"/>
  <c r="AH49" i="6"/>
  <c r="AZ41" i="6" a="1"/>
  <c r="AZ41" i="6" s="1"/>
  <c r="AT61" i="6"/>
  <c r="AT66" i="6"/>
  <c r="AU52" i="6"/>
  <c r="AU53" i="6" s="1"/>
  <c r="AU58" i="6" s="1"/>
  <c r="AU65" i="6"/>
  <c r="BA37" i="6" a="1"/>
  <c r="BA37" i="6" s="1"/>
  <c r="BA55" i="6" s="1"/>
  <c r="BA38" i="6" a="1"/>
  <c r="BA38" i="6" s="1"/>
  <c r="BB5" i="6"/>
  <c r="BA39" i="6"/>
  <c r="BA57" i="6" s="1"/>
  <c r="AZ56" i="6"/>
  <c r="AY42" i="6"/>
  <c r="AY36" i="6" s="1"/>
  <c r="AZ4" i="6"/>
  <c r="AY10" i="6"/>
  <c r="AY11" i="6"/>
  <c r="AY8" i="6" s="1"/>
  <c r="AY9" i="6" s="1"/>
  <c r="AY7" i="6" a="1"/>
  <c r="AY7" i="6" s="1"/>
  <c r="AI40" i="6"/>
  <c r="AI35" i="6"/>
  <c r="AX9" i="6"/>
  <c r="AY54" i="6" l="1"/>
  <c r="AY47" i="6"/>
  <c r="AY48" i="6"/>
  <c r="AI64" i="6"/>
  <c r="AI46" i="6"/>
  <c r="AI49" i="6" s="1"/>
  <c r="AI43" i="6"/>
  <c r="AJ34" i="6"/>
  <c r="BB38" i="6" a="1"/>
  <c r="BB38" i="6" s="1"/>
  <c r="BB37" i="6" a="1"/>
  <c r="BB37" i="6" s="1"/>
  <c r="BB55" i="6" s="1"/>
  <c r="BC5" i="6"/>
  <c r="AU66" i="6"/>
  <c r="AU61" i="6"/>
  <c r="AV52" i="6"/>
  <c r="AV53" i="6" s="1"/>
  <c r="AV58" i="6" s="1"/>
  <c r="AV65" i="6"/>
  <c r="BA41" i="6" a="1"/>
  <c r="BA41" i="6" s="1"/>
  <c r="BB39" i="6"/>
  <c r="BB57" i="6" s="1"/>
  <c r="BA56" i="6"/>
  <c r="AZ7" i="6" a="1"/>
  <c r="AZ7" i="6" s="1"/>
  <c r="AZ42" i="6"/>
  <c r="BA4" i="6"/>
  <c r="AZ10" i="6"/>
  <c r="AZ36" i="6"/>
  <c r="AZ11" i="6"/>
  <c r="AZ8" i="6" s="1"/>
  <c r="BC38" i="6" l="1" a="1"/>
  <c r="BC38" i="6" s="1"/>
  <c r="BD5" i="6"/>
  <c r="BC37" i="6" a="1"/>
  <c r="BC37" i="6" s="1"/>
  <c r="BC55" i="6" s="1"/>
  <c r="AJ40" i="6"/>
  <c r="AJ35" i="6"/>
  <c r="AI77" i="6"/>
  <c r="AI76" i="6"/>
  <c r="AI74" i="6"/>
  <c r="AI75" i="6"/>
  <c r="AZ9" i="6"/>
  <c r="BB41" i="6" a="1"/>
  <c r="BB41" i="6" s="1"/>
  <c r="AZ54" i="6"/>
  <c r="AZ47" i="6"/>
  <c r="AZ48" i="6"/>
  <c r="AV61" i="6"/>
  <c r="AV66" i="6"/>
  <c r="AW52" i="6"/>
  <c r="AW53" i="6" s="1"/>
  <c r="AW58" i="6" s="1"/>
  <c r="AW65" i="6"/>
  <c r="BA42" i="6"/>
  <c r="BB4" i="6"/>
  <c r="BA11" i="6"/>
  <c r="BA8" i="6" s="1"/>
  <c r="BA10" i="6"/>
  <c r="BA7" i="6" a="1"/>
  <c r="BA7" i="6" s="1"/>
  <c r="BA36" i="6"/>
  <c r="BC39" i="6"/>
  <c r="BC57" i="6" s="1"/>
  <c r="BB56" i="6"/>
  <c r="BC41" i="6" l="1" a="1"/>
  <c r="BC41" i="6" s="1"/>
  <c r="AW66" i="6"/>
  <c r="AW61" i="6"/>
  <c r="AX52" i="6"/>
  <c r="AX53" i="6" s="1"/>
  <c r="AX58" i="6" s="1"/>
  <c r="AX65" i="6"/>
  <c r="BE5" i="6"/>
  <c r="BD38" i="6" a="1"/>
  <c r="BD38" i="6" s="1"/>
  <c r="BD41" i="6" a="1"/>
  <c r="BD41" i="6" s="1"/>
  <c r="BD37" i="6" a="1"/>
  <c r="BD37" i="6" s="1"/>
  <c r="BD55" i="6" s="1"/>
  <c r="BD39" i="6"/>
  <c r="BD57" i="6" s="1"/>
  <c r="BC56" i="6"/>
  <c r="BA54" i="6"/>
  <c r="BA47" i="6"/>
  <c r="BA48" i="6"/>
  <c r="BA9" i="6"/>
  <c r="BB42" i="6"/>
  <c r="BB7" i="6" a="1"/>
  <c r="BB7" i="6" s="1"/>
  <c r="BB36" i="6"/>
  <c r="BB10" i="6"/>
  <c r="BC4" i="6"/>
  <c r="BB11" i="6"/>
  <c r="BB8" i="6" s="1"/>
  <c r="AJ43" i="6"/>
  <c r="AJ64" i="6"/>
  <c r="AJ46" i="6"/>
  <c r="AK34" i="6"/>
  <c r="BB54" i="6" l="1"/>
  <c r="BB47" i="6"/>
  <c r="BB48" i="6"/>
  <c r="BE37" i="6" a="1"/>
  <c r="BE37" i="6" s="1"/>
  <c r="BE55" i="6" s="1"/>
  <c r="BE38" i="6" a="1"/>
  <c r="BE38" i="6" s="1"/>
  <c r="BF5" i="6"/>
  <c r="AJ76" i="6"/>
  <c r="AJ75" i="6"/>
  <c r="AJ77" i="6"/>
  <c r="AJ74" i="6"/>
  <c r="AJ49" i="6"/>
  <c r="BD4" i="6"/>
  <c r="BC42" i="6"/>
  <c r="BC11" i="6"/>
  <c r="BC8" i="6" s="1"/>
  <c r="BC36" i="6"/>
  <c r="BC7" i="6" a="1"/>
  <c r="BC7" i="6" s="1"/>
  <c r="BC10" i="6"/>
  <c r="AK40" i="6"/>
  <c r="AK35" i="6"/>
  <c r="AX66" i="6"/>
  <c r="AX61" i="6"/>
  <c r="AY52" i="6"/>
  <c r="AY53" i="6" s="1"/>
  <c r="AY58" i="6" s="1"/>
  <c r="AY65" i="6"/>
  <c r="BB9" i="6"/>
  <c r="BE39" i="6"/>
  <c r="BE57" i="6" s="1"/>
  <c r="BD56" i="6"/>
  <c r="AK64" i="6" l="1"/>
  <c r="AK43" i="6"/>
  <c r="AK46" i="6"/>
  <c r="AL34" i="6"/>
  <c r="BF39" i="6"/>
  <c r="BF57" i="6" s="1"/>
  <c r="BE56" i="6"/>
  <c r="AK49" i="6"/>
  <c r="AY66" i="6"/>
  <c r="AY61" i="6"/>
  <c r="AZ52" i="6"/>
  <c r="AZ53" i="6" s="1"/>
  <c r="AZ58" i="6" s="1"/>
  <c r="AZ65" i="6"/>
  <c r="BC47" i="6"/>
  <c r="BC54" i="6"/>
  <c r="BC48" i="6"/>
  <c r="BE41" i="6" a="1"/>
  <c r="BE41" i="6" s="1"/>
  <c r="BC9" i="6"/>
  <c r="BF38" i="6" a="1"/>
  <c r="BF38" i="6" s="1"/>
  <c r="BF37" i="6" a="1"/>
  <c r="BF37" i="6" s="1"/>
  <c r="BF55" i="6" s="1"/>
  <c r="BF41" i="6" a="1"/>
  <c r="BF41" i="6" s="1"/>
  <c r="BG5" i="6"/>
  <c r="BD11" i="6"/>
  <c r="BD8" i="6" s="1"/>
  <c r="BD42" i="6"/>
  <c r="BD36" i="6" s="1"/>
  <c r="BD10" i="6"/>
  <c r="BD7" i="6" a="1"/>
  <c r="BD7" i="6" s="1"/>
  <c r="BE4" i="6"/>
  <c r="BD47" i="6" l="1"/>
  <c r="BD54" i="6"/>
  <c r="BD48" i="6"/>
  <c r="BE11" i="6"/>
  <c r="BE8" i="6" s="1"/>
  <c r="BE10" i="6"/>
  <c r="BE42" i="6"/>
  <c r="BE36" i="6" s="1"/>
  <c r="BE7" i="6" a="1"/>
  <c r="BE7" i="6" s="1"/>
  <c r="BF4" i="6"/>
  <c r="BG38" i="6" a="1"/>
  <c r="BG38" i="6" s="1"/>
  <c r="BG37" i="6" a="1"/>
  <c r="BG37" i="6" s="1"/>
  <c r="BG55" i="6" s="1"/>
  <c r="BH5" i="6"/>
  <c r="AK75" i="6"/>
  <c r="AK74" i="6"/>
  <c r="AK77" i="6"/>
  <c r="AK76" i="6"/>
  <c r="AL40" i="6"/>
  <c r="AL35" i="6"/>
  <c r="AZ61" i="6"/>
  <c r="AZ66" i="6"/>
  <c r="BA52" i="6"/>
  <c r="BA53" i="6" s="1"/>
  <c r="BA58" i="6" s="1"/>
  <c r="BA65" i="6"/>
  <c r="BD9" i="6"/>
  <c r="BG39" i="6"/>
  <c r="BG57" i="6" s="1"/>
  <c r="BF56" i="6"/>
  <c r="BE54" i="6" l="1"/>
  <c r="BE47" i="6"/>
  <c r="BE48" i="6"/>
  <c r="BH38" i="6" a="1"/>
  <c r="BH38" i="6" s="1"/>
  <c r="BH37" i="6" a="1"/>
  <c r="BH37" i="6" s="1"/>
  <c r="BH55" i="6" s="1"/>
  <c r="BI5" i="6"/>
  <c r="BH39" i="6"/>
  <c r="BH57" i="6" s="1"/>
  <c r="BG56" i="6"/>
  <c r="AL64" i="6"/>
  <c r="AL46" i="6"/>
  <c r="AL43" i="6"/>
  <c r="AM34" i="6"/>
  <c r="BG41" i="6" a="1"/>
  <c r="BG41" i="6" s="1"/>
  <c r="BE9" i="6"/>
  <c r="BA61" i="6"/>
  <c r="BA66" i="6"/>
  <c r="BB52" i="6"/>
  <c r="BB53" i="6" s="1"/>
  <c r="BB58" i="6" s="1"/>
  <c r="BB65" i="6"/>
  <c r="BF7" i="6" a="1"/>
  <c r="BF7" i="6" s="1"/>
  <c r="BF10" i="6"/>
  <c r="BF42" i="6"/>
  <c r="BF36" i="6" s="1"/>
  <c r="BF11" i="6"/>
  <c r="BF8" i="6" s="1"/>
  <c r="BF9" i="6" s="1"/>
  <c r="BG4" i="6"/>
  <c r="BF47" i="6" l="1"/>
  <c r="BF54" i="6"/>
  <c r="BF48" i="6"/>
  <c r="AL74" i="6"/>
  <c r="AL76" i="6"/>
  <c r="AL75" i="6"/>
  <c r="AL77" i="6"/>
  <c r="AL49" i="6"/>
  <c r="BG42" i="6"/>
  <c r="BG36" i="6" s="1"/>
  <c r="BG11" i="6"/>
  <c r="BG8" i="6" s="1"/>
  <c r="BG7" i="6" a="1"/>
  <c r="BG7" i="6" s="1"/>
  <c r="BH4" i="6"/>
  <c r="BG10" i="6"/>
  <c r="BI39" i="6"/>
  <c r="BI57" i="6" s="1"/>
  <c r="BH56" i="6"/>
  <c r="BB61" i="6"/>
  <c r="BB66" i="6"/>
  <c r="BC52" i="6"/>
  <c r="BC53" i="6" s="1"/>
  <c r="BC58" i="6" s="1"/>
  <c r="BC65" i="6"/>
  <c r="BJ5" i="6"/>
  <c r="BI38" i="6" a="1"/>
  <c r="BI38" i="6" s="1"/>
  <c r="BI37" i="6" a="1"/>
  <c r="BI37" i="6" s="1"/>
  <c r="BI55" i="6" s="1"/>
  <c r="AM40" i="6"/>
  <c r="AM35" i="6"/>
  <c r="BH41" i="6" a="1"/>
  <c r="BH41" i="6" s="1"/>
  <c r="BG54" i="6" l="1"/>
  <c r="BG47" i="6"/>
  <c r="BG48" i="6"/>
  <c r="BJ39" i="6"/>
  <c r="BJ57" i="6" s="1"/>
  <c r="BI56" i="6"/>
  <c r="AM49" i="6"/>
  <c r="BG9" i="6"/>
  <c r="BJ38" i="6" a="1"/>
  <c r="BJ38" i="6" s="1"/>
  <c r="BJ37" i="6" a="1"/>
  <c r="BJ37" i="6" s="1"/>
  <c r="BJ55" i="6" s="1"/>
  <c r="BK5" i="6"/>
  <c r="AM64" i="6"/>
  <c r="AM43" i="6"/>
  <c r="AM46" i="6"/>
  <c r="AN34" i="6"/>
  <c r="BH42" i="6"/>
  <c r="BH10" i="6"/>
  <c r="BI4" i="6"/>
  <c r="BH36" i="6"/>
  <c r="BH11" i="6"/>
  <c r="BH8" i="6" s="1"/>
  <c r="BH7" i="6" a="1"/>
  <c r="BH7" i="6" s="1"/>
  <c r="BI41" i="6" a="1"/>
  <c r="BI41" i="6" s="1"/>
  <c r="BC61" i="6"/>
  <c r="BC66" i="6"/>
  <c r="BD52" i="6"/>
  <c r="BD53" i="6" s="1"/>
  <c r="BD58" i="6" s="1"/>
  <c r="BD65" i="6"/>
  <c r="BK39" i="6" l="1"/>
  <c r="BK57" i="6" s="1"/>
  <c r="BJ56" i="6"/>
  <c r="BH54" i="6"/>
  <c r="BH47" i="6"/>
  <c r="BH48" i="6"/>
  <c r="AN40" i="6"/>
  <c r="AN35" i="6"/>
  <c r="BH9" i="6"/>
  <c r="BK37" i="6" a="1"/>
  <c r="BK37" i="6" s="1"/>
  <c r="BK55" i="6" s="1"/>
  <c r="BK38" i="6" a="1"/>
  <c r="BK38" i="6" s="1"/>
  <c r="BL5" i="6"/>
  <c r="BI42" i="6"/>
  <c r="BI7" i="6" a="1"/>
  <c r="BI7" i="6" s="1"/>
  <c r="BJ4" i="6"/>
  <c r="BI36" i="6"/>
  <c r="BI10" i="6"/>
  <c r="BI11" i="6"/>
  <c r="BI8" i="6" s="1"/>
  <c r="BI9" i="6" s="1"/>
  <c r="BD66" i="6"/>
  <c r="BD61" i="6"/>
  <c r="BE52" i="6"/>
  <c r="BE53" i="6" s="1"/>
  <c r="BE58" i="6" s="1"/>
  <c r="BE65" i="6"/>
  <c r="AM75" i="6"/>
  <c r="AM74" i="6"/>
  <c r="AM76" i="6"/>
  <c r="AM77" i="6"/>
  <c r="BJ41" i="6" a="1"/>
  <c r="BJ41" i="6" s="1"/>
  <c r="BL39" i="6" l="1"/>
  <c r="BL57" i="6" s="1"/>
  <c r="BK56" i="6"/>
  <c r="BM5" i="6"/>
  <c r="BL37" i="6" a="1"/>
  <c r="BL37" i="6" s="1"/>
  <c r="BL55" i="6" s="1"/>
  <c r="BL38" i="6" a="1"/>
  <c r="BL38" i="6" s="1"/>
  <c r="BL41" i="6" s="1" a="1"/>
  <c r="BL41" i="6" s="1"/>
  <c r="BK41" i="6" a="1"/>
  <c r="BK41" i="6" s="1"/>
  <c r="AN64" i="6"/>
  <c r="AN43" i="6"/>
  <c r="AN46" i="6"/>
  <c r="AO34" i="6"/>
  <c r="BI54" i="6"/>
  <c r="BI47" i="6"/>
  <c r="BI48" i="6"/>
  <c r="BJ7" i="6" a="1"/>
  <c r="BJ7" i="6" s="1"/>
  <c r="BK4" i="6"/>
  <c r="BJ42" i="6"/>
  <c r="BJ36" i="6"/>
  <c r="BJ10" i="6"/>
  <c r="BJ11" i="6"/>
  <c r="BJ8" i="6" s="1"/>
  <c r="BJ9" i="6" s="1"/>
  <c r="BE61" i="6"/>
  <c r="BE66" i="6"/>
  <c r="BF52" i="6"/>
  <c r="BF53" i="6" s="1"/>
  <c r="BF58" i="6" s="1"/>
  <c r="BF65" i="6"/>
  <c r="AO40" i="6" l="1"/>
  <c r="AO35" i="6"/>
  <c r="BL56" i="6"/>
  <c r="BM39" i="6"/>
  <c r="BM57" i="6" s="1"/>
  <c r="AN74" i="6"/>
  <c r="AN75" i="6"/>
  <c r="AN76" i="6"/>
  <c r="AN77" i="6"/>
  <c r="AN49" i="6"/>
  <c r="BK42" i="6"/>
  <c r="BL4" i="6"/>
  <c r="BK36" i="6"/>
  <c r="BK10" i="6"/>
  <c r="BK7" i="6" a="1"/>
  <c r="BK7" i="6" s="1"/>
  <c r="BK11" i="6"/>
  <c r="BK8" i="6" s="1"/>
  <c r="BK9" i="6" s="1"/>
  <c r="BJ54" i="6"/>
  <c r="BJ47" i="6"/>
  <c r="BJ48" i="6"/>
  <c r="BF66" i="6"/>
  <c r="BF61" i="6"/>
  <c r="BG52" i="6"/>
  <c r="BG53" i="6" s="1"/>
  <c r="BG58" i="6" s="1"/>
  <c r="BG65" i="6"/>
  <c r="BM38" i="6" a="1"/>
  <c r="BM38" i="6" s="1"/>
  <c r="BN5" i="6"/>
  <c r="BM37" i="6" a="1"/>
  <c r="BM37" i="6" s="1"/>
  <c r="BM55" i="6" s="1"/>
  <c r="BK47" i="6" l="1"/>
  <c r="BK54" i="6"/>
  <c r="BK48" i="6"/>
  <c r="BL11" i="6"/>
  <c r="BL8" i="6" s="1"/>
  <c r="BL9" i="6" s="1"/>
  <c r="BL42" i="6"/>
  <c r="BL36" i="6"/>
  <c r="BL10" i="6"/>
  <c r="BM4" i="6"/>
  <c r="BL7" i="6" a="1"/>
  <c r="BL7" i="6" s="1"/>
  <c r="BN39" i="6"/>
  <c r="BN57" i="6" s="1"/>
  <c r="BM56" i="6"/>
  <c r="BG66" i="6"/>
  <c r="BG61" i="6"/>
  <c r="BH52" i="6"/>
  <c r="BH53" i="6" s="1"/>
  <c r="BH58" i="6" s="1"/>
  <c r="BH65" i="6"/>
  <c r="BN38" i="6" a="1"/>
  <c r="BN38" i="6" s="1"/>
  <c r="BN37" i="6" a="1"/>
  <c r="BN37" i="6" s="1"/>
  <c r="BN55" i="6" s="1"/>
  <c r="BN41" i="6" a="1"/>
  <c r="BN41" i="6" s="1"/>
  <c r="BO5" i="6"/>
  <c r="BM41" i="6" a="1"/>
  <c r="BM41" i="6" s="1"/>
  <c r="AO46" i="6"/>
  <c r="AO43" i="6"/>
  <c r="AO64" i="6"/>
  <c r="AP34" i="6"/>
  <c r="BH61" i="6" l="1"/>
  <c r="BH66" i="6"/>
  <c r="BI52" i="6"/>
  <c r="BI53" i="6" s="1"/>
  <c r="BI58" i="6" s="1"/>
  <c r="BI65" i="6"/>
  <c r="BO38" i="6" a="1"/>
  <c r="BO38" i="6" s="1"/>
  <c r="BO41" i="6" a="1"/>
  <c r="BO41" i="6" s="1"/>
  <c r="I41" i="6" s="1"/>
  <c r="BO37" i="6" a="1"/>
  <c r="BO37" i="6" s="1"/>
  <c r="AO74" i="6"/>
  <c r="AO75" i="6"/>
  <c r="AO76" i="6"/>
  <c r="AO77" i="6"/>
  <c r="AO49" i="6"/>
  <c r="BO39" i="6"/>
  <c r="BN56" i="6"/>
  <c r="BM11" i="6"/>
  <c r="BM8" i="6" s="1"/>
  <c r="BM10" i="6"/>
  <c r="BM42" i="6"/>
  <c r="BM36" i="6" s="1"/>
  <c r="BN4" i="6"/>
  <c r="BM7" i="6" a="1"/>
  <c r="BM7" i="6" s="1"/>
  <c r="AP40" i="6"/>
  <c r="AP35" i="6"/>
  <c r="BL54" i="6"/>
  <c r="BL47" i="6"/>
  <c r="BL48" i="6"/>
  <c r="BM47" i="6" l="1"/>
  <c r="BM54" i="6"/>
  <c r="BM48" i="6"/>
  <c r="BO56" i="6"/>
  <c r="I38" i="6"/>
  <c r="BN36" i="6"/>
  <c r="BN7" i="6" a="1"/>
  <c r="BN7" i="6" s="1"/>
  <c r="BN11" i="6"/>
  <c r="BN8" i="6" s="1"/>
  <c r="BN9" i="6" s="1"/>
  <c r="BN42" i="6"/>
  <c r="BN10" i="6"/>
  <c r="BO4" i="6"/>
  <c r="BM9" i="6"/>
  <c r="BI66" i="6"/>
  <c r="BI61" i="6"/>
  <c r="BJ52" i="6"/>
  <c r="BJ53" i="6" s="1"/>
  <c r="BJ58" i="6" s="1"/>
  <c r="BJ65" i="6"/>
  <c r="AP46" i="6"/>
  <c r="AP64" i="6"/>
  <c r="AP43" i="6"/>
  <c r="AQ34" i="6"/>
  <c r="BO57" i="6"/>
  <c r="I57" i="6" s="1"/>
  <c r="I39" i="6"/>
  <c r="BO55" i="6"/>
  <c r="I55" i="6" s="1"/>
  <c r="I37" i="6"/>
  <c r="AQ35" i="6" l="1"/>
  <c r="AQ40" i="6"/>
  <c r="AP77" i="6"/>
  <c r="AP74" i="6"/>
  <c r="AP75" i="6"/>
  <c r="AP76" i="6"/>
  <c r="BN54" i="6"/>
  <c r="BN47" i="6"/>
  <c r="BN48" i="6"/>
  <c r="I56" i="6"/>
  <c r="BO10" i="6"/>
  <c r="BO42" i="6"/>
  <c r="I42" i="6" s="1"/>
  <c r="BO11" i="6"/>
  <c r="BO8" i="6" s="1"/>
  <c r="BO7" i="6" a="1"/>
  <c r="BO7" i="6" s="1"/>
  <c r="AP49" i="6"/>
  <c r="BJ61" i="6"/>
  <c r="BJ66" i="6"/>
  <c r="BK52" i="6"/>
  <c r="BK53" i="6" s="1"/>
  <c r="BK58" i="6" s="1"/>
  <c r="BK65" i="6"/>
  <c r="BO9" i="6" l="1"/>
  <c r="BK61" i="6"/>
  <c r="BK66" i="6"/>
  <c r="BL52" i="6"/>
  <c r="BL53" i="6" s="1"/>
  <c r="BL58" i="6" s="1"/>
  <c r="BL65" i="6"/>
  <c r="BO36" i="6"/>
  <c r="AQ49" i="6"/>
  <c r="AQ64" i="6"/>
  <c r="AQ43" i="6"/>
  <c r="AQ46" i="6"/>
  <c r="AR34" i="6"/>
  <c r="BO47" i="6" l="1"/>
  <c r="I47" i="6" s="1"/>
  <c r="BO54" i="6"/>
  <c r="BO48" i="6"/>
  <c r="I48" i="6" s="1"/>
  <c r="I36" i="6"/>
  <c r="BL61" i="6"/>
  <c r="BL66" i="6"/>
  <c r="BM52" i="6"/>
  <c r="BM53" i="6" s="1"/>
  <c r="BM58" i="6" s="1"/>
  <c r="BM65" i="6"/>
  <c r="AR40" i="6"/>
  <c r="AR35" i="6"/>
  <c r="AQ77" i="6"/>
  <c r="AQ76" i="6"/>
  <c r="AQ75" i="6"/>
  <c r="AQ74" i="6"/>
  <c r="I54" i="6" l="1"/>
  <c r="BM61" i="6"/>
  <c r="BM66" i="6"/>
  <c r="BN52" i="6"/>
  <c r="BN53" i="6" s="1"/>
  <c r="BN58" i="6" s="1"/>
  <c r="BN65" i="6"/>
  <c r="AR64" i="6"/>
  <c r="AR43" i="6"/>
  <c r="AR46" i="6"/>
  <c r="AS34" i="6"/>
  <c r="BN66" i="6" l="1"/>
  <c r="BN61" i="6"/>
  <c r="BO52" i="6"/>
  <c r="BO53" i="6" s="1"/>
  <c r="BO65" i="6"/>
  <c r="I65" i="6" s="1"/>
  <c r="AS40" i="6"/>
  <c r="AS35" i="6"/>
  <c r="AR76" i="6"/>
  <c r="AR75" i="6"/>
  <c r="AR77" i="6"/>
  <c r="AR74" i="6"/>
  <c r="AR49" i="6"/>
  <c r="AS64" i="6" l="1"/>
  <c r="AS43" i="6"/>
  <c r="AS46" i="6"/>
  <c r="AT34" i="6"/>
  <c r="AS49" i="6"/>
  <c r="I53" i="6"/>
  <c r="BO58" i="6"/>
  <c r="BO66" i="6" l="1"/>
  <c r="I66" i="6" s="1"/>
  <c r="I58" i="6"/>
  <c r="BO61" i="6"/>
  <c r="I61" i="6" s="1"/>
  <c r="AT40" i="6"/>
  <c r="AT35" i="6"/>
  <c r="AS75" i="6"/>
  <c r="AS74" i="6"/>
  <c r="AS77" i="6"/>
  <c r="AS76" i="6"/>
  <c r="AT64" i="6" l="1"/>
  <c r="AT43" i="6"/>
  <c r="AT46" i="6"/>
  <c r="AU34" i="6"/>
  <c r="AU40" i="6" l="1"/>
  <c r="AU35" i="6"/>
  <c r="AT74" i="6"/>
  <c r="AT76" i="6"/>
  <c r="AT77" i="6"/>
  <c r="AT75" i="6"/>
  <c r="AT49" i="6"/>
  <c r="AU64" i="6" l="1"/>
  <c r="AU43" i="6"/>
  <c r="AU46" i="6"/>
  <c r="AV34" i="6"/>
  <c r="AV35" i="6" l="1"/>
  <c r="AV40" i="6"/>
  <c r="AU75" i="6"/>
  <c r="AU76" i="6"/>
  <c r="AU77" i="6"/>
  <c r="AU74" i="6"/>
  <c r="AU49" i="6"/>
  <c r="AV64" i="6" l="1"/>
  <c r="AV46" i="6"/>
  <c r="AV43" i="6"/>
  <c r="AW34" i="6"/>
  <c r="AW35" i="6" l="1"/>
  <c r="AW40" i="6"/>
  <c r="AV74" i="6"/>
  <c r="AV77" i="6"/>
  <c r="AV75" i="6"/>
  <c r="AV76" i="6"/>
  <c r="AV49" i="6"/>
  <c r="AW46" i="6" l="1"/>
  <c r="AW64" i="6"/>
  <c r="AW43" i="6"/>
  <c r="AX34" i="6"/>
  <c r="AX35" i="6" l="1"/>
  <c r="AX40" i="6"/>
  <c r="AW74" i="6"/>
  <c r="AW75" i="6"/>
  <c r="AW76" i="6"/>
  <c r="AW77" i="6"/>
  <c r="AW49" i="6"/>
  <c r="AX49" i="6" l="1"/>
  <c r="AX43" i="6"/>
  <c r="AX64" i="6"/>
  <c r="AX46" i="6"/>
  <c r="AY34" i="6"/>
  <c r="AY35" i="6" l="1"/>
  <c r="AY40" i="6"/>
  <c r="AX77" i="6"/>
  <c r="AX74" i="6"/>
  <c r="AX75" i="6"/>
  <c r="AX76" i="6"/>
  <c r="AY46" i="6" l="1"/>
  <c r="AY64" i="6"/>
  <c r="AY43" i="6"/>
  <c r="AZ34" i="6"/>
  <c r="AZ40" i="6" l="1"/>
  <c r="AZ35" i="6"/>
  <c r="AY77" i="6"/>
  <c r="AY76" i="6"/>
  <c r="AY74" i="6"/>
  <c r="AY75" i="6"/>
  <c r="AY49" i="6"/>
  <c r="AZ43" i="6" l="1"/>
  <c r="AZ64" i="6"/>
  <c r="AZ46" i="6"/>
  <c r="BA34" i="6"/>
  <c r="BA40" i="6" l="1"/>
  <c r="BA35" i="6"/>
  <c r="AZ76" i="6"/>
  <c r="AZ75" i="6"/>
  <c r="AZ74" i="6"/>
  <c r="AZ77" i="6"/>
  <c r="AZ49" i="6"/>
  <c r="BA64" i="6" l="1"/>
  <c r="BA46" i="6"/>
  <c r="BA43" i="6"/>
  <c r="BB34" i="6"/>
  <c r="BB40" i="6" l="1"/>
  <c r="BB35" i="6"/>
  <c r="BA75" i="6"/>
  <c r="BA74" i="6"/>
  <c r="BA77" i="6"/>
  <c r="BA76" i="6"/>
  <c r="BA49" i="6"/>
  <c r="BB64" i="6" l="1"/>
  <c r="BB43" i="6"/>
  <c r="BB46" i="6"/>
  <c r="BC34" i="6"/>
  <c r="BC40" i="6" l="1"/>
  <c r="BC35" i="6"/>
  <c r="BB74" i="6"/>
  <c r="BB76" i="6"/>
  <c r="BB75" i="6"/>
  <c r="BB77" i="6"/>
  <c r="BB49" i="6"/>
  <c r="BC49" i="6" l="1"/>
  <c r="BC64" i="6"/>
  <c r="BC43" i="6"/>
  <c r="BC46" i="6"/>
  <c r="BD34" i="6"/>
  <c r="BD40" i="6" l="1"/>
  <c r="BD35" i="6"/>
  <c r="BC75" i="6"/>
  <c r="BC74" i="6"/>
  <c r="BC76" i="6"/>
  <c r="BC77" i="6"/>
  <c r="BD64" i="6" l="1"/>
  <c r="BD43" i="6"/>
  <c r="BD46" i="6"/>
  <c r="BE34" i="6"/>
  <c r="BE35" i="6" l="1"/>
  <c r="BE40" i="6"/>
  <c r="BD74" i="6"/>
  <c r="BD75" i="6"/>
  <c r="BD76" i="6"/>
  <c r="BD77" i="6"/>
  <c r="BD49" i="6"/>
  <c r="BE46" i="6" l="1"/>
  <c r="BE64" i="6"/>
  <c r="BE43" i="6"/>
  <c r="BF34" i="6"/>
  <c r="BF35" i="6" l="1"/>
  <c r="BF40" i="6"/>
  <c r="BE75" i="6"/>
  <c r="BE76" i="6"/>
  <c r="BE77" i="6"/>
  <c r="BE74" i="6"/>
  <c r="BE49" i="6"/>
  <c r="BF64" i="6" l="1"/>
  <c r="BF46" i="6"/>
  <c r="BF43" i="6"/>
  <c r="BG34" i="6"/>
  <c r="BG35" i="6" l="1"/>
  <c r="BG40" i="6"/>
  <c r="BF77" i="6"/>
  <c r="BF76" i="6"/>
  <c r="BF74" i="6"/>
  <c r="BF75" i="6"/>
  <c r="BF49" i="6"/>
  <c r="BG43" i="6" l="1"/>
  <c r="BG64" i="6"/>
  <c r="BG46" i="6"/>
  <c r="BH34" i="6"/>
  <c r="BH35" i="6" l="1"/>
  <c r="BH40" i="6"/>
  <c r="BG77" i="6"/>
  <c r="BG76" i="6"/>
  <c r="BG74" i="6"/>
  <c r="BG75" i="6"/>
  <c r="BG49" i="6"/>
  <c r="BH43" i="6" l="1"/>
  <c r="BH46" i="6"/>
  <c r="BH64" i="6"/>
  <c r="BI34" i="6"/>
  <c r="BI40" i="6" l="1"/>
  <c r="BI35" i="6"/>
  <c r="BH76" i="6"/>
  <c r="BH75" i="6"/>
  <c r="BH77" i="6"/>
  <c r="BH74" i="6"/>
  <c r="BH49" i="6"/>
  <c r="BI64" i="6" l="1"/>
  <c r="BI46" i="6"/>
  <c r="BI43" i="6"/>
  <c r="BJ34" i="6"/>
  <c r="BJ40" i="6" l="1"/>
  <c r="BJ35" i="6"/>
  <c r="BI75" i="6"/>
  <c r="BI74" i="6"/>
  <c r="BI77" i="6"/>
  <c r="BI76" i="6"/>
  <c r="BI49" i="6"/>
  <c r="BJ46" i="6" l="1"/>
  <c r="BJ64" i="6"/>
  <c r="BJ43" i="6"/>
  <c r="BK34" i="6"/>
  <c r="BK40" i="6" l="1"/>
  <c r="BK35" i="6"/>
  <c r="BJ74" i="6"/>
  <c r="BJ77" i="6"/>
  <c r="BJ76" i="6"/>
  <c r="BJ75" i="6"/>
  <c r="BJ49" i="6"/>
  <c r="BK64" i="6" l="1"/>
  <c r="BK46" i="6"/>
  <c r="BK43" i="6"/>
  <c r="BL34" i="6"/>
  <c r="BL40" i="6" l="1"/>
  <c r="BL35" i="6"/>
  <c r="BK77" i="6"/>
  <c r="BK75" i="6"/>
  <c r="BK74" i="6"/>
  <c r="BK76" i="6"/>
  <c r="BK49" i="6"/>
  <c r="BL64" i="6" l="1"/>
  <c r="BL43" i="6"/>
  <c r="BL46" i="6"/>
  <c r="BM34" i="6"/>
  <c r="BM40" i="6" l="1"/>
  <c r="BM35" i="6"/>
  <c r="BL74" i="6"/>
  <c r="BL77" i="6"/>
  <c r="BL75" i="6"/>
  <c r="BL76" i="6"/>
  <c r="BL49" i="6"/>
  <c r="BM46" i="6" l="1"/>
  <c r="BM64" i="6"/>
  <c r="BM43" i="6"/>
  <c r="BN34" i="6"/>
  <c r="BN35" i="6" l="1"/>
  <c r="BN40" i="6"/>
  <c r="BM77" i="6"/>
  <c r="BM74" i="6"/>
  <c r="BM75" i="6"/>
  <c r="BM76" i="6"/>
  <c r="BM49" i="6"/>
  <c r="BN64" i="6" l="1"/>
  <c r="BN43" i="6"/>
  <c r="BN46" i="6"/>
  <c r="BO34" i="6"/>
  <c r="BO35" i="6" l="1"/>
  <c r="I35" i="6" s="1"/>
  <c r="BO40" i="6"/>
  <c r="BN77" i="6"/>
  <c r="BN74" i="6"/>
  <c r="BN75" i="6"/>
  <c r="BN76" i="6"/>
  <c r="BN49" i="6"/>
  <c r="BO64" i="6" l="1"/>
  <c r="I64" i="6" s="1"/>
  <c r="BO43" i="6"/>
  <c r="I43" i="6" s="1"/>
  <c r="I40" i="6"/>
  <c r="BO46" i="6"/>
  <c r="BO77" i="6" l="1"/>
  <c r="I77" i="6" s="1"/>
  <c r="BO76" i="6"/>
  <c r="I76" i="6" s="1"/>
  <c r="BO74" i="6"/>
  <c r="BO75" i="6"/>
  <c r="I75" i="6" s="1"/>
  <c r="I46" i="6"/>
  <c r="BO49" i="6"/>
  <c r="I49" i="6" s="1"/>
</calcChain>
</file>

<file path=xl/sharedStrings.xml><?xml version="1.0" encoding="utf-8"?>
<sst xmlns="http://schemas.openxmlformats.org/spreadsheetml/2006/main" count="401" uniqueCount="279">
  <si>
    <t>SaaS Forecasting Tool, by Foresight</t>
  </si>
  <si>
    <t>A basic tool to help you model the revenues and costs of an SaaS business.</t>
  </si>
  <si>
    <t>Copyright &amp; Contact</t>
  </si>
  <si>
    <t xml:space="preserve">This was created by Taylor Davidson (@tdavidson) of Foresight.
© 2022, Unstructured Ventures, LLC.
Questions, contact taylor@foresight.is or @tdavidson
</t>
  </si>
  <si>
    <t>License</t>
  </si>
  <si>
    <r>
      <rPr>
        <sz val="10"/>
        <color rgb="FF000000"/>
        <rFont val="Arial"/>
        <family val="2"/>
      </rPr>
      <t xml:space="preserve">tl:dr; You can modify, edit, use, and share within your company (and with third-parties as needed to operate your business). You may not redistribute, resell, give away to others. </t>
    </r>
    <r>
      <rPr>
        <u/>
        <sz val="10"/>
        <color rgb="FF1155CC"/>
        <rFont val="Arial"/>
        <family val="2"/>
      </rPr>
      <t xml:space="preserve">Full license.
</t>
    </r>
  </si>
  <si>
    <t>Goal</t>
  </si>
  <si>
    <t xml:space="preserve">Goal of this model is to create an easy way for anyone to model the basic revenue operations of an SaaS business. The model uses external market data where applicable and estimates when necessary. You should adjust all metrics and inputs to fit your business.
</t>
  </si>
  <si>
    <t>Copy to Google Sheets or Download to Excel</t>
  </si>
  <si>
    <r>
      <rPr>
        <sz val="10"/>
        <rFont val="Arial"/>
        <family val="2"/>
      </rPr>
      <t xml:space="preserve">File &gt; Make a Copy to copy it to your own Google Drive, or File &gt; Download to download this to use in Excel or other spreadsheet programs. </t>
    </r>
    <r>
      <rPr>
        <u/>
        <sz val="10"/>
        <color rgb="FF1155CC"/>
        <rFont val="Arial"/>
        <family val="2"/>
      </rPr>
      <t xml:space="preserve">See License for warranties and liabilities.
</t>
    </r>
  </si>
  <si>
    <t>Support</t>
  </si>
  <si>
    <r>
      <rPr>
        <sz val="10"/>
        <rFont val="Arial"/>
        <family val="2"/>
      </rPr>
      <t xml:space="preserve">Questions, happy to assist, contact anytime. More details on how I provide support: </t>
    </r>
    <r>
      <rPr>
        <u/>
        <sz val="10"/>
        <color rgb="FF1155CC"/>
        <rFont val="Arial"/>
        <family val="2"/>
      </rPr>
      <t xml:space="preserve">https://foresight.is/learn/support
</t>
    </r>
  </si>
  <si>
    <t>Missing a feature you need?</t>
  </si>
  <si>
    <r>
      <rPr>
        <sz val="10"/>
        <rFont val="Arial"/>
        <family val="2"/>
      </rPr>
      <t xml:space="preserve">Check out </t>
    </r>
    <r>
      <rPr>
        <u/>
        <sz val="10"/>
        <color rgb="FF1155CC"/>
        <rFont val="Arial"/>
        <family val="2"/>
      </rPr>
      <t>Alternatives to Foresight</t>
    </r>
    <r>
      <rPr>
        <sz val="10"/>
        <rFont val="Arial"/>
        <family val="2"/>
      </rPr>
      <t xml:space="preserve"> for more modeling tools, and check out Foresight's </t>
    </r>
    <r>
      <rPr>
        <u/>
        <sz val="10"/>
        <color rgb="FF1155CC"/>
        <rFont val="Arial"/>
        <family val="2"/>
      </rPr>
      <t>Standard Financial Model</t>
    </r>
    <r>
      <rPr>
        <sz val="10"/>
        <rFont val="Arial"/>
        <family val="2"/>
      </rPr>
      <t xml:space="preserve"> for a more comprehensive model with extensive prebuilt options for different revenue models, MRR and ARR, historical financials, budget variances, and more.
</t>
    </r>
  </si>
  <si>
    <t>Quickstart</t>
  </si>
  <si>
    <t>1) Any number in blue with grey shaded background is an input (i.e. an assumption or data point that can be changed), anything in black is the result of a formula. Change blue at will, change anything in black with caution.
2) All cells and formulas are unlocked - as in all Foresight models - so that you can make edits as needed and completely understand what is going on.
3) All assumptions are illustrative ONLY, do not assume they are market data or standard.
4) As with all templates, feel free to create your own model from scratch, using this as a guide. 
5) The model is constructed to fit a wide variety of businesses, and therefore, some sections may or may not be relevant to yours. I have grouped together sections on all sheets so that you can review different sections and see all the possibilities, but also easily hide the sections not relevant for you. Simply click on the "+" button on the left-hand side to unhide a section, and click on the "-" button to hide it.</t>
  </si>
  <si>
    <t>Outline</t>
  </si>
  <si>
    <t>README</t>
  </si>
  <si>
    <t>Contact into, overview on model. Safe to delete or hide.</t>
  </si>
  <si>
    <t xml:space="preserve">   Formatting and Colors Overview</t>
  </si>
  <si>
    <r>
      <rPr>
        <sz val="10"/>
        <rFont val="Arial"/>
        <family val="2"/>
      </rPr>
      <t xml:space="preserve">Details on what the colors and formatting in the model mean. </t>
    </r>
    <r>
      <rPr>
        <u/>
        <sz val="10"/>
        <color rgb="FF1155CC"/>
        <rFont val="Arial"/>
        <family val="2"/>
      </rPr>
      <t>https://foresight.is/learn/colors-and-formatting</t>
    </r>
  </si>
  <si>
    <r>
      <rPr>
        <sz val="10"/>
        <rFont val="Arial"/>
        <family val="2"/>
      </rPr>
      <t xml:space="preserve">Terms of use of the model. Safe to delete or hide. </t>
    </r>
    <r>
      <rPr>
        <u/>
        <sz val="10"/>
        <color rgb="FF1155CC"/>
        <rFont val="Arial"/>
        <family val="2"/>
      </rPr>
      <t>https://foresight.is/license</t>
    </r>
  </si>
  <si>
    <t>Get Started</t>
  </si>
  <si>
    <t>Assumptions used in the model</t>
  </si>
  <si>
    <t>Forecast</t>
  </si>
  <si>
    <t>Calculations for the model, with a couple detailed optional assumptions.</t>
  </si>
  <si>
    <t>Key Reports</t>
  </si>
  <si>
    <t>Key charts, using data from the Forecast sheet</t>
  </si>
  <si>
    <t>Model Comparison</t>
  </si>
  <si>
    <t>Informational sheet with links to other models available to use. Safe to delete or hide.</t>
  </si>
  <si>
    <t>Glossary</t>
  </si>
  <si>
    <t>Informational sheet on common financial terms used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</si>
  <si>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</si>
  <si>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</si>
  <si>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</si>
  <si>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</si>
  <si>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</si>
  <si>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</si>
  <si>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</si>
  <si>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</si>
  <si>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</si>
  <si>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</si>
  <si>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</si>
  <si>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</si>
  <si>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</si>
  <si>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</si>
  <si>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</si>
  <si>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</si>
  <si>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</si>
  <si>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</si>
  <si>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</si>
  <si>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</si>
  <si>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</si>
  <si>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</si>
  <si>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</si>
  <si>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Disclaimer</t>
  </si>
  <si>
    <t>Investments in the Company, if offered, will only be offered to a selected number of accredited investors, and only on the basis of a private offering memorandum for the Company. There are significant risks that are not presented and disclosed in this Investor Presentation.  These risks could have a significant negative impact on the performance of the Company.</t>
  </si>
  <si>
    <t>This Investor Presentation contains forward-looking statements regarding our business plans and prospects and financial conditions, all statements, other than statements of historical fact, in this Investor Presentation, and the attached exhibits, including, among other things, statements regarding our competitive strengths, business strategy, financial projections and plans and objectives of management are forward-looking statements. Although we believe that the expectations reflected in such forward-looking statements are reasonable, there can be no assurance that such expectations will prove to be correct.  Forward-looking statements are inherently subject to risks and uncertainties, many of which cannot be predicted with accuracy and some of which might not even be anticipated.  Future events and actual results, financial or otherwise, could differ materially from those set forth in, or contemplated by, the forward-looking statements in this Investor Presentation, and, as such, the forward-looking statements contained herein should not be relied upon when making your investment decision.  We undertake no obligation to update or revise any forward-looking statements.</t>
  </si>
  <si>
    <t>The financial projections in this Investor Presentation present, to the best of management’s knowledge and belief, the Company’s expected financial position, results of operations, and cash flows for the forecast period.  Accordingly, the financial projections reflect its judgment, as of the date of these financial projections, of the expected conditions and its expected course of action following the sale of securities by the Company.  The assumptions disclosed herein are those that management believes are significant to the financial projections.  There will usually be differences between the projected and actual results, because events and circumstances frequently do not occur as expected, and those differences may be material.  Since the projections are based upon assumptions about circumstances and events that have not yet taken place regarding costs, income, expenses and federal tax matters, which are subject to variations and economic events as future operations actually occur, they do not necessarily reflect the results that will be achieved and should not be relied upon. In all cases, the targeted returns are not predictions or projections that the results in the pro forma financials will be achieved nor of the performance of any investment, and are expressly subject to all assumptions embedded in the pro forma financials and the risk factors disclosed herein. This investment has a high degree of risk, and there can be no assurances that all or any of the assumptions will be true or that an investment’s actual performance will bear any relation to these hypothetical illustrations.</t>
  </si>
  <si>
    <t xml:space="preserve">This information contained in this Investor Presentation includes proprietary information, is strictly confidential, and is not to be used or distributed to others without the express written consent of the Company. </t>
  </si>
  <si>
    <t>This document has been prepared solely for information purposes and is being furnished solely for use by prospective purchasers in considering their interest in obtaining additional information and making their own evaluation of the Company and does not contain all of the information that a prospective purchaser may desire.  This information reflects various assumptions by the Company concerning anticipated results, which assumptions may or may not prove to be correct, and the Company has no obligation to update such information.  The only information that will have any legal effect will be that specifically contained in definitive documentation. This Investor Presentation has been submitted confidentially to a limited number of investors so that they can consider their interest in obtaining additional information and making their own evaluation of the Company.  No offers to purchase the securities of the Company will be accepted prior to (1) the receipt by recipient of a complete private offering memorandum and (2) determination by the Company that the recipient is an appropriate purchaser in light of standards contained in U.S. Securities laws after a full evaluation of recipient by the Company.  The Company has not authorized its use for any other purpose.  This Investor Presentation may not be copied or reproduced in whole or in part.  By accepting a copy of this Investor Presentation, the recipient agrees that neither it nor any of its representatives, agents or employees shall use it for any other purpose or divulge to any party any confidential information about the Company.</t>
  </si>
  <si>
    <t>Key model assumptions and summaries. Detailed inputs on Forecast sheet.</t>
  </si>
  <si>
    <t>Setup and Timescale</t>
  </si>
  <si>
    <t>What is the name of your company?</t>
  </si>
  <si>
    <t>Company</t>
  </si>
  <si>
    <t>This is used in the Legal Disclaimer sheet, which is purely optional, but something many people choose to include in their projections when they provide them to potential investors</t>
  </si>
  <si>
    <t>What is your currency?</t>
  </si>
  <si>
    <t>$</t>
  </si>
  <si>
    <t>Model works for any currency, as there are no currency-specific calculations in the model. This label is used in some presentation areas.</t>
  </si>
  <si>
    <t>What is the first date you want to forecast?</t>
  </si>
  <si>
    <t>First month in the model; if this model is entirely a forecast of the future, input the first month you want to forecast from.</t>
  </si>
  <si>
    <t>What is the fiscal year end of the first year modeled?</t>
  </si>
  <si>
    <t>Define the month that is the fiscal year end of the first year in the model. This allows you to set the fiscal years in the model, and thus the # of months in the first year forecasted in the model. The default setting uses a formula to return the year end (in December) from the first month in the forecast. Feel free to overwrite this to set a different fiscal year end, just overwrite the formula with a date.</t>
  </si>
  <si>
    <t>Revenue and Marketing Assumptions</t>
  </si>
  <si>
    <t>average revenue per month</t>
  </si>
  <si>
    <t>Gross Margin %</t>
  </si>
  <si>
    <t>%</t>
  </si>
  <si>
    <t>as a % of revenues</t>
  </si>
  <si>
    <t>Customer Acquisition Cost (CAC)</t>
  </si>
  <si>
    <t>retention cost per subscriber, per renew cycle. Intention is to include cost to market to existing subscribers to increase retention</t>
  </si>
  <si>
    <t>Deferred Revenues, beginning of first month</t>
  </si>
  <si>
    <t>optional: deferred revenue at the beginning of the first month in model</t>
  </si>
  <si>
    <t>Growth and Churn Assumptions</t>
  </si>
  <si>
    <t>Date to start growth and revenues</t>
  </si>
  <si>
    <t>date to start growth of revenues, used on Forecast sheet in Growth section</t>
  </si>
  <si>
    <t>Subscribers</t>
  </si>
  <si>
    <t>#</t>
  </si>
  <si>
    <t>use the input to change the label, the number input refers to the # new in the first month, as defined above</t>
  </si>
  <si>
    <t>at the beginning of the first period in model</t>
  </si>
  <si>
    <t>this assumes the growth rate in the first month after growth starts, as defined above</t>
  </si>
  <si>
    <t>this changes the growth rate over time: you can assume a growth rate that increases over time, stays the same, or decreases (most common)</t>
  </si>
  <si>
    <t>Churn rate, per period</t>
  </si>
  <si>
    <t>Churn per month, as a % at the beginning of the period</t>
  </si>
  <si>
    <t>Reactivation Rate, per period</t>
  </si>
  <si>
    <t>optional: for previously churned subscribers that reactive. calculated as % of churn in previous period.</t>
  </si>
  <si>
    <t>Contract Cycle</t>
  </si>
  <si>
    <t>Assume the length of the contract, in months, to calculate churn cycles. E.g. input 12 for an annual contract, 1 for a month-to-month contract</t>
  </si>
  <si>
    <t>Billing Cycle</t>
  </si>
  <si>
    <t>Assume the length of the billing cycle, in months. e.g. an annual contract billed all up front is 12, an annual contract billed month to month is 1, a month-to-month contract is 1</t>
  </si>
  <si>
    <t>Date</t>
  </si>
  <si>
    <t>Unit</t>
  </si>
  <si>
    <t>Note</t>
  </si>
  <si>
    <t>Timestep</t>
  </si>
  <si>
    <t>where the first month in the period = 0</t>
  </si>
  <si>
    <t>Month # in Model</t>
  </si>
  <si>
    <t>Fiscal Year</t>
  </si>
  <si>
    <t>the fiscal year can vary from the calendar year, this is calculated based on the assumption for fiscal year end</t>
  </si>
  <si>
    <t>Quarter in Fiscal Year</t>
  </si>
  <si>
    <t>text</t>
  </si>
  <si>
    <t>the quarters of the year vary according by the fiscal year end</t>
  </si>
  <si>
    <t>Quarter / Year</t>
  </si>
  <si>
    <t>quarters and year, reported in text form for some charts and graphs</t>
  </si>
  <si>
    <t>Month (Text)</t>
  </si>
  <si>
    <t>the month of the calendar year, used for reporting and seasonality calculations</t>
  </si>
  <si>
    <t>Month # in Fiscal year</t>
  </si>
  <si>
    <t>the month # in the fiscal year. This rolls over to 1 at the start of each fiscal year</t>
  </si>
  <si>
    <t>Year of Operations</t>
  </si>
  <si>
    <t>the year of operations. Used for some reports based on time of operations, not calendar year</t>
  </si>
  <si>
    <t>Average Revenue per Subscriber</t>
  </si>
  <si>
    <t>average</t>
  </si>
  <si>
    <t>CAC</t>
  </si>
  <si>
    <t>Deferred Revenue, first month</t>
  </si>
  <si>
    <t>initial</t>
  </si>
  <si>
    <t>New Subscribers, first month</t>
  </si>
  <si>
    <t>Subscribers, first month</t>
  </si>
  <si>
    <t>Starting growth rate, new subscribers</t>
  </si>
  <si>
    <t>Change in Growth Rate in new subscribers</t>
  </si>
  <si>
    <t>Churn</t>
  </si>
  <si>
    <t>Reactivation Rate, per month</t>
  </si>
  <si>
    <t>Subscribers, beginning of month</t>
  </si>
  <si>
    <t>at the beginning of the period</t>
  </si>
  <si>
    <t>Subscribers, not up for renewal</t>
  </si>
  <si>
    <t>subscribers not up for renewal each period</t>
  </si>
  <si>
    <t>sum</t>
  </si>
  <si>
    <t>New subscribers, during month</t>
  </si>
  <si>
    <t>new during period</t>
  </si>
  <si>
    <t>Renewed subscribers, during month</t>
  </si>
  <si>
    <t>renewed during period</t>
  </si>
  <si>
    <t>Churned subscribers, during month</t>
  </si>
  <si>
    <t>churned during period</t>
  </si>
  <si>
    <t>Reactivated subscribers, during month</t>
  </si>
  <si>
    <t>reactivatived during period</t>
  </si>
  <si>
    <t>Subscribers, end of month</t>
  </si>
  <si>
    <t>at end of period</t>
  </si>
  <si>
    <t>final</t>
  </si>
  <si>
    <t>Subscribers, up for billing</t>
  </si>
  <si>
    <t>calculates billings for subscribers up for billing cycle but not churn cycle</t>
  </si>
  <si>
    <t>Growth Rate in New Subscribers</t>
  </si>
  <si>
    <t>growth rate in new subscribers per period</t>
  </si>
  <si>
    <t>Growth Rate in Total Subscribers</t>
  </si>
  <si>
    <t>growth rate in total subscribers</t>
  </si>
  <si>
    <t>Revenues, Billings, Expenses</t>
  </si>
  <si>
    <t>Revenues</t>
  </si>
  <si>
    <t>Marketing Spend</t>
  </si>
  <si>
    <t>new * CAC + renewed * retention cost + reactivated * CAC</t>
  </si>
  <si>
    <t>Billings</t>
  </si>
  <si>
    <t>billings per period. the formula changes based on the billing cycle. this is key to calculating cash and deferred revenues</t>
  </si>
  <si>
    <t>Deferred Revenue</t>
  </si>
  <si>
    <t>calculated from billings and revenues, only relevant if billing cycle is &gt; 1 month. end of period</t>
  </si>
  <si>
    <t>MRR</t>
  </si>
  <si>
    <t>Beginning MRR</t>
  </si>
  <si>
    <t>MRR at beginning of period</t>
  </si>
  <si>
    <t>Existing MRR</t>
  </si>
  <si>
    <t>MRR from subscribers not up for renewal</t>
  </si>
  <si>
    <t>New MRR</t>
  </si>
  <si>
    <t>MRR from new during period</t>
  </si>
  <si>
    <t>Renewed MRR</t>
  </si>
  <si>
    <t>MRR from subscribers renewing during period</t>
  </si>
  <si>
    <t>Churned MRR</t>
  </si>
  <si>
    <t>MRR lost from subscribers churning</t>
  </si>
  <si>
    <t>Reactivated MRR</t>
  </si>
  <si>
    <t>MRR from susbcribers reactivating during period</t>
  </si>
  <si>
    <t>Ending MRR</t>
  </si>
  <si>
    <t>Outputs</t>
  </si>
  <si>
    <t>ARR</t>
  </si>
  <si>
    <t>MRR * 12</t>
  </si>
  <si>
    <t>Growth and Churn</t>
  </si>
  <si>
    <t>Growth Rate in Subscribers</t>
  </si>
  <si>
    <t>growth rate in subscribers, end of period, calculated from the assumptions from new, churn, and reactivations</t>
  </si>
  <si>
    <t>Gross MRR Churn</t>
  </si>
  <si>
    <t>churned MRR during period / MRR previous period</t>
  </si>
  <si>
    <t>Net MRR Growth Rate</t>
  </si>
  <si>
    <t>change in ending MRR</t>
  </si>
  <si>
    <t>LTV and CAC</t>
  </si>
  <si>
    <t>LTV</t>
  </si>
  <si>
    <t>simple LTV formula, 1 / churn * average revenue per month * gross margin %</t>
  </si>
  <si>
    <t>LTV / CAC</t>
  </si>
  <si>
    <t>ltv / cac</t>
  </si>
  <si>
    <t>CAC Payback Period</t>
  </si>
  <si>
    <t>cac / gross margin per</t>
  </si>
  <si>
    <t>Aggregation Options</t>
  </si>
  <si>
    <t>only used to generate the options in the column for overall reporting</t>
  </si>
  <si>
    <t>returns the value from the beginning of a period</t>
  </si>
  <si>
    <t>returns the value from the end of a period</t>
  </si>
  <si>
    <t>returns the total during the period</t>
  </si>
  <si>
    <t>returns the simple average during the period; averages are not weighted-averages, and for % growths, do not represent the average growth over the time period.</t>
  </si>
  <si>
    <t>Additional Tools</t>
  </si>
  <si>
    <t>Additional tools to check out, install, and use to help you utilize the model.</t>
  </si>
  <si>
    <t>Term</t>
  </si>
  <si>
    <t>How it helps</t>
  </si>
  <si>
    <t>Definition</t>
  </si>
  <si>
    <t>Link</t>
  </si>
  <si>
    <t>Genius Sheets</t>
  </si>
  <si>
    <t>Using financials from Quickbooks</t>
  </si>
  <si>
    <r>
      <rPr>
        <sz val="10"/>
        <rFont val="Arial"/>
        <family val="2"/>
      </rPr>
      <t xml:space="preserve">Built into the model is a robust way to use actual financials (financial reports from Quickbooks, Xero, and others) in the model to create rolling forecasts and budget variances, detailed at </t>
    </r>
    <r>
      <rPr>
        <u/>
        <sz val="10"/>
        <color rgb="FF1155CC"/>
        <rFont val="Arial"/>
        <family val="2"/>
      </rPr>
      <t xml:space="preserve">https://foresight.is/learn/actual-financials
</t>
    </r>
    <r>
      <rPr>
        <sz val="10"/>
        <rFont val="Arial"/>
        <family val="2"/>
      </rPr>
      <t xml:space="preserve">
The hardest part to this is simply pulling the data from your accounting software. It's something that can be done manually on a regular basis, but I've also started using add-ins to automate this process.
One tool I like is Genius Sheets - https://geniussheets.com - which also has add-ins for Excel and Google Sheets. Visit their website or click the image below to create an account, install the add-ins, and start pulling your financial data into your model.
Here's me showing an example of how to use Genius Sheets in the model: https://www.loom.com/share/f067d790d1f245a28abf33eecaa02abc
Here's a good explainer on how to use Genius Sheets: https://www.excel-university.com/retrieve-quickbooks-data-with-genius-sheets/</t>
    </r>
  </si>
  <si>
    <t>https://geniussheets.com</t>
  </si>
  <si>
    <t>Causal</t>
  </si>
  <si>
    <t>Scenario modeling</t>
  </si>
  <si>
    <t>For scenarios, I like to leverage Excel and Google Sheets Add-ins to built out scenarios and analyze outputs based on distributions of assumptions.
One tool I like is Causal - https://causal.app - which also has add-ins for Excel and Google Sheets. They can be installed into your Excel or Google Sheets, just click on the images below.
Here's how to use it (instructions are for Google Sheets, same applies to Excel): https://www.causal.app/blog/google-sheets-add-on</t>
  </si>
  <si>
    <t>https://causal.app</t>
  </si>
  <si>
    <t>Liveflow</t>
  </si>
  <si>
    <t>LiveFlow connects QuickBooks to your Google Sheet and automatically updates your financials. Save time pulling manually pulling and updating data in your financial model.</t>
  </si>
  <si>
    <t>https://www.liveflow.io/</t>
  </si>
  <si>
    <t>Foresight Template Comparison</t>
  </si>
  <si>
    <t>I offer a range of templates for venture funds and angels. Here's a breakdown of the models and how they compare.</t>
  </si>
  <si>
    <t>Template</t>
  </si>
  <si>
    <t>Software</t>
  </si>
  <si>
    <t>Usecase</t>
  </si>
  <si>
    <t>Price</t>
  </si>
  <si>
    <t>Time Scale</t>
  </si>
  <si>
    <t>Prebuilt Revenue Model</t>
  </si>
  <si>
    <t>Operating Expenses</t>
  </si>
  <si>
    <t>Hiring Plan</t>
  </si>
  <si>
    <t>Consolidated Financials</t>
  </si>
  <si>
    <t>Charts and Graphs</t>
  </si>
  <si>
    <t>Key Performance Metrics</t>
  </si>
  <si>
    <t>Historical Financials and Budget Variances</t>
  </si>
  <si>
    <t>Prebuilt Inventory Calcs</t>
  </si>
  <si>
    <t>Capital Structure (Equity, Debt, Grants, etc.)</t>
  </si>
  <si>
    <t>Cap Table and Valuation</t>
  </si>
  <si>
    <t>Runway and Cash Forecasting Tool</t>
  </si>
  <si>
    <t>https://foresight.is/runway-cash-forecasting</t>
  </si>
  <si>
    <t>Google Sheets, download to Excel</t>
  </si>
  <si>
    <t>Seed-stage companies building first model</t>
  </si>
  <si>
    <t>Free</t>
  </si>
  <si>
    <t>3 years</t>
  </si>
  <si>
    <t>Starter Financial Model</t>
  </si>
  <si>
    <t>https://foresight.is/starter-financial-model</t>
  </si>
  <si>
    <t>Excel, upload to Google Sheets</t>
  </si>
  <si>
    <t>Seed - A stage companies building their own custom revenue model</t>
  </si>
  <si>
    <t>$74 USD</t>
  </si>
  <si>
    <t>5 years</t>
  </si>
  <si>
    <t>Standard Financial Model</t>
  </si>
  <si>
    <t>https://foresight.is/standard-financial-model</t>
  </si>
  <si>
    <t>Seed - B stage companies leveraging the prebuilt revenue model or building their own</t>
  </si>
  <si>
    <t>$149 USD</t>
  </si>
  <si>
    <t>Standard Financial Model for SaaS</t>
  </si>
  <si>
    <r>
      <rPr>
        <u/>
        <sz val="10"/>
        <color rgb="FF1155CC"/>
        <rFont val="Arial"/>
        <family val="2"/>
      </rPr>
      <t>https://foresight</t>
    </r>
    <r>
      <rPr>
        <sz val="10"/>
        <rFont val="Arial"/>
        <family val="2"/>
      </rPr>
      <t>.is/saas-financial-model</t>
    </r>
  </si>
  <si>
    <t>Companies with SaaS business models</t>
  </si>
  <si>
    <t>Standard Financial Model for Ecommerce</t>
  </si>
  <si>
    <t>https://foresight.is/ecommerce-financial-model</t>
  </si>
  <si>
    <t>Companies with Ecommerce business models</t>
  </si>
  <si>
    <t>SaaS Forecasting Tool</t>
  </si>
  <si>
    <t>https://foresight.is/saas-forecasting-tool</t>
  </si>
  <si>
    <t>Seed-stage entrepreneurs wanting to understand how to forecast SaaS businesses</t>
  </si>
  <si>
    <t>Ecommerce ForecastingTool</t>
  </si>
  <si>
    <t>https://foresight.is/ecommerce-forecasting-tool</t>
  </si>
  <si>
    <t>Seed-stage entrepreneurs wanting to understand how to forecast Ecommerce businesses</t>
  </si>
  <si>
    <t>Unit Economics Tool</t>
  </si>
  <si>
    <t>https://foresight.is/unit-economics-template</t>
  </si>
  <si>
    <t>Seed - B stage companies wanting to detail their unit economics, LTV, and cash flows on a per-user (subscriber, client, customer, etc.) basis.</t>
  </si>
  <si>
    <t>~</t>
  </si>
  <si>
    <t>Enterprise SaaS Forecasting Tool</t>
  </si>
  <si>
    <t>https://foresight.is/enterprise-saas-template</t>
  </si>
  <si>
    <t>Enterprise SaaS businesses wanting to use an enterprise pipeline and specific customer method to forecast their revenues</t>
  </si>
  <si>
    <t>Here's what has changed.</t>
  </si>
  <si>
    <t>v1.05 - September 23, 2022</t>
  </si>
  <si>
    <t>Small styling edits, to changes to core structure</t>
  </si>
  <si>
    <t>v1.04 - February 16, 2022</t>
  </si>
  <si>
    <t>Pulled the model into Google Sheets as the default structure, edited Key Reports. No change to core structure.</t>
  </si>
  <si>
    <t>v1.03 - September 6, 2021</t>
  </si>
  <si>
    <t>Forecast: Fixed an error on the renewal and churn calcs, line 37 and 38. The formulas previously mixed up the churn and retention rate for calculating churn and retention from any subscribers assumed at the beginning of period,leading to incorrect calcs if that assumption was used.</t>
  </si>
  <si>
    <t>v1.02 - July 30, 2021</t>
  </si>
  <si>
    <t>Forecast: Edited to remove all formulas that use OFFSET. Reduces reliance on a volatile formula, to help with model performance in larger implementations, this is a change I am making across all models and standardizing on.</t>
  </si>
  <si>
    <t>v1.01 - August 17, 2020</t>
  </si>
  <si>
    <t>Get Started, Forecast: Added retention costs. Not a vital change, but I am changing the base templates to prebuild in marketing costs for retention and expansion, and adding the same thinking here. Also included reactivated subscribers *CAC to account for some cost here, I could see that using CAC or retention cost per subscriber. Sums to Marketing Costs for simplicity.</t>
  </si>
  <si>
    <t>v1.00 - August 11, 2020</t>
  </si>
  <si>
    <t>First version of the new SaaS Model Starter. This was built to replace the previous SaaS Forecasting Tool, to build a more consistent structure that works with the core Foresight models and can be linked to and deployed with the other models. There is also a Causal Model based from this tool available for free at https://foresight.is/causal-saas-model</t>
  </si>
  <si>
    <t>Questions, ask hello@foresight.is anytime.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</si>
</sst>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3" formatCode="_(* #,##0.00_);_(* \(#,##0.00\);_(* &quot;-&quot;??_);_(@_)"/>
    <numFmt numFmtId="164" formatCode="_-* #,##0.00_-;\-* #,##0.00_-;_-* &quot;-&quot;??_-;_-@"/>
    <numFmt numFmtId="165" formatCode="_-* #,##0_-;\-* #,##0_-;_-* &quot;-&quot;??_-;_-@"/>
    <numFmt numFmtId="166" formatCode="[$-409]mmm\-yy"/>
    <numFmt numFmtId="167" formatCode="_(* #,##0_);_(* \(#,##0\);_(* &quot;-&quot;??_);_(@_)"/>
  </numFmts>
  <fonts count="24">
    <font>
      <sz val="12"/>
      <color theme="1"/>
      <name val="Arial"/>
      <scheme val="minor"/>
    </font>
    <font>
      <sz val="10"/>
      <color theme="1"/>
      <name val="Arial"/>
      <family val="2"/>
      <scheme val="minor"/>
    </font>
    <font>
      <b/>
      <sz val="14"/>
      <color theme="1"/>
      <name val="Arial"/>
      <family val="2"/>
      <scheme val="minor"/>
    </font>
    <font>
      <sz val="10"/>
      <color rgb="FF666666"/>
      <name val="Arial"/>
      <family val="2"/>
      <scheme val="minor"/>
    </font>
    <font>
      <sz val="10"/>
      <color rgb="FF000000"/>
      <name val="Arial"/>
      <family val="2"/>
      <scheme val="minor"/>
    </font>
    <font>
      <b/>
      <sz val="10"/>
      <color theme="1"/>
      <name val="Arial"/>
      <family val="2"/>
      <scheme val="minor"/>
    </font>
    <font>
      <sz val="10"/>
      <color rgb="FF000000"/>
      <name val="Arial"/>
      <family val="2"/>
    </font>
    <font>
      <u/>
      <sz val="10"/>
      <color rgb="FF0000FF"/>
      <name val="Arial"/>
      <family val="2"/>
    </font>
    <font>
      <b/>
      <sz val="12"/>
      <color theme="1"/>
      <name val="Arial"/>
      <family val="2"/>
      <scheme val="minor"/>
    </font>
    <font>
      <i/>
      <sz val="10"/>
      <color rgb="FF000000"/>
      <name val="&quot;Avenir Book&quot;"/>
    </font>
    <font>
      <u/>
      <sz val="10"/>
      <color rgb="FF1155CC"/>
      <name val="Arial"/>
      <family val="2"/>
    </font>
    <font>
      <sz val="10"/>
      <color rgb="FF000000"/>
      <name val="&quot;Avenir Book&quot;"/>
    </font>
    <font>
      <sz val="10"/>
      <color theme="1"/>
      <name val="Arial"/>
      <family val="2"/>
    </font>
    <font>
      <b/>
      <sz val="14"/>
      <color theme="1"/>
      <name val="Arial"/>
      <family val="2"/>
    </font>
    <font>
      <b/>
      <sz val="10"/>
      <color theme="1"/>
      <name val="Arial"/>
      <family val="2"/>
    </font>
    <font>
      <sz val="10"/>
      <color rgb="FF666666"/>
      <name val="Arial"/>
      <family val="2"/>
    </font>
    <font>
      <i/>
      <sz val="10"/>
      <color theme="1"/>
      <name val="Arial"/>
      <family val="2"/>
    </font>
    <font>
      <sz val="10"/>
      <color rgb="FF0000FF"/>
      <name val="Arial"/>
      <family val="2"/>
    </font>
    <font>
      <b/>
      <sz val="12"/>
      <color theme="1"/>
      <name val="Arial"/>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sz val="10"/>
      <name val="Arial"/>
      <family val="2"/>
    </font>
  </fonts>
  <fills count="3">
    <fill>
      <patternFill patternType="none"/>
    </fill>
    <fill>
      <patternFill patternType="gray125"/>
    </fill>
    <fill>
      <patternFill patternType="solid">
        <fgColor rgb="FFF2F2F2"/>
        <bgColor rgb="FFF2F2F2"/>
      </patternFill>
    </fill>
  </fills>
  <borders count="4">
    <border>
      <left/>
      <right/>
      <top/>
      <bottom/>
      <diagonal/>
    </border>
    <border>
      <left/>
      <right/>
      <top/>
      <bottom/>
      <diagonal/>
    </border>
    <border>
      <left/>
      <right/>
      <top/>
      <bottom/>
      <diagonal/>
    </border>
    <border>
      <left/>
      <right/>
      <top/>
      <bottom style="thin">
        <color rgb="FF000000"/>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4" fillId="0" borderId="0" xfId="0" applyFont="1" applyAlignment="1">
      <alignment wrapText="1"/>
    </xf>
    <xf numFmtId="0" fontId="6" fillId="0" borderId="0" xfId="0" applyFont="1" applyAlignment="1">
      <alignment vertical="top" wrapText="1"/>
    </xf>
    <xf numFmtId="0" fontId="1"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 fillId="0" borderId="0" xfId="0" applyFont="1" applyAlignment="1">
      <alignment vertical="top"/>
    </xf>
    <xf numFmtId="0" fontId="4" fillId="0" borderId="0" xfId="0" applyFont="1" applyAlignment="1">
      <alignment vertical="top"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xf numFmtId="164" fontId="12" fillId="0" borderId="0" xfId="0" applyNumberFormat="1" applyFont="1"/>
    <xf numFmtId="164" fontId="12" fillId="0" borderId="0" xfId="0" applyNumberFormat="1" applyFont="1" applyAlignment="1">
      <alignment horizontal="center"/>
    </xf>
    <xf numFmtId="0" fontId="12" fillId="0" borderId="0" xfId="0" applyFont="1" applyAlignment="1">
      <alignment wrapText="1"/>
    </xf>
    <xf numFmtId="164" fontId="13" fillId="0" borderId="0" xfId="0" applyNumberFormat="1" applyFont="1"/>
    <xf numFmtId="164" fontId="14" fillId="0" borderId="0" xfId="0" applyNumberFormat="1" applyFont="1" applyAlignment="1">
      <alignment horizontal="center"/>
    </xf>
    <xf numFmtId="164" fontId="15" fillId="0" borderId="1" xfId="0" applyNumberFormat="1" applyFont="1" applyBorder="1"/>
    <xf numFmtId="164" fontId="16" fillId="0" borderId="0" xfId="0" applyNumberFormat="1" applyFont="1"/>
    <xf numFmtId="165" fontId="17" fillId="2" borderId="2" xfId="0" applyNumberFormat="1" applyFont="1" applyFill="1" applyBorder="1" applyAlignment="1">
      <alignment horizontal="right"/>
    </xf>
    <xf numFmtId="17" fontId="17" fillId="2" borderId="2" xfId="0" applyNumberFormat="1" applyFont="1" applyFill="1" applyBorder="1"/>
    <xf numFmtId="165" fontId="17" fillId="2" borderId="2" xfId="0" applyNumberFormat="1" applyFont="1" applyFill="1" applyBorder="1"/>
    <xf numFmtId="9" fontId="17" fillId="2" borderId="2" xfId="0" applyNumberFormat="1" applyFont="1" applyFill="1" applyBorder="1"/>
    <xf numFmtId="41" fontId="17" fillId="2" borderId="2" xfId="0" applyNumberFormat="1" applyFont="1" applyFill="1" applyBorder="1"/>
    <xf numFmtId="164" fontId="18" fillId="0" borderId="0" xfId="0" applyNumberFormat="1" applyFont="1"/>
    <xf numFmtId="164" fontId="14" fillId="0" borderId="0" xfId="0" applyNumberFormat="1" applyFont="1"/>
    <xf numFmtId="164" fontId="12" fillId="0" borderId="3" xfId="0" applyNumberFormat="1" applyFont="1" applyBorder="1"/>
    <xf numFmtId="164" fontId="12" fillId="0" borderId="3" xfId="0" applyNumberFormat="1" applyFont="1" applyBorder="1" applyAlignment="1">
      <alignment horizontal="center"/>
    </xf>
    <xf numFmtId="164" fontId="12" fillId="0" borderId="3" xfId="0" applyNumberFormat="1" applyFont="1" applyBorder="1" applyAlignment="1">
      <alignment horizontal="left"/>
    </xf>
    <xf numFmtId="166" fontId="12" fillId="0" borderId="3" xfId="0" applyNumberFormat="1" applyFont="1" applyBorder="1"/>
    <xf numFmtId="164" fontId="12" fillId="0" borderId="0" xfId="0" applyNumberFormat="1" applyFont="1" applyAlignment="1">
      <alignment horizontal="left"/>
    </xf>
    <xf numFmtId="165" fontId="12" fillId="0" borderId="0" xfId="0" applyNumberFormat="1" applyFont="1"/>
    <xf numFmtId="0" fontId="12" fillId="0" borderId="0" xfId="0" applyFont="1" applyAlignment="1">
      <alignment horizontal="center"/>
    </xf>
    <xf numFmtId="0" fontId="12" fillId="0" borderId="0" xfId="0" applyFont="1" applyAlignment="1">
      <alignment horizontal="right"/>
    </xf>
    <xf numFmtId="167" fontId="12" fillId="0" borderId="0" xfId="0" applyNumberFormat="1" applyFont="1" applyAlignment="1">
      <alignment horizontal="right"/>
    </xf>
    <xf numFmtId="43" fontId="12" fillId="0" borderId="0" xfId="0" applyNumberFormat="1" applyFont="1" applyAlignment="1">
      <alignment horizontal="right"/>
    </xf>
    <xf numFmtId="167" fontId="12" fillId="0" borderId="0" xfId="0" applyNumberFormat="1" applyFont="1"/>
    <xf numFmtId="41" fontId="12" fillId="0" borderId="0" xfId="0" applyNumberFormat="1" applyFont="1" applyAlignment="1">
      <alignment horizontal="center"/>
    </xf>
    <xf numFmtId="165" fontId="12" fillId="0" borderId="0" xfId="0" applyNumberFormat="1" applyFont="1" applyAlignment="1">
      <alignment horizontal="center"/>
    </xf>
    <xf numFmtId="9" fontId="12" fillId="0" borderId="0" xfId="0" applyNumberFormat="1" applyFont="1" applyAlignment="1">
      <alignment horizontal="right"/>
    </xf>
    <xf numFmtId="166" fontId="12" fillId="0" borderId="0" xfId="0" applyNumberFormat="1" applyFont="1"/>
    <xf numFmtId="41" fontId="12" fillId="0" borderId="0" xfId="0" applyNumberFormat="1" applyFont="1"/>
    <xf numFmtId="0" fontId="1" fillId="0" borderId="3" xfId="0" applyFont="1" applyBorder="1"/>
    <xf numFmtId="0" fontId="19" fillId="0" borderId="0" xfId="0" applyFont="1" applyAlignment="1">
      <alignment vertical="top" wrapText="1"/>
    </xf>
    <xf numFmtId="0" fontId="1" fillId="0" borderId="0" xfId="0" applyFont="1" applyAlignment="1">
      <alignment horizontal="center"/>
    </xf>
    <xf numFmtId="0" fontId="1" fillId="0" borderId="0" xfId="0" applyFont="1" applyAlignment="1">
      <alignment wrapText="1"/>
    </xf>
    <xf numFmtId="0" fontId="1" fillId="0" borderId="3" xfId="0" applyFont="1" applyBorder="1" applyAlignment="1">
      <alignment wrapText="1"/>
    </xf>
    <xf numFmtId="0" fontId="1" fillId="0" borderId="3" xfId="0" applyFont="1" applyBorder="1" applyAlignment="1">
      <alignment horizontal="center" wrapText="1"/>
    </xf>
    <xf numFmtId="0" fontId="1" fillId="0" borderId="0" xfId="0" applyFont="1" applyAlignment="1">
      <alignment horizontal="center" vertical="top" wrapText="1"/>
    </xf>
    <xf numFmtId="0" fontId="20" fillId="0" borderId="0" xfId="0" applyFont="1" applyAlignment="1">
      <alignment vertical="top"/>
    </xf>
    <xf numFmtId="0" fontId="1" fillId="0" borderId="0" xfId="0" applyFont="1" applyAlignment="1">
      <alignment horizontal="center" vertical="center" wrapText="1"/>
    </xf>
    <xf numFmtId="0" fontId="21" fillId="0" borderId="0" xfId="0" applyFont="1" applyAlignment="1">
      <alignment vertical="top"/>
    </xf>
    <xf numFmtId="0" fontId="22" fillId="0" borderId="0" xfId="0" applyFont="1" applyAlignment="1">
      <alignment vertical="top"/>
    </xf>
    <xf numFmtId="165" fontId="0" fillId="0" borderId="0" xfId="0" applyNumberFormat="1"/>
    <xf numFmtId="165" fontId="1" fillId="0" borderId="0" xfId="0" applyNumberFormat="1" applyFont="1"/>
    <xf numFmtId="0" fontId="3" fillId="0" borderId="1" xfId="0" applyFont="1" applyBorder="1"/>
  </cellXfs>
  <cellStyles count="1">
    <cellStyle name="Normal" xfId="0" builtinId="0"/>
  </cellStyles>
  <dxfs count="12">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4">
    <tableStyle name="README-style" pivot="0" count="3" xr9:uid="{00000000-0011-0000-FFFF-FFFF00000000}">
      <tableStyleElement type="headerRow" dxfId="11"/>
      <tableStyleElement type="firstRowStripe" dxfId="10"/>
      <tableStyleElement type="secondRowStripe" dxfId="9"/>
    </tableStyle>
    <tableStyle name="README-style 2" pivot="0" count="3" xr9:uid="{00000000-0011-0000-FFFF-FFFF01000000}">
      <tableStyleElement type="headerRow" dxfId="8"/>
      <tableStyleElement type="firstRowStripe" dxfId="7"/>
      <tableStyleElement type="secondRowStripe" dxfId="6"/>
    </tableStyle>
    <tableStyle name="Additional Tools-style" pivot="0" count="3" xr9:uid="{00000000-0011-0000-FFFF-FFFF02000000}">
      <tableStyleElement type="headerRow" dxfId="5"/>
      <tableStyleElement type="firstRowStripe" dxfId="4"/>
      <tableStyleElement type="secondRowStripe" dxfId="3"/>
    </tableStyle>
    <tableStyle name="Model Comparison-style" pivot="0" count="3" xr9:uid="{00000000-0011-0000-FFFF-FFFF0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MRR Movements</a:t>
            </a:r>
          </a:p>
        </c:rich>
      </c:tx>
      <c:overlay val="0"/>
    </c:title>
    <c:autoTitleDeleted val="0"/>
    <c:plotArea>
      <c:layout/>
      <c:barChart>
        <c:barDir val="col"/>
        <c:grouping val="stacked"/>
        <c:varyColors val="1"/>
        <c:ser>
          <c:idx val="0"/>
          <c:order val="0"/>
          <c:tx>
            <c:v> New MRR </c:v>
          </c:tx>
          <c:spPr>
            <a:solidFill>
              <a:srgbClr val="00B050"/>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Forecast!$T$54:$BO$54</c:f>
              <c:numCache>
                <c:formatCode>_(* #,##0_);_(* \(#,##0\);_(* "-"_);_(@_)</c:formatCode>
                <c:ptCount val="48"/>
                <c:pt idx="0">
                  <c:v>750</c:v>
                </c:pt>
                <c:pt idx="1">
                  <c:v>821.25</c:v>
                </c:pt>
                <c:pt idx="2">
                  <c:v>895.36781250000001</c:v>
                </c:pt>
                <c:pt idx="3">
                  <c:v>972.13441032421872</c:v>
                </c:pt>
                <c:pt idx="4">
                  <c:v>1051.3153656291327</c:v>
                </c:pt>
                <c:pt idx="5">
                  <c:v>1132.6641445515993</c:v>
                </c:pt>
                <c:pt idx="6">
                  <c:v>1215.9253672977575</c:v>
                </c:pt>
                <c:pt idx="7">
                  <c:v>1300.8379706228088</c:v>
                </c:pt>
                <c:pt idx="8">
                  <c:v>1387.138219373586</c:v>
                </c:pt>
                <c:pt idx="9">
                  <c:v>1474.5625237702507</c:v>
                </c:pt>
                <c:pt idx="10">
                  <c:v>1562.8500289900326</c:v>
                </c:pt>
                <c:pt idx="11">
                  <c:v>1651.7449530604124</c:v>
                </c:pt>
                <c:pt idx="12">
                  <c:v>1740.9986578236167</c:v>
                </c:pt>
                <c:pt idx="13">
                  <c:v>1830.3714456230164</c:v>
                </c:pt>
                <c:pt idx="14">
                  <c:v>1919.6340812748031</c:v>
                </c:pt>
                <c:pt idx="15">
                  <c:v>2008.5690447718421</c:v>
                </c:pt>
                <c:pt idx="16">
                  <c:v>2096.9715250150912</c:v>
                </c:pt>
                <c:pt idx="17">
                  <c:v>2184.6501687135287</c:v>
                </c:pt>
                <c:pt idx="18">
                  <c:v>2271.4276014970469</c:v>
                </c:pt>
                <c:pt idx="19">
                  <c:v>2357.1407403293506</c:v>
                </c:pt>
                <c:pt idx="20">
                  <c:v>2441.640917583723</c:v>
                </c:pt>
                <c:pt idx="21">
                  <c:v>2524.7938377541145</c:v>
                </c:pt>
                <c:pt idx="22">
                  <c:v>2606.4793878197506</c:v>
                </c:pt>
                <c:pt idx="23">
                  <c:v>2686.5913218627625</c:v>
                </c:pt>
                <c:pt idx="24">
                  <c:v>2765.0368397495345</c:v>
                </c:pt>
                <c:pt idx="25">
                  <c:v>2841.7360786139611</c:v>
                </c:pt>
                <c:pt idx="26">
                  <c:v>2916.6215346022668</c:v>
                </c:pt>
                <c:pt idx="27">
                  <c:v>2989.6374309225921</c:v>
                </c:pt>
                <c:pt idx="28">
                  <c:v>3060.7390467464993</c:v>
                </c:pt>
                <c:pt idx="29">
                  <c:v>3129.8920199828731</c:v>
                </c:pt>
                <c:pt idx="30">
                  <c:v>3197.0716354272722</c:v>
                </c:pt>
                <c:pt idx="31">
                  <c:v>3262.26210831346</c:v>
                </c:pt>
                <c:pt idx="32">
                  <c:v>3325.4558718828721</c:v>
                </c:pt>
                <c:pt idx="33">
                  <c:v>3386.652876260021</c:v>
                </c:pt>
                <c:pt idx="34">
                  <c:v>3445.8599046895606</c:v>
                </c:pt>
                <c:pt idx="35">
                  <c:v>3503.0899120613662</c:v>
                </c:pt>
                <c:pt idx="36">
                  <c:v>3558.3613896271263</c:v>
                </c:pt>
                <c:pt idx="37">
                  <c:v>3611.6977588959967</c:v>
                </c:pt>
                <c:pt idx="38">
                  <c:v>3663.1267968857005</c:v>
                </c:pt>
                <c:pt idx="39">
                  <c:v>3712.6800941950896</c:v>
                </c:pt>
                <c:pt idx="40">
                  <c:v>3760.392546749224</c:v>
                </c:pt>
                <c:pt idx="41">
                  <c:v>3806.3018815420619</c:v>
                </c:pt>
                <c:pt idx="42">
                  <c:v>3850.4482162580257</c:v>
                </c:pt>
                <c:pt idx="43">
                  <c:v>3892.8736522846393</c:v>
                </c:pt>
                <c:pt idx="44">
                  <c:v>3933.6219003268989</c:v>
                </c:pt>
                <c:pt idx="45">
                  <c:v>3972.7379375927549</c:v>
                </c:pt>
                <c:pt idx="46">
                  <c:v>4010.2676953311316</c:v>
                </c:pt>
                <c:pt idx="47">
                  <c:v>4046.2577753626529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403-724C-B76D-88DF78429F44}"/>
            </c:ext>
          </c:extLst>
        </c:ser>
        <c:ser>
          <c:idx val="1"/>
          <c:order val="1"/>
          <c:tx>
            <c:v> Churned MRR </c:v>
          </c:tx>
          <c:spPr>
            <a:solidFill>
              <a:srgbClr val="FF0000"/>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Forecast!$T$56:$BO$56</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-37.5</c:v>
                </c:pt>
                <c:pt idx="13">
                  <c:v>-41.062500000000007</c:v>
                </c:pt>
                <c:pt idx="14">
                  <c:v>-44.768390624999995</c:v>
                </c:pt>
                <c:pt idx="15">
                  <c:v>-48.606720516210935</c:v>
                </c:pt>
                <c:pt idx="16">
                  <c:v>-52.565768281456641</c:v>
                </c:pt>
                <c:pt idx="17">
                  <c:v>-56.633207227579959</c:v>
                </c:pt>
                <c:pt idx="18">
                  <c:v>-60.796268364887879</c:v>
                </c:pt>
                <c:pt idx="19">
                  <c:v>-65.041898531140447</c:v>
                </c:pt>
                <c:pt idx="20">
                  <c:v>-69.356910968679315</c:v>
                </c:pt>
                <c:pt idx="21">
                  <c:v>-73.728126188512533</c:v>
                </c:pt>
                <c:pt idx="22">
                  <c:v>-78.142501449501623</c:v>
                </c:pt>
                <c:pt idx="23">
                  <c:v>-82.587247653020626</c:v>
                </c:pt>
                <c:pt idx="24">
                  <c:v>-122.67493289118084</c:v>
                </c:pt>
                <c:pt idx="25">
                  <c:v>-130.52794728115083</c:v>
                </c:pt>
                <c:pt idx="26">
                  <c:v>-138.51167515749017</c:v>
                </c:pt>
                <c:pt idx="27">
                  <c:v>-146.6048367289925</c:v>
                </c:pt>
                <c:pt idx="28">
                  <c:v>-154.78605611813836</c:v>
                </c:pt>
                <c:pt idx="29">
                  <c:v>-163.0340553018774</c:v>
                </c:pt>
                <c:pt idx="30">
                  <c:v>-171.32783502149584</c:v>
                </c:pt>
                <c:pt idx="31">
                  <c:v>-179.64684062105098</c:v>
                </c:pt>
                <c:pt idx="32">
                  <c:v>-187.9711112994315</c:v>
                </c:pt>
                <c:pt idx="33">
                  <c:v>-196.28141176679264</c:v>
                </c:pt>
                <c:pt idx="34">
                  <c:v>-204.55934576801408</c:v>
                </c:pt>
                <c:pt idx="35">
                  <c:v>-212.78745136350776</c:v>
                </c:pt>
                <c:pt idx="36">
                  <c:v>-254.79302823409853</c:v>
                </c:pt>
                <c:pt idx="37">
                  <c:v>-266.08835384779132</c:v>
                </c:pt>
                <c:pt idx="38">
                  <c:v>-277.41716812972896</c:v>
                </c:pt>
                <c:pt idx="39">
                  <c:v>-288.75646643867248</c:v>
                </c:pt>
                <c:pt idx="40">
                  <c:v>-300.08370564955641</c:v>
                </c:pt>
                <c:pt idx="41">
                  <c:v>-311.37695353592721</c:v>
                </c:pt>
                <c:pt idx="42">
                  <c:v>-322.61502504178463</c:v>
                </c:pt>
                <c:pt idx="43">
                  <c:v>-333.77760400567144</c:v>
                </c:pt>
                <c:pt idx="44">
                  <c:v>-344.8453493286035</c:v>
                </c:pt>
                <c:pt idx="45">
                  <c:v>-355.79998499145404</c:v>
                </c:pt>
                <c:pt idx="46">
                  <c:v>-366.62437371409135</c:v>
                </c:pt>
                <c:pt idx="47">
                  <c:v>-377.30257439840068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403-724C-B76D-88DF78429F44}"/>
            </c:ext>
          </c:extLst>
        </c:ser>
        <c:ser>
          <c:idx val="2"/>
          <c:order val="2"/>
          <c:tx>
            <c:v> Reactivated MRR </c:v>
          </c:tx>
          <c:spPr>
            <a:solidFill>
              <a:srgbClr val="00B050"/>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Forecast!$T$57:$BO$57</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403-724C-B76D-88DF78429F44}"/>
            </c:ext>
          </c:extLst>
        </c:ser>
        <c:dLbls>
          <c:showLegendKey val="0"/>
          <c:showVal val="0"/>
          <c:showCatName val="0"/>
          <c:showSerName val="0"/>
          <c:showPercent val="0"/>
          <c:showBubbleSize val="0"/>
        </c:dLbls>
        <c:gapWidth val="150"/>
        <c:overlap val="100"/>
        <c:axId val="1325330844"/>
        <c:axId val="1928514525"/>
      </c:barChart>
      <c:dateAx>
        <c:axId val="1325330844"/>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928514525"/>
        <c:crosses val="autoZero"/>
        <c:auto val="1"/>
        <c:lblOffset val="100"/>
        <c:baseTimeUnit val="months"/>
      </c:dateAx>
      <c:valAx>
        <c:axId val="192851452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325330844"/>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Subscribers</a:t>
            </a:r>
          </a:p>
        </c:rich>
      </c:tx>
      <c:overlay val="0"/>
    </c:title>
    <c:autoTitleDeleted val="0"/>
    <c:plotArea>
      <c:layout/>
      <c:lineChart>
        <c:grouping val="standard"/>
        <c:varyColors val="1"/>
        <c:ser>
          <c:idx val="0"/>
          <c:order val="0"/>
          <c:tx>
            <c:v> New subscribers, during month </c:v>
          </c:tx>
          <c:spPr>
            <a:ln cmpd="sng">
              <a:solidFill>
                <a:srgbClr val="4285F4"/>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Forecast!$T$36:$BO$36</c:f>
              <c:numCache>
                <c:formatCode>_(* #,##0_);_(* \(#,##0\);_(* "-"_);_(@_)</c:formatCode>
                <c:ptCount val="48"/>
                <c:pt idx="0">
                  <c:v>25</c:v>
                </c:pt>
                <c:pt idx="1">
                  <c:v>27.375</c:v>
                </c:pt>
                <c:pt idx="2">
                  <c:v>29.845593749999999</c:v>
                </c:pt>
                <c:pt idx="3">
                  <c:v>32.404480344140623</c:v>
                </c:pt>
                <c:pt idx="4">
                  <c:v>35.04384552097109</c:v>
                </c:pt>
                <c:pt idx="5">
                  <c:v>37.755471485053306</c:v>
                </c:pt>
                <c:pt idx="6">
                  <c:v>40.530845576591915</c:v>
                </c:pt>
                <c:pt idx="7">
                  <c:v>43.361265687426965</c:v>
                </c:pt>
                <c:pt idx="8">
                  <c:v>46.237940645786203</c:v>
                </c:pt>
                <c:pt idx="9">
                  <c:v>49.152084125675024</c:v>
                </c:pt>
                <c:pt idx="10">
                  <c:v>52.095000966334418</c:v>
                </c:pt>
                <c:pt idx="11">
                  <c:v>55.058165102013746</c:v>
                </c:pt>
                <c:pt idx="12">
                  <c:v>58.033288594120556</c:v>
                </c:pt>
                <c:pt idx="13">
                  <c:v>61.012381520767214</c:v>
                </c:pt>
                <c:pt idx="14">
                  <c:v>63.9878027091601</c:v>
                </c:pt>
                <c:pt idx="15">
                  <c:v>66.952301492394739</c:v>
                </c:pt>
                <c:pt idx="16">
                  <c:v>69.89905083383637</c:v>
                </c:pt>
                <c:pt idx="17">
                  <c:v>72.821672290450962</c:v>
                </c:pt>
                <c:pt idx="18">
                  <c:v>75.71425338323489</c:v>
                </c:pt>
                <c:pt idx="19">
                  <c:v>78.571358010978358</c:v>
                </c:pt>
                <c:pt idx="20">
                  <c:v>81.388030586124103</c:v>
                </c:pt>
                <c:pt idx="21">
                  <c:v>84.159794591803816</c:v>
                </c:pt>
                <c:pt idx="22">
                  <c:v>86.882646260658362</c:v>
                </c:pt>
                <c:pt idx="23">
                  <c:v>89.553044062092084</c:v>
                </c:pt>
                <c:pt idx="24">
                  <c:v>92.16789465831782</c:v>
                </c:pt>
                <c:pt idx="25">
                  <c:v>94.724535953798707</c:v>
                </c:pt>
                <c:pt idx="26">
                  <c:v>97.220717820075564</c:v>
                </c:pt>
                <c:pt idx="27">
                  <c:v>99.654581030753064</c:v>
                </c:pt>
                <c:pt idx="28">
                  <c:v>102.02463489154998</c:v>
                </c:pt>
                <c:pt idx="29">
                  <c:v>104.32973399942911</c:v>
                </c:pt>
                <c:pt idx="30">
                  <c:v>106.56905451424241</c:v>
                </c:pt>
                <c:pt idx="31">
                  <c:v>108.74207027711533</c:v>
                </c:pt>
                <c:pt idx="32">
                  <c:v>110.8485290627624</c:v>
                </c:pt>
                <c:pt idx="33">
                  <c:v>112.88842920866736</c:v>
                </c:pt>
                <c:pt idx="34">
                  <c:v>114.86199682298535</c:v>
                </c:pt>
                <c:pt idx="35">
                  <c:v>116.76966373537887</c:v>
                </c:pt>
                <c:pt idx="36">
                  <c:v>118.61204632090421</c:v>
                </c:pt>
                <c:pt idx="37">
                  <c:v>120.38992529653322</c:v>
                </c:pt>
                <c:pt idx="38">
                  <c:v>122.10422656285668</c:v>
                </c:pt>
                <c:pt idx="39">
                  <c:v>123.75600313983632</c:v>
                </c:pt>
                <c:pt idx="40">
                  <c:v>125.34641822497413</c:v>
                </c:pt>
                <c:pt idx="41">
                  <c:v>126.8767293847354</c:v>
                </c:pt>
                <c:pt idx="42">
                  <c:v>128.34827387526752</c:v>
                </c:pt>
                <c:pt idx="43">
                  <c:v>129.76245507615465</c:v>
                </c:pt>
                <c:pt idx="44">
                  <c:v>131.12073001089664</c:v>
                </c:pt>
                <c:pt idx="45">
                  <c:v>132.4245979197585</c:v>
                </c:pt>
                <c:pt idx="46">
                  <c:v>133.67558984437105</c:v>
                </c:pt>
                <c:pt idx="47">
                  <c:v>134.8752591787551</c:v>
                </c:pt>
              </c:numCache>
            </c:numRef>
          </c:val>
          <c:smooth val="0"/>
          <c:extLst>
            <c:ext xmlns:c16="http://schemas.microsoft.com/office/drawing/2014/chart" uri="{C3380CC4-5D6E-409C-BE32-E72D297353CC}">
              <c16:uniqueId val="{00000000-A84D-E049-861A-F1ACF5DF77E5}"/>
            </c:ext>
          </c:extLst>
        </c:ser>
        <c:ser>
          <c:idx val="1"/>
          <c:order val="1"/>
          <c:tx>
            <c:v> Renewed subscribers, during month </c:v>
          </c:tx>
          <c:spPr>
            <a:ln cmpd="sng">
              <a:solidFill>
                <a:srgbClr val="EA4335"/>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Forecast!$T$37:$BO$37</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23.75</c:v>
                </c:pt>
                <c:pt idx="13">
                  <c:v>26.006249999999998</c:v>
                </c:pt>
                <c:pt idx="14">
                  <c:v>28.353314062499997</c:v>
                </c:pt>
                <c:pt idx="15">
                  <c:v>30.78425632693359</c:v>
                </c:pt>
                <c:pt idx="16">
                  <c:v>33.291653244922536</c:v>
                </c:pt>
                <c:pt idx="17">
                  <c:v>35.867697910800636</c:v>
                </c:pt>
                <c:pt idx="18">
                  <c:v>38.50430329776232</c:v>
                </c:pt>
                <c:pt idx="19">
                  <c:v>41.193202403055615</c:v>
                </c:pt>
                <c:pt idx="20">
                  <c:v>43.926043613496894</c:v>
                </c:pt>
                <c:pt idx="21">
                  <c:v>46.69447991939127</c:v>
                </c:pt>
                <c:pt idx="22">
                  <c:v>49.490250918017693</c:v>
                </c:pt>
                <c:pt idx="23">
                  <c:v>52.305256846913053</c:v>
                </c:pt>
                <c:pt idx="24">
                  <c:v>77.694124164414532</c:v>
                </c:pt>
                <c:pt idx="25">
                  <c:v>82.667699944728852</c:v>
                </c:pt>
                <c:pt idx="26">
                  <c:v>87.724060933077084</c:v>
                </c:pt>
                <c:pt idx="27">
                  <c:v>92.84972992836191</c:v>
                </c:pt>
                <c:pt idx="28">
                  <c:v>98.031168874820949</c:v>
                </c:pt>
                <c:pt idx="29">
                  <c:v>103.254901691189</c:v>
                </c:pt>
                <c:pt idx="30">
                  <c:v>108.50762884694734</c:v>
                </c:pt>
                <c:pt idx="31">
                  <c:v>113.77633239333228</c:v>
                </c:pt>
                <c:pt idx="32">
                  <c:v>119.04837048963994</c:v>
                </c:pt>
                <c:pt idx="33">
                  <c:v>124.31156078563532</c:v>
                </c:pt>
                <c:pt idx="34">
                  <c:v>129.55425231974223</c:v>
                </c:pt>
                <c:pt idx="35">
                  <c:v>134.76538586355488</c:v>
                </c:pt>
                <c:pt idx="36">
                  <c:v>161.36891788159573</c:v>
                </c:pt>
                <c:pt idx="37">
                  <c:v>168.52262410360117</c:v>
                </c:pt>
                <c:pt idx="38">
                  <c:v>175.69753981549502</c:v>
                </c:pt>
                <c:pt idx="39">
                  <c:v>182.87909541115923</c:v>
                </c:pt>
                <c:pt idx="40">
                  <c:v>190.05301357805237</c:v>
                </c:pt>
                <c:pt idx="41">
                  <c:v>197.20540390608721</c:v>
                </c:pt>
                <c:pt idx="42">
                  <c:v>204.32284919313025</c:v>
                </c:pt>
                <c:pt idx="43">
                  <c:v>211.39248253692523</c:v>
                </c:pt>
                <c:pt idx="44">
                  <c:v>218.4020545747822</c:v>
                </c:pt>
                <c:pt idx="45">
                  <c:v>225.33999049458754</c:v>
                </c:pt>
                <c:pt idx="46">
                  <c:v>232.19543668559118</c:v>
                </c:pt>
                <c:pt idx="47">
                  <c:v>238.95829711898708</c:v>
                </c:pt>
              </c:numCache>
            </c:numRef>
          </c:val>
          <c:smooth val="0"/>
          <c:extLst>
            <c:ext xmlns:c16="http://schemas.microsoft.com/office/drawing/2014/chart" uri="{C3380CC4-5D6E-409C-BE32-E72D297353CC}">
              <c16:uniqueId val="{00000001-A84D-E049-861A-F1ACF5DF77E5}"/>
            </c:ext>
          </c:extLst>
        </c:ser>
        <c:ser>
          <c:idx val="2"/>
          <c:order val="2"/>
          <c:tx>
            <c:v> Churned subscribers, during month </c:v>
          </c:tx>
          <c:spPr>
            <a:ln cmpd="sng">
              <a:solidFill>
                <a:srgbClr val="FBBC04"/>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Forecast!$T$38:$BO$38</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1.25</c:v>
                </c:pt>
                <c:pt idx="13">
                  <c:v>1.3687500000000001</c:v>
                </c:pt>
                <c:pt idx="14">
                  <c:v>1.4922796875</c:v>
                </c:pt>
                <c:pt idx="15">
                  <c:v>1.6202240172070312</c:v>
                </c:pt>
                <c:pt idx="16">
                  <c:v>1.7521922760485547</c:v>
                </c:pt>
                <c:pt idx="17">
                  <c:v>1.8877735742526653</c:v>
                </c:pt>
                <c:pt idx="18">
                  <c:v>2.0265422788295959</c:v>
                </c:pt>
                <c:pt idx="19">
                  <c:v>2.1680632843713483</c:v>
                </c:pt>
                <c:pt idx="20">
                  <c:v>2.3118970322893104</c:v>
                </c:pt>
                <c:pt idx="21">
                  <c:v>2.4576042062837513</c:v>
                </c:pt>
                <c:pt idx="22">
                  <c:v>2.604750048316721</c:v>
                </c:pt>
                <c:pt idx="23">
                  <c:v>2.7529082551006874</c:v>
                </c:pt>
                <c:pt idx="24">
                  <c:v>4.0891644297060283</c:v>
                </c:pt>
                <c:pt idx="25">
                  <c:v>4.3509315760383611</c:v>
                </c:pt>
                <c:pt idx="26">
                  <c:v>4.6170558385830054</c:v>
                </c:pt>
                <c:pt idx="27">
                  <c:v>4.8868278909664165</c:v>
                </c:pt>
                <c:pt idx="28">
                  <c:v>5.1595352039379456</c:v>
                </c:pt>
                <c:pt idx="29">
                  <c:v>5.4344685100625796</c:v>
                </c:pt>
                <c:pt idx="30">
                  <c:v>5.710927834049861</c:v>
                </c:pt>
                <c:pt idx="31">
                  <c:v>5.9882280207016994</c:v>
                </c:pt>
                <c:pt idx="32">
                  <c:v>6.2657037099810502</c:v>
                </c:pt>
                <c:pt idx="33">
                  <c:v>6.5427137255597545</c:v>
                </c:pt>
                <c:pt idx="34">
                  <c:v>6.8186448589338031</c:v>
                </c:pt>
                <c:pt idx="35">
                  <c:v>7.0929150454502583</c:v>
                </c:pt>
                <c:pt idx="36">
                  <c:v>8.4931009411366176</c:v>
                </c:pt>
                <c:pt idx="37">
                  <c:v>8.869611794926378</c:v>
                </c:pt>
                <c:pt idx="38">
                  <c:v>9.2472389376576327</c:v>
                </c:pt>
                <c:pt idx="39">
                  <c:v>9.6252155479557491</c:v>
                </c:pt>
                <c:pt idx="40">
                  <c:v>10.002790188318547</c:v>
                </c:pt>
                <c:pt idx="41">
                  <c:v>10.379231784530907</c:v>
                </c:pt>
                <c:pt idx="42">
                  <c:v>10.753834168059488</c:v>
                </c:pt>
                <c:pt idx="43">
                  <c:v>11.125920133522381</c:v>
                </c:pt>
                <c:pt idx="44">
                  <c:v>11.494844977620117</c:v>
                </c:pt>
                <c:pt idx="45">
                  <c:v>11.859999499715135</c:v>
                </c:pt>
                <c:pt idx="46">
                  <c:v>12.220812457136379</c:v>
                </c:pt>
                <c:pt idx="47">
                  <c:v>12.576752479946689</c:v>
                </c:pt>
              </c:numCache>
            </c:numRef>
          </c:val>
          <c:smooth val="0"/>
          <c:extLst>
            <c:ext xmlns:c16="http://schemas.microsoft.com/office/drawing/2014/chart" uri="{C3380CC4-5D6E-409C-BE32-E72D297353CC}">
              <c16:uniqueId val="{00000002-A84D-E049-861A-F1ACF5DF77E5}"/>
            </c:ext>
          </c:extLst>
        </c:ser>
        <c:ser>
          <c:idx val="3"/>
          <c:order val="3"/>
          <c:tx>
            <c:v> Reactivated subscribers, during month </c:v>
          </c:tx>
          <c:spPr>
            <a:ln cmpd="sng">
              <a:solidFill>
                <a:srgbClr val="34A853"/>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Forecast!$T$39:$BO$39</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3-A84D-E049-861A-F1ACF5DF77E5}"/>
            </c:ext>
          </c:extLst>
        </c:ser>
        <c:dLbls>
          <c:showLegendKey val="0"/>
          <c:showVal val="0"/>
          <c:showCatName val="0"/>
          <c:showSerName val="0"/>
          <c:showPercent val="0"/>
          <c:showBubbleSize val="0"/>
        </c:dLbls>
        <c:smooth val="0"/>
        <c:axId val="296452149"/>
        <c:axId val="1491895864"/>
      </c:lineChart>
      <c:dateAx>
        <c:axId val="296452149"/>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491895864"/>
        <c:crosses val="autoZero"/>
        <c:auto val="1"/>
        <c:lblOffset val="100"/>
        <c:baseTimeUnit val="months"/>
      </c:dateAx>
      <c:valAx>
        <c:axId val="1491895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296452149"/>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Growth and Churn Rates</a:t>
            </a:r>
          </a:p>
        </c:rich>
      </c:tx>
      <c:overlay val="0"/>
    </c:title>
    <c:autoTitleDeleted val="0"/>
    <c:plotArea>
      <c:layout/>
      <c:lineChart>
        <c:grouping val="standard"/>
        <c:varyColors val="1"/>
        <c:ser>
          <c:idx val="0"/>
          <c:order val="0"/>
          <c:tx>
            <c:v> Growth Rate in Subscribers </c:v>
          </c:tx>
          <c:spPr>
            <a:ln cmpd="sng">
              <a:solidFill>
                <a:srgbClr val="4285F4"/>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Forecast!$T$64:$BO$64</c:f>
              <c:numCache>
                <c:formatCode>0%</c:formatCode>
                <c:ptCount val="48"/>
                <c:pt idx="0">
                  <c:v>0</c:v>
                </c:pt>
                <c:pt idx="1">
                  <c:v>1.0950000000000002</c:v>
                </c:pt>
                <c:pt idx="2">
                  <c:v>0.56984427207637234</c:v>
                </c:pt>
                <c:pt idx="3">
                  <c:v>0.39411635049328031</c:v>
                </c:pt>
                <c:pt idx="4">
                  <c:v>0.30572582655161362</c:v>
                </c:pt>
                <c:pt idx="5">
                  <c:v>0.25225993200288466</c:v>
                </c:pt>
                <c:pt idx="6">
                  <c:v>0.21625171269694077</c:v>
                </c:pt>
                <c:pt idx="7">
                  <c:v>0.19021833549239187</c:v>
                </c:pt>
                <c:pt idx="8">
                  <c:v>0.17042067195648025</c:v>
                </c:pt>
                <c:pt idx="9">
                  <c:v>0.15478317248463691</c:v>
                </c:pt>
                <c:pt idx="10">
                  <c:v>0.14206183176844411</c:v>
                </c:pt>
                <c:pt idx="11">
                  <c:v>0.13146600813884057</c:v>
                </c:pt>
                <c:pt idx="12">
                  <c:v>0.11983143831073995</c:v>
                </c:pt>
                <c:pt idx="13">
                  <c:v>0.11239879460699065</c:v>
                </c:pt>
                <c:pt idx="14">
                  <c:v>0.10587318365612197</c:v>
                </c:pt>
                <c:pt idx="15">
                  <c:v>0.10008251426951653</c:v>
                </c:pt>
                <c:pt idx="16">
                  <c:v>9.4896963807033829E-2</c:v>
                </c:pt>
                <c:pt idx="17">
                  <c:v>9.0216724709602181E-2</c:v>
                </c:pt>
                <c:pt idx="18">
                  <c:v>8.5963769725257766E-2</c:v>
                </c:pt>
                <c:pt idx="19">
                  <c:v>8.207618015464857E-2</c:v>
                </c:pt>
                <c:pt idx="20">
                  <c:v>7.8504154098889112E-2</c:v>
                </c:pt>
                <c:pt idx="21">
                  <c:v>7.5207142809711636E-2</c:v>
                </c:pt>
                <c:pt idx="22">
                  <c:v>7.2151760952102961E-2</c:v>
                </c:pt>
                <c:pt idx="23">
                  <c:v>6.9310238056261575E-2</c:v>
                </c:pt>
                <c:pt idx="24">
                  <c:v>6.5772493383302821E-2</c:v>
                </c:pt>
                <c:pt idx="25">
                  <c:v>6.3321377965762204E-2</c:v>
                </c:pt>
                <c:pt idx="26">
                  <c:v>6.1020023307613469E-2</c:v>
                </c:pt>
                <c:pt idx="27">
                  <c:v>5.885470839554241E-2</c:v>
                </c:pt>
                <c:pt idx="28">
                  <c:v>5.6813505368678907E-2</c:v>
                </c:pt>
                <c:pt idx="29">
                  <c:v>5.4885977366326388E-2</c:v>
                </c:pt>
                <c:pt idx="30">
                  <c:v>5.3062936435581021E-2</c:v>
                </c:pt>
                <c:pt idx="31">
                  <c:v>5.1336248074312696E-2</c:v>
                </c:pt>
                <c:pt idx="32">
                  <c:v>4.9698672286637491E-2</c:v>
                </c:pt>
                <c:pt idx="33">
                  <c:v>4.8143733446686765E-2</c:v>
                </c:pt>
                <c:pt idx="34">
                  <c:v>4.6665613056594113E-2</c:v>
                </c:pt>
                <c:pt idx="35">
                  <c:v>4.5259060822312014E-2</c:v>
                </c:pt>
                <c:pt idx="36">
                  <c:v>4.3473947102423471E-2</c:v>
                </c:pt>
                <c:pt idx="37">
                  <c:v>4.2192902346755101E-2</c:v>
                </c:pt>
                <c:pt idx="38">
                  <c:v>4.0969980909913106E-2</c:v>
                </c:pt>
                <c:pt idx="39">
                  <c:v>3.9801726972265916E-2</c:v>
                </c:pt>
                <c:pt idx="40">
                  <c:v>3.8684962059369887E-2</c:v>
                </c:pt>
                <c:pt idx="41">
                  <c:v>3.7616754285945797E-2</c:v>
                </c:pt>
                <c:pt idx="42">
                  <c:v>3.6594391933794768E-2</c:v>
                </c:pt>
                <c:pt idx="43">
                  <c:v>3.5615360662686779E-2</c:v>
                </c:pt>
                <c:pt idx="44">
                  <c:v>3.467732377804067E-2</c:v>
                </c:pt>
                <c:pt idx="45">
                  <c:v>3.3778105079601994E-2</c:v>
                </c:pt>
                <c:pt idx="46">
                  <c:v>3.2915673896528386E-2</c:v>
                </c:pt>
                <c:pt idx="47">
                  <c:v>3.2088131980372969E-2</c:v>
                </c:pt>
              </c:numCache>
            </c:numRef>
          </c:val>
          <c:smooth val="0"/>
          <c:extLst>
            <c:ext xmlns:c16="http://schemas.microsoft.com/office/drawing/2014/chart" uri="{C3380CC4-5D6E-409C-BE32-E72D297353CC}">
              <c16:uniqueId val="{00000000-856F-954A-94B9-334B26ACF5F9}"/>
            </c:ext>
          </c:extLst>
        </c:ser>
        <c:ser>
          <c:idx val="1"/>
          <c:order val="1"/>
          <c:tx>
            <c:v> Gross MRR Churn </c:v>
          </c:tx>
          <c:spPr>
            <a:ln cmpd="sng">
              <a:solidFill>
                <a:srgbClr val="EA4335"/>
              </a:solidFill>
            </a:ln>
          </c:spPr>
          <c:marker>
            <c:symbol val="none"/>
          </c:marker>
          <c:dPt>
            <c:idx val="31"/>
            <c:bubble3D val="0"/>
            <c:extLst>
              <c:ext xmlns:c16="http://schemas.microsoft.com/office/drawing/2014/chart" uri="{C3380CC4-5D6E-409C-BE32-E72D297353CC}">
                <c16:uniqueId val="{00000001-856F-954A-94B9-334B26ACF5F9}"/>
              </c:ext>
            </c:extLst>
          </c:dPt>
          <c:dPt>
            <c:idx val="40"/>
            <c:bubble3D val="0"/>
            <c:extLst>
              <c:ext xmlns:c16="http://schemas.microsoft.com/office/drawing/2014/chart" uri="{C3380CC4-5D6E-409C-BE32-E72D297353CC}">
                <c16:uniqueId val="{00000002-856F-954A-94B9-334B26ACF5F9}"/>
              </c:ext>
            </c:extLst>
          </c:dPt>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Forecast!$T$65:$BO$65</c:f>
              <c:numCache>
                <c:formatCode>0%</c:formatCode>
                <c:ptCount val="48"/>
                <c:pt idx="0">
                  <c:v>0</c:v>
                </c:pt>
                <c:pt idx="1">
                  <c:v>0</c:v>
                </c:pt>
                <c:pt idx="2">
                  <c:v>0</c:v>
                </c:pt>
                <c:pt idx="3">
                  <c:v>0</c:v>
                </c:pt>
                <c:pt idx="4">
                  <c:v>0</c:v>
                </c:pt>
                <c:pt idx="5">
                  <c:v>0</c:v>
                </c:pt>
                <c:pt idx="6">
                  <c:v>0</c:v>
                </c:pt>
                <c:pt idx="7">
                  <c:v>0</c:v>
                </c:pt>
                <c:pt idx="8">
                  <c:v>0</c:v>
                </c:pt>
                <c:pt idx="9">
                  <c:v>0</c:v>
                </c:pt>
                <c:pt idx="10">
                  <c:v>0</c:v>
                </c:pt>
                <c:pt idx="11">
                  <c:v>0</c:v>
                </c:pt>
                <c:pt idx="12">
                  <c:v>-2.6379116390933123E-3</c:v>
                </c:pt>
                <c:pt idx="13">
                  <c:v>-2.5794178891463209E-3</c:v>
                </c:pt>
                <c:pt idx="14">
                  <c:v>-2.5280595118186248E-3</c:v>
                </c:pt>
                <c:pt idx="15">
                  <c:v>-2.4820287305806388E-3</c:v>
                </c:pt>
                <c:pt idx="16">
                  <c:v>-2.4399910798843685E-3</c:v>
                </c:pt>
                <c:pt idx="17">
                  <c:v>-2.400950066819371E-3</c:v>
                </c:pt>
                <c:pt idx="18">
                  <c:v>-2.3641555855762196E-3</c:v>
                </c:pt>
                <c:pt idx="19">
                  <c:v>-2.3290403031896068E-3</c:v>
                </c:pt>
                <c:pt idx="20">
                  <c:v>-2.2951744442593932E-3</c:v>
                </c:pt>
                <c:pt idx="21">
                  <c:v>-2.2622329908120425E-3</c:v>
                </c:pt>
                <c:pt idx="22">
                  <c:v>-2.2299714548238156E-3</c:v>
                </c:pt>
                <c:pt idx="23">
                  <c:v>-2.1982076955772215E-3</c:v>
                </c:pt>
                <c:pt idx="24">
                  <c:v>-3.0535696836000493E-3</c:v>
                </c:pt>
                <c:pt idx="25">
                  <c:v>-3.0485337475075064E-3</c:v>
                </c:pt>
                <c:pt idx="26">
                  <c:v>-3.0423511214836591E-3</c:v>
                </c:pt>
                <c:pt idx="27">
                  <c:v>-3.0349229666529224E-3</c:v>
                </c:pt>
                <c:pt idx="28">
                  <c:v>-3.0261805537201603E-3</c:v>
                </c:pt>
                <c:pt idx="29">
                  <c:v>-3.0160808423470862E-3</c:v>
                </c:pt>
                <c:pt idx="30">
                  <c:v>-3.0046027089842024E-3</c:v>
                </c:pt>
                <c:pt idx="31">
                  <c:v>-2.9917436900234722E-3</c:v>
                </c:pt>
                <c:pt idx="32">
                  <c:v>-2.9775171427727709E-3</c:v>
                </c:pt>
                <c:pt idx="33">
                  <c:v>-2.9619497521868876E-3</c:v>
                </c:pt>
                <c:pt idx="34">
                  <c:v>-2.9450793294825868E-3</c:v>
                </c:pt>
                <c:pt idx="35">
                  <c:v>-2.9269528617874223E-3</c:v>
                </c:pt>
                <c:pt idx="36">
                  <c:v>-3.3529981582838173E-3</c:v>
                </c:pt>
                <c:pt idx="37">
                  <c:v>-3.3557533382612193E-3</c:v>
                </c:pt>
                <c:pt idx="38">
                  <c:v>-3.3569848949312653E-3</c:v>
                </c:pt>
                <c:pt idx="39">
                  <c:v>-3.3566771015273184E-3</c:v>
                </c:pt>
                <c:pt idx="40">
                  <c:v>-3.3548238902279758E-3</c:v>
                </c:pt>
                <c:pt idx="41">
                  <c:v>-3.3514283118377714E-3</c:v>
                </c:pt>
                <c:pt idx="42">
                  <c:v>-3.3465019546573167E-3</c:v>
                </c:pt>
                <c:pt idx="43">
                  <c:v>-3.3400643271590765E-3</c:v>
                </c:pt>
                <c:pt idx="44">
                  <c:v>-3.3321422111647096E-3</c:v>
                </c:pt>
                <c:pt idx="45">
                  <c:v>-3.3227689935124934E-3</c:v>
                </c:pt>
                <c:pt idx="46">
                  <c:v>-3.3119839848474411E-3</c:v>
                </c:pt>
                <c:pt idx="47">
                  <c:v>-3.2998317342900502E-3</c:v>
                </c:pt>
              </c:numCache>
            </c:numRef>
          </c:val>
          <c:smooth val="0"/>
          <c:extLst>
            <c:ext xmlns:c16="http://schemas.microsoft.com/office/drawing/2014/chart" uri="{C3380CC4-5D6E-409C-BE32-E72D297353CC}">
              <c16:uniqueId val="{00000003-856F-954A-94B9-334B26ACF5F9}"/>
            </c:ext>
          </c:extLst>
        </c:ser>
        <c:ser>
          <c:idx val="2"/>
          <c:order val="2"/>
          <c:tx>
            <c:v> Net MRR Growth Rate </c:v>
          </c:tx>
          <c:spPr>
            <a:ln cmpd="sng">
              <a:solidFill>
                <a:srgbClr val="FBBC04">
                  <a:alpha val="100000"/>
                </a:srgbClr>
              </a:solidFill>
            </a:ln>
          </c:spPr>
          <c:marker>
            <c:symbol val="none"/>
          </c:marker>
          <c:dPt>
            <c:idx val="44"/>
            <c:bubble3D val="0"/>
            <c:extLst>
              <c:ext xmlns:c16="http://schemas.microsoft.com/office/drawing/2014/chart" uri="{C3380CC4-5D6E-409C-BE32-E72D297353CC}">
                <c16:uniqueId val="{00000004-856F-954A-94B9-334B26ACF5F9}"/>
              </c:ext>
            </c:extLst>
          </c:dPt>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Forecast!$T$66:$BO$66</c:f>
              <c:numCache>
                <c:formatCode>0%</c:formatCode>
                <c:ptCount val="48"/>
                <c:pt idx="0">
                  <c:v>0</c:v>
                </c:pt>
                <c:pt idx="1">
                  <c:v>1.0950000000000002</c:v>
                </c:pt>
                <c:pt idx="2">
                  <c:v>0.56984427207637234</c:v>
                </c:pt>
                <c:pt idx="3">
                  <c:v>0.39411635049328031</c:v>
                </c:pt>
                <c:pt idx="4">
                  <c:v>0.3057258265516134</c:v>
                </c:pt>
                <c:pt idx="5">
                  <c:v>0.25225993200288466</c:v>
                </c:pt>
                <c:pt idx="6">
                  <c:v>0.21625171269694055</c:v>
                </c:pt>
                <c:pt idx="7">
                  <c:v>0.19021833549239187</c:v>
                </c:pt>
                <c:pt idx="8">
                  <c:v>0.17042067195648025</c:v>
                </c:pt>
                <c:pt idx="9">
                  <c:v>0.15478317248463713</c:v>
                </c:pt>
                <c:pt idx="10">
                  <c:v>0.14206183176844411</c:v>
                </c:pt>
                <c:pt idx="11">
                  <c:v>0.13146600813884057</c:v>
                </c:pt>
                <c:pt idx="12">
                  <c:v>0.11983143831074017</c:v>
                </c:pt>
                <c:pt idx="13">
                  <c:v>0.11239879460699065</c:v>
                </c:pt>
                <c:pt idx="14">
                  <c:v>0.10587318365612219</c:v>
                </c:pt>
                <c:pt idx="15">
                  <c:v>0.10008251426951653</c:v>
                </c:pt>
                <c:pt idx="16">
                  <c:v>9.4896963807033829E-2</c:v>
                </c:pt>
                <c:pt idx="17">
                  <c:v>9.0216724709602403E-2</c:v>
                </c:pt>
                <c:pt idx="18">
                  <c:v>8.5963769725257766E-2</c:v>
                </c:pt>
                <c:pt idx="19">
                  <c:v>8.207618015464857E-2</c:v>
                </c:pt>
                <c:pt idx="20">
                  <c:v>7.8504154098889112E-2</c:v>
                </c:pt>
                <c:pt idx="21">
                  <c:v>7.5207142809711636E-2</c:v>
                </c:pt>
                <c:pt idx="22">
                  <c:v>7.2151760952102739E-2</c:v>
                </c:pt>
                <c:pt idx="23">
                  <c:v>6.9310238056261575E-2</c:v>
                </c:pt>
                <c:pt idx="24">
                  <c:v>6.5772493383302599E-2</c:v>
                </c:pt>
                <c:pt idx="25">
                  <c:v>6.3321377965762204E-2</c:v>
                </c:pt>
                <c:pt idx="26">
                  <c:v>6.1020023307613469E-2</c:v>
                </c:pt>
                <c:pt idx="27">
                  <c:v>5.8854708395542632E-2</c:v>
                </c:pt>
                <c:pt idx="28">
                  <c:v>5.6813505368678907E-2</c:v>
                </c:pt>
                <c:pt idx="29">
                  <c:v>5.4885977366326166E-2</c:v>
                </c:pt>
                <c:pt idx="30">
                  <c:v>5.3062936435581021E-2</c:v>
                </c:pt>
                <c:pt idx="31">
                  <c:v>5.1336248074312696E-2</c:v>
                </c:pt>
                <c:pt idx="32">
                  <c:v>4.9698672286637491E-2</c:v>
                </c:pt>
                <c:pt idx="33">
                  <c:v>4.8143733446686543E-2</c:v>
                </c:pt>
                <c:pt idx="34">
                  <c:v>4.6665613056594113E-2</c:v>
                </c:pt>
                <c:pt idx="35">
                  <c:v>4.5259060822312236E-2</c:v>
                </c:pt>
                <c:pt idx="36">
                  <c:v>4.3473947102423693E-2</c:v>
                </c:pt>
                <c:pt idx="37">
                  <c:v>4.2192902346755101E-2</c:v>
                </c:pt>
                <c:pt idx="38">
                  <c:v>4.0969980909913106E-2</c:v>
                </c:pt>
                <c:pt idx="39">
                  <c:v>3.9801726972265916E-2</c:v>
                </c:pt>
                <c:pt idx="40">
                  <c:v>3.8684962059370109E-2</c:v>
                </c:pt>
                <c:pt idx="41">
                  <c:v>3.7616754285945797E-2</c:v>
                </c:pt>
                <c:pt idx="42">
                  <c:v>3.6594391933794768E-2</c:v>
                </c:pt>
                <c:pt idx="43">
                  <c:v>3.5615360662686557E-2</c:v>
                </c:pt>
                <c:pt idx="44">
                  <c:v>3.467732377804067E-2</c:v>
                </c:pt>
                <c:pt idx="45">
                  <c:v>3.3778105079601994E-2</c:v>
                </c:pt>
                <c:pt idx="46">
                  <c:v>3.2915673896528386E-2</c:v>
                </c:pt>
                <c:pt idx="47">
                  <c:v>3.2088131980372969E-2</c:v>
                </c:pt>
              </c:numCache>
            </c:numRef>
          </c:val>
          <c:smooth val="0"/>
          <c:extLst>
            <c:ext xmlns:c16="http://schemas.microsoft.com/office/drawing/2014/chart" uri="{C3380CC4-5D6E-409C-BE32-E72D297353CC}">
              <c16:uniqueId val="{00000005-856F-954A-94B9-334B26ACF5F9}"/>
            </c:ext>
          </c:extLst>
        </c:ser>
        <c:dLbls>
          <c:showLegendKey val="0"/>
          <c:showVal val="0"/>
          <c:showCatName val="0"/>
          <c:showSerName val="0"/>
          <c:showPercent val="0"/>
          <c:showBubbleSize val="0"/>
        </c:dLbls>
        <c:smooth val="0"/>
        <c:axId val="1404679116"/>
        <c:axId val="184658071"/>
      </c:lineChart>
      <c:dateAx>
        <c:axId val="1404679116"/>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84658071"/>
        <c:crosses val="autoZero"/>
        <c:auto val="1"/>
        <c:lblOffset val="100"/>
        <c:baseTimeUnit val="months"/>
      </c:dateAx>
      <c:valAx>
        <c:axId val="1846580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n-US"/>
          </a:p>
        </c:txPr>
        <c:crossAx val="1404679116"/>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Revenues and Marketing Spend</a:t>
            </a:r>
          </a:p>
        </c:rich>
      </c:tx>
      <c:overlay val="0"/>
    </c:title>
    <c:autoTitleDeleted val="0"/>
    <c:plotArea>
      <c:layout/>
      <c:lineChart>
        <c:grouping val="standard"/>
        <c:varyColors val="1"/>
        <c:ser>
          <c:idx val="0"/>
          <c:order val="0"/>
          <c:tx>
            <c:v> Revenues </c:v>
          </c:tx>
          <c:spPr>
            <a:ln cmpd="sng">
              <a:solidFill>
                <a:srgbClr val="4285F4"/>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Forecast!$T$46:$BO$46</c:f>
              <c:numCache>
                <c:formatCode>_(* #,##0_);_(* \(#,##0\);_(* "-"_);_(@_)</c:formatCode>
                <c:ptCount val="48"/>
                <c:pt idx="0">
                  <c:v>750</c:v>
                </c:pt>
                <c:pt idx="1">
                  <c:v>1571.25</c:v>
                </c:pt>
                <c:pt idx="2">
                  <c:v>2466.6178125000001</c:v>
                </c:pt>
                <c:pt idx="3">
                  <c:v>3438.7522228242187</c:v>
                </c:pt>
                <c:pt idx="4">
                  <c:v>4490.0675884533512</c:v>
                </c:pt>
                <c:pt idx="5">
                  <c:v>5622.7317330049509</c:v>
                </c:pt>
                <c:pt idx="6">
                  <c:v>6838.6571003027084</c:v>
                </c:pt>
                <c:pt idx="7">
                  <c:v>8139.4950709255172</c:v>
                </c:pt>
                <c:pt idx="8">
                  <c:v>9526.6332902991035</c:v>
                </c:pt>
                <c:pt idx="9">
                  <c:v>11001.195814069353</c:v>
                </c:pt>
                <c:pt idx="10">
                  <c:v>12564.045843059384</c:v>
                </c:pt>
                <c:pt idx="11">
                  <c:v>14215.790796119796</c:v>
                </c:pt>
                <c:pt idx="12">
                  <c:v>15919.289453943413</c:v>
                </c:pt>
                <c:pt idx="13">
                  <c:v>17708.598399566428</c:v>
                </c:pt>
                <c:pt idx="14">
                  <c:v>19583.464090216232</c:v>
                </c:pt>
                <c:pt idx="15">
                  <c:v>21543.426414471865</c:v>
                </c:pt>
                <c:pt idx="16">
                  <c:v>23587.8321712055</c:v>
                </c:pt>
                <c:pt idx="17">
                  <c:v>25715.849132691445</c:v>
                </c:pt>
                <c:pt idx="18">
                  <c:v>27926.480465823603</c:v>
                </c:pt>
                <c:pt idx="19">
                  <c:v>30218.579307621811</c:v>
                </c:pt>
                <c:pt idx="20">
                  <c:v>32590.863314236856</c:v>
                </c:pt>
                <c:pt idx="21">
                  <c:v>35041.929025802456</c:v>
                </c:pt>
                <c:pt idx="22">
                  <c:v>37570.265912172712</c:v>
                </c:pt>
                <c:pt idx="23">
                  <c:v>40174.269986382453</c:v>
                </c:pt>
                <c:pt idx="24">
                  <c:v>42816.63189324081</c:v>
                </c:pt>
                <c:pt idx="25">
                  <c:v>45527.840024573619</c:v>
                </c:pt>
                <c:pt idx="26">
                  <c:v>48305.949884018402</c:v>
                </c:pt>
                <c:pt idx="27">
                  <c:v>51148.982478211998</c:v>
                </c:pt>
                <c:pt idx="28">
                  <c:v>54054.935468840355</c:v>
                </c:pt>
                <c:pt idx="29">
                  <c:v>57021.793433521358</c:v>
                </c:pt>
                <c:pt idx="30">
                  <c:v>60047.537233927127</c:v>
                </c:pt>
                <c:pt idx="31">
                  <c:v>63130.152501619537</c:v>
                </c:pt>
                <c:pt idx="32">
                  <c:v>66267.637262202974</c:v>
                </c:pt>
                <c:pt idx="33">
                  <c:v>69458.008726696207</c:v>
                </c:pt>
                <c:pt idx="34">
                  <c:v>72699.309285617754</c:v>
                </c:pt>
                <c:pt idx="35">
                  <c:v>75989.611746315597</c:v>
                </c:pt>
                <c:pt idx="36">
                  <c:v>79293.180107708627</c:v>
                </c:pt>
                <c:pt idx="37">
                  <c:v>82638.789512756834</c:v>
                </c:pt>
                <c:pt idx="38">
                  <c:v>86024.499141512817</c:v>
                </c:pt>
                <c:pt idx="39">
                  <c:v>89448.422769269222</c:v>
                </c:pt>
                <c:pt idx="40">
                  <c:v>92908.731610368894</c:v>
                </c:pt>
                <c:pt idx="41">
                  <c:v>96403.656538375028</c:v>
                </c:pt>
                <c:pt idx="42">
                  <c:v>99931.489729591252</c:v>
                </c:pt>
                <c:pt idx="43">
                  <c:v>103490.58577787022</c:v>
                </c:pt>
                <c:pt idx="44">
                  <c:v>107079.36232886852</c:v>
                </c:pt>
                <c:pt idx="45">
                  <c:v>110696.30028146981</c:v>
                </c:pt>
                <c:pt idx="46">
                  <c:v>114339.94360308687</c:v>
                </c:pt>
                <c:pt idx="47">
                  <c:v>118008.89880405112</c:v>
                </c:pt>
              </c:numCache>
            </c:numRef>
          </c:val>
          <c:smooth val="0"/>
          <c:extLst>
            <c:ext xmlns:c16="http://schemas.microsoft.com/office/drawing/2014/chart" uri="{C3380CC4-5D6E-409C-BE32-E72D297353CC}">
              <c16:uniqueId val="{00000000-2F40-AF45-8E4F-8C261D019B9A}"/>
            </c:ext>
          </c:extLst>
        </c:ser>
        <c:ser>
          <c:idx val="1"/>
          <c:order val="1"/>
          <c:tx>
            <c:v> Marketing Spend </c:v>
          </c:tx>
          <c:spPr>
            <a:ln cmpd="sng">
              <a:solidFill>
                <a:srgbClr val="EA4335"/>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Forecast!$T$47:$BO$47</c:f>
              <c:numCache>
                <c:formatCode>_(* #,##0_);_(* \(#,##0\);_(* "-"_);_(@_)</c:formatCode>
                <c:ptCount val="48"/>
                <c:pt idx="0">
                  <c:v>625</c:v>
                </c:pt>
                <c:pt idx="1">
                  <c:v>684.375</c:v>
                </c:pt>
                <c:pt idx="2">
                  <c:v>746.13984374999995</c:v>
                </c:pt>
                <c:pt idx="3">
                  <c:v>810.11200860351562</c:v>
                </c:pt>
                <c:pt idx="4">
                  <c:v>876.09613802427725</c:v>
                </c:pt>
                <c:pt idx="5">
                  <c:v>943.88678712633259</c:v>
                </c:pt>
                <c:pt idx="6">
                  <c:v>1013.2711394147979</c:v>
                </c:pt>
                <c:pt idx="7">
                  <c:v>1084.0316421856742</c:v>
                </c:pt>
                <c:pt idx="8">
                  <c:v>1155.9485161446551</c:v>
                </c:pt>
                <c:pt idx="9">
                  <c:v>1228.8021031418757</c:v>
                </c:pt>
                <c:pt idx="10">
                  <c:v>1302.3750241583605</c:v>
                </c:pt>
                <c:pt idx="11">
                  <c:v>1376.4541275503436</c:v>
                </c:pt>
                <c:pt idx="12">
                  <c:v>1569.582214853014</c:v>
                </c:pt>
                <c:pt idx="13">
                  <c:v>1655.3407880191803</c:v>
                </c:pt>
                <c:pt idx="14">
                  <c:v>1741.4616380415023</c:v>
                </c:pt>
                <c:pt idx="15">
                  <c:v>1827.7288189445364</c:v>
                </c:pt>
                <c:pt idx="16">
                  <c:v>1913.9345370705221</c:v>
                </c:pt>
                <c:pt idx="17">
                  <c:v>1999.8802968152772</c:v>
                </c:pt>
                <c:pt idx="18">
                  <c:v>2085.3778510696839</c:v>
                </c:pt>
                <c:pt idx="19">
                  <c:v>2170.2499622897371</c:v>
                </c:pt>
                <c:pt idx="20">
                  <c:v>2254.3309827205871</c:v>
                </c:pt>
                <c:pt idx="21">
                  <c:v>2337.4672643920517</c:v>
                </c:pt>
                <c:pt idx="22">
                  <c:v>2419.5174111065476</c:v>
                </c:pt>
                <c:pt idx="23">
                  <c:v>2500.3523857868672</c:v>
                </c:pt>
                <c:pt idx="24">
                  <c:v>2692.6679872800182</c:v>
                </c:pt>
                <c:pt idx="25">
                  <c:v>2781.4518985686123</c:v>
                </c:pt>
                <c:pt idx="26">
                  <c:v>2869.1382501672747</c:v>
                </c:pt>
                <c:pt idx="27">
                  <c:v>2955.6131754106364</c:v>
                </c:pt>
                <c:pt idx="28">
                  <c:v>3040.771716662854</c:v>
                </c:pt>
                <c:pt idx="29">
                  <c:v>3124.5178584416731</c:v>
                </c:pt>
                <c:pt idx="30">
                  <c:v>3206.764507090797</c:v>
                </c:pt>
                <c:pt idx="31">
                  <c:v>3287.4334188945445</c:v>
                </c:pt>
                <c:pt idx="32">
                  <c:v>3366.4550790172593</c:v>
                </c:pt>
                <c:pt idx="33">
                  <c:v>3443.7685341448605</c:v>
                </c:pt>
                <c:pt idx="34">
                  <c:v>3519.3211821733448</c:v>
                </c:pt>
                <c:pt idx="35">
                  <c:v>3593.0685227022464</c:v>
                </c:pt>
                <c:pt idx="36">
                  <c:v>3772.1457474305839</c:v>
                </c:pt>
                <c:pt idx="37">
                  <c:v>3852.3612529313364</c:v>
                </c:pt>
                <c:pt idx="38">
                  <c:v>3931.093363148892</c:v>
                </c:pt>
                <c:pt idx="39">
                  <c:v>4008.2955555517042</c:v>
                </c:pt>
                <c:pt idx="40">
                  <c:v>4083.9255235146152</c:v>
                </c:pt>
                <c:pt idx="41">
                  <c:v>4157.9452541488208</c:v>
                </c:pt>
                <c:pt idx="42">
                  <c:v>4230.3210928473391</c:v>
                </c:pt>
                <c:pt idx="43">
                  <c:v>4301.0237895884929</c:v>
                </c:pt>
                <c:pt idx="44">
                  <c:v>4370.0285231463267</c:v>
                </c:pt>
                <c:pt idx="45">
                  <c:v>4437.3149004668994</c:v>
                </c:pt>
                <c:pt idx="46">
                  <c:v>4502.866929537232</c:v>
                </c:pt>
                <c:pt idx="47">
                  <c:v>4566.6729650638126</c:v>
                </c:pt>
              </c:numCache>
            </c:numRef>
          </c:val>
          <c:smooth val="0"/>
          <c:extLst>
            <c:ext xmlns:c16="http://schemas.microsoft.com/office/drawing/2014/chart" uri="{C3380CC4-5D6E-409C-BE32-E72D297353CC}">
              <c16:uniqueId val="{00000001-2F40-AF45-8E4F-8C261D019B9A}"/>
            </c:ext>
          </c:extLst>
        </c:ser>
        <c:dLbls>
          <c:showLegendKey val="0"/>
          <c:showVal val="0"/>
          <c:showCatName val="0"/>
          <c:showSerName val="0"/>
          <c:showPercent val="0"/>
          <c:showBubbleSize val="0"/>
        </c:dLbls>
        <c:smooth val="0"/>
        <c:axId val="1931413097"/>
        <c:axId val="1246940642"/>
      </c:lineChart>
      <c:dateAx>
        <c:axId val="1931413097"/>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246940642"/>
        <c:crosses val="autoZero"/>
        <c:auto val="1"/>
        <c:lblOffset val="100"/>
        <c:baseTimeUnit val="months"/>
      </c:dateAx>
      <c:valAx>
        <c:axId val="12469406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93141309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Revenues and Deferred Revenue</a:t>
            </a:r>
          </a:p>
        </c:rich>
      </c:tx>
      <c:overlay val="0"/>
    </c:title>
    <c:autoTitleDeleted val="0"/>
    <c:plotArea>
      <c:layout/>
      <c:barChart>
        <c:barDir val="col"/>
        <c:grouping val="clustered"/>
        <c:varyColors val="1"/>
        <c:ser>
          <c:idx val="0"/>
          <c:order val="0"/>
          <c:tx>
            <c:v> Deferred Revenue </c:v>
          </c:tx>
          <c:spPr>
            <a:solidFill>
              <a:schemeClr val="accent1"/>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Forecast!$T$49:$BO$49</c:f>
              <c:numCache>
                <c:formatCode>_(* #,##0_);_(* \(#,##0\);_(* "-"_);_(@_)</c:formatCode>
                <c:ptCount val="48"/>
                <c:pt idx="0">
                  <c:v>0</c:v>
                </c:pt>
                <c:pt idx="1">
                  <c:v>8283.75</c:v>
                </c:pt>
                <c:pt idx="2">
                  <c:v>16561.545937499999</c:v>
                </c:pt>
                <c:pt idx="3">
                  <c:v>24788.406638566405</c:v>
                </c:pt>
                <c:pt idx="4">
                  <c:v>32914.123437662645</c:v>
                </c:pt>
                <c:pt idx="5">
                  <c:v>40883.361439276887</c:v>
                </c:pt>
                <c:pt idx="6">
                  <c:v>48635.808746547271</c:v>
                </c:pt>
                <c:pt idx="7">
                  <c:v>56106.369323095467</c:v>
                </c:pt>
                <c:pt idx="8">
                  <c:v>63225.394665279389</c:v>
                </c:pt>
                <c:pt idx="9">
                  <c:v>69918.94913645304</c:v>
                </c:pt>
                <c:pt idx="10">
                  <c:v>76109.10364127405</c:v>
                </c:pt>
                <c:pt idx="11">
                  <c:v>81714.252281879206</c:v>
                </c:pt>
                <c:pt idx="12">
                  <c:v>95236.9467218192</c:v>
                </c:pt>
                <c:pt idx="13">
                  <c:v>108855.05566972897</c:v>
                </c:pt>
                <c:pt idx="14">
                  <c:v>122514.39361731036</c:v>
                </c:pt>
                <c:pt idx="15">
                  <c:v>136156.12801779667</c:v>
                </c:pt>
                <c:pt idx="16">
                  <c:v>149716.94931494439</c:v>
                </c:pt>
                <c:pt idx="17">
                  <c:v>163129.27345470351</c:v>
                </c:pt>
                <c:pt idx="18">
                  <c:v>176321.47339403888</c:v>
                </c:pt>
                <c:pt idx="19">
                  <c:v>189218.13583546929</c:v>
                </c:pt>
                <c:pt idx="20">
                  <c:v>201740.33923309599</c:v>
                </c:pt>
                <c:pt idx="21">
                  <c:v>213805.94903132378</c:v>
                </c:pt>
                <c:pt idx="22">
                  <c:v>225329.92610347443</c:v>
                </c:pt>
                <c:pt idx="23">
                  <c:v>236224.64444433386</c:v>
                </c:pt>
                <c:pt idx="24">
                  <c:v>254558.33932727671</c:v>
                </c:pt>
                <c:pt idx="25">
                  <c:v>272891.70422617299</c:v>
                </c:pt>
                <c:pt idx="26">
                  <c:v>291165.87469328957</c:v>
                </c:pt>
                <c:pt idx="27">
                  <c:v>309318.44416035898</c:v>
                </c:pt>
                <c:pt idx="28">
                  <c:v>327283.59804741218</c:v>
                </c:pt>
                <c:pt idx="29">
                  <c:v>344992.27346251335</c:v>
                </c:pt>
                <c:pt idx="30">
                  <c:v>362372.34223861451</c:v>
                </c:pt>
                <c:pt idx="31">
                  <c:v>379348.81469835609</c:v>
                </c:pt>
                <c:pt idx="32">
                  <c:v>395844.06127501797</c:v>
                </c:pt>
                <c:pt idx="33">
                  <c:v>411778.04894627078</c:v>
                </c:pt>
                <c:pt idx="34">
                  <c:v>427068.58935203496</c:v>
                </c:pt>
                <c:pt idx="35">
                  <c:v>441631.5954613355</c:v>
                </c:pt>
                <c:pt idx="36">
                  <c:v>463131.56246652681</c:v>
                </c:pt>
                <c:pt idx="37">
                  <c:v>484501.29073781834</c:v>
                </c:pt>
                <c:pt idx="38">
                  <c:v>505685.42749251216</c:v>
                </c:pt>
                <c:pt idx="39">
                  <c:v>526625.64020160132</c:v>
                </c:pt>
                <c:pt idx="40">
                  <c:v>547260.70404032199</c:v>
                </c:pt>
                <c:pt idx="41">
                  <c:v>567526.61548664304</c:v>
                </c:pt>
                <c:pt idx="42">
                  <c:v>587356.73006167496</c:v>
                </c:pt>
                <c:pt idx="43">
                  <c:v>606681.92182451347</c:v>
                </c:pt>
                <c:pt idx="44">
                  <c:v>625430.76194648934</c:v>
                </c:pt>
                <c:pt idx="45">
                  <c:v>643529.71349418408</c:v>
                </c:pt>
                <c:pt idx="46">
                  <c:v>660903.33944188361</c:v>
                </c:pt>
                <c:pt idx="47">
                  <c:v>677474.52090501972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AC7-6E40-9018-C3B1A37650D0}"/>
            </c:ext>
          </c:extLst>
        </c:ser>
        <c:dLbls>
          <c:showLegendKey val="0"/>
          <c:showVal val="0"/>
          <c:showCatName val="0"/>
          <c:showSerName val="0"/>
          <c:showPercent val="0"/>
          <c:showBubbleSize val="0"/>
        </c:dLbls>
        <c:gapWidth val="150"/>
        <c:axId val="1831317403"/>
        <c:axId val="2047423808"/>
      </c:barChart>
      <c:lineChart>
        <c:grouping val="standard"/>
        <c:varyColors val="0"/>
        <c:ser>
          <c:idx val="1"/>
          <c:order val="1"/>
          <c:tx>
            <c:v> Revenues </c:v>
          </c:tx>
          <c:spPr>
            <a:ln w="76200" cmpd="sng">
              <a:solidFill>
                <a:srgbClr val="EA4335"/>
              </a:solidFill>
            </a:ln>
          </c:spPr>
          <c:marker>
            <c:symbol val="none"/>
          </c:marker>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Forecast!$T$46:$BO$46</c:f>
              <c:numCache>
                <c:formatCode>_(* #,##0_);_(* \(#,##0\);_(* "-"_);_(@_)</c:formatCode>
                <c:ptCount val="48"/>
                <c:pt idx="0">
                  <c:v>750</c:v>
                </c:pt>
                <c:pt idx="1">
                  <c:v>1571.25</c:v>
                </c:pt>
                <c:pt idx="2">
                  <c:v>2466.6178125000001</c:v>
                </c:pt>
                <c:pt idx="3">
                  <c:v>3438.7522228242187</c:v>
                </c:pt>
                <c:pt idx="4">
                  <c:v>4490.0675884533512</c:v>
                </c:pt>
                <c:pt idx="5">
                  <c:v>5622.7317330049509</c:v>
                </c:pt>
                <c:pt idx="6">
                  <c:v>6838.6571003027084</c:v>
                </c:pt>
                <c:pt idx="7">
                  <c:v>8139.4950709255172</c:v>
                </c:pt>
                <c:pt idx="8">
                  <c:v>9526.6332902991035</c:v>
                </c:pt>
                <c:pt idx="9">
                  <c:v>11001.195814069353</c:v>
                </c:pt>
                <c:pt idx="10">
                  <c:v>12564.045843059384</c:v>
                </c:pt>
                <c:pt idx="11">
                  <c:v>14215.790796119796</c:v>
                </c:pt>
                <c:pt idx="12">
                  <c:v>15919.289453943413</c:v>
                </c:pt>
                <c:pt idx="13">
                  <c:v>17708.598399566428</c:v>
                </c:pt>
                <c:pt idx="14">
                  <c:v>19583.464090216232</c:v>
                </c:pt>
                <c:pt idx="15">
                  <c:v>21543.426414471865</c:v>
                </c:pt>
                <c:pt idx="16">
                  <c:v>23587.8321712055</c:v>
                </c:pt>
                <c:pt idx="17">
                  <c:v>25715.849132691445</c:v>
                </c:pt>
                <c:pt idx="18">
                  <c:v>27926.480465823603</c:v>
                </c:pt>
                <c:pt idx="19">
                  <c:v>30218.579307621811</c:v>
                </c:pt>
                <c:pt idx="20">
                  <c:v>32590.863314236856</c:v>
                </c:pt>
                <c:pt idx="21">
                  <c:v>35041.929025802456</c:v>
                </c:pt>
                <c:pt idx="22">
                  <c:v>37570.265912172712</c:v>
                </c:pt>
                <c:pt idx="23">
                  <c:v>40174.269986382453</c:v>
                </c:pt>
                <c:pt idx="24">
                  <c:v>42816.63189324081</c:v>
                </c:pt>
                <c:pt idx="25">
                  <c:v>45527.840024573619</c:v>
                </c:pt>
                <c:pt idx="26">
                  <c:v>48305.949884018402</c:v>
                </c:pt>
                <c:pt idx="27">
                  <c:v>51148.982478211998</c:v>
                </c:pt>
                <c:pt idx="28">
                  <c:v>54054.935468840355</c:v>
                </c:pt>
                <c:pt idx="29">
                  <c:v>57021.793433521358</c:v>
                </c:pt>
                <c:pt idx="30">
                  <c:v>60047.537233927127</c:v>
                </c:pt>
                <c:pt idx="31">
                  <c:v>63130.152501619537</c:v>
                </c:pt>
                <c:pt idx="32">
                  <c:v>66267.637262202974</c:v>
                </c:pt>
                <c:pt idx="33">
                  <c:v>69458.008726696207</c:v>
                </c:pt>
                <c:pt idx="34">
                  <c:v>72699.309285617754</c:v>
                </c:pt>
                <c:pt idx="35">
                  <c:v>75989.611746315597</c:v>
                </c:pt>
                <c:pt idx="36">
                  <c:v>79293.180107708627</c:v>
                </c:pt>
                <c:pt idx="37">
                  <c:v>82638.789512756834</c:v>
                </c:pt>
                <c:pt idx="38">
                  <c:v>86024.499141512817</c:v>
                </c:pt>
                <c:pt idx="39">
                  <c:v>89448.422769269222</c:v>
                </c:pt>
                <c:pt idx="40">
                  <c:v>92908.731610368894</c:v>
                </c:pt>
                <c:pt idx="41">
                  <c:v>96403.656538375028</c:v>
                </c:pt>
                <c:pt idx="42">
                  <c:v>99931.489729591252</c:v>
                </c:pt>
                <c:pt idx="43">
                  <c:v>103490.58577787022</c:v>
                </c:pt>
                <c:pt idx="44">
                  <c:v>107079.36232886852</c:v>
                </c:pt>
                <c:pt idx="45">
                  <c:v>110696.30028146981</c:v>
                </c:pt>
                <c:pt idx="46">
                  <c:v>114339.94360308687</c:v>
                </c:pt>
                <c:pt idx="47">
                  <c:v>118008.89880405112</c:v>
                </c:pt>
              </c:numCache>
            </c:numRef>
          </c:val>
          <c:smooth val="0"/>
          <c:extLst>
            <c:ext xmlns:c16="http://schemas.microsoft.com/office/drawing/2014/chart" uri="{C3380CC4-5D6E-409C-BE32-E72D297353CC}">
              <c16:uniqueId val="{00000001-4AC7-6E40-9018-C3B1A37650D0}"/>
            </c:ext>
          </c:extLst>
        </c:ser>
        <c:dLbls>
          <c:showLegendKey val="0"/>
          <c:showVal val="0"/>
          <c:showCatName val="0"/>
          <c:showSerName val="0"/>
          <c:showPercent val="0"/>
          <c:showBubbleSize val="0"/>
        </c:dLbls>
        <c:marker val="1"/>
        <c:smooth val="0"/>
        <c:axId val="1831317403"/>
        <c:axId val="2047423808"/>
      </c:lineChart>
      <c:dateAx>
        <c:axId val="1831317403"/>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2047423808"/>
        <c:crosses val="autoZero"/>
        <c:auto val="1"/>
        <c:lblOffset val="100"/>
        <c:baseTimeUnit val="months"/>
      </c:dateAx>
      <c:valAx>
        <c:axId val="20474238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183131740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MRR Build</a:t>
            </a:r>
          </a:p>
        </c:rich>
      </c:tx>
      <c:overlay val="0"/>
    </c:title>
    <c:autoTitleDeleted val="0"/>
    <c:plotArea>
      <c:layout/>
      <c:barChart>
        <c:barDir val="col"/>
        <c:grouping val="stacked"/>
        <c:varyColors val="1"/>
        <c:ser>
          <c:idx val="0"/>
          <c:order val="0"/>
          <c:tx>
            <c:v> Existing MRR </c:v>
          </c:tx>
          <c:spPr>
            <a:solidFill>
              <a:srgbClr val="FF0000"/>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Forecast!$T$53:$BO$53</c:f>
              <c:numCache>
                <c:formatCode>_(* #,##0_);_(* \(#,##0\);_(* "-"_);_(@_)</c:formatCode>
                <c:ptCount val="48"/>
                <c:pt idx="0">
                  <c:v>0</c:v>
                </c:pt>
                <c:pt idx="1">
                  <c:v>750</c:v>
                </c:pt>
                <c:pt idx="2">
                  <c:v>1571.25</c:v>
                </c:pt>
                <c:pt idx="3">
                  <c:v>2466.6178125000001</c:v>
                </c:pt>
                <c:pt idx="4">
                  <c:v>3438.7522228242187</c:v>
                </c:pt>
                <c:pt idx="5">
                  <c:v>4490.0675884533512</c:v>
                </c:pt>
                <c:pt idx="6">
                  <c:v>5622.73173300495</c:v>
                </c:pt>
                <c:pt idx="7">
                  <c:v>6838.6571003027075</c:v>
                </c:pt>
                <c:pt idx="8">
                  <c:v>8139.4950709255163</c:v>
                </c:pt>
                <c:pt idx="9">
                  <c:v>9526.6332902991016</c:v>
                </c:pt>
                <c:pt idx="10">
                  <c:v>11001.195814069353</c:v>
                </c:pt>
                <c:pt idx="11">
                  <c:v>12564.045843059386</c:v>
                </c:pt>
                <c:pt idx="12">
                  <c:v>13465.790796119798</c:v>
                </c:pt>
                <c:pt idx="13">
                  <c:v>15098.039453943415</c:v>
                </c:pt>
                <c:pt idx="14">
                  <c:v>16813.230587066435</c:v>
                </c:pt>
                <c:pt idx="15">
                  <c:v>18611.32967989202</c:v>
                </c:pt>
                <c:pt idx="16">
                  <c:v>20492.111048842737</c:v>
                </c:pt>
                <c:pt idx="17">
                  <c:v>22455.168026653904</c:v>
                </c:pt>
                <c:pt idx="18">
                  <c:v>24499.923765393694</c:v>
                </c:pt>
                <c:pt idx="19">
                  <c:v>26625.642495200802</c:v>
                </c:pt>
                <c:pt idx="20">
                  <c:v>28831.441088248233</c:v>
                </c:pt>
                <c:pt idx="21">
                  <c:v>31116.300790466616</c:v>
                </c:pt>
                <c:pt idx="22">
                  <c:v>33479.078996812437</c:v>
                </c:pt>
                <c:pt idx="23">
                  <c:v>35918.520959112306</c:v>
                </c:pt>
                <c:pt idx="24">
                  <c:v>37720.77132855884</c:v>
                </c:pt>
                <c:pt idx="25">
                  <c:v>40206.072947617795</c:v>
                </c:pt>
                <c:pt idx="26">
                  <c:v>42757.606521423819</c:v>
                </c:pt>
                <c:pt idx="27">
                  <c:v>45373.853149438546</c:v>
                </c:pt>
                <c:pt idx="28">
                  <c:v>48053.26135584923</c:v>
                </c:pt>
                <c:pt idx="29">
                  <c:v>50794.254362802807</c:v>
                </c:pt>
                <c:pt idx="30">
                  <c:v>53595.236733091435</c:v>
                </c:pt>
                <c:pt idx="31">
                  <c:v>56454.600421506111</c:v>
                </c:pt>
                <c:pt idx="32">
                  <c:v>59370.730275630907</c:v>
                </c:pt>
                <c:pt idx="33">
                  <c:v>62342.009026867119</c:v>
                </c:pt>
                <c:pt idx="34">
                  <c:v>65366.821811335911</c:v>
                </c:pt>
                <c:pt idx="35">
                  <c:v>68443.560258347585</c:v>
                </c:pt>
                <c:pt idx="36">
                  <c:v>70893.751181633634</c:v>
                </c:pt>
                <c:pt idx="37">
                  <c:v>73971.413030752796</c:v>
                </c:pt>
                <c:pt idx="38">
                  <c:v>77090.446150162257</c:v>
                </c:pt>
                <c:pt idx="39">
                  <c:v>80249.369812739358</c:v>
                </c:pt>
                <c:pt idx="40">
                  <c:v>83446.748656278098</c:v>
                </c:pt>
                <c:pt idx="41">
                  <c:v>86681.19253965035</c:v>
                </c:pt>
                <c:pt idx="42">
                  <c:v>89951.356037539328</c:v>
                </c:pt>
                <c:pt idx="43">
                  <c:v>93255.937649477826</c:v>
                </c:pt>
                <c:pt idx="44">
                  <c:v>96593.678791298153</c:v>
                </c:pt>
                <c:pt idx="45">
                  <c:v>99963.362629039446</c:v>
                </c:pt>
                <c:pt idx="46">
                  <c:v>103363.81280718801</c:v>
                </c:pt>
                <c:pt idx="47">
                  <c:v>106793.89211511886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3F-224E-B1B8-4DB4525C23AE}"/>
            </c:ext>
          </c:extLst>
        </c:ser>
        <c:ser>
          <c:idx val="1"/>
          <c:order val="1"/>
          <c:tx>
            <c:v> Renewed MRR </c:v>
          </c:tx>
          <c:spPr>
            <a:solidFill>
              <a:schemeClr val="accent2"/>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Forecast!$T$55:$BO$55</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712.5</c:v>
                </c:pt>
                <c:pt idx="13">
                  <c:v>780.18749999999989</c:v>
                </c:pt>
                <c:pt idx="14">
                  <c:v>850.59942187499996</c:v>
                </c:pt>
                <c:pt idx="15">
                  <c:v>923.52768980800772</c:v>
                </c:pt>
                <c:pt idx="16">
                  <c:v>998.74959734767606</c:v>
                </c:pt>
                <c:pt idx="17">
                  <c:v>1076.0309373240191</c:v>
                </c:pt>
                <c:pt idx="18">
                  <c:v>1155.1290989328695</c:v>
                </c:pt>
                <c:pt idx="19">
                  <c:v>1235.7960720916685</c:v>
                </c:pt>
                <c:pt idx="20">
                  <c:v>1317.7813084049069</c:v>
                </c:pt>
                <c:pt idx="21">
                  <c:v>1400.8343975817381</c:v>
                </c:pt>
                <c:pt idx="22">
                  <c:v>1484.7075275405309</c:v>
                </c:pt>
                <c:pt idx="23">
                  <c:v>1569.1577054073916</c:v>
                </c:pt>
                <c:pt idx="24">
                  <c:v>2330.8237249324361</c:v>
                </c:pt>
                <c:pt idx="25">
                  <c:v>2480.0309983418656</c:v>
                </c:pt>
                <c:pt idx="26">
                  <c:v>2631.7218279923127</c:v>
                </c:pt>
                <c:pt idx="27">
                  <c:v>2785.4918978508572</c:v>
                </c:pt>
                <c:pt idx="28">
                  <c:v>2940.9350662446286</c:v>
                </c:pt>
                <c:pt idx="29">
                  <c:v>3097.6470507356703</c:v>
                </c:pt>
                <c:pt idx="30">
                  <c:v>3255.2288654084205</c:v>
                </c:pt>
                <c:pt idx="31">
                  <c:v>3413.2899717999685</c:v>
                </c:pt>
                <c:pt idx="32">
                  <c:v>3571.4511146891982</c:v>
                </c:pt>
                <c:pt idx="33">
                  <c:v>3729.3468235690598</c:v>
                </c:pt>
                <c:pt idx="34">
                  <c:v>3886.6275695922668</c:v>
                </c:pt>
                <c:pt idx="35">
                  <c:v>4042.9615759066464</c:v>
                </c:pt>
                <c:pt idx="36">
                  <c:v>4841.067536447872</c:v>
                </c:pt>
                <c:pt idx="37">
                  <c:v>5055.6787231080352</c:v>
                </c:pt>
                <c:pt idx="38">
                  <c:v>5270.9261944648506</c:v>
                </c:pt>
                <c:pt idx="39">
                  <c:v>5486.372862334777</c:v>
                </c:pt>
                <c:pt idx="40">
                  <c:v>5701.5904073415713</c:v>
                </c:pt>
                <c:pt idx="41">
                  <c:v>5916.1621171826164</c:v>
                </c:pt>
                <c:pt idx="42">
                  <c:v>6129.6854757939072</c:v>
                </c:pt>
                <c:pt idx="43">
                  <c:v>6341.7744761077565</c:v>
                </c:pt>
                <c:pt idx="44">
                  <c:v>6552.0616372434661</c:v>
                </c:pt>
                <c:pt idx="45">
                  <c:v>6760.1997148376258</c:v>
                </c:pt>
                <c:pt idx="46">
                  <c:v>6965.8631005677353</c:v>
                </c:pt>
                <c:pt idx="47">
                  <c:v>7168.7489135696123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B3F-224E-B1B8-4DB4525C23AE}"/>
            </c:ext>
          </c:extLst>
        </c:ser>
        <c:ser>
          <c:idx val="2"/>
          <c:order val="2"/>
          <c:tx>
            <c:v> New MRR </c:v>
          </c:tx>
          <c:spPr>
            <a:solidFill>
              <a:srgbClr val="00B050"/>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Forecast!$T$54:$BO$54</c:f>
              <c:numCache>
                <c:formatCode>_(* #,##0_);_(* \(#,##0\);_(* "-"_);_(@_)</c:formatCode>
                <c:ptCount val="48"/>
                <c:pt idx="0">
                  <c:v>750</c:v>
                </c:pt>
                <c:pt idx="1">
                  <c:v>821.25</c:v>
                </c:pt>
                <c:pt idx="2">
                  <c:v>895.36781250000001</c:v>
                </c:pt>
                <c:pt idx="3">
                  <c:v>972.13441032421872</c:v>
                </c:pt>
                <c:pt idx="4">
                  <c:v>1051.3153656291327</c:v>
                </c:pt>
                <c:pt idx="5">
                  <c:v>1132.6641445515993</c:v>
                </c:pt>
                <c:pt idx="6">
                  <c:v>1215.9253672977575</c:v>
                </c:pt>
                <c:pt idx="7">
                  <c:v>1300.8379706228088</c:v>
                </c:pt>
                <c:pt idx="8">
                  <c:v>1387.138219373586</c:v>
                </c:pt>
                <c:pt idx="9">
                  <c:v>1474.5625237702507</c:v>
                </c:pt>
                <c:pt idx="10">
                  <c:v>1562.8500289900326</c:v>
                </c:pt>
                <c:pt idx="11">
                  <c:v>1651.7449530604124</c:v>
                </c:pt>
                <c:pt idx="12">
                  <c:v>1740.9986578236167</c:v>
                </c:pt>
                <c:pt idx="13">
                  <c:v>1830.3714456230164</c:v>
                </c:pt>
                <c:pt idx="14">
                  <c:v>1919.6340812748031</c:v>
                </c:pt>
                <c:pt idx="15">
                  <c:v>2008.5690447718421</c:v>
                </c:pt>
                <c:pt idx="16">
                  <c:v>2096.9715250150912</c:v>
                </c:pt>
                <c:pt idx="17">
                  <c:v>2184.6501687135287</c:v>
                </c:pt>
                <c:pt idx="18">
                  <c:v>2271.4276014970469</c:v>
                </c:pt>
                <c:pt idx="19">
                  <c:v>2357.1407403293506</c:v>
                </c:pt>
                <c:pt idx="20">
                  <c:v>2441.640917583723</c:v>
                </c:pt>
                <c:pt idx="21">
                  <c:v>2524.7938377541145</c:v>
                </c:pt>
                <c:pt idx="22">
                  <c:v>2606.4793878197506</c:v>
                </c:pt>
                <c:pt idx="23">
                  <c:v>2686.5913218627625</c:v>
                </c:pt>
                <c:pt idx="24">
                  <c:v>2765.0368397495345</c:v>
                </c:pt>
                <c:pt idx="25">
                  <c:v>2841.7360786139611</c:v>
                </c:pt>
                <c:pt idx="26">
                  <c:v>2916.6215346022668</c:v>
                </c:pt>
                <c:pt idx="27">
                  <c:v>2989.6374309225921</c:v>
                </c:pt>
                <c:pt idx="28">
                  <c:v>3060.7390467464993</c:v>
                </c:pt>
                <c:pt idx="29">
                  <c:v>3129.8920199828731</c:v>
                </c:pt>
                <c:pt idx="30">
                  <c:v>3197.0716354272722</c:v>
                </c:pt>
                <c:pt idx="31">
                  <c:v>3262.26210831346</c:v>
                </c:pt>
                <c:pt idx="32">
                  <c:v>3325.4558718828721</c:v>
                </c:pt>
                <c:pt idx="33">
                  <c:v>3386.652876260021</c:v>
                </c:pt>
                <c:pt idx="34">
                  <c:v>3445.8599046895606</c:v>
                </c:pt>
                <c:pt idx="35">
                  <c:v>3503.0899120613662</c:v>
                </c:pt>
                <c:pt idx="36">
                  <c:v>3558.3613896271263</c:v>
                </c:pt>
                <c:pt idx="37">
                  <c:v>3611.6977588959967</c:v>
                </c:pt>
                <c:pt idx="38">
                  <c:v>3663.1267968857005</c:v>
                </c:pt>
                <c:pt idx="39">
                  <c:v>3712.6800941950896</c:v>
                </c:pt>
                <c:pt idx="40">
                  <c:v>3760.392546749224</c:v>
                </c:pt>
                <c:pt idx="41">
                  <c:v>3806.3018815420619</c:v>
                </c:pt>
                <c:pt idx="42">
                  <c:v>3850.4482162580257</c:v>
                </c:pt>
                <c:pt idx="43">
                  <c:v>3892.8736522846393</c:v>
                </c:pt>
                <c:pt idx="44">
                  <c:v>3933.6219003268989</c:v>
                </c:pt>
                <c:pt idx="45">
                  <c:v>3972.7379375927549</c:v>
                </c:pt>
                <c:pt idx="46">
                  <c:v>4010.2676953311316</c:v>
                </c:pt>
                <c:pt idx="47">
                  <c:v>4046.2577753626529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B3F-224E-B1B8-4DB4525C23AE}"/>
            </c:ext>
          </c:extLst>
        </c:ser>
        <c:ser>
          <c:idx val="3"/>
          <c:order val="3"/>
          <c:tx>
            <c:v> Reactivated MRR </c:v>
          </c:tx>
          <c:spPr>
            <a:solidFill>
              <a:srgbClr val="00B050"/>
            </a:solidFill>
            <a:ln cmpd="sng">
              <a:solidFill>
                <a:srgbClr val="000000"/>
              </a:solidFill>
            </a:ln>
          </c:spPr>
          <c:invertIfNegative val="1"/>
          <c:cat>
            <c:numRef>
              <c:f>Forecast!$T$4:$BO$4</c:f>
              <c:numCache>
                <c:formatCode>[$-409]mmm\-yy</c:formatCode>
                <c:ptCount val="48"/>
                <c:pt idx="0">
                  <c:v>44469</c:v>
                </c:pt>
                <c:pt idx="1">
                  <c:v>44500</c:v>
                </c:pt>
                <c:pt idx="2">
                  <c:v>44530</c:v>
                </c:pt>
                <c:pt idx="3">
                  <c:v>44561</c:v>
                </c:pt>
                <c:pt idx="4">
                  <c:v>44592</c:v>
                </c:pt>
                <c:pt idx="5">
                  <c:v>44620</c:v>
                </c:pt>
                <c:pt idx="6">
                  <c:v>44651</c:v>
                </c:pt>
                <c:pt idx="7">
                  <c:v>44681</c:v>
                </c:pt>
                <c:pt idx="8">
                  <c:v>44712</c:v>
                </c:pt>
                <c:pt idx="9">
                  <c:v>44742</c:v>
                </c:pt>
                <c:pt idx="10">
                  <c:v>44773</c:v>
                </c:pt>
                <c:pt idx="11">
                  <c:v>44804</c:v>
                </c:pt>
                <c:pt idx="12">
                  <c:v>44834</c:v>
                </c:pt>
                <c:pt idx="13">
                  <c:v>44865</c:v>
                </c:pt>
                <c:pt idx="14">
                  <c:v>44895</c:v>
                </c:pt>
                <c:pt idx="15">
                  <c:v>44926</c:v>
                </c:pt>
                <c:pt idx="16">
                  <c:v>44957</c:v>
                </c:pt>
                <c:pt idx="17">
                  <c:v>44985</c:v>
                </c:pt>
                <c:pt idx="18">
                  <c:v>45016</c:v>
                </c:pt>
                <c:pt idx="19">
                  <c:v>45046</c:v>
                </c:pt>
                <c:pt idx="20">
                  <c:v>45077</c:v>
                </c:pt>
                <c:pt idx="21">
                  <c:v>45107</c:v>
                </c:pt>
                <c:pt idx="22">
                  <c:v>45138</c:v>
                </c:pt>
                <c:pt idx="23">
                  <c:v>45169</c:v>
                </c:pt>
                <c:pt idx="24">
                  <c:v>45199</c:v>
                </c:pt>
                <c:pt idx="25">
                  <c:v>45230</c:v>
                </c:pt>
                <c:pt idx="26">
                  <c:v>45260</c:v>
                </c:pt>
                <c:pt idx="27">
                  <c:v>45291</c:v>
                </c:pt>
                <c:pt idx="28">
                  <c:v>45322</c:v>
                </c:pt>
                <c:pt idx="29">
                  <c:v>45351</c:v>
                </c:pt>
                <c:pt idx="30">
                  <c:v>45382</c:v>
                </c:pt>
                <c:pt idx="31">
                  <c:v>45412</c:v>
                </c:pt>
                <c:pt idx="32">
                  <c:v>45443</c:v>
                </c:pt>
                <c:pt idx="33">
                  <c:v>45473</c:v>
                </c:pt>
                <c:pt idx="34">
                  <c:v>45504</c:v>
                </c:pt>
                <c:pt idx="35">
                  <c:v>45535</c:v>
                </c:pt>
                <c:pt idx="36">
                  <c:v>45565</c:v>
                </c:pt>
                <c:pt idx="37">
                  <c:v>45596</c:v>
                </c:pt>
                <c:pt idx="38">
                  <c:v>45626</c:v>
                </c:pt>
                <c:pt idx="39">
                  <c:v>45657</c:v>
                </c:pt>
                <c:pt idx="40">
                  <c:v>45688</c:v>
                </c:pt>
                <c:pt idx="41">
                  <c:v>45716</c:v>
                </c:pt>
                <c:pt idx="42">
                  <c:v>45747</c:v>
                </c:pt>
                <c:pt idx="43">
                  <c:v>45777</c:v>
                </c:pt>
                <c:pt idx="44">
                  <c:v>45808</c:v>
                </c:pt>
                <c:pt idx="45">
                  <c:v>45838</c:v>
                </c:pt>
                <c:pt idx="46">
                  <c:v>45869</c:v>
                </c:pt>
                <c:pt idx="47">
                  <c:v>45900</c:v>
                </c:pt>
              </c:numCache>
            </c:numRef>
          </c:cat>
          <c:val>
            <c:numRef>
              <c:f>Forecast!$T$57:$BO$57</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B3F-224E-B1B8-4DB4525C23AE}"/>
            </c:ext>
          </c:extLst>
        </c:ser>
        <c:dLbls>
          <c:showLegendKey val="0"/>
          <c:showVal val="0"/>
          <c:showCatName val="0"/>
          <c:showSerName val="0"/>
          <c:showPercent val="0"/>
          <c:showBubbleSize val="0"/>
        </c:dLbls>
        <c:gapWidth val="150"/>
        <c:overlap val="100"/>
        <c:axId val="288860025"/>
        <c:axId val="1294155944"/>
      </c:barChart>
      <c:dateAx>
        <c:axId val="288860025"/>
        <c:scaling>
          <c:orientation val="minMax"/>
        </c:scaling>
        <c:delete val="0"/>
        <c:axPos val="b"/>
        <c:title>
          <c:tx>
            <c:rich>
              <a:bodyPr/>
              <a:lstStyle/>
              <a:p>
                <a:pPr lvl="0">
                  <a:defRPr b="0">
                    <a:solidFill>
                      <a:srgbClr val="000000"/>
                    </a:solidFill>
                    <a:latin typeface="+mn-lt"/>
                  </a:defRPr>
                </a:pPr>
                <a:endParaRPr/>
              </a:p>
            </c:rich>
          </c:tx>
          <c:overlay val="0"/>
        </c:title>
        <c:numFmt formatCode="[$-409]mmm\-yy" sourceLinked="1"/>
        <c:majorTickMark val="none"/>
        <c:minorTickMark val="none"/>
        <c:tickLblPos val="nextTo"/>
        <c:txPr>
          <a:bodyPr/>
          <a:lstStyle/>
          <a:p>
            <a:pPr lvl="0">
              <a:defRPr sz="900" b="0" i="0">
                <a:solidFill>
                  <a:srgbClr val="000000"/>
                </a:solidFill>
                <a:latin typeface="+mn-lt"/>
              </a:defRPr>
            </a:pPr>
            <a:endParaRPr lang="en-US"/>
          </a:p>
        </c:txPr>
        <c:crossAx val="1294155944"/>
        <c:crosses val="autoZero"/>
        <c:auto val="1"/>
        <c:lblOffset val="100"/>
        <c:baseTimeUnit val="months"/>
      </c:dateAx>
      <c:valAx>
        <c:axId val="12941559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288860025"/>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9525</xdr:colOff>
      <xdr:row>1</xdr:row>
      <xdr:rowOff>0</xdr:rowOff>
    </xdr:from>
    <xdr:ext cx="5867400" cy="4076700"/>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352425</xdr:colOff>
      <xdr:row>1</xdr:row>
      <xdr:rowOff>0</xdr:rowOff>
    </xdr:from>
    <xdr:ext cx="5867400" cy="3981450"/>
    <xdr:graphicFrame macro="">
      <xdr:nvGraphicFramePr>
        <xdr:cNvPr id="3" name="Chart 2" titl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0</xdr:colOff>
      <xdr:row>19</xdr:row>
      <xdr:rowOff>0</xdr:rowOff>
    </xdr:from>
    <xdr:ext cx="5867400" cy="4581525"/>
    <xdr:graphicFrame macro="">
      <xdr:nvGraphicFramePr>
        <xdr:cNvPr id="4" name="Chart 3"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352425</xdr:colOff>
      <xdr:row>19</xdr:row>
      <xdr:rowOff>0</xdr:rowOff>
    </xdr:from>
    <xdr:ext cx="5867400" cy="4629150"/>
    <xdr:graphicFrame macro="">
      <xdr:nvGraphicFramePr>
        <xdr:cNvPr id="5" name="Chart 4" titl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352425</xdr:colOff>
      <xdr:row>39</xdr:row>
      <xdr:rowOff>114300</xdr:rowOff>
    </xdr:from>
    <xdr:ext cx="5867400" cy="4581525"/>
    <xdr:graphicFrame macro="">
      <xdr:nvGraphicFramePr>
        <xdr:cNvPr id="6" name="Chart 5"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171450</xdr:colOff>
      <xdr:row>39</xdr:row>
      <xdr:rowOff>114300</xdr:rowOff>
    </xdr:from>
    <xdr:ext cx="6029325" cy="4581525"/>
    <xdr:graphicFrame macro="">
      <xdr:nvGraphicFramePr>
        <xdr:cNvPr id="7" name="Chart 6" titl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C11">
  <tableColumns count="2">
    <tableColumn id="1" xr3:uid="{00000000-0010-0000-0000-000001000000}" name="Copyright &amp; Contact"/>
    <tableColumn id="2" xr3:uid="{00000000-0010-0000-0000-000002000000}" name="This was created by Taylor Davidson (@tdavidson) of Foresight._x000a_© 2022,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5:C23">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E9">
  <tableColumns count="4">
    <tableColumn id="1" xr3:uid="{00000000-0010-0000-0200-000001000000}" name="Genius Sheets"/>
    <tableColumn id="2" xr3:uid="{00000000-0010-0000-0200-000002000000}" name="Using financials from Quickbooks"/>
    <tableColumn id="3" xr3:uid="{00000000-0010-0000-0200-000003000000}" name="Built into the model is a robust way to use actual financials (financial reports from Quickbooks, Xero, and others) in the model to create rolling forecasts and budget variances, detailed at https://foresight.is/learn/actual-financials_x000a__x000a_The hardest part t"/>
    <tableColumn id="4" xr3:uid="{00000000-0010-0000-0200-000004000000}" name="https://geniussheets.com"/>
  </tableColumns>
  <tableStyleInfo name="Additional Tool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Q17" headerRowCount="0">
  <tableColumns count="16">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s>
  <tableStyleInfo name="Model Comparison-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learn/colors-and-formatting" TargetMode="External"/><Relationship Id="rId2" Type="http://schemas.openxmlformats.org/officeDocument/2006/relationships/hyperlink" Target="https://foresight.is/learn/alternatives-foresight" TargetMode="External"/><Relationship Id="rId1" Type="http://schemas.openxmlformats.org/officeDocument/2006/relationships/hyperlink" Target="https://foresight.is/learn/support"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hyperlink" Target="https://foresight.is/licen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causal.app/" TargetMode="External"/><Relationship Id="rId2" Type="http://schemas.openxmlformats.org/officeDocument/2006/relationships/hyperlink" Target="https://geniussheets.com/" TargetMode="External"/><Relationship Id="rId1" Type="http://schemas.openxmlformats.org/officeDocument/2006/relationships/hyperlink" Target="https://foresight.is/learn/actual-financials" TargetMode="External"/><Relationship Id="rId5" Type="http://schemas.openxmlformats.org/officeDocument/2006/relationships/table" Target="../tables/table3.xml"/><Relationship Id="rId4" Type="http://schemas.openxmlformats.org/officeDocument/2006/relationships/hyperlink" Target="https://www.liveflow.io/"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foresight.is/unit-economics-template" TargetMode="External"/><Relationship Id="rId3" Type="http://schemas.openxmlformats.org/officeDocument/2006/relationships/hyperlink" Target="https://foresight.is/standard-financial-model" TargetMode="External"/><Relationship Id="rId7" Type="http://schemas.openxmlformats.org/officeDocument/2006/relationships/hyperlink" Target="https://foresight.is/ecommerce-forecasting-tool" TargetMode="External"/><Relationship Id="rId2" Type="http://schemas.openxmlformats.org/officeDocument/2006/relationships/hyperlink" Target="https://foresight.is/standard-financial-model" TargetMode="External"/><Relationship Id="rId1" Type="http://schemas.openxmlformats.org/officeDocument/2006/relationships/hyperlink" Target="https://foresight.is/runway-cash-forecasting" TargetMode="External"/><Relationship Id="rId6" Type="http://schemas.openxmlformats.org/officeDocument/2006/relationships/hyperlink" Target="https://foresight.is/saas-forecasting-tool" TargetMode="External"/><Relationship Id="rId5" Type="http://schemas.openxmlformats.org/officeDocument/2006/relationships/hyperlink" Target="https://foresight.is/ecommerce-financial-model" TargetMode="External"/><Relationship Id="rId10" Type="http://schemas.openxmlformats.org/officeDocument/2006/relationships/table" Target="../tables/table4.xml"/><Relationship Id="rId4" Type="http://schemas.openxmlformats.org/officeDocument/2006/relationships/hyperlink" Target="https://foresight/" TargetMode="External"/><Relationship Id="rId9" Type="http://schemas.openxmlformats.org/officeDocument/2006/relationships/hyperlink" Target="https://foresight.is/enterprise-saas-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4"/>
  <sheetViews>
    <sheetView showGridLines="0" tabSelected="1" workbookViewId="0"/>
  </sheetViews>
  <sheetFormatPr baseColWidth="10" defaultColWidth="10.140625" defaultRowHeight="15" customHeight="1"/>
  <cols>
    <col min="1" max="1" width="3.28515625" customWidth="1"/>
    <col min="2" max="2" width="28.140625" customWidth="1"/>
    <col min="3" max="3" width="52.42578125" customWidth="1"/>
    <col min="4" max="4" width="18.140625" customWidth="1"/>
  </cols>
  <sheetData>
    <row r="1" spans="1:5">
      <c r="A1" s="1"/>
      <c r="B1" s="1"/>
      <c r="C1" s="1"/>
      <c r="D1" s="1"/>
      <c r="E1" s="1"/>
    </row>
    <row r="2" spans="1:5">
      <c r="A2" s="1"/>
      <c r="B2" s="2" t="s">
        <v>0</v>
      </c>
      <c r="C2" s="1"/>
      <c r="D2" s="1"/>
      <c r="E2" s="1"/>
    </row>
    <row r="3" spans="1:5">
      <c r="A3" s="1"/>
      <c r="B3" s="3" t="s">
        <v>1</v>
      </c>
      <c r="C3" s="1"/>
      <c r="D3" s="1"/>
      <c r="E3" s="1"/>
    </row>
    <row r="4" spans="1:5">
      <c r="A4" s="1"/>
      <c r="B4" s="4"/>
      <c r="C4" s="1"/>
      <c r="D4" s="1"/>
      <c r="E4" s="1"/>
    </row>
    <row r="5" spans="1:5">
      <c r="A5" s="1"/>
      <c r="B5" s="5" t="s">
        <v>2</v>
      </c>
      <c r="C5" s="6" t="s">
        <v>3</v>
      </c>
      <c r="D5" s="1"/>
      <c r="E5" s="1"/>
    </row>
    <row r="6" spans="1:5">
      <c r="A6" s="1"/>
      <c r="B6" s="5" t="s">
        <v>4</v>
      </c>
      <c r="C6" s="7" t="s">
        <v>5</v>
      </c>
      <c r="D6" s="1"/>
      <c r="E6" s="1"/>
    </row>
    <row r="7" spans="1:5">
      <c r="A7" s="1"/>
      <c r="B7" s="5" t="s">
        <v>6</v>
      </c>
      <c r="C7" s="8" t="s">
        <v>7</v>
      </c>
      <c r="D7" s="1"/>
      <c r="E7" s="1"/>
    </row>
    <row r="8" spans="1:5">
      <c r="A8" s="1"/>
      <c r="B8" s="5" t="s">
        <v>8</v>
      </c>
      <c r="C8" s="9" t="s">
        <v>9</v>
      </c>
      <c r="D8" s="1"/>
      <c r="E8" s="1"/>
    </row>
    <row r="9" spans="1:5">
      <c r="A9" s="1"/>
      <c r="B9" s="5" t="s">
        <v>10</v>
      </c>
      <c r="C9" s="9" t="s">
        <v>11</v>
      </c>
      <c r="D9" s="1"/>
      <c r="E9" s="1"/>
    </row>
    <row r="10" spans="1:5">
      <c r="A10" s="1"/>
      <c r="B10" s="5" t="s">
        <v>12</v>
      </c>
      <c r="C10" s="9" t="s">
        <v>13</v>
      </c>
      <c r="D10" s="1"/>
      <c r="E10" s="1"/>
    </row>
    <row r="11" spans="1:5">
      <c r="A11" s="1"/>
      <c r="B11" s="5" t="s">
        <v>14</v>
      </c>
      <c r="C11" s="8" t="s">
        <v>15</v>
      </c>
      <c r="D11" s="1"/>
      <c r="E11" s="1"/>
    </row>
    <row r="12" spans="1:5">
      <c r="A12" s="1"/>
      <c r="B12" s="8"/>
      <c r="C12" s="8"/>
      <c r="D12" s="1"/>
      <c r="E12" s="1"/>
    </row>
    <row r="13" spans="1:5">
      <c r="A13" s="1"/>
      <c r="B13" s="10" t="s">
        <v>16</v>
      </c>
      <c r="C13" s="11"/>
      <c r="D13" s="1"/>
      <c r="E13" s="1"/>
    </row>
    <row r="14" spans="1:5">
      <c r="A14" s="1"/>
      <c r="B14" s="12"/>
      <c r="C14" s="11"/>
      <c r="D14" s="1"/>
      <c r="E14" s="1"/>
    </row>
    <row r="15" spans="1:5">
      <c r="A15" s="1"/>
      <c r="B15" s="12" t="s">
        <v>17</v>
      </c>
      <c r="C15" s="8" t="s">
        <v>18</v>
      </c>
      <c r="D15" s="1"/>
      <c r="E15" s="1"/>
    </row>
    <row r="16" spans="1:5">
      <c r="A16" s="1"/>
      <c r="B16" s="12" t="s">
        <v>19</v>
      </c>
      <c r="C16" s="9" t="s">
        <v>20</v>
      </c>
      <c r="D16" s="1"/>
      <c r="E16" s="1"/>
    </row>
    <row r="17" spans="1:5">
      <c r="A17" s="1"/>
      <c r="B17" s="12" t="s">
        <v>4</v>
      </c>
      <c r="C17" s="9" t="s">
        <v>21</v>
      </c>
      <c r="D17" s="1"/>
      <c r="E17" s="1"/>
    </row>
    <row r="18" spans="1:5">
      <c r="A18" s="1"/>
      <c r="B18" s="12" t="s">
        <v>22</v>
      </c>
      <c r="C18" s="8" t="s">
        <v>23</v>
      </c>
      <c r="D18" s="1"/>
      <c r="E18" s="1"/>
    </row>
    <row r="19" spans="1:5">
      <c r="A19" s="1"/>
      <c r="B19" s="12" t="s">
        <v>24</v>
      </c>
      <c r="C19" s="8" t="s">
        <v>25</v>
      </c>
      <c r="D19" s="1"/>
      <c r="E19" s="1"/>
    </row>
    <row r="20" spans="1:5">
      <c r="A20" s="1"/>
      <c r="B20" s="11" t="s">
        <v>26</v>
      </c>
      <c r="C20" s="8" t="s">
        <v>27</v>
      </c>
      <c r="D20" s="1"/>
      <c r="E20" s="1"/>
    </row>
    <row r="21" spans="1:5">
      <c r="A21" s="1"/>
      <c r="B21" s="11" t="s">
        <v>28</v>
      </c>
      <c r="C21" s="8" t="s">
        <v>29</v>
      </c>
      <c r="D21" s="1"/>
      <c r="E21" s="1"/>
    </row>
    <row r="22" spans="1:5">
      <c r="A22" s="1"/>
      <c r="B22" s="11" t="s">
        <v>30</v>
      </c>
      <c r="C22" s="8" t="s">
        <v>31</v>
      </c>
      <c r="D22" s="1"/>
      <c r="E22" s="1"/>
    </row>
    <row r="23" spans="1:5">
      <c r="A23" s="1"/>
      <c r="B23" s="11" t="s">
        <v>32</v>
      </c>
      <c r="C23" s="8" t="s">
        <v>33</v>
      </c>
      <c r="D23" s="1"/>
      <c r="E23" s="1"/>
    </row>
    <row r="24" spans="1:5">
      <c r="A24" s="1"/>
      <c r="B24" s="1"/>
      <c r="C24" s="8"/>
      <c r="D24" s="1"/>
      <c r="E24" s="1"/>
    </row>
  </sheetData>
  <hyperlinks>
    <hyperlink ref="C6" location="null!A1" display="tl:dr; You can modify, edit, use, and share within your company (and with third-parties as needed to operate your business). You may not redistribute, resell, give away to others. Full license._x000a_" xr:uid="{00000000-0004-0000-0000-000000000000}"/>
    <hyperlink ref="C8" location="null!A1" display="File &gt; Make a Copy to copy it to your own Google Drive, or File &gt; Download to download this to use in Excel or other spreadsheet programs. See License for warranties and liabilities._x000a_" xr:uid="{00000000-0004-0000-0000-000001000000}"/>
    <hyperlink ref="C9" r:id="rId1" xr:uid="{00000000-0004-0000-0000-000002000000}"/>
    <hyperlink ref="C10" r:id="rId2" xr:uid="{00000000-0004-0000-0000-000003000000}"/>
    <hyperlink ref="C16" r:id="rId3" xr:uid="{00000000-0004-0000-0000-000004000000}"/>
    <hyperlink ref="C17" r:id="rId4" xr:uid="{00000000-0004-0000-0000-000005000000}"/>
  </hyperlinks>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0.140625" defaultRowHeight="15" customHeight="1"/>
  <cols>
    <col min="1" max="1" width="2.28515625" customWidth="1"/>
    <col min="2" max="2" width="63.28515625" customWidth="1"/>
  </cols>
  <sheetData>
    <row r="1" spans="1:2" ht="29.25" customHeight="1">
      <c r="A1" s="2"/>
      <c r="B1" s="2" t="s">
        <v>34</v>
      </c>
    </row>
    <row r="2" spans="1:2" ht="15.75" customHeight="1">
      <c r="A2" s="13"/>
      <c r="B2" s="14" t="s">
        <v>35</v>
      </c>
    </row>
    <row r="3" spans="1:2" ht="16">
      <c r="A3" s="15"/>
      <c r="B3" s="15"/>
    </row>
    <row r="4" spans="1:2" ht="99">
      <c r="A4" s="15"/>
      <c r="B4" s="15" t="s">
        <v>36</v>
      </c>
    </row>
    <row r="5" spans="1:2" ht="16">
      <c r="A5" s="15"/>
      <c r="B5" s="15"/>
    </row>
    <row r="6" spans="1:2" ht="16">
      <c r="A6" s="15"/>
      <c r="B6" s="15" t="s">
        <v>37</v>
      </c>
    </row>
    <row r="7" spans="1:2" ht="16">
      <c r="A7" s="15"/>
      <c r="B7" s="15"/>
    </row>
    <row r="8" spans="1:2" ht="16">
      <c r="A8" s="15"/>
      <c r="B8" s="15" t="s">
        <v>38</v>
      </c>
    </row>
    <row r="9" spans="1:2" ht="29">
      <c r="A9" s="15"/>
      <c r="B9" s="15" t="s">
        <v>39</v>
      </c>
    </row>
    <row r="10" spans="1:2" ht="16">
      <c r="A10" s="15"/>
      <c r="B10" s="15" t="s">
        <v>40</v>
      </c>
    </row>
    <row r="11" spans="1:2" ht="16">
      <c r="A11" s="15"/>
      <c r="B11" s="15" t="s">
        <v>41</v>
      </c>
    </row>
    <row r="12" spans="1:2" ht="16">
      <c r="A12" s="15"/>
      <c r="B12" s="15" t="s">
        <v>42</v>
      </c>
    </row>
    <row r="13" spans="1:2" ht="16">
      <c r="A13" s="15"/>
      <c r="B13" s="15"/>
    </row>
    <row r="14" spans="1:2" ht="16">
      <c r="A14" s="15"/>
      <c r="B14" s="15" t="s">
        <v>43</v>
      </c>
    </row>
    <row r="15" spans="1:2" ht="16">
      <c r="A15" s="15"/>
      <c r="B15" s="15" t="s">
        <v>44</v>
      </c>
    </row>
    <row r="16" spans="1:2" ht="29">
      <c r="A16" s="15"/>
      <c r="B16" s="15" t="s">
        <v>45</v>
      </c>
    </row>
    <row r="17" spans="1:2" ht="16">
      <c r="A17" s="15"/>
      <c r="B17" s="15" t="s">
        <v>46</v>
      </c>
    </row>
    <row r="18" spans="1:2" ht="29">
      <c r="A18" s="15"/>
      <c r="B18" s="15" t="s">
        <v>47</v>
      </c>
    </row>
    <row r="19" spans="1:2" ht="29">
      <c r="A19" s="15"/>
      <c r="B19" s="15" t="s">
        <v>48</v>
      </c>
    </row>
    <row r="20" spans="1:2" ht="16">
      <c r="A20" s="15"/>
      <c r="B20" s="15" t="s">
        <v>49</v>
      </c>
    </row>
    <row r="21" spans="1:2" ht="29">
      <c r="A21" s="15"/>
      <c r="B21" s="15" t="s">
        <v>50</v>
      </c>
    </row>
    <row r="22" spans="1:2" ht="16">
      <c r="A22" s="15"/>
      <c r="B22" s="15"/>
    </row>
    <row r="23" spans="1:2" ht="141">
      <c r="A23" s="15"/>
      <c r="B23" s="15" t="s">
        <v>51</v>
      </c>
    </row>
    <row r="24" spans="1:2" ht="16">
      <c r="A24" s="15"/>
      <c r="B24" s="15"/>
    </row>
    <row r="25" spans="1:2" ht="127">
      <c r="A25" s="15"/>
      <c r="B25" s="15" t="s">
        <v>52</v>
      </c>
    </row>
    <row r="26" spans="1:2" ht="16">
      <c r="A26" s="15"/>
      <c r="B26" s="15"/>
    </row>
    <row r="27" spans="1:2" ht="85">
      <c r="A27" s="15"/>
      <c r="B27" s="15" t="s">
        <v>53</v>
      </c>
    </row>
    <row r="28" spans="1:2" ht="16">
      <c r="A28" s="15"/>
      <c r="B28" s="15"/>
    </row>
    <row r="29" spans="1:2" ht="71">
      <c r="A29" s="15"/>
      <c r="B29" s="15" t="s">
        <v>54</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B9"/>
  <sheetViews>
    <sheetView showGridLines="0" workbookViewId="0"/>
  </sheetViews>
  <sheetFormatPr baseColWidth="10" defaultColWidth="10.140625" defaultRowHeight="15" customHeight="1"/>
  <cols>
    <col min="1" max="1" width="4" customWidth="1"/>
    <col min="2" max="2" width="60" customWidth="1"/>
  </cols>
  <sheetData>
    <row r="2" spans="2:2">
      <c r="B2" s="2" t="s">
        <v>55</v>
      </c>
    </row>
    <row r="3" spans="2:2">
      <c r="B3" s="6"/>
    </row>
    <row r="4" spans="2:2">
      <c r="B4" s="6" t="str">
        <f>"This Investor Presentation is provided for informational purposes only and does not constitute an offer to buy or a solicitation of an offer to invest, or to procure an investment in "&amp;'Get Started'!D9&amp;" (the “Company”)."</f>
        <v>This Investor Presentation is provided for informational purposes only and does not constitute an offer to buy or a solicitation of an offer to invest, or to procure an investment in 44561 (the “Company”).</v>
      </c>
    </row>
    <row r="5" spans="2:2">
      <c r="B5" s="6" t="s">
        <v>56</v>
      </c>
    </row>
    <row r="6" spans="2:2">
      <c r="B6" s="6" t="s">
        <v>57</v>
      </c>
    </row>
    <row r="7" spans="2:2">
      <c r="B7" s="6" t="s">
        <v>58</v>
      </c>
    </row>
    <row r="8" spans="2:2">
      <c r="B8" s="6" t="s">
        <v>59</v>
      </c>
    </row>
    <row r="9" spans="2:2">
      <c r="B9" s="6" t="s">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showGridLines="0" workbookViewId="0"/>
  </sheetViews>
  <sheetFormatPr baseColWidth="10" defaultColWidth="10.140625" defaultRowHeight="15" customHeight="1"/>
  <cols>
    <col min="1" max="1" width="2.7109375" customWidth="1"/>
    <col min="2" max="2" width="29.85546875" customWidth="1"/>
    <col min="3" max="3" width="4.42578125" customWidth="1"/>
    <col min="4" max="4" width="10.42578125" customWidth="1"/>
    <col min="5" max="5" width="5.85546875" customWidth="1"/>
    <col min="6" max="6" width="49.5703125" customWidth="1"/>
    <col min="7" max="7" width="13.85546875" customWidth="1"/>
  </cols>
  <sheetData>
    <row r="1" spans="1:7" ht="17.25" customHeight="1">
      <c r="A1" s="16"/>
      <c r="B1" s="17"/>
      <c r="C1" s="18"/>
      <c r="D1" s="16"/>
      <c r="E1" s="16"/>
      <c r="F1" s="19"/>
      <c r="G1" s="16"/>
    </row>
    <row r="2" spans="1:7" ht="17.25" customHeight="1">
      <c r="A2" s="16"/>
      <c r="B2" s="20" t="s">
        <v>22</v>
      </c>
      <c r="C2" s="21"/>
      <c r="D2" s="16"/>
      <c r="E2" s="16"/>
      <c r="F2" s="19"/>
      <c r="G2" s="16"/>
    </row>
    <row r="3" spans="1:7" ht="17.25" customHeight="1">
      <c r="A3" s="16"/>
      <c r="B3" s="22" t="s">
        <v>61</v>
      </c>
      <c r="C3" s="18"/>
      <c r="D3" s="16"/>
      <c r="E3" s="16"/>
      <c r="F3" s="19"/>
      <c r="G3" s="16"/>
    </row>
    <row r="4" spans="1:7" ht="17.25" customHeight="1">
      <c r="A4" s="16"/>
      <c r="B4" s="23"/>
      <c r="C4" s="21"/>
      <c r="D4" s="16"/>
      <c r="E4" s="16"/>
      <c r="F4" s="17"/>
      <c r="G4" s="16"/>
    </row>
    <row r="5" spans="1:7" ht="17.25" customHeight="1">
      <c r="A5" s="16"/>
      <c r="B5" s="23" t="s">
        <v>62</v>
      </c>
      <c r="C5" s="21"/>
      <c r="D5" s="16"/>
      <c r="E5" s="16"/>
      <c r="F5" s="17"/>
      <c r="G5" s="16"/>
    </row>
    <row r="6" spans="1:7" ht="17.25" customHeight="1">
      <c r="A6" s="16"/>
      <c r="B6" s="17" t="s">
        <v>63</v>
      </c>
      <c r="C6" s="18"/>
      <c r="D6" s="24" t="s">
        <v>64</v>
      </c>
      <c r="E6" s="16"/>
      <c r="F6" s="16" t="s">
        <v>65</v>
      </c>
      <c r="G6" s="16"/>
    </row>
    <row r="7" spans="1:7" ht="17.25" customHeight="1">
      <c r="A7" s="16"/>
      <c r="B7" s="17" t="s">
        <v>66</v>
      </c>
      <c r="C7" s="18"/>
      <c r="D7" s="24" t="s">
        <v>67</v>
      </c>
      <c r="E7" s="16"/>
      <c r="F7" s="16" t="s">
        <v>68</v>
      </c>
      <c r="G7" s="16"/>
    </row>
    <row r="8" spans="1:7" ht="17.25" customHeight="1">
      <c r="A8" s="16"/>
      <c r="B8" s="17" t="s">
        <v>69</v>
      </c>
      <c r="C8" s="18"/>
      <c r="D8" s="25">
        <v>44440</v>
      </c>
      <c r="E8" s="16"/>
      <c r="F8" s="16" t="s">
        <v>70</v>
      </c>
      <c r="G8" s="16"/>
    </row>
    <row r="9" spans="1:7" ht="17.25" customHeight="1">
      <c r="A9" s="16"/>
      <c r="B9" s="17" t="s">
        <v>71</v>
      </c>
      <c r="C9" s="18"/>
      <c r="D9" s="25">
        <f>DATE(YEAR(D8),12,31)</f>
        <v>44561</v>
      </c>
      <c r="E9" s="16"/>
      <c r="F9" s="16" t="s">
        <v>72</v>
      </c>
      <c r="G9" s="16"/>
    </row>
    <row r="10" spans="1:7" ht="17.25" customHeight="1">
      <c r="A10" s="16"/>
      <c r="B10" s="17"/>
      <c r="C10" s="18"/>
      <c r="D10" s="16"/>
      <c r="E10" s="19"/>
      <c r="F10" s="16"/>
      <c r="G10" s="16"/>
    </row>
    <row r="11" spans="1:7" ht="17.25" customHeight="1">
      <c r="A11" s="16"/>
      <c r="B11" s="16" t="s">
        <v>73</v>
      </c>
      <c r="C11" s="18"/>
      <c r="D11" s="16"/>
      <c r="E11" s="16"/>
      <c r="F11" s="19"/>
      <c r="G11" s="16"/>
    </row>
    <row r="12" spans="1:7" ht="17.25" customHeight="1">
      <c r="A12" s="16"/>
      <c r="B12" s="16" t="str">
        <f>"Average Revenue per "&amp;PROPER(LEFT(B20,LEN(B20)-1))&amp;", per month"</f>
        <v>Average Revenue per Subscriber, per month</v>
      </c>
      <c r="C12" s="18" t="str">
        <f>D$7</f>
        <v>$</v>
      </c>
      <c r="D12" s="26">
        <v>30</v>
      </c>
      <c r="E12" s="16"/>
      <c r="F12" s="19" t="s">
        <v>74</v>
      </c>
      <c r="G12" s="16"/>
    </row>
    <row r="13" spans="1:7" ht="17.25" customHeight="1">
      <c r="A13" s="16"/>
      <c r="B13" s="16" t="s">
        <v>75</v>
      </c>
      <c r="C13" s="18" t="s">
        <v>76</v>
      </c>
      <c r="D13" s="27">
        <v>0.875</v>
      </c>
      <c r="E13" s="16"/>
      <c r="F13" s="19" t="s">
        <v>77</v>
      </c>
      <c r="G13" s="16"/>
    </row>
    <row r="14" spans="1:7" ht="17.25" customHeight="1">
      <c r="A14" s="16"/>
      <c r="B14" s="16" t="s">
        <v>78</v>
      </c>
      <c r="C14" s="18" t="str">
        <f t="shared" ref="C14:C16" si="0">D$7</f>
        <v>$</v>
      </c>
      <c r="D14" s="26">
        <v>25</v>
      </c>
      <c r="E14" s="16"/>
      <c r="F14" s="19" t="str">
        <f>"Customer acquisition cost, per new "&amp;LOWER(LEFT(B20,LEN(B20)-1))</f>
        <v>Customer acquisition cost, per new subscriber</v>
      </c>
      <c r="G14" s="16"/>
    </row>
    <row r="15" spans="1:7" ht="17.25" customHeight="1">
      <c r="A15" s="16"/>
      <c r="B15" s="16" t="str">
        <f>"Retention Cost per renewed "&amp;LOWER(LEFT(B20,LEN(B20)-1))</f>
        <v>Retention Cost per renewed subscriber</v>
      </c>
      <c r="C15" s="18" t="str">
        <f t="shared" si="0"/>
        <v>$</v>
      </c>
      <c r="D15" s="26">
        <v>5</v>
      </c>
      <c r="E15" s="16"/>
      <c r="F15" s="16" t="s">
        <v>79</v>
      </c>
      <c r="G15" s="16"/>
    </row>
    <row r="16" spans="1:7" ht="17.25" customHeight="1">
      <c r="A16" s="16"/>
      <c r="B16" s="16" t="s">
        <v>80</v>
      </c>
      <c r="C16" s="18" t="str">
        <f t="shared" si="0"/>
        <v>$</v>
      </c>
      <c r="D16" s="26">
        <v>0</v>
      </c>
      <c r="E16" s="16"/>
      <c r="F16" s="16" t="s">
        <v>81</v>
      </c>
      <c r="G16" s="16"/>
    </row>
    <row r="17" spans="1:7" ht="17.25" customHeight="1">
      <c r="A17" s="16"/>
      <c r="B17" s="17"/>
      <c r="C17" s="18"/>
      <c r="D17" s="16"/>
      <c r="E17" s="16"/>
      <c r="F17" s="16"/>
      <c r="G17" s="16"/>
    </row>
    <row r="18" spans="1:7" ht="17.25" customHeight="1">
      <c r="A18" s="16"/>
      <c r="B18" s="23" t="s">
        <v>82</v>
      </c>
      <c r="C18" s="18"/>
      <c r="D18" s="16"/>
      <c r="E18" s="16"/>
      <c r="F18" s="16"/>
      <c r="G18" s="16"/>
    </row>
    <row r="19" spans="1:7" ht="17.25" customHeight="1">
      <c r="A19" s="16"/>
      <c r="B19" s="17" t="s">
        <v>83</v>
      </c>
      <c r="C19" s="18"/>
      <c r="D19" s="25">
        <f>D8</f>
        <v>44440</v>
      </c>
      <c r="E19" s="19"/>
      <c r="F19" s="16" t="s">
        <v>84</v>
      </c>
      <c r="G19" s="16"/>
    </row>
    <row r="20" spans="1:7" ht="17.25" customHeight="1">
      <c r="A20" s="16"/>
      <c r="B20" s="28" t="s">
        <v>85</v>
      </c>
      <c r="C20" s="18" t="s">
        <v>86</v>
      </c>
      <c r="D20" s="26">
        <v>25</v>
      </c>
      <c r="E20" s="19"/>
      <c r="F20" s="16" t="s">
        <v>87</v>
      </c>
      <c r="G20" s="16"/>
    </row>
    <row r="21" spans="1:7" ht="17.25" customHeight="1">
      <c r="A21" s="16"/>
      <c r="B21" s="17" t="str">
        <f>B20&amp;", beginning of first month"</f>
        <v>Subscribers, beginning of first month</v>
      </c>
      <c r="C21" s="18" t="s">
        <v>86</v>
      </c>
      <c r="D21" s="26">
        <v>0</v>
      </c>
      <c r="E21" s="16"/>
      <c r="F21" s="16" t="s">
        <v>88</v>
      </c>
      <c r="G21" s="16"/>
    </row>
    <row r="22" spans="1:7" ht="17.25" customHeight="1">
      <c r="A22" s="16"/>
      <c r="B22" s="17" t="str">
        <f>"Baseline growth rate in New "&amp;B20</f>
        <v>Baseline growth rate in New Subscribers</v>
      </c>
      <c r="C22" s="18" t="s">
        <v>76</v>
      </c>
      <c r="D22" s="27">
        <v>0.1</v>
      </c>
      <c r="E22" s="19"/>
      <c r="F22" s="16" t="s">
        <v>89</v>
      </c>
      <c r="G22" s="16"/>
    </row>
    <row r="23" spans="1:7" ht="17.25" customHeight="1">
      <c r="A23" s="16"/>
      <c r="B23" s="17" t="str">
        <f>"… where the growth rate "&amp;IF(D23&lt;0,"declines %",IF(D23&gt;0,"increases %","stays the same"))&amp;" per month"</f>
        <v>… where the growth rate declines % per month</v>
      </c>
      <c r="C23" s="18" t="s">
        <v>76</v>
      </c>
      <c r="D23" s="27">
        <v>-0.05</v>
      </c>
      <c r="E23" s="19"/>
      <c r="F23" s="16" t="s">
        <v>90</v>
      </c>
      <c r="G23" s="16"/>
    </row>
    <row r="24" spans="1:7" ht="17.25" customHeight="1">
      <c r="A24" s="16"/>
      <c r="B24" s="17" t="s">
        <v>91</v>
      </c>
      <c r="C24" s="18" t="s">
        <v>76</v>
      </c>
      <c r="D24" s="27">
        <v>0.05</v>
      </c>
      <c r="E24" s="16"/>
      <c r="F24" s="16" t="s">
        <v>92</v>
      </c>
      <c r="G24" s="16"/>
    </row>
    <row r="25" spans="1:7" ht="17.25" customHeight="1">
      <c r="A25" s="16"/>
      <c r="B25" s="17" t="s">
        <v>93</v>
      </c>
      <c r="C25" s="18" t="s">
        <v>76</v>
      </c>
      <c r="D25" s="27">
        <v>0</v>
      </c>
      <c r="E25" s="16"/>
      <c r="F25" s="16" t="s">
        <v>94</v>
      </c>
      <c r="G25" s="16"/>
    </row>
    <row r="26" spans="1:7" ht="17.25" customHeight="1">
      <c r="A26" s="16"/>
      <c r="B26" s="17" t="s">
        <v>95</v>
      </c>
      <c r="C26" s="18" t="s">
        <v>86</v>
      </c>
      <c r="D26" s="26">
        <v>12</v>
      </c>
      <c r="E26" s="16"/>
      <c r="F26" s="16" t="s">
        <v>96</v>
      </c>
      <c r="G26" s="16"/>
    </row>
    <row r="27" spans="1:7" ht="17.25" customHeight="1">
      <c r="A27" s="16"/>
      <c r="B27" s="17" t="s">
        <v>97</v>
      </c>
      <c r="C27" s="18" t="s">
        <v>86</v>
      </c>
      <c r="D27" s="26">
        <v>12</v>
      </c>
      <c r="E27" s="16"/>
      <c r="F27" s="16" t="s">
        <v>98</v>
      </c>
      <c r="G27" s="16"/>
    </row>
    <row r="28" spans="1:7" ht="17.25" customHeight="1">
      <c r="A28" s="16"/>
      <c r="B28" s="17"/>
      <c r="C28" s="18"/>
      <c r="D28" s="16"/>
      <c r="E28" s="16"/>
      <c r="F28" s="16"/>
      <c r="G28" s="16"/>
    </row>
    <row r="29" spans="1:7" ht="17.25" customHeight="1">
      <c r="A29" s="16"/>
      <c r="B29" s="17"/>
      <c r="C29" s="18"/>
      <c r="D29" s="16"/>
      <c r="E29" s="16"/>
      <c r="F29" s="19"/>
      <c r="G29" s="16"/>
    </row>
  </sheetData>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60"/>
  <sheetViews>
    <sheetView showGridLines="0" workbookViewId="0"/>
  </sheetViews>
  <sheetFormatPr baseColWidth="10" defaultColWidth="10.140625" defaultRowHeight="15" customHeight="1"/>
  <cols>
    <col min="1" max="1" width="3.42578125" customWidth="1"/>
    <col min="2" max="2" width="32.140625" customWidth="1"/>
    <col min="3" max="5" width="16.140625" customWidth="1"/>
    <col min="6" max="6" width="15.7109375" customWidth="1"/>
    <col min="7" max="7" width="7.7109375" customWidth="1"/>
    <col min="8" max="9" width="9.7109375" customWidth="1"/>
    <col min="10" max="10" width="13.28515625" customWidth="1"/>
  </cols>
  <sheetData>
    <row r="1" spans="1:10" ht="19.5" customHeight="1">
      <c r="A1" s="16"/>
      <c r="B1" s="17"/>
      <c r="C1" s="16"/>
      <c r="D1" s="16"/>
      <c r="E1" s="16"/>
      <c r="F1" s="16"/>
      <c r="G1" s="16"/>
      <c r="H1" s="16"/>
      <c r="I1" s="16"/>
      <c r="J1" s="16"/>
    </row>
    <row r="2" spans="1:10" ht="19.5" customHeight="1">
      <c r="A2" s="16"/>
      <c r="B2" s="17"/>
      <c r="C2" s="16"/>
      <c r="D2" s="16"/>
      <c r="E2" s="16"/>
      <c r="F2" s="16"/>
      <c r="G2" s="16"/>
      <c r="H2" s="16"/>
      <c r="I2" s="16"/>
      <c r="J2" s="16"/>
    </row>
    <row r="3" spans="1:10" ht="19.5" customHeight="1">
      <c r="A3" s="16"/>
      <c r="B3" s="17"/>
      <c r="C3" s="16"/>
      <c r="D3" s="16"/>
      <c r="E3" s="16"/>
      <c r="F3" s="16"/>
      <c r="G3" s="16"/>
      <c r="H3" s="16"/>
      <c r="I3" s="16"/>
      <c r="J3" s="16"/>
    </row>
    <row r="4" spans="1:10" ht="19.5" customHeight="1">
      <c r="A4" s="16"/>
      <c r="B4" s="17"/>
      <c r="C4" s="16"/>
      <c r="D4" s="16"/>
      <c r="E4" s="16"/>
      <c r="F4" s="16"/>
      <c r="G4" s="16"/>
      <c r="H4" s="16"/>
      <c r="I4" s="16"/>
      <c r="J4" s="16"/>
    </row>
    <row r="5" spans="1:10" ht="19.5" customHeight="1">
      <c r="A5" s="16"/>
      <c r="B5" s="17"/>
      <c r="C5" s="16"/>
      <c r="D5" s="16"/>
      <c r="E5" s="16"/>
      <c r="F5" s="16"/>
      <c r="G5" s="16"/>
      <c r="H5" s="16"/>
      <c r="I5" s="16"/>
      <c r="J5" s="16"/>
    </row>
    <row r="6" spans="1:10" ht="19.5" customHeight="1">
      <c r="A6" s="16"/>
      <c r="B6" s="17"/>
      <c r="C6" s="16"/>
      <c r="D6" s="16"/>
      <c r="E6" s="16"/>
      <c r="F6" s="16"/>
      <c r="G6" s="16"/>
      <c r="H6" s="16"/>
      <c r="I6" s="16"/>
      <c r="J6" s="16"/>
    </row>
    <row r="7" spans="1:10" ht="19.5" customHeight="1">
      <c r="A7" s="16"/>
      <c r="B7" s="17"/>
      <c r="C7" s="16"/>
      <c r="D7" s="16"/>
      <c r="E7" s="16"/>
      <c r="F7" s="16"/>
      <c r="G7" s="16"/>
      <c r="H7" s="16"/>
      <c r="I7" s="16"/>
      <c r="J7" s="16"/>
    </row>
    <row r="8" spans="1:10" ht="19.5" customHeight="1">
      <c r="A8" s="16"/>
      <c r="B8" s="17"/>
      <c r="C8" s="16"/>
      <c r="D8" s="16"/>
      <c r="E8" s="16"/>
      <c r="F8" s="16"/>
      <c r="G8" s="16"/>
      <c r="H8" s="16"/>
      <c r="I8" s="16"/>
      <c r="J8" s="16"/>
    </row>
    <row r="9" spans="1:10" ht="19.5" customHeight="1">
      <c r="A9" s="16"/>
      <c r="B9" s="17"/>
      <c r="C9" s="16"/>
      <c r="D9" s="16"/>
      <c r="E9" s="16"/>
      <c r="F9" s="16"/>
      <c r="G9" s="16"/>
      <c r="H9" s="16"/>
      <c r="I9" s="16"/>
      <c r="J9" s="16"/>
    </row>
    <row r="10" spans="1:10" ht="19.5" customHeight="1">
      <c r="A10" s="16"/>
      <c r="B10" s="17"/>
      <c r="C10" s="16"/>
      <c r="D10" s="16"/>
      <c r="E10" s="16"/>
      <c r="F10" s="16"/>
      <c r="G10" s="16"/>
      <c r="H10" s="16"/>
      <c r="I10" s="16"/>
      <c r="J10" s="16"/>
    </row>
    <row r="11" spans="1:10" ht="19.5" customHeight="1">
      <c r="A11" s="16"/>
      <c r="B11" s="17"/>
      <c r="C11" s="16"/>
      <c r="D11" s="16"/>
      <c r="E11" s="16"/>
      <c r="F11" s="16"/>
      <c r="G11" s="16"/>
      <c r="H11" s="16"/>
      <c r="I11" s="16"/>
      <c r="J11" s="16"/>
    </row>
    <row r="12" spans="1:10" ht="19.5" customHeight="1">
      <c r="A12" s="16"/>
      <c r="B12" s="17"/>
      <c r="C12" s="16"/>
      <c r="D12" s="16"/>
      <c r="E12" s="16"/>
      <c r="F12" s="16"/>
      <c r="G12" s="16"/>
      <c r="H12" s="16"/>
      <c r="I12" s="16"/>
      <c r="J12" s="16"/>
    </row>
    <row r="13" spans="1:10" ht="19.5" customHeight="1">
      <c r="A13" s="16"/>
      <c r="B13" s="17"/>
      <c r="C13" s="16"/>
      <c r="D13" s="16"/>
      <c r="E13" s="16"/>
      <c r="F13" s="16"/>
      <c r="G13" s="16"/>
      <c r="H13" s="16"/>
      <c r="I13" s="16"/>
      <c r="J13" s="16"/>
    </row>
    <row r="14" spans="1:10" ht="19.5" customHeight="1">
      <c r="A14" s="16"/>
      <c r="B14" s="17"/>
      <c r="C14" s="16"/>
      <c r="D14" s="16"/>
      <c r="E14" s="16"/>
      <c r="F14" s="16"/>
      <c r="G14" s="16"/>
      <c r="H14" s="16"/>
      <c r="I14" s="16"/>
      <c r="J14" s="16"/>
    </row>
    <row r="15" spans="1:10" ht="19.5" customHeight="1">
      <c r="A15" s="16"/>
      <c r="B15" s="17"/>
      <c r="C15" s="16"/>
      <c r="D15" s="16"/>
      <c r="E15" s="16"/>
      <c r="F15" s="16"/>
      <c r="G15" s="16"/>
      <c r="H15" s="16"/>
      <c r="I15" s="16"/>
      <c r="J15" s="16"/>
    </row>
    <row r="16" spans="1:10" ht="19.5" customHeight="1">
      <c r="A16" s="16"/>
      <c r="B16" s="17"/>
      <c r="C16" s="16"/>
      <c r="D16" s="16"/>
      <c r="E16" s="16"/>
      <c r="F16" s="16"/>
      <c r="G16" s="16"/>
      <c r="H16" s="16"/>
      <c r="I16" s="16"/>
      <c r="J16" s="16"/>
    </row>
    <row r="17" spans="1:10" ht="19.5" customHeight="1">
      <c r="A17" s="16"/>
      <c r="B17" s="17"/>
      <c r="C17" s="16"/>
      <c r="D17" s="16"/>
      <c r="E17" s="16"/>
      <c r="F17" s="16"/>
      <c r="G17" s="16"/>
      <c r="H17" s="16"/>
      <c r="I17" s="16"/>
      <c r="J17" s="16"/>
    </row>
    <row r="18" spans="1:10" ht="19.5" customHeight="1">
      <c r="A18" s="16"/>
      <c r="B18" s="17"/>
      <c r="C18" s="16"/>
      <c r="D18" s="16"/>
      <c r="E18" s="16"/>
      <c r="F18" s="16"/>
      <c r="G18" s="16"/>
      <c r="H18" s="16"/>
      <c r="I18" s="16"/>
      <c r="J18" s="16"/>
    </row>
    <row r="19" spans="1:10" ht="19.5" customHeight="1">
      <c r="A19" s="16"/>
      <c r="B19" s="17"/>
      <c r="C19" s="16"/>
      <c r="D19" s="16"/>
      <c r="E19" s="16"/>
      <c r="F19" s="16"/>
      <c r="G19" s="16"/>
      <c r="H19" s="16"/>
      <c r="I19" s="16"/>
      <c r="J19" s="16"/>
    </row>
    <row r="20" spans="1:10" ht="19.5" customHeight="1">
      <c r="A20" s="16"/>
      <c r="B20" s="17"/>
      <c r="C20" s="16"/>
      <c r="D20" s="16"/>
      <c r="E20" s="16"/>
      <c r="F20" s="16"/>
      <c r="G20" s="16"/>
      <c r="H20" s="16"/>
      <c r="I20" s="16"/>
      <c r="J20" s="16"/>
    </row>
    <row r="21" spans="1:10" ht="19.5" customHeight="1">
      <c r="A21" s="16"/>
      <c r="B21" s="17"/>
      <c r="C21" s="16"/>
      <c r="D21" s="16"/>
      <c r="E21" s="16"/>
      <c r="F21" s="16"/>
      <c r="G21" s="16"/>
      <c r="H21" s="16"/>
      <c r="I21" s="16"/>
      <c r="J21" s="16"/>
    </row>
    <row r="22" spans="1:10" ht="19.5" customHeight="1">
      <c r="A22" s="16"/>
      <c r="B22" s="17"/>
      <c r="C22" s="16"/>
      <c r="D22" s="16"/>
      <c r="E22" s="16"/>
      <c r="F22" s="16"/>
      <c r="G22" s="16"/>
      <c r="H22" s="16"/>
      <c r="I22" s="16"/>
      <c r="J22" s="16"/>
    </row>
    <row r="23" spans="1:10" ht="19.5" customHeight="1">
      <c r="A23" s="16"/>
      <c r="B23" s="17"/>
      <c r="C23" s="16"/>
      <c r="D23" s="16"/>
      <c r="E23" s="16"/>
      <c r="F23" s="16"/>
      <c r="G23" s="16"/>
      <c r="H23" s="16"/>
      <c r="I23" s="16"/>
      <c r="J23" s="16"/>
    </row>
    <row r="24" spans="1:10" ht="19.5" customHeight="1">
      <c r="A24" s="16"/>
      <c r="B24" s="17"/>
      <c r="C24" s="16"/>
      <c r="D24" s="16"/>
      <c r="E24" s="16"/>
      <c r="F24" s="16"/>
      <c r="G24" s="16"/>
      <c r="H24" s="16"/>
      <c r="I24" s="16"/>
      <c r="J24" s="16"/>
    </row>
    <row r="25" spans="1:10" ht="19.5" customHeight="1">
      <c r="A25" s="16"/>
      <c r="B25" s="17"/>
      <c r="C25" s="16"/>
      <c r="D25" s="16"/>
      <c r="E25" s="16"/>
      <c r="F25" s="16"/>
      <c r="G25" s="16"/>
      <c r="H25" s="16"/>
      <c r="I25" s="16"/>
      <c r="J25" s="16"/>
    </row>
    <row r="26" spans="1:10" ht="19.5" customHeight="1">
      <c r="A26" s="16"/>
      <c r="B26" s="17"/>
      <c r="C26" s="16"/>
      <c r="D26" s="16"/>
      <c r="E26" s="16"/>
      <c r="F26" s="16"/>
      <c r="G26" s="16"/>
      <c r="H26" s="16"/>
      <c r="I26" s="16"/>
      <c r="J26" s="16"/>
    </row>
    <row r="27" spans="1:10" ht="19.5" customHeight="1">
      <c r="A27" s="16"/>
      <c r="B27" s="17"/>
      <c r="C27" s="16"/>
      <c r="D27" s="16"/>
      <c r="E27" s="16"/>
      <c r="F27" s="16"/>
      <c r="G27" s="16"/>
      <c r="H27" s="16"/>
      <c r="I27" s="16"/>
      <c r="J27" s="16"/>
    </row>
    <row r="28" spans="1:10" ht="19.5" customHeight="1">
      <c r="A28" s="16"/>
      <c r="B28" s="17"/>
      <c r="C28" s="16"/>
      <c r="D28" s="16"/>
      <c r="E28" s="16"/>
      <c r="F28" s="16"/>
      <c r="G28" s="16"/>
      <c r="H28" s="16"/>
      <c r="I28" s="16"/>
      <c r="J28" s="16"/>
    </row>
    <row r="29" spans="1:10" ht="19.5" customHeight="1">
      <c r="A29" s="16"/>
      <c r="B29" s="17"/>
      <c r="C29" s="16"/>
      <c r="D29" s="16"/>
      <c r="E29" s="16"/>
      <c r="F29" s="16"/>
      <c r="G29" s="16"/>
      <c r="H29" s="16"/>
      <c r="I29" s="16"/>
      <c r="J29" s="16"/>
    </row>
    <row r="30" spans="1:10" ht="19.5" customHeight="1">
      <c r="A30" s="16"/>
      <c r="B30" s="17"/>
      <c r="C30" s="16"/>
      <c r="D30" s="16"/>
      <c r="E30" s="16"/>
      <c r="F30" s="16"/>
      <c r="G30" s="16"/>
      <c r="H30" s="16"/>
      <c r="I30" s="16"/>
      <c r="J30" s="16"/>
    </row>
    <row r="31" spans="1:10" ht="19.5" customHeight="1">
      <c r="A31" s="16"/>
      <c r="B31" s="17"/>
      <c r="C31" s="16"/>
      <c r="D31" s="16"/>
      <c r="E31" s="16"/>
      <c r="F31" s="16"/>
      <c r="G31" s="16"/>
      <c r="H31" s="16"/>
      <c r="I31" s="16"/>
      <c r="J31" s="16"/>
    </row>
    <row r="32" spans="1:10" ht="19.5" customHeight="1">
      <c r="A32" s="16"/>
      <c r="B32" s="17"/>
      <c r="C32" s="16"/>
      <c r="D32" s="16"/>
      <c r="E32" s="16"/>
      <c r="F32" s="16"/>
      <c r="G32" s="16"/>
      <c r="H32" s="16"/>
      <c r="I32" s="16"/>
      <c r="J32" s="16"/>
    </row>
    <row r="33" spans="1:10" ht="19.5" customHeight="1">
      <c r="A33" s="16"/>
      <c r="B33" s="17"/>
      <c r="C33" s="16"/>
      <c r="D33" s="16"/>
      <c r="E33" s="16"/>
      <c r="F33" s="16"/>
      <c r="G33" s="16"/>
      <c r="H33" s="16"/>
      <c r="I33" s="16"/>
      <c r="J33" s="16"/>
    </row>
    <row r="34" spans="1:10" ht="19.5" customHeight="1">
      <c r="A34" s="16"/>
      <c r="B34" s="17"/>
      <c r="C34" s="16"/>
      <c r="D34" s="16"/>
      <c r="E34" s="16"/>
      <c r="F34" s="16"/>
      <c r="G34" s="16"/>
      <c r="H34" s="16"/>
      <c r="I34" s="16"/>
      <c r="J34" s="16"/>
    </row>
    <row r="35" spans="1:10" ht="19.5" customHeight="1">
      <c r="A35" s="16"/>
      <c r="B35" s="17"/>
      <c r="C35" s="16"/>
      <c r="D35" s="16"/>
      <c r="E35" s="16"/>
      <c r="F35" s="16"/>
      <c r="G35" s="16"/>
      <c r="H35" s="16"/>
      <c r="I35" s="16"/>
      <c r="J35" s="16"/>
    </row>
    <row r="36" spans="1:10" ht="19.5" customHeight="1">
      <c r="A36" s="16"/>
      <c r="B36" s="17"/>
      <c r="C36" s="16"/>
      <c r="D36" s="16"/>
      <c r="E36" s="16"/>
      <c r="F36" s="16"/>
      <c r="G36" s="16"/>
      <c r="H36" s="16"/>
      <c r="I36" s="16"/>
      <c r="J36" s="16"/>
    </row>
    <row r="37" spans="1:10" ht="19.5" customHeight="1">
      <c r="A37" s="16"/>
      <c r="B37" s="17"/>
      <c r="C37" s="16"/>
      <c r="D37" s="16"/>
      <c r="E37" s="16"/>
      <c r="F37" s="16"/>
      <c r="G37" s="16"/>
      <c r="H37" s="16"/>
      <c r="I37" s="16"/>
      <c r="J37" s="16"/>
    </row>
    <row r="38" spans="1:10" ht="19.5" customHeight="1">
      <c r="A38" s="16"/>
      <c r="B38" s="17"/>
      <c r="C38" s="16"/>
      <c r="D38" s="16"/>
      <c r="E38" s="16"/>
      <c r="F38" s="16"/>
      <c r="G38" s="16"/>
      <c r="H38" s="16"/>
      <c r="I38" s="16"/>
      <c r="J38" s="16"/>
    </row>
    <row r="39" spans="1:10" ht="19.5" customHeight="1">
      <c r="A39" s="16"/>
      <c r="B39" s="17"/>
      <c r="C39" s="16"/>
      <c r="D39" s="16"/>
      <c r="E39" s="16"/>
      <c r="F39" s="16"/>
      <c r="G39" s="16"/>
      <c r="H39" s="16"/>
      <c r="I39" s="16"/>
      <c r="J39" s="16"/>
    </row>
    <row r="40" spans="1:10" ht="19.5" customHeight="1">
      <c r="A40" s="16"/>
      <c r="B40" s="17"/>
      <c r="C40" s="16"/>
      <c r="D40" s="16"/>
      <c r="E40" s="16"/>
      <c r="F40" s="16"/>
      <c r="G40" s="16"/>
      <c r="H40" s="16"/>
      <c r="I40" s="16"/>
      <c r="J40" s="16"/>
    </row>
    <row r="41" spans="1:10" ht="19.5" customHeight="1">
      <c r="A41" s="16"/>
      <c r="B41" s="17"/>
      <c r="C41" s="16"/>
      <c r="D41" s="16"/>
      <c r="E41" s="16"/>
      <c r="F41" s="16"/>
      <c r="G41" s="16"/>
      <c r="H41" s="16"/>
      <c r="I41" s="16"/>
      <c r="J41" s="16"/>
    </row>
    <row r="42" spans="1:10" ht="19.5" customHeight="1">
      <c r="A42" s="16"/>
      <c r="B42" s="17"/>
      <c r="C42" s="16"/>
      <c r="D42" s="16"/>
      <c r="E42" s="16"/>
      <c r="F42" s="16"/>
      <c r="G42" s="16"/>
      <c r="H42" s="16"/>
      <c r="I42" s="16"/>
      <c r="J42" s="16"/>
    </row>
    <row r="43" spans="1:10" ht="19.5" customHeight="1">
      <c r="A43" s="16"/>
      <c r="B43" s="17"/>
      <c r="C43" s="16"/>
      <c r="D43" s="16"/>
      <c r="E43" s="16"/>
      <c r="F43" s="16"/>
      <c r="G43" s="16"/>
      <c r="H43" s="16"/>
      <c r="I43" s="16"/>
      <c r="J43" s="16"/>
    </row>
    <row r="44" spans="1:10" ht="19.5" customHeight="1">
      <c r="A44" s="16"/>
      <c r="B44" s="17"/>
      <c r="C44" s="16"/>
      <c r="D44" s="16"/>
      <c r="E44" s="16"/>
      <c r="F44" s="16"/>
      <c r="G44" s="16"/>
      <c r="H44" s="16"/>
      <c r="I44" s="16"/>
      <c r="J44" s="16"/>
    </row>
    <row r="45" spans="1:10" ht="19.5" customHeight="1">
      <c r="A45" s="16"/>
      <c r="B45" s="17"/>
      <c r="C45" s="16"/>
      <c r="D45" s="16"/>
      <c r="E45" s="16"/>
      <c r="F45" s="16"/>
      <c r="G45" s="16"/>
      <c r="H45" s="16"/>
      <c r="I45" s="16"/>
      <c r="J45" s="16"/>
    </row>
    <row r="46" spans="1:10" ht="19.5" customHeight="1">
      <c r="A46" s="16"/>
      <c r="B46" s="17"/>
      <c r="C46" s="16"/>
      <c r="D46" s="16"/>
      <c r="E46" s="16"/>
      <c r="F46" s="16"/>
      <c r="G46" s="16"/>
      <c r="H46" s="16"/>
      <c r="I46" s="16"/>
      <c r="J46" s="16"/>
    </row>
    <row r="47" spans="1:10" ht="19.5" customHeight="1">
      <c r="A47" s="16"/>
      <c r="B47" s="17"/>
      <c r="C47" s="16"/>
      <c r="D47" s="16"/>
      <c r="E47" s="16"/>
      <c r="F47" s="16"/>
      <c r="G47" s="16"/>
      <c r="H47" s="16"/>
      <c r="I47" s="16"/>
      <c r="J47" s="16"/>
    </row>
    <row r="48" spans="1:10" ht="19.5" customHeight="1">
      <c r="A48" s="16"/>
      <c r="B48" s="17"/>
      <c r="C48" s="16"/>
      <c r="D48" s="16"/>
      <c r="E48" s="16"/>
      <c r="F48" s="16"/>
      <c r="G48" s="16"/>
      <c r="H48" s="16"/>
      <c r="I48" s="16"/>
      <c r="J48" s="16"/>
    </row>
    <row r="49" spans="1:10" ht="19.5" customHeight="1">
      <c r="A49" s="16"/>
      <c r="B49" s="17"/>
      <c r="C49" s="16"/>
      <c r="D49" s="16"/>
      <c r="E49" s="16"/>
      <c r="F49" s="16"/>
      <c r="G49" s="16"/>
      <c r="H49" s="16"/>
      <c r="I49" s="16"/>
      <c r="J49" s="16"/>
    </row>
    <row r="50" spans="1:10" ht="19.5" customHeight="1">
      <c r="A50" s="16"/>
      <c r="B50" s="17"/>
      <c r="C50" s="16"/>
      <c r="D50" s="16"/>
      <c r="E50" s="16"/>
      <c r="F50" s="16"/>
      <c r="G50" s="16"/>
      <c r="H50" s="16"/>
      <c r="I50" s="16"/>
      <c r="J50" s="16"/>
    </row>
    <row r="51" spans="1:10" ht="19.5" customHeight="1">
      <c r="A51" s="16"/>
      <c r="B51" s="17"/>
      <c r="C51" s="16"/>
      <c r="D51" s="16"/>
      <c r="E51" s="16"/>
      <c r="F51" s="16"/>
      <c r="G51" s="16"/>
      <c r="H51" s="16"/>
      <c r="I51" s="16"/>
      <c r="J51" s="16"/>
    </row>
    <row r="52" spans="1:10" ht="19.5" customHeight="1">
      <c r="A52" s="16"/>
      <c r="B52" s="17"/>
      <c r="C52" s="16"/>
      <c r="D52" s="16"/>
      <c r="E52" s="16"/>
      <c r="F52" s="16"/>
      <c r="G52" s="16"/>
      <c r="H52" s="16"/>
      <c r="I52" s="16"/>
      <c r="J52" s="16"/>
    </row>
    <row r="53" spans="1:10" ht="19.5" customHeight="1">
      <c r="A53" s="16"/>
      <c r="B53" s="17"/>
      <c r="C53" s="16"/>
      <c r="D53" s="16"/>
      <c r="E53" s="16"/>
      <c r="F53" s="16"/>
      <c r="G53" s="16"/>
      <c r="H53" s="16"/>
      <c r="I53" s="16"/>
      <c r="J53" s="16"/>
    </row>
    <row r="54" spans="1:10" ht="19.5" customHeight="1">
      <c r="A54" s="16"/>
      <c r="B54" s="17"/>
      <c r="C54" s="16"/>
      <c r="D54" s="16"/>
      <c r="E54" s="16"/>
      <c r="F54" s="16"/>
      <c r="G54" s="16"/>
      <c r="H54" s="16"/>
      <c r="I54" s="16"/>
      <c r="J54" s="16"/>
    </row>
    <row r="55" spans="1:10" ht="19.5" customHeight="1">
      <c r="A55" s="16"/>
      <c r="B55" s="17"/>
      <c r="C55" s="16"/>
      <c r="D55" s="16"/>
      <c r="E55" s="16"/>
      <c r="F55" s="16"/>
      <c r="G55" s="16"/>
      <c r="H55" s="16"/>
      <c r="I55" s="16"/>
      <c r="J55" s="16"/>
    </row>
    <row r="56" spans="1:10" ht="19.5" customHeight="1">
      <c r="A56" s="16"/>
      <c r="B56" s="17"/>
      <c r="C56" s="16"/>
      <c r="D56" s="16"/>
      <c r="E56" s="16"/>
      <c r="F56" s="16"/>
      <c r="G56" s="16"/>
      <c r="H56" s="16"/>
      <c r="I56" s="16"/>
      <c r="J56" s="16"/>
    </row>
    <row r="57" spans="1:10" ht="19.5" customHeight="1">
      <c r="A57" s="16"/>
      <c r="B57" s="17"/>
      <c r="C57" s="16"/>
      <c r="D57" s="16"/>
      <c r="E57" s="16"/>
      <c r="F57" s="16"/>
      <c r="G57" s="16"/>
      <c r="H57" s="16"/>
      <c r="I57" s="16"/>
      <c r="J57" s="16"/>
    </row>
    <row r="58" spans="1:10" ht="19.5" customHeight="1">
      <c r="A58" s="16"/>
      <c r="B58" s="17"/>
      <c r="C58" s="16"/>
      <c r="D58" s="16"/>
      <c r="E58" s="16"/>
      <c r="F58" s="16"/>
      <c r="G58" s="16"/>
      <c r="H58" s="16"/>
      <c r="I58" s="16"/>
      <c r="J58" s="16"/>
    </row>
    <row r="59" spans="1:10" ht="19.5" customHeight="1">
      <c r="A59" s="16"/>
      <c r="B59" s="17"/>
      <c r="C59" s="16"/>
      <c r="D59" s="16"/>
      <c r="E59" s="16"/>
      <c r="F59" s="16"/>
      <c r="G59" s="16"/>
      <c r="H59" s="16"/>
      <c r="I59" s="16"/>
      <c r="J59" s="16"/>
    </row>
    <row r="60" spans="1:10" ht="19.5" customHeight="1">
      <c r="A60" s="16"/>
      <c r="B60" s="17"/>
      <c r="C60" s="16"/>
      <c r="D60" s="16"/>
      <c r="E60" s="16"/>
      <c r="F60" s="16"/>
      <c r="G60" s="16"/>
      <c r="H60" s="16"/>
      <c r="I60" s="16"/>
      <c r="J60" s="16"/>
    </row>
  </sheetData>
  <pageMargins left="0.75" right="0.75" top="1" bottom="1"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O78"/>
  <sheetViews>
    <sheetView showGridLines="0" workbookViewId="0"/>
  </sheetViews>
  <sheetFormatPr baseColWidth="10" defaultColWidth="10.140625" defaultRowHeight="15" customHeight="1" outlineLevelRow="1"/>
  <cols>
    <col min="1" max="1" width="3.42578125" customWidth="1"/>
    <col min="2" max="2" width="20.28515625" customWidth="1"/>
    <col min="3" max="3" width="4.140625" customWidth="1"/>
    <col min="4" max="4" width="13.140625" customWidth="1"/>
    <col min="5" max="7" width="1.42578125" customWidth="1"/>
    <col min="8" max="8" width="7.140625" customWidth="1"/>
    <col min="9" max="9" width="5.85546875" customWidth="1"/>
    <col min="10" max="19" width="1.140625" customWidth="1"/>
    <col min="20" max="67" width="9.28515625" customWidth="1"/>
  </cols>
  <sheetData>
    <row r="1" spans="1:67" ht="16.5" customHeight="1">
      <c r="A1" s="16"/>
      <c r="B1" s="17"/>
      <c r="C1" s="18"/>
      <c r="D1" s="17"/>
      <c r="E1" s="17"/>
      <c r="F1" s="17"/>
      <c r="G1" s="17"/>
      <c r="H1" s="17"/>
      <c r="I1" s="17"/>
      <c r="J1" s="17"/>
      <c r="K1" s="17"/>
      <c r="L1" s="17"/>
      <c r="M1" s="17"/>
      <c r="N1" s="17"/>
      <c r="O1" s="17"/>
      <c r="P1" s="17"/>
      <c r="Q1" s="17"/>
      <c r="R1" s="17"/>
      <c r="S1" s="17"/>
      <c r="T1" s="17"/>
      <c r="U1" s="17"/>
      <c r="V1" s="17"/>
      <c r="W1" s="17"/>
      <c r="X1" s="17"/>
      <c r="Y1" s="17"/>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row>
    <row r="2" spans="1:67" ht="16.5" customHeight="1">
      <c r="A2" s="16"/>
      <c r="B2" s="29" t="s">
        <v>24</v>
      </c>
      <c r="C2" s="18"/>
      <c r="D2" s="17"/>
      <c r="E2" s="17"/>
      <c r="F2" s="17"/>
      <c r="G2" s="17"/>
      <c r="H2" s="17"/>
      <c r="I2" s="17"/>
      <c r="J2" s="17"/>
      <c r="K2" s="17"/>
      <c r="L2" s="17"/>
      <c r="M2" s="17"/>
      <c r="N2" s="17"/>
      <c r="O2" s="17"/>
      <c r="P2" s="17"/>
      <c r="Q2" s="17"/>
      <c r="R2" s="17"/>
      <c r="S2" s="17"/>
      <c r="T2" s="17"/>
      <c r="U2" s="17"/>
      <c r="V2" s="17"/>
      <c r="W2" s="17"/>
      <c r="X2" s="17"/>
      <c r="Y2" s="17"/>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row>
    <row r="3" spans="1:67" ht="16.5" customHeight="1">
      <c r="A3" s="16"/>
      <c r="B3" s="30"/>
      <c r="C3" s="18"/>
      <c r="D3" s="17"/>
      <c r="E3" s="17"/>
      <c r="F3" s="17"/>
      <c r="G3" s="17"/>
      <c r="H3" s="17"/>
      <c r="I3" s="17"/>
      <c r="J3" s="17"/>
      <c r="K3" s="17"/>
      <c r="L3" s="17"/>
      <c r="M3" s="17"/>
      <c r="N3" s="17"/>
      <c r="O3" s="17"/>
      <c r="P3" s="17"/>
      <c r="Q3" s="17"/>
      <c r="R3" s="17"/>
      <c r="S3" s="17"/>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row>
    <row r="4" spans="1:67" ht="16.5" customHeight="1">
      <c r="A4" s="16"/>
      <c r="B4" s="31" t="s">
        <v>99</v>
      </c>
      <c r="C4" s="32" t="s">
        <v>100</v>
      </c>
      <c r="D4" s="33" t="s">
        <v>101</v>
      </c>
      <c r="E4" s="32"/>
      <c r="F4" s="32"/>
      <c r="G4" s="32"/>
      <c r="H4" s="32"/>
      <c r="I4" s="31"/>
      <c r="J4" s="31"/>
      <c r="K4" s="31"/>
      <c r="L4" s="31"/>
      <c r="M4" s="31"/>
      <c r="N4" s="31"/>
      <c r="O4" s="31"/>
      <c r="P4" s="31"/>
      <c r="Q4" s="31"/>
      <c r="R4" s="31"/>
      <c r="S4" s="31"/>
      <c r="T4" s="34">
        <f>EOMONTH('Get Started'!D8,0)</f>
        <v>44469</v>
      </c>
      <c r="U4" s="34">
        <f t="shared" ref="U4:BO4" si="0">EOMONTH(EDATE(T4,1),0)</f>
        <v>44500</v>
      </c>
      <c r="V4" s="34">
        <f t="shared" si="0"/>
        <v>44530</v>
      </c>
      <c r="W4" s="34">
        <f t="shared" si="0"/>
        <v>44561</v>
      </c>
      <c r="X4" s="34">
        <f t="shared" si="0"/>
        <v>44592</v>
      </c>
      <c r="Y4" s="34">
        <f t="shared" si="0"/>
        <v>44620</v>
      </c>
      <c r="Z4" s="34">
        <f t="shared" si="0"/>
        <v>44651</v>
      </c>
      <c r="AA4" s="34">
        <f t="shared" si="0"/>
        <v>44681</v>
      </c>
      <c r="AB4" s="34">
        <f t="shared" si="0"/>
        <v>44712</v>
      </c>
      <c r="AC4" s="34">
        <f t="shared" si="0"/>
        <v>44742</v>
      </c>
      <c r="AD4" s="34">
        <f t="shared" si="0"/>
        <v>44773</v>
      </c>
      <c r="AE4" s="34">
        <f t="shared" si="0"/>
        <v>44804</v>
      </c>
      <c r="AF4" s="34">
        <f t="shared" si="0"/>
        <v>44834</v>
      </c>
      <c r="AG4" s="34">
        <f t="shared" si="0"/>
        <v>44865</v>
      </c>
      <c r="AH4" s="34">
        <f t="shared" si="0"/>
        <v>44895</v>
      </c>
      <c r="AI4" s="34">
        <f t="shared" si="0"/>
        <v>44926</v>
      </c>
      <c r="AJ4" s="34">
        <f t="shared" si="0"/>
        <v>44957</v>
      </c>
      <c r="AK4" s="34">
        <f t="shared" si="0"/>
        <v>44985</v>
      </c>
      <c r="AL4" s="34">
        <f t="shared" si="0"/>
        <v>45016</v>
      </c>
      <c r="AM4" s="34">
        <f t="shared" si="0"/>
        <v>45046</v>
      </c>
      <c r="AN4" s="34">
        <f t="shared" si="0"/>
        <v>45077</v>
      </c>
      <c r="AO4" s="34">
        <f t="shared" si="0"/>
        <v>45107</v>
      </c>
      <c r="AP4" s="34">
        <f t="shared" si="0"/>
        <v>45138</v>
      </c>
      <c r="AQ4" s="34">
        <f t="shared" si="0"/>
        <v>45169</v>
      </c>
      <c r="AR4" s="34">
        <f t="shared" si="0"/>
        <v>45199</v>
      </c>
      <c r="AS4" s="34">
        <f t="shared" si="0"/>
        <v>45230</v>
      </c>
      <c r="AT4" s="34">
        <f t="shared" si="0"/>
        <v>45260</v>
      </c>
      <c r="AU4" s="34">
        <f t="shared" si="0"/>
        <v>45291</v>
      </c>
      <c r="AV4" s="34">
        <f t="shared" si="0"/>
        <v>45322</v>
      </c>
      <c r="AW4" s="34">
        <f t="shared" si="0"/>
        <v>45351</v>
      </c>
      <c r="AX4" s="34">
        <f t="shared" si="0"/>
        <v>45382</v>
      </c>
      <c r="AY4" s="34">
        <f t="shared" si="0"/>
        <v>45412</v>
      </c>
      <c r="AZ4" s="34">
        <f t="shared" si="0"/>
        <v>45443</v>
      </c>
      <c r="BA4" s="34">
        <f t="shared" si="0"/>
        <v>45473</v>
      </c>
      <c r="BB4" s="34">
        <f t="shared" si="0"/>
        <v>45504</v>
      </c>
      <c r="BC4" s="34">
        <f t="shared" si="0"/>
        <v>45535</v>
      </c>
      <c r="BD4" s="34">
        <f t="shared" si="0"/>
        <v>45565</v>
      </c>
      <c r="BE4" s="34">
        <f t="shared" si="0"/>
        <v>45596</v>
      </c>
      <c r="BF4" s="34">
        <f t="shared" si="0"/>
        <v>45626</v>
      </c>
      <c r="BG4" s="34">
        <f t="shared" si="0"/>
        <v>45657</v>
      </c>
      <c r="BH4" s="34">
        <f t="shared" si="0"/>
        <v>45688</v>
      </c>
      <c r="BI4" s="34">
        <f t="shared" si="0"/>
        <v>45716</v>
      </c>
      <c r="BJ4" s="34">
        <f t="shared" si="0"/>
        <v>45747</v>
      </c>
      <c r="BK4" s="34">
        <f t="shared" si="0"/>
        <v>45777</v>
      </c>
      <c r="BL4" s="34">
        <f t="shared" si="0"/>
        <v>45808</v>
      </c>
      <c r="BM4" s="34">
        <f t="shared" si="0"/>
        <v>45838</v>
      </c>
      <c r="BN4" s="34">
        <f t="shared" si="0"/>
        <v>45869</v>
      </c>
      <c r="BO4" s="34">
        <f t="shared" si="0"/>
        <v>45900</v>
      </c>
    </row>
    <row r="5" spans="1:67" ht="16.5" customHeight="1">
      <c r="A5" s="16"/>
      <c r="B5" s="17" t="s">
        <v>102</v>
      </c>
      <c r="C5" s="18" t="s">
        <v>86</v>
      </c>
      <c r="D5" s="35" t="s">
        <v>103</v>
      </c>
      <c r="E5" s="18"/>
      <c r="F5" s="18"/>
      <c r="G5" s="18"/>
      <c r="H5" s="18"/>
      <c r="I5" s="17"/>
      <c r="J5" s="17"/>
      <c r="K5" s="17"/>
      <c r="L5" s="17"/>
      <c r="M5" s="17"/>
      <c r="N5" s="17"/>
      <c r="O5" s="17"/>
      <c r="P5" s="17"/>
      <c r="Q5" s="17"/>
      <c r="R5" s="17"/>
      <c r="S5" s="17"/>
      <c r="T5" s="36">
        <v>0</v>
      </c>
      <c r="U5" s="36">
        <f t="shared" ref="U5:BO5" si="1">T5+1</f>
        <v>1</v>
      </c>
      <c r="V5" s="36">
        <f t="shared" si="1"/>
        <v>2</v>
      </c>
      <c r="W5" s="36">
        <f t="shared" si="1"/>
        <v>3</v>
      </c>
      <c r="X5" s="36">
        <f t="shared" si="1"/>
        <v>4</v>
      </c>
      <c r="Y5" s="36">
        <f t="shared" si="1"/>
        <v>5</v>
      </c>
      <c r="Z5" s="36">
        <f t="shared" si="1"/>
        <v>6</v>
      </c>
      <c r="AA5" s="36">
        <f t="shared" si="1"/>
        <v>7</v>
      </c>
      <c r="AB5" s="36">
        <f t="shared" si="1"/>
        <v>8</v>
      </c>
      <c r="AC5" s="36">
        <f t="shared" si="1"/>
        <v>9</v>
      </c>
      <c r="AD5" s="36">
        <f t="shared" si="1"/>
        <v>10</v>
      </c>
      <c r="AE5" s="36">
        <f t="shared" si="1"/>
        <v>11</v>
      </c>
      <c r="AF5" s="36">
        <f t="shared" si="1"/>
        <v>12</v>
      </c>
      <c r="AG5" s="36">
        <f t="shared" si="1"/>
        <v>13</v>
      </c>
      <c r="AH5" s="36">
        <f t="shared" si="1"/>
        <v>14</v>
      </c>
      <c r="AI5" s="36">
        <f t="shared" si="1"/>
        <v>15</v>
      </c>
      <c r="AJ5" s="36">
        <f t="shared" si="1"/>
        <v>16</v>
      </c>
      <c r="AK5" s="36">
        <f t="shared" si="1"/>
        <v>17</v>
      </c>
      <c r="AL5" s="36">
        <f t="shared" si="1"/>
        <v>18</v>
      </c>
      <c r="AM5" s="36">
        <f t="shared" si="1"/>
        <v>19</v>
      </c>
      <c r="AN5" s="36">
        <f t="shared" si="1"/>
        <v>20</v>
      </c>
      <c r="AO5" s="36">
        <f t="shared" si="1"/>
        <v>21</v>
      </c>
      <c r="AP5" s="36">
        <f t="shared" si="1"/>
        <v>22</v>
      </c>
      <c r="AQ5" s="36">
        <f t="shared" si="1"/>
        <v>23</v>
      </c>
      <c r="AR5" s="36">
        <f t="shared" si="1"/>
        <v>24</v>
      </c>
      <c r="AS5" s="36">
        <f t="shared" si="1"/>
        <v>25</v>
      </c>
      <c r="AT5" s="36">
        <f t="shared" si="1"/>
        <v>26</v>
      </c>
      <c r="AU5" s="36">
        <f t="shared" si="1"/>
        <v>27</v>
      </c>
      <c r="AV5" s="36">
        <f t="shared" si="1"/>
        <v>28</v>
      </c>
      <c r="AW5" s="36">
        <f t="shared" si="1"/>
        <v>29</v>
      </c>
      <c r="AX5" s="36">
        <f t="shared" si="1"/>
        <v>30</v>
      </c>
      <c r="AY5" s="36">
        <f t="shared" si="1"/>
        <v>31</v>
      </c>
      <c r="AZ5" s="36">
        <f t="shared" si="1"/>
        <v>32</v>
      </c>
      <c r="BA5" s="36">
        <f t="shared" si="1"/>
        <v>33</v>
      </c>
      <c r="BB5" s="36">
        <f t="shared" si="1"/>
        <v>34</v>
      </c>
      <c r="BC5" s="36">
        <f t="shared" si="1"/>
        <v>35</v>
      </c>
      <c r="BD5" s="36">
        <f t="shared" si="1"/>
        <v>36</v>
      </c>
      <c r="BE5" s="36">
        <f t="shared" si="1"/>
        <v>37</v>
      </c>
      <c r="BF5" s="36">
        <f t="shared" si="1"/>
        <v>38</v>
      </c>
      <c r="BG5" s="36">
        <f t="shared" si="1"/>
        <v>39</v>
      </c>
      <c r="BH5" s="36">
        <f t="shared" si="1"/>
        <v>40</v>
      </c>
      <c r="BI5" s="36">
        <f t="shared" si="1"/>
        <v>41</v>
      </c>
      <c r="BJ5" s="36">
        <f t="shared" si="1"/>
        <v>42</v>
      </c>
      <c r="BK5" s="36">
        <f t="shared" si="1"/>
        <v>43</v>
      </c>
      <c r="BL5" s="36">
        <f t="shared" si="1"/>
        <v>44</v>
      </c>
      <c r="BM5" s="36">
        <f t="shared" si="1"/>
        <v>45</v>
      </c>
      <c r="BN5" s="36">
        <f t="shared" si="1"/>
        <v>46</v>
      </c>
      <c r="BO5" s="36">
        <f t="shared" si="1"/>
        <v>47</v>
      </c>
    </row>
    <row r="6" spans="1:67" ht="16.5" customHeight="1">
      <c r="A6" s="16"/>
      <c r="B6" s="17" t="s">
        <v>104</v>
      </c>
      <c r="C6" s="18" t="s">
        <v>86</v>
      </c>
      <c r="D6" s="17" t="str">
        <f>"the model structure runs for "&amp;BO6&amp;" months. Month 0 is a pre-structure month, meant to capture opening items that help calculate the first month"</f>
        <v>the model structure runs for 48 months. Month 0 is a pre-structure month, meant to capture opening items that help calculate the first month</v>
      </c>
      <c r="E6" s="16"/>
      <c r="F6" s="16"/>
      <c r="G6" s="16"/>
      <c r="H6" s="16"/>
      <c r="I6" s="18"/>
      <c r="J6" s="18"/>
      <c r="K6" s="18"/>
      <c r="L6" s="18"/>
      <c r="M6" s="18"/>
      <c r="N6" s="18"/>
      <c r="O6" s="18"/>
      <c r="P6" s="18"/>
      <c r="Q6" s="18"/>
      <c r="R6" s="18"/>
      <c r="S6" s="36"/>
      <c r="T6" s="36">
        <v>1</v>
      </c>
      <c r="U6" s="36">
        <f t="shared" ref="U6:BO6" si="2">T6+1</f>
        <v>2</v>
      </c>
      <c r="V6" s="36">
        <f t="shared" si="2"/>
        <v>3</v>
      </c>
      <c r="W6" s="36">
        <f t="shared" si="2"/>
        <v>4</v>
      </c>
      <c r="X6" s="36">
        <f t="shared" si="2"/>
        <v>5</v>
      </c>
      <c r="Y6" s="36">
        <f t="shared" si="2"/>
        <v>6</v>
      </c>
      <c r="Z6" s="36">
        <f t="shared" si="2"/>
        <v>7</v>
      </c>
      <c r="AA6" s="36">
        <f t="shared" si="2"/>
        <v>8</v>
      </c>
      <c r="AB6" s="36">
        <f t="shared" si="2"/>
        <v>9</v>
      </c>
      <c r="AC6" s="36">
        <f t="shared" si="2"/>
        <v>10</v>
      </c>
      <c r="AD6" s="36">
        <f t="shared" si="2"/>
        <v>11</v>
      </c>
      <c r="AE6" s="36">
        <f t="shared" si="2"/>
        <v>12</v>
      </c>
      <c r="AF6" s="36">
        <f t="shared" si="2"/>
        <v>13</v>
      </c>
      <c r="AG6" s="36">
        <f t="shared" si="2"/>
        <v>14</v>
      </c>
      <c r="AH6" s="36">
        <f t="shared" si="2"/>
        <v>15</v>
      </c>
      <c r="AI6" s="36">
        <f t="shared" si="2"/>
        <v>16</v>
      </c>
      <c r="AJ6" s="36">
        <f t="shared" si="2"/>
        <v>17</v>
      </c>
      <c r="AK6" s="36">
        <f t="shared" si="2"/>
        <v>18</v>
      </c>
      <c r="AL6" s="36">
        <f t="shared" si="2"/>
        <v>19</v>
      </c>
      <c r="AM6" s="36">
        <f t="shared" si="2"/>
        <v>20</v>
      </c>
      <c r="AN6" s="36">
        <f t="shared" si="2"/>
        <v>21</v>
      </c>
      <c r="AO6" s="36">
        <f t="shared" si="2"/>
        <v>22</v>
      </c>
      <c r="AP6" s="36">
        <f t="shared" si="2"/>
        <v>23</v>
      </c>
      <c r="AQ6" s="36">
        <f t="shared" si="2"/>
        <v>24</v>
      </c>
      <c r="AR6" s="36">
        <f t="shared" si="2"/>
        <v>25</v>
      </c>
      <c r="AS6" s="36">
        <f t="shared" si="2"/>
        <v>26</v>
      </c>
      <c r="AT6" s="36">
        <f t="shared" si="2"/>
        <v>27</v>
      </c>
      <c r="AU6" s="36">
        <f t="shared" si="2"/>
        <v>28</v>
      </c>
      <c r="AV6" s="36">
        <f t="shared" si="2"/>
        <v>29</v>
      </c>
      <c r="AW6" s="36">
        <f t="shared" si="2"/>
        <v>30</v>
      </c>
      <c r="AX6" s="36">
        <f t="shared" si="2"/>
        <v>31</v>
      </c>
      <c r="AY6" s="36">
        <f t="shared" si="2"/>
        <v>32</v>
      </c>
      <c r="AZ6" s="36">
        <f t="shared" si="2"/>
        <v>33</v>
      </c>
      <c r="BA6" s="36">
        <f t="shared" si="2"/>
        <v>34</v>
      </c>
      <c r="BB6" s="36">
        <f t="shared" si="2"/>
        <v>35</v>
      </c>
      <c r="BC6" s="36">
        <f t="shared" si="2"/>
        <v>36</v>
      </c>
      <c r="BD6" s="36">
        <f t="shared" si="2"/>
        <v>37</v>
      </c>
      <c r="BE6" s="36">
        <f t="shared" si="2"/>
        <v>38</v>
      </c>
      <c r="BF6" s="36">
        <f t="shared" si="2"/>
        <v>39</v>
      </c>
      <c r="BG6" s="36">
        <f t="shared" si="2"/>
        <v>40</v>
      </c>
      <c r="BH6" s="36">
        <f t="shared" si="2"/>
        <v>41</v>
      </c>
      <c r="BI6" s="36">
        <f t="shared" si="2"/>
        <v>42</v>
      </c>
      <c r="BJ6" s="36">
        <f t="shared" si="2"/>
        <v>43</v>
      </c>
      <c r="BK6" s="36">
        <f t="shared" si="2"/>
        <v>44</v>
      </c>
      <c r="BL6" s="36">
        <f t="shared" si="2"/>
        <v>45</v>
      </c>
      <c r="BM6" s="36">
        <f t="shared" si="2"/>
        <v>46</v>
      </c>
      <c r="BN6" s="36">
        <f t="shared" si="2"/>
        <v>47</v>
      </c>
      <c r="BO6" s="36">
        <f t="shared" si="2"/>
        <v>48</v>
      </c>
    </row>
    <row r="7" spans="1:67" ht="16.5" hidden="1" customHeight="1" outlineLevel="1">
      <c r="A7" s="16"/>
      <c r="B7" s="17" t="s">
        <v>105</v>
      </c>
      <c r="C7" s="37" t="s">
        <v>86</v>
      </c>
      <c r="D7" s="17" t="s">
        <v>106</v>
      </c>
      <c r="E7" s="17"/>
      <c r="F7" s="17"/>
      <c r="G7" s="17"/>
      <c r="H7" s="17"/>
      <c r="I7" s="17"/>
      <c r="J7" s="17"/>
      <c r="K7" s="17"/>
      <c r="L7" s="17"/>
      <c r="M7" s="17"/>
      <c r="N7" s="17"/>
      <c r="O7" s="17"/>
      <c r="P7" s="17"/>
      <c r="Q7" s="17"/>
      <c r="R7" s="17"/>
      <c r="S7" s="17"/>
      <c r="T7" s="16">
        <f t="array" ref="T7">IF(EOMONTH(T4,0)&lt;=EOMONTH('Get Started'!$D9,0),YEAR('Get Started'!$D9),IF(T6&lt;=(MONTH('Get Started'!$D9)-MONTH('Get Started'!$D8)),YEAR('Get Started'!$D9),IF(T6&lt;=12,YEAR('Get Started'!$D9)+1,IFERROR(INDEX(S7:$T7,0,MATCH(T5-12,S5:$T5,0)),0)+1)))</f>
        <v>2021</v>
      </c>
      <c r="U7" s="16">
        <f t="array" ref="U7">IF(EOMONTH(U4,0)&lt;=EOMONTH('Get Started'!$D9,0),YEAR('Get Started'!$D9),IF(U6&lt;=(MONTH('Get Started'!$D9)-MONTH('Get Started'!$D8)),YEAR('Get Started'!$D9),IF(U6&lt;=12,YEAR('Get Started'!$D9)+1,IFERROR(INDEX(T7:$T7,0,MATCH(U5-12,T5:$T5,0)),0)+1)))</f>
        <v>2021</v>
      </c>
      <c r="V7" s="16">
        <f t="array" ref="V7">IF(EOMONTH(V4,0)&lt;=EOMONTH('Get Started'!$D9,0),YEAR('Get Started'!$D9),IF(V6&lt;=(MONTH('Get Started'!$D9)-MONTH('Get Started'!$D8)),YEAR('Get Started'!$D9),IF(V6&lt;=12,YEAR('Get Started'!$D9)+1,IFERROR(INDEX($T7:U7,0,MATCH(V5-12,$T5:U5,0)),0)+1)))</f>
        <v>2021</v>
      </c>
      <c r="W7" s="16">
        <f t="array" ref="W7">IF(EOMONTH(W4,0)&lt;=EOMONTH('Get Started'!$D9,0),YEAR('Get Started'!$D9),IF(W6&lt;=(MONTH('Get Started'!$D9)-MONTH('Get Started'!$D8)),YEAR('Get Started'!$D9),IF(W6&lt;=12,YEAR('Get Started'!$D9)+1,IFERROR(INDEX($T7:V7,0,MATCH(W5-12,$T5:V5,0)),0)+1)))</f>
        <v>2021</v>
      </c>
      <c r="X7" s="16">
        <f t="array" ref="X7">IF(EOMONTH(X4,0)&lt;=EOMONTH('Get Started'!$D9,0),YEAR('Get Started'!$D9),IF(X6&lt;=(MONTH('Get Started'!$D9)-MONTH('Get Started'!$D8)),YEAR('Get Started'!$D9),IF(X6&lt;=12,YEAR('Get Started'!$D9)+1,IFERROR(INDEX($T7:W7,0,MATCH(X5-12,$T5:W5,0)),0)+1)))</f>
        <v>2022</v>
      </c>
      <c r="Y7" s="16">
        <f t="array" ref="Y7">IF(EOMONTH(Y4,0)&lt;=EOMONTH('Get Started'!$D9,0),YEAR('Get Started'!$D9),IF(Y6&lt;=(MONTH('Get Started'!$D9)-MONTH('Get Started'!$D8)),YEAR('Get Started'!$D9),IF(Y6&lt;=12,YEAR('Get Started'!$D9)+1,IFERROR(INDEX($T7:X7,0,MATCH(Y5-12,$T5:X5,0)),0)+1)))</f>
        <v>2022</v>
      </c>
      <c r="Z7" s="16">
        <f t="array" ref="Z7">IF(EOMONTH(Z4,0)&lt;=EOMONTH('Get Started'!$D9,0),YEAR('Get Started'!$D9),IF(Z6&lt;=(MONTH('Get Started'!$D9)-MONTH('Get Started'!$D8)),YEAR('Get Started'!$D9),IF(Z6&lt;=12,YEAR('Get Started'!$D9)+1,IFERROR(INDEX($T7:Y7,0,MATCH(Z5-12,$T5:Y5,0)),0)+1)))</f>
        <v>2022</v>
      </c>
      <c r="AA7" s="16">
        <f t="array" ref="AA7">IF(EOMONTH(AA4,0)&lt;=EOMONTH('Get Started'!$D9,0),YEAR('Get Started'!$D9),IF(AA6&lt;=(MONTH('Get Started'!$D9)-MONTH('Get Started'!$D8)),YEAR('Get Started'!$D9),IF(AA6&lt;=12,YEAR('Get Started'!$D9)+1,IFERROR(INDEX($T7:Z7,0,MATCH(AA5-12,$T5:Z5,0)),0)+1)))</f>
        <v>2022</v>
      </c>
      <c r="AB7" s="16">
        <f t="array" ref="AB7">IF(EOMONTH(AB4,0)&lt;=EOMONTH('Get Started'!$D9,0),YEAR('Get Started'!$D9),IF(AB6&lt;=(MONTH('Get Started'!$D9)-MONTH('Get Started'!$D8)),YEAR('Get Started'!$D9),IF(AB6&lt;=12,YEAR('Get Started'!$D9)+1,IFERROR(INDEX($T7:AA7,0,MATCH(AB5-12,$T5:AA5,0)),0)+1)))</f>
        <v>2022</v>
      </c>
      <c r="AC7" s="16">
        <f t="array" ref="AC7">IF(EOMONTH(AC4,0)&lt;=EOMONTH('Get Started'!$D9,0),YEAR('Get Started'!$D9),IF(AC6&lt;=(MONTH('Get Started'!$D9)-MONTH('Get Started'!$D8)),YEAR('Get Started'!$D9),IF(AC6&lt;=12,YEAR('Get Started'!$D9)+1,IFERROR(INDEX($T7:AB7,0,MATCH(AC5-12,$T5:AB5,0)),0)+1)))</f>
        <v>2022</v>
      </c>
      <c r="AD7" s="16">
        <f t="array" ref="AD7">IF(EOMONTH(AD4,0)&lt;=EOMONTH('Get Started'!$D9,0),YEAR('Get Started'!$D9),IF(AD6&lt;=(MONTH('Get Started'!$D9)-MONTH('Get Started'!$D8)),YEAR('Get Started'!$D9),IF(AD6&lt;=12,YEAR('Get Started'!$D9)+1,IFERROR(INDEX($T7:AC7,0,MATCH(AD5-12,$T5:AC5,0)),0)+1)))</f>
        <v>2022</v>
      </c>
      <c r="AE7" s="16">
        <f t="array" ref="AE7">IF(EOMONTH(AE4,0)&lt;=EOMONTH('Get Started'!$D9,0),YEAR('Get Started'!$D9),IF(AE6&lt;=(MONTH('Get Started'!$D9)-MONTH('Get Started'!$D8)),YEAR('Get Started'!$D9),IF(AE6&lt;=12,YEAR('Get Started'!$D9)+1,IFERROR(INDEX($T7:AD7,0,MATCH(AE5-12,$T5:AD5,0)),0)+1)))</f>
        <v>2022</v>
      </c>
      <c r="AF7" s="16">
        <f t="array" ref="AF7">IF(EOMONTH(AF4,0)&lt;=EOMONTH('Get Started'!$D9,0),YEAR('Get Started'!$D9),IF(AF6&lt;=(MONTH('Get Started'!$D9)-MONTH('Get Started'!$D8)),YEAR('Get Started'!$D9),IF(AF6&lt;=12,YEAR('Get Started'!$D9)+1,IFERROR(INDEX($T7:AE7,0,MATCH(AF5-12,$T5:AE5,0)),0)+1)))</f>
        <v>2022</v>
      </c>
      <c r="AG7" s="16">
        <f t="array" ref="AG7">IF(EOMONTH(AG4,0)&lt;=EOMONTH('Get Started'!$D9,0),YEAR('Get Started'!$D9),IF(AG6&lt;=(MONTH('Get Started'!$D9)-MONTH('Get Started'!$D8)),YEAR('Get Started'!$D9),IF(AG6&lt;=12,YEAR('Get Started'!$D9)+1,IFERROR(INDEX($T7:AF7,0,MATCH(AG5-12,$T5:AF5,0)),0)+1)))</f>
        <v>2022</v>
      </c>
      <c r="AH7" s="16">
        <f t="array" ref="AH7">IF(EOMONTH(AH4,0)&lt;=EOMONTH('Get Started'!$D9,0),YEAR('Get Started'!$D9),IF(AH6&lt;=(MONTH('Get Started'!$D9)-MONTH('Get Started'!$D8)),YEAR('Get Started'!$D9),IF(AH6&lt;=12,YEAR('Get Started'!$D9)+1,IFERROR(INDEX($T7:AG7,0,MATCH(AH5-12,$T5:AG5,0)),0)+1)))</f>
        <v>2022</v>
      </c>
      <c r="AI7" s="16">
        <f t="array" ref="AI7">IF(EOMONTH(AI4,0)&lt;=EOMONTH('Get Started'!$D9,0),YEAR('Get Started'!$D9),IF(AI6&lt;=(MONTH('Get Started'!$D9)-MONTH('Get Started'!$D8)),YEAR('Get Started'!$D9),IF(AI6&lt;=12,YEAR('Get Started'!$D9)+1,IFERROR(INDEX($T7:AH7,0,MATCH(AI5-12,$T5:AH5,0)),0)+1)))</f>
        <v>2022</v>
      </c>
      <c r="AJ7" s="16">
        <f t="array" ref="AJ7">IF(EOMONTH(AJ4,0)&lt;=EOMONTH('Get Started'!$D9,0),YEAR('Get Started'!$D9),IF(AJ6&lt;=(MONTH('Get Started'!$D9)-MONTH('Get Started'!$D8)),YEAR('Get Started'!$D9),IF(AJ6&lt;=12,YEAR('Get Started'!$D9)+1,IFERROR(INDEX($T7:AI7,0,MATCH(AJ5-12,$T5:AI5,0)),0)+1)))</f>
        <v>2023</v>
      </c>
      <c r="AK7" s="16">
        <f t="array" ref="AK7">IF(EOMONTH(AK4,0)&lt;=EOMONTH('Get Started'!$D9,0),YEAR('Get Started'!$D9),IF(AK6&lt;=(MONTH('Get Started'!$D9)-MONTH('Get Started'!$D8)),YEAR('Get Started'!$D9),IF(AK6&lt;=12,YEAR('Get Started'!$D9)+1,IFERROR(INDEX($T7:AJ7,0,MATCH(AK5-12,$T5:AJ5,0)),0)+1)))</f>
        <v>2023</v>
      </c>
      <c r="AL7" s="16">
        <f t="array" ref="AL7">IF(EOMONTH(AL4,0)&lt;=EOMONTH('Get Started'!$D9,0),YEAR('Get Started'!$D9),IF(AL6&lt;=(MONTH('Get Started'!$D9)-MONTH('Get Started'!$D8)),YEAR('Get Started'!$D9),IF(AL6&lt;=12,YEAR('Get Started'!$D9)+1,IFERROR(INDEX($T7:AK7,0,MATCH(AL5-12,$T5:AK5,0)),0)+1)))</f>
        <v>2023</v>
      </c>
      <c r="AM7" s="16">
        <f t="array" ref="AM7">IF(EOMONTH(AM4,0)&lt;=EOMONTH('Get Started'!$D9,0),YEAR('Get Started'!$D9),IF(AM6&lt;=(MONTH('Get Started'!$D9)-MONTH('Get Started'!$D8)),YEAR('Get Started'!$D9),IF(AM6&lt;=12,YEAR('Get Started'!$D9)+1,IFERROR(INDEX($T7:AL7,0,MATCH(AM5-12,$T5:AL5,0)),0)+1)))</f>
        <v>2023</v>
      </c>
      <c r="AN7" s="16">
        <f t="array" ref="AN7">IF(EOMONTH(AN4,0)&lt;=EOMONTH('Get Started'!$D9,0),YEAR('Get Started'!$D9),IF(AN6&lt;=(MONTH('Get Started'!$D9)-MONTH('Get Started'!$D8)),YEAR('Get Started'!$D9),IF(AN6&lt;=12,YEAR('Get Started'!$D9)+1,IFERROR(INDEX($T7:AM7,0,MATCH(AN5-12,$T5:AM5,0)),0)+1)))</f>
        <v>2023</v>
      </c>
      <c r="AO7" s="16">
        <f t="array" ref="AO7">IF(EOMONTH(AO4,0)&lt;=EOMONTH('Get Started'!$D9,0),YEAR('Get Started'!$D9),IF(AO6&lt;=(MONTH('Get Started'!$D9)-MONTH('Get Started'!$D8)),YEAR('Get Started'!$D9),IF(AO6&lt;=12,YEAR('Get Started'!$D9)+1,IFERROR(INDEX($T7:AN7,0,MATCH(AO5-12,$T5:AN5,0)),0)+1)))</f>
        <v>2023</v>
      </c>
      <c r="AP7" s="16">
        <f t="array" ref="AP7">IF(EOMONTH(AP4,0)&lt;=EOMONTH('Get Started'!$D9,0),YEAR('Get Started'!$D9),IF(AP6&lt;=(MONTH('Get Started'!$D9)-MONTH('Get Started'!$D8)),YEAR('Get Started'!$D9),IF(AP6&lt;=12,YEAR('Get Started'!$D9)+1,IFERROR(INDEX($T7:AO7,0,MATCH(AP5-12,$T5:AO5,0)),0)+1)))</f>
        <v>2023</v>
      </c>
      <c r="AQ7" s="16">
        <f t="array" ref="AQ7">IF(EOMONTH(AQ4,0)&lt;=EOMONTH('Get Started'!$D9,0),YEAR('Get Started'!$D9),IF(AQ6&lt;=(MONTH('Get Started'!$D9)-MONTH('Get Started'!$D8)),YEAR('Get Started'!$D9),IF(AQ6&lt;=12,YEAR('Get Started'!$D9)+1,IFERROR(INDEX($T7:AP7,0,MATCH(AQ5-12,$T5:AP5,0)),0)+1)))</f>
        <v>2023</v>
      </c>
      <c r="AR7" s="16">
        <f t="array" ref="AR7">IF(EOMONTH(AR4,0)&lt;=EOMONTH('Get Started'!$D9,0),YEAR('Get Started'!$D9),IF(AR6&lt;=(MONTH('Get Started'!$D9)-MONTH('Get Started'!$D8)),YEAR('Get Started'!$D9),IF(AR6&lt;=12,YEAR('Get Started'!$D9)+1,IFERROR(INDEX($T7:AQ7,0,MATCH(AR5-12,$T5:AQ5,0)),0)+1)))</f>
        <v>2023</v>
      </c>
      <c r="AS7" s="16">
        <f t="array" ref="AS7">IF(EOMONTH(AS4,0)&lt;=EOMONTH('Get Started'!$D9,0),YEAR('Get Started'!$D9),IF(AS6&lt;=(MONTH('Get Started'!$D9)-MONTH('Get Started'!$D8)),YEAR('Get Started'!$D9),IF(AS6&lt;=12,YEAR('Get Started'!$D9)+1,IFERROR(INDEX($T7:AR7,0,MATCH(AS5-12,$T5:AR5,0)),0)+1)))</f>
        <v>2023</v>
      </c>
      <c r="AT7" s="16">
        <f t="array" ref="AT7">IF(EOMONTH(AT4,0)&lt;=EOMONTH('Get Started'!$D9,0),YEAR('Get Started'!$D9),IF(AT6&lt;=(MONTH('Get Started'!$D9)-MONTH('Get Started'!$D8)),YEAR('Get Started'!$D9),IF(AT6&lt;=12,YEAR('Get Started'!$D9)+1,IFERROR(INDEX($T7:AS7,0,MATCH(AT5-12,$T5:AS5,0)),0)+1)))</f>
        <v>2023</v>
      </c>
      <c r="AU7" s="16">
        <f t="array" ref="AU7">IF(EOMONTH(AU4,0)&lt;=EOMONTH('Get Started'!$D9,0),YEAR('Get Started'!$D9),IF(AU6&lt;=(MONTH('Get Started'!$D9)-MONTH('Get Started'!$D8)),YEAR('Get Started'!$D9),IF(AU6&lt;=12,YEAR('Get Started'!$D9)+1,IFERROR(INDEX($T7:AT7,0,MATCH(AU5-12,$T5:AT5,0)),0)+1)))</f>
        <v>2023</v>
      </c>
      <c r="AV7" s="16">
        <f t="array" ref="AV7">IF(EOMONTH(AV4,0)&lt;=EOMONTH('Get Started'!$D9,0),YEAR('Get Started'!$D9),IF(AV6&lt;=(MONTH('Get Started'!$D9)-MONTH('Get Started'!$D8)),YEAR('Get Started'!$D9),IF(AV6&lt;=12,YEAR('Get Started'!$D9)+1,IFERROR(INDEX($T7:AU7,0,MATCH(AV5-12,$T5:AU5,0)),0)+1)))</f>
        <v>2024</v>
      </c>
      <c r="AW7" s="16">
        <f t="array" ref="AW7">IF(EOMONTH(AW4,0)&lt;=EOMONTH('Get Started'!$D9,0),YEAR('Get Started'!$D9),IF(AW6&lt;=(MONTH('Get Started'!$D9)-MONTH('Get Started'!$D8)),YEAR('Get Started'!$D9),IF(AW6&lt;=12,YEAR('Get Started'!$D9)+1,IFERROR(INDEX($T7:AV7,0,MATCH(AW5-12,$T5:AV5,0)),0)+1)))</f>
        <v>2024</v>
      </c>
      <c r="AX7" s="16">
        <f t="array" ref="AX7">IF(EOMONTH(AX4,0)&lt;=EOMONTH('Get Started'!$D9,0),YEAR('Get Started'!$D9),IF(AX6&lt;=(MONTH('Get Started'!$D9)-MONTH('Get Started'!$D8)),YEAR('Get Started'!$D9),IF(AX6&lt;=12,YEAR('Get Started'!$D9)+1,IFERROR(INDEX($T7:AW7,0,MATCH(AX5-12,$T5:AW5,0)),0)+1)))</f>
        <v>2024</v>
      </c>
      <c r="AY7" s="16">
        <f t="array" ref="AY7">IF(EOMONTH(AY4,0)&lt;=EOMONTH('Get Started'!$D9,0),YEAR('Get Started'!$D9),IF(AY6&lt;=(MONTH('Get Started'!$D9)-MONTH('Get Started'!$D8)),YEAR('Get Started'!$D9),IF(AY6&lt;=12,YEAR('Get Started'!$D9)+1,IFERROR(INDEX($T7:AX7,0,MATCH(AY5-12,$T5:AX5,0)),0)+1)))</f>
        <v>2024</v>
      </c>
      <c r="AZ7" s="16">
        <f t="array" ref="AZ7">IF(EOMONTH(AZ4,0)&lt;=EOMONTH('Get Started'!$D9,0),YEAR('Get Started'!$D9),IF(AZ6&lt;=(MONTH('Get Started'!$D9)-MONTH('Get Started'!$D8)),YEAR('Get Started'!$D9),IF(AZ6&lt;=12,YEAR('Get Started'!$D9)+1,IFERROR(INDEX($T7:AY7,0,MATCH(AZ5-12,$T5:AY5,0)),0)+1)))</f>
        <v>2024</v>
      </c>
      <c r="BA7" s="16">
        <f t="array" ref="BA7">IF(EOMONTH(BA4,0)&lt;=EOMONTH('Get Started'!$D9,0),YEAR('Get Started'!$D9),IF(BA6&lt;=(MONTH('Get Started'!$D9)-MONTH('Get Started'!$D8)),YEAR('Get Started'!$D9),IF(BA6&lt;=12,YEAR('Get Started'!$D9)+1,IFERROR(INDEX($T7:AZ7,0,MATCH(BA5-12,$T5:AZ5,0)),0)+1)))</f>
        <v>2024</v>
      </c>
      <c r="BB7" s="16">
        <f t="array" ref="BB7">IF(EOMONTH(BB4,0)&lt;=EOMONTH('Get Started'!$D9,0),YEAR('Get Started'!$D9),IF(BB6&lt;=(MONTH('Get Started'!$D9)-MONTH('Get Started'!$D8)),YEAR('Get Started'!$D9),IF(BB6&lt;=12,YEAR('Get Started'!$D9)+1,IFERROR(INDEX($T7:BA7,0,MATCH(BB5-12,$T5:BA5,0)),0)+1)))</f>
        <v>2024</v>
      </c>
      <c r="BC7" s="16">
        <f t="array" ref="BC7">IF(EOMONTH(BC4,0)&lt;=EOMONTH('Get Started'!$D9,0),YEAR('Get Started'!$D9),IF(BC6&lt;=(MONTH('Get Started'!$D9)-MONTH('Get Started'!$D8)),YEAR('Get Started'!$D9),IF(BC6&lt;=12,YEAR('Get Started'!$D9)+1,IFERROR(INDEX($T7:BB7,0,MATCH(BC5-12,$T5:BB5,0)),0)+1)))</f>
        <v>2024</v>
      </c>
      <c r="BD7" s="16">
        <f t="array" ref="BD7">IF(EOMONTH(BD4,0)&lt;=EOMONTH('Get Started'!$D9,0),YEAR('Get Started'!$D9),IF(BD6&lt;=(MONTH('Get Started'!$D9)-MONTH('Get Started'!$D8)),YEAR('Get Started'!$D9),IF(BD6&lt;=12,YEAR('Get Started'!$D9)+1,IFERROR(INDEX($T7:BC7,0,MATCH(BD5-12,$T5:BC5,0)),0)+1)))</f>
        <v>2024</v>
      </c>
      <c r="BE7" s="16">
        <f t="array" ref="BE7">IF(EOMONTH(BE4,0)&lt;=EOMONTH('Get Started'!$D9,0),YEAR('Get Started'!$D9),IF(BE6&lt;=(MONTH('Get Started'!$D9)-MONTH('Get Started'!$D8)),YEAR('Get Started'!$D9),IF(BE6&lt;=12,YEAR('Get Started'!$D9)+1,IFERROR(INDEX($T7:BD7,0,MATCH(BE5-12,$T5:BD5,0)),0)+1)))</f>
        <v>2024</v>
      </c>
      <c r="BF7" s="16">
        <f t="array" ref="BF7">IF(EOMONTH(BF4,0)&lt;=EOMONTH('Get Started'!$D9,0),YEAR('Get Started'!$D9),IF(BF6&lt;=(MONTH('Get Started'!$D9)-MONTH('Get Started'!$D8)),YEAR('Get Started'!$D9),IF(BF6&lt;=12,YEAR('Get Started'!$D9)+1,IFERROR(INDEX($T7:BE7,0,MATCH(BF5-12,$T5:BE5,0)),0)+1)))</f>
        <v>2024</v>
      </c>
      <c r="BG7" s="16">
        <f t="array" ref="BG7">IF(EOMONTH(BG4,0)&lt;=EOMONTH('Get Started'!$D9,0),YEAR('Get Started'!$D9),IF(BG6&lt;=(MONTH('Get Started'!$D9)-MONTH('Get Started'!$D8)),YEAR('Get Started'!$D9),IF(BG6&lt;=12,YEAR('Get Started'!$D9)+1,IFERROR(INDEX($T7:BF7,0,MATCH(BG5-12,$T5:BF5,0)),0)+1)))</f>
        <v>2024</v>
      </c>
      <c r="BH7" s="16">
        <f t="array" ref="BH7">IF(EOMONTH(BH4,0)&lt;=EOMONTH('Get Started'!$D9,0),YEAR('Get Started'!$D9),IF(BH6&lt;=(MONTH('Get Started'!$D9)-MONTH('Get Started'!$D8)),YEAR('Get Started'!$D9),IF(BH6&lt;=12,YEAR('Get Started'!$D9)+1,IFERROR(INDEX($T7:BG7,0,MATCH(BH5-12,$T5:BG5,0)),0)+1)))</f>
        <v>2025</v>
      </c>
      <c r="BI7" s="16">
        <f t="array" ref="BI7">IF(EOMONTH(BI4,0)&lt;=EOMONTH('Get Started'!$D9,0),YEAR('Get Started'!$D9),IF(BI6&lt;=(MONTH('Get Started'!$D9)-MONTH('Get Started'!$D8)),YEAR('Get Started'!$D9),IF(BI6&lt;=12,YEAR('Get Started'!$D9)+1,IFERROR(INDEX($T7:BH7,0,MATCH(BI5-12,$T5:BH5,0)),0)+1)))</f>
        <v>2025</v>
      </c>
      <c r="BJ7" s="16">
        <f t="array" ref="BJ7">IF(EOMONTH(BJ4,0)&lt;=EOMONTH('Get Started'!$D9,0),YEAR('Get Started'!$D9),IF(BJ6&lt;=(MONTH('Get Started'!$D9)-MONTH('Get Started'!$D8)),YEAR('Get Started'!$D9),IF(BJ6&lt;=12,YEAR('Get Started'!$D9)+1,IFERROR(INDEX($T7:BI7,0,MATCH(BJ5-12,$T5:BI5,0)),0)+1)))</f>
        <v>2025</v>
      </c>
      <c r="BK7" s="16">
        <f t="array" ref="BK7">IF(EOMONTH(BK4,0)&lt;=EOMONTH('Get Started'!$D9,0),YEAR('Get Started'!$D9),IF(BK6&lt;=(MONTH('Get Started'!$D9)-MONTH('Get Started'!$D8)),YEAR('Get Started'!$D9),IF(BK6&lt;=12,YEAR('Get Started'!$D9)+1,IFERROR(INDEX($T7:BJ7,0,MATCH(BK5-12,$T5:BJ5,0)),0)+1)))</f>
        <v>2025</v>
      </c>
      <c r="BL7" s="16">
        <f t="array" ref="BL7">IF(EOMONTH(BL4,0)&lt;=EOMONTH('Get Started'!$D9,0),YEAR('Get Started'!$D9),IF(BL6&lt;=(MONTH('Get Started'!$D9)-MONTH('Get Started'!$D8)),YEAR('Get Started'!$D9),IF(BL6&lt;=12,YEAR('Get Started'!$D9)+1,IFERROR(INDEX($T7:BK7,0,MATCH(BL5-12,$T5:BK5,0)),0)+1)))</f>
        <v>2025</v>
      </c>
      <c r="BM7" s="16">
        <f t="array" ref="BM7">IF(EOMONTH(BM4,0)&lt;=EOMONTH('Get Started'!$D9,0),YEAR('Get Started'!$D9),IF(BM6&lt;=(MONTH('Get Started'!$D9)-MONTH('Get Started'!$D8)),YEAR('Get Started'!$D9),IF(BM6&lt;=12,YEAR('Get Started'!$D9)+1,IFERROR(INDEX($T7:BL7,0,MATCH(BM5-12,$T5:BL5,0)),0)+1)))</f>
        <v>2025</v>
      </c>
      <c r="BN7" s="16">
        <f t="array" ref="BN7">IF(EOMONTH(BN4,0)&lt;=EOMONTH('Get Started'!$D9,0),YEAR('Get Started'!$D9),IF(BN6&lt;=(MONTH('Get Started'!$D9)-MONTH('Get Started'!$D8)),YEAR('Get Started'!$D9),IF(BN6&lt;=12,YEAR('Get Started'!$D9)+1,IFERROR(INDEX($T7:BM7,0,MATCH(BN5-12,$T5:BM5,0)),0)+1)))</f>
        <v>2025</v>
      </c>
      <c r="BO7" s="16">
        <f t="array" ref="BO7">IF(EOMONTH(BO4,0)&lt;=EOMONTH('Get Started'!$D9,0),YEAR('Get Started'!$D9),IF(BO6&lt;=(MONTH('Get Started'!$D9)-MONTH('Get Started'!$D8)),YEAR('Get Started'!$D9),IF(BO6&lt;=12,YEAR('Get Started'!$D9)+1,IFERROR(INDEX($T7:BN7,0,MATCH(BO5-12,$T5:BN5,0)),0)+1)))</f>
        <v>2025</v>
      </c>
    </row>
    <row r="8" spans="1:67" ht="16.5" hidden="1" customHeight="1" outlineLevel="1">
      <c r="A8" s="16"/>
      <c r="B8" s="17" t="s">
        <v>107</v>
      </c>
      <c r="C8" s="18" t="s">
        <v>108</v>
      </c>
      <c r="D8" s="17" t="s">
        <v>109</v>
      </c>
      <c r="E8" s="17"/>
      <c r="F8" s="17"/>
      <c r="G8" s="17"/>
      <c r="H8" s="17"/>
      <c r="I8" s="17"/>
      <c r="J8" s="17"/>
      <c r="K8" s="17"/>
      <c r="L8" s="17"/>
      <c r="M8" s="17"/>
      <c r="N8" s="17"/>
      <c r="O8" s="17"/>
      <c r="P8" s="17"/>
      <c r="Q8" s="17"/>
      <c r="R8" s="17"/>
      <c r="S8" s="17"/>
      <c r="T8" s="38" t="str">
        <f t="shared" ref="T8:BO8" si="3">IF(OR(T11=3,T11=2,T11=1),"Q1",IF(OR(T11=6,T11=5,T11=4),"Q2",IF(OR(T11=9,T11=8,T11=7),"Q3","Q4")))</f>
        <v>Q3</v>
      </c>
      <c r="U8" s="38" t="str">
        <f t="shared" si="3"/>
        <v>Q4</v>
      </c>
      <c r="V8" s="38" t="str">
        <f t="shared" si="3"/>
        <v>Q4</v>
      </c>
      <c r="W8" s="38" t="str">
        <f t="shared" si="3"/>
        <v>Q4</v>
      </c>
      <c r="X8" s="38" t="str">
        <f t="shared" si="3"/>
        <v>Q1</v>
      </c>
      <c r="Y8" s="38" t="str">
        <f t="shared" si="3"/>
        <v>Q1</v>
      </c>
      <c r="Z8" s="38" t="str">
        <f t="shared" si="3"/>
        <v>Q1</v>
      </c>
      <c r="AA8" s="38" t="str">
        <f t="shared" si="3"/>
        <v>Q2</v>
      </c>
      <c r="AB8" s="38" t="str">
        <f t="shared" si="3"/>
        <v>Q2</v>
      </c>
      <c r="AC8" s="38" t="str">
        <f t="shared" si="3"/>
        <v>Q2</v>
      </c>
      <c r="AD8" s="38" t="str">
        <f t="shared" si="3"/>
        <v>Q3</v>
      </c>
      <c r="AE8" s="38" t="str">
        <f t="shared" si="3"/>
        <v>Q3</v>
      </c>
      <c r="AF8" s="38" t="str">
        <f t="shared" si="3"/>
        <v>Q3</v>
      </c>
      <c r="AG8" s="38" t="str">
        <f t="shared" si="3"/>
        <v>Q4</v>
      </c>
      <c r="AH8" s="38" t="str">
        <f t="shared" si="3"/>
        <v>Q4</v>
      </c>
      <c r="AI8" s="38" t="str">
        <f t="shared" si="3"/>
        <v>Q4</v>
      </c>
      <c r="AJ8" s="38" t="str">
        <f t="shared" si="3"/>
        <v>Q1</v>
      </c>
      <c r="AK8" s="38" t="str">
        <f t="shared" si="3"/>
        <v>Q1</v>
      </c>
      <c r="AL8" s="38" t="str">
        <f t="shared" si="3"/>
        <v>Q1</v>
      </c>
      <c r="AM8" s="38" t="str">
        <f t="shared" si="3"/>
        <v>Q2</v>
      </c>
      <c r="AN8" s="38" t="str">
        <f t="shared" si="3"/>
        <v>Q2</v>
      </c>
      <c r="AO8" s="38" t="str">
        <f t="shared" si="3"/>
        <v>Q2</v>
      </c>
      <c r="AP8" s="38" t="str">
        <f t="shared" si="3"/>
        <v>Q3</v>
      </c>
      <c r="AQ8" s="38" t="str">
        <f t="shared" si="3"/>
        <v>Q3</v>
      </c>
      <c r="AR8" s="38" t="str">
        <f t="shared" si="3"/>
        <v>Q3</v>
      </c>
      <c r="AS8" s="38" t="str">
        <f t="shared" si="3"/>
        <v>Q4</v>
      </c>
      <c r="AT8" s="38" t="str">
        <f t="shared" si="3"/>
        <v>Q4</v>
      </c>
      <c r="AU8" s="38" t="str">
        <f t="shared" si="3"/>
        <v>Q4</v>
      </c>
      <c r="AV8" s="38" t="str">
        <f t="shared" si="3"/>
        <v>Q1</v>
      </c>
      <c r="AW8" s="38" t="str">
        <f t="shared" si="3"/>
        <v>Q1</v>
      </c>
      <c r="AX8" s="38" t="str">
        <f t="shared" si="3"/>
        <v>Q1</v>
      </c>
      <c r="AY8" s="38" t="str">
        <f t="shared" si="3"/>
        <v>Q2</v>
      </c>
      <c r="AZ8" s="38" t="str">
        <f t="shared" si="3"/>
        <v>Q2</v>
      </c>
      <c r="BA8" s="38" t="str">
        <f t="shared" si="3"/>
        <v>Q2</v>
      </c>
      <c r="BB8" s="38" t="str">
        <f t="shared" si="3"/>
        <v>Q3</v>
      </c>
      <c r="BC8" s="38" t="str">
        <f t="shared" si="3"/>
        <v>Q3</v>
      </c>
      <c r="BD8" s="38" t="str">
        <f t="shared" si="3"/>
        <v>Q3</v>
      </c>
      <c r="BE8" s="38" t="str">
        <f t="shared" si="3"/>
        <v>Q4</v>
      </c>
      <c r="BF8" s="38" t="str">
        <f t="shared" si="3"/>
        <v>Q4</v>
      </c>
      <c r="BG8" s="38" t="str">
        <f t="shared" si="3"/>
        <v>Q4</v>
      </c>
      <c r="BH8" s="38" t="str">
        <f t="shared" si="3"/>
        <v>Q1</v>
      </c>
      <c r="BI8" s="38" t="str">
        <f t="shared" si="3"/>
        <v>Q1</v>
      </c>
      <c r="BJ8" s="38" t="str">
        <f t="shared" si="3"/>
        <v>Q1</v>
      </c>
      <c r="BK8" s="38" t="str">
        <f t="shared" si="3"/>
        <v>Q2</v>
      </c>
      <c r="BL8" s="38" t="str">
        <f t="shared" si="3"/>
        <v>Q2</v>
      </c>
      <c r="BM8" s="38" t="str">
        <f t="shared" si="3"/>
        <v>Q2</v>
      </c>
      <c r="BN8" s="38" t="str">
        <f t="shared" si="3"/>
        <v>Q3</v>
      </c>
      <c r="BO8" s="38" t="str">
        <f t="shared" si="3"/>
        <v>Q3</v>
      </c>
    </row>
    <row r="9" spans="1:67" ht="16.5" hidden="1" customHeight="1" outlineLevel="1">
      <c r="A9" s="16"/>
      <c r="B9" s="17" t="s">
        <v>110</v>
      </c>
      <c r="C9" s="18" t="s">
        <v>108</v>
      </c>
      <c r="D9" s="17" t="s">
        <v>111</v>
      </c>
      <c r="E9" s="30"/>
      <c r="F9" s="30"/>
      <c r="G9" s="30"/>
      <c r="H9" s="30"/>
      <c r="I9" s="30"/>
      <c r="J9" s="30"/>
      <c r="K9" s="30"/>
      <c r="L9" s="30"/>
      <c r="M9" s="30"/>
      <c r="N9" s="30"/>
      <c r="O9" s="30"/>
      <c r="P9" s="30"/>
      <c r="Q9" s="30"/>
      <c r="R9" s="30"/>
      <c r="S9" s="30"/>
      <c r="T9" s="39" t="str">
        <f t="shared" ref="T9:BO9" si="4">T8&amp;" "&amp;T7</f>
        <v>Q3 2021</v>
      </c>
      <c r="U9" s="39" t="str">
        <f t="shared" si="4"/>
        <v>Q4 2021</v>
      </c>
      <c r="V9" s="39" t="str">
        <f t="shared" si="4"/>
        <v>Q4 2021</v>
      </c>
      <c r="W9" s="39" t="str">
        <f t="shared" si="4"/>
        <v>Q4 2021</v>
      </c>
      <c r="X9" s="39" t="str">
        <f t="shared" si="4"/>
        <v>Q1 2022</v>
      </c>
      <c r="Y9" s="39" t="str">
        <f t="shared" si="4"/>
        <v>Q1 2022</v>
      </c>
      <c r="Z9" s="39" t="str">
        <f t="shared" si="4"/>
        <v>Q1 2022</v>
      </c>
      <c r="AA9" s="39" t="str">
        <f t="shared" si="4"/>
        <v>Q2 2022</v>
      </c>
      <c r="AB9" s="39" t="str">
        <f t="shared" si="4"/>
        <v>Q2 2022</v>
      </c>
      <c r="AC9" s="39" t="str">
        <f t="shared" si="4"/>
        <v>Q2 2022</v>
      </c>
      <c r="AD9" s="39" t="str">
        <f t="shared" si="4"/>
        <v>Q3 2022</v>
      </c>
      <c r="AE9" s="39" t="str">
        <f t="shared" si="4"/>
        <v>Q3 2022</v>
      </c>
      <c r="AF9" s="39" t="str">
        <f t="shared" si="4"/>
        <v>Q3 2022</v>
      </c>
      <c r="AG9" s="39" t="str">
        <f t="shared" si="4"/>
        <v>Q4 2022</v>
      </c>
      <c r="AH9" s="39" t="str">
        <f t="shared" si="4"/>
        <v>Q4 2022</v>
      </c>
      <c r="AI9" s="39" t="str">
        <f t="shared" si="4"/>
        <v>Q4 2022</v>
      </c>
      <c r="AJ9" s="39" t="str">
        <f t="shared" si="4"/>
        <v>Q1 2023</v>
      </c>
      <c r="AK9" s="39" t="str">
        <f t="shared" si="4"/>
        <v>Q1 2023</v>
      </c>
      <c r="AL9" s="39" t="str">
        <f t="shared" si="4"/>
        <v>Q1 2023</v>
      </c>
      <c r="AM9" s="39" t="str">
        <f t="shared" si="4"/>
        <v>Q2 2023</v>
      </c>
      <c r="AN9" s="39" t="str">
        <f t="shared" si="4"/>
        <v>Q2 2023</v>
      </c>
      <c r="AO9" s="39" t="str">
        <f t="shared" si="4"/>
        <v>Q2 2023</v>
      </c>
      <c r="AP9" s="39" t="str">
        <f t="shared" si="4"/>
        <v>Q3 2023</v>
      </c>
      <c r="AQ9" s="39" t="str">
        <f t="shared" si="4"/>
        <v>Q3 2023</v>
      </c>
      <c r="AR9" s="39" t="str">
        <f t="shared" si="4"/>
        <v>Q3 2023</v>
      </c>
      <c r="AS9" s="39" t="str">
        <f t="shared" si="4"/>
        <v>Q4 2023</v>
      </c>
      <c r="AT9" s="39" t="str">
        <f t="shared" si="4"/>
        <v>Q4 2023</v>
      </c>
      <c r="AU9" s="39" t="str">
        <f t="shared" si="4"/>
        <v>Q4 2023</v>
      </c>
      <c r="AV9" s="39" t="str">
        <f t="shared" si="4"/>
        <v>Q1 2024</v>
      </c>
      <c r="AW9" s="39" t="str">
        <f t="shared" si="4"/>
        <v>Q1 2024</v>
      </c>
      <c r="AX9" s="39" t="str">
        <f t="shared" si="4"/>
        <v>Q1 2024</v>
      </c>
      <c r="AY9" s="39" t="str">
        <f t="shared" si="4"/>
        <v>Q2 2024</v>
      </c>
      <c r="AZ9" s="39" t="str">
        <f t="shared" si="4"/>
        <v>Q2 2024</v>
      </c>
      <c r="BA9" s="39" t="str">
        <f t="shared" si="4"/>
        <v>Q2 2024</v>
      </c>
      <c r="BB9" s="39" t="str">
        <f t="shared" si="4"/>
        <v>Q3 2024</v>
      </c>
      <c r="BC9" s="39" t="str">
        <f t="shared" si="4"/>
        <v>Q3 2024</v>
      </c>
      <c r="BD9" s="39" t="str">
        <f t="shared" si="4"/>
        <v>Q3 2024</v>
      </c>
      <c r="BE9" s="39" t="str">
        <f t="shared" si="4"/>
        <v>Q4 2024</v>
      </c>
      <c r="BF9" s="39" t="str">
        <f t="shared" si="4"/>
        <v>Q4 2024</v>
      </c>
      <c r="BG9" s="39" t="str">
        <f t="shared" si="4"/>
        <v>Q4 2024</v>
      </c>
      <c r="BH9" s="39" t="str">
        <f t="shared" si="4"/>
        <v>Q1 2025</v>
      </c>
      <c r="BI9" s="39" t="str">
        <f t="shared" si="4"/>
        <v>Q1 2025</v>
      </c>
      <c r="BJ9" s="39" t="str">
        <f t="shared" si="4"/>
        <v>Q1 2025</v>
      </c>
      <c r="BK9" s="39" t="str">
        <f t="shared" si="4"/>
        <v>Q2 2025</v>
      </c>
      <c r="BL9" s="39" t="str">
        <f t="shared" si="4"/>
        <v>Q2 2025</v>
      </c>
      <c r="BM9" s="39" t="str">
        <f t="shared" si="4"/>
        <v>Q2 2025</v>
      </c>
      <c r="BN9" s="39" t="str">
        <f t="shared" si="4"/>
        <v>Q3 2025</v>
      </c>
      <c r="BO9" s="39" t="str">
        <f t="shared" si="4"/>
        <v>Q3 2025</v>
      </c>
    </row>
    <row r="10" spans="1:67" ht="16.5" hidden="1" customHeight="1" outlineLevel="1">
      <c r="A10" s="36"/>
      <c r="B10" s="17" t="s">
        <v>112</v>
      </c>
      <c r="C10" s="18" t="s">
        <v>108</v>
      </c>
      <c r="D10" s="17" t="s">
        <v>113</v>
      </c>
      <c r="E10" s="17"/>
      <c r="F10" s="17"/>
      <c r="G10" s="17"/>
      <c r="H10" s="17"/>
      <c r="I10" s="17"/>
      <c r="J10" s="17"/>
      <c r="K10" s="17"/>
      <c r="L10" s="17"/>
      <c r="M10" s="17"/>
      <c r="N10" s="17"/>
      <c r="O10" s="17"/>
      <c r="P10" s="17"/>
      <c r="Q10" s="17"/>
      <c r="R10" s="17"/>
      <c r="S10" s="17"/>
      <c r="T10" s="40" t="str">
        <f t="shared" ref="T10:BO10" si="5">TEXT(T4,"mmmm")</f>
        <v>September</v>
      </c>
      <c r="U10" s="40" t="str">
        <f t="shared" si="5"/>
        <v>October</v>
      </c>
      <c r="V10" s="40" t="str">
        <f t="shared" si="5"/>
        <v>November</v>
      </c>
      <c r="W10" s="40" t="str">
        <f t="shared" si="5"/>
        <v>December</v>
      </c>
      <c r="X10" s="40" t="str">
        <f t="shared" si="5"/>
        <v>January</v>
      </c>
      <c r="Y10" s="40" t="str">
        <f t="shared" si="5"/>
        <v>February</v>
      </c>
      <c r="Z10" s="40" t="str">
        <f t="shared" si="5"/>
        <v>March</v>
      </c>
      <c r="AA10" s="40" t="str">
        <f t="shared" si="5"/>
        <v>April</v>
      </c>
      <c r="AB10" s="40" t="str">
        <f t="shared" si="5"/>
        <v>May</v>
      </c>
      <c r="AC10" s="40" t="str">
        <f t="shared" si="5"/>
        <v>June</v>
      </c>
      <c r="AD10" s="40" t="str">
        <f t="shared" si="5"/>
        <v>July</v>
      </c>
      <c r="AE10" s="40" t="str">
        <f t="shared" si="5"/>
        <v>August</v>
      </c>
      <c r="AF10" s="40" t="str">
        <f t="shared" si="5"/>
        <v>September</v>
      </c>
      <c r="AG10" s="40" t="str">
        <f t="shared" si="5"/>
        <v>October</v>
      </c>
      <c r="AH10" s="40" t="str">
        <f t="shared" si="5"/>
        <v>November</v>
      </c>
      <c r="AI10" s="40" t="str">
        <f t="shared" si="5"/>
        <v>December</v>
      </c>
      <c r="AJ10" s="40" t="str">
        <f t="shared" si="5"/>
        <v>January</v>
      </c>
      <c r="AK10" s="40" t="str">
        <f t="shared" si="5"/>
        <v>February</v>
      </c>
      <c r="AL10" s="40" t="str">
        <f t="shared" si="5"/>
        <v>March</v>
      </c>
      <c r="AM10" s="40" t="str">
        <f t="shared" si="5"/>
        <v>April</v>
      </c>
      <c r="AN10" s="40" t="str">
        <f t="shared" si="5"/>
        <v>May</v>
      </c>
      <c r="AO10" s="40" t="str">
        <f t="shared" si="5"/>
        <v>June</v>
      </c>
      <c r="AP10" s="40" t="str">
        <f t="shared" si="5"/>
        <v>July</v>
      </c>
      <c r="AQ10" s="40" t="str">
        <f t="shared" si="5"/>
        <v>August</v>
      </c>
      <c r="AR10" s="40" t="str">
        <f t="shared" si="5"/>
        <v>September</v>
      </c>
      <c r="AS10" s="40" t="str">
        <f t="shared" si="5"/>
        <v>October</v>
      </c>
      <c r="AT10" s="40" t="str">
        <f t="shared" si="5"/>
        <v>November</v>
      </c>
      <c r="AU10" s="40" t="str">
        <f t="shared" si="5"/>
        <v>December</v>
      </c>
      <c r="AV10" s="40" t="str">
        <f t="shared" si="5"/>
        <v>January</v>
      </c>
      <c r="AW10" s="40" t="str">
        <f t="shared" si="5"/>
        <v>February</v>
      </c>
      <c r="AX10" s="40" t="str">
        <f t="shared" si="5"/>
        <v>March</v>
      </c>
      <c r="AY10" s="40" t="str">
        <f t="shared" si="5"/>
        <v>April</v>
      </c>
      <c r="AZ10" s="40" t="str">
        <f t="shared" si="5"/>
        <v>May</v>
      </c>
      <c r="BA10" s="40" t="str">
        <f t="shared" si="5"/>
        <v>June</v>
      </c>
      <c r="BB10" s="40" t="str">
        <f t="shared" si="5"/>
        <v>July</v>
      </c>
      <c r="BC10" s="40" t="str">
        <f t="shared" si="5"/>
        <v>August</v>
      </c>
      <c r="BD10" s="40" t="str">
        <f t="shared" si="5"/>
        <v>September</v>
      </c>
      <c r="BE10" s="40" t="str">
        <f t="shared" si="5"/>
        <v>October</v>
      </c>
      <c r="BF10" s="40" t="str">
        <f t="shared" si="5"/>
        <v>November</v>
      </c>
      <c r="BG10" s="40" t="str">
        <f t="shared" si="5"/>
        <v>December</v>
      </c>
      <c r="BH10" s="40" t="str">
        <f t="shared" si="5"/>
        <v>January</v>
      </c>
      <c r="BI10" s="40" t="str">
        <f t="shared" si="5"/>
        <v>February</v>
      </c>
      <c r="BJ10" s="40" t="str">
        <f t="shared" si="5"/>
        <v>March</v>
      </c>
      <c r="BK10" s="40" t="str">
        <f t="shared" si="5"/>
        <v>April</v>
      </c>
      <c r="BL10" s="40" t="str">
        <f t="shared" si="5"/>
        <v>May</v>
      </c>
      <c r="BM10" s="40" t="str">
        <f t="shared" si="5"/>
        <v>June</v>
      </c>
      <c r="BN10" s="40" t="str">
        <f t="shared" si="5"/>
        <v>July</v>
      </c>
      <c r="BO10" s="40" t="str">
        <f t="shared" si="5"/>
        <v>August</v>
      </c>
    </row>
    <row r="11" spans="1:67" ht="16.5" hidden="1" customHeight="1" outlineLevel="1">
      <c r="A11" s="36"/>
      <c r="B11" s="41" t="s">
        <v>114</v>
      </c>
      <c r="C11" s="18" t="s">
        <v>86</v>
      </c>
      <c r="D11" s="17" t="s">
        <v>115</v>
      </c>
      <c r="E11" s="17"/>
      <c r="F11" s="17"/>
      <c r="G11" s="17"/>
      <c r="H11" s="17"/>
      <c r="I11" s="17"/>
      <c r="J11" s="17"/>
      <c r="K11" s="17"/>
      <c r="L11" s="17"/>
      <c r="M11" s="17"/>
      <c r="N11" s="17"/>
      <c r="O11" s="17"/>
      <c r="P11" s="17"/>
      <c r="Q11" s="17"/>
      <c r="R11" s="17"/>
      <c r="S11" s="17"/>
      <c r="T11" s="16">
        <f>IF(MOD(MONTH(T4)+12-MONTH('Get Started'!$D9),12)=0,12,MOD(MONTH(T4)+12-MONTH('Get Started'!$D9),12))</f>
        <v>9</v>
      </c>
      <c r="U11" s="16">
        <f>IF(MOD(MONTH(U4)+12-MONTH('Get Started'!$D9),12)=0,12,MOD(MONTH(U4)+12-MONTH('Get Started'!$D9),12))</f>
        <v>10</v>
      </c>
      <c r="V11" s="16">
        <f>IF(MOD(MONTH(V4)+12-MONTH('Get Started'!$D9),12)=0,12,MOD(MONTH(V4)+12-MONTH('Get Started'!$D9),12))</f>
        <v>11</v>
      </c>
      <c r="W11" s="16">
        <f>IF(MOD(MONTH(W4)+12-MONTH('Get Started'!$D9),12)=0,12,MOD(MONTH(W4)+12-MONTH('Get Started'!$D9),12))</f>
        <v>12</v>
      </c>
      <c r="X11" s="16">
        <f>IF(MOD(MONTH(X4)+12-MONTH('Get Started'!$D9),12)=0,12,MOD(MONTH(X4)+12-MONTH('Get Started'!$D9),12))</f>
        <v>1</v>
      </c>
      <c r="Y11" s="16">
        <f>IF(MOD(MONTH(Y4)+12-MONTH('Get Started'!$D9),12)=0,12,MOD(MONTH(Y4)+12-MONTH('Get Started'!$D9),12))</f>
        <v>2</v>
      </c>
      <c r="Z11" s="16">
        <f>IF(MOD(MONTH(Z4)+12-MONTH('Get Started'!$D9),12)=0,12,MOD(MONTH(Z4)+12-MONTH('Get Started'!$D9),12))</f>
        <v>3</v>
      </c>
      <c r="AA11" s="16">
        <f>IF(MOD(MONTH(AA4)+12-MONTH('Get Started'!$D9),12)=0,12,MOD(MONTH(AA4)+12-MONTH('Get Started'!$D9),12))</f>
        <v>4</v>
      </c>
      <c r="AB11" s="16">
        <f>IF(MOD(MONTH(AB4)+12-MONTH('Get Started'!$D9),12)=0,12,MOD(MONTH(AB4)+12-MONTH('Get Started'!$D9),12))</f>
        <v>5</v>
      </c>
      <c r="AC11" s="16">
        <f>IF(MOD(MONTH(AC4)+12-MONTH('Get Started'!$D9),12)=0,12,MOD(MONTH(AC4)+12-MONTH('Get Started'!$D9),12))</f>
        <v>6</v>
      </c>
      <c r="AD11" s="16">
        <f>IF(MOD(MONTH(AD4)+12-MONTH('Get Started'!$D9),12)=0,12,MOD(MONTH(AD4)+12-MONTH('Get Started'!$D9),12))</f>
        <v>7</v>
      </c>
      <c r="AE11" s="16">
        <f>IF(MOD(MONTH(AE4)+12-MONTH('Get Started'!$D9),12)=0,12,MOD(MONTH(AE4)+12-MONTH('Get Started'!$D9),12))</f>
        <v>8</v>
      </c>
      <c r="AF11" s="16">
        <f>IF(MOD(MONTH(AF4)+12-MONTH('Get Started'!$D9),12)=0,12,MOD(MONTH(AF4)+12-MONTH('Get Started'!$D9),12))</f>
        <v>9</v>
      </c>
      <c r="AG11" s="16">
        <f>IF(MOD(MONTH(AG4)+12-MONTH('Get Started'!$D9),12)=0,12,MOD(MONTH(AG4)+12-MONTH('Get Started'!$D9),12))</f>
        <v>10</v>
      </c>
      <c r="AH11" s="16">
        <f>IF(MOD(MONTH(AH4)+12-MONTH('Get Started'!$D9),12)=0,12,MOD(MONTH(AH4)+12-MONTH('Get Started'!$D9),12))</f>
        <v>11</v>
      </c>
      <c r="AI11" s="16">
        <f>IF(MOD(MONTH(AI4)+12-MONTH('Get Started'!$D9),12)=0,12,MOD(MONTH(AI4)+12-MONTH('Get Started'!$D9),12))</f>
        <v>12</v>
      </c>
      <c r="AJ11" s="16">
        <f>IF(MOD(MONTH(AJ4)+12-MONTH('Get Started'!$D9),12)=0,12,MOD(MONTH(AJ4)+12-MONTH('Get Started'!$D9),12))</f>
        <v>1</v>
      </c>
      <c r="AK11" s="16">
        <f>IF(MOD(MONTH(AK4)+12-MONTH('Get Started'!$D9),12)=0,12,MOD(MONTH(AK4)+12-MONTH('Get Started'!$D9),12))</f>
        <v>2</v>
      </c>
      <c r="AL11" s="16">
        <f>IF(MOD(MONTH(AL4)+12-MONTH('Get Started'!$D9),12)=0,12,MOD(MONTH(AL4)+12-MONTH('Get Started'!$D9),12))</f>
        <v>3</v>
      </c>
      <c r="AM11" s="16">
        <f>IF(MOD(MONTH(AM4)+12-MONTH('Get Started'!$D9),12)=0,12,MOD(MONTH(AM4)+12-MONTH('Get Started'!$D9),12))</f>
        <v>4</v>
      </c>
      <c r="AN11" s="16">
        <f>IF(MOD(MONTH(AN4)+12-MONTH('Get Started'!$D9),12)=0,12,MOD(MONTH(AN4)+12-MONTH('Get Started'!$D9),12))</f>
        <v>5</v>
      </c>
      <c r="AO11" s="16">
        <f>IF(MOD(MONTH(AO4)+12-MONTH('Get Started'!$D9),12)=0,12,MOD(MONTH(AO4)+12-MONTH('Get Started'!$D9),12))</f>
        <v>6</v>
      </c>
      <c r="AP11" s="16">
        <f>IF(MOD(MONTH(AP4)+12-MONTH('Get Started'!$D9),12)=0,12,MOD(MONTH(AP4)+12-MONTH('Get Started'!$D9),12))</f>
        <v>7</v>
      </c>
      <c r="AQ11" s="16">
        <f>IF(MOD(MONTH(AQ4)+12-MONTH('Get Started'!$D9),12)=0,12,MOD(MONTH(AQ4)+12-MONTH('Get Started'!$D9),12))</f>
        <v>8</v>
      </c>
      <c r="AR11" s="16">
        <f>IF(MOD(MONTH(AR4)+12-MONTH('Get Started'!$D9),12)=0,12,MOD(MONTH(AR4)+12-MONTH('Get Started'!$D9),12))</f>
        <v>9</v>
      </c>
      <c r="AS11" s="16">
        <f>IF(MOD(MONTH(AS4)+12-MONTH('Get Started'!$D9),12)=0,12,MOD(MONTH(AS4)+12-MONTH('Get Started'!$D9),12))</f>
        <v>10</v>
      </c>
      <c r="AT11" s="16">
        <f>IF(MOD(MONTH(AT4)+12-MONTH('Get Started'!$D9),12)=0,12,MOD(MONTH(AT4)+12-MONTH('Get Started'!$D9),12))</f>
        <v>11</v>
      </c>
      <c r="AU11" s="16">
        <f>IF(MOD(MONTH(AU4)+12-MONTH('Get Started'!$D9),12)=0,12,MOD(MONTH(AU4)+12-MONTH('Get Started'!$D9),12))</f>
        <v>12</v>
      </c>
      <c r="AV11" s="16">
        <f>IF(MOD(MONTH(AV4)+12-MONTH('Get Started'!$D9),12)=0,12,MOD(MONTH(AV4)+12-MONTH('Get Started'!$D9),12))</f>
        <v>1</v>
      </c>
      <c r="AW11" s="16">
        <f>IF(MOD(MONTH(AW4)+12-MONTH('Get Started'!$D9),12)=0,12,MOD(MONTH(AW4)+12-MONTH('Get Started'!$D9),12))</f>
        <v>2</v>
      </c>
      <c r="AX11" s="16">
        <f>IF(MOD(MONTH(AX4)+12-MONTH('Get Started'!$D9),12)=0,12,MOD(MONTH(AX4)+12-MONTH('Get Started'!$D9),12))</f>
        <v>3</v>
      </c>
      <c r="AY11" s="16">
        <f>IF(MOD(MONTH(AY4)+12-MONTH('Get Started'!$D9),12)=0,12,MOD(MONTH(AY4)+12-MONTH('Get Started'!$D9),12))</f>
        <v>4</v>
      </c>
      <c r="AZ11" s="16">
        <f>IF(MOD(MONTH(AZ4)+12-MONTH('Get Started'!$D9),12)=0,12,MOD(MONTH(AZ4)+12-MONTH('Get Started'!$D9),12))</f>
        <v>5</v>
      </c>
      <c r="BA11" s="16">
        <f>IF(MOD(MONTH(BA4)+12-MONTH('Get Started'!$D9),12)=0,12,MOD(MONTH(BA4)+12-MONTH('Get Started'!$D9),12))</f>
        <v>6</v>
      </c>
      <c r="BB11" s="16">
        <f>IF(MOD(MONTH(BB4)+12-MONTH('Get Started'!$D9),12)=0,12,MOD(MONTH(BB4)+12-MONTH('Get Started'!$D9),12))</f>
        <v>7</v>
      </c>
      <c r="BC11" s="16">
        <f>IF(MOD(MONTH(BC4)+12-MONTH('Get Started'!$D9),12)=0,12,MOD(MONTH(BC4)+12-MONTH('Get Started'!$D9),12))</f>
        <v>8</v>
      </c>
      <c r="BD11" s="16">
        <f>IF(MOD(MONTH(BD4)+12-MONTH('Get Started'!$D9),12)=0,12,MOD(MONTH(BD4)+12-MONTH('Get Started'!$D9),12))</f>
        <v>9</v>
      </c>
      <c r="BE11" s="16">
        <f>IF(MOD(MONTH(BE4)+12-MONTH('Get Started'!$D9),12)=0,12,MOD(MONTH(BE4)+12-MONTH('Get Started'!$D9),12))</f>
        <v>10</v>
      </c>
      <c r="BF11" s="16">
        <f>IF(MOD(MONTH(BF4)+12-MONTH('Get Started'!$D9),12)=0,12,MOD(MONTH(BF4)+12-MONTH('Get Started'!$D9),12))</f>
        <v>11</v>
      </c>
      <c r="BG11" s="16">
        <f>IF(MOD(MONTH(BG4)+12-MONTH('Get Started'!$D9),12)=0,12,MOD(MONTH(BG4)+12-MONTH('Get Started'!$D9),12))</f>
        <v>12</v>
      </c>
      <c r="BH11" s="16">
        <f>IF(MOD(MONTH(BH4)+12-MONTH('Get Started'!$D9),12)=0,12,MOD(MONTH(BH4)+12-MONTH('Get Started'!$D9),12))</f>
        <v>1</v>
      </c>
      <c r="BI11" s="16">
        <f>IF(MOD(MONTH(BI4)+12-MONTH('Get Started'!$D9),12)=0,12,MOD(MONTH(BI4)+12-MONTH('Get Started'!$D9),12))</f>
        <v>2</v>
      </c>
      <c r="BJ11" s="16">
        <f>IF(MOD(MONTH(BJ4)+12-MONTH('Get Started'!$D9),12)=0,12,MOD(MONTH(BJ4)+12-MONTH('Get Started'!$D9),12))</f>
        <v>3</v>
      </c>
      <c r="BK11" s="16">
        <f>IF(MOD(MONTH(BK4)+12-MONTH('Get Started'!$D9),12)=0,12,MOD(MONTH(BK4)+12-MONTH('Get Started'!$D9),12))</f>
        <v>4</v>
      </c>
      <c r="BL11" s="16">
        <f>IF(MOD(MONTH(BL4)+12-MONTH('Get Started'!$D9),12)=0,12,MOD(MONTH(BL4)+12-MONTH('Get Started'!$D9),12))</f>
        <v>5</v>
      </c>
      <c r="BM11" s="16">
        <f>IF(MOD(MONTH(BM4)+12-MONTH('Get Started'!$D9),12)=0,12,MOD(MONTH(BM4)+12-MONTH('Get Started'!$D9),12))</f>
        <v>6</v>
      </c>
      <c r="BN11" s="16">
        <f>IF(MOD(MONTH(BN4)+12-MONTH('Get Started'!$D9),12)=0,12,MOD(MONTH(BN4)+12-MONTH('Get Started'!$D9),12))</f>
        <v>7</v>
      </c>
      <c r="BO11" s="16">
        <f>IF(MOD(MONTH(BO4)+12-MONTH('Get Started'!$D9),12)=0,12,MOD(MONTH(BO4)+12-MONTH('Get Started'!$D9),12))</f>
        <v>8</v>
      </c>
    </row>
    <row r="12" spans="1:67" ht="16.5" hidden="1" customHeight="1" outlineLevel="1">
      <c r="A12" s="16"/>
      <c r="B12" s="17" t="s">
        <v>116</v>
      </c>
      <c r="C12" s="18" t="s">
        <v>86</v>
      </c>
      <c r="D12" s="17" t="s">
        <v>117</v>
      </c>
      <c r="E12" s="17"/>
      <c r="F12" s="17"/>
      <c r="G12" s="17"/>
      <c r="H12" s="17"/>
      <c r="I12" s="17"/>
      <c r="J12" s="17"/>
      <c r="K12" s="17"/>
      <c r="L12" s="17"/>
      <c r="M12" s="17"/>
      <c r="N12" s="17"/>
      <c r="O12" s="17"/>
      <c r="P12" s="17"/>
      <c r="Q12" s="17"/>
      <c r="R12" s="17"/>
      <c r="S12" s="17"/>
      <c r="T12" s="16">
        <v>1</v>
      </c>
      <c r="U12" s="16">
        <f t="shared" ref="U12:AE12" si="6">T12</f>
        <v>1</v>
      </c>
      <c r="V12" s="16">
        <f t="shared" si="6"/>
        <v>1</v>
      </c>
      <c r="W12" s="16">
        <f t="shared" si="6"/>
        <v>1</v>
      </c>
      <c r="X12" s="16">
        <f t="shared" si="6"/>
        <v>1</v>
      </c>
      <c r="Y12" s="16">
        <f t="shared" si="6"/>
        <v>1</v>
      </c>
      <c r="Z12" s="16">
        <f t="shared" si="6"/>
        <v>1</v>
      </c>
      <c r="AA12" s="16">
        <f t="shared" si="6"/>
        <v>1</v>
      </c>
      <c r="AB12" s="16">
        <f t="shared" si="6"/>
        <v>1</v>
      </c>
      <c r="AC12" s="16">
        <f t="shared" si="6"/>
        <v>1</v>
      </c>
      <c r="AD12" s="16">
        <f t="shared" si="6"/>
        <v>1</v>
      </c>
      <c r="AE12" s="16">
        <f t="shared" si="6"/>
        <v>1</v>
      </c>
      <c r="AF12" s="16">
        <f t="shared" ref="AF12:BO12" si="7">T12+1</f>
        <v>2</v>
      </c>
      <c r="AG12" s="16">
        <f t="shared" si="7"/>
        <v>2</v>
      </c>
      <c r="AH12" s="16">
        <f t="shared" si="7"/>
        <v>2</v>
      </c>
      <c r="AI12" s="16">
        <f t="shared" si="7"/>
        <v>2</v>
      </c>
      <c r="AJ12" s="16">
        <f t="shared" si="7"/>
        <v>2</v>
      </c>
      <c r="AK12" s="16">
        <f t="shared" si="7"/>
        <v>2</v>
      </c>
      <c r="AL12" s="16">
        <f t="shared" si="7"/>
        <v>2</v>
      </c>
      <c r="AM12" s="16">
        <f t="shared" si="7"/>
        <v>2</v>
      </c>
      <c r="AN12" s="16">
        <f t="shared" si="7"/>
        <v>2</v>
      </c>
      <c r="AO12" s="16">
        <f t="shared" si="7"/>
        <v>2</v>
      </c>
      <c r="AP12" s="16">
        <f t="shared" si="7"/>
        <v>2</v>
      </c>
      <c r="AQ12" s="16">
        <f t="shared" si="7"/>
        <v>2</v>
      </c>
      <c r="AR12" s="16">
        <f t="shared" si="7"/>
        <v>3</v>
      </c>
      <c r="AS12" s="16">
        <f t="shared" si="7"/>
        <v>3</v>
      </c>
      <c r="AT12" s="16">
        <f t="shared" si="7"/>
        <v>3</v>
      </c>
      <c r="AU12" s="16">
        <f t="shared" si="7"/>
        <v>3</v>
      </c>
      <c r="AV12" s="16">
        <f t="shared" si="7"/>
        <v>3</v>
      </c>
      <c r="AW12" s="16">
        <f t="shared" si="7"/>
        <v>3</v>
      </c>
      <c r="AX12" s="16">
        <f t="shared" si="7"/>
        <v>3</v>
      </c>
      <c r="AY12" s="16">
        <f t="shared" si="7"/>
        <v>3</v>
      </c>
      <c r="AZ12" s="16">
        <f t="shared" si="7"/>
        <v>3</v>
      </c>
      <c r="BA12" s="16">
        <f t="shared" si="7"/>
        <v>3</v>
      </c>
      <c r="BB12" s="16">
        <f t="shared" si="7"/>
        <v>3</v>
      </c>
      <c r="BC12" s="16">
        <f t="shared" si="7"/>
        <v>3</v>
      </c>
      <c r="BD12" s="16">
        <f t="shared" si="7"/>
        <v>4</v>
      </c>
      <c r="BE12" s="16">
        <f t="shared" si="7"/>
        <v>4</v>
      </c>
      <c r="BF12" s="16">
        <f t="shared" si="7"/>
        <v>4</v>
      </c>
      <c r="BG12" s="16">
        <f t="shared" si="7"/>
        <v>4</v>
      </c>
      <c r="BH12" s="16">
        <f t="shared" si="7"/>
        <v>4</v>
      </c>
      <c r="BI12" s="16">
        <f t="shared" si="7"/>
        <v>4</v>
      </c>
      <c r="BJ12" s="16">
        <f t="shared" si="7"/>
        <v>4</v>
      </c>
      <c r="BK12" s="16">
        <f t="shared" si="7"/>
        <v>4</v>
      </c>
      <c r="BL12" s="16">
        <f t="shared" si="7"/>
        <v>4</v>
      </c>
      <c r="BM12" s="16">
        <f t="shared" si="7"/>
        <v>4</v>
      </c>
      <c r="BN12" s="16">
        <f t="shared" si="7"/>
        <v>4</v>
      </c>
      <c r="BO12" s="16">
        <f t="shared" si="7"/>
        <v>4</v>
      </c>
    </row>
    <row r="13" spans="1:67" ht="16.5" hidden="1" customHeight="1" outlineLevel="1">
      <c r="A13" s="16"/>
      <c r="B13" s="17"/>
      <c r="C13" s="18"/>
      <c r="D13" s="17"/>
      <c r="E13" s="17"/>
      <c r="F13" s="17"/>
      <c r="G13" s="17"/>
      <c r="H13" s="17"/>
      <c r="I13" s="17"/>
      <c r="J13" s="17"/>
      <c r="K13" s="17"/>
      <c r="L13" s="17"/>
      <c r="M13" s="17"/>
      <c r="N13" s="17"/>
      <c r="O13" s="17"/>
      <c r="P13" s="17"/>
      <c r="Q13" s="17"/>
      <c r="R13" s="17"/>
      <c r="S13" s="17"/>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row>
    <row r="14" spans="1:67" ht="16.5" customHeight="1" collapsed="1">
      <c r="A14" s="16"/>
      <c r="B14" s="17"/>
      <c r="C14" s="18"/>
      <c r="D14" s="17"/>
      <c r="E14" s="17"/>
      <c r="F14" s="17"/>
      <c r="G14" s="17"/>
      <c r="H14" s="17"/>
      <c r="I14" s="17"/>
      <c r="J14" s="17"/>
      <c r="K14" s="17"/>
      <c r="L14" s="17"/>
      <c r="M14" s="17"/>
      <c r="N14" s="17"/>
      <c r="O14" s="17"/>
      <c r="P14" s="17"/>
      <c r="Q14" s="17"/>
      <c r="R14" s="17"/>
      <c r="S14" s="17"/>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row>
    <row r="15" spans="1:67" ht="16.5" customHeight="1">
      <c r="A15" s="16"/>
      <c r="B15" s="23" t="s">
        <v>73</v>
      </c>
      <c r="C15" s="18"/>
      <c r="D15" s="17"/>
      <c r="E15" s="17"/>
      <c r="F15" s="17"/>
      <c r="G15" s="17"/>
      <c r="H15" s="17"/>
      <c r="I15" s="17"/>
      <c r="J15" s="17"/>
      <c r="K15" s="17"/>
      <c r="L15" s="17"/>
      <c r="M15" s="17"/>
      <c r="N15" s="17"/>
      <c r="O15" s="17"/>
      <c r="P15" s="17"/>
      <c r="Q15" s="17"/>
      <c r="R15" s="17"/>
      <c r="S15" s="17"/>
      <c r="T15" s="16"/>
      <c r="U15" s="16"/>
      <c r="V15" s="16"/>
      <c r="W15" s="17"/>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row>
    <row r="16" spans="1:67" ht="16.5" customHeight="1">
      <c r="A16" s="16"/>
      <c r="B16" s="17" t="s">
        <v>118</v>
      </c>
      <c r="C16" s="18" t="s">
        <v>86</v>
      </c>
      <c r="D16" s="17" t="str">
        <f>'Get Started'!F12</f>
        <v>average revenue per month</v>
      </c>
      <c r="E16" s="17"/>
      <c r="F16" s="17"/>
      <c r="G16" s="17"/>
      <c r="H16" s="17" t="s">
        <v>119</v>
      </c>
      <c r="I16" s="42">
        <f>IF(H16=Forecast!$H$74,T16,IF(H16=Forecast!$H$75,BO16,IF(H16=Forecast!$H$76,SUM(T16:BO16),IF(H16=Forecast!$H$77,AVERAGE(T16:BO16),0))))</f>
        <v>30</v>
      </c>
      <c r="J16" s="17"/>
      <c r="K16" s="17"/>
      <c r="L16" s="17"/>
      <c r="M16" s="17"/>
      <c r="N16" s="17"/>
      <c r="O16" s="17"/>
      <c r="P16" s="17"/>
      <c r="Q16" s="17"/>
      <c r="R16" s="17"/>
      <c r="S16" s="17"/>
      <c r="T16" s="43">
        <f>'Get Started'!$D12</f>
        <v>30</v>
      </c>
      <c r="U16" s="43">
        <f>'Get Started'!$D12</f>
        <v>30</v>
      </c>
      <c r="V16" s="43">
        <f>'Get Started'!$D12</f>
        <v>30</v>
      </c>
      <c r="W16" s="43">
        <f>'Get Started'!$D12</f>
        <v>30</v>
      </c>
      <c r="X16" s="43">
        <f>'Get Started'!$D12</f>
        <v>30</v>
      </c>
      <c r="Y16" s="43">
        <f>'Get Started'!$D12</f>
        <v>30</v>
      </c>
      <c r="Z16" s="43">
        <f>'Get Started'!$D12</f>
        <v>30</v>
      </c>
      <c r="AA16" s="43">
        <f>'Get Started'!$D12</f>
        <v>30</v>
      </c>
      <c r="AB16" s="43">
        <f>'Get Started'!$D12</f>
        <v>30</v>
      </c>
      <c r="AC16" s="43">
        <f>'Get Started'!$D12</f>
        <v>30</v>
      </c>
      <c r="AD16" s="43">
        <f>'Get Started'!$D12</f>
        <v>30</v>
      </c>
      <c r="AE16" s="43">
        <f>'Get Started'!$D12</f>
        <v>30</v>
      </c>
      <c r="AF16" s="43">
        <f>'Get Started'!$D12</f>
        <v>30</v>
      </c>
      <c r="AG16" s="43">
        <f>'Get Started'!$D12</f>
        <v>30</v>
      </c>
      <c r="AH16" s="43">
        <f>'Get Started'!$D12</f>
        <v>30</v>
      </c>
      <c r="AI16" s="43">
        <f>'Get Started'!$D12</f>
        <v>30</v>
      </c>
      <c r="AJ16" s="43">
        <f>'Get Started'!$D12</f>
        <v>30</v>
      </c>
      <c r="AK16" s="43">
        <f>'Get Started'!$D12</f>
        <v>30</v>
      </c>
      <c r="AL16" s="43">
        <f>'Get Started'!$D12</f>
        <v>30</v>
      </c>
      <c r="AM16" s="43">
        <f>'Get Started'!$D12</f>
        <v>30</v>
      </c>
      <c r="AN16" s="43">
        <f>'Get Started'!$D12</f>
        <v>30</v>
      </c>
      <c r="AO16" s="43">
        <f>'Get Started'!$D12</f>
        <v>30</v>
      </c>
      <c r="AP16" s="43">
        <f>'Get Started'!$D12</f>
        <v>30</v>
      </c>
      <c r="AQ16" s="43">
        <f>'Get Started'!$D12</f>
        <v>30</v>
      </c>
      <c r="AR16" s="43">
        <f>'Get Started'!$D12</f>
        <v>30</v>
      </c>
      <c r="AS16" s="43">
        <f>'Get Started'!$D12</f>
        <v>30</v>
      </c>
      <c r="AT16" s="43">
        <f>'Get Started'!$D12</f>
        <v>30</v>
      </c>
      <c r="AU16" s="43">
        <f>'Get Started'!$D12</f>
        <v>30</v>
      </c>
      <c r="AV16" s="43">
        <f>'Get Started'!$D12</f>
        <v>30</v>
      </c>
      <c r="AW16" s="43">
        <f>'Get Started'!$D12</f>
        <v>30</v>
      </c>
      <c r="AX16" s="43">
        <f>'Get Started'!$D12</f>
        <v>30</v>
      </c>
      <c r="AY16" s="43">
        <f>'Get Started'!$D12</f>
        <v>30</v>
      </c>
      <c r="AZ16" s="43">
        <f>'Get Started'!$D12</f>
        <v>30</v>
      </c>
      <c r="BA16" s="43">
        <f>'Get Started'!$D12</f>
        <v>30</v>
      </c>
      <c r="BB16" s="43">
        <f>'Get Started'!$D12</f>
        <v>30</v>
      </c>
      <c r="BC16" s="43">
        <f>'Get Started'!$D12</f>
        <v>30</v>
      </c>
      <c r="BD16" s="43">
        <f>'Get Started'!$D12</f>
        <v>30</v>
      </c>
      <c r="BE16" s="43">
        <f>'Get Started'!$D12</f>
        <v>30</v>
      </c>
      <c r="BF16" s="43">
        <f>'Get Started'!$D12</f>
        <v>30</v>
      </c>
      <c r="BG16" s="43">
        <f>'Get Started'!$D12</f>
        <v>30</v>
      </c>
      <c r="BH16" s="43">
        <f>'Get Started'!$D12</f>
        <v>30</v>
      </c>
      <c r="BI16" s="43">
        <f>'Get Started'!$D12</f>
        <v>30</v>
      </c>
      <c r="BJ16" s="43">
        <f>'Get Started'!$D12</f>
        <v>30</v>
      </c>
      <c r="BK16" s="43">
        <f>'Get Started'!$D12</f>
        <v>30</v>
      </c>
      <c r="BL16" s="43">
        <f>'Get Started'!$D12</f>
        <v>30</v>
      </c>
      <c r="BM16" s="43">
        <f>'Get Started'!$D12</f>
        <v>30</v>
      </c>
      <c r="BN16" s="43">
        <f>'Get Started'!$D12</f>
        <v>30</v>
      </c>
      <c r="BO16" s="43">
        <f>'Get Started'!$D12</f>
        <v>30</v>
      </c>
    </row>
    <row r="17" spans="1:67" ht="16.5" customHeight="1">
      <c r="A17" s="16"/>
      <c r="B17" s="17" t="s">
        <v>75</v>
      </c>
      <c r="C17" s="18" t="s">
        <v>76</v>
      </c>
      <c r="D17" s="17" t="str">
        <f>'Get Started'!F13</f>
        <v>as a % of revenues</v>
      </c>
      <c r="E17" s="17"/>
      <c r="F17" s="17"/>
      <c r="G17" s="17"/>
      <c r="H17" s="17" t="s">
        <v>119</v>
      </c>
      <c r="I17" s="44">
        <f>IF(H17=Forecast!$H$74,T17,IF(H17=Forecast!$H$75,BO17,IF(H17=Forecast!$H$76,SUM(T17:BO17),IF(H17=Forecast!$H$77,AVERAGE(T17:BO17),0))))</f>
        <v>0.875</v>
      </c>
      <c r="J17" s="17"/>
      <c r="K17" s="17"/>
      <c r="L17" s="17"/>
      <c r="M17" s="17"/>
      <c r="N17" s="17"/>
      <c r="O17" s="17"/>
      <c r="P17" s="17"/>
      <c r="Q17" s="17"/>
      <c r="R17" s="17"/>
      <c r="S17" s="17"/>
      <c r="T17" s="44">
        <f>'Get Started'!$D13</f>
        <v>0.875</v>
      </c>
      <c r="U17" s="44">
        <f>'Get Started'!$D13</f>
        <v>0.875</v>
      </c>
      <c r="V17" s="44">
        <f>'Get Started'!$D13</f>
        <v>0.875</v>
      </c>
      <c r="W17" s="44">
        <f>'Get Started'!$D13</f>
        <v>0.875</v>
      </c>
      <c r="X17" s="44">
        <f>'Get Started'!$D13</f>
        <v>0.875</v>
      </c>
      <c r="Y17" s="44">
        <f>'Get Started'!$D13</f>
        <v>0.875</v>
      </c>
      <c r="Z17" s="44">
        <f>'Get Started'!$D13</f>
        <v>0.875</v>
      </c>
      <c r="AA17" s="44">
        <f>'Get Started'!$D13</f>
        <v>0.875</v>
      </c>
      <c r="AB17" s="44">
        <f>'Get Started'!$D13</f>
        <v>0.875</v>
      </c>
      <c r="AC17" s="44">
        <f>'Get Started'!$D13</f>
        <v>0.875</v>
      </c>
      <c r="AD17" s="44">
        <f>'Get Started'!$D13</f>
        <v>0.875</v>
      </c>
      <c r="AE17" s="44">
        <f>'Get Started'!$D13</f>
        <v>0.875</v>
      </c>
      <c r="AF17" s="44">
        <f>'Get Started'!$D13</f>
        <v>0.875</v>
      </c>
      <c r="AG17" s="44">
        <f>'Get Started'!$D13</f>
        <v>0.875</v>
      </c>
      <c r="AH17" s="44">
        <f>'Get Started'!$D13</f>
        <v>0.875</v>
      </c>
      <c r="AI17" s="44">
        <f>'Get Started'!$D13</f>
        <v>0.875</v>
      </c>
      <c r="AJ17" s="44">
        <f>'Get Started'!$D13</f>
        <v>0.875</v>
      </c>
      <c r="AK17" s="44">
        <f>'Get Started'!$D13</f>
        <v>0.875</v>
      </c>
      <c r="AL17" s="44">
        <f>'Get Started'!$D13</f>
        <v>0.875</v>
      </c>
      <c r="AM17" s="44">
        <f>'Get Started'!$D13</f>
        <v>0.875</v>
      </c>
      <c r="AN17" s="44">
        <f>'Get Started'!$D13</f>
        <v>0.875</v>
      </c>
      <c r="AO17" s="44">
        <f>'Get Started'!$D13</f>
        <v>0.875</v>
      </c>
      <c r="AP17" s="44">
        <f>'Get Started'!$D13</f>
        <v>0.875</v>
      </c>
      <c r="AQ17" s="44">
        <f>'Get Started'!$D13</f>
        <v>0.875</v>
      </c>
      <c r="AR17" s="44">
        <f>'Get Started'!$D13</f>
        <v>0.875</v>
      </c>
      <c r="AS17" s="44">
        <f>'Get Started'!$D13</f>
        <v>0.875</v>
      </c>
      <c r="AT17" s="44">
        <f>'Get Started'!$D13</f>
        <v>0.875</v>
      </c>
      <c r="AU17" s="44">
        <f>'Get Started'!$D13</f>
        <v>0.875</v>
      </c>
      <c r="AV17" s="44">
        <f>'Get Started'!$D13</f>
        <v>0.875</v>
      </c>
      <c r="AW17" s="44">
        <f>'Get Started'!$D13</f>
        <v>0.875</v>
      </c>
      <c r="AX17" s="44">
        <f>'Get Started'!$D13</f>
        <v>0.875</v>
      </c>
      <c r="AY17" s="44">
        <f>'Get Started'!$D13</f>
        <v>0.875</v>
      </c>
      <c r="AZ17" s="44">
        <f>'Get Started'!$D13</f>
        <v>0.875</v>
      </c>
      <c r="BA17" s="44">
        <f>'Get Started'!$D13</f>
        <v>0.875</v>
      </c>
      <c r="BB17" s="44">
        <f>'Get Started'!$D13</f>
        <v>0.875</v>
      </c>
      <c r="BC17" s="44">
        <f>'Get Started'!$D13</f>
        <v>0.875</v>
      </c>
      <c r="BD17" s="44">
        <f>'Get Started'!$D13</f>
        <v>0.875</v>
      </c>
      <c r="BE17" s="44">
        <f>'Get Started'!$D13</f>
        <v>0.875</v>
      </c>
      <c r="BF17" s="44">
        <f>'Get Started'!$D13</f>
        <v>0.875</v>
      </c>
      <c r="BG17" s="44">
        <f>'Get Started'!$D13</f>
        <v>0.875</v>
      </c>
      <c r="BH17" s="44">
        <f>'Get Started'!$D13</f>
        <v>0.875</v>
      </c>
      <c r="BI17" s="44">
        <f>'Get Started'!$D13</f>
        <v>0.875</v>
      </c>
      <c r="BJ17" s="44">
        <f>'Get Started'!$D13</f>
        <v>0.875</v>
      </c>
      <c r="BK17" s="44">
        <f>'Get Started'!$D13</f>
        <v>0.875</v>
      </c>
      <c r="BL17" s="44">
        <f>'Get Started'!$D13</f>
        <v>0.875</v>
      </c>
      <c r="BM17" s="44">
        <f>'Get Started'!$D13</f>
        <v>0.875</v>
      </c>
      <c r="BN17" s="44">
        <f>'Get Started'!$D13</f>
        <v>0.875</v>
      </c>
      <c r="BO17" s="44">
        <f>'Get Started'!$D13</f>
        <v>0.875</v>
      </c>
    </row>
    <row r="18" spans="1:67" ht="16.5" customHeight="1">
      <c r="A18" s="16"/>
      <c r="B18" s="17" t="s">
        <v>120</v>
      </c>
      <c r="C18" s="18" t="s">
        <v>86</v>
      </c>
      <c r="D18" s="17" t="str">
        <f>'Get Started'!F14</f>
        <v>Customer acquisition cost, per new subscriber</v>
      </c>
      <c r="E18" s="17"/>
      <c r="F18" s="17"/>
      <c r="G18" s="17"/>
      <c r="H18" s="17" t="s">
        <v>119</v>
      </c>
      <c r="I18" s="42">
        <f>IF(H18=Forecast!$H$74,T18,IF(H18=Forecast!$H$75,BO18,IF(H18=Forecast!$H$76,SUM(T18:BO18),IF(H18=Forecast!$H$77,AVERAGE(T18:BO18),0))))</f>
        <v>25</v>
      </c>
      <c r="J18" s="17"/>
      <c r="K18" s="17"/>
      <c r="L18" s="17"/>
      <c r="M18" s="17"/>
      <c r="N18" s="17"/>
      <c r="O18" s="17"/>
      <c r="P18" s="17"/>
      <c r="Q18" s="17"/>
      <c r="R18" s="17"/>
      <c r="S18" s="17"/>
      <c r="T18" s="43">
        <f>'Get Started'!$D14</f>
        <v>25</v>
      </c>
      <c r="U18" s="43">
        <f>'Get Started'!$D14</f>
        <v>25</v>
      </c>
      <c r="V18" s="43">
        <f>'Get Started'!$D14</f>
        <v>25</v>
      </c>
      <c r="W18" s="43">
        <f>'Get Started'!$D14</f>
        <v>25</v>
      </c>
      <c r="X18" s="43">
        <f>'Get Started'!$D14</f>
        <v>25</v>
      </c>
      <c r="Y18" s="43">
        <f>'Get Started'!$D14</f>
        <v>25</v>
      </c>
      <c r="Z18" s="43">
        <f>'Get Started'!$D14</f>
        <v>25</v>
      </c>
      <c r="AA18" s="43">
        <f>'Get Started'!$D14</f>
        <v>25</v>
      </c>
      <c r="AB18" s="43">
        <f>'Get Started'!$D14</f>
        <v>25</v>
      </c>
      <c r="AC18" s="43">
        <f>'Get Started'!$D14</f>
        <v>25</v>
      </c>
      <c r="AD18" s="43">
        <f>'Get Started'!$D14</f>
        <v>25</v>
      </c>
      <c r="AE18" s="43">
        <f>'Get Started'!$D14</f>
        <v>25</v>
      </c>
      <c r="AF18" s="43">
        <f>'Get Started'!$D14</f>
        <v>25</v>
      </c>
      <c r="AG18" s="43">
        <f>'Get Started'!$D14</f>
        <v>25</v>
      </c>
      <c r="AH18" s="43">
        <f>'Get Started'!$D14</f>
        <v>25</v>
      </c>
      <c r="AI18" s="43">
        <f>'Get Started'!$D14</f>
        <v>25</v>
      </c>
      <c r="AJ18" s="43">
        <f>'Get Started'!$D14</f>
        <v>25</v>
      </c>
      <c r="AK18" s="43">
        <f>'Get Started'!$D14</f>
        <v>25</v>
      </c>
      <c r="AL18" s="43">
        <f>'Get Started'!$D14</f>
        <v>25</v>
      </c>
      <c r="AM18" s="43">
        <f>'Get Started'!$D14</f>
        <v>25</v>
      </c>
      <c r="AN18" s="43">
        <f>'Get Started'!$D14</f>
        <v>25</v>
      </c>
      <c r="AO18" s="43">
        <f>'Get Started'!$D14</f>
        <v>25</v>
      </c>
      <c r="AP18" s="43">
        <f>'Get Started'!$D14</f>
        <v>25</v>
      </c>
      <c r="AQ18" s="43">
        <f>'Get Started'!$D14</f>
        <v>25</v>
      </c>
      <c r="AR18" s="43">
        <f>'Get Started'!$D14</f>
        <v>25</v>
      </c>
      <c r="AS18" s="43">
        <f>'Get Started'!$D14</f>
        <v>25</v>
      </c>
      <c r="AT18" s="43">
        <f>'Get Started'!$D14</f>
        <v>25</v>
      </c>
      <c r="AU18" s="43">
        <f>'Get Started'!$D14</f>
        <v>25</v>
      </c>
      <c r="AV18" s="43">
        <f>'Get Started'!$D14</f>
        <v>25</v>
      </c>
      <c r="AW18" s="43">
        <f>'Get Started'!$D14</f>
        <v>25</v>
      </c>
      <c r="AX18" s="43">
        <f>'Get Started'!$D14</f>
        <v>25</v>
      </c>
      <c r="AY18" s="43">
        <f>'Get Started'!$D14</f>
        <v>25</v>
      </c>
      <c r="AZ18" s="43">
        <f>'Get Started'!$D14</f>
        <v>25</v>
      </c>
      <c r="BA18" s="43">
        <f>'Get Started'!$D14</f>
        <v>25</v>
      </c>
      <c r="BB18" s="43">
        <f>'Get Started'!$D14</f>
        <v>25</v>
      </c>
      <c r="BC18" s="43">
        <f>'Get Started'!$D14</f>
        <v>25</v>
      </c>
      <c r="BD18" s="43">
        <f>'Get Started'!$D14</f>
        <v>25</v>
      </c>
      <c r="BE18" s="43">
        <f>'Get Started'!$D14</f>
        <v>25</v>
      </c>
      <c r="BF18" s="43">
        <f>'Get Started'!$D14</f>
        <v>25</v>
      </c>
      <c r="BG18" s="43">
        <f>'Get Started'!$D14</f>
        <v>25</v>
      </c>
      <c r="BH18" s="43">
        <f>'Get Started'!$D14</f>
        <v>25</v>
      </c>
      <c r="BI18" s="43">
        <f>'Get Started'!$D14</f>
        <v>25</v>
      </c>
      <c r="BJ18" s="43">
        <f>'Get Started'!$D14</f>
        <v>25</v>
      </c>
      <c r="BK18" s="43">
        <f>'Get Started'!$D14</f>
        <v>25</v>
      </c>
      <c r="BL18" s="43">
        <f>'Get Started'!$D14</f>
        <v>25</v>
      </c>
      <c r="BM18" s="43">
        <f>'Get Started'!$D14</f>
        <v>25</v>
      </c>
      <c r="BN18" s="43">
        <f>'Get Started'!$D14</f>
        <v>25</v>
      </c>
      <c r="BO18" s="43">
        <f>'Get Started'!$D14</f>
        <v>25</v>
      </c>
    </row>
    <row r="19" spans="1:67" ht="16.5" customHeight="1">
      <c r="A19" s="16"/>
      <c r="B19" s="17" t="str">
        <f>'Get Started'!B15</f>
        <v>Retention Cost per renewed subscriber</v>
      </c>
      <c r="C19" s="18" t="s">
        <v>86</v>
      </c>
      <c r="D19" s="17" t="str">
        <f>'Get Started'!F15</f>
        <v>retention cost per subscriber, per renew cycle. Intention is to include cost to market to existing subscribers to increase retention</v>
      </c>
      <c r="E19" s="17"/>
      <c r="F19" s="17"/>
      <c r="G19" s="17"/>
      <c r="H19" s="17" t="s">
        <v>119</v>
      </c>
      <c r="I19" s="42">
        <f>IF(H19=Forecast!$H$74,T19,IF(H19=Forecast!$H$75,BO19,IF(H19=Forecast!$H$76,SUM(T19:BO19),IF(H19=Forecast!$H$77,AVERAGE(T19:BO19),0))))</f>
        <v>5</v>
      </c>
      <c r="J19" s="17"/>
      <c r="K19" s="17"/>
      <c r="L19" s="17"/>
      <c r="M19" s="17"/>
      <c r="N19" s="17"/>
      <c r="O19" s="17"/>
      <c r="P19" s="17"/>
      <c r="Q19" s="17"/>
      <c r="R19" s="17"/>
      <c r="S19" s="17"/>
      <c r="T19" s="43">
        <f>'Get Started'!$D15</f>
        <v>5</v>
      </c>
      <c r="U19" s="43">
        <f>'Get Started'!$D15</f>
        <v>5</v>
      </c>
      <c r="V19" s="43">
        <f>'Get Started'!$D15</f>
        <v>5</v>
      </c>
      <c r="W19" s="43">
        <f>'Get Started'!$D15</f>
        <v>5</v>
      </c>
      <c r="X19" s="43">
        <f>'Get Started'!$D15</f>
        <v>5</v>
      </c>
      <c r="Y19" s="43">
        <f>'Get Started'!$D15</f>
        <v>5</v>
      </c>
      <c r="Z19" s="43">
        <f>'Get Started'!$D15</f>
        <v>5</v>
      </c>
      <c r="AA19" s="43">
        <f>'Get Started'!$D15</f>
        <v>5</v>
      </c>
      <c r="AB19" s="43">
        <f>'Get Started'!$D15</f>
        <v>5</v>
      </c>
      <c r="AC19" s="43">
        <f>'Get Started'!$D15</f>
        <v>5</v>
      </c>
      <c r="AD19" s="43">
        <f>'Get Started'!$D15</f>
        <v>5</v>
      </c>
      <c r="AE19" s="43">
        <f>'Get Started'!$D15</f>
        <v>5</v>
      </c>
      <c r="AF19" s="43">
        <f>'Get Started'!$D15</f>
        <v>5</v>
      </c>
      <c r="AG19" s="43">
        <f>'Get Started'!$D15</f>
        <v>5</v>
      </c>
      <c r="AH19" s="43">
        <f>'Get Started'!$D15</f>
        <v>5</v>
      </c>
      <c r="AI19" s="43">
        <f>'Get Started'!$D15</f>
        <v>5</v>
      </c>
      <c r="AJ19" s="43">
        <f>'Get Started'!$D15</f>
        <v>5</v>
      </c>
      <c r="AK19" s="43">
        <f>'Get Started'!$D15</f>
        <v>5</v>
      </c>
      <c r="AL19" s="43">
        <f>'Get Started'!$D15</f>
        <v>5</v>
      </c>
      <c r="AM19" s="43">
        <f>'Get Started'!$D15</f>
        <v>5</v>
      </c>
      <c r="AN19" s="43">
        <f>'Get Started'!$D15</f>
        <v>5</v>
      </c>
      <c r="AO19" s="43">
        <f>'Get Started'!$D15</f>
        <v>5</v>
      </c>
      <c r="AP19" s="43">
        <f>'Get Started'!$D15</f>
        <v>5</v>
      </c>
      <c r="AQ19" s="43">
        <f>'Get Started'!$D15</f>
        <v>5</v>
      </c>
      <c r="AR19" s="43">
        <f>'Get Started'!$D15</f>
        <v>5</v>
      </c>
      <c r="AS19" s="43">
        <f>'Get Started'!$D15</f>
        <v>5</v>
      </c>
      <c r="AT19" s="43">
        <f>'Get Started'!$D15</f>
        <v>5</v>
      </c>
      <c r="AU19" s="43">
        <f>'Get Started'!$D15</f>
        <v>5</v>
      </c>
      <c r="AV19" s="43">
        <f>'Get Started'!$D15</f>
        <v>5</v>
      </c>
      <c r="AW19" s="43">
        <f>'Get Started'!$D15</f>
        <v>5</v>
      </c>
      <c r="AX19" s="43">
        <f>'Get Started'!$D15</f>
        <v>5</v>
      </c>
      <c r="AY19" s="43">
        <f>'Get Started'!$D15</f>
        <v>5</v>
      </c>
      <c r="AZ19" s="43">
        <f>'Get Started'!$D15</f>
        <v>5</v>
      </c>
      <c r="BA19" s="43">
        <f>'Get Started'!$D15</f>
        <v>5</v>
      </c>
      <c r="BB19" s="43">
        <f>'Get Started'!$D15</f>
        <v>5</v>
      </c>
      <c r="BC19" s="43">
        <f>'Get Started'!$D15</f>
        <v>5</v>
      </c>
      <c r="BD19" s="43">
        <f>'Get Started'!$D15</f>
        <v>5</v>
      </c>
      <c r="BE19" s="43">
        <f>'Get Started'!$D15</f>
        <v>5</v>
      </c>
      <c r="BF19" s="43">
        <f>'Get Started'!$D15</f>
        <v>5</v>
      </c>
      <c r="BG19" s="43">
        <f>'Get Started'!$D15</f>
        <v>5</v>
      </c>
      <c r="BH19" s="43">
        <f>'Get Started'!$D15</f>
        <v>5</v>
      </c>
      <c r="BI19" s="43">
        <f>'Get Started'!$D15</f>
        <v>5</v>
      </c>
      <c r="BJ19" s="43">
        <f>'Get Started'!$D15</f>
        <v>5</v>
      </c>
      <c r="BK19" s="43">
        <f>'Get Started'!$D15</f>
        <v>5</v>
      </c>
      <c r="BL19" s="43">
        <f>'Get Started'!$D15</f>
        <v>5</v>
      </c>
      <c r="BM19" s="43">
        <f>'Get Started'!$D15</f>
        <v>5</v>
      </c>
      <c r="BN19" s="43">
        <f>'Get Started'!$D15</f>
        <v>5</v>
      </c>
      <c r="BO19" s="43">
        <f>'Get Started'!$D15</f>
        <v>5</v>
      </c>
    </row>
    <row r="20" spans="1:67" ht="16.5" customHeight="1">
      <c r="A20" s="16"/>
      <c r="B20" s="17" t="s">
        <v>121</v>
      </c>
      <c r="C20" s="18" t="s">
        <v>86</v>
      </c>
      <c r="D20" s="17" t="str">
        <f>'Get Started'!F16</f>
        <v>optional: deferred revenue at the beginning of the first month in model</v>
      </c>
      <c r="E20" s="17"/>
      <c r="F20" s="17"/>
      <c r="G20" s="17"/>
      <c r="H20" s="17" t="s">
        <v>119</v>
      </c>
      <c r="I20" s="42">
        <f>IF(H20=Forecast!$H$74,T20,IF(H20=Forecast!$H$75,BO20,IF(H20=Forecast!$H$76,SUM(T20:BO20),IF(H20=Forecast!$H$77,AVERAGE(T20:BO20),0))))</f>
        <v>0</v>
      </c>
      <c r="J20" s="17"/>
      <c r="K20" s="17"/>
      <c r="L20" s="17"/>
      <c r="M20" s="17"/>
      <c r="N20" s="17"/>
      <c r="O20" s="17"/>
      <c r="P20" s="17"/>
      <c r="Q20" s="17"/>
      <c r="R20" s="17"/>
      <c r="S20" s="17"/>
      <c r="T20" s="43">
        <f>'Get Started'!$D16</f>
        <v>0</v>
      </c>
      <c r="U20" s="43">
        <f>'Get Started'!$D16</f>
        <v>0</v>
      </c>
      <c r="V20" s="43">
        <f>'Get Started'!$D16</f>
        <v>0</v>
      </c>
      <c r="W20" s="43">
        <f>'Get Started'!$D16</f>
        <v>0</v>
      </c>
      <c r="X20" s="43">
        <f>'Get Started'!$D16</f>
        <v>0</v>
      </c>
      <c r="Y20" s="43">
        <f>'Get Started'!$D16</f>
        <v>0</v>
      </c>
      <c r="Z20" s="43">
        <f>'Get Started'!$D16</f>
        <v>0</v>
      </c>
      <c r="AA20" s="43">
        <f>'Get Started'!$D16</f>
        <v>0</v>
      </c>
      <c r="AB20" s="43">
        <f>'Get Started'!$D16</f>
        <v>0</v>
      </c>
      <c r="AC20" s="43">
        <f>'Get Started'!$D16</f>
        <v>0</v>
      </c>
      <c r="AD20" s="43">
        <f>'Get Started'!$D16</f>
        <v>0</v>
      </c>
      <c r="AE20" s="43">
        <f>'Get Started'!$D16</f>
        <v>0</v>
      </c>
      <c r="AF20" s="43">
        <f>'Get Started'!$D16</f>
        <v>0</v>
      </c>
      <c r="AG20" s="43">
        <f>'Get Started'!$D16</f>
        <v>0</v>
      </c>
      <c r="AH20" s="43">
        <f>'Get Started'!$D16</f>
        <v>0</v>
      </c>
      <c r="AI20" s="43">
        <f>'Get Started'!$D16</f>
        <v>0</v>
      </c>
      <c r="AJ20" s="43">
        <f>'Get Started'!$D16</f>
        <v>0</v>
      </c>
      <c r="AK20" s="43">
        <f>'Get Started'!$D16</f>
        <v>0</v>
      </c>
      <c r="AL20" s="43">
        <f>'Get Started'!$D16</f>
        <v>0</v>
      </c>
      <c r="AM20" s="43">
        <f>'Get Started'!$D16</f>
        <v>0</v>
      </c>
      <c r="AN20" s="43">
        <f>'Get Started'!$D16</f>
        <v>0</v>
      </c>
      <c r="AO20" s="43">
        <f>'Get Started'!$D16</f>
        <v>0</v>
      </c>
      <c r="AP20" s="43">
        <f>'Get Started'!$D16</f>
        <v>0</v>
      </c>
      <c r="AQ20" s="43">
        <f>'Get Started'!$D16</f>
        <v>0</v>
      </c>
      <c r="AR20" s="43">
        <f>'Get Started'!$D16</f>
        <v>0</v>
      </c>
      <c r="AS20" s="43">
        <f>'Get Started'!$D16</f>
        <v>0</v>
      </c>
      <c r="AT20" s="43">
        <f>'Get Started'!$D16</f>
        <v>0</v>
      </c>
      <c r="AU20" s="43">
        <f>'Get Started'!$D16</f>
        <v>0</v>
      </c>
      <c r="AV20" s="43">
        <f>'Get Started'!$D16</f>
        <v>0</v>
      </c>
      <c r="AW20" s="43">
        <f>'Get Started'!$D16</f>
        <v>0</v>
      </c>
      <c r="AX20" s="43">
        <f>'Get Started'!$D16</f>
        <v>0</v>
      </c>
      <c r="AY20" s="43">
        <f>'Get Started'!$D16</f>
        <v>0</v>
      </c>
      <c r="AZ20" s="43">
        <f>'Get Started'!$D16</f>
        <v>0</v>
      </c>
      <c r="BA20" s="43">
        <f>'Get Started'!$D16</f>
        <v>0</v>
      </c>
      <c r="BB20" s="43">
        <f>'Get Started'!$D16</f>
        <v>0</v>
      </c>
      <c r="BC20" s="43">
        <f>'Get Started'!$D16</f>
        <v>0</v>
      </c>
      <c r="BD20" s="43">
        <f>'Get Started'!$D16</f>
        <v>0</v>
      </c>
      <c r="BE20" s="43">
        <f>'Get Started'!$D16</f>
        <v>0</v>
      </c>
      <c r="BF20" s="43">
        <f>'Get Started'!$D16</f>
        <v>0</v>
      </c>
      <c r="BG20" s="43">
        <f>'Get Started'!$D16</f>
        <v>0</v>
      </c>
      <c r="BH20" s="43">
        <f>'Get Started'!$D16</f>
        <v>0</v>
      </c>
      <c r="BI20" s="43">
        <f>'Get Started'!$D16</f>
        <v>0</v>
      </c>
      <c r="BJ20" s="43">
        <f>'Get Started'!$D16</f>
        <v>0</v>
      </c>
      <c r="BK20" s="43">
        <f>'Get Started'!$D16</f>
        <v>0</v>
      </c>
      <c r="BL20" s="43">
        <f>'Get Started'!$D16</f>
        <v>0</v>
      </c>
      <c r="BM20" s="43">
        <f>'Get Started'!$D16</f>
        <v>0</v>
      </c>
      <c r="BN20" s="43">
        <f>'Get Started'!$D16</f>
        <v>0</v>
      </c>
      <c r="BO20" s="43">
        <f>'Get Started'!$D16</f>
        <v>0</v>
      </c>
    </row>
    <row r="21" spans="1:67" ht="16.5" customHeight="1">
      <c r="A21" s="16"/>
      <c r="B21" s="17"/>
      <c r="C21" s="18"/>
      <c r="D21" s="17"/>
      <c r="E21" s="17"/>
      <c r="F21" s="17"/>
      <c r="G21" s="17"/>
      <c r="H21" s="17"/>
      <c r="I21" s="17"/>
      <c r="J21" s="17"/>
      <c r="K21" s="17"/>
      <c r="L21" s="17"/>
      <c r="M21" s="17"/>
      <c r="N21" s="17"/>
      <c r="O21" s="17"/>
      <c r="P21" s="17"/>
      <c r="Q21" s="17"/>
      <c r="R21" s="17"/>
      <c r="S21" s="17"/>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row>
    <row r="22" spans="1:67" ht="16.5" customHeight="1">
      <c r="A22" s="16"/>
      <c r="B22" s="23" t="s">
        <v>82</v>
      </c>
      <c r="C22" s="18"/>
      <c r="D22" s="17"/>
      <c r="E22" s="17"/>
      <c r="F22" s="17"/>
      <c r="G22" s="17"/>
      <c r="H22" s="17"/>
      <c r="I22" s="17"/>
      <c r="J22" s="17"/>
      <c r="K22" s="17"/>
      <c r="L22" s="17"/>
      <c r="M22" s="17"/>
      <c r="N22" s="17"/>
      <c r="O22" s="17"/>
      <c r="P22" s="17"/>
      <c r="Q22" s="17"/>
      <c r="R22" s="17"/>
      <c r="S22" s="17"/>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row>
    <row r="23" spans="1:67" ht="16.5" customHeight="1">
      <c r="A23" s="16"/>
      <c r="B23" s="17" t="s">
        <v>83</v>
      </c>
      <c r="C23" s="18" t="s">
        <v>86</v>
      </c>
      <c r="D23" s="17" t="str">
        <f>'Get Started'!F19</f>
        <v>date to start growth of revenues, used on Forecast sheet in Growth section</v>
      </c>
      <c r="E23" s="17"/>
      <c r="F23" s="17"/>
      <c r="G23" s="17"/>
      <c r="H23" s="17" t="s">
        <v>122</v>
      </c>
      <c r="I23" s="45">
        <f>IF(H23=Forecast!$H$74,T23,IF(H23=Forecast!$H$75,BO23,IF(H23=Forecast!$H$76,SUM(T23:BO23),IF(H23=Forecast!$H$77,AVERAGE(T23:BO23),0))))</f>
        <v>44440</v>
      </c>
      <c r="J23" s="17"/>
      <c r="K23" s="17"/>
      <c r="L23" s="17"/>
      <c r="M23" s="17"/>
      <c r="N23" s="17"/>
      <c r="O23" s="17"/>
      <c r="P23" s="17"/>
      <c r="Q23" s="17"/>
      <c r="R23" s="17"/>
      <c r="S23" s="17"/>
      <c r="T23" s="45">
        <f>'Get Started'!$D19</f>
        <v>44440</v>
      </c>
      <c r="U23" s="45">
        <f>'Get Started'!$D19</f>
        <v>44440</v>
      </c>
      <c r="V23" s="45">
        <f>'Get Started'!$D19</f>
        <v>44440</v>
      </c>
      <c r="W23" s="45">
        <f>'Get Started'!$D19</f>
        <v>44440</v>
      </c>
      <c r="X23" s="45">
        <f>'Get Started'!$D19</f>
        <v>44440</v>
      </c>
      <c r="Y23" s="45">
        <f>'Get Started'!$D19</f>
        <v>44440</v>
      </c>
      <c r="Z23" s="45">
        <f>'Get Started'!$D19</f>
        <v>44440</v>
      </c>
      <c r="AA23" s="45">
        <f>'Get Started'!$D19</f>
        <v>44440</v>
      </c>
      <c r="AB23" s="45">
        <f>'Get Started'!$D19</f>
        <v>44440</v>
      </c>
      <c r="AC23" s="45">
        <f>'Get Started'!$D19</f>
        <v>44440</v>
      </c>
      <c r="AD23" s="45">
        <f>'Get Started'!$D19</f>
        <v>44440</v>
      </c>
      <c r="AE23" s="45">
        <f>'Get Started'!$D19</f>
        <v>44440</v>
      </c>
      <c r="AF23" s="45">
        <f>'Get Started'!$D19</f>
        <v>44440</v>
      </c>
      <c r="AG23" s="45">
        <f>'Get Started'!$D19</f>
        <v>44440</v>
      </c>
      <c r="AH23" s="45">
        <f>'Get Started'!$D19</f>
        <v>44440</v>
      </c>
      <c r="AI23" s="45">
        <f>'Get Started'!$D19</f>
        <v>44440</v>
      </c>
      <c r="AJ23" s="45">
        <f>'Get Started'!$D19</f>
        <v>44440</v>
      </c>
      <c r="AK23" s="45">
        <f>'Get Started'!$D19</f>
        <v>44440</v>
      </c>
      <c r="AL23" s="45">
        <f>'Get Started'!$D19</f>
        <v>44440</v>
      </c>
      <c r="AM23" s="45">
        <f>'Get Started'!$D19</f>
        <v>44440</v>
      </c>
      <c r="AN23" s="45">
        <f>'Get Started'!$D19</f>
        <v>44440</v>
      </c>
      <c r="AO23" s="45">
        <f>'Get Started'!$D19</f>
        <v>44440</v>
      </c>
      <c r="AP23" s="45">
        <f>'Get Started'!$D19</f>
        <v>44440</v>
      </c>
      <c r="AQ23" s="45">
        <f>'Get Started'!$D19</f>
        <v>44440</v>
      </c>
      <c r="AR23" s="45">
        <f>'Get Started'!$D19</f>
        <v>44440</v>
      </c>
      <c r="AS23" s="45">
        <f>'Get Started'!$D19</f>
        <v>44440</v>
      </c>
      <c r="AT23" s="45">
        <f>'Get Started'!$D19</f>
        <v>44440</v>
      </c>
      <c r="AU23" s="45">
        <f>'Get Started'!$D19</f>
        <v>44440</v>
      </c>
      <c r="AV23" s="45">
        <f>'Get Started'!$D19</f>
        <v>44440</v>
      </c>
      <c r="AW23" s="45">
        <f>'Get Started'!$D19</f>
        <v>44440</v>
      </c>
      <c r="AX23" s="45">
        <f>'Get Started'!$D19</f>
        <v>44440</v>
      </c>
      <c r="AY23" s="45">
        <f>'Get Started'!$D19</f>
        <v>44440</v>
      </c>
      <c r="AZ23" s="45">
        <f>'Get Started'!$D19</f>
        <v>44440</v>
      </c>
      <c r="BA23" s="45">
        <f>'Get Started'!$D19</f>
        <v>44440</v>
      </c>
      <c r="BB23" s="45">
        <f>'Get Started'!$D19</f>
        <v>44440</v>
      </c>
      <c r="BC23" s="45">
        <f>'Get Started'!$D19</f>
        <v>44440</v>
      </c>
      <c r="BD23" s="45">
        <f>'Get Started'!$D19</f>
        <v>44440</v>
      </c>
      <c r="BE23" s="45">
        <f>'Get Started'!$D19</f>
        <v>44440</v>
      </c>
      <c r="BF23" s="45">
        <f>'Get Started'!$D19</f>
        <v>44440</v>
      </c>
      <c r="BG23" s="45">
        <f>'Get Started'!$D19</f>
        <v>44440</v>
      </c>
      <c r="BH23" s="45">
        <f>'Get Started'!$D19</f>
        <v>44440</v>
      </c>
      <c r="BI23" s="45">
        <f>'Get Started'!$D19</f>
        <v>44440</v>
      </c>
      <c r="BJ23" s="45">
        <f>'Get Started'!$D19</f>
        <v>44440</v>
      </c>
      <c r="BK23" s="45">
        <f>'Get Started'!$D19</f>
        <v>44440</v>
      </c>
      <c r="BL23" s="45">
        <f>'Get Started'!$D19</f>
        <v>44440</v>
      </c>
      <c r="BM23" s="45">
        <f>'Get Started'!$D19</f>
        <v>44440</v>
      </c>
      <c r="BN23" s="45">
        <f>'Get Started'!$D19</f>
        <v>44440</v>
      </c>
      <c r="BO23" s="45">
        <f>'Get Started'!$D19</f>
        <v>44440</v>
      </c>
    </row>
    <row r="24" spans="1:67" ht="16.5" customHeight="1">
      <c r="A24" s="16"/>
      <c r="B24" s="17" t="s">
        <v>123</v>
      </c>
      <c r="C24" s="18" t="s">
        <v>86</v>
      </c>
      <c r="D24" s="17" t="str">
        <f>'Get Started'!F20</f>
        <v>use the input to change the label, the number input refers to the # new in the first month, as defined above</v>
      </c>
      <c r="E24" s="17"/>
      <c r="F24" s="17"/>
      <c r="G24" s="17"/>
      <c r="H24" s="17" t="s">
        <v>119</v>
      </c>
      <c r="I24" s="42">
        <f>IF(H24=Forecast!$H$74,T24,IF(H24=Forecast!$H$75,BO24,IF(H24=Forecast!$H$76,SUM(T24:BO24),IF(H24=Forecast!$H$77,AVERAGE(T24:BO24),0))))</f>
        <v>25</v>
      </c>
      <c r="J24" s="17"/>
      <c r="K24" s="17"/>
      <c r="L24" s="17"/>
      <c r="M24" s="17"/>
      <c r="N24" s="17"/>
      <c r="O24" s="17"/>
      <c r="P24" s="17"/>
      <c r="Q24" s="17"/>
      <c r="R24" s="17"/>
      <c r="S24" s="17"/>
      <c r="T24" s="43">
        <f>'Get Started'!$D20</f>
        <v>25</v>
      </c>
      <c r="U24" s="43">
        <f>'Get Started'!$D20</f>
        <v>25</v>
      </c>
      <c r="V24" s="43">
        <f>'Get Started'!$D20</f>
        <v>25</v>
      </c>
      <c r="W24" s="43">
        <f>'Get Started'!$D20</f>
        <v>25</v>
      </c>
      <c r="X24" s="43">
        <f>'Get Started'!$D20</f>
        <v>25</v>
      </c>
      <c r="Y24" s="43">
        <f>'Get Started'!$D20</f>
        <v>25</v>
      </c>
      <c r="Z24" s="43">
        <f>'Get Started'!$D20</f>
        <v>25</v>
      </c>
      <c r="AA24" s="43">
        <f>'Get Started'!$D20</f>
        <v>25</v>
      </c>
      <c r="AB24" s="43">
        <f>'Get Started'!$D20</f>
        <v>25</v>
      </c>
      <c r="AC24" s="43">
        <f>'Get Started'!$D20</f>
        <v>25</v>
      </c>
      <c r="AD24" s="43">
        <f>'Get Started'!$D20</f>
        <v>25</v>
      </c>
      <c r="AE24" s="43">
        <f>'Get Started'!$D20</f>
        <v>25</v>
      </c>
      <c r="AF24" s="43">
        <f>'Get Started'!$D20</f>
        <v>25</v>
      </c>
      <c r="AG24" s="43">
        <f>'Get Started'!$D20</f>
        <v>25</v>
      </c>
      <c r="AH24" s="43">
        <f>'Get Started'!$D20</f>
        <v>25</v>
      </c>
      <c r="AI24" s="43">
        <f>'Get Started'!$D20</f>
        <v>25</v>
      </c>
      <c r="AJ24" s="43">
        <f>'Get Started'!$D20</f>
        <v>25</v>
      </c>
      <c r="AK24" s="43">
        <f>'Get Started'!$D20</f>
        <v>25</v>
      </c>
      <c r="AL24" s="43">
        <f>'Get Started'!$D20</f>
        <v>25</v>
      </c>
      <c r="AM24" s="43">
        <f>'Get Started'!$D20</f>
        <v>25</v>
      </c>
      <c r="AN24" s="43">
        <f>'Get Started'!$D20</f>
        <v>25</v>
      </c>
      <c r="AO24" s="43">
        <f>'Get Started'!$D20</f>
        <v>25</v>
      </c>
      <c r="AP24" s="43">
        <f>'Get Started'!$D20</f>
        <v>25</v>
      </c>
      <c r="AQ24" s="43">
        <f>'Get Started'!$D20</f>
        <v>25</v>
      </c>
      <c r="AR24" s="43">
        <f>'Get Started'!$D20</f>
        <v>25</v>
      </c>
      <c r="AS24" s="43">
        <f>'Get Started'!$D20</f>
        <v>25</v>
      </c>
      <c r="AT24" s="43">
        <f>'Get Started'!$D20</f>
        <v>25</v>
      </c>
      <c r="AU24" s="43">
        <f>'Get Started'!$D20</f>
        <v>25</v>
      </c>
      <c r="AV24" s="43">
        <f>'Get Started'!$D20</f>
        <v>25</v>
      </c>
      <c r="AW24" s="43">
        <f>'Get Started'!$D20</f>
        <v>25</v>
      </c>
      <c r="AX24" s="43">
        <f>'Get Started'!$D20</f>
        <v>25</v>
      </c>
      <c r="AY24" s="43">
        <f>'Get Started'!$D20</f>
        <v>25</v>
      </c>
      <c r="AZ24" s="43">
        <f>'Get Started'!$D20</f>
        <v>25</v>
      </c>
      <c r="BA24" s="43">
        <f>'Get Started'!$D20</f>
        <v>25</v>
      </c>
      <c r="BB24" s="43">
        <f>'Get Started'!$D20</f>
        <v>25</v>
      </c>
      <c r="BC24" s="43">
        <f>'Get Started'!$D20</f>
        <v>25</v>
      </c>
      <c r="BD24" s="43">
        <f>'Get Started'!$D20</f>
        <v>25</v>
      </c>
      <c r="BE24" s="43">
        <f>'Get Started'!$D20</f>
        <v>25</v>
      </c>
      <c r="BF24" s="43">
        <f>'Get Started'!$D20</f>
        <v>25</v>
      </c>
      <c r="BG24" s="43">
        <f>'Get Started'!$D20</f>
        <v>25</v>
      </c>
      <c r="BH24" s="43">
        <f>'Get Started'!$D20</f>
        <v>25</v>
      </c>
      <c r="BI24" s="43">
        <f>'Get Started'!$D20</f>
        <v>25</v>
      </c>
      <c r="BJ24" s="43">
        <f>'Get Started'!$D20</f>
        <v>25</v>
      </c>
      <c r="BK24" s="43">
        <f>'Get Started'!$D20</f>
        <v>25</v>
      </c>
      <c r="BL24" s="43">
        <f>'Get Started'!$D20</f>
        <v>25</v>
      </c>
      <c r="BM24" s="43">
        <f>'Get Started'!$D20</f>
        <v>25</v>
      </c>
      <c r="BN24" s="43">
        <f>'Get Started'!$D20</f>
        <v>25</v>
      </c>
      <c r="BO24" s="43">
        <f>'Get Started'!$D20</f>
        <v>25</v>
      </c>
    </row>
    <row r="25" spans="1:67" ht="16.5" customHeight="1">
      <c r="A25" s="16"/>
      <c r="B25" s="17" t="s">
        <v>124</v>
      </c>
      <c r="C25" s="18" t="s">
        <v>86</v>
      </c>
      <c r="D25" s="17" t="str">
        <f>'Get Started'!F21</f>
        <v>at the beginning of the first period in model</v>
      </c>
      <c r="E25" s="17"/>
      <c r="F25" s="17"/>
      <c r="G25" s="17"/>
      <c r="H25" s="17" t="s">
        <v>119</v>
      </c>
      <c r="I25" s="42">
        <f>IF(H25=Forecast!$H$74,T25,IF(H25=Forecast!$H$75,BO25,IF(H25=Forecast!$H$76,SUM(T25:BO25),IF(H25=Forecast!$H$77,AVERAGE(T25:BO25),0))))</f>
        <v>0</v>
      </c>
      <c r="J25" s="17"/>
      <c r="K25" s="17"/>
      <c r="L25" s="17"/>
      <c r="M25" s="17"/>
      <c r="N25" s="17"/>
      <c r="O25" s="17"/>
      <c r="P25" s="17"/>
      <c r="Q25" s="17"/>
      <c r="R25" s="17"/>
      <c r="S25" s="17"/>
      <c r="T25" s="18">
        <f>'Get Started'!$D21</f>
        <v>0</v>
      </c>
      <c r="U25" s="18">
        <f>'Get Started'!$D21</f>
        <v>0</v>
      </c>
      <c r="V25" s="18">
        <f>'Get Started'!$D21</f>
        <v>0</v>
      </c>
      <c r="W25" s="18">
        <f>'Get Started'!$D21</f>
        <v>0</v>
      </c>
      <c r="X25" s="18">
        <f>'Get Started'!$D21</f>
        <v>0</v>
      </c>
      <c r="Y25" s="18">
        <f>'Get Started'!$D21</f>
        <v>0</v>
      </c>
      <c r="Z25" s="18">
        <f>'Get Started'!$D21</f>
        <v>0</v>
      </c>
      <c r="AA25" s="18">
        <f>'Get Started'!$D21</f>
        <v>0</v>
      </c>
      <c r="AB25" s="18">
        <f>'Get Started'!$D21</f>
        <v>0</v>
      </c>
      <c r="AC25" s="18">
        <f>'Get Started'!$D21</f>
        <v>0</v>
      </c>
      <c r="AD25" s="18">
        <f>'Get Started'!$D21</f>
        <v>0</v>
      </c>
      <c r="AE25" s="18">
        <f>'Get Started'!$D21</f>
        <v>0</v>
      </c>
      <c r="AF25" s="18">
        <f>'Get Started'!$D21</f>
        <v>0</v>
      </c>
      <c r="AG25" s="18">
        <f>'Get Started'!$D21</f>
        <v>0</v>
      </c>
      <c r="AH25" s="18">
        <f>'Get Started'!$D21</f>
        <v>0</v>
      </c>
      <c r="AI25" s="18">
        <f>'Get Started'!$D21</f>
        <v>0</v>
      </c>
      <c r="AJ25" s="18">
        <f>'Get Started'!$D21</f>
        <v>0</v>
      </c>
      <c r="AK25" s="18">
        <f>'Get Started'!$D21</f>
        <v>0</v>
      </c>
      <c r="AL25" s="18">
        <f>'Get Started'!$D21</f>
        <v>0</v>
      </c>
      <c r="AM25" s="18">
        <f>'Get Started'!$D21</f>
        <v>0</v>
      </c>
      <c r="AN25" s="18">
        <f>'Get Started'!$D21</f>
        <v>0</v>
      </c>
      <c r="AO25" s="18">
        <f>'Get Started'!$D21</f>
        <v>0</v>
      </c>
      <c r="AP25" s="18">
        <f>'Get Started'!$D21</f>
        <v>0</v>
      </c>
      <c r="AQ25" s="18">
        <f>'Get Started'!$D21</f>
        <v>0</v>
      </c>
      <c r="AR25" s="18">
        <f>'Get Started'!$D21</f>
        <v>0</v>
      </c>
      <c r="AS25" s="18">
        <f>'Get Started'!$D21</f>
        <v>0</v>
      </c>
      <c r="AT25" s="18">
        <f>'Get Started'!$D21</f>
        <v>0</v>
      </c>
      <c r="AU25" s="18">
        <f>'Get Started'!$D21</f>
        <v>0</v>
      </c>
      <c r="AV25" s="18">
        <f>'Get Started'!$D21</f>
        <v>0</v>
      </c>
      <c r="AW25" s="18">
        <f>'Get Started'!$D21</f>
        <v>0</v>
      </c>
      <c r="AX25" s="18">
        <f>'Get Started'!$D21</f>
        <v>0</v>
      </c>
      <c r="AY25" s="18">
        <f>'Get Started'!$D21</f>
        <v>0</v>
      </c>
      <c r="AZ25" s="18">
        <f>'Get Started'!$D21</f>
        <v>0</v>
      </c>
      <c r="BA25" s="18">
        <f>'Get Started'!$D21</f>
        <v>0</v>
      </c>
      <c r="BB25" s="18">
        <f>'Get Started'!$D21</f>
        <v>0</v>
      </c>
      <c r="BC25" s="18">
        <f>'Get Started'!$D21</f>
        <v>0</v>
      </c>
      <c r="BD25" s="18">
        <f>'Get Started'!$D21</f>
        <v>0</v>
      </c>
      <c r="BE25" s="18">
        <f>'Get Started'!$D21</f>
        <v>0</v>
      </c>
      <c r="BF25" s="18">
        <f>'Get Started'!$D21</f>
        <v>0</v>
      </c>
      <c r="BG25" s="18">
        <f>'Get Started'!$D21</f>
        <v>0</v>
      </c>
      <c r="BH25" s="18">
        <f>'Get Started'!$D21</f>
        <v>0</v>
      </c>
      <c r="BI25" s="18">
        <f>'Get Started'!$D21</f>
        <v>0</v>
      </c>
      <c r="BJ25" s="18">
        <f>'Get Started'!$D21</f>
        <v>0</v>
      </c>
      <c r="BK25" s="18">
        <f>'Get Started'!$D21</f>
        <v>0</v>
      </c>
      <c r="BL25" s="18">
        <f>'Get Started'!$D21</f>
        <v>0</v>
      </c>
      <c r="BM25" s="18">
        <f>'Get Started'!$D21</f>
        <v>0</v>
      </c>
      <c r="BN25" s="18">
        <f>'Get Started'!$D21</f>
        <v>0</v>
      </c>
      <c r="BO25" s="18">
        <f>'Get Started'!$D21</f>
        <v>0</v>
      </c>
    </row>
    <row r="26" spans="1:67" ht="16.5" customHeight="1">
      <c r="A26" s="16"/>
      <c r="B26" s="17" t="s">
        <v>125</v>
      </c>
      <c r="C26" s="18" t="s">
        <v>76</v>
      </c>
      <c r="D26" s="17" t="str">
        <f>'Get Started'!F22</f>
        <v>this assumes the growth rate in the first month after growth starts, as defined above</v>
      </c>
      <c r="E26" s="17"/>
      <c r="F26" s="17"/>
      <c r="G26" s="17"/>
      <c r="H26" s="17" t="s">
        <v>119</v>
      </c>
      <c r="I26" s="44">
        <f>IF(H26=Forecast!$H$74,T26,IF(H26=Forecast!$H$75,BO26,IF(H26=Forecast!$H$76,SUM(T26:BO26),IF(H26=Forecast!$H$77,AVERAGE(T26:BO26),0))))</f>
        <v>9.9999999999999978E-2</v>
      </c>
      <c r="J26" s="17"/>
      <c r="K26" s="17"/>
      <c r="L26" s="17"/>
      <c r="M26" s="17"/>
      <c r="N26" s="17"/>
      <c r="O26" s="17"/>
      <c r="P26" s="17"/>
      <c r="Q26" s="17"/>
      <c r="R26" s="17"/>
      <c r="S26" s="17"/>
      <c r="T26" s="44">
        <f>'Get Started'!$D22</f>
        <v>0.1</v>
      </c>
      <c r="U26" s="44">
        <f>'Get Started'!$D22</f>
        <v>0.1</v>
      </c>
      <c r="V26" s="44">
        <f>'Get Started'!$D22</f>
        <v>0.1</v>
      </c>
      <c r="W26" s="44">
        <f>'Get Started'!$D22</f>
        <v>0.1</v>
      </c>
      <c r="X26" s="44">
        <f>'Get Started'!$D22</f>
        <v>0.1</v>
      </c>
      <c r="Y26" s="44">
        <f>'Get Started'!$D22</f>
        <v>0.1</v>
      </c>
      <c r="Z26" s="44">
        <f>'Get Started'!$D22</f>
        <v>0.1</v>
      </c>
      <c r="AA26" s="44">
        <f>'Get Started'!$D22</f>
        <v>0.1</v>
      </c>
      <c r="AB26" s="44">
        <f>'Get Started'!$D22</f>
        <v>0.1</v>
      </c>
      <c r="AC26" s="44">
        <f>'Get Started'!$D22</f>
        <v>0.1</v>
      </c>
      <c r="AD26" s="44">
        <f>'Get Started'!$D22</f>
        <v>0.1</v>
      </c>
      <c r="AE26" s="44">
        <f>'Get Started'!$D22</f>
        <v>0.1</v>
      </c>
      <c r="AF26" s="44">
        <f>'Get Started'!$D22</f>
        <v>0.1</v>
      </c>
      <c r="AG26" s="44">
        <f>'Get Started'!$D22</f>
        <v>0.1</v>
      </c>
      <c r="AH26" s="44">
        <f>'Get Started'!$D22</f>
        <v>0.1</v>
      </c>
      <c r="AI26" s="44">
        <f>'Get Started'!$D22</f>
        <v>0.1</v>
      </c>
      <c r="AJ26" s="44">
        <f>'Get Started'!$D22</f>
        <v>0.1</v>
      </c>
      <c r="AK26" s="44">
        <f>'Get Started'!$D22</f>
        <v>0.1</v>
      </c>
      <c r="AL26" s="44">
        <f>'Get Started'!$D22</f>
        <v>0.1</v>
      </c>
      <c r="AM26" s="44">
        <f>'Get Started'!$D22</f>
        <v>0.1</v>
      </c>
      <c r="AN26" s="44">
        <f>'Get Started'!$D22</f>
        <v>0.1</v>
      </c>
      <c r="AO26" s="44">
        <f>'Get Started'!$D22</f>
        <v>0.1</v>
      </c>
      <c r="AP26" s="44">
        <f>'Get Started'!$D22</f>
        <v>0.1</v>
      </c>
      <c r="AQ26" s="44">
        <f>'Get Started'!$D22</f>
        <v>0.1</v>
      </c>
      <c r="AR26" s="44">
        <f>'Get Started'!$D22</f>
        <v>0.1</v>
      </c>
      <c r="AS26" s="44">
        <f>'Get Started'!$D22</f>
        <v>0.1</v>
      </c>
      <c r="AT26" s="44">
        <f>'Get Started'!$D22</f>
        <v>0.1</v>
      </c>
      <c r="AU26" s="44">
        <f>'Get Started'!$D22</f>
        <v>0.1</v>
      </c>
      <c r="AV26" s="44">
        <f>'Get Started'!$D22</f>
        <v>0.1</v>
      </c>
      <c r="AW26" s="44">
        <f>'Get Started'!$D22</f>
        <v>0.1</v>
      </c>
      <c r="AX26" s="44">
        <f>'Get Started'!$D22</f>
        <v>0.1</v>
      </c>
      <c r="AY26" s="44">
        <f>'Get Started'!$D22</f>
        <v>0.1</v>
      </c>
      <c r="AZ26" s="44">
        <f>'Get Started'!$D22</f>
        <v>0.1</v>
      </c>
      <c r="BA26" s="44">
        <f>'Get Started'!$D22</f>
        <v>0.1</v>
      </c>
      <c r="BB26" s="44">
        <f>'Get Started'!$D22</f>
        <v>0.1</v>
      </c>
      <c r="BC26" s="44">
        <f>'Get Started'!$D22</f>
        <v>0.1</v>
      </c>
      <c r="BD26" s="44">
        <f>'Get Started'!$D22</f>
        <v>0.1</v>
      </c>
      <c r="BE26" s="44">
        <f>'Get Started'!$D22</f>
        <v>0.1</v>
      </c>
      <c r="BF26" s="44">
        <f>'Get Started'!$D22</f>
        <v>0.1</v>
      </c>
      <c r="BG26" s="44">
        <f>'Get Started'!$D22</f>
        <v>0.1</v>
      </c>
      <c r="BH26" s="44">
        <f>'Get Started'!$D22</f>
        <v>0.1</v>
      </c>
      <c r="BI26" s="44">
        <f>'Get Started'!$D22</f>
        <v>0.1</v>
      </c>
      <c r="BJ26" s="44">
        <f>'Get Started'!$D22</f>
        <v>0.1</v>
      </c>
      <c r="BK26" s="44">
        <f>'Get Started'!$D22</f>
        <v>0.1</v>
      </c>
      <c r="BL26" s="44">
        <f>'Get Started'!$D22</f>
        <v>0.1</v>
      </c>
      <c r="BM26" s="44">
        <f>'Get Started'!$D22</f>
        <v>0.1</v>
      </c>
      <c r="BN26" s="44">
        <f>'Get Started'!$D22</f>
        <v>0.1</v>
      </c>
      <c r="BO26" s="44">
        <f>'Get Started'!$D22</f>
        <v>0.1</v>
      </c>
    </row>
    <row r="27" spans="1:67" ht="16.5" customHeight="1">
      <c r="A27" s="16"/>
      <c r="B27" s="17" t="s">
        <v>126</v>
      </c>
      <c r="C27" s="18" t="s">
        <v>76</v>
      </c>
      <c r="D27" s="17" t="str">
        <f>'Get Started'!F23</f>
        <v>this changes the growth rate over time: you can assume a growth rate that increases over time, stays the same, or decreases (most common)</v>
      </c>
      <c r="E27" s="17"/>
      <c r="F27" s="17"/>
      <c r="G27" s="17"/>
      <c r="H27" s="17" t="s">
        <v>119</v>
      </c>
      <c r="I27" s="44">
        <f>IF(H27=Forecast!$H$74,T27,IF(H27=Forecast!$H$75,BO27,IF(H27=Forecast!$H$76,SUM(T27:BO27),IF(H27=Forecast!$H$77,AVERAGE(T27:BO27),0))))</f>
        <v>-4.9999999999999989E-2</v>
      </c>
      <c r="J27" s="17"/>
      <c r="K27" s="17"/>
      <c r="L27" s="17"/>
      <c r="M27" s="17"/>
      <c r="N27" s="17"/>
      <c r="O27" s="17"/>
      <c r="P27" s="17"/>
      <c r="Q27" s="17"/>
      <c r="R27" s="17"/>
      <c r="S27" s="17"/>
      <c r="T27" s="44">
        <f>'Get Started'!$D23</f>
        <v>-0.05</v>
      </c>
      <c r="U27" s="44">
        <f>'Get Started'!$D23</f>
        <v>-0.05</v>
      </c>
      <c r="V27" s="44">
        <f>'Get Started'!$D23</f>
        <v>-0.05</v>
      </c>
      <c r="W27" s="44">
        <f>'Get Started'!$D23</f>
        <v>-0.05</v>
      </c>
      <c r="X27" s="44">
        <f>'Get Started'!$D23</f>
        <v>-0.05</v>
      </c>
      <c r="Y27" s="44">
        <f>'Get Started'!$D23</f>
        <v>-0.05</v>
      </c>
      <c r="Z27" s="44">
        <f>'Get Started'!$D23</f>
        <v>-0.05</v>
      </c>
      <c r="AA27" s="44">
        <f>'Get Started'!$D23</f>
        <v>-0.05</v>
      </c>
      <c r="AB27" s="44">
        <f>'Get Started'!$D23</f>
        <v>-0.05</v>
      </c>
      <c r="AC27" s="44">
        <f>'Get Started'!$D23</f>
        <v>-0.05</v>
      </c>
      <c r="AD27" s="44">
        <f>'Get Started'!$D23</f>
        <v>-0.05</v>
      </c>
      <c r="AE27" s="44">
        <f>'Get Started'!$D23</f>
        <v>-0.05</v>
      </c>
      <c r="AF27" s="44">
        <f>'Get Started'!$D23</f>
        <v>-0.05</v>
      </c>
      <c r="AG27" s="44">
        <f>'Get Started'!$D23</f>
        <v>-0.05</v>
      </c>
      <c r="AH27" s="44">
        <f>'Get Started'!$D23</f>
        <v>-0.05</v>
      </c>
      <c r="AI27" s="44">
        <f>'Get Started'!$D23</f>
        <v>-0.05</v>
      </c>
      <c r="AJ27" s="44">
        <f>'Get Started'!$D23</f>
        <v>-0.05</v>
      </c>
      <c r="AK27" s="44">
        <f>'Get Started'!$D23</f>
        <v>-0.05</v>
      </c>
      <c r="AL27" s="44">
        <f>'Get Started'!$D23</f>
        <v>-0.05</v>
      </c>
      <c r="AM27" s="44">
        <f>'Get Started'!$D23</f>
        <v>-0.05</v>
      </c>
      <c r="AN27" s="44">
        <f>'Get Started'!$D23</f>
        <v>-0.05</v>
      </c>
      <c r="AO27" s="44">
        <f>'Get Started'!$D23</f>
        <v>-0.05</v>
      </c>
      <c r="AP27" s="44">
        <f>'Get Started'!$D23</f>
        <v>-0.05</v>
      </c>
      <c r="AQ27" s="44">
        <f>'Get Started'!$D23</f>
        <v>-0.05</v>
      </c>
      <c r="AR27" s="44">
        <f>'Get Started'!$D23</f>
        <v>-0.05</v>
      </c>
      <c r="AS27" s="44">
        <f>'Get Started'!$D23</f>
        <v>-0.05</v>
      </c>
      <c r="AT27" s="44">
        <f>'Get Started'!$D23</f>
        <v>-0.05</v>
      </c>
      <c r="AU27" s="44">
        <f>'Get Started'!$D23</f>
        <v>-0.05</v>
      </c>
      <c r="AV27" s="44">
        <f>'Get Started'!$D23</f>
        <v>-0.05</v>
      </c>
      <c r="AW27" s="44">
        <f>'Get Started'!$D23</f>
        <v>-0.05</v>
      </c>
      <c r="AX27" s="44">
        <f>'Get Started'!$D23</f>
        <v>-0.05</v>
      </c>
      <c r="AY27" s="44">
        <f>'Get Started'!$D23</f>
        <v>-0.05</v>
      </c>
      <c r="AZ27" s="44">
        <f>'Get Started'!$D23</f>
        <v>-0.05</v>
      </c>
      <c r="BA27" s="44">
        <f>'Get Started'!$D23</f>
        <v>-0.05</v>
      </c>
      <c r="BB27" s="44">
        <f>'Get Started'!$D23</f>
        <v>-0.05</v>
      </c>
      <c r="BC27" s="44">
        <f>'Get Started'!$D23</f>
        <v>-0.05</v>
      </c>
      <c r="BD27" s="44">
        <f>'Get Started'!$D23</f>
        <v>-0.05</v>
      </c>
      <c r="BE27" s="44">
        <f>'Get Started'!$D23</f>
        <v>-0.05</v>
      </c>
      <c r="BF27" s="44">
        <f>'Get Started'!$D23</f>
        <v>-0.05</v>
      </c>
      <c r="BG27" s="44">
        <f>'Get Started'!$D23</f>
        <v>-0.05</v>
      </c>
      <c r="BH27" s="44">
        <f>'Get Started'!$D23</f>
        <v>-0.05</v>
      </c>
      <c r="BI27" s="44">
        <f>'Get Started'!$D23</f>
        <v>-0.05</v>
      </c>
      <c r="BJ27" s="44">
        <f>'Get Started'!$D23</f>
        <v>-0.05</v>
      </c>
      <c r="BK27" s="44">
        <f>'Get Started'!$D23</f>
        <v>-0.05</v>
      </c>
      <c r="BL27" s="44">
        <f>'Get Started'!$D23</f>
        <v>-0.05</v>
      </c>
      <c r="BM27" s="44">
        <f>'Get Started'!$D23</f>
        <v>-0.05</v>
      </c>
      <c r="BN27" s="44">
        <f>'Get Started'!$D23</f>
        <v>-0.05</v>
      </c>
      <c r="BO27" s="44">
        <f>'Get Started'!$D23</f>
        <v>-0.05</v>
      </c>
    </row>
    <row r="28" spans="1:67" ht="16.5" customHeight="1">
      <c r="A28" s="16"/>
      <c r="B28" s="17" t="s">
        <v>127</v>
      </c>
      <c r="C28" s="18" t="s">
        <v>76</v>
      </c>
      <c r="D28" s="17" t="str">
        <f>'Get Started'!F24</f>
        <v>Churn per month, as a % at the beginning of the period</v>
      </c>
      <c r="E28" s="17"/>
      <c r="F28" s="17"/>
      <c r="G28" s="17"/>
      <c r="H28" s="17" t="s">
        <v>119</v>
      </c>
      <c r="I28" s="44">
        <f>IF(H28=Forecast!$H$74,T28,IF(H28=Forecast!$H$75,BO28,IF(H28=Forecast!$H$76,SUM(T28:BO28),IF(H28=Forecast!$H$77,AVERAGE(T28:BO28),0))))</f>
        <v>4.9999999999999989E-2</v>
      </c>
      <c r="J28" s="17"/>
      <c r="K28" s="17"/>
      <c r="L28" s="17"/>
      <c r="M28" s="17"/>
      <c r="N28" s="17"/>
      <c r="O28" s="17"/>
      <c r="P28" s="17"/>
      <c r="Q28" s="17"/>
      <c r="R28" s="17"/>
      <c r="S28" s="17"/>
      <c r="T28" s="44">
        <f>'Get Started'!$D24</f>
        <v>0.05</v>
      </c>
      <c r="U28" s="44">
        <f>'Get Started'!$D24</f>
        <v>0.05</v>
      </c>
      <c r="V28" s="44">
        <f>'Get Started'!$D24</f>
        <v>0.05</v>
      </c>
      <c r="W28" s="44">
        <f>'Get Started'!$D24</f>
        <v>0.05</v>
      </c>
      <c r="X28" s="44">
        <f>'Get Started'!$D24</f>
        <v>0.05</v>
      </c>
      <c r="Y28" s="44">
        <f>'Get Started'!$D24</f>
        <v>0.05</v>
      </c>
      <c r="Z28" s="44">
        <f>'Get Started'!$D24</f>
        <v>0.05</v>
      </c>
      <c r="AA28" s="44">
        <f>'Get Started'!$D24</f>
        <v>0.05</v>
      </c>
      <c r="AB28" s="44">
        <f>'Get Started'!$D24</f>
        <v>0.05</v>
      </c>
      <c r="AC28" s="44">
        <f>'Get Started'!$D24</f>
        <v>0.05</v>
      </c>
      <c r="AD28" s="44">
        <f>'Get Started'!$D24</f>
        <v>0.05</v>
      </c>
      <c r="AE28" s="44">
        <f>'Get Started'!$D24</f>
        <v>0.05</v>
      </c>
      <c r="AF28" s="44">
        <f>'Get Started'!$D24</f>
        <v>0.05</v>
      </c>
      <c r="AG28" s="44">
        <f>'Get Started'!$D24</f>
        <v>0.05</v>
      </c>
      <c r="AH28" s="44">
        <f>'Get Started'!$D24</f>
        <v>0.05</v>
      </c>
      <c r="AI28" s="44">
        <f>'Get Started'!$D24</f>
        <v>0.05</v>
      </c>
      <c r="AJ28" s="44">
        <f>'Get Started'!$D24</f>
        <v>0.05</v>
      </c>
      <c r="AK28" s="44">
        <f>'Get Started'!$D24</f>
        <v>0.05</v>
      </c>
      <c r="AL28" s="44">
        <f>'Get Started'!$D24</f>
        <v>0.05</v>
      </c>
      <c r="AM28" s="44">
        <f>'Get Started'!$D24</f>
        <v>0.05</v>
      </c>
      <c r="AN28" s="44">
        <f>'Get Started'!$D24</f>
        <v>0.05</v>
      </c>
      <c r="AO28" s="44">
        <f>'Get Started'!$D24</f>
        <v>0.05</v>
      </c>
      <c r="AP28" s="44">
        <f>'Get Started'!$D24</f>
        <v>0.05</v>
      </c>
      <c r="AQ28" s="44">
        <f>'Get Started'!$D24</f>
        <v>0.05</v>
      </c>
      <c r="AR28" s="44">
        <f>'Get Started'!$D24</f>
        <v>0.05</v>
      </c>
      <c r="AS28" s="44">
        <f>'Get Started'!$D24</f>
        <v>0.05</v>
      </c>
      <c r="AT28" s="44">
        <f>'Get Started'!$D24</f>
        <v>0.05</v>
      </c>
      <c r="AU28" s="44">
        <f>'Get Started'!$D24</f>
        <v>0.05</v>
      </c>
      <c r="AV28" s="44">
        <f>'Get Started'!$D24</f>
        <v>0.05</v>
      </c>
      <c r="AW28" s="44">
        <f>'Get Started'!$D24</f>
        <v>0.05</v>
      </c>
      <c r="AX28" s="44">
        <f>'Get Started'!$D24</f>
        <v>0.05</v>
      </c>
      <c r="AY28" s="44">
        <f>'Get Started'!$D24</f>
        <v>0.05</v>
      </c>
      <c r="AZ28" s="44">
        <f>'Get Started'!$D24</f>
        <v>0.05</v>
      </c>
      <c r="BA28" s="44">
        <f>'Get Started'!$D24</f>
        <v>0.05</v>
      </c>
      <c r="BB28" s="44">
        <f>'Get Started'!$D24</f>
        <v>0.05</v>
      </c>
      <c r="BC28" s="44">
        <f>'Get Started'!$D24</f>
        <v>0.05</v>
      </c>
      <c r="BD28" s="44">
        <f>'Get Started'!$D24</f>
        <v>0.05</v>
      </c>
      <c r="BE28" s="44">
        <f>'Get Started'!$D24</f>
        <v>0.05</v>
      </c>
      <c r="BF28" s="44">
        <f>'Get Started'!$D24</f>
        <v>0.05</v>
      </c>
      <c r="BG28" s="44">
        <f>'Get Started'!$D24</f>
        <v>0.05</v>
      </c>
      <c r="BH28" s="44">
        <f>'Get Started'!$D24</f>
        <v>0.05</v>
      </c>
      <c r="BI28" s="44">
        <f>'Get Started'!$D24</f>
        <v>0.05</v>
      </c>
      <c r="BJ28" s="44">
        <f>'Get Started'!$D24</f>
        <v>0.05</v>
      </c>
      <c r="BK28" s="44">
        <f>'Get Started'!$D24</f>
        <v>0.05</v>
      </c>
      <c r="BL28" s="44">
        <f>'Get Started'!$D24</f>
        <v>0.05</v>
      </c>
      <c r="BM28" s="44">
        <f>'Get Started'!$D24</f>
        <v>0.05</v>
      </c>
      <c r="BN28" s="44">
        <f>'Get Started'!$D24</f>
        <v>0.05</v>
      </c>
      <c r="BO28" s="44">
        <f>'Get Started'!$D24</f>
        <v>0.05</v>
      </c>
    </row>
    <row r="29" spans="1:67" ht="16.5" customHeight="1">
      <c r="A29" s="16"/>
      <c r="B29" s="17" t="s">
        <v>128</v>
      </c>
      <c r="C29" s="18" t="s">
        <v>76</v>
      </c>
      <c r="D29" s="17" t="str">
        <f>'Get Started'!F25</f>
        <v>optional: for previously churned subscribers that reactive. calculated as % of churn in previous period.</v>
      </c>
      <c r="E29" s="17"/>
      <c r="F29" s="17"/>
      <c r="G29" s="17"/>
      <c r="H29" s="17" t="s">
        <v>119</v>
      </c>
      <c r="I29" s="44">
        <f>IF(H29=Forecast!$H$74,T29,IF(H29=Forecast!$H$75,BO29,IF(H29=Forecast!$H$76,SUM(T29:BO29),IF(H29=Forecast!$H$77,AVERAGE(T29:BO29),0))))</f>
        <v>0</v>
      </c>
      <c r="J29" s="17"/>
      <c r="K29" s="17"/>
      <c r="L29" s="17"/>
      <c r="M29" s="17"/>
      <c r="N29" s="17"/>
      <c r="O29" s="17"/>
      <c r="P29" s="17"/>
      <c r="Q29" s="17"/>
      <c r="R29" s="17"/>
      <c r="S29" s="17"/>
      <c r="T29" s="44">
        <f>'Get Started'!$D25</f>
        <v>0</v>
      </c>
      <c r="U29" s="44">
        <f>'Get Started'!$D25</f>
        <v>0</v>
      </c>
      <c r="V29" s="44">
        <f>'Get Started'!$D25</f>
        <v>0</v>
      </c>
      <c r="W29" s="44">
        <f>'Get Started'!$D25</f>
        <v>0</v>
      </c>
      <c r="X29" s="44">
        <f>'Get Started'!$D25</f>
        <v>0</v>
      </c>
      <c r="Y29" s="44">
        <f>'Get Started'!$D25</f>
        <v>0</v>
      </c>
      <c r="Z29" s="44">
        <f>'Get Started'!$D25</f>
        <v>0</v>
      </c>
      <c r="AA29" s="44">
        <f>'Get Started'!$D25</f>
        <v>0</v>
      </c>
      <c r="AB29" s="44">
        <f>'Get Started'!$D25</f>
        <v>0</v>
      </c>
      <c r="AC29" s="44">
        <f>'Get Started'!$D25</f>
        <v>0</v>
      </c>
      <c r="AD29" s="44">
        <f>'Get Started'!$D25</f>
        <v>0</v>
      </c>
      <c r="AE29" s="44">
        <f>'Get Started'!$D25</f>
        <v>0</v>
      </c>
      <c r="AF29" s="44">
        <f>'Get Started'!$D25</f>
        <v>0</v>
      </c>
      <c r="AG29" s="44">
        <f>'Get Started'!$D25</f>
        <v>0</v>
      </c>
      <c r="AH29" s="44">
        <f>'Get Started'!$D25</f>
        <v>0</v>
      </c>
      <c r="AI29" s="44">
        <f>'Get Started'!$D25</f>
        <v>0</v>
      </c>
      <c r="AJ29" s="44">
        <f>'Get Started'!$D25</f>
        <v>0</v>
      </c>
      <c r="AK29" s="44">
        <f>'Get Started'!$D25</f>
        <v>0</v>
      </c>
      <c r="AL29" s="44">
        <f>'Get Started'!$D25</f>
        <v>0</v>
      </c>
      <c r="AM29" s="44">
        <f>'Get Started'!$D25</f>
        <v>0</v>
      </c>
      <c r="AN29" s="44">
        <f>'Get Started'!$D25</f>
        <v>0</v>
      </c>
      <c r="AO29" s="44">
        <f>'Get Started'!$D25</f>
        <v>0</v>
      </c>
      <c r="AP29" s="44">
        <f>'Get Started'!$D25</f>
        <v>0</v>
      </c>
      <c r="AQ29" s="44">
        <f>'Get Started'!$D25</f>
        <v>0</v>
      </c>
      <c r="AR29" s="44">
        <f>'Get Started'!$D25</f>
        <v>0</v>
      </c>
      <c r="AS29" s="44">
        <f>'Get Started'!$D25</f>
        <v>0</v>
      </c>
      <c r="AT29" s="44">
        <f>'Get Started'!$D25</f>
        <v>0</v>
      </c>
      <c r="AU29" s="44">
        <f>'Get Started'!$D25</f>
        <v>0</v>
      </c>
      <c r="AV29" s="44">
        <f>'Get Started'!$D25</f>
        <v>0</v>
      </c>
      <c r="AW29" s="44">
        <f>'Get Started'!$D25</f>
        <v>0</v>
      </c>
      <c r="AX29" s="44">
        <f>'Get Started'!$D25</f>
        <v>0</v>
      </c>
      <c r="AY29" s="44">
        <f>'Get Started'!$D25</f>
        <v>0</v>
      </c>
      <c r="AZ29" s="44">
        <f>'Get Started'!$D25</f>
        <v>0</v>
      </c>
      <c r="BA29" s="44">
        <f>'Get Started'!$D25</f>
        <v>0</v>
      </c>
      <c r="BB29" s="44">
        <f>'Get Started'!$D25</f>
        <v>0</v>
      </c>
      <c r="BC29" s="44">
        <f>'Get Started'!$D25</f>
        <v>0</v>
      </c>
      <c r="BD29" s="44">
        <f>'Get Started'!$D25</f>
        <v>0</v>
      </c>
      <c r="BE29" s="44">
        <f>'Get Started'!$D25</f>
        <v>0</v>
      </c>
      <c r="BF29" s="44">
        <f>'Get Started'!$D25</f>
        <v>0</v>
      </c>
      <c r="BG29" s="44">
        <f>'Get Started'!$D25</f>
        <v>0</v>
      </c>
      <c r="BH29" s="44">
        <f>'Get Started'!$D25</f>
        <v>0</v>
      </c>
      <c r="BI29" s="44">
        <f>'Get Started'!$D25</f>
        <v>0</v>
      </c>
      <c r="BJ29" s="44">
        <f>'Get Started'!$D25</f>
        <v>0</v>
      </c>
      <c r="BK29" s="44">
        <f>'Get Started'!$D25</f>
        <v>0</v>
      </c>
      <c r="BL29" s="44">
        <f>'Get Started'!$D25</f>
        <v>0</v>
      </c>
      <c r="BM29" s="44">
        <f>'Get Started'!$D25</f>
        <v>0</v>
      </c>
      <c r="BN29" s="44">
        <f>'Get Started'!$D25</f>
        <v>0</v>
      </c>
      <c r="BO29" s="44">
        <f>'Get Started'!$D25</f>
        <v>0</v>
      </c>
    </row>
    <row r="30" spans="1:67" ht="16.5" customHeight="1">
      <c r="A30" s="16"/>
      <c r="B30" s="17" t="s">
        <v>95</v>
      </c>
      <c r="C30" s="18" t="s">
        <v>86</v>
      </c>
      <c r="D30" s="17" t="str">
        <f>'Get Started'!F26</f>
        <v>Assume the length of the contract, in months, to calculate churn cycles. E.g. input 12 for an annual contract, 1 for a month-to-month contract</v>
      </c>
      <c r="E30" s="17"/>
      <c r="F30" s="17"/>
      <c r="G30" s="17"/>
      <c r="H30" s="17" t="s">
        <v>119</v>
      </c>
      <c r="I30" s="42">
        <f>IF(H30=Forecast!$H$74,T30,IF(H30=Forecast!$H$75,BO30,IF(H30=Forecast!$H$76,SUM(T30:BO30),IF(H30=Forecast!$H$77,AVERAGE(T30:BO30),0))))</f>
        <v>12</v>
      </c>
      <c r="J30" s="17"/>
      <c r="K30" s="17"/>
      <c r="L30" s="17"/>
      <c r="M30" s="17"/>
      <c r="N30" s="17"/>
      <c r="O30" s="17"/>
      <c r="P30" s="17"/>
      <c r="Q30" s="17"/>
      <c r="R30" s="17"/>
      <c r="S30" s="17"/>
      <c r="T30" s="42">
        <f>'Get Started'!$D26</f>
        <v>12</v>
      </c>
      <c r="U30" s="42">
        <f>'Get Started'!$D26</f>
        <v>12</v>
      </c>
      <c r="V30" s="42">
        <f>'Get Started'!$D26</f>
        <v>12</v>
      </c>
      <c r="W30" s="42">
        <f>'Get Started'!$D26</f>
        <v>12</v>
      </c>
      <c r="X30" s="42">
        <f>'Get Started'!$D26</f>
        <v>12</v>
      </c>
      <c r="Y30" s="42">
        <f>'Get Started'!$D26</f>
        <v>12</v>
      </c>
      <c r="Z30" s="42">
        <f>'Get Started'!$D26</f>
        <v>12</v>
      </c>
      <c r="AA30" s="42">
        <f>'Get Started'!$D26</f>
        <v>12</v>
      </c>
      <c r="AB30" s="42">
        <f>'Get Started'!$D26</f>
        <v>12</v>
      </c>
      <c r="AC30" s="42">
        <f>'Get Started'!$D26</f>
        <v>12</v>
      </c>
      <c r="AD30" s="42">
        <f>'Get Started'!$D26</f>
        <v>12</v>
      </c>
      <c r="AE30" s="42">
        <f>'Get Started'!$D26</f>
        <v>12</v>
      </c>
      <c r="AF30" s="42">
        <f>'Get Started'!$D26</f>
        <v>12</v>
      </c>
      <c r="AG30" s="42">
        <f>'Get Started'!$D26</f>
        <v>12</v>
      </c>
      <c r="AH30" s="42">
        <f>'Get Started'!$D26</f>
        <v>12</v>
      </c>
      <c r="AI30" s="42">
        <f>'Get Started'!$D26</f>
        <v>12</v>
      </c>
      <c r="AJ30" s="42">
        <f>'Get Started'!$D26</f>
        <v>12</v>
      </c>
      <c r="AK30" s="42">
        <f>'Get Started'!$D26</f>
        <v>12</v>
      </c>
      <c r="AL30" s="42">
        <f>'Get Started'!$D26</f>
        <v>12</v>
      </c>
      <c r="AM30" s="42">
        <f>'Get Started'!$D26</f>
        <v>12</v>
      </c>
      <c r="AN30" s="42">
        <f>'Get Started'!$D26</f>
        <v>12</v>
      </c>
      <c r="AO30" s="42">
        <f>'Get Started'!$D26</f>
        <v>12</v>
      </c>
      <c r="AP30" s="42">
        <f>'Get Started'!$D26</f>
        <v>12</v>
      </c>
      <c r="AQ30" s="42">
        <f>'Get Started'!$D26</f>
        <v>12</v>
      </c>
      <c r="AR30" s="42">
        <f>'Get Started'!$D26</f>
        <v>12</v>
      </c>
      <c r="AS30" s="42">
        <f>'Get Started'!$D26</f>
        <v>12</v>
      </c>
      <c r="AT30" s="42">
        <f>'Get Started'!$D26</f>
        <v>12</v>
      </c>
      <c r="AU30" s="42">
        <f>'Get Started'!$D26</f>
        <v>12</v>
      </c>
      <c r="AV30" s="42">
        <f>'Get Started'!$D26</f>
        <v>12</v>
      </c>
      <c r="AW30" s="42">
        <f>'Get Started'!$D26</f>
        <v>12</v>
      </c>
      <c r="AX30" s="42">
        <f>'Get Started'!$D26</f>
        <v>12</v>
      </c>
      <c r="AY30" s="42">
        <f>'Get Started'!$D26</f>
        <v>12</v>
      </c>
      <c r="AZ30" s="42">
        <f>'Get Started'!$D26</f>
        <v>12</v>
      </c>
      <c r="BA30" s="42">
        <f>'Get Started'!$D26</f>
        <v>12</v>
      </c>
      <c r="BB30" s="42">
        <f>'Get Started'!$D26</f>
        <v>12</v>
      </c>
      <c r="BC30" s="42">
        <f>'Get Started'!$D26</f>
        <v>12</v>
      </c>
      <c r="BD30" s="42">
        <f>'Get Started'!$D26</f>
        <v>12</v>
      </c>
      <c r="BE30" s="42">
        <f>'Get Started'!$D26</f>
        <v>12</v>
      </c>
      <c r="BF30" s="42">
        <f>'Get Started'!$D26</f>
        <v>12</v>
      </c>
      <c r="BG30" s="42">
        <f>'Get Started'!$D26</f>
        <v>12</v>
      </c>
      <c r="BH30" s="42">
        <f>'Get Started'!$D26</f>
        <v>12</v>
      </c>
      <c r="BI30" s="42">
        <f>'Get Started'!$D26</f>
        <v>12</v>
      </c>
      <c r="BJ30" s="42">
        <f>'Get Started'!$D26</f>
        <v>12</v>
      </c>
      <c r="BK30" s="42">
        <f>'Get Started'!$D26</f>
        <v>12</v>
      </c>
      <c r="BL30" s="42">
        <f>'Get Started'!$D26</f>
        <v>12</v>
      </c>
      <c r="BM30" s="42">
        <f>'Get Started'!$D26</f>
        <v>12</v>
      </c>
      <c r="BN30" s="42">
        <f>'Get Started'!$D26</f>
        <v>12</v>
      </c>
      <c r="BO30" s="42">
        <f>'Get Started'!$D26</f>
        <v>12</v>
      </c>
    </row>
    <row r="31" spans="1:67" ht="16.5" customHeight="1">
      <c r="A31" s="16"/>
      <c r="B31" s="17" t="s">
        <v>97</v>
      </c>
      <c r="C31" s="18" t="s">
        <v>86</v>
      </c>
      <c r="D31" s="17" t="str">
        <f>'Get Started'!F27</f>
        <v>Assume the length of the billing cycle, in months. e.g. an annual contract billed all up front is 12, an annual contract billed month to month is 1, a month-to-month contract is 1</v>
      </c>
      <c r="E31" s="17"/>
      <c r="F31" s="17"/>
      <c r="G31" s="17"/>
      <c r="H31" s="17" t="s">
        <v>119</v>
      </c>
      <c r="I31" s="42">
        <f>IF(H31=Forecast!$H$74,T31,IF(H31=Forecast!$H$75,BO31,IF(H31=Forecast!$H$76,SUM(T31:BO31),IF(H31=Forecast!$H$77,AVERAGE(T31:BO31),0))))</f>
        <v>12</v>
      </c>
      <c r="J31" s="17"/>
      <c r="K31" s="17"/>
      <c r="L31" s="17"/>
      <c r="M31" s="17"/>
      <c r="N31" s="17"/>
      <c r="O31" s="17"/>
      <c r="P31" s="17"/>
      <c r="Q31" s="17"/>
      <c r="R31" s="17"/>
      <c r="S31" s="17"/>
      <c r="T31" s="42">
        <f>'Get Started'!$D27</f>
        <v>12</v>
      </c>
      <c r="U31" s="42">
        <f>'Get Started'!$D27</f>
        <v>12</v>
      </c>
      <c r="V31" s="42">
        <f>'Get Started'!$D27</f>
        <v>12</v>
      </c>
      <c r="W31" s="42">
        <f>'Get Started'!$D27</f>
        <v>12</v>
      </c>
      <c r="X31" s="42">
        <f>'Get Started'!$D27</f>
        <v>12</v>
      </c>
      <c r="Y31" s="42">
        <f>'Get Started'!$D27</f>
        <v>12</v>
      </c>
      <c r="Z31" s="42">
        <f>'Get Started'!$D27</f>
        <v>12</v>
      </c>
      <c r="AA31" s="42">
        <f>'Get Started'!$D27</f>
        <v>12</v>
      </c>
      <c r="AB31" s="42">
        <f>'Get Started'!$D27</f>
        <v>12</v>
      </c>
      <c r="AC31" s="42">
        <f>'Get Started'!$D27</f>
        <v>12</v>
      </c>
      <c r="AD31" s="42">
        <f>'Get Started'!$D27</f>
        <v>12</v>
      </c>
      <c r="AE31" s="42">
        <f>'Get Started'!$D27</f>
        <v>12</v>
      </c>
      <c r="AF31" s="42">
        <f>'Get Started'!$D27</f>
        <v>12</v>
      </c>
      <c r="AG31" s="42">
        <f>'Get Started'!$D27</f>
        <v>12</v>
      </c>
      <c r="AH31" s="42">
        <f>'Get Started'!$D27</f>
        <v>12</v>
      </c>
      <c r="AI31" s="42">
        <f>'Get Started'!$D27</f>
        <v>12</v>
      </c>
      <c r="AJ31" s="42">
        <f>'Get Started'!$D27</f>
        <v>12</v>
      </c>
      <c r="AK31" s="42">
        <f>'Get Started'!$D27</f>
        <v>12</v>
      </c>
      <c r="AL31" s="42">
        <f>'Get Started'!$D27</f>
        <v>12</v>
      </c>
      <c r="AM31" s="42">
        <f>'Get Started'!$D27</f>
        <v>12</v>
      </c>
      <c r="AN31" s="42">
        <f>'Get Started'!$D27</f>
        <v>12</v>
      </c>
      <c r="AO31" s="42">
        <f>'Get Started'!$D27</f>
        <v>12</v>
      </c>
      <c r="AP31" s="42">
        <f>'Get Started'!$D27</f>
        <v>12</v>
      </c>
      <c r="AQ31" s="42">
        <f>'Get Started'!$D27</f>
        <v>12</v>
      </c>
      <c r="AR31" s="42">
        <f>'Get Started'!$D27</f>
        <v>12</v>
      </c>
      <c r="AS31" s="42">
        <f>'Get Started'!$D27</f>
        <v>12</v>
      </c>
      <c r="AT31" s="42">
        <f>'Get Started'!$D27</f>
        <v>12</v>
      </c>
      <c r="AU31" s="42">
        <f>'Get Started'!$D27</f>
        <v>12</v>
      </c>
      <c r="AV31" s="42">
        <f>'Get Started'!$D27</f>
        <v>12</v>
      </c>
      <c r="AW31" s="42">
        <f>'Get Started'!$D27</f>
        <v>12</v>
      </c>
      <c r="AX31" s="42">
        <f>'Get Started'!$D27</f>
        <v>12</v>
      </c>
      <c r="AY31" s="42">
        <f>'Get Started'!$D27</f>
        <v>12</v>
      </c>
      <c r="AZ31" s="42">
        <f>'Get Started'!$D27</f>
        <v>12</v>
      </c>
      <c r="BA31" s="42">
        <f>'Get Started'!$D27</f>
        <v>12</v>
      </c>
      <c r="BB31" s="42">
        <f>'Get Started'!$D27</f>
        <v>12</v>
      </c>
      <c r="BC31" s="42">
        <f>'Get Started'!$D27</f>
        <v>12</v>
      </c>
      <c r="BD31" s="42">
        <f>'Get Started'!$D27</f>
        <v>12</v>
      </c>
      <c r="BE31" s="42">
        <f>'Get Started'!$D27</f>
        <v>12</v>
      </c>
      <c r="BF31" s="42">
        <f>'Get Started'!$D27</f>
        <v>12</v>
      </c>
      <c r="BG31" s="42">
        <f>'Get Started'!$D27</f>
        <v>12</v>
      </c>
      <c r="BH31" s="42">
        <f>'Get Started'!$D27</f>
        <v>12</v>
      </c>
      <c r="BI31" s="42">
        <f>'Get Started'!$D27</f>
        <v>12</v>
      </c>
      <c r="BJ31" s="42">
        <f>'Get Started'!$D27</f>
        <v>12</v>
      </c>
      <c r="BK31" s="42">
        <f>'Get Started'!$D27</f>
        <v>12</v>
      </c>
      <c r="BL31" s="42">
        <f>'Get Started'!$D27</f>
        <v>12</v>
      </c>
      <c r="BM31" s="42">
        <f>'Get Started'!$D27</f>
        <v>12</v>
      </c>
      <c r="BN31" s="42">
        <f>'Get Started'!$D27</f>
        <v>12</v>
      </c>
      <c r="BO31" s="42">
        <f>'Get Started'!$D27</f>
        <v>12</v>
      </c>
    </row>
    <row r="32" spans="1:67" ht="16.5" customHeight="1">
      <c r="A32" s="16"/>
      <c r="B32" s="17"/>
      <c r="C32" s="18"/>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row>
    <row r="33" spans="1:67" ht="16.5" customHeight="1">
      <c r="A33" s="16"/>
      <c r="B33" s="23" t="s">
        <v>85</v>
      </c>
      <c r="C33" s="18"/>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row>
    <row r="34" spans="1:67" ht="16.5" customHeight="1">
      <c r="A34" s="16"/>
      <c r="B34" s="17" t="s">
        <v>129</v>
      </c>
      <c r="C34" s="18" t="s">
        <v>86</v>
      </c>
      <c r="D34" s="17" t="s">
        <v>130</v>
      </c>
      <c r="E34" s="17"/>
      <c r="F34" s="17"/>
      <c r="G34" s="17"/>
      <c r="H34" s="17" t="s">
        <v>122</v>
      </c>
      <c r="I34" s="42">
        <f>IF(H34=Forecast!$H$74,T34,IF(H34=Forecast!$H$75,BO34,IF(H34=Forecast!$H$76,SUM(T34:BO34),IF(H34=Forecast!$H$77,AVERAGE(T34:BO34),0))))</f>
        <v>0</v>
      </c>
      <c r="J34" s="17"/>
      <c r="K34" s="17"/>
      <c r="L34" s="17"/>
      <c r="M34" s="17"/>
      <c r="N34" s="17"/>
      <c r="O34" s="17"/>
      <c r="P34" s="17"/>
      <c r="Q34" s="17"/>
      <c r="R34" s="17"/>
      <c r="S34" s="17"/>
      <c r="T34" s="46">
        <f t="shared" ref="T34:BO34" si="8">IF(T5=0,T25,S40)</f>
        <v>0</v>
      </c>
      <c r="U34" s="46">
        <f t="shared" si="8"/>
        <v>25</v>
      </c>
      <c r="V34" s="46">
        <f t="shared" si="8"/>
        <v>52.375</v>
      </c>
      <c r="W34" s="46">
        <f t="shared" si="8"/>
        <v>82.220593750000006</v>
      </c>
      <c r="X34" s="46">
        <f t="shared" si="8"/>
        <v>114.62507409414063</v>
      </c>
      <c r="Y34" s="46">
        <f t="shared" si="8"/>
        <v>149.66891961511172</v>
      </c>
      <c r="Z34" s="46">
        <f t="shared" si="8"/>
        <v>187.42439110016502</v>
      </c>
      <c r="AA34" s="46">
        <f t="shared" si="8"/>
        <v>227.95523667675695</v>
      </c>
      <c r="AB34" s="46">
        <f t="shared" si="8"/>
        <v>271.31650236418392</v>
      </c>
      <c r="AC34" s="46">
        <f t="shared" si="8"/>
        <v>317.5544430099701</v>
      </c>
      <c r="AD34" s="46">
        <f t="shared" si="8"/>
        <v>366.7065271356451</v>
      </c>
      <c r="AE34" s="46">
        <f t="shared" si="8"/>
        <v>418.8015281019795</v>
      </c>
      <c r="AF34" s="46">
        <f t="shared" si="8"/>
        <v>473.85969320399323</v>
      </c>
      <c r="AG34" s="46">
        <f t="shared" si="8"/>
        <v>530.64298179811374</v>
      </c>
      <c r="AH34" s="46">
        <f t="shared" si="8"/>
        <v>590.286613318881</v>
      </c>
      <c r="AI34" s="46">
        <f t="shared" si="8"/>
        <v>652.78213634054111</v>
      </c>
      <c r="AJ34" s="46">
        <f t="shared" si="8"/>
        <v>718.11421381572882</v>
      </c>
      <c r="AK34" s="46">
        <f t="shared" si="8"/>
        <v>786.26107237351664</v>
      </c>
      <c r="AL34" s="46">
        <f t="shared" si="8"/>
        <v>857.19497108971484</v>
      </c>
      <c r="AM34" s="46">
        <f t="shared" si="8"/>
        <v>930.88268219412009</v>
      </c>
      <c r="AN34" s="46">
        <f t="shared" si="8"/>
        <v>1007.2859769207271</v>
      </c>
      <c r="AO34" s="46">
        <f t="shared" si="8"/>
        <v>1086.3621104745619</v>
      </c>
      <c r="AP34" s="46">
        <f t="shared" si="8"/>
        <v>1168.0643008600819</v>
      </c>
      <c r="AQ34" s="46">
        <f t="shared" si="8"/>
        <v>1252.3421970724237</v>
      </c>
      <c r="AR34" s="46">
        <f t="shared" si="8"/>
        <v>1339.1423328794151</v>
      </c>
      <c r="AS34" s="46">
        <f t="shared" si="8"/>
        <v>1427.221063108027</v>
      </c>
      <c r="AT34" s="46">
        <f t="shared" si="8"/>
        <v>1517.5946674857873</v>
      </c>
      <c r="AU34" s="46">
        <f t="shared" si="8"/>
        <v>1610.19832946728</v>
      </c>
      <c r="AV34" s="46">
        <f t="shared" si="8"/>
        <v>1704.9660826070665</v>
      </c>
      <c r="AW34" s="46">
        <f t="shared" si="8"/>
        <v>1801.8311822946785</v>
      </c>
      <c r="AX34" s="46">
        <f t="shared" si="8"/>
        <v>1900.7264477840451</v>
      </c>
      <c r="AY34" s="46">
        <f t="shared" si="8"/>
        <v>2001.5845744642377</v>
      </c>
      <c r="AZ34" s="46">
        <f t="shared" si="8"/>
        <v>2104.3384167206514</v>
      </c>
      <c r="BA34" s="46">
        <f t="shared" si="8"/>
        <v>2208.9212420734325</v>
      </c>
      <c r="BB34" s="46">
        <f t="shared" si="8"/>
        <v>2315.2669575565401</v>
      </c>
      <c r="BC34" s="46">
        <f t="shared" si="8"/>
        <v>2423.3103095205915</v>
      </c>
      <c r="BD34" s="46">
        <f t="shared" si="8"/>
        <v>2532.98705821052</v>
      </c>
      <c r="BE34" s="46">
        <f t="shared" si="8"/>
        <v>2643.1060035902874</v>
      </c>
      <c r="BF34" s="46">
        <f t="shared" si="8"/>
        <v>2754.6263170918946</v>
      </c>
      <c r="BG34" s="46">
        <f t="shared" si="8"/>
        <v>2867.4833047170937</v>
      </c>
      <c r="BH34" s="46">
        <f t="shared" si="8"/>
        <v>2981.6140923089743</v>
      </c>
      <c r="BI34" s="46">
        <f t="shared" si="8"/>
        <v>3096.9577203456297</v>
      </c>
      <c r="BJ34" s="46">
        <f t="shared" si="8"/>
        <v>3213.4552179458342</v>
      </c>
      <c r="BK34" s="46">
        <f t="shared" si="8"/>
        <v>3331.0496576530418</v>
      </c>
      <c r="BL34" s="46">
        <f t="shared" si="8"/>
        <v>3449.6861925956741</v>
      </c>
      <c r="BM34" s="46">
        <f t="shared" si="8"/>
        <v>3569.3120776289506</v>
      </c>
      <c r="BN34" s="46">
        <f t="shared" si="8"/>
        <v>3689.8766760489939</v>
      </c>
      <c r="BO34" s="46">
        <f t="shared" si="8"/>
        <v>3811.3314534362289</v>
      </c>
    </row>
    <row r="35" spans="1:67" ht="16.5" customHeight="1">
      <c r="A35" s="16"/>
      <c r="B35" s="17" t="s">
        <v>131</v>
      </c>
      <c r="C35" s="18" t="s">
        <v>86</v>
      </c>
      <c r="D35" s="17" t="s">
        <v>132</v>
      </c>
      <c r="E35" s="17"/>
      <c r="F35" s="17"/>
      <c r="G35" s="17"/>
      <c r="H35" s="17" t="s">
        <v>133</v>
      </c>
      <c r="I35" s="42">
        <f>IF(H35=Forecast!$H$74,T35,IF(H35=Forecast!$H$75,BO35,IF(H35=Forecast!$H$76,SUM(T35:BO35),IF(H35=Forecast!$H$77,AVERAGE(T35:BO35),0))))</f>
        <v>68218.325458551306</v>
      </c>
      <c r="J35" s="17"/>
      <c r="K35" s="17"/>
      <c r="L35" s="17"/>
      <c r="M35" s="17"/>
      <c r="N35" s="17"/>
      <c r="O35" s="17"/>
      <c r="P35" s="17"/>
      <c r="Q35" s="17"/>
      <c r="R35" s="17"/>
      <c r="S35" s="17"/>
      <c r="T35" s="42">
        <f t="shared" ref="T35:BO35" si="9">T34-T37-T38</f>
        <v>0</v>
      </c>
      <c r="U35" s="42">
        <f t="shared" si="9"/>
        <v>25</v>
      </c>
      <c r="V35" s="42">
        <f t="shared" si="9"/>
        <v>52.375</v>
      </c>
      <c r="W35" s="42">
        <f t="shared" si="9"/>
        <v>82.220593750000006</v>
      </c>
      <c r="X35" s="42">
        <f t="shared" si="9"/>
        <v>114.62507409414063</v>
      </c>
      <c r="Y35" s="42">
        <f t="shared" si="9"/>
        <v>149.66891961511172</v>
      </c>
      <c r="Z35" s="42">
        <f t="shared" si="9"/>
        <v>187.42439110016502</v>
      </c>
      <c r="AA35" s="42">
        <f t="shared" si="9"/>
        <v>227.95523667675695</v>
      </c>
      <c r="AB35" s="42">
        <f t="shared" si="9"/>
        <v>271.31650236418392</v>
      </c>
      <c r="AC35" s="42">
        <f t="shared" si="9"/>
        <v>317.5544430099701</v>
      </c>
      <c r="AD35" s="42">
        <f t="shared" si="9"/>
        <v>366.7065271356451</v>
      </c>
      <c r="AE35" s="42">
        <f t="shared" si="9"/>
        <v>418.8015281019795</v>
      </c>
      <c r="AF35" s="42">
        <f t="shared" si="9"/>
        <v>448.85969320399323</v>
      </c>
      <c r="AG35" s="42">
        <f t="shared" si="9"/>
        <v>503.26798179811374</v>
      </c>
      <c r="AH35" s="42">
        <f t="shared" si="9"/>
        <v>560.44101956888107</v>
      </c>
      <c r="AI35" s="42">
        <f t="shared" si="9"/>
        <v>620.37765599640045</v>
      </c>
      <c r="AJ35" s="42">
        <f t="shared" si="9"/>
        <v>683.07036829475783</v>
      </c>
      <c r="AK35" s="42">
        <f t="shared" si="9"/>
        <v>748.50560088846328</v>
      </c>
      <c r="AL35" s="42">
        <f t="shared" si="9"/>
        <v>816.66412551312283</v>
      </c>
      <c r="AM35" s="42">
        <f t="shared" si="9"/>
        <v>887.52141650669319</v>
      </c>
      <c r="AN35" s="42">
        <f t="shared" si="9"/>
        <v>961.04803627494096</v>
      </c>
      <c r="AO35" s="42">
        <f t="shared" si="9"/>
        <v>1037.2100263488867</v>
      </c>
      <c r="AP35" s="42">
        <f t="shared" si="9"/>
        <v>1115.9692998937476</v>
      </c>
      <c r="AQ35" s="42">
        <f t="shared" si="9"/>
        <v>1197.2840319704098</v>
      </c>
      <c r="AR35" s="42">
        <f t="shared" si="9"/>
        <v>1257.3590442852947</v>
      </c>
      <c r="AS35" s="42">
        <f t="shared" si="9"/>
        <v>1340.2024315872598</v>
      </c>
      <c r="AT35" s="42">
        <f t="shared" si="9"/>
        <v>1425.2535507141274</v>
      </c>
      <c r="AU35" s="42">
        <f t="shared" si="9"/>
        <v>1512.4617716479515</v>
      </c>
      <c r="AV35" s="42">
        <f t="shared" si="9"/>
        <v>1601.7753785283076</v>
      </c>
      <c r="AW35" s="42">
        <f t="shared" si="9"/>
        <v>1693.141812093427</v>
      </c>
      <c r="AX35" s="42">
        <f t="shared" si="9"/>
        <v>1786.5078911030478</v>
      </c>
      <c r="AY35" s="42">
        <f t="shared" si="9"/>
        <v>1881.8200140502038</v>
      </c>
      <c r="AZ35" s="42">
        <f t="shared" si="9"/>
        <v>1979.0243425210303</v>
      </c>
      <c r="BA35" s="42">
        <f t="shared" si="9"/>
        <v>2078.0669675622376</v>
      </c>
      <c r="BB35" s="42">
        <f t="shared" si="9"/>
        <v>2178.8940603778638</v>
      </c>
      <c r="BC35" s="42">
        <f t="shared" si="9"/>
        <v>2281.4520086115863</v>
      </c>
      <c r="BD35" s="42">
        <f t="shared" si="9"/>
        <v>2363.1250393877876</v>
      </c>
      <c r="BE35" s="42">
        <f t="shared" si="9"/>
        <v>2465.71376769176</v>
      </c>
      <c r="BF35" s="42">
        <f t="shared" si="9"/>
        <v>2569.681538338742</v>
      </c>
      <c r="BG35" s="42">
        <f t="shared" si="9"/>
        <v>2674.978993757979</v>
      </c>
      <c r="BH35" s="42">
        <f t="shared" si="9"/>
        <v>2781.5582885426033</v>
      </c>
      <c r="BI35" s="42">
        <f t="shared" si="9"/>
        <v>2889.3730846550116</v>
      </c>
      <c r="BJ35" s="42">
        <f t="shared" si="9"/>
        <v>2998.3785345846441</v>
      </c>
      <c r="BK35" s="42">
        <f t="shared" si="9"/>
        <v>3108.531254982594</v>
      </c>
      <c r="BL35" s="42">
        <f t="shared" si="9"/>
        <v>3219.7892930432718</v>
      </c>
      <c r="BM35" s="42">
        <f t="shared" si="9"/>
        <v>3332.1120876346477</v>
      </c>
      <c r="BN35" s="42">
        <f t="shared" si="9"/>
        <v>3445.4604269062665</v>
      </c>
      <c r="BO35" s="42">
        <f t="shared" si="9"/>
        <v>3559.7964038372952</v>
      </c>
    </row>
    <row r="36" spans="1:67" ht="16.5" customHeight="1">
      <c r="A36" s="16"/>
      <c r="B36" s="17" t="s">
        <v>134</v>
      </c>
      <c r="C36" s="18" t="s">
        <v>86</v>
      </c>
      <c r="D36" s="17" t="s">
        <v>135</v>
      </c>
      <c r="E36" s="17"/>
      <c r="F36" s="17"/>
      <c r="G36" s="17"/>
      <c r="H36" s="17" t="s">
        <v>133</v>
      </c>
      <c r="I36" s="42">
        <f>IF(H36=Forecast!$H$74,T36,IF(H36=Forecast!$H$75,BO36,IF(H36=Forecast!$H$76,SUM(T36:BO36),IF(H36=Forecast!$H$77,AVERAGE(T36:BO36),0))))</f>
        <v>4150.9294143497345</v>
      </c>
      <c r="J36" s="17"/>
      <c r="K36" s="17"/>
      <c r="L36" s="17"/>
      <c r="M36" s="17"/>
      <c r="N36" s="17"/>
      <c r="O36" s="17"/>
      <c r="P36" s="17"/>
      <c r="Q36" s="17"/>
      <c r="R36" s="17"/>
      <c r="S36" s="17"/>
      <c r="T36" s="42">
        <f t="shared" ref="T36:BO36" si="10">IF(EOMONTH(T23,0)=T4,T24,S36*(1+T42))</f>
        <v>25</v>
      </c>
      <c r="U36" s="42">
        <f t="shared" si="10"/>
        <v>27.375</v>
      </c>
      <c r="V36" s="42">
        <f t="shared" si="10"/>
        <v>29.845593749999999</v>
      </c>
      <c r="W36" s="42">
        <f t="shared" si="10"/>
        <v>32.404480344140623</v>
      </c>
      <c r="X36" s="42">
        <f t="shared" si="10"/>
        <v>35.04384552097109</v>
      </c>
      <c r="Y36" s="42">
        <f t="shared" si="10"/>
        <v>37.755471485053306</v>
      </c>
      <c r="Z36" s="42">
        <f t="shared" si="10"/>
        <v>40.530845576591915</v>
      </c>
      <c r="AA36" s="42">
        <f t="shared" si="10"/>
        <v>43.361265687426965</v>
      </c>
      <c r="AB36" s="42">
        <f t="shared" si="10"/>
        <v>46.237940645786203</v>
      </c>
      <c r="AC36" s="42">
        <f t="shared" si="10"/>
        <v>49.152084125675024</v>
      </c>
      <c r="AD36" s="42">
        <f t="shared" si="10"/>
        <v>52.095000966334418</v>
      </c>
      <c r="AE36" s="42">
        <f t="shared" si="10"/>
        <v>55.058165102013746</v>
      </c>
      <c r="AF36" s="42">
        <f t="shared" si="10"/>
        <v>58.033288594120556</v>
      </c>
      <c r="AG36" s="42">
        <f t="shared" si="10"/>
        <v>61.012381520767214</v>
      </c>
      <c r="AH36" s="42">
        <f t="shared" si="10"/>
        <v>63.9878027091601</v>
      </c>
      <c r="AI36" s="42">
        <f t="shared" si="10"/>
        <v>66.952301492394739</v>
      </c>
      <c r="AJ36" s="42">
        <f t="shared" si="10"/>
        <v>69.89905083383637</v>
      </c>
      <c r="AK36" s="42">
        <f t="shared" si="10"/>
        <v>72.821672290450962</v>
      </c>
      <c r="AL36" s="42">
        <f t="shared" si="10"/>
        <v>75.71425338323489</v>
      </c>
      <c r="AM36" s="42">
        <f t="shared" si="10"/>
        <v>78.571358010978358</v>
      </c>
      <c r="AN36" s="42">
        <f t="shared" si="10"/>
        <v>81.388030586124103</v>
      </c>
      <c r="AO36" s="42">
        <f t="shared" si="10"/>
        <v>84.159794591803816</v>
      </c>
      <c r="AP36" s="42">
        <f t="shared" si="10"/>
        <v>86.882646260658362</v>
      </c>
      <c r="AQ36" s="42">
        <f t="shared" si="10"/>
        <v>89.553044062092084</v>
      </c>
      <c r="AR36" s="42">
        <f t="shared" si="10"/>
        <v>92.16789465831782</v>
      </c>
      <c r="AS36" s="42">
        <f t="shared" si="10"/>
        <v>94.724535953798707</v>
      </c>
      <c r="AT36" s="42">
        <f t="shared" si="10"/>
        <v>97.220717820075564</v>
      </c>
      <c r="AU36" s="42">
        <f t="shared" si="10"/>
        <v>99.654581030753064</v>
      </c>
      <c r="AV36" s="42">
        <f t="shared" si="10"/>
        <v>102.02463489154998</v>
      </c>
      <c r="AW36" s="42">
        <f t="shared" si="10"/>
        <v>104.32973399942911</v>
      </c>
      <c r="AX36" s="42">
        <f t="shared" si="10"/>
        <v>106.56905451424241</v>
      </c>
      <c r="AY36" s="42">
        <f t="shared" si="10"/>
        <v>108.74207027711533</v>
      </c>
      <c r="AZ36" s="42">
        <f t="shared" si="10"/>
        <v>110.8485290627624</v>
      </c>
      <c r="BA36" s="42">
        <f t="shared" si="10"/>
        <v>112.88842920866736</v>
      </c>
      <c r="BB36" s="42">
        <f t="shared" si="10"/>
        <v>114.86199682298535</v>
      </c>
      <c r="BC36" s="42">
        <f t="shared" si="10"/>
        <v>116.76966373537887</v>
      </c>
      <c r="BD36" s="42">
        <f t="shared" si="10"/>
        <v>118.61204632090421</v>
      </c>
      <c r="BE36" s="42">
        <f t="shared" si="10"/>
        <v>120.38992529653322</v>
      </c>
      <c r="BF36" s="42">
        <f t="shared" si="10"/>
        <v>122.10422656285668</v>
      </c>
      <c r="BG36" s="42">
        <f t="shared" si="10"/>
        <v>123.75600313983632</v>
      </c>
      <c r="BH36" s="42">
        <f t="shared" si="10"/>
        <v>125.34641822497413</v>
      </c>
      <c r="BI36" s="42">
        <f t="shared" si="10"/>
        <v>126.8767293847354</v>
      </c>
      <c r="BJ36" s="42">
        <f t="shared" si="10"/>
        <v>128.34827387526752</v>
      </c>
      <c r="BK36" s="42">
        <f t="shared" si="10"/>
        <v>129.76245507615465</v>
      </c>
      <c r="BL36" s="42">
        <f t="shared" si="10"/>
        <v>131.12073001089664</v>
      </c>
      <c r="BM36" s="42">
        <f t="shared" si="10"/>
        <v>132.4245979197585</v>
      </c>
      <c r="BN36" s="42">
        <f t="shared" si="10"/>
        <v>133.67558984437105</v>
      </c>
      <c r="BO36" s="42">
        <f t="shared" si="10"/>
        <v>134.8752591787551</v>
      </c>
    </row>
    <row r="37" spans="1:67" ht="16.5" customHeight="1">
      <c r="A37" s="16"/>
      <c r="B37" s="17" t="s">
        <v>136</v>
      </c>
      <c r="C37" s="18" t="s">
        <v>86</v>
      </c>
      <c r="D37" s="17" t="s">
        <v>137</v>
      </c>
      <c r="E37" s="17"/>
      <c r="F37" s="17"/>
      <c r="G37" s="17"/>
      <c r="H37" s="17" t="s">
        <v>133</v>
      </c>
      <c r="I37" s="42">
        <f>IF(H37=Forecast!$H$74,T37,IF(H37=Forecast!$H$75,BO37,IF(H37=Forecast!$H$76,SUM(T37:BO37),IF(H37=Forecast!$H$77,AVERAGE(T37:BO37),0))))</f>
        <v>4128.6896300792323</v>
      </c>
      <c r="J37" s="17"/>
      <c r="K37" s="17"/>
      <c r="L37" s="17"/>
      <c r="M37" s="17"/>
      <c r="N37" s="17"/>
      <c r="O37" s="17"/>
      <c r="P37" s="17"/>
      <c r="Q37" s="17"/>
      <c r="R37" s="17"/>
      <c r="S37" s="17"/>
      <c r="T37" s="42">
        <f t="array" ref="T37">IF(T5&lt;T30,T25/T30*(1-T28),0)+(IF(T6&lt;T30,0,IFERROR(INDEX(S37:$T37,0,MATCH(T5-T30,S5:$T5,0)),0))+IF(T6&lt;T30,0,IFERROR(INDEX(S36:$T36,0,MATCH(T5-T30,S5:$T5,0)),0))+IF(T6&lt;T30,0,IFERROR(INDEX(S39:$T39,0,MATCH(T5-T30,S5:$T5,0)),0))) * (1-T28)</f>
        <v>0</v>
      </c>
      <c r="U37" s="42">
        <f t="array" ref="U37">IF(U5&lt;U30,U25/U30*(1-U28),0)+(IF(U6&lt;U30,0,IFERROR(INDEX(T37:$T37,0,MATCH(U5-U30,T5:$T5,0)),0))+IF(U6&lt;U30,0,IFERROR(INDEX(T36:$T36,0,MATCH(U5-U30,T5:$T5,0)),0))+IF(U6&lt;U30,0,IFERROR(INDEX(T39:$T39,0,MATCH(U5-U30,T5:$T5,0)),0))) * (1-U28)</f>
        <v>0</v>
      </c>
      <c r="V37" s="42">
        <f t="array" ref="V37">IF(V5&lt;V30,V25/V30*(1-V28),0)+(IF(V6&lt;V30,0,IFERROR(INDEX($T37:U37,0,MATCH(V5-V30,$T5:U5,0)),0))+IF(V6&lt;V30,0,IFERROR(INDEX($T36:U36,0,MATCH(V5-V30,$T5:U5,0)),0))+IF(V6&lt;V30,0,IFERROR(INDEX($T39:U39,0,MATCH(V5-V30,$T5:U5,0)),0))) * (1-V28)</f>
        <v>0</v>
      </c>
      <c r="W37" s="42">
        <f t="array" ref="W37">IF(W5&lt;W30,W25/W30*(1-W28),0)+(IF(W6&lt;W30,0,IFERROR(INDEX($T37:V37,0,MATCH(W5-W30,$T5:V5,0)),0))+IF(W6&lt;W30,0,IFERROR(INDEX($T36:V36,0,MATCH(W5-W30,$T5:V5,0)),0))+IF(W6&lt;W30,0,IFERROR(INDEX($T39:V39,0,MATCH(W5-W30,$T5:V5,0)),0))) * (1-W28)</f>
        <v>0</v>
      </c>
      <c r="X37" s="42">
        <f t="array" ref="X37">IF(X5&lt;X30,X25/X30*(1-X28),0)+(IF(X6&lt;X30,0,IFERROR(INDEX($T37:W37,0,MATCH(X5-X30,$T5:W5,0)),0))+IF(X6&lt;X30,0,IFERROR(INDEX($T36:W36,0,MATCH(X5-X30,$T5:W5,0)),0))+IF(X6&lt;X30,0,IFERROR(INDEX($T39:W39,0,MATCH(X5-X30,$T5:W5,0)),0))) * (1-X28)</f>
        <v>0</v>
      </c>
      <c r="Y37" s="42">
        <f t="array" ref="Y37">IF(Y5&lt;Y30,Y25/Y30*(1-Y28),0)+(IF(Y6&lt;Y30,0,IFERROR(INDEX($T37:X37,0,MATCH(Y5-Y30,$T5:X5,0)),0))+IF(Y6&lt;Y30,0,IFERROR(INDEX($T36:X36,0,MATCH(Y5-Y30,$T5:X5,0)),0))+IF(Y6&lt;Y30,0,IFERROR(INDEX($T39:X39,0,MATCH(Y5-Y30,$T5:X5,0)),0))) * (1-Y28)</f>
        <v>0</v>
      </c>
      <c r="Z37" s="42">
        <f t="array" ref="Z37">IF(Z5&lt;Z30,Z25/Z30*(1-Z28),0)+(IF(Z6&lt;Z30,0,IFERROR(INDEX($T37:Y37,0,MATCH(Z5-Z30,$T5:Y5,0)),0))+IF(Z6&lt;Z30,0,IFERROR(INDEX($T36:Y36,0,MATCH(Z5-Z30,$T5:Y5,0)),0))+IF(Z6&lt;Z30,0,IFERROR(INDEX($T39:Y39,0,MATCH(Z5-Z30,$T5:Y5,0)),0))) * (1-Z28)</f>
        <v>0</v>
      </c>
      <c r="AA37" s="42">
        <f t="array" ref="AA37">IF(AA5&lt;AA30,AA25/AA30*(1-AA28),0)+(IF(AA6&lt;AA30,0,IFERROR(INDEX($T37:Z37,0,MATCH(AA5-AA30,$T5:Z5,0)),0))+IF(AA6&lt;AA30,0,IFERROR(INDEX($T36:Z36,0,MATCH(AA5-AA30,$T5:Z5,0)),0))+IF(AA6&lt;AA30,0,IFERROR(INDEX($T39:Z39,0,MATCH(AA5-AA30,$T5:Z5,0)),0))) * (1-AA28)</f>
        <v>0</v>
      </c>
      <c r="AB37" s="42">
        <f t="array" ref="AB37">IF(AB5&lt;AB30,AB25/AB30*(1-AB28),0)+(IF(AB6&lt;AB30,0,IFERROR(INDEX($T37:AA37,0,MATCH(AB5-AB30,$T5:AA5,0)),0))+IF(AB6&lt;AB30,0,IFERROR(INDEX($T36:AA36,0,MATCH(AB5-AB30,$T5:AA5,0)),0))+IF(AB6&lt;AB30,0,IFERROR(INDEX($T39:AA39,0,MATCH(AB5-AB30,$T5:AA5,0)),0))) * (1-AB28)</f>
        <v>0</v>
      </c>
      <c r="AC37" s="42">
        <f t="array" ref="AC37">IF(AC5&lt;AC30,AC25/AC30*(1-AC28),0)+(IF(AC6&lt;AC30,0,IFERROR(INDEX($T37:AB37,0,MATCH(AC5-AC30,$T5:AB5,0)),0))+IF(AC6&lt;AC30,0,IFERROR(INDEX($T36:AB36,0,MATCH(AC5-AC30,$T5:AB5,0)),0))+IF(AC6&lt;AC30,0,IFERROR(INDEX($T39:AB39,0,MATCH(AC5-AC30,$T5:AB5,0)),0))) * (1-AC28)</f>
        <v>0</v>
      </c>
      <c r="AD37" s="42">
        <f t="array" ref="AD37">IF(AD5&lt;AD30,AD25/AD30*(1-AD28),0)+(IF(AD6&lt;AD30,0,IFERROR(INDEX($T37:AC37,0,MATCH(AD5-AD30,$T5:AC5,0)),0))+IF(AD6&lt;AD30,0,IFERROR(INDEX($T36:AC36,0,MATCH(AD5-AD30,$T5:AC5,0)),0))+IF(AD6&lt;AD30,0,IFERROR(INDEX($T39:AC39,0,MATCH(AD5-AD30,$T5:AC5,0)),0))) * (1-AD28)</f>
        <v>0</v>
      </c>
      <c r="AE37" s="42">
        <f t="array" ref="AE37">IF(AE5&lt;AE30,AE25/AE30*(1-AE28),0)+(IF(AE6&lt;AE30,0,IFERROR(INDEX($T37:AD37,0,MATCH(AE5-AE30,$T5:AD5,0)),0))+IF(AE6&lt;AE30,0,IFERROR(INDEX($T36:AD36,0,MATCH(AE5-AE30,$T5:AD5,0)),0))+IF(AE6&lt;AE30,0,IFERROR(INDEX($T39:AD39,0,MATCH(AE5-AE30,$T5:AD5,0)),0))) * (1-AE28)</f>
        <v>0</v>
      </c>
      <c r="AF37" s="42">
        <f t="array" ref="AF37">IF(AF5&lt;AF30,AF25/AF30*(1-AF28),0)+(IF(AF6&lt;AF30,0,IFERROR(INDEX($T37:AE37,0,MATCH(AF5-AF30,$T5:AE5,0)),0))+IF(AF6&lt;AF30,0,IFERROR(INDEX($T36:AE36,0,MATCH(AF5-AF30,$T5:AE5,0)),0))+IF(AF6&lt;AF30,0,IFERROR(INDEX($T39:AE39,0,MATCH(AF5-AF30,$T5:AE5,0)),0))) * (1-AF28)</f>
        <v>23.75</v>
      </c>
      <c r="AG37" s="42">
        <f t="array" ref="AG37">IF(AG5&lt;AG30,AG25/AG30*(1-AG28),0)+(IF(AG6&lt;AG30,0,IFERROR(INDEX($T37:AF37,0,MATCH(AG5-AG30,$T5:AF5,0)),0))+IF(AG6&lt;AG30,0,IFERROR(INDEX($T36:AF36,0,MATCH(AG5-AG30,$T5:AF5,0)),0))+IF(AG6&lt;AG30,0,IFERROR(INDEX($T39:AF39,0,MATCH(AG5-AG30,$T5:AF5,0)),0))) * (1-AG28)</f>
        <v>26.006249999999998</v>
      </c>
      <c r="AH37" s="42">
        <f t="array" ref="AH37">IF(AH5&lt;AH30,AH25/AH30*(1-AH28),0)+(IF(AH6&lt;AH30,0,IFERROR(INDEX($T37:AG37,0,MATCH(AH5-AH30,$T5:AG5,0)),0))+IF(AH6&lt;AH30,0,IFERROR(INDEX($T36:AG36,0,MATCH(AH5-AH30,$T5:AG5,0)),0))+IF(AH6&lt;AH30,0,IFERROR(INDEX($T39:AG39,0,MATCH(AH5-AH30,$T5:AG5,0)),0))) * (1-AH28)</f>
        <v>28.353314062499997</v>
      </c>
      <c r="AI37" s="42">
        <f t="array" ref="AI37">IF(AI5&lt;AI30,AI25/AI30*(1-AI28),0)+(IF(AI6&lt;AI30,0,IFERROR(INDEX($T37:AH37,0,MATCH(AI5-AI30,$T5:AH5,0)),0))+IF(AI6&lt;AI30,0,IFERROR(INDEX($T36:AH36,0,MATCH(AI5-AI30,$T5:AH5,0)),0))+IF(AI6&lt;AI30,0,IFERROR(INDEX($T39:AH39,0,MATCH(AI5-AI30,$T5:AH5,0)),0))) * (1-AI28)</f>
        <v>30.78425632693359</v>
      </c>
      <c r="AJ37" s="42">
        <f t="array" ref="AJ37">IF(AJ5&lt;AJ30,AJ25/AJ30*(1-AJ28),0)+(IF(AJ6&lt;AJ30,0,IFERROR(INDEX($T37:AI37,0,MATCH(AJ5-AJ30,$T5:AI5,0)),0))+IF(AJ6&lt;AJ30,0,IFERROR(INDEX($T36:AI36,0,MATCH(AJ5-AJ30,$T5:AI5,0)),0))+IF(AJ6&lt;AJ30,0,IFERROR(INDEX($T39:AI39,0,MATCH(AJ5-AJ30,$T5:AI5,0)),0))) * (1-AJ28)</f>
        <v>33.291653244922536</v>
      </c>
      <c r="AK37" s="42">
        <f t="array" ref="AK37">IF(AK5&lt;AK30,AK25/AK30*(1-AK28),0)+(IF(AK6&lt;AK30,0,IFERROR(INDEX($T37:AJ37,0,MATCH(AK5-AK30,$T5:AJ5,0)),0))+IF(AK6&lt;AK30,0,IFERROR(INDEX($T36:AJ36,0,MATCH(AK5-AK30,$T5:AJ5,0)),0))+IF(AK6&lt;AK30,0,IFERROR(INDEX($T39:AJ39,0,MATCH(AK5-AK30,$T5:AJ5,0)),0))) * (1-AK28)</f>
        <v>35.867697910800636</v>
      </c>
      <c r="AL37" s="42">
        <f t="array" ref="AL37">IF(AL5&lt;AL30,AL25/AL30*(1-AL28),0)+(IF(AL6&lt;AL30,0,IFERROR(INDEX($T37:AK37,0,MATCH(AL5-AL30,$T5:AK5,0)),0))+IF(AL6&lt;AL30,0,IFERROR(INDEX($T36:AK36,0,MATCH(AL5-AL30,$T5:AK5,0)),0))+IF(AL6&lt;AL30,0,IFERROR(INDEX($T39:AK39,0,MATCH(AL5-AL30,$T5:AK5,0)),0))) * (1-AL28)</f>
        <v>38.50430329776232</v>
      </c>
      <c r="AM37" s="42">
        <f t="array" ref="AM37">IF(AM5&lt;AM30,AM25/AM30*(1-AM28),0)+(IF(AM6&lt;AM30,0,IFERROR(INDEX($T37:AL37,0,MATCH(AM5-AM30,$T5:AL5,0)),0))+IF(AM6&lt;AM30,0,IFERROR(INDEX($T36:AL36,0,MATCH(AM5-AM30,$T5:AL5,0)),0))+IF(AM6&lt;AM30,0,IFERROR(INDEX($T39:AL39,0,MATCH(AM5-AM30,$T5:AL5,0)),0))) * (1-AM28)</f>
        <v>41.193202403055615</v>
      </c>
      <c r="AN37" s="42">
        <f t="array" ref="AN37">IF(AN5&lt;AN30,AN25/AN30*(1-AN28),0)+(IF(AN6&lt;AN30,0,IFERROR(INDEX($T37:AM37,0,MATCH(AN5-AN30,$T5:AM5,0)),0))+IF(AN6&lt;AN30,0,IFERROR(INDEX($T36:AM36,0,MATCH(AN5-AN30,$T5:AM5,0)),0))+IF(AN6&lt;AN30,0,IFERROR(INDEX($T39:AM39,0,MATCH(AN5-AN30,$T5:AM5,0)),0))) * (1-AN28)</f>
        <v>43.926043613496894</v>
      </c>
      <c r="AO37" s="42">
        <f t="array" ref="AO37">IF(AO5&lt;AO30,AO25/AO30*(1-AO28),0)+(IF(AO6&lt;AO30,0,IFERROR(INDEX($T37:AN37,0,MATCH(AO5-AO30,$T5:AN5,0)),0))+IF(AO6&lt;AO30,0,IFERROR(INDEX($T36:AN36,0,MATCH(AO5-AO30,$T5:AN5,0)),0))+IF(AO6&lt;AO30,0,IFERROR(INDEX($T39:AN39,0,MATCH(AO5-AO30,$T5:AN5,0)),0))) * (1-AO28)</f>
        <v>46.69447991939127</v>
      </c>
      <c r="AP37" s="42">
        <f t="array" ref="AP37">IF(AP5&lt;AP30,AP25/AP30*(1-AP28),0)+(IF(AP6&lt;AP30,0,IFERROR(INDEX($T37:AO37,0,MATCH(AP5-AP30,$T5:AO5,0)),0))+IF(AP6&lt;AP30,0,IFERROR(INDEX($T36:AO36,0,MATCH(AP5-AP30,$T5:AO5,0)),0))+IF(AP6&lt;AP30,0,IFERROR(INDEX($T39:AO39,0,MATCH(AP5-AP30,$T5:AO5,0)),0))) * (1-AP28)</f>
        <v>49.490250918017693</v>
      </c>
      <c r="AQ37" s="42">
        <f t="array" ref="AQ37">IF(AQ5&lt;AQ30,AQ25/AQ30*(1-AQ28),0)+(IF(AQ6&lt;AQ30,0,IFERROR(INDEX($T37:AP37,0,MATCH(AQ5-AQ30,$T5:AP5,0)),0))+IF(AQ6&lt;AQ30,0,IFERROR(INDEX($T36:AP36,0,MATCH(AQ5-AQ30,$T5:AP5,0)),0))+IF(AQ6&lt;AQ30,0,IFERROR(INDEX($T39:AP39,0,MATCH(AQ5-AQ30,$T5:AP5,0)),0))) * (1-AQ28)</f>
        <v>52.305256846913053</v>
      </c>
      <c r="AR37" s="42">
        <f t="array" ref="AR37">IF(AR5&lt;AR30,AR25/AR30*(1-AR28),0)+(IF(AR6&lt;AR30,0,IFERROR(INDEX($T37:AQ37,0,MATCH(AR5-AR30,$T5:AQ5,0)),0))+IF(AR6&lt;AR30,0,IFERROR(INDEX($T36:AQ36,0,MATCH(AR5-AR30,$T5:AQ5,0)),0))+IF(AR6&lt;AR30,0,IFERROR(INDEX($T39:AQ39,0,MATCH(AR5-AR30,$T5:AQ5,0)),0))) * (1-AR28)</f>
        <v>77.694124164414532</v>
      </c>
      <c r="AS37" s="42">
        <f t="array" ref="AS37">IF(AS5&lt;AS30,AS25/AS30*(1-AS28),0)+(IF(AS6&lt;AS30,0,IFERROR(INDEX($T37:AR37,0,MATCH(AS5-AS30,$T5:AR5,0)),0))+IF(AS6&lt;AS30,0,IFERROR(INDEX($T36:AR36,0,MATCH(AS5-AS30,$T5:AR5,0)),0))+IF(AS6&lt;AS30,0,IFERROR(INDEX($T39:AR39,0,MATCH(AS5-AS30,$T5:AR5,0)),0))) * (1-AS28)</f>
        <v>82.667699944728852</v>
      </c>
      <c r="AT37" s="42">
        <f t="array" ref="AT37">IF(AT5&lt;AT30,AT25/AT30*(1-AT28),0)+(IF(AT6&lt;AT30,0,IFERROR(INDEX($T37:AS37,0,MATCH(AT5-AT30,$T5:AS5,0)),0))+IF(AT6&lt;AT30,0,IFERROR(INDEX($T36:AS36,0,MATCH(AT5-AT30,$T5:AS5,0)),0))+IF(AT6&lt;AT30,0,IFERROR(INDEX($T39:AS39,0,MATCH(AT5-AT30,$T5:AS5,0)),0))) * (1-AT28)</f>
        <v>87.724060933077084</v>
      </c>
      <c r="AU37" s="42">
        <f t="array" ref="AU37">IF(AU5&lt;AU30,AU25/AU30*(1-AU28),0)+(IF(AU6&lt;AU30,0,IFERROR(INDEX($T37:AT37,0,MATCH(AU5-AU30,$T5:AT5,0)),0))+IF(AU6&lt;AU30,0,IFERROR(INDEX($T36:AT36,0,MATCH(AU5-AU30,$T5:AT5,0)),0))+IF(AU6&lt;AU30,0,IFERROR(INDEX($T39:AT39,0,MATCH(AU5-AU30,$T5:AT5,0)),0))) * (1-AU28)</f>
        <v>92.84972992836191</v>
      </c>
      <c r="AV37" s="42">
        <f t="array" ref="AV37">IF(AV5&lt;AV30,AV25/AV30*(1-AV28),0)+(IF(AV6&lt;AV30,0,IFERROR(INDEX($T37:AU37,0,MATCH(AV5-AV30,$T5:AU5,0)),0))+IF(AV6&lt;AV30,0,IFERROR(INDEX($T36:AU36,0,MATCH(AV5-AV30,$T5:AU5,0)),0))+IF(AV6&lt;AV30,0,IFERROR(INDEX($T39:AU39,0,MATCH(AV5-AV30,$T5:AU5,0)),0))) * (1-AV28)</f>
        <v>98.031168874820949</v>
      </c>
      <c r="AW37" s="42">
        <f t="array" ref="AW37">IF(AW5&lt;AW30,AW25/AW30*(1-AW28),0)+(IF(AW6&lt;AW30,0,IFERROR(INDEX($T37:AV37,0,MATCH(AW5-AW30,$T5:AV5,0)),0))+IF(AW6&lt;AW30,0,IFERROR(INDEX($T36:AV36,0,MATCH(AW5-AW30,$T5:AV5,0)),0))+IF(AW6&lt;AW30,0,IFERROR(INDEX($T39:AV39,0,MATCH(AW5-AW30,$T5:AV5,0)),0))) * (1-AW28)</f>
        <v>103.254901691189</v>
      </c>
      <c r="AX37" s="42">
        <f t="array" ref="AX37">IF(AX5&lt;AX30,AX25/AX30*(1-AX28),0)+(IF(AX6&lt;AX30,0,IFERROR(INDEX($T37:AW37,0,MATCH(AX5-AX30,$T5:AW5,0)),0))+IF(AX6&lt;AX30,0,IFERROR(INDEX($T36:AW36,0,MATCH(AX5-AX30,$T5:AW5,0)),0))+IF(AX6&lt;AX30,0,IFERROR(INDEX($T39:AW39,0,MATCH(AX5-AX30,$T5:AW5,0)),0))) * (1-AX28)</f>
        <v>108.50762884694734</v>
      </c>
      <c r="AY37" s="42">
        <f t="array" ref="AY37">IF(AY5&lt;AY30,AY25/AY30*(1-AY28),0)+(IF(AY6&lt;AY30,0,IFERROR(INDEX($T37:AX37,0,MATCH(AY5-AY30,$T5:AX5,0)),0))+IF(AY6&lt;AY30,0,IFERROR(INDEX($T36:AX36,0,MATCH(AY5-AY30,$T5:AX5,0)),0))+IF(AY6&lt;AY30,0,IFERROR(INDEX($T39:AX39,0,MATCH(AY5-AY30,$T5:AX5,0)),0))) * (1-AY28)</f>
        <v>113.77633239333228</v>
      </c>
      <c r="AZ37" s="42">
        <f t="array" ref="AZ37">IF(AZ5&lt;AZ30,AZ25/AZ30*(1-AZ28),0)+(IF(AZ6&lt;AZ30,0,IFERROR(INDEX($T37:AY37,0,MATCH(AZ5-AZ30,$T5:AY5,0)),0))+IF(AZ6&lt;AZ30,0,IFERROR(INDEX($T36:AY36,0,MATCH(AZ5-AZ30,$T5:AY5,0)),0))+IF(AZ6&lt;AZ30,0,IFERROR(INDEX($T39:AY39,0,MATCH(AZ5-AZ30,$T5:AY5,0)),0))) * (1-AZ28)</f>
        <v>119.04837048963994</v>
      </c>
      <c r="BA37" s="42">
        <f t="array" ref="BA37">IF(BA5&lt;BA30,BA25/BA30*(1-BA28),0)+(IF(BA6&lt;BA30,0,IFERROR(INDEX($T37:AZ37,0,MATCH(BA5-BA30,$T5:AZ5,0)),0))+IF(BA6&lt;BA30,0,IFERROR(INDEX($T36:AZ36,0,MATCH(BA5-BA30,$T5:AZ5,0)),0))+IF(BA6&lt;BA30,0,IFERROR(INDEX($T39:AZ39,0,MATCH(BA5-BA30,$T5:AZ5,0)),0))) * (1-BA28)</f>
        <v>124.31156078563532</v>
      </c>
      <c r="BB37" s="42">
        <f t="array" ref="BB37">IF(BB5&lt;BB30,BB25/BB30*(1-BB28),0)+(IF(BB6&lt;BB30,0,IFERROR(INDEX($T37:BA37,0,MATCH(BB5-BB30,$T5:BA5,0)),0))+IF(BB6&lt;BB30,0,IFERROR(INDEX($T36:BA36,0,MATCH(BB5-BB30,$T5:BA5,0)),0))+IF(BB6&lt;BB30,0,IFERROR(INDEX($T39:BA39,0,MATCH(BB5-BB30,$T5:BA5,0)),0))) * (1-BB28)</f>
        <v>129.55425231974223</v>
      </c>
      <c r="BC37" s="42">
        <f t="array" ref="BC37">IF(BC5&lt;BC30,BC25/BC30*(1-BC28),0)+(IF(BC6&lt;BC30,0,IFERROR(INDEX($T37:BB37,0,MATCH(BC5-BC30,$T5:BB5,0)),0))+IF(BC6&lt;BC30,0,IFERROR(INDEX($T36:BB36,0,MATCH(BC5-BC30,$T5:BB5,0)),0))+IF(BC6&lt;BC30,0,IFERROR(INDEX($T39:BB39,0,MATCH(BC5-BC30,$T5:BB5,0)),0))) * (1-BC28)</f>
        <v>134.76538586355488</v>
      </c>
      <c r="BD37" s="42">
        <f t="array" ref="BD37">IF(BD5&lt;BD30,BD25/BD30*(1-BD28),0)+(IF(BD6&lt;BD30,0,IFERROR(INDEX($T37:BC37,0,MATCH(BD5-BD30,$T5:BC5,0)),0))+IF(BD6&lt;BD30,0,IFERROR(INDEX($T36:BC36,0,MATCH(BD5-BD30,$T5:BC5,0)),0))+IF(BD6&lt;BD30,0,IFERROR(INDEX($T39:BC39,0,MATCH(BD5-BD30,$T5:BC5,0)),0))) * (1-BD28)</f>
        <v>161.36891788159573</v>
      </c>
      <c r="BE37" s="42">
        <f t="array" ref="BE37">IF(BE5&lt;BE30,BE25/BE30*(1-BE28),0)+(IF(BE6&lt;BE30,0,IFERROR(INDEX($T37:BD37,0,MATCH(BE5-BE30,$T5:BD5,0)),0))+IF(BE6&lt;BE30,0,IFERROR(INDEX($T36:BD36,0,MATCH(BE5-BE30,$T5:BD5,0)),0))+IF(BE6&lt;BE30,0,IFERROR(INDEX($T39:BD39,0,MATCH(BE5-BE30,$T5:BD5,0)),0))) * (1-BE28)</f>
        <v>168.52262410360117</v>
      </c>
      <c r="BF37" s="42">
        <f t="array" ref="BF37">IF(BF5&lt;BF30,BF25/BF30*(1-BF28),0)+(IF(BF6&lt;BF30,0,IFERROR(INDEX($T37:BE37,0,MATCH(BF5-BF30,$T5:BE5,0)),0))+IF(BF6&lt;BF30,0,IFERROR(INDEX($T36:BE36,0,MATCH(BF5-BF30,$T5:BE5,0)),0))+IF(BF6&lt;BF30,0,IFERROR(INDEX($T39:BE39,0,MATCH(BF5-BF30,$T5:BE5,0)),0))) * (1-BF28)</f>
        <v>175.69753981549502</v>
      </c>
      <c r="BG37" s="42">
        <f t="array" ref="BG37">IF(BG5&lt;BG30,BG25/BG30*(1-BG28),0)+(IF(BG6&lt;BG30,0,IFERROR(INDEX($T37:BF37,0,MATCH(BG5-BG30,$T5:BF5,0)),0))+IF(BG6&lt;BG30,0,IFERROR(INDEX($T36:BF36,0,MATCH(BG5-BG30,$T5:BF5,0)),0))+IF(BG6&lt;BG30,0,IFERROR(INDEX($T39:BF39,0,MATCH(BG5-BG30,$T5:BF5,0)),0))) * (1-BG28)</f>
        <v>182.87909541115923</v>
      </c>
      <c r="BH37" s="42">
        <f t="array" ref="BH37">IF(BH5&lt;BH30,BH25/BH30*(1-BH28),0)+(IF(BH6&lt;BH30,0,IFERROR(INDEX($T37:BG37,0,MATCH(BH5-BH30,$T5:BG5,0)),0))+IF(BH6&lt;BH30,0,IFERROR(INDEX($T36:BG36,0,MATCH(BH5-BH30,$T5:BG5,0)),0))+IF(BH6&lt;BH30,0,IFERROR(INDEX($T39:BG39,0,MATCH(BH5-BH30,$T5:BG5,0)),0))) * (1-BH28)</f>
        <v>190.05301357805237</v>
      </c>
      <c r="BI37" s="42">
        <f t="array" ref="BI37">IF(BI5&lt;BI30,BI25/BI30*(1-BI28),0)+(IF(BI6&lt;BI30,0,IFERROR(INDEX($T37:BH37,0,MATCH(BI5-BI30,$T5:BH5,0)),0))+IF(BI6&lt;BI30,0,IFERROR(INDEX($T36:BH36,0,MATCH(BI5-BI30,$T5:BH5,0)),0))+IF(BI6&lt;BI30,0,IFERROR(INDEX($T39:BH39,0,MATCH(BI5-BI30,$T5:BH5,0)),0))) * (1-BI28)</f>
        <v>197.20540390608721</v>
      </c>
      <c r="BJ37" s="42">
        <f t="array" ref="BJ37">IF(BJ5&lt;BJ30,BJ25/BJ30*(1-BJ28),0)+(IF(BJ6&lt;BJ30,0,IFERROR(INDEX($T37:BI37,0,MATCH(BJ5-BJ30,$T5:BI5,0)),0))+IF(BJ6&lt;BJ30,0,IFERROR(INDEX($T36:BI36,0,MATCH(BJ5-BJ30,$T5:BI5,0)),0))+IF(BJ6&lt;BJ30,0,IFERROR(INDEX($T39:BI39,0,MATCH(BJ5-BJ30,$T5:BI5,0)),0))) * (1-BJ28)</f>
        <v>204.32284919313025</v>
      </c>
      <c r="BK37" s="42">
        <f t="array" ref="BK37">IF(BK5&lt;BK30,BK25/BK30*(1-BK28),0)+(IF(BK6&lt;BK30,0,IFERROR(INDEX($T37:BJ37,0,MATCH(BK5-BK30,$T5:BJ5,0)),0))+IF(BK6&lt;BK30,0,IFERROR(INDEX($T36:BJ36,0,MATCH(BK5-BK30,$T5:BJ5,0)),0))+IF(BK6&lt;BK30,0,IFERROR(INDEX($T39:BJ39,0,MATCH(BK5-BK30,$T5:BJ5,0)),0))) * (1-BK28)</f>
        <v>211.39248253692523</v>
      </c>
      <c r="BL37" s="42">
        <f t="array" ref="BL37">IF(BL5&lt;BL30,BL25/BL30*(1-BL28),0)+(IF(BL6&lt;BL30,0,IFERROR(INDEX($T37:BK37,0,MATCH(BL5-BL30,$T5:BK5,0)),0))+IF(BL6&lt;BL30,0,IFERROR(INDEX($T36:BK36,0,MATCH(BL5-BL30,$T5:BK5,0)),0))+IF(BL6&lt;BL30,0,IFERROR(INDEX($T39:BK39,0,MATCH(BL5-BL30,$T5:BK5,0)),0))) * (1-BL28)</f>
        <v>218.4020545747822</v>
      </c>
      <c r="BM37" s="42">
        <f t="array" ref="BM37">IF(BM5&lt;BM30,BM25/BM30*(1-BM28),0)+(IF(BM6&lt;BM30,0,IFERROR(INDEX($T37:BL37,0,MATCH(BM5-BM30,$T5:BL5,0)),0))+IF(BM6&lt;BM30,0,IFERROR(INDEX($T36:BL36,0,MATCH(BM5-BM30,$T5:BL5,0)),0))+IF(BM6&lt;BM30,0,IFERROR(INDEX($T39:BL39,0,MATCH(BM5-BM30,$T5:BL5,0)),0))) * (1-BM28)</f>
        <v>225.33999049458754</v>
      </c>
      <c r="BN37" s="42">
        <f t="array" ref="BN37">IF(BN5&lt;BN30,BN25/BN30*(1-BN28),0)+(IF(BN6&lt;BN30,0,IFERROR(INDEX($T37:BM37,0,MATCH(BN5-BN30,$T5:BM5,0)),0))+IF(BN6&lt;BN30,0,IFERROR(INDEX($T36:BM36,0,MATCH(BN5-BN30,$T5:BM5,0)),0))+IF(BN6&lt;BN30,0,IFERROR(INDEX($T39:BM39,0,MATCH(BN5-BN30,$T5:BM5,0)),0))) * (1-BN28)</f>
        <v>232.19543668559118</v>
      </c>
      <c r="BO37" s="42">
        <f t="array" ref="BO37">IF(BO5&lt;BO30,BO25/BO30*(1-BO28),0)+(IF(BO6&lt;BO30,0,IFERROR(INDEX($T37:BN37,0,MATCH(BO5-BO30,$T5:BN5,0)),0))+IF(BO6&lt;BO30,0,IFERROR(INDEX($T36:BN36,0,MATCH(BO5-BO30,$T5:BN5,0)),0))+IF(BO6&lt;BO30,0,IFERROR(INDEX($T39:BN39,0,MATCH(BO5-BO30,$T5:BN5,0)),0))) * (1-BO28)</f>
        <v>238.95829711898708</v>
      </c>
    </row>
    <row r="38" spans="1:67" ht="16.5" customHeight="1">
      <c r="A38" s="16"/>
      <c r="B38" s="17" t="s">
        <v>138</v>
      </c>
      <c r="C38" s="18" t="s">
        <v>86</v>
      </c>
      <c r="D38" s="17" t="s">
        <v>139</v>
      </c>
      <c r="E38" s="17"/>
      <c r="F38" s="17"/>
      <c r="G38" s="17"/>
      <c r="H38" s="17" t="s">
        <v>133</v>
      </c>
      <c r="I38" s="42">
        <f>IF(H38=Forecast!$H$74,T38,IF(H38=Forecast!$H$75,BO38,IF(H38=Forecast!$H$76,SUM(T38:BO38),IF(H38=Forecast!$H$77,AVERAGE(T38:BO38),0))))</f>
        <v>217.29945421469645</v>
      </c>
      <c r="J38" s="17"/>
      <c r="K38" s="17"/>
      <c r="L38" s="17"/>
      <c r="M38" s="17"/>
      <c r="N38" s="17"/>
      <c r="O38" s="17"/>
      <c r="P38" s="17"/>
      <c r="Q38" s="17"/>
      <c r="R38" s="17"/>
      <c r="S38" s="17"/>
      <c r="T38" s="42">
        <f t="array" ref="T38">IF(T5&lt;T30,T25/T30 * T28,0)+(IF(T6&lt;T30,0,IFERROR(INDEX(S37:$T37,0,MATCH(T5-T30,S5:$T5,0)),0))+IF(T6&lt;T30,0,IFERROR(INDEX(S36:$T36,0,MATCH(T5-T30,S5:$T5,0)),0))+IF(T6&lt;T30,0,IFERROR(INDEX(S39:$T39,0,MATCH(T5-T30,S5:$T5,0)),0))) * T28</f>
        <v>0</v>
      </c>
      <c r="U38" s="42">
        <f t="array" ref="U38">IF(U5&lt;U30,U25/U30 * U28,0)+(IF(U6&lt;U30,0,IFERROR(INDEX(T37:$T37,0,MATCH(U5-U30,T5:$T5,0)),0))+IF(U6&lt;U30,0,IFERROR(INDEX(T36:$T36,0,MATCH(U5-U30,T5:$T5,0)),0))+IF(U6&lt;U30,0,IFERROR(INDEX(T39:$T39,0,MATCH(U5-U30,T5:$T5,0)),0))) * U28</f>
        <v>0</v>
      </c>
      <c r="V38" s="42">
        <f t="array" ref="V38">IF(V5&lt;V30,V25/V30 * V28,0)+(IF(V6&lt;V30,0,IFERROR(INDEX($T37:U37,0,MATCH(V5-V30,$T5:U5,0)),0))+IF(V6&lt;V30,0,IFERROR(INDEX($T36:U36,0,MATCH(V5-V30,$T5:U5,0)),0))+IF(V6&lt;V30,0,IFERROR(INDEX($T39:U39,0,MATCH(V5-V30,$T5:U5,0)),0))) * V28</f>
        <v>0</v>
      </c>
      <c r="W38" s="42">
        <f t="array" ref="W38">IF(W5&lt;W30,W25/W30 * W28,0)+(IF(W6&lt;W30,0,IFERROR(INDEX($T37:V37,0,MATCH(W5-W30,$T5:V5,0)),0))+IF(W6&lt;W30,0,IFERROR(INDEX($T36:V36,0,MATCH(W5-W30,$T5:V5,0)),0))+IF(W6&lt;W30,0,IFERROR(INDEX($T39:V39,0,MATCH(W5-W30,$T5:V5,0)),0))) * W28</f>
        <v>0</v>
      </c>
      <c r="X38" s="42">
        <f t="array" ref="X38">IF(X5&lt;X30,X25/X30 * X28,0)+(IF(X6&lt;X30,0,IFERROR(INDEX($T37:W37,0,MATCH(X5-X30,$T5:W5,0)),0))+IF(X6&lt;X30,0,IFERROR(INDEX($T36:W36,0,MATCH(X5-X30,$T5:W5,0)),0))+IF(X6&lt;X30,0,IFERROR(INDEX($T39:W39,0,MATCH(X5-X30,$T5:W5,0)),0))) * X28</f>
        <v>0</v>
      </c>
      <c r="Y38" s="42">
        <f t="array" ref="Y38">IF(Y5&lt;Y30,Y25/Y30 * Y28,0)+(IF(Y6&lt;Y30,0,IFERROR(INDEX($T37:X37,0,MATCH(Y5-Y30,$T5:X5,0)),0))+IF(Y6&lt;Y30,0,IFERROR(INDEX($T36:X36,0,MATCH(Y5-Y30,$T5:X5,0)),0))+IF(Y6&lt;Y30,0,IFERROR(INDEX($T39:X39,0,MATCH(Y5-Y30,$T5:X5,0)),0))) * Y28</f>
        <v>0</v>
      </c>
      <c r="Z38" s="42">
        <f t="array" ref="Z38">IF(Z5&lt;Z30,Z25/Z30 * Z28,0)+(IF(Z6&lt;Z30,0,IFERROR(INDEX($T37:Y37,0,MATCH(Z5-Z30,$T5:Y5,0)),0))+IF(Z6&lt;Z30,0,IFERROR(INDEX($T36:Y36,0,MATCH(Z5-Z30,$T5:Y5,0)),0))+IF(Z6&lt;Z30,0,IFERROR(INDEX($T39:Y39,0,MATCH(Z5-Z30,$T5:Y5,0)),0))) * Z28</f>
        <v>0</v>
      </c>
      <c r="AA38" s="42">
        <f t="array" ref="AA38">IF(AA5&lt;AA30,AA25/AA30 * AA28,0)+(IF(AA6&lt;AA30,0,IFERROR(INDEX($T37:Z37,0,MATCH(AA5-AA30,$T5:Z5,0)),0))+IF(AA6&lt;AA30,0,IFERROR(INDEX($T36:Z36,0,MATCH(AA5-AA30,$T5:Z5,0)),0))+IF(AA6&lt;AA30,0,IFERROR(INDEX($T39:Z39,0,MATCH(AA5-AA30,$T5:Z5,0)),0))) * AA28</f>
        <v>0</v>
      </c>
      <c r="AB38" s="42">
        <f t="array" ref="AB38">IF(AB5&lt;AB30,AB25/AB30 * AB28,0)+(IF(AB6&lt;AB30,0,IFERROR(INDEX($T37:AA37,0,MATCH(AB5-AB30,$T5:AA5,0)),0))+IF(AB6&lt;AB30,0,IFERROR(INDEX($T36:AA36,0,MATCH(AB5-AB30,$T5:AA5,0)),0))+IF(AB6&lt;AB30,0,IFERROR(INDEX($T39:AA39,0,MATCH(AB5-AB30,$T5:AA5,0)),0))) * AB28</f>
        <v>0</v>
      </c>
      <c r="AC38" s="42">
        <f t="array" ref="AC38">IF(AC5&lt;AC30,AC25/AC30 * AC28,0)+(IF(AC6&lt;AC30,0,IFERROR(INDEX($T37:AB37,0,MATCH(AC5-AC30,$T5:AB5,0)),0))+IF(AC6&lt;AC30,0,IFERROR(INDEX($T36:AB36,0,MATCH(AC5-AC30,$T5:AB5,0)),0))+IF(AC6&lt;AC30,0,IFERROR(INDEX($T39:AB39,0,MATCH(AC5-AC30,$T5:AB5,0)),0))) * AC28</f>
        <v>0</v>
      </c>
      <c r="AD38" s="42">
        <f t="array" ref="AD38">IF(AD5&lt;AD30,AD25/AD30 * AD28,0)+(IF(AD6&lt;AD30,0,IFERROR(INDEX($T37:AC37,0,MATCH(AD5-AD30,$T5:AC5,0)),0))+IF(AD6&lt;AD30,0,IFERROR(INDEX($T36:AC36,0,MATCH(AD5-AD30,$T5:AC5,0)),0))+IF(AD6&lt;AD30,0,IFERROR(INDEX($T39:AC39,0,MATCH(AD5-AD30,$T5:AC5,0)),0))) * AD28</f>
        <v>0</v>
      </c>
      <c r="AE38" s="42">
        <f t="array" ref="AE38">IF(AE5&lt;AE30,AE25/AE30 * AE28,0)+(IF(AE6&lt;AE30,0,IFERROR(INDEX($T37:AD37,0,MATCH(AE5-AE30,$T5:AD5,0)),0))+IF(AE6&lt;AE30,0,IFERROR(INDEX($T36:AD36,0,MATCH(AE5-AE30,$T5:AD5,0)),0))+IF(AE6&lt;AE30,0,IFERROR(INDEX($T39:AD39,0,MATCH(AE5-AE30,$T5:AD5,0)),0))) * AE28</f>
        <v>0</v>
      </c>
      <c r="AF38" s="42">
        <f t="array" ref="AF38">IF(AF5&lt;AF30,AF25/AF30 * AF28,0)+(IF(AF6&lt;AF30,0,IFERROR(INDEX($T37:AE37,0,MATCH(AF5-AF30,$T5:AE5,0)),0))+IF(AF6&lt;AF30,0,IFERROR(INDEX($T36:AE36,0,MATCH(AF5-AF30,$T5:AE5,0)),0))+IF(AF6&lt;AF30,0,IFERROR(INDEX($T39:AE39,0,MATCH(AF5-AF30,$T5:AE5,0)),0))) * AF28</f>
        <v>1.25</v>
      </c>
      <c r="AG38" s="42">
        <f t="array" ref="AG38">IF(AG5&lt;AG30,AG25/AG30 * AG28,0)+(IF(AG6&lt;AG30,0,IFERROR(INDEX($T37:AF37,0,MATCH(AG5-AG30,$T5:AF5,0)),0))+IF(AG6&lt;AG30,0,IFERROR(INDEX($T36:AF36,0,MATCH(AG5-AG30,$T5:AF5,0)),0))+IF(AG6&lt;AG30,0,IFERROR(INDEX($T39:AF39,0,MATCH(AG5-AG30,$T5:AF5,0)),0))) * AG28</f>
        <v>1.3687500000000001</v>
      </c>
      <c r="AH38" s="42">
        <f t="array" ref="AH38">IF(AH5&lt;AH30,AH25/AH30 * AH28,0)+(IF(AH6&lt;AH30,0,IFERROR(INDEX($T37:AG37,0,MATCH(AH5-AH30,$T5:AG5,0)),0))+IF(AH6&lt;AH30,0,IFERROR(INDEX($T36:AG36,0,MATCH(AH5-AH30,$T5:AG5,0)),0))+IF(AH6&lt;AH30,0,IFERROR(INDEX($T39:AG39,0,MATCH(AH5-AH30,$T5:AG5,0)),0))) * AH28</f>
        <v>1.4922796875</v>
      </c>
      <c r="AI38" s="42">
        <f t="array" ref="AI38">IF(AI5&lt;AI30,AI25/AI30 * AI28,0)+(IF(AI6&lt;AI30,0,IFERROR(INDEX($T37:AH37,0,MATCH(AI5-AI30,$T5:AH5,0)),0))+IF(AI6&lt;AI30,0,IFERROR(INDEX($T36:AH36,0,MATCH(AI5-AI30,$T5:AH5,0)),0))+IF(AI6&lt;AI30,0,IFERROR(INDEX($T39:AH39,0,MATCH(AI5-AI30,$T5:AH5,0)),0))) * AI28</f>
        <v>1.6202240172070312</v>
      </c>
      <c r="AJ38" s="42">
        <f t="array" ref="AJ38">IF(AJ5&lt;AJ30,AJ25/AJ30 * AJ28,0)+(IF(AJ6&lt;AJ30,0,IFERROR(INDEX($T37:AI37,0,MATCH(AJ5-AJ30,$T5:AI5,0)),0))+IF(AJ6&lt;AJ30,0,IFERROR(INDEX($T36:AI36,0,MATCH(AJ5-AJ30,$T5:AI5,0)),0))+IF(AJ6&lt;AJ30,0,IFERROR(INDEX($T39:AI39,0,MATCH(AJ5-AJ30,$T5:AI5,0)),0))) * AJ28</f>
        <v>1.7521922760485547</v>
      </c>
      <c r="AK38" s="42">
        <f t="array" ref="AK38">IF(AK5&lt;AK30,AK25/AK30 * AK28,0)+(IF(AK6&lt;AK30,0,IFERROR(INDEX($T37:AJ37,0,MATCH(AK5-AK30,$T5:AJ5,0)),0))+IF(AK6&lt;AK30,0,IFERROR(INDEX($T36:AJ36,0,MATCH(AK5-AK30,$T5:AJ5,0)),0))+IF(AK6&lt;AK30,0,IFERROR(INDEX($T39:AJ39,0,MATCH(AK5-AK30,$T5:AJ5,0)),0))) * AK28</f>
        <v>1.8877735742526653</v>
      </c>
      <c r="AL38" s="42">
        <f t="array" ref="AL38">IF(AL5&lt;AL30,AL25/AL30 * AL28,0)+(IF(AL6&lt;AL30,0,IFERROR(INDEX($T37:AK37,0,MATCH(AL5-AL30,$T5:AK5,0)),0))+IF(AL6&lt;AL30,0,IFERROR(INDEX($T36:AK36,0,MATCH(AL5-AL30,$T5:AK5,0)),0))+IF(AL6&lt;AL30,0,IFERROR(INDEX($T39:AK39,0,MATCH(AL5-AL30,$T5:AK5,0)),0))) * AL28</f>
        <v>2.0265422788295959</v>
      </c>
      <c r="AM38" s="42">
        <f t="array" ref="AM38">IF(AM5&lt;AM30,AM25/AM30 * AM28,0)+(IF(AM6&lt;AM30,0,IFERROR(INDEX($T37:AL37,0,MATCH(AM5-AM30,$T5:AL5,0)),0))+IF(AM6&lt;AM30,0,IFERROR(INDEX($T36:AL36,0,MATCH(AM5-AM30,$T5:AL5,0)),0))+IF(AM6&lt;AM30,0,IFERROR(INDEX($T39:AL39,0,MATCH(AM5-AM30,$T5:AL5,0)),0))) * AM28</f>
        <v>2.1680632843713483</v>
      </c>
      <c r="AN38" s="42">
        <f t="array" ref="AN38">IF(AN5&lt;AN30,AN25/AN30 * AN28,0)+(IF(AN6&lt;AN30,0,IFERROR(INDEX($T37:AM37,0,MATCH(AN5-AN30,$T5:AM5,0)),0))+IF(AN6&lt;AN30,0,IFERROR(INDEX($T36:AM36,0,MATCH(AN5-AN30,$T5:AM5,0)),0))+IF(AN6&lt;AN30,0,IFERROR(INDEX($T39:AM39,0,MATCH(AN5-AN30,$T5:AM5,0)),0))) * AN28</f>
        <v>2.3118970322893104</v>
      </c>
      <c r="AO38" s="42">
        <f t="array" ref="AO38">IF(AO5&lt;AO30,AO25/AO30 * AO28,0)+(IF(AO6&lt;AO30,0,IFERROR(INDEX($T37:AN37,0,MATCH(AO5-AO30,$T5:AN5,0)),0))+IF(AO6&lt;AO30,0,IFERROR(INDEX($T36:AN36,0,MATCH(AO5-AO30,$T5:AN5,0)),0))+IF(AO6&lt;AO30,0,IFERROR(INDEX($T39:AN39,0,MATCH(AO5-AO30,$T5:AN5,0)),0))) * AO28</f>
        <v>2.4576042062837513</v>
      </c>
      <c r="AP38" s="42">
        <f t="array" ref="AP38">IF(AP5&lt;AP30,AP25/AP30 * AP28,0)+(IF(AP6&lt;AP30,0,IFERROR(INDEX($T37:AO37,0,MATCH(AP5-AP30,$T5:AO5,0)),0))+IF(AP6&lt;AP30,0,IFERROR(INDEX($T36:AO36,0,MATCH(AP5-AP30,$T5:AO5,0)),0))+IF(AP6&lt;AP30,0,IFERROR(INDEX($T39:AO39,0,MATCH(AP5-AP30,$T5:AO5,0)),0))) * AP28</f>
        <v>2.604750048316721</v>
      </c>
      <c r="AQ38" s="42">
        <f t="array" ref="AQ38">IF(AQ5&lt;AQ30,AQ25/AQ30 * AQ28,0)+(IF(AQ6&lt;AQ30,0,IFERROR(INDEX($T37:AP37,0,MATCH(AQ5-AQ30,$T5:AP5,0)),0))+IF(AQ6&lt;AQ30,0,IFERROR(INDEX($T36:AP36,0,MATCH(AQ5-AQ30,$T5:AP5,0)),0))+IF(AQ6&lt;AQ30,0,IFERROR(INDEX($T39:AP39,0,MATCH(AQ5-AQ30,$T5:AP5,0)),0))) * AQ28</f>
        <v>2.7529082551006874</v>
      </c>
      <c r="AR38" s="42">
        <f t="array" ref="AR38">IF(AR5&lt;AR30,AR25/AR30 * AR28,0)+(IF(AR6&lt;AR30,0,IFERROR(INDEX($T37:AQ37,0,MATCH(AR5-AR30,$T5:AQ5,0)),0))+IF(AR6&lt;AR30,0,IFERROR(INDEX($T36:AQ36,0,MATCH(AR5-AR30,$T5:AQ5,0)),0))+IF(AR6&lt;AR30,0,IFERROR(INDEX($T39:AQ39,0,MATCH(AR5-AR30,$T5:AQ5,0)),0))) * AR28</f>
        <v>4.0891644297060283</v>
      </c>
      <c r="AS38" s="42">
        <f t="array" ref="AS38">IF(AS5&lt;AS30,AS25/AS30 * AS28,0)+(IF(AS6&lt;AS30,0,IFERROR(INDEX($T37:AR37,0,MATCH(AS5-AS30,$T5:AR5,0)),0))+IF(AS6&lt;AS30,0,IFERROR(INDEX($T36:AR36,0,MATCH(AS5-AS30,$T5:AR5,0)),0))+IF(AS6&lt;AS30,0,IFERROR(INDEX($T39:AR39,0,MATCH(AS5-AS30,$T5:AR5,0)),0))) * AS28</f>
        <v>4.3509315760383611</v>
      </c>
      <c r="AT38" s="42">
        <f t="array" ref="AT38">IF(AT5&lt;AT30,AT25/AT30 * AT28,0)+(IF(AT6&lt;AT30,0,IFERROR(INDEX($T37:AS37,0,MATCH(AT5-AT30,$T5:AS5,0)),0))+IF(AT6&lt;AT30,0,IFERROR(INDEX($T36:AS36,0,MATCH(AT5-AT30,$T5:AS5,0)),0))+IF(AT6&lt;AT30,0,IFERROR(INDEX($T39:AS39,0,MATCH(AT5-AT30,$T5:AS5,0)),0))) * AT28</f>
        <v>4.6170558385830054</v>
      </c>
      <c r="AU38" s="42">
        <f t="array" ref="AU38">IF(AU5&lt;AU30,AU25/AU30 * AU28,0)+(IF(AU6&lt;AU30,0,IFERROR(INDEX($T37:AT37,0,MATCH(AU5-AU30,$T5:AT5,0)),0))+IF(AU6&lt;AU30,0,IFERROR(INDEX($T36:AT36,0,MATCH(AU5-AU30,$T5:AT5,0)),0))+IF(AU6&lt;AU30,0,IFERROR(INDEX($T39:AT39,0,MATCH(AU5-AU30,$T5:AT5,0)),0))) * AU28</f>
        <v>4.8868278909664165</v>
      </c>
      <c r="AV38" s="42">
        <f t="array" ref="AV38">IF(AV5&lt;AV30,AV25/AV30 * AV28,0)+(IF(AV6&lt;AV30,0,IFERROR(INDEX($T37:AU37,0,MATCH(AV5-AV30,$T5:AU5,0)),0))+IF(AV6&lt;AV30,0,IFERROR(INDEX($T36:AU36,0,MATCH(AV5-AV30,$T5:AU5,0)),0))+IF(AV6&lt;AV30,0,IFERROR(INDEX($T39:AU39,0,MATCH(AV5-AV30,$T5:AU5,0)),0))) * AV28</f>
        <v>5.1595352039379456</v>
      </c>
      <c r="AW38" s="42">
        <f t="array" ref="AW38">IF(AW5&lt;AW30,AW25/AW30 * AW28,0)+(IF(AW6&lt;AW30,0,IFERROR(INDEX($T37:AV37,0,MATCH(AW5-AW30,$T5:AV5,0)),0))+IF(AW6&lt;AW30,0,IFERROR(INDEX($T36:AV36,0,MATCH(AW5-AW30,$T5:AV5,0)),0))+IF(AW6&lt;AW30,0,IFERROR(INDEX($T39:AV39,0,MATCH(AW5-AW30,$T5:AV5,0)),0))) * AW28</f>
        <v>5.4344685100625796</v>
      </c>
      <c r="AX38" s="42">
        <f t="array" ref="AX38">IF(AX5&lt;AX30,AX25/AX30 * AX28,0)+(IF(AX6&lt;AX30,0,IFERROR(INDEX($T37:AW37,0,MATCH(AX5-AX30,$T5:AW5,0)),0))+IF(AX6&lt;AX30,0,IFERROR(INDEX($T36:AW36,0,MATCH(AX5-AX30,$T5:AW5,0)),0))+IF(AX6&lt;AX30,0,IFERROR(INDEX($T39:AW39,0,MATCH(AX5-AX30,$T5:AW5,0)),0))) * AX28</f>
        <v>5.710927834049861</v>
      </c>
      <c r="AY38" s="42">
        <f t="array" ref="AY38">IF(AY5&lt;AY30,AY25/AY30 * AY28,0)+(IF(AY6&lt;AY30,0,IFERROR(INDEX($T37:AX37,0,MATCH(AY5-AY30,$T5:AX5,0)),0))+IF(AY6&lt;AY30,0,IFERROR(INDEX($T36:AX36,0,MATCH(AY5-AY30,$T5:AX5,0)),0))+IF(AY6&lt;AY30,0,IFERROR(INDEX($T39:AX39,0,MATCH(AY5-AY30,$T5:AX5,0)),0))) * AY28</f>
        <v>5.9882280207016994</v>
      </c>
      <c r="AZ38" s="42">
        <f t="array" ref="AZ38">IF(AZ5&lt;AZ30,AZ25/AZ30 * AZ28,0)+(IF(AZ6&lt;AZ30,0,IFERROR(INDEX($T37:AY37,0,MATCH(AZ5-AZ30,$T5:AY5,0)),0))+IF(AZ6&lt;AZ30,0,IFERROR(INDEX($T36:AY36,0,MATCH(AZ5-AZ30,$T5:AY5,0)),0))+IF(AZ6&lt;AZ30,0,IFERROR(INDEX($T39:AY39,0,MATCH(AZ5-AZ30,$T5:AY5,0)),0))) * AZ28</f>
        <v>6.2657037099810502</v>
      </c>
      <c r="BA38" s="42">
        <f t="array" ref="BA38">IF(BA5&lt;BA30,BA25/BA30 * BA28,0)+(IF(BA6&lt;BA30,0,IFERROR(INDEX($T37:AZ37,0,MATCH(BA5-BA30,$T5:AZ5,0)),0))+IF(BA6&lt;BA30,0,IFERROR(INDEX($T36:AZ36,0,MATCH(BA5-BA30,$T5:AZ5,0)),0))+IF(BA6&lt;BA30,0,IFERROR(INDEX($T39:AZ39,0,MATCH(BA5-BA30,$T5:AZ5,0)),0))) * BA28</f>
        <v>6.5427137255597545</v>
      </c>
      <c r="BB38" s="42">
        <f t="array" ref="BB38">IF(BB5&lt;BB30,BB25/BB30 * BB28,0)+(IF(BB6&lt;BB30,0,IFERROR(INDEX($T37:BA37,0,MATCH(BB5-BB30,$T5:BA5,0)),0))+IF(BB6&lt;BB30,0,IFERROR(INDEX($T36:BA36,0,MATCH(BB5-BB30,$T5:BA5,0)),0))+IF(BB6&lt;BB30,0,IFERROR(INDEX($T39:BA39,0,MATCH(BB5-BB30,$T5:BA5,0)),0))) * BB28</f>
        <v>6.8186448589338031</v>
      </c>
      <c r="BC38" s="42">
        <f t="array" ref="BC38">IF(BC5&lt;BC30,BC25/BC30 * BC28,0)+(IF(BC6&lt;BC30,0,IFERROR(INDEX($T37:BB37,0,MATCH(BC5-BC30,$T5:BB5,0)),0))+IF(BC6&lt;BC30,0,IFERROR(INDEX($T36:BB36,0,MATCH(BC5-BC30,$T5:BB5,0)),0))+IF(BC6&lt;BC30,0,IFERROR(INDEX($T39:BB39,0,MATCH(BC5-BC30,$T5:BB5,0)),0))) * BC28</f>
        <v>7.0929150454502583</v>
      </c>
      <c r="BD38" s="42">
        <f t="array" ref="BD38">IF(BD5&lt;BD30,BD25/BD30 * BD28,0)+(IF(BD6&lt;BD30,0,IFERROR(INDEX($T37:BC37,0,MATCH(BD5-BD30,$T5:BC5,0)),0))+IF(BD6&lt;BD30,0,IFERROR(INDEX($T36:BC36,0,MATCH(BD5-BD30,$T5:BC5,0)),0))+IF(BD6&lt;BD30,0,IFERROR(INDEX($T39:BC39,0,MATCH(BD5-BD30,$T5:BC5,0)),0))) * BD28</f>
        <v>8.4931009411366176</v>
      </c>
      <c r="BE38" s="42">
        <f t="array" ref="BE38">IF(BE5&lt;BE30,BE25/BE30 * BE28,0)+(IF(BE6&lt;BE30,0,IFERROR(INDEX($T37:BD37,0,MATCH(BE5-BE30,$T5:BD5,0)),0))+IF(BE6&lt;BE30,0,IFERROR(INDEX($T36:BD36,0,MATCH(BE5-BE30,$T5:BD5,0)),0))+IF(BE6&lt;BE30,0,IFERROR(INDEX($T39:BD39,0,MATCH(BE5-BE30,$T5:BD5,0)),0))) * BE28</f>
        <v>8.869611794926378</v>
      </c>
      <c r="BF38" s="42">
        <f t="array" ref="BF38">IF(BF5&lt;BF30,BF25/BF30 * BF28,0)+(IF(BF6&lt;BF30,0,IFERROR(INDEX($T37:BE37,0,MATCH(BF5-BF30,$T5:BE5,0)),0))+IF(BF6&lt;BF30,0,IFERROR(INDEX($T36:BE36,0,MATCH(BF5-BF30,$T5:BE5,0)),0))+IF(BF6&lt;BF30,0,IFERROR(INDEX($T39:BE39,0,MATCH(BF5-BF30,$T5:BE5,0)),0))) * BF28</f>
        <v>9.2472389376576327</v>
      </c>
      <c r="BG38" s="42">
        <f t="array" ref="BG38">IF(BG5&lt;BG30,BG25/BG30 * BG28,0)+(IF(BG6&lt;BG30,0,IFERROR(INDEX($T37:BF37,0,MATCH(BG5-BG30,$T5:BF5,0)),0))+IF(BG6&lt;BG30,0,IFERROR(INDEX($T36:BF36,0,MATCH(BG5-BG30,$T5:BF5,0)),0))+IF(BG6&lt;BG30,0,IFERROR(INDEX($T39:BF39,0,MATCH(BG5-BG30,$T5:BF5,0)),0))) * BG28</f>
        <v>9.6252155479557491</v>
      </c>
      <c r="BH38" s="42">
        <f t="array" ref="BH38">IF(BH5&lt;BH30,BH25/BH30 * BH28,0)+(IF(BH6&lt;BH30,0,IFERROR(INDEX($T37:BG37,0,MATCH(BH5-BH30,$T5:BG5,0)),0))+IF(BH6&lt;BH30,0,IFERROR(INDEX($T36:BG36,0,MATCH(BH5-BH30,$T5:BG5,0)),0))+IF(BH6&lt;BH30,0,IFERROR(INDEX($T39:BG39,0,MATCH(BH5-BH30,$T5:BG5,0)),0))) * BH28</f>
        <v>10.002790188318547</v>
      </c>
      <c r="BI38" s="42">
        <f t="array" ref="BI38">IF(BI5&lt;BI30,BI25/BI30 * BI28,0)+(IF(BI6&lt;BI30,0,IFERROR(INDEX($T37:BH37,0,MATCH(BI5-BI30,$T5:BH5,0)),0))+IF(BI6&lt;BI30,0,IFERROR(INDEX($T36:BH36,0,MATCH(BI5-BI30,$T5:BH5,0)),0))+IF(BI6&lt;BI30,0,IFERROR(INDEX($T39:BH39,0,MATCH(BI5-BI30,$T5:BH5,0)),0))) * BI28</f>
        <v>10.379231784530907</v>
      </c>
      <c r="BJ38" s="42">
        <f t="array" ref="BJ38">IF(BJ5&lt;BJ30,BJ25/BJ30 * BJ28,0)+(IF(BJ6&lt;BJ30,0,IFERROR(INDEX($T37:BI37,0,MATCH(BJ5-BJ30,$T5:BI5,0)),0))+IF(BJ6&lt;BJ30,0,IFERROR(INDEX($T36:BI36,0,MATCH(BJ5-BJ30,$T5:BI5,0)),0))+IF(BJ6&lt;BJ30,0,IFERROR(INDEX($T39:BI39,0,MATCH(BJ5-BJ30,$T5:BI5,0)),0))) * BJ28</f>
        <v>10.753834168059488</v>
      </c>
      <c r="BK38" s="42">
        <f t="array" ref="BK38">IF(BK5&lt;BK30,BK25/BK30 * BK28,0)+(IF(BK6&lt;BK30,0,IFERROR(INDEX($T37:BJ37,0,MATCH(BK5-BK30,$T5:BJ5,0)),0))+IF(BK6&lt;BK30,0,IFERROR(INDEX($T36:BJ36,0,MATCH(BK5-BK30,$T5:BJ5,0)),0))+IF(BK6&lt;BK30,0,IFERROR(INDEX($T39:BJ39,0,MATCH(BK5-BK30,$T5:BJ5,0)),0))) * BK28</f>
        <v>11.125920133522381</v>
      </c>
      <c r="BL38" s="42">
        <f t="array" ref="BL38">IF(BL5&lt;BL30,BL25/BL30 * BL28,0)+(IF(BL6&lt;BL30,0,IFERROR(INDEX($T37:BK37,0,MATCH(BL5-BL30,$T5:BK5,0)),0))+IF(BL6&lt;BL30,0,IFERROR(INDEX($T36:BK36,0,MATCH(BL5-BL30,$T5:BK5,0)),0))+IF(BL6&lt;BL30,0,IFERROR(INDEX($T39:BK39,0,MATCH(BL5-BL30,$T5:BK5,0)),0))) * BL28</f>
        <v>11.494844977620117</v>
      </c>
      <c r="BM38" s="42">
        <f t="array" ref="BM38">IF(BM5&lt;BM30,BM25/BM30 * BM28,0)+(IF(BM6&lt;BM30,0,IFERROR(INDEX($T37:BL37,0,MATCH(BM5-BM30,$T5:BL5,0)),0))+IF(BM6&lt;BM30,0,IFERROR(INDEX($T36:BL36,0,MATCH(BM5-BM30,$T5:BL5,0)),0))+IF(BM6&lt;BM30,0,IFERROR(INDEX($T39:BL39,0,MATCH(BM5-BM30,$T5:BL5,0)),0))) * BM28</f>
        <v>11.859999499715135</v>
      </c>
      <c r="BN38" s="42">
        <f t="array" ref="BN38">IF(BN5&lt;BN30,BN25/BN30 * BN28,0)+(IF(BN6&lt;BN30,0,IFERROR(INDEX($T37:BM37,0,MATCH(BN5-BN30,$T5:BM5,0)),0))+IF(BN6&lt;BN30,0,IFERROR(INDEX($T36:BM36,0,MATCH(BN5-BN30,$T5:BM5,0)),0))+IF(BN6&lt;BN30,0,IFERROR(INDEX($T39:BM39,0,MATCH(BN5-BN30,$T5:BM5,0)),0))) * BN28</f>
        <v>12.220812457136379</v>
      </c>
      <c r="BO38" s="42">
        <f t="array" ref="BO38">IF(BO5&lt;BO30,BO25/BO30 * BO28,0)+(IF(BO6&lt;BO30,0,IFERROR(INDEX($T37:BN37,0,MATCH(BO5-BO30,$T5:BN5,0)),0))+IF(BO6&lt;BO30,0,IFERROR(INDEX($T36:BN36,0,MATCH(BO5-BO30,$T5:BN5,0)),0))+IF(BO6&lt;BO30,0,IFERROR(INDEX($T39:BN39,0,MATCH(BO5-BO30,$T5:BN5,0)),0))) * BO28</f>
        <v>12.576752479946689</v>
      </c>
    </row>
    <row r="39" spans="1:67" ht="16.5" customHeight="1">
      <c r="A39" s="16"/>
      <c r="B39" s="17" t="s">
        <v>140</v>
      </c>
      <c r="C39" s="18" t="s">
        <v>86</v>
      </c>
      <c r="D39" s="17" t="s">
        <v>141</v>
      </c>
      <c r="E39" s="17"/>
      <c r="F39" s="17"/>
      <c r="G39" s="17"/>
      <c r="H39" s="17" t="s">
        <v>133</v>
      </c>
      <c r="I39" s="42">
        <f>IF(H39=Forecast!$H$74,T39,IF(H39=Forecast!$H$75,BO39,IF(H39=Forecast!$H$76,SUM(T39:BO39),IF(H39=Forecast!$H$77,AVERAGE(T39:BO39),0))))</f>
        <v>0</v>
      </c>
      <c r="J39" s="17"/>
      <c r="K39" s="17"/>
      <c r="L39" s="17"/>
      <c r="M39" s="17"/>
      <c r="N39" s="17"/>
      <c r="O39" s="17"/>
      <c r="P39" s="17"/>
      <c r="Q39" s="17"/>
      <c r="R39" s="17"/>
      <c r="S39" s="17"/>
      <c r="T39" s="42">
        <f t="shared" ref="T39:BO39" si="11">S38*T29</f>
        <v>0</v>
      </c>
      <c r="U39" s="42">
        <f t="shared" si="11"/>
        <v>0</v>
      </c>
      <c r="V39" s="42">
        <f t="shared" si="11"/>
        <v>0</v>
      </c>
      <c r="W39" s="42">
        <f t="shared" si="11"/>
        <v>0</v>
      </c>
      <c r="X39" s="42">
        <f t="shared" si="11"/>
        <v>0</v>
      </c>
      <c r="Y39" s="42">
        <f t="shared" si="11"/>
        <v>0</v>
      </c>
      <c r="Z39" s="42">
        <f t="shared" si="11"/>
        <v>0</v>
      </c>
      <c r="AA39" s="42">
        <f t="shared" si="11"/>
        <v>0</v>
      </c>
      <c r="AB39" s="42">
        <f t="shared" si="11"/>
        <v>0</v>
      </c>
      <c r="AC39" s="42">
        <f t="shared" si="11"/>
        <v>0</v>
      </c>
      <c r="AD39" s="42">
        <f t="shared" si="11"/>
        <v>0</v>
      </c>
      <c r="AE39" s="42">
        <f t="shared" si="11"/>
        <v>0</v>
      </c>
      <c r="AF39" s="42">
        <f t="shared" si="11"/>
        <v>0</v>
      </c>
      <c r="AG39" s="42">
        <f t="shared" si="11"/>
        <v>0</v>
      </c>
      <c r="AH39" s="42">
        <f t="shared" si="11"/>
        <v>0</v>
      </c>
      <c r="AI39" s="42">
        <f t="shared" si="11"/>
        <v>0</v>
      </c>
      <c r="AJ39" s="42">
        <f t="shared" si="11"/>
        <v>0</v>
      </c>
      <c r="AK39" s="42">
        <f t="shared" si="11"/>
        <v>0</v>
      </c>
      <c r="AL39" s="42">
        <f t="shared" si="11"/>
        <v>0</v>
      </c>
      <c r="AM39" s="42">
        <f t="shared" si="11"/>
        <v>0</v>
      </c>
      <c r="AN39" s="42">
        <f t="shared" si="11"/>
        <v>0</v>
      </c>
      <c r="AO39" s="42">
        <f t="shared" si="11"/>
        <v>0</v>
      </c>
      <c r="AP39" s="42">
        <f t="shared" si="11"/>
        <v>0</v>
      </c>
      <c r="AQ39" s="42">
        <f t="shared" si="11"/>
        <v>0</v>
      </c>
      <c r="AR39" s="42">
        <f t="shared" si="11"/>
        <v>0</v>
      </c>
      <c r="AS39" s="42">
        <f t="shared" si="11"/>
        <v>0</v>
      </c>
      <c r="AT39" s="42">
        <f t="shared" si="11"/>
        <v>0</v>
      </c>
      <c r="AU39" s="42">
        <f t="shared" si="11"/>
        <v>0</v>
      </c>
      <c r="AV39" s="42">
        <f t="shared" si="11"/>
        <v>0</v>
      </c>
      <c r="AW39" s="42">
        <f t="shared" si="11"/>
        <v>0</v>
      </c>
      <c r="AX39" s="42">
        <f t="shared" si="11"/>
        <v>0</v>
      </c>
      <c r="AY39" s="42">
        <f t="shared" si="11"/>
        <v>0</v>
      </c>
      <c r="AZ39" s="42">
        <f t="shared" si="11"/>
        <v>0</v>
      </c>
      <c r="BA39" s="42">
        <f t="shared" si="11"/>
        <v>0</v>
      </c>
      <c r="BB39" s="42">
        <f t="shared" si="11"/>
        <v>0</v>
      </c>
      <c r="BC39" s="42">
        <f t="shared" si="11"/>
        <v>0</v>
      </c>
      <c r="BD39" s="42">
        <f t="shared" si="11"/>
        <v>0</v>
      </c>
      <c r="BE39" s="42">
        <f t="shared" si="11"/>
        <v>0</v>
      </c>
      <c r="BF39" s="42">
        <f t="shared" si="11"/>
        <v>0</v>
      </c>
      <c r="BG39" s="42">
        <f t="shared" si="11"/>
        <v>0</v>
      </c>
      <c r="BH39" s="42">
        <f t="shared" si="11"/>
        <v>0</v>
      </c>
      <c r="BI39" s="42">
        <f t="shared" si="11"/>
        <v>0</v>
      </c>
      <c r="BJ39" s="42">
        <f t="shared" si="11"/>
        <v>0</v>
      </c>
      <c r="BK39" s="42">
        <f t="shared" si="11"/>
        <v>0</v>
      </c>
      <c r="BL39" s="42">
        <f t="shared" si="11"/>
        <v>0</v>
      </c>
      <c r="BM39" s="42">
        <f t="shared" si="11"/>
        <v>0</v>
      </c>
      <c r="BN39" s="42">
        <f t="shared" si="11"/>
        <v>0</v>
      </c>
      <c r="BO39" s="42">
        <f t="shared" si="11"/>
        <v>0</v>
      </c>
    </row>
    <row r="40" spans="1:67" ht="16.5" customHeight="1">
      <c r="A40" s="16"/>
      <c r="B40" s="17" t="s">
        <v>142</v>
      </c>
      <c r="C40" s="18" t="s">
        <v>86</v>
      </c>
      <c r="D40" s="17" t="s">
        <v>143</v>
      </c>
      <c r="E40" s="17"/>
      <c r="F40" s="17"/>
      <c r="G40" s="17"/>
      <c r="H40" s="17" t="s">
        <v>144</v>
      </c>
      <c r="I40" s="42">
        <f>IF(H40=Forecast!$H$74,T40,IF(H40=Forecast!$H$75,BO40,IF(H40=Forecast!$H$76,SUM(T40:BO40),IF(H40=Forecast!$H$77,AVERAGE(T40:BO40),0))))</f>
        <v>3933.6299601350374</v>
      </c>
      <c r="J40" s="17"/>
      <c r="K40" s="17"/>
      <c r="L40" s="17"/>
      <c r="M40" s="17"/>
      <c r="N40" s="17"/>
      <c r="O40" s="17"/>
      <c r="P40" s="17"/>
      <c r="Q40" s="17"/>
      <c r="R40" s="17"/>
      <c r="S40" s="42"/>
      <c r="T40" s="42">
        <f t="shared" ref="T40:BO40" si="12">T34+T36+T39-T38</f>
        <v>25</v>
      </c>
      <c r="U40" s="42">
        <f t="shared" si="12"/>
        <v>52.375</v>
      </c>
      <c r="V40" s="42">
        <f t="shared" si="12"/>
        <v>82.220593750000006</v>
      </c>
      <c r="W40" s="42">
        <f t="shared" si="12"/>
        <v>114.62507409414063</v>
      </c>
      <c r="X40" s="42">
        <f t="shared" si="12"/>
        <v>149.66891961511172</v>
      </c>
      <c r="Y40" s="42">
        <f t="shared" si="12"/>
        <v>187.42439110016502</v>
      </c>
      <c r="Z40" s="42">
        <f t="shared" si="12"/>
        <v>227.95523667675695</v>
      </c>
      <c r="AA40" s="42">
        <f t="shared" si="12"/>
        <v>271.31650236418392</v>
      </c>
      <c r="AB40" s="42">
        <f t="shared" si="12"/>
        <v>317.5544430099701</v>
      </c>
      <c r="AC40" s="42">
        <f t="shared" si="12"/>
        <v>366.7065271356451</v>
      </c>
      <c r="AD40" s="42">
        <f t="shared" si="12"/>
        <v>418.8015281019795</v>
      </c>
      <c r="AE40" s="42">
        <f t="shared" si="12"/>
        <v>473.85969320399323</v>
      </c>
      <c r="AF40" s="42">
        <f t="shared" si="12"/>
        <v>530.64298179811374</v>
      </c>
      <c r="AG40" s="42">
        <f t="shared" si="12"/>
        <v>590.286613318881</v>
      </c>
      <c r="AH40" s="42">
        <f t="shared" si="12"/>
        <v>652.78213634054111</v>
      </c>
      <c r="AI40" s="42">
        <f t="shared" si="12"/>
        <v>718.11421381572882</v>
      </c>
      <c r="AJ40" s="42">
        <f t="shared" si="12"/>
        <v>786.26107237351664</v>
      </c>
      <c r="AK40" s="42">
        <f t="shared" si="12"/>
        <v>857.19497108971484</v>
      </c>
      <c r="AL40" s="42">
        <f t="shared" si="12"/>
        <v>930.88268219412009</v>
      </c>
      <c r="AM40" s="42">
        <f t="shared" si="12"/>
        <v>1007.2859769207271</v>
      </c>
      <c r="AN40" s="42">
        <f t="shared" si="12"/>
        <v>1086.3621104745619</v>
      </c>
      <c r="AO40" s="42">
        <f t="shared" si="12"/>
        <v>1168.0643008600819</v>
      </c>
      <c r="AP40" s="42">
        <f t="shared" si="12"/>
        <v>1252.3421970724237</v>
      </c>
      <c r="AQ40" s="42">
        <f t="shared" si="12"/>
        <v>1339.1423328794151</v>
      </c>
      <c r="AR40" s="42">
        <f t="shared" si="12"/>
        <v>1427.221063108027</v>
      </c>
      <c r="AS40" s="42">
        <f t="shared" si="12"/>
        <v>1517.5946674857873</v>
      </c>
      <c r="AT40" s="42">
        <f t="shared" si="12"/>
        <v>1610.19832946728</v>
      </c>
      <c r="AU40" s="42">
        <f t="shared" si="12"/>
        <v>1704.9660826070665</v>
      </c>
      <c r="AV40" s="42">
        <f t="shared" si="12"/>
        <v>1801.8311822946785</v>
      </c>
      <c r="AW40" s="42">
        <f t="shared" si="12"/>
        <v>1900.7264477840451</v>
      </c>
      <c r="AX40" s="42">
        <f t="shared" si="12"/>
        <v>2001.5845744642377</v>
      </c>
      <c r="AY40" s="42">
        <f t="shared" si="12"/>
        <v>2104.3384167206514</v>
      </c>
      <c r="AZ40" s="42">
        <f t="shared" si="12"/>
        <v>2208.9212420734325</v>
      </c>
      <c r="BA40" s="42">
        <f t="shared" si="12"/>
        <v>2315.2669575565401</v>
      </c>
      <c r="BB40" s="42">
        <f t="shared" si="12"/>
        <v>2423.3103095205915</v>
      </c>
      <c r="BC40" s="42">
        <f t="shared" si="12"/>
        <v>2532.98705821052</v>
      </c>
      <c r="BD40" s="42">
        <f t="shared" si="12"/>
        <v>2643.1060035902874</v>
      </c>
      <c r="BE40" s="42">
        <f t="shared" si="12"/>
        <v>2754.6263170918946</v>
      </c>
      <c r="BF40" s="42">
        <f t="shared" si="12"/>
        <v>2867.4833047170937</v>
      </c>
      <c r="BG40" s="42">
        <f t="shared" si="12"/>
        <v>2981.6140923089743</v>
      </c>
      <c r="BH40" s="42">
        <f t="shared" si="12"/>
        <v>3096.9577203456297</v>
      </c>
      <c r="BI40" s="42">
        <f t="shared" si="12"/>
        <v>3213.4552179458342</v>
      </c>
      <c r="BJ40" s="42">
        <f t="shared" si="12"/>
        <v>3331.0496576530418</v>
      </c>
      <c r="BK40" s="42">
        <f t="shared" si="12"/>
        <v>3449.6861925956741</v>
      </c>
      <c r="BL40" s="42">
        <f t="shared" si="12"/>
        <v>3569.3120776289506</v>
      </c>
      <c r="BM40" s="42">
        <f t="shared" si="12"/>
        <v>3689.8766760489939</v>
      </c>
      <c r="BN40" s="42">
        <f t="shared" si="12"/>
        <v>3811.3314534362289</v>
      </c>
      <c r="BO40" s="42">
        <f t="shared" si="12"/>
        <v>3933.6299601350374</v>
      </c>
    </row>
    <row r="41" spans="1:67" ht="16.5" customHeight="1">
      <c r="A41" s="16"/>
      <c r="B41" s="17" t="s">
        <v>145</v>
      </c>
      <c r="C41" s="18" t="s">
        <v>86</v>
      </c>
      <c r="D41" s="17" t="s">
        <v>146</v>
      </c>
      <c r="E41" s="17"/>
      <c r="F41" s="17"/>
      <c r="G41" s="17"/>
      <c r="H41" s="17" t="s">
        <v>133</v>
      </c>
      <c r="I41" s="42">
        <f>IF(H41=Forecast!$H$74,T41,IF(H41=Forecast!$H$75,BO41,IF(H41=Forecast!$H$76,SUM(T41:BO41),IF(H41=Forecast!$H$77,AVERAGE(T41:BO41),0))))</f>
        <v>0</v>
      </c>
      <c r="J41" s="17"/>
      <c r="K41" s="17"/>
      <c r="L41" s="17"/>
      <c r="M41" s="17"/>
      <c r="N41" s="17"/>
      <c r="O41" s="17"/>
      <c r="P41" s="17"/>
      <c r="Q41" s="17"/>
      <c r="R41" s="17"/>
      <c r="S41" s="42"/>
      <c r="T41" s="42">
        <f t="array" ref="T41">IF(T5&lt;T31,T25/T31,0)+IF(T6&lt;T31,0,IFERROR(INDEX(S37:$T37,0,MATCH(T5-T31,S5:$T5,0)),0))+IF(T6&lt;T31,0,IFERROR(INDEX(S36:$T36,0,MATCH(T5-T31,S5:$T5,0)),0))+IF(T6&lt;T31,0,IFERROR(INDEX(S39:$T39,0,MATCH(T5-T31,S5:$T5,0)),0))+IF(T6&lt;T31,0,IFERROR(INDEX(S41:$T41,0,MATCH(T5-T31,S5:$T5,0)),0))-T38-T37</f>
        <v>0</v>
      </c>
      <c r="U41" s="42">
        <f t="array" ref="U41">IF(U5&lt;U31,U25/U31,0)+IF(U6&lt;U31,0,IFERROR(INDEX(T37:$T37,0,MATCH(U5-U31,T5:$T5,0)),0))+IF(U6&lt;U31,0,IFERROR(INDEX(T36:$T36,0,MATCH(U5-U31,T5:$T5,0)),0))+IF(U6&lt;U31,0,IFERROR(INDEX(T39:$T39,0,MATCH(U5-U31,T5:$T5,0)),0))+IF(U6&lt;U31,0,IFERROR(INDEX(T41:$T41,0,MATCH(U5-U31,T5:$T5,0)),0))-U38-U37</f>
        <v>0</v>
      </c>
      <c r="V41" s="42">
        <f t="array" ref="V41">IF(V5&lt;V31,V25/V31,0)+IF(V6&lt;V31,0,IFERROR(INDEX($T37:U37,0,MATCH(V5-V31,$T5:U5,0)),0))+IF(V6&lt;V31,0,IFERROR(INDEX($T36:U36,0,MATCH(V5-V31,$T5:U5,0)),0))+IF(V6&lt;V31,0,IFERROR(INDEX($T39:U39,0,MATCH(V5-V31,$T5:U5,0)),0))+IF(V6&lt;V31,0,IFERROR(INDEX($T41:U41,0,MATCH(V5-V31,$T5:U5,0)),0))-V38-V37</f>
        <v>0</v>
      </c>
      <c r="W41" s="42">
        <f t="array" ref="W41">IF(W5&lt;W31,W25/W31,0)+IF(W6&lt;W31,0,IFERROR(INDEX($T37:V37,0,MATCH(W5-W31,$T5:V5,0)),0))+IF(W6&lt;W31,0,IFERROR(INDEX($T36:V36,0,MATCH(W5-W31,$T5:V5,0)),0))+IF(W6&lt;W31,0,IFERROR(INDEX($T39:V39,0,MATCH(W5-W31,$T5:V5,0)),0))+IF(W6&lt;W31,0,IFERROR(INDEX($T41:V41,0,MATCH(W5-W31,$T5:V5,0)),0))-W38-W37</f>
        <v>0</v>
      </c>
      <c r="X41" s="42">
        <f t="array" ref="X41">IF(X5&lt;X31,X25/X31,0)+IF(X6&lt;X31,0,IFERROR(INDEX($T37:W37,0,MATCH(X5-X31,$T5:W5,0)),0))+IF(X6&lt;X31,0,IFERROR(INDEX($T36:W36,0,MATCH(X5-X31,$T5:W5,0)),0))+IF(X6&lt;X31,0,IFERROR(INDEX($T39:W39,0,MATCH(X5-X31,$T5:W5,0)),0))+IF(X6&lt;X31,0,IFERROR(INDEX($T41:W41,0,MATCH(X5-X31,$T5:W5,0)),0))-X38-X37</f>
        <v>0</v>
      </c>
      <c r="Y41" s="42">
        <f t="array" ref="Y41">IF(Y5&lt;Y31,Y25/Y31,0)+IF(Y6&lt;Y31,0,IFERROR(INDEX($T37:X37,0,MATCH(Y5-Y31,$T5:X5,0)),0))+IF(Y6&lt;Y31,0,IFERROR(INDEX($T36:X36,0,MATCH(Y5-Y31,$T5:X5,0)),0))+IF(Y6&lt;Y31,0,IFERROR(INDEX($T39:X39,0,MATCH(Y5-Y31,$T5:X5,0)),0))+IF(Y6&lt;Y31,0,IFERROR(INDEX($T41:X41,0,MATCH(Y5-Y31,$T5:X5,0)),0))-Y38-Y37</f>
        <v>0</v>
      </c>
      <c r="Z41" s="42">
        <f t="array" ref="Z41">IF(Z5&lt;Z31,Z25/Z31,0)+IF(Z6&lt;Z31,0,IFERROR(INDEX($T37:Y37,0,MATCH(Z5-Z31,$T5:Y5,0)),0))+IF(Z6&lt;Z31,0,IFERROR(INDEX($T36:Y36,0,MATCH(Z5-Z31,$T5:Y5,0)),0))+IF(Z6&lt;Z31,0,IFERROR(INDEX($T39:Y39,0,MATCH(Z5-Z31,$T5:Y5,0)),0))+IF(Z6&lt;Z31,0,IFERROR(INDEX($T41:Y41,0,MATCH(Z5-Z31,$T5:Y5,0)),0))-Z38-Z37</f>
        <v>0</v>
      </c>
      <c r="AA41" s="42">
        <f t="array" ref="AA41">IF(AA5&lt;AA31,AA25/AA31,0)+IF(AA6&lt;AA31,0,IFERROR(INDEX($T37:Z37,0,MATCH(AA5-AA31,$T5:Z5,0)),0))+IF(AA6&lt;AA31,0,IFERROR(INDEX($T36:Z36,0,MATCH(AA5-AA31,$T5:Z5,0)),0))+IF(AA6&lt;AA31,0,IFERROR(INDEX($T39:Z39,0,MATCH(AA5-AA31,$T5:Z5,0)),0))+IF(AA6&lt;AA31,0,IFERROR(INDEX($T41:Z41,0,MATCH(AA5-AA31,$T5:Z5,0)),0))-AA38-AA37</f>
        <v>0</v>
      </c>
      <c r="AB41" s="42">
        <f t="array" ref="AB41">IF(AB5&lt;AB31,AB25/AB31,0)+IF(AB6&lt;AB31,0,IFERROR(INDEX($T37:AA37,0,MATCH(AB5-AB31,$T5:AA5,0)),0))+IF(AB6&lt;AB31,0,IFERROR(INDEX($T36:AA36,0,MATCH(AB5-AB31,$T5:AA5,0)),0))+IF(AB6&lt;AB31,0,IFERROR(INDEX($T39:AA39,0,MATCH(AB5-AB31,$T5:AA5,0)),0))+IF(AB6&lt;AB31,0,IFERROR(INDEX($T41:AA41,0,MATCH(AB5-AB31,$T5:AA5,0)),0))-AB38-AB37</f>
        <v>0</v>
      </c>
      <c r="AC41" s="42">
        <f t="array" ref="AC41">IF(AC5&lt;AC31,AC25/AC31,0)+IF(AC6&lt;AC31,0,IFERROR(INDEX($T37:AB37,0,MATCH(AC5-AC31,$T5:AB5,0)),0))+IF(AC6&lt;AC31,0,IFERROR(INDEX($T36:AB36,0,MATCH(AC5-AC31,$T5:AB5,0)),0))+IF(AC6&lt;AC31,0,IFERROR(INDEX($T39:AB39,0,MATCH(AC5-AC31,$T5:AB5,0)),0))+IF(AC6&lt;AC31,0,IFERROR(INDEX($T41:AB41,0,MATCH(AC5-AC31,$T5:AB5,0)),0))-AC38-AC37</f>
        <v>0</v>
      </c>
      <c r="AD41" s="42">
        <f t="array" ref="AD41">IF(AD5&lt;AD31,AD25/AD31,0)+IF(AD6&lt;AD31,0,IFERROR(INDEX($T37:AC37,0,MATCH(AD5-AD31,$T5:AC5,0)),0))+IF(AD6&lt;AD31,0,IFERROR(INDEX($T36:AC36,0,MATCH(AD5-AD31,$T5:AC5,0)),0))+IF(AD6&lt;AD31,0,IFERROR(INDEX($T39:AC39,0,MATCH(AD5-AD31,$T5:AC5,0)),0))+IF(AD6&lt;AD31,0,IFERROR(INDEX($T41:AC41,0,MATCH(AD5-AD31,$T5:AC5,0)),0))-AD38-AD37</f>
        <v>0</v>
      </c>
      <c r="AE41" s="42">
        <f t="array" ref="AE41">IF(AE5&lt;AE31,AE25/AE31,0)+IF(AE6&lt;AE31,0,IFERROR(INDEX($T37:AD37,0,MATCH(AE5-AE31,$T5:AD5,0)),0))+IF(AE6&lt;AE31,0,IFERROR(INDEX($T36:AD36,0,MATCH(AE5-AE31,$T5:AD5,0)),0))+IF(AE6&lt;AE31,0,IFERROR(INDEX($T39:AD39,0,MATCH(AE5-AE31,$T5:AD5,0)),0))+IF(AE6&lt;AE31,0,IFERROR(INDEX($T41:AD41,0,MATCH(AE5-AE31,$T5:AD5,0)),0))-AE38-AE37</f>
        <v>0</v>
      </c>
      <c r="AF41" s="42">
        <f t="array" ref="AF41">IF(AF5&lt;AF31,AF25/AF31,0)+IF(AF6&lt;AF31,0,IFERROR(INDEX($T37:AE37,0,MATCH(AF5-AF31,$T5:AE5,0)),0))+IF(AF6&lt;AF31,0,IFERROR(INDEX($T36:AE36,0,MATCH(AF5-AF31,$T5:AE5,0)),0))+IF(AF6&lt;AF31,0,IFERROR(INDEX($T39:AE39,0,MATCH(AF5-AF31,$T5:AE5,0)),0))+IF(AF6&lt;AF31,0,IFERROR(INDEX($T41:AE41,0,MATCH(AF5-AF31,$T5:AE5,0)),0))-AF38-AF37</f>
        <v>0</v>
      </c>
      <c r="AG41" s="42">
        <f t="array" ref="AG41">IF(AG5&lt;AG31,AG25/AG31,0)+IF(AG6&lt;AG31,0,IFERROR(INDEX($T37:AF37,0,MATCH(AG5-AG31,$T5:AF5,0)),0))+IF(AG6&lt;AG31,0,IFERROR(INDEX($T36:AF36,0,MATCH(AG5-AG31,$T5:AF5,0)),0))+IF(AG6&lt;AG31,0,IFERROR(INDEX($T39:AF39,0,MATCH(AG5-AG31,$T5:AF5,0)),0))+IF(AG6&lt;AG31,0,IFERROR(INDEX($T41:AF41,0,MATCH(AG5-AG31,$T5:AF5,0)),0))-AG38-AG37</f>
        <v>0</v>
      </c>
      <c r="AH41" s="42">
        <f t="array" ref="AH41">IF(AH5&lt;AH31,AH25/AH31,0)+IF(AH6&lt;AH31,0,IFERROR(INDEX($T37:AG37,0,MATCH(AH5-AH31,$T5:AG5,0)),0))+IF(AH6&lt;AH31,0,IFERROR(INDEX($T36:AG36,0,MATCH(AH5-AH31,$T5:AG5,0)),0))+IF(AH6&lt;AH31,0,IFERROR(INDEX($T39:AG39,0,MATCH(AH5-AH31,$T5:AG5,0)),0))+IF(AH6&lt;AH31,0,IFERROR(INDEX($T41:AG41,0,MATCH(AH5-AH31,$T5:AG5,0)),0))-AH38-AH37</f>
        <v>0</v>
      </c>
      <c r="AI41" s="42">
        <f t="array" ref="AI41">IF(AI5&lt;AI31,AI25/AI31,0)+IF(AI6&lt;AI31,0,IFERROR(INDEX($T37:AH37,0,MATCH(AI5-AI31,$T5:AH5,0)),0))+IF(AI6&lt;AI31,0,IFERROR(INDEX($T36:AH36,0,MATCH(AI5-AI31,$T5:AH5,0)),0))+IF(AI6&lt;AI31,0,IFERROR(INDEX($T39:AH39,0,MATCH(AI5-AI31,$T5:AH5,0)),0))+IF(AI6&lt;AI31,0,IFERROR(INDEX($T41:AH41,0,MATCH(AI5-AI31,$T5:AH5,0)),0))-AI38-AI37</f>
        <v>0</v>
      </c>
      <c r="AJ41" s="42">
        <f t="array" ref="AJ41">IF(AJ5&lt;AJ31,AJ25/AJ31,0)+IF(AJ6&lt;AJ31,0,IFERROR(INDEX($T37:AI37,0,MATCH(AJ5-AJ31,$T5:AI5,0)),0))+IF(AJ6&lt;AJ31,0,IFERROR(INDEX($T36:AI36,0,MATCH(AJ5-AJ31,$T5:AI5,0)),0))+IF(AJ6&lt;AJ31,0,IFERROR(INDEX($T39:AI39,0,MATCH(AJ5-AJ31,$T5:AI5,0)),0))+IF(AJ6&lt;AJ31,0,IFERROR(INDEX($T41:AI41,0,MATCH(AJ5-AJ31,$T5:AI5,0)),0))-AJ38-AJ37</f>
        <v>0</v>
      </c>
      <c r="AK41" s="42">
        <f t="array" ref="AK41">IF(AK5&lt;AK31,AK25/AK31,0)+IF(AK6&lt;AK31,0,IFERROR(INDEX($T37:AJ37,0,MATCH(AK5-AK31,$T5:AJ5,0)),0))+IF(AK6&lt;AK31,0,IFERROR(INDEX($T36:AJ36,0,MATCH(AK5-AK31,$T5:AJ5,0)),0))+IF(AK6&lt;AK31,0,IFERROR(INDEX($T39:AJ39,0,MATCH(AK5-AK31,$T5:AJ5,0)),0))+IF(AK6&lt;AK31,0,IFERROR(INDEX($T41:AJ41,0,MATCH(AK5-AK31,$T5:AJ5,0)),0))-AK38-AK37</f>
        <v>0</v>
      </c>
      <c r="AL41" s="42">
        <f t="array" ref="AL41">IF(AL5&lt;AL31,AL25/AL31,0)+IF(AL6&lt;AL31,0,IFERROR(INDEX($T37:AK37,0,MATCH(AL5-AL31,$T5:AK5,0)),0))+IF(AL6&lt;AL31,0,IFERROR(INDEX($T36:AK36,0,MATCH(AL5-AL31,$T5:AK5,0)),0))+IF(AL6&lt;AL31,0,IFERROR(INDEX($T39:AK39,0,MATCH(AL5-AL31,$T5:AK5,0)),0))+IF(AL6&lt;AL31,0,IFERROR(INDEX($T41:AK41,0,MATCH(AL5-AL31,$T5:AK5,0)),0))-AL38-AL37</f>
        <v>0</v>
      </c>
      <c r="AM41" s="42">
        <f t="array" ref="AM41">IF(AM5&lt;AM31,AM25/AM31,0)+IF(AM6&lt;AM31,0,IFERROR(INDEX($T37:AL37,0,MATCH(AM5-AM31,$T5:AL5,0)),0))+IF(AM6&lt;AM31,0,IFERROR(INDEX($T36:AL36,0,MATCH(AM5-AM31,$T5:AL5,0)),0))+IF(AM6&lt;AM31,0,IFERROR(INDEX($T39:AL39,0,MATCH(AM5-AM31,$T5:AL5,0)),0))+IF(AM6&lt;AM31,0,IFERROR(INDEX($T41:AL41,0,MATCH(AM5-AM31,$T5:AL5,0)),0))-AM38-AM37</f>
        <v>0</v>
      </c>
      <c r="AN41" s="42">
        <f t="array" ref="AN41">IF(AN5&lt;AN31,AN25/AN31,0)+IF(AN6&lt;AN31,0,IFERROR(INDEX($T37:AM37,0,MATCH(AN5-AN31,$T5:AM5,0)),0))+IF(AN6&lt;AN31,0,IFERROR(INDEX($T36:AM36,0,MATCH(AN5-AN31,$T5:AM5,0)),0))+IF(AN6&lt;AN31,0,IFERROR(INDEX($T39:AM39,0,MATCH(AN5-AN31,$T5:AM5,0)),0))+IF(AN6&lt;AN31,0,IFERROR(INDEX($T41:AM41,0,MATCH(AN5-AN31,$T5:AM5,0)),0))-AN38-AN37</f>
        <v>0</v>
      </c>
      <c r="AO41" s="42">
        <f t="array" ref="AO41">IF(AO5&lt;AO31,AO25/AO31,0)+IF(AO6&lt;AO31,0,IFERROR(INDEX($T37:AN37,0,MATCH(AO5-AO31,$T5:AN5,0)),0))+IF(AO6&lt;AO31,0,IFERROR(INDEX($T36:AN36,0,MATCH(AO5-AO31,$T5:AN5,0)),0))+IF(AO6&lt;AO31,0,IFERROR(INDEX($T39:AN39,0,MATCH(AO5-AO31,$T5:AN5,0)),0))+IF(AO6&lt;AO31,0,IFERROR(INDEX($T41:AN41,0,MATCH(AO5-AO31,$T5:AN5,0)),0))-AO38-AO37</f>
        <v>0</v>
      </c>
      <c r="AP41" s="42">
        <f t="array" ref="AP41">IF(AP5&lt;AP31,AP25/AP31,0)+IF(AP6&lt;AP31,0,IFERROR(INDEX($T37:AO37,0,MATCH(AP5-AP31,$T5:AO5,0)),0))+IF(AP6&lt;AP31,0,IFERROR(INDEX($T36:AO36,0,MATCH(AP5-AP31,$T5:AO5,0)),0))+IF(AP6&lt;AP31,0,IFERROR(INDEX($T39:AO39,0,MATCH(AP5-AP31,$T5:AO5,0)),0))+IF(AP6&lt;AP31,0,IFERROR(INDEX($T41:AO41,0,MATCH(AP5-AP31,$T5:AO5,0)),0))-AP38-AP37</f>
        <v>0</v>
      </c>
      <c r="AQ41" s="42">
        <f t="array" ref="AQ41">IF(AQ5&lt;AQ31,AQ25/AQ31,0)+IF(AQ6&lt;AQ31,0,IFERROR(INDEX($T37:AP37,0,MATCH(AQ5-AQ31,$T5:AP5,0)),0))+IF(AQ6&lt;AQ31,0,IFERROR(INDEX($T36:AP36,0,MATCH(AQ5-AQ31,$T5:AP5,0)),0))+IF(AQ6&lt;AQ31,0,IFERROR(INDEX($T39:AP39,0,MATCH(AQ5-AQ31,$T5:AP5,0)),0))+IF(AQ6&lt;AQ31,0,IFERROR(INDEX($T41:AP41,0,MATCH(AQ5-AQ31,$T5:AP5,0)),0))-AQ38-AQ37</f>
        <v>0</v>
      </c>
      <c r="AR41" s="42">
        <f t="array" ref="AR41">IF(AR5&lt;AR31,AR25/AR31,0)+IF(AR6&lt;AR31,0,IFERROR(INDEX($T37:AQ37,0,MATCH(AR5-AR31,$T5:AQ5,0)),0))+IF(AR6&lt;AR31,0,IFERROR(INDEX($T36:AQ36,0,MATCH(AR5-AR31,$T5:AQ5,0)),0))+IF(AR6&lt;AR31,0,IFERROR(INDEX($T39:AQ39,0,MATCH(AR5-AR31,$T5:AQ5,0)),0))+IF(AR6&lt;AR31,0,IFERROR(INDEX($T41:AQ41,0,MATCH(AR5-AR31,$T5:AQ5,0)),0))-AR38-AR37</f>
        <v>0</v>
      </c>
      <c r="AS41" s="42">
        <f t="array" ref="AS41">IF(AS5&lt;AS31,AS25/AS31,0)+IF(AS6&lt;AS31,0,IFERROR(INDEX($T37:AR37,0,MATCH(AS5-AS31,$T5:AR5,0)),0))+IF(AS6&lt;AS31,0,IFERROR(INDEX($T36:AR36,0,MATCH(AS5-AS31,$T5:AR5,0)),0))+IF(AS6&lt;AS31,0,IFERROR(INDEX($T39:AR39,0,MATCH(AS5-AS31,$T5:AR5,0)),0))+IF(AS6&lt;AS31,0,IFERROR(INDEX($T41:AR41,0,MATCH(AS5-AS31,$T5:AR5,0)),0))-AS38-AS37</f>
        <v>0</v>
      </c>
      <c r="AT41" s="42">
        <f t="array" ref="AT41">IF(AT5&lt;AT31,AT25/AT31,0)+IF(AT6&lt;AT31,0,IFERROR(INDEX($T37:AS37,0,MATCH(AT5-AT31,$T5:AS5,0)),0))+IF(AT6&lt;AT31,0,IFERROR(INDEX($T36:AS36,0,MATCH(AT5-AT31,$T5:AS5,0)),0))+IF(AT6&lt;AT31,0,IFERROR(INDEX($T39:AS39,0,MATCH(AT5-AT31,$T5:AS5,0)),0))+IF(AT6&lt;AT31,0,IFERROR(INDEX($T41:AS41,0,MATCH(AT5-AT31,$T5:AS5,0)),0))-AT38-AT37</f>
        <v>0</v>
      </c>
      <c r="AU41" s="42">
        <f t="array" ref="AU41">IF(AU5&lt;AU31,AU25/AU31,0)+IF(AU6&lt;AU31,0,IFERROR(INDEX($T37:AT37,0,MATCH(AU5-AU31,$T5:AT5,0)),0))+IF(AU6&lt;AU31,0,IFERROR(INDEX($T36:AT36,0,MATCH(AU5-AU31,$T5:AT5,0)),0))+IF(AU6&lt;AU31,0,IFERROR(INDEX($T39:AT39,0,MATCH(AU5-AU31,$T5:AT5,0)),0))+IF(AU6&lt;AU31,0,IFERROR(INDEX($T41:AT41,0,MATCH(AU5-AU31,$T5:AT5,0)),0))-AU38-AU37</f>
        <v>0</v>
      </c>
      <c r="AV41" s="42">
        <f t="array" ref="AV41">IF(AV5&lt;AV31,AV25/AV31,0)+IF(AV6&lt;AV31,0,IFERROR(INDEX($T37:AU37,0,MATCH(AV5-AV31,$T5:AU5,0)),0))+IF(AV6&lt;AV31,0,IFERROR(INDEX($T36:AU36,0,MATCH(AV5-AV31,$T5:AU5,0)),0))+IF(AV6&lt;AV31,0,IFERROR(INDEX($T39:AU39,0,MATCH(AV5-AV31,$T5:AU5,0)),0))+IF(AV6&lt;AV31,0,IFERROR(INDEX($T41:AU41,0,MATCH(AV5-AV31,$T5:AU5,0)),0))-AV38-AV37</f>
        <v>0</v>
      </c>
      <c r="AW41" s="42">
        <f t="array" ref="AW41">IF(AW5&lt;AW31,AW25/AW31,0)+IF(AW6&lt;AW31,0,IFERROR(INDEX($T37:AV37,0,MATCH(AW5-AW31,$T5:AV5,0)),0))+IF(AW6&lt;AW31,0,IFERROR(INDEX($T36:AV36,0,MATCH(AW5-AW31,$T5:AV5,0)),0))+IF(AW6&lt;AW31,0,IFERROR(INDEX($T39:AV39,0,MATCH(AW5-AW31,$T5:AV5,0)),0))+IF(AW6&lt;AW31,0,IFERROR(INDEX($T41:AV41,0,MATCH(AW5-AW31,$T5:AV5,0)),0))-AW38-AW37</f>
        <v>0</v>
      </c>
      <c r="AX41" s="42">
        <f t="array" ref="AX41">IF(AX5&lt;AX31,AX25/AX31,0)+IF(AX6&lt;AX31,0,IFERROR(INDEX($T37:AW37,0,MATCH(AX5-AX31,$T5:AW5,0)),0))+IF(AX6&lt;AX31,0,IFERROR(INDEX($T36:AW36,0,MATCH(AX5-AX31,$T5:AW5,0)),0))+IF(AX6&lt;AX31,0,IFERROR(INDEX($T39:AW39,0,MATCH(AX5-AX31,$T5:AW5,0)),0))+IF(AX6&lt;AX31,0,IFERROR(INDEX($T41:AW41,0,MATCH(AX5-AX31,$T5:AW5,0)),0))-AX38-AX37</f>
        <v>0</v>
      </c>
      <c r="AY41" s="42">
        <f t="array" ref="AY41">IF(AY5&lt;AY31,AY25/AY31,0)+IF(AY6&lt;AY31,0,IFERROR(INDEX($T37:AX37,0,MATCH(AY5-AY31,$T5:AX5,0)),0))+IF(AY6&lt;AY31,0,IFERROR(INDEX($T36:AX36,0,MATCH(AY5-AY31,$T5:AX5,0)),0))+IF(AY6&lt;AY31,0,IFERROR(INDEX($T39:AX39,0,MATCH(AY5-AY31,$T5:AX5,0)),0))+IF(AY6&lt;AY31,0,IFERROR(INDEX($T41:AX41,0,MATCH(AY5-AY31,$T5:AX5,0)),0))-AY38-AY37</f>
        <v>0</v>
      </c>
      <c r="AZ41" s="42">
        <f t="array" ref="AZ41">IF(AZ5&lt;AZ31,AZ25/AZ31,0)+IF(AZ6&lt;AZ31,0,IFERROR(INDEX($T37:AY37,0,MATCH(AZ5-AZ31,$T5:AY5,0)),0))+IF(AZ6&lt;AZ31,0,IFERROR(INDEX($T36:AY36,0,MATCH(AZ5-AZ31,$T5:AY5,0)),0))+IF(AZ6&lt;AZ31,0,IFERROR(INDEX($T39:AY39,0,MATCH(AZ5-AZ31,$T5:AY5,0)),0))+IF(AZ6&lt;AZ31,0,IFERROR(INDEX($T41:AY41,0,MATCH(AZ5-AZ31,$T5:AY5,0)),0))-AZ38-AZ37</f>
        <v>0</v>
      </c>
      <c r="BA41" s="42">
        <f t="array" ref="BA41">IF(BA5&lt;BA31,BA25/BA31,0)+IF(BA6&lt;BA31,0,IFERROR(INDEX($T37:AZ37,0,MATCH(BA5-BA31,$T5:AZ5,0)),0))+IF(BA6&lt;BA31,0,IFERROR(INDEX($T36:AZ36,0,MATCH(BA5-BA31,$T5:AZ5,0)),0))+IF(BA6&lt;BA31,0,IFERROR(INDEX($T39:AZ39,0,MATCH(BA5-BA31,$T5:AZ5,0)),0))+IF(BA6&lt;BA31,0,IFERROR(INDEX($T41:AZ41,0,MATCH(BA5-BA31,$T5:AZ5,0)),0))-BA38-BA37</f>
        <v>0</v>
      </c>
      <c r="BB41" s="42">
        <f t="array" ref="BB41">IF(BB5&lt;BB31,BB25/BB31,0)+IF(BB6&lt;BB31,0,IFERROR(INDEX($T37:BA37,0,MATCH(BB5-BB31,$T5:BA5,0)),0))+IF(BB6&lt;BB31,0,IFERROR(INDEX($T36:BA36,0,MATCH(BB5-BB31,$T5:BA5,0)),0))+IF(BB6&lt;BB31,0,IFERROR(INDEX($T39:BA39,0,MATCH(BB5-BB31,$T5:BA5,0)),0))+IF(BB6&lt;BB31,0,IFERROR(INDEX($T41:BA41,0,MATCH(BB5-BB31,$T5:BA5,0)),0))-BB38-BB37</f>
        <v>0</v>
      </c>
      <c r="BC41" s="42">
        <f t="array" ref="BC41">IF(BC5&lt;BC31,BC25/BC31,0)+IF(BC6&lt;BC31,0,IFERROR(INDEX($T37:BB37,0,MATCH(BC5-BC31,$T5:BB5,0)),0))+IF(BC6&lt;BC31,0,IFERROR(INDEX($T36:BB36,0,MATCH(BC5-BC31,$T5:BB5,0)),0))+IF(BC6&lt;BC31,0,IFERROR(INDEX($T39:BB39,0,MATCH(BC5-BC31,$T5:BB5,0)),0))+IF(BC6&lt;BC31,0,IFERROR(INDEX($T41:BB41,0,MATCH(BC5-BC31,$T5:BB5,0)),0))-BC38-BC37</f>
        <v>0</v>
      </c>
      <c r="BD41" s="42">
        <f t="array" ref="BD41">IF(BD5&lt;BD31,BD25/BD31,0)+IF(BD6&lt;BD31,0,IFERROR(INDEX($T37:BC37,0,MATCH(BD5-BD31,$T5:BC5,0)),0))+IF(BD6&lt;BD31,0,IFERROR(INDEX($T36:BC36,0,MATCH(BD5-BD31,$T5:BC5,0)),0))+IF(BD6&lt;BD31,0,IFERROR(INDEX($T39:BC39,0,MATCH(BD5-BD31,$T5:BC5,0)),0))+IF(BD6&lt;BD31,0,IFERROR(INDEX($T41:BC41,0,MATCH(BD5-BD31,$T5:BC5,0)),0))-BD38-BD37</f>
        <v>0</v>
      </c>
      <c r="BE41" s="42">
        <f t="array" ref="BE41">IF(BE5&lt;BE31,BE25/BE31,0)+IF(BE6&lt;BE31,0,IFERROR(INDEX($T37:BD37,0,MATCH(BE5-BE31,$T5:BD5,0)),0))+IF(BE6&lt;BE31,0,IFERROR(INDEX($T36:BD36,0,MATCH(BE5-BE31,$T5:BD5,0)),0))+IF(BE6&lt;BE31,0,IFERROR(INDEX($T39:BD39,0,MATCH(BE5-BE31,$T5:BD5,0)),0))+IF(BE6&lt;BE31,0,IFERROR(INDEX($T41:BD41,0,MATCH(BE5-BE31,$T5:BD5,0)),0))-BE38-BE37</f>
        <v>0</v>
      </c>
      <c r="BF41" s="42">
        <f t="array" ref="BF41">IF(BF5&lt;BF31,BF25/BF31,0)+IF(BF6&lt;BF31,0,IFERROR(INDEX($T37:BE37,0,MATCH(BF5-BF31,$T5:BE5,0)),0))+IF(BF6&lt;BF31,0,IFERROR(INDEX($T36:BE36,0,MATCH(BF5-BF31,$T5:BE5,0)),0))+IF(BF6&lt;BF31,0,IFERROR(INDEX($T39:BE39,0,MATCH(BF5-BF31,$T5:BE5,0)),0))+IF(BF6&lt;BF31,0,IFERROR(INDEX($T41:BE41,0,MATCH(BF5-BF31,$T5:BE5,0)),0))-BF38-BF37</f>
        <v>0</v>
      </c>
      <c r="BG41" s="42">
        <f t="array" ref="BG41">IF(BG5&lt;BG31,BG25/BG31,0)+IF(BG6&lt;BG31,0,IFERROR(INDEX($T37:BF37,0,MATCH(BG5-BG31,$T5:BF5,0)),0))+IF(BG6&lt;BG31,0,IFERROR(INDEX($T36:BF36,0,MATCH(BG5-BG31,$T5:BF5,0)),0))+IF(BG6&lt;BG31,0,IFERROR(INDEX($T39:BF39,0,MATCH(BG5-BG31,$T5:BF5,0)),0))+IF(BG6&lt;BG31,0,IFERROR(INDEX($T41:BF41,0,MATCH(BG5-BG31,$T5:BF5,0)),0))-BG38-BG37</f>
        <v>0</v>
      </c>
      <c r="BH41" s="42">
        <f t="array" ref="BH41">IF(BH5&lt;BH31,BH25/BH31,0)+IF(BH6&lt;BH31,0,IFERROR(INDEX($T37:BG37,0,MATCH(BH5-BH31,$T5:BG5,0)),0))+IF(BH6&lt;BH31,0,IFERROR(INDEX($T36:BG36,0,MATCH(BH5-BH31,$T5:BG5,0)),0))+IF(BH6&lt;BH31,0,IFERROR(INDEX($T39:BG39,0,MATCH(BH5-BH31,$T5:BG5,0)),0))+IF(BH6&lt;BH31,0,IFERROR(INDEX($T41:BG41,0,MATCH(BH5-BH31,$T5:BG5,0)),0))-BH38-BH37</f>
        <v>0</v>
      </c>
      <c r="BI41" s="42">
        <f t="array" ref="BI41">IF(BI5&lt;BI31,BI25/BI31,0)+IF(BI6&lt;BI31,0,IFERROR(INDEX($T37:BH37,0,MATCH(BI5-BI31,$T5:BH5,0)),0))+IF(BI6&lt;BI31,0,IFERROR(INDEX($T36:BH36,0,MATCH(BI5-BI31,$T5:BH5,0)),0))+IF(BI6&lt;BI31,0,IFERROR(INDEX($T39:BH39,0,MATCH(BI5-BI31,$T5:BH5,0)),0))+IF(BI6&lt;BI31,0,IFERROR(INDEX($T41:BH41,0,MATCH(BI5-BI31,$T5:BH5,0)),0))-BI38-BI37</f>
        <v>0</v>
      </c>
      <c r="BJ41" s="42">
        <f t="array" ref="BJ41">IF(BJ5&lt;BJ31,BJ25/BJ31,0)+IF(BJ6&lt;BJ31,0,IFERROR(INDEX($T37:BI37,0,MATCH(BJ5-BJ31,$T5:BI5,0)),0))+IF(BJ6&lt;BJ31,0,IFERROR(INDEX($T36:BI36,0,MATCH(BJ5-BJ31,$T5:BI5,0)),0))+IF(BJ6&lt;BJ31,0,IFERROR(INDEX($T39:BI39,0,MATCH(BJ5-BJ31,$T5:BI5,0)),0))+IF(BJ6&lt;BJ31,0,IFERROR(INDEX($T41:BI41,0,MATCH(BJ5-BJ31,$T5:BI5,0)),0))-BJ38-BJ37</f>
        <v>0</v>
      </c>
      <c r="BK41" s="42">
        <f t="array" ref="BK41">IF(BK5&lt;BK31,BK25/BK31,0)+IF(BK6&lt;BK31,0,IFERROR(INDEX($T37:BJ37,0,MATCH(BK5-BK31,$T5:BJ5,0)),0))+IF(BK6&lt;BK31,0,IFERROR(INDEX($T36:BJ36,0,MATCH(BK5-BK31,$T5:BJ5,0)),0))+IF(BK6&lt;BK31,0,IFERROR(INDEX($T39:BJ39,0,MATCH(BK5-BK31,$T5:BJ5,0)),0))+IF(BK6&lt;BK31,0,IFERROR(INDEX($T41:BJ41,0,MATCH(BK5-BK31,$T5:BJ5,0)),0))-BK38-BK37</f>
        <v>0</v>
      </c>
      <c r="BL41" s="42">
        <f t="array" ref="BL41">IF(BL5&lt;BL31,BL25/BL31,0)+IF(BL6&lt;BL31,0,IFERROR(INDEX($T37:BK37,0,MATCH(BL5-BL31,$T5:BK5,0)),0))+IF(BL6&lt;BL31,0,IFERROR(INDEX($T36:BK36,0,MATCH(BL5-BL31,$T5:BK5,0)),0))+IF(BL6&lt;BL31,0,IFERROR(INDEX($T39:BK39,0,MATCH(BL5-BL31,$T5:BK5,0)),0))+IF(BL6&lt;BL31,0,IFERROR(INDEX($T41:BK41,0,MATCH(BL5-BL31,$T5:BK5,0)),0))-BL38-BL37</f>
        <v>0</v>
      </c>
      <c r="BM41" s="42">
        <f t="array" ref="BM41">IF(BM5&lt;BM31,BM25/BM31,0)+IF(BM6&lt;BM31,0,IFERROR(INDEX($T37:BL37,0,MATCH(BM5-BM31,$T5:BL5,0)),0))+IF(BM6&lt;BM31,0,IFERROR(INDEX($T36:BL36,0,MATCH(BM5-BM31,$T5:BL5,0)),0))+IF(BM6&lt;BM31,0,IFERROR(INDEX($T39:BL39,0,MATCH(BM5-BM31,$T5:BL5,0)),0))+IF(BM6&lt;BM31,0,IFERROR(INDEX($T41:BL41,0,MATCH(BM5-BM31,$T5:BL5,0)),0))-BM38-BM37</f>
        <v>0</v>
      </c>
      <c r="BN41" s="42">
        <f t="array" ref="BN41">IF(BN5&lt;BN31,BN25/BN31,0)+IF(BN6&lt;BN31,0,IFERROR(INDEX($T37:BM37,0,MATCH(BN5-BN31,$T5:BM5,0)),0))+IF(BN6&lt;BN31,0,IFERROR(INDEX($T36:BM36,0,MATCH(BN5-BN31,$T5:BM5,0)),0))+IF(BN6&lt;BN31,0,IFERROR(INDEX($T39:BM39,0,MATCH(BN5-BN31,$T5:BM5,0)),0))+IF(BN6&lt;BN31,0,IFERROR(INDEX($T41:BM41,0,MATCH(BN5-BN31,$T5:BM5,0)),0))-BN38-BN37</f>
        <v>0</v>
      </c>
      <c r="BO41" s="42">
        <f t="array" ref="BO41">IF(BO5&lt;BO31,BO25/BO31,0)+IF(BO6&lt;BO31,0,IFERROR(INDEX($T37:BN37,0,MATCH(BO5-BO31,$T5:BN5,0)),0))+IF(BO6&lt;BO31,0,IFERROR(INDEX($T36:BN36,0,MATCH(BO5-BO31,$T5:BN5,0)),0))+IF(BO6&lt;BO31,0,IFERROR(INDEX($T39:BN39,0,MATCH(BO5-BO31,$T5:BN5,0)),0))+IF(BO6&lt;BO31,0,IFERROR(INDEX($T41:BN41,0,MATCH(BO5-BO31,$T5:BN5,0)),0))-BO38-BO37</f>
        <v>0</v>
      </c>
    </row>
    <row r="42" spans="1:67" ht="16.5" customHeight="1">
      <c r="A42" s="16"/>
      <c r="B42" s="17" t="s">
        <v>147</v>
      </c>
      <c r="C42" s="18" t="s">
        <v>76</v>
      </c>
      <c r="D42" s="17" t="s">
        <v>148</v>
      </c>
      <c r="E42" s="17"/>
      <c r="F42" s="17"/>
      <c r="G42" s="17"/>
      <c r="H42" s="17" t="s">
        <v>119</v>
      </c>
      <c r="I42" s="44">
        <f>IF(H42=Forecast!$H$74,T42,IF(H42=Forecast!$H$75,BO42,IF(H42=Forecast!$H$76,SUM(T42:BO42),IF(H42=Forecast!$H$77,AVERAGE(T42:BO42),0))))</f>
        <v>3.8114267069403789E-2</v>
      </c>
      <c r="J42" s="17"/>
      <c r="K42" s="17"/>
      <c r="L42" s="17"/>
      <c r="M42" s="17"/>
      <c r="N42" s="17"/>
      <c r="O42" s="17"/>
      <c r="P42" s="17"/>
      <c r="Q42" s="17"/>
      <c r="R42" s="17"/>
      <c r="S42" s="42"/>
      <c r="T42" s="44">
        <f t="shared" ref="T42:BO42" si="13">IF(EOMONTH(T23,0)=T4,T26,S42*(1+T27))</f>
        <v>0.1</v>
      </c>
      <c r="U42" s="44">
        <f t="shared" si="13"/>
        <v>9.5000000000000001E-2</v>
      </c>
      <c r="V42" s="44">
        <f t="shared" si="13"/>
        <v>9.0249999999999997E-2</v>
      </c>
      <c r="W42" s="44">
        <f t="shared" si="13"/>
        <v>8.5737499999999994E-2</v>
      </c>
      <c r="X42" s="44">
        <f t="shared" si="13"/>
        <v>8.1450624999999985E-2</v>
      </c>
      <c r="Y42" s="44">
        <f t="shared" si="13"/>
        <v>7.7378093749999988E-2</v>
      </c>
      <c r="Z42" s="44">
        <f t="shared" si="13"/>
        <v>7.350918906249998E-2</v>
      </c>
      <c r="AA42" s="44">
        <f t="shared" si="13"/>
        <v>6.9833729609374978E-2</v>
      </c>
      <c r="AB42" s="44">
        <f t="shared" si="13"/>
        <v>6.6342043128906222E-2</v>
      </c>
      <c r="AC42" s="44">
        <f t="shared" si="13"/>
        <v>6.3024940972460905E-2</v>
      </c>
      <c r="AD42" s="44">
        <f t="shared" si="13"/>
        <v>5.9873693923837859E-2</v>
      </c>
      <c r="AE42" s="44">
        <f t="shared" si="13"/>
        <v>5.6880009227645967E-2</v>
      </c>
      <c r="AF42" s="44">
        <f t="shared" si="13"/>
        <v>5.4036008766263667E-2</v>
      </c>
      <c r="AG42" s="44">
        <f t="shared" si="13"/>
        <v>5.1334208327950479E-2</v>
      </c>
      <c r="AH42" s="44">
        <f t="shared" si="13"/>
        <v>4.8767497911552951E-2</v>
      </c>
      <c r="AI42" s="44">
        <f t="shared" si="13"/>
        <v>4.6329123015975304E-2</v>
      </c>
      <c r="AJ42" s="44">
        <f t="shared" si="13"/>
        <v>4.401266686517654E-2</v>
      </c>
      <c r="AK42" s="44">
        <f t="shared" si="13"/>
        <v>4.1812033521917709E-2</v>
      </c>
      <c r="AL42" s="44">
        <f t="shared" si="13"/>
        <v>3.9721431845821824E-2</v>
      </c>
      <c r="AM42" s="44">
        <f t="shared" si="13"/>
        <v>3.7735360253530734E-2</v>
      </c>
      <c r="AN42" s="44">
        <f t="shared" si="13"/>
        <v>3.5848592240854196E-2</v>
      </c>
      <c r="AO42" s="44">
        <f t="shared" si="13"/>
        <v>3.4056162628811483E-2</v>
      </c>
      <c r="AP42" s="44">
        <f t="shared" si="13"/>
        <v>3.2353354497370909E-2</v>
      </c>
      <c r="AQ42" s="44">
        <f t="shared" si="13"/>
        <v>3.0735686772502362E-2</v>
      </c>
      <c r="AR42" s="44">
        <f t="shared" si="13"/>
        <v>2.9198902433877242E-2</v>
      </c>
      <c r="AS42" s="44">
        <f t="shared" si="13"/>
        <v>2.7738957312183378E-2</v>
      </c>
      <c r="AT42" s="44">
        <f t="shared" si="13"/>
        <v>2.6352009446574207E-2</v>
      </c>
      <c r="AU42" s="44">
        <f t="shared" si="13"/>
        <v>2.5034408974245494E-2</v>
      </c>
      <c r="AV42" s="44">
        <f t="shared" si="13"/>
        <v>2.3782688525533217E-2</v>
      </c>
      <c r="AW42" s="44">
        <f t="shared" si="13"/>
        <v>2.2593554099256556E-2</v>
      </c>
      <c r="AX42" s="44">
        <f t="shared" si="13"/>
        <v>2.1463876394293726E-2</v>
      </c>
      <c r="AY42" s="44">
        <f t="shared" si="13"/>
        <v>2.0390682574579037E-2</v>
      </c>
      <c r="AZ42" s="44">
        <f t="shared" si="13"/>
        <v>1.9371148445850084E-2</v>
      </c>
      <c r="BA42" s="44">
        <f t="shared" si="13"/>
        <v>1.8402591023557579E-2</v>
      </c>
      <c r="BB42" s="44">
        <f t="shared" si="13"/>
        <v>1.7482461472379699E-2</v>
      </c>
      <c r="BC42" s="44">
        <f t="shared" si="13"/>
        <v>1.6608338398760712E-2</v>
      </c>
      <c r="BD42" s="44">
        <f t="shared" si="13"/>
        <v>1.5777921478822676E-2</v>
      </c>
      <c r="BE42" s="44">
        <f t="shared" si="13"/>
        <v>1.4989025404881541E-2</v>
      </c>
      <c r="BF42" s="44">
        <f t="shared" si="13"/>
        <v>1.4239574134637464E-2</v>
      </c>
      <c r="BG42" s="44">
        <f t="shared" si="13"/>
        <v>1.3527595427905589E-2</v>
      </c>
      <c r="BH42" s="44">
        <f t="shared" si="13"/>
        <v>1.2851215656510309E-2</v>
      </c>
      <c r="BI42" s="44">
        <f t="shared" si="13"/>
        <v>1.2208654873684792E-2</v>
      </c>
      <c r="BJ42" s="44">
        <f t="shared" si="13"/>
        <v>1.1598222130000552E-2</v>
      </c>
      <c r="BK42" s="44">
        <f t="shared" si="13"/>
        <v>1.1018311023500524E-2</v>
      </c>
      <c r="BL42" s="44">
        <f t="shared" si="13"/>
        <v>1.0467395472325497E-2</v>
      </c>
      <c r="BM42" s="44">
        <f t="shared" si="13"/>
        <v>9.9440256987092211E-3</v>
      </c>
      <c r="BN42" s="44">
        <f t="shared" si="13"/>
        <v>9.4468244137737595E-3</v>
      </c>
      <c r="BO42" s="44">
        <f t="shared" si="13"/>
        <v>8.9744831930850706E-3</v>
      </c>
    </row>
    <row r="43" spans="1:67" ht="16.5" customHeight="1">
      <c r="A43" s="16"/>
      <c r="B43" s="17" t="s">
        <v>149</v>
      </c>
      <c r="C43" s="18" t="s">
        <v>76</v>
      </c>
      <c r="D43" s="17" t="s">
        <v>150</v>
      </c>
      <c r="E43" s="17"/>
      <c r="F43" s="17"/>
      <c r="G43" s="17"/>
      <c r="H43" s="17" t="s">
        <v>119</v>
      </c>
      <c r="I43" s="44">
        <f>IF(H43=Forecast!$H$74,T43,IF(H43=Forecast!$H$75,BO43,IF(H43=Forecast!$H$76,SUM(T43:BO43),IF(H43=Forecast!$H$77,AVERAGE(T43:BO43),0))))</f>
        <v>0.12108134561949606</v>
      </c>
      <c r="J43" s="17"/>
      <c r="K43" s="17"/>
      <c r="L43" s="17"/>
      <c r="M43" s="17"/>
      <c r="N43" s="17"/>
      <c r="O43" s="17"/>
      <c r="P43" s="17"/>
      <c r="Q43" s="17"/>
      <c r="R43" s="17"/>
      <c r="S43" s="42"/>
      <c r="T43" s="44">
        <f t="shared" ref="T43:BO43" si="14">IFERROR(T40/S40-1,0)</f>
        <v>0</v>
      </c>
      <c r="U43" s="44">
        <f t="shared" si="14"/>
        <v>1.0950000000000002</v>
      </c>
      <c r="V43" s="44">
        <f t="shared" si="14"/>
        <v>0.56984427207637234</v>
      </c>
      <c r="W43" s="44">
        <f t="shared" si="14"/>
        <v>0.39411635049328031</v>
      </c>
      <c r="X43" s="44">
        <f t="shared" si="14"/>
        <v>0.30572582655161362</v>
      </c>
      <c r="Y43" s="44">
        <f t="shared" si="14"/>
        <v>0.25225993200288466</v>
      </c>
      <c r="Z43" s="44">
        <f t="shared" si="14"/>
        <v>0.21625171269694077</v>
      </c>
      <c r="AA43" s="44">
        <f t="shared" si="14"/>
        <v>0.19021833549239187</v>
      </c>
      <c r="AB43" s="44">
        <f t="shared" si="14"/>
        <v>0.17042067195648025</v>
      </c>
      <c r="AC43" s="44">
        <f t="shared" si="14"/>
        <v>0.15478317248463691</v>
      </c>
      <c r="AD43" s="44">
        <f t="shared" si="14"/>
        <v>0.14206183176844411</v>
      </c>
      <c r="AE43" s="44">
        <f t="shared" si="14"/>
        <v>0.13146600813884057</v>
      </c>
      <c r="AF43" s="44">
        <f t="shared" si="14"/>
        <v>0.11983143831073995</v>
      </c>
      <c r="AG43" s="44">
        <f t="shared" si="14"/>
        <v>0.11239879460699065</v>
      </c>
      <c r="AH43" s="44">
        <f t="shared" si="14"/>
        <v>0.10587318365612197</v>
      </c>
      <c r="AI43" s="44">
        <f t="shared" si="14"/>
        <v>0.10008251426951653</v>
      </c>
      <c r="AJ43" s="44">
        <f t="shared" si="14"/>
        <v>9.4896963807033829E-2</v>
      </c>
      <c r="AK43" s="44">
        <f t="shared" si="14"/>
        <v>9.0216724709602181E-2</v>
      </c>
      <c r="AL43" s="44">
        <f t="shared" si="14"/>
        <v>8.5963769725257766E-2</v>
      </c>
      <c r="AM43" s="44">
        <f t="shared" si="14"/>
        <v>8.207618015464857E-2</v>
      </c>
      <c r="AN43" s="44">
        <f t="shared" si="14"/>
        <v>7.8504154098889112E-2</v>
      </c>
      <c r="AO43" s="44">
        <f t="shared" si="14"/>
        <v>7.5207142809711636E-2</v>
      </c>
      <c r="AP43" s="44">
        <f t="shared" si="14"/>
        <v>7.2151760952102961E-2</v>
      </c>
      <c r="AQ43" s="44">
        <f t="shared" si="14"/>
        <v>6.9310238056261575E-2</v>
      </c>
      <c r="AR43" s="44">
        <f t="shared" si="14"/>
        <v>6.5772493383302821E-2</v>
      </c>
      <c r="AS43" s="44">
        <f t="shared" si="14"/>
        <v>6.3321377965762204E-2</v>
      </c>
      <c r="AT43" s="44">
        <f t="shared" si="14"/>
        <v>6.1020023307613469E-2</v>
      </c>
      <c r="AU43" s="44">
        <f t="shared" si="14"/>
        <v>5.885470839554241E-2</v>
      </c>
      <c r="AV43" s="44">
        <f t="shared" si="14"/>
        <v>5.6813505368678907E-2</v>
      </c>
      <c r="AW43" s="44">
        <f t="shared" si="14"/>
        <v>5.4885977366326388E-2</v>
      </c>
      <c r="AX43" s="44">
        <f t="shared" si="14"/>
        <v>5.3062936435581021E-2</v>
      </c>
      <c r="AY43" s="44">
        <f t="shared" si="14"/>
        <v>5.1336248074312696E-2</v>
      </c>
      <c r="AZ43" s="44">
        <f t="shared" si="14"/>
        <v>4.9698672286637491E-2</v>
      </c>
      <c r="BA43" s="44">
        <f t="shared" si="14"/>
        <v>4.8143733446686765E-2</v>
      </c>
      <c r="BB43" s="44">
        <f t="shared" si="14"/>
        <v>4.6665613056594113E-2</v>
      </c>
      <c r="BC43" s="44">
        <f t="shared" si="14"/>
        <v>4.5259060822312014E-2</v>
      </c>
      <c r="BD43" s="44">
        <f t="shared" si="14"/>
        <v>4.3473947102423471E-2</v>
      </c>
      <c r="BE43" s="44">
        <f t="shared" si="14"/>
        <v>4.2192902346755101E-2</v>
      </c>
      <c r="BF43" s="44">
        <f t="shared" si="14"/>
        <v>4.0969980909913106E-2</v>
      </c>
      <c r="BG43" s="44">
        <f t="shared" si="14"/>
        <v>3.9801726972265916E-2</v>
      </c>
      <c r="BH43" s="44">
        <f t="shared" si="14"/>
        <v>3.8684962059369887E-2</v>
      </c>
      <c r="BI43" s="44">
        <f t="shared" si="14"/>
        <v>3.7616754285945797E-2</v>
      </c>
      <c r="BJ43" s="44">
        <f t="shared" si="14"/>
        <v>3.6594391933794768E-2</v>
      </c>
      <c r="BK43" s="44">
        <f t="shared" si="14"/>
        <v>3.5615360662686779E-2</v>
      </c>
      <c r="BL43" s="44">
        <f t="shared" si="14"/>
        <v>3.467732377804067E-2</v>
      </c>
      <c r="BM43" s="44">
        <f t="shared" si="14"/>
        <v>3.3778105079601994E-2</v>
      </c>
      <c r="BN43" s="44">
        <f t="shared" si="14"/>
        <v>3.2915673896528386E-2</v>
      </c>
      <c r="BO43" s="44">
        <f t="shared" si="14"/>
        <v>3.2088131980372969E-2</v>
      </c>
    </row>
    <row r="44" spans="1:67" ht="16.5" customHeight="1">
      <c r="A44" s="16"/>
      <c r="B44" s="17"/>
      <c r="C44" s="18"/>
      <c r="D44" s="17"/>
      <c r="E44" s="17"/>
      <c r="F44" s="17"/>
      <c r="G44" s="17"/>
      <c r="H44" s="17"/>
      <c r="I44" s="42"/>
      <c r="J44" s="17"/>
      <c r="K44" s="17"/>
      <c r="L44" s="17"/>
      <c r="M44" s="17"/>
      <c r="N44" s="17"/>
      <c r="O44" s="17"/>
      <c r="P44" s="17"/>
      <c r="Q44" s="17"/>
      <c r="R44" s="17"/>
      <c r="S44" s="42"/>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row>
    <row r="45" spans="1:67" ht="16.5" customHeight="1">
      <c r="A45" s="16"/>
      <c r="B45" s="23" t="s">
        <v>151</v>
      </c>
      <c r="C45" s="18"/>
      <c r="D45" s="17"/>
      <c r="E45" s="17"/>
      <c r="F45" s="17"/>
      <c r="G45" s="17"/>
      <c r="H45" s="17"/>
      <c r="I45" s="42"/>
      <c r="J45" s="17"/>
      <c r="K45" s="17"/>
      <c r="L45" s="17"/>
      <c r="M45" s="17"/>
      <c r="N45" s="17"/>
      <c r="O45" s="17"/>
      <c r="P45" s="17"/>
      <c r="Q45" s="17"/>
      <c r="R45" s="17"/>
      <c r="S45" s="42"/>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row>
    <row r="46" spans="1:67" ht="16.5" customHeight="1">
      <c r="A46" s="16"/>
      <c r="B46" s="17" t="s">
        <v>152</v>
      </c>
      <c r="C46" s="18" t="str">
        <f>'Get Started'!D$7</f>
        <v>$</v>
      </c>
      <c r="D46" s="17" t="str">
        <f>"average revenue * ending "&amp;LOWER('Get Started'!B20)</f>
        <v>average revenue * ending subscribers</v>
      </c>
      <c r="E46" s="17"/>
      <c r="F46" s="17"/>
      <c r="G46" s="17"/>
      <c r="H46" s="17" t="s">
        <v>133</v>
      </c>
      <c r="I46" s="42">
        <f t="shared" ref="I46:I49" si="15">IF(H46="initial",T46,IF(H46="final",BO46,IF(H46="sum",SUM(T46:BO46))))</f>
        <v>2294938.3350894083</v>
      </c>
      <c r="J46" s="17"/>
      <c r="K46" s="17"/>
      <c r="L46" s="17"/>
      <c r="M46" s="17"/>
      <c r="N46" s="17"/>
      <c r="O46" s="17"/>
      <c r="P46" s="17"/>
      <c r="Q46" s="17"/>
      <c r="R46" s="17"/>
      <c r="S46" s="42"/>
      <c r="T46" s="42">
        <f t="shared" ref="T46:BO46" si="16">T40*T16</f>
        <v>750</v>
      </c>
      <c r="U46" s="42">
        <f t="shared" si="16"/>
        <v>1571.25</v>
      </c>
      <c r="V46" s="42">
        <f t="shared" si="16"/>
        <v>2466.6178125000001</v>
      </c>
      <c r="W46" s="42">
        <f t="shared" si="16"/>
        <v>3438.7522228242187</v>
      </c>
      <c r="X46" s="42">
        <f t="shared" si="16"/>
        <v>4490.0675884533512</v>
      </c>
      <c r="Y46" s="42">
        <f t="shared" si="16"/>
        <v>5622.7317330049509</v>
      </c>
      <c r="Z46" s="42">
        <f t="shared" si="16"/>
        <v>6838.6571003027084</v>
      </c>
      <c r="AA46" s="42">
        <f t="shared" si="16"/>
        <v>8139.4950709255172</v>
      </c>
      <c r="AB46" s="42">
        <f t="shared" si="16"/>
        <v>9526.6332902991035</v>
      </c>
      <c r="AC46" s="42">
        <f t="shared" si="16"/>
        <v>11001.195814069353</v>
      </c>
      <c r="AD46" s="42">
        <f t="shared" si="16"/>
        <v>12564.045843059384</v>
      </c>
      <c r="AE46" s="42">
        <f t="shared" si="16"/>
        <v>14215.790796119796</v>
      </c>
      <c r="AF46" s="42">
        <f t="shared" si="16"/>
        <v>15919.289453943413</v>
      </c>
      <c r="AG46" s="42">
        <f t="shared" si="16"/>
        <v>17708.598399566428</v>
      </c>
      <c r="AH46" s="42">
        <f t="shared" si="16"/>
        <v>19583.464090216232</v>
      </c>
      <c r="AI46" s="42">
        <f t="shared" si="16"/>
        <v>21543.426414471865</v>
      </c>
      <c r="AJ46" s="42">
        <f t="shared" si="16"/>
        <v>23587.8321712055</v>
      </c>
      <c r="AK46" s="42">
        <f t="shared" si="16"/>
        <v>25715.849132691445</v>
      </c>
      <c r="AL46" s="42">
        <f t="shared" si="16"/>
        <v>27926.480465823603</v>
      </c>
      <c r="AM46" s="42">
        <f t="shared" si="16"/>
        <v>30218.579307621811</v>
      </c>
      <c r="AN46" s="42">
        <f t="shared" si="16"/>
        <v>32590.863314236856</v>
      </c>
      <c r="AO46" s="42">
        <f t="shared" si="16"/>
        <v>35041.929025802456</v>
      </c>
      <c r="AP46" s="42">
        <f t="shared" si="16"/>
        <v>37570.265912172712</v>
      </c>
      <c r="AQ46" s="42">
        <f t="shared" si="16"/>
        <v>40174.269986382453</v>
      </c>
      <c r="AR46" s="42">
        <f t="shared" si="16"/>
        <v>42816.63189324081</v>
      </c>
      <c r="AS46" s="42">
        <f t="shared" si="16"/>
        <v>45527.840024573619</v>
      </c>
      <c r="AT46" s="42">
        <f t="shared" si="16"/>
        <v>48305.949884018402</v>
      </c>
      <c r="AU46" s="42">
        <f t="shared" si="16"/>
        <v>51148.982478211998</v>
      </c>
      <c r="AV46" s="42">
        <f t="shared" si="16"/>
        <v>54054.935468840355</v>
      </c>
      <c r="AW46" s="42">
        <f t="shared" si="16"/>
        <v>57021.793433521358</v>
      </c>
      <c r="AX46" s="42">
        <f t="shared" si="16"/>
        <v>60047.537233927127</v>
      </c>
      <c r="AY46" s="42">
        <f t="shared" si="16"/>
        <v>63130.152501619537</v>
      </c>
      <c r="AZ46" s="42">
        <f t="shared" si="16"/>
        <v>66267.637262202974</v>
      </c>
      <c r="BA46" s="42">
        <f t="shared" si="16"/>
        <v>69458.008726696207</v>
      </c>
      <c r="BB46" s="42">
        <f t="shared" si="16"/>
        <v>72699.309285617754</v>
      </c>
      <c r="BC46" s="42">
        <f t="shared" si="16"/>
        <v>75989.611746315597</v>
      </c>
      <c r="BD46" s="42">
        <f t="shared" si="16"/>
        <v>79293.180107708627</v>
      </c>
      <c r="BE46" s="42">
        <f t="shared" si="16"/>
        <v>82638.789512756834</v>
      </c>
      <c r="BF46" s="42">
        <f t="shared" si="16"/>
        <v>86024.499141512817</v>
      </c>
      <c r="BG46" s="42">
        <f t="shared" si="16"/>
        <v>89448.422769269222</v>
      </c>
      <c r="BH46" s="42">
        <f t="shared" si="16"/>
        <v>92908.731610368894</v>
      </c>
      <c r="BI46" s="42">
        <f t="shared" si="16"/>
        <v>96403.656538375028</v>
      </c>
      <c r="BJ46" s="42">
        <f t="shared" si="16"/>
        <v>99931.489729591252</v>
      </c>
      <c r="BK46" s="42">
        <f t="shared" si="16"/>
        <v>103490.58577787022</v>
      </c>
      <c r="BL46" s="42">
        <f t="shared" si="16"/>
        <v>107079.36232886852</v>
      </c>
      <c r="BM46" s="42">
        <f t="shared" si="16"/>
        <v>110696.30028146981</v>
      </c>
      <c r="BN46" s="42">
        <f t="shared" si="16"/>
        <v>114339.94360308687</v>
      </c>
      <c r="BO46" s="42">
        <f t="shared" si="16"/>
        <v>118008.89880405112</v>
      </c>
    </row>
    <row r="47" spans="1:67" ht="16.5" customHeight="1">
      <c r="A47" s="16"/>
      <c r="B47" s="17" t="s">
        <v>153</v>
      </c>
      <c r="C47" s="18" t="str">
        <f>'Get Started'!D$7</f>
        <v>$</v>
      </c>
      <c r="D47" s="17" t="s">
        <v>154</v>
      </c>
      <c r="E47" s="17"/>
      <c r="F47" s="17"/>
      <c r="G47" s="17"/>
      <c r="H47" s="17" t="s">
        <v>133</v>
      </c>
      <c r="I47" s="42">
        <f t="shared" si="15"/>
        <v>124416.68350913952</v>
      </c>
      <c r="J47" s="17"/>
      <c r="K47" s="17"/>
      <c r="L47" s="17"/>
      <c r="M47" s="17"/>
      <c r="N47" s="17"/>
      <c r="O47" s="17"/>
      <c r="P47" s="17"/>
      <c r="Q47" s="17"/>
      <c r="R47" s="17"/>
      <c r="S47" s="42"/>
      <c r="T47" s="42">
        <f t="shared" ref="T47:BO47" si="17">T36*T18+T37*T19+T18*T39</f>
        <v>625</v>
      </c>
      <c r="U47" s="42">
        <f t="shared" si="17"/>
        <v>684.375</v>
      </c>
      <c r="V47" s="42">
        <f t="shared" si="17"/>
        <v>746.13984374999995</v>
      </c>
      <c r="W47" s="42">
        <f t="shared" si="17"/>
        <v>810.11200860351562</v>
      </c>
      <c r="X47" s="42">
        <f t="shared" si="17"/>
        <v>876.09613802427725</v>
      </c>
      <c r="Y47" s="42">
        <f t="shared" si="17"/>
        <v>943.88678712633259</v>
      </c>
      <c r="Z47" s="42">
        <f t="shared" si="17"/>
        <v>1013.2711394147979</v>
      </c>
      <c r="AA47" s="42">
        <f t="shared" si="17"/>
        <v>1084.0316421856742</v>
      </c>
      <c r="AB47" s="42">
        <f t="shared" si="17"/>
        <v>1155.9485161446551</v>
      </c>
      <c r="AC47" s="42">
        <f t="shared" si="17"/>
        <v>1228.8021031418757</v>
      </c>
      <c r="AD47" s="42">
        <f t="shared" si="17"/>
        <v>1302.3750241583605</v>
      </c>
      <c r="AE47" s="42">
        <f t="shared" si="17"/>
        <v>1376.4541275503436</v>
      </c>
      <c r="AF47" s="42">
        <f t="shared" si="17"/>
        <v>1569.582214853014</v>
      </c>
      <c r="AG47" s="42">
        <f t="shared" si="17"/>
        <v>1655.3407880191803</v>
      </c>
      <c r="AH47" s="42">
        <f t="shared" si="17"/>
        <v>1741.4616380415023</v>
      </c>
      <c r="AI47" s="42">
        <f t="shared" si="17"/>
        <v>1827.7288189445364</v>
      </c>
      <c r="AJ47" s="42">
        <f t="shared" si="17"/>
        <v>1913.9345370705221</v>
      </c>
      <c r="AK47" s="42">
        <f t="shared" si="17"/>
        <v>1999.8802968152772</v>
      </c>
      <c r="AL47" s="42">
        <f t="shared" si="17"/>
        <v>2085.3778510696839</v>
      </c>
      <c r="AM47" s="42">
        <f t="shared" si="17"/>
        <v>2170.2499622897371</v>
      </c>
      <c r="AN47" s="42">
        <f t="shared" si="17"/>
        <v>2254.3309827205871</v>
      </c>
      <c r="AO47" s="42">
        <f t="shared" si="17"/>
        <v>2337.4672643920517</v>
      </c>
      <c r="AP47" s="42">
        <f t="shared" si="17"/>
        <v>2419.5174111065476</v>
      </c>
      <c r="AQ47" s="42">
        <f t="shared" si="17"/>
        <v>2500.3523857868672</v>
      </c>
      <c r="AR47" s="42">
        <f t="shared" si="17"/>
        <v>2692.6679872800182</v>
      </c>
      <c r="AS47" s="42">
        <f t="shared" si="17"/>
        <v>2781.4518985686123</v>
      </c>
      <c r="AT47" s="42">
        <f t="shared" si="17"/>
        <v>2869.1382501672747</v>
      </c>
      <c r="AU47" s="42">
        <f t="shared" si="17"/>
        <v>2955.6131754106364</v>
      </c>
      <c r="AV47" s="42">
        <f t="shared" si="17"/>
        <v>3040.771716662854</v>
      </c>
      <c r="AW47" s="42">
        <f t="shared" si="17"/>
        <v>3124.5178584416731</v>
      </c>
      <c r="AX47" s="42">
        <f t="shared" si="17"/>
        <v>3206.764507090797</v>
      </c>
      <c r="AY47" s="42">
        <f t="shared" si="17"/>
        <v>3287.4334188945445</v>
      </c>
      <c r="AZ47" s="42">
        <f t="shared" si="17"/>
        <v>3366.4550790172593</v>
      </c>
      <c r="BA47" s="42">
        <f t="shared" si="17"/>
        <v>3443.7685341448605</v>
      </c>
      <c r="BB47" s="42">
        <f t="shared" si="17"/>
        <v>3519.3211821733448</v>
      </c>
      <c r="BC47" s="42">
        <f t="shared" si="17"/>
        <v>3593.0685227022464</v>
      </c>
      <c r="BD47" s="42">
        <f t="shared" si="17"/>
        <v>3772.1457474305839</v>
      </c>
      <c r="BE47" s="42">
        <f t="shared" si="17"/>
        <v>3852.3612529313364</v>
      </c>
      <c r="BF47" s="42">
        <f t="shared" si="17"/>
        <v>3931.093363148892</v>
      </c>
      <c r="BG47" s="42">
        <f t="shared" si="17"/>
        <v>4008.2955555517042</v>
      </c>
      <c r="BH47" s="42">
        <f t="shared" si="17"/>
        <v>4083.9255235146152</v>
      </c>
      <c r="BI47" s="42">
        <f t="shared" si="17"/>
        <v>4157.9452541488208</v>
      </c>
      <c r="BJ47" s="42">
        <f t="shared" si="17"/>
        <v>4230.3210928473391</v>
      </c>
      <c r="BK47" s="42">
        <f t="shared" si="17"/>
        <v>4301.0237895884929</v>
      </c>
      <c r="BL47" s="42">
        <f t="shared" si="17"/>
        <v>4370.0285231463267</v>
      </c>
      <c r="BM47" s="42">
        <f t="shared" si="17"/>
        <v>4437.3149004668994</v>
      </c>
      <c r="BN47" s="42">
        <f t="shared" si="17"/>
        <v>4502.866929537232</v>
      </c>
      <c r="BO47" s="42">
        <f t="shared" si="17"/>
        <v>4566.6729650638126</v>
      </c>
    </row>
    <row r="48" spans="1:67" ht="16.5" customHeight="1">
      <c r="A48" s="16"/>
      <c r="B48" s="17" t="s">
        <v>155</v>
      </c>
      <c r="C48" s="18" t="str">
        <f>'Get Started'!D$7</f>
        <v>$</v>
      </c>
      <c r="D48" s="17" t="s">
        <v>156</v>
      </c>
      <c r="E48" s="17"/>
      <c r="F48" s="17"/>
      <c r="G48" s="17"/>
      <c r="H48" s="17" t="s">
        <v>133</v>
      </c>
      <c r="I48" s="42">
        <f t="shared" si="15"/>
        <v>2980662.8559944285</v>
      </c>
      <c r="J48" s="17"/>
      <c r="K48" s="17"/>
      <c r="L48" s="17"/>
      <c r="M48" s="17"/>
      <c r="N48" s="17"/>
      <c r="O48" s="17"/>
      <c r="P48" s="17"/>
      <c r="Q48" s="17"/>
      <c r="R48" s="17"/>
      <c r="S48" s="42"/>
      <c r="T48" s="42">
        <f t="shared" ref="T48:BO48" si="18">T31*T16*IF(T31=1,T40,T36+T37+T39+T41)</f>
        <v>9000</v>
      </c>
      <c r="U48" s="42">
        <f t="shared" si="18"/>
        <v>9855</v>
      </c>
      <c r="V48" s="42">
        <f t="shared" si="18"/>
        <v>10744.41375</v>
      </c>
      <c r="W48" s="42">
        <f t="shared" si="18"/>
        <v>11665.612923890625</v>
      </c>
      <c r="X48" s="42">
        <f t="shared" si="18"/>
        <v>12615.784387549593</v>
      </c>
      <c r="Y48" s="42">
        <f t="shared" si="18"/>
        <v>13591.96973461919</v>
      </c>
      <c r="Z48" s="42">
        <f t="shared" si="18"/>
        <v>14591.10440757309</v>
      </c>
      <c r="AA48" s="42">
        <f t="shared" si="18"/>
        <v>15610.055647473708</v>
      </c>
      <c r="AB48" s="42">
        <f t="shared" si="18"/>
        <v>16645.658632483031</v>
      </c>
      <c r="AC48" s="42">
        <f t="shared" si="18"/>
        <v>17694.750285243008</v>
      </c>
      <c r="AD48" s="42">
        <f t="shared" si="18"/>
        <v>18754.200347880389</v>
      </c>
      <c r="AE48" s="42">
        <f t="shared" si="18"/>
        <v>19820.939436724948</v>
      </c>
      <c r="AF48" s="42">
        <f t="shared" si="18"/>
        <v>29441.983893883404</v>
      </c>
      <c r="AG48" s="42">
        <f t="shared" si="18"/>
        <v>31326.707347476196</v>
      </c>
      <c r="AH48" s="42">
        <f t="shared" si="18"/>
        <v>33242.802037797635</v>
      </c>
      <c r="AI48" s="42">
        <f t="shared" si="18"/>
        <v>35185.160814958195</v>
      </c>
      <c r="AJ48" s="42">
        <f t="shared" si="18"/>
        <v>37148.653468353201</v>
      </c>
      <c r="AK48" s="42">
        <f t="shared" si="18"/>
        <v>39128.173272450571</v>
      </c>
      <c r="AL48" s="42">
        <f t="shared" si="18"/>
        <v>41118.680405158993</v>
      </c>
      <c r="AM48" s="42">
        <f t="shared" si="18"/>
        <v>43115.241749052235</v>
      </c>
      <c r="AN48" s="42">
        <f t="shared" si="18"/>
        <v>45113.066711863554</v>
      </c>
      <c r="AO48" s="42">
        <f t="shared" si="18"/>
        <v>47107.538824030235</v>
      </c>
      <c r="AP48" s="42">
        <f t="shared" si="18"/>
        <v>49094.242984323377</v>
      </c>
      <c r="AQ48" s="42">
        <f t="shared" si="18"/>
        <v>51068.988327241852</v>
      </c>
      <c r="AR48" s="42">
        <f t="shared" si="18"/>
        <v>61150.326776183647</v>
      </c>
      <c r="AS48" s="42">
        <f t="shared" si="18"/>
        <v>63861.204923469923</v>
      </c>
      <c r="AT48" s="42">
        <f t="shared" si="18"/>
        <v>66580.120351134959</v>
      </c>
      <c r="AU48" s="42">
        <f t="shared" si="18"/>
        <v>69301.55194528139</v>
      </c>
      <c r="AV48" s="42">
        <f t="shared" si="18"/>
        <v>72020.089355893535</v>
      </c>
      <c r="AW48" s="42">
        <f t="shared" si="18"/>
        <v>74730.46884862252</v>
      </c>
      <c r="AX48" s="42">
        <f t="shared" si="18"/>
        <v>77427.606010028307</v>
      </c>
      <c r="AY48" s="42">
        <f t="shared" si="18"/>
        <v>80106.624961361144</v>
      </c>
      <c r="AZ48" s="42">
        <f t="shared" si="18"/>
        <v>82762.883838864829</v>
      </c>
      <c r="BA48" s="42">
        <f t="shared" si="18"/>
        <v>85391.996397948969</v>
      </c>
      <c r="BB48" s="42">
        <f t="shared" si="18"/>
        <v>87989.849691381925</v>
      </c>
      <c r="BC48" s="42">
        <f t="shared" si="18"/>
        <v>90552.617855616161</v>
      </c>
      <c r="BD48" s="42">
        <f t="shared" si="18"/>
        <v>100793.14711289997</v>
      </c>
      <c r="BE48" s="42">
        <f t="shared" si="18"/>
        <v>104008.51778404837</v>
      </c>
      <c r="BF48" s="42">
        <f t="shared" si="18"/>
        <v>107208.63589620662</v>
      </c>
      <c r="BG48" s="42">
        <f t="shared" si="18"/>
        <v>110388.63547835841</v>
      </c>
      <c r="BH48" s="42">
        <f t="shared" si="18"/>
        <v>113543.79544908955</v>
      </c>
      <c r="BI48" s="42">
        <f t="shared" si="18"/>
        <v>116669.56798469616</v>
      </c>
      <c r="BJ48" s="42">
        <f t="shared" si="18"/>
        <v>119761.60430462319</v>
      </c>
      <c r="BK48" s="42">
        <f t="shared" si="18"/>
        <v>122815.77754070876</v>
      </c>
      <c r="BL48" s="42">
        <f t="shared" si="18"/>
        <v>125828.20245084439</v>
      </c>
      <c r="BM48" s="42">
        <f t="shared" si="18"/>
        <v>128795.25182916457</v>
      </c>
      <c r="BN48" s="42">
        <f t="shared" si="18"/>
        <v>131713.5695507864</v>
      </c>
      <c r="BO48" s="42">
        <f t="shared" si="18"/>
        <v>134580.08026718718</v>
      </c>
    </row>
    <row r="49" spans="1:67" ht="16.5" customHeight="1">
      <c r="A49" s="16"/>
      <c r="B49" s="17" t="s">
        <v>157</v>
      </c>
      <c r="C49" s="18" t="str">
        <f>'Get Started'!D$7</f>
        <v>$</v>
      </c>
      <c r="D49" s="17" t="s">
        <v>158</v>
      </c>
      <c r="E49" s="17"/>
      <c r="F49" s="17"/>
      <c r="G49" s="17"/>
      <c r="H49" s="17" t="s">
        <v>144</v>
      </c>
      <c r="I49" s="42">
        <f t="shared" si="15"/>
        <v>677474.52090501972</v>
      </c>
      <c r="J49" s="17"/>
      <c r="K49" s="17"/>
      <c r="L49" s="17"/>
      <c r="M49" s="17"/>
      <c r="N49" s="17"/>
      <c r="O49" s="17"/>
      <c r="P49" s="17"/>
      <c r="Q49" s="17"/>
      <c r="R49" s="17"/>
      <c r="S49" s="42"/>
      <c r="T49" s="42">
        <f t="shared" ref="T49:BO49" si="19">IF(T5=0,T20,S49+T48-T46)</f>
        <v>0</v>
      </c>
      <c r="U49" s="42">
        <f t="shared" si="19"/>
        <v>8283.75</v>
      </c>
      <c r="V49" s="42">
        <f t="shared" si="19"/>
        <v>16561.545937499999</v>
      </c>
      <c r="W49" s="42">
        <f t="shared" si="19"/>
        <v>24788.406638566405</v>
      </c>
      <c r="X49" s="42">
        <f t="shared" si="19"/>
        <v>32914.123437662645</v>
      </c>
      <c r="Y49" s="42">
        <f t="shared" si="19"/>
        <v>40883.361439276887</v>
      </c>
      <c r="Z49" s="42">
        <f t="shared" si="19"/>
        <v>48635.808746547271</v>
      </c>
      <c r="AA49" s="42">
        <f t="shared" si="19"/>
        <v>56106.369323095467</v>
      </c>
      <c r="AB49" s="42">
        <f t="shared" si="19"/>
        <v>63225.394665279389</v>
      </c>
      <c r="AC49" s="42">
        <f t="shared" si="19"/>
        <v>69918.94913645304</v>
      </c>
      <c r="AD49" s="42">
        <f t="shared" si="19"/>
        <v>76109.10364127405</v>
      </c>
      <c r="AE49" s="42">
        <f t="shared" si="19"/>
        <v>81714.252281879206</v>
      </c>
      <c r="AF49" s="42">
        <f t="shared" si="19"/>
        <v>95236.9467218192</v>
      </c>
      <c r="AG49" s="42">
        <f t="shared" si="19"/>
        <v>108855.05566972897</v>
      </c>
      <c r="AH49" s="42">
        <f t="shared" si="19"/>
        <v>122514.39361731036</v>
      </c>
      <c r="AI49" s="42">
        <f t="shared" si="19"/>
        <v>136156.12801779667</v>
      </c>
      <c r="AJ49" s="42">
        <f t="shared" si="19"/>
        <v>149716.94931494439</v>
      </c>
      <c r="AK49" s="42">
        <f t="shared" si="19"/>
        <v>163129.27345470351</v>
      </c>
      <c r="AL49" s="42">
        <f t="shared" si="19"/>
        <v>176321.47339403888</v>
      </c>
      <c r="AM49" s="42">
        <f t="shared" si="19"/>
        <v>189218.13583546929</v>
      </c>
      <c r="AN49" s="42">
        <f t="shared" si="19"/>
        <v>201740.33923309599</v>
      </c>
      <c r="AO49" s="42">
        <f t="shared" si="19"/>
        <v>213805.94903132378</v>
      </c>
      <c r="AP49" s="42">
        <f t="shared" si="19"/>
        <v>225329.92610347443</v>
      </c>
      <c r="AQ49" s="42">
        <f t="shared" si="19"/>
        <v>236224.64444433386</v>
      </c>
      <c r="AR49" s="42">
        <f t="shared" si="19"/>
        <v>254558.33932727671</v>
      </c>
      <c r="AS49" s="42">
        <f t="shared" si="19"/>
        <v>272891.70422617299</v>
      </c>
      <c r="AT49" s="42">
        <f t="shared" si="19"/>
        <v>291165.87469328957</v>
      </c>
      <c r="AU49" s="42">
        <f t="shared" si="19"/>
        <v>309318.44416035898</v>
      </c>
      <c r="AV49" s="42">
        <f t="shared" si="19"/>
        <v>327283.59804741218</v>
      </c>
      <c r="AW49" s="42">
        <f t="shared" si="19"/>
        <v>344992.27346251335</v>
      </c>
      <c r="AX49" s="42">
        <f t="shared" si="19"/>
        <v>362372.34223861451</v>
      </c>
      <c r="AY49" s="42">
        <f t="shared" si="19"/>
        <v>379348.81469835609</v>
      </c>
      <c r="AZ49" s="42">
        <f t="shared" si="19"/>
        <v>395844.06127501797</v>
      </c>
      <c r="BA49" s="42">
        <f t="shared" si="19"/>
        <v>411778.04894627078</v>
      </c>
      <c r="BB49" s="42">
        <f t="shared" si="19"/>
        <v>427068.58935203496</v>
      </c>
      <c r="BC49" s="42">
        <f t="shared" si="19"/>
        <v>441631.5954613355</v>
      </c>
      <c r="BD49" s="42">
        <f t="shared" si="19"/>
        <v>463131.56246652681</v>
      </c>
      <c r="BE49" s="42">
        <f t="shared" si="19"/>
        <v>484501.29073781834</v>
      </c>
      <c r="BF49" s="42">
        <f t="shared" si="19"/>
        <v>505685.42749251216</v>
      </c>
      <c r="BG49" s="42">
        <f t="shared" si="19"/>
        <v>526625.64020160132</v>
      </c>
      <c r="BH49" s="42">
        <f t="shared" si="19"/>
        <v>547260.70404032199</v>
      </c>
      <c r="BI49" s="42">
        <f t="shared" si="19"/>
        <v>567526.61548664304</v>
      </c>
      <c r="BJ49" s="42">
        <f t="shared" si="19"/>
        <v>587356.73006167496</v>
      </c>
      <c r="BK49" s="42">
        <f t="shared" si="19"/>
        <v>606681.92182451347</v>
      </c>
      <c r="BL49" s="42">
        <f t="shared" si="19"/>
        <v>625430.76194648934</v>
      </c>
      <c r="BM49" s="42">
        <f t="shared" si="19"/>
        <v>643529.71349418408</v>
      </c>
      <c r="BN49" s="42">
        <f t="shared" si="19"/>
        <v>660903.33944188361</v>
      </c>
      <c r="BO49" s="42">
        <f t="shared" si="19"/>
        <v>677474.52090501972</v>
      </c>
    </row>
    <row r="50" spans="1:67" ht="16.5" customHeight="1">
      <c r="A50" s="16"/>
      <c r="B50" s="17"/>
      <c r="C50" s="18"/>
      <c r="D50" s="17"/>
      <c r="E50" s="17"/>
      <c r="F50" s="17"/>
      <c r="G50" s="17"/>
      <c r="H50" s="17"/>
      <c r="I50" s="42"/>
      <c r="J50" s="17"/>
      <c r="K50" s="17"/>
      <c r="L50" s="17"/>
      <c r="M50" s="17"/>
      <c r="N50" s="17"/>
      <c r="O50" s="17"/>
      <c r="P50" s="17"/>
      <c r="Q50" s="17"/>
      <c r="R50" s="17"/>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row>
    <row r="51" spans="1:67" ht="16.5" customHeight="1">
      <c r="A51" s="16"/>
      <c r="B51" s="23" t="s">
        <v>159</v>
      </c>
      <c r="C51" s="18"/>
      <c r="D51" s="17"/>
      <c r="E51" s="17"/>
      <c r="F51" s="17"/>
      <c r="G51" s="17"/>
      <c r="H51" s="17"/>
      <c r="I51" s="42"/>
      <c r="J51" s="17"/>
      <c r="K51" s="17"/>
      <c r="L51" s="17"/>
      <c r="M51" s="17"/>
      <c r="N51" s="17"/>
      <c r="O51" s="17"/>
      <c r="P51" s="17"/>
      <c r="Q51" s="17"/>
      <c r="R51" s="17"/>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row>
    <row r="52" spans="1:67" ht="16.5" customHeight="1">
      <c r="A52" s="16"/>
      <c r="B52" s="17" t="s">
        <v>160</v>
      </c>
      <c r="C52" s="18" t="str">
        <f>'Get Started'!D$7</f>
        <v>$</v>
      </c>
      <c r="D52" s="17" t="s">
        <v>161</v>
      </c>
      <c r="E52" s="17"/>
      <c r="F52" s="17"/>
      <c r="G52" s="17"/>
      <c r="H52" s="17" t="s">
        <v>122</v>
      </c>
      <c r="I52" s="42">
        <f t="shared" ref="I52:I58" si="20">IF(H52="initial",T52,IF(H52="final",BO52,IF(H52="sum",SUM(T52:BO52))))</f>
        <v>0</v>
      </c>
      <c r="J52" s="17"/>
      <c r="K52" s="17"/>
      <c r="L52" s="17"/>
      <c r="M52" s="17"/>
      <c r="N52" s="17"/>
      <c r="O52" s="17"/>
      <c r="P52" s="17"/>
      <c r="Q52" s="17"/>
      <c r="R52" s="17"/>
      <c r="S52" s="42"/>
      <c r="T52" s="42">
        <f t="shared" ref="T52:BO52" si="21">IF(T5=0,T25*T16,S58)</f>
        <v>0</v>
      </c>
      <c r="U52" s="42">
        <f t="shared" si="21"/>
        <v>750</v>
      </c>
      <c r="V52" s="42">
        <f t="shared" si="21"/>
        <v>1571.25</v>
      </c>
      <c r="W52" s="42">
        <f t="shared" si="21"/>
        <v>2466.6178125000001</v>
      </c>
      <c r="X52" s="42">
        <f t="shared" si="21"/>
        <v>3438.7522228242187</v>
      </c>
      <c r="Y52" s="42">
        <f t="shared" si="21"/>
        <v>4490.0675884533512</v>
      </c>
      <c r="Z52" s="42">
        <f t="shared" si="21"/>
        <v>5622.73173300495</v>
      </c>
      <c r="AA52" s="42">
        <f t="shared" si="21"/>
        <v>6838.6571003027075</v>
      </c>
      <c r="AB52" s="42">
        <f t="shared" si="21"/>
        <v>8139.4950709255163</v>
      </c>
      <c r="AC52" s="42">
        <f t="shared" si="21"/>
        <v>9526.6332902991016</v>
      </c>
      <c r="AD52" s="42">
        <f t="shared" si="21"/>
        <v>11001.195814069353</v>
      </c>
      <c r="AE52" s="42">
        <f t="shared" si="21"/>
        <v>12564.045843059386</v>
      </c>
      <c r="AF52" s="42">
        <f t="shared" si="21"/>
        <v>14215.790796119798</v>
      </c>
      <c r="AG52" s="42">
        <f t="shared" si="21"/>
        <v>15919.289453943415</v>
      </c>
      <c r="AH52" s="42">
        <f t="shared" si="21"/>
        <v>17708.598399566432</v>
      </c>
      <c r="AI52" s="42">
        <f t="shared" si="21"/>
        <v>19583.464090216239</v>
      </c>
      <c r="AJ52" s="42">
        <f t="shared" si="21"/>
        <v>21543.426414471869</v>
      </c>
      <c r="AK52" s="42">
        <f t="shared" si="21"/>
        <v>23587.832171205504</v>
      </c>
      <c r="AL52" s="42">
        <f t="shared" si="21"/>
        <v>25715.849132691452</v>
      </c>
      <c r="AM52" s="42">
        <f t="shared" si="21"/>
        <v>27926.48046582361</v>
      </c>
      <c r="AN52" s="42">
        <f t="shared" si="21"/>
        <v>30218.579307621821</v>
      </c>
      <c r="AO52" s="42">
        <f t="shared" si="21"/>
        <v>32590.863314236864</v>
      </c>
      <c r="AP52" s="42">
        <f t="shared" si="21"/>
        <v>35041.92902580247</v>
      </c>
      <c r="AQ52" s="42">
        <f t="shared" si="21"/>
        <v>37570.265912172719</v>
      </c>
      <c r="AR52" s="42">
        <f t="shared" si="21"/>
        <v>40174.26998638246</v>
      </c>
      <c r="AS52" s="42">
        <f t="shared" si="21"/>
        <v>42816.63189324081</v>
      </c>
      <c r="AT52" s="42">
        <f t="shared" si="21"/>
        <v>45527.840024573619</v>
      </c>
      <c r="AU52" s="42">
        <f t="shared" si="21"/>
        <v>48305.949884018395</v>
      </c>
      <c r="AV52" s="42">
        <f t="shared" si="21"/>
        <v>51148.982478211998</v>
      </c>
      <c r="AW52" s="42">
        <f t="shared" si="21"/>
        <v>54054.935468840355</v>
      </c>
      <c r="AX52" s="42">
        <f t="shared" si="21"/>
        <v>57021.79343352135</v>
      </c>
      <c r="AY52" s="42">
        <f t="shared" si="21"/>
        <v>60047.537233927127</v>
      </c>
      <c r="AZ52" s="42">
        <f t="shared" si="21"/>
        <v>63130.152501619537</v>
      </c>
      <c r="BA52" s="42">
        <f t="shared" si="21"/>
        <v>66267.637262202974</v>
      </c>
      <c r="BB52" s="42">
        <f t="shared" si="21"/>
        <v>69458.008726696193</v>
      </c>
      <c r="BC52" s="42">
        <f t="shared" si="21"/>
        <v>72699.309285617739</v>
      </c>
      <c r="BD52" s="42">
        <f t="shared" si="21"/>
        <v>75989.611746315597</v>
      </c>
      <c r="BE52" s="42">
        <f t="shared" si="21"/>
        <v>79293.180107708627</v>
      </c>
      <c r="BF52" s="42">
        <f t="shared" si="21"/>
        <v>82638.789512756834</v>
      </c>
      <c r="BG52" s="42">
        <f t="shared" si="21"/>
        <v>86024.499141512802</v>
      </c>
      <c r="BH52" s="42">
        <f t="shared" si="21"/>
        <v>89448.422769269222</v>
      </c>
      <c r="BI52" s="42">
        <f t="shared" si="21"/>
        <v>92908.731610368894</v>
      </c>
      <c r="BJ52" s="42">
        <f t="shared" si="21"/>
        <v>96403.656538375028</v>
      </c>
      <c r="BK52" s="42">
        <f t="shared" si="21"/>
        <v>99931.489729591267</v>
      </c>
      <c r="BL52" s="42">
        <f t="shared" si="21"/>
        <v>103490.58577787022</v>
      </c>
      <c r="BM52" s="42">
        <f t="shared" si="21"/>
        <v>107079.36232886852</v>
      </c>
      <c r="BN52" s="42">
        <f t="shared" si="21"/>
        <v>110696.30028146983</v>
      </c>
      <c r="BO52" s="42">
        <f t="shared" si="21"/>
        <v>114339.94360308687</v>
      </c>
    </row>
    <row r="53" spans="1:67" ht="16.5" customHeight="1">
      <c r="A53" s="16"/>
      <c r="B53" s="17" t="s">
        <v>162</v>
      </c>
      <c r="C53" s="18" t="str">
        <f>'Get Started'!D$7</f>
        <v>$</v>
      </c>
      <c r="D53" s="17" t="s">
        <v>163</v>
      </c>
      <c r="E53" s="17"/>
      <c r="F53" s="17"/>
      <c r="G53" s="17"/>
      <c r="H53" s="17" t="s">
        <v>133</v>
      </c>
      <c r="I53" s="42">
        <f t="shared" si="20"/>
        <v>2046549.763756539</v>
      </c>
      <c r="J53" s="17"/>
      <c r="K53" s="17"/>
      <c r="L53" s="17"/>
      <c r="M53" s="17"/>
      <c r="N53" s="17"/>
      <c r="O53" s="17"/>
      <c r="P53" s="17"/>
      <c r="Q53" s="17"/>
      <c r="R53" s="17"/>
      <c r="S53" s="42"/>
      <c r="T53" s="42">
        <f t="shared" ref="T53:BO53" si="22">T52-T55+T56</f>
        <v>0</v>
      </c>
      <c r="U53" s="42">
        <f t="shared" si="22"/>
        <v>750</v>
      </c>
      <c r="V53" s="42">
        <f t="shared" si="22"/>
        <v>1571.25</v>
      </c>
      <c r="W53" s="42">
        <f t="shared" si="22"/>
        <v>2466.6178125000001</v>
      </c>
      <c r="X53" s="42">
        <f t="shared" si="22"/>
        <v>3438.7522228242187</v>
      </c>
      <c r="Y53" s="42">
        <f t="shared" si="22"/>
        <v>4490.0675884533512</v>
      </c>
      <c r="Z53" s="42">
        <f t="shared" si="22"/>
        <v>5622.73173300495</v>
      </c>
      <c r="AA53" s="42">
        <f t="shared" si="22"/>
        <v>6838.6571003027075</v>
      </c>
      <c r="AB53" s="42">
        <f t="shared" si="22"/>
        <v>8139.4950709255163</v>
      </c>
      <c r="AC53" s="42">
        <f t="shared" si="22"/>
        <v>9526.6332902991016</v>
      </c>
      <c r="AD53" s="42">
        <f t="shared" si="22"/>
        <v>11001.195814069353</v>
      </c>
      <c r="AE53" s="42">
        <f t="shared" si="22"/>
        <v>12564.045843059386</v>
      </c>
      <c r="AF53" s="42">
        <f t="shared" si="22"/>
        <v>13465.790796119798</v>
      </c>
      <c r="AG53" s="42">
        <f t="shared" si="22"/>
        <v>15098.039453943415</v>
      </c>
      <c r="AH53" s="42">
        <f t="shared" si="22"/>
        <v>16813.230587066435</v>
      </c>
      <c r="AI53" s="42">
        <f t="shared" si="22"/>
        <v>18611.32967989202</v>
      </c>
      <c r="AJ53" s="42">
        <f t="shared" si="22"/>
        <v>20492.111048842737</v>
      </c>
      <c r="AK53" s="42">
        <f t="shared" si="22"/>
        <v>22455.168026653904</v>
      </c>
      <c r="AL53" s="42">
        <f t="shared" si="22"/>
        <v>24499.923765393694</v>
      </c>
      <c r="AM53" s="42">
        <f t="shared" si="22"/>
        <v>26625.642495200802</v>
      </c>
      <c r="AN53" s="42">
        <f t="shared" si="22"/>
        <v>28831.441088248233</v>
      </c>
      <c r="AO53" s="42">
        <f t="shared" si="22"/>
        <v>31116.300790466616</v>
      </c>
      <c r="AP53" s="42">
        <f t="shared" si="22"/>
        <v>33479.078996812437</v>
      </c>
      <c r="AQ53" s="42">
        <f t="shared" si="22"/>
        <v>35918.520959112306</v>
      </c>
      <c r="AR53" s="42">
        <f t="shared" si="22"/>
        <v>37720.77132855884</v>
      </c>
      <c r="AS53" s="42">
        <f t="shared" si="22"/>
        <v>40206.072947617795</v>
      </c>
      <c r="AT53" s="42">
        <f t="shared" si="22"/>
        <v>42757.606521423819</v>
      </c>
      <c r="AU53" s="42">
        <f t="shared" si="22"/>
        <v>45373.853149438546</v>
      </c>
      <c r="AV53" s="42">
        <f t="shared" si="22"/>
        <v>48053.26135584923</v>
      </c>
      <c r="AW53" s="42">
        <f t="shared" si="22"/>
        <v>50794.254362802807</v>
      </c>
      <c r="AX53" s="42">
        <f t="shared" si="22"/>
        <v>53595.236733091435</v>
      </c>
      <c r="AY53" s="42">
        <f t="shared" si="22"/>
        <v>56454.600421506111</v>
      </c>
      <c r="AZ53" s="42">
        <f t="shared" si="22"/>
        <v>59370.730275630907</v>
      </c>
      <c r="BA53" s="42">
        <f t="shared" si="22"/>
        <v>62342.009026867119</v>
      </c>
      <c r="BB53" s="42">
        <f t="shared" si="22"/>
        <v>65366.821811335911</v>
      </c>
      <c r="BC53" s="42">
        <f t="shared" si="22"/>
        <v>68443.560258347585</v>
      </c>
      <c r="BD53" s="42">
        <f t="shared" si="22"/>
        <v>70893.751181633634</v>
      </c>
      <c r="BE53" s="42">
        <f t="shared" si="22"/>
        <v>73971.413030752796</v>
      </c>
      <c r="BF53" s="42">
        <f t="shared" si="22"/>
        <v>77090.446150162257</v>
      </c>
      <c r="BG53" s="42">
        <f t="shared" si="22"/>
        <v>80249.369812739358</v>
      </c>
      <c r="BH53" s="42">
        <f t="shared" si="22"/>
        <v>83446.748656278098</v>
      </c>
      <c r="BI53" s="42">
        <f t="shared" si="22"/>
        <v>86681.19253965035</v>
      </c>
      <c r="BJ53" s="42">
        <f t="shared" si="22"/>
        <v>89951.356037539328</v>
      </c>
      <c r="BK53" s="42">
        <f t="shared" si="22"/>
        <v>93255.937649477826</v>
      </c>
      <c r="BL53" s="42">
        <f t="shared" si="22"/>
        <v>96593.678791298153</v>
      </c>
      <c r="BM53" s="42">
        <f t="shared" si="22"/>
        <v>99963.362629039446</v>
      </c>
      <c r="BN53" s="42">
        <f t="shared" si="22"/>
        <v>103363.81280718801</v>
      </c>
      <c r="BO53" s="42">
        <f t="shared" si="22"/>
        <v>106793.89211511886</v>
      </c>
    </row>
    <row r="54" spans="1:67" ht="16.5" customHeight="1">
      <c r="A54" s="16"/>
      <c r="B54" s="17" t="s">
        <v>164</v>
      </c>
      <c r="C54" s="18" t="str">
        <f>'Get Started'!D$7</f>
        <v>$</v>
      </c>
      <c r="D54" s="17" t="s">
        <v>165</v>
      </c>
      <c r="E54" s="17"/>
      <c r="F54" s="17"/>
      <c r="G54" s="17"/>
      <c r="H54" s="17" t="s">
        <v>133</v>
      </c>
      <c r="I54" s="42">
        <f t="shared" si="20"/>
        <v>124527.88243049203</v>
      </c>
      <c r="J54" s="17"/>
      <c r="K54" s="17"/>
      <c r="L54" s="17"/>
      <c r="M54" s="17"/>
      <c r="N54" s="17"/>
      <c r="O54" s="17"/>
      <c r="P54" s="17"/>
      <c r="Q54" s="17"/>
      <c r="R54" s="17"/>
      <c r="S54" s="42"/>
      <c r="T54" s="42">
        <f t="shared" ref="T54:BO54" si="23">T36*T16</f>
        <v>750</v>
      </c>
      <c r="U54" s="42">
        <f t="shared" si="23"/>
        <v>821.25</v>
      </c>
      <c r="V54" s="42">
        <f t="shared" si="23"/>
        <v>895.36781250000001</v>
      </c>
      <c r="W54" s="42">
        <f t="shared" si="23"/>
        <v>972.13441032421872</v>
      </c>
      <c r="X54" s="42">
        <f t="shared" si="23"/>
        <v>1051.3153656291327</v>
      </c>
      <c r="Y54" s="42">
        <f t="shared" si="23"/>
        <v>1132.6641445515993</v>
      </c>
      <c r="Z54" s="42">
        <f t="shared" si="23"/>
        <v>1215.9253672977575</v>
      </c>
      <c r="AA54" s="42">
        <f t="shared" si="23"/>
        <v>1300.8379706228088</v>
      </c>
      <c r="AB54" s="42">
        <f t="shared" si="23"/>
        <v>1387.138219373586</v>
      </c>
      <c r="AC54" s="42">
        <f t="shared" si="23"/>
        <v>1474.5625237702507</v>
      </c>
      <c r="AD54" s="42">
        <f t="shared" si="23"/>
        <v>1562.8500289900326</v>
      </c>
      <c r="AE54" s="42">
        <f t="shared" si="23"/>
        <v>1651.7449530604124</v>
      </c>
      <c r="AF54" s="42">
        <f t="shared" si="23"/>
        <v>1740.9986578236167</v>
      </c>
      <c r="AG54" s="42">
        <f t="shared" si="23"/>
        <v>1830.3714456230164</v>
      </c>
      <c r="AH54" s="42">
        <f t="shared" si="23"/>
        <v>1919.6340812748031</v>
      </c>
      <c r="AI54" s="42">
        <f t="shared" si="23"/>
        <v>2008.5690447718421</v>
      </c>
      <c r="AJ54" s="42">
        <f t="shared" si="23"/>
        <v>2096.9715250150912</v>
      </c>
      <c r="AK54" s="42">
        <f t="shared" si="23"/>
        <v>2184.6501687135287</v>
      </c>
      <c r="AL54" s="42">
        <f t="shared" si="23"/>
        <v>2271.4276014970469</v>
      </c>
      <c r="AM54" s="42">
        <f t="shared" si="23"/>
        <v>2357.1407403293506</v>
      </c>
      <c r="AN54" s="42">
        <f t="shared" si="23"/>
        <v>2441.640917583723</v>
      </c>
      <c r="AO54" s="42">
        <f t="shared" si="23"/>
        <v>2524.7938377541145</v>
      </c>
      <c r="AP54" s="42">
        <f t="shared" si="23"/>
        <v>2606.4793878197506</v>
      </c>
      <c r="AQ54" s="42">
        <f t="shared" si="23"/>
        <v>2686.5913218627625</v>
      </c>
      <c r="AR54" s="42">
        <f t="shared" si="23"/>
        <v>2765.0368397495345</v>
      </c>
      <c r="AS54" s="42">
        <f t="shared" si="23"/>
        <v>2841.7360786139611</v>
      </c>
      <c r="AT54" s="42">
        <f t="shared" si="23"/>
        <v>2916.6215346022668</v>
      </c>
      <c r="AU54" s="42">
        <f t="shared" si="23"/>
        <v>2989.6374309225921</v>
      </c>
      <c r="AV54" s="42">
        <f t="shared" si="23"/>
        <v>3060.7390467464993</v>
      </c>
      <c r="AW54" s="42">
        <f t="shared" si="23"/>
        <v>3129.8920199828731</v>
      </c>
      <c r="AX54" s="42">
        <f t="shared" si="23"/>
        <v>3197.0716354272722</v>
      </c>
      <c r="AY54" s="42">
        <f t="shared" si="23"/>
        <v>3262.26210831346</v>
      </c>
      <c r="AZ54" s="42">
        <f t="shared" si="23"/>
        <v>3325.4558718828721</v>
      </c>
      <c r="BA54" s="42">
        <f t="shared" si="23"/>
        <v>3386.652876260021</v>
      </c>
      <c r="BB54" s="42">
        <f t="shared" si="23"/>
        <v>3445.8599046895606</v>
      </c>
      <c r="BC54" s="42">
        <f t="shared" si="23"/>
        <v>3503.0899120613662</v>
      </c>
      <c r="BD54" s="42">
        <f t="shared" si="23"/>
        <v>3558.3613896271263</v>
      </c>
      <c r="BE54" s="42">
        <f t="shared" si="23"/>
        <v>3611.6977588959967</v>
      </c>
      <c r="BF54" s="42">
        <f t="shared" si="23"/>
        <v>3663.1267968857005</v>
      </c>
      <c r="BG54" s="42">
        <f t="shared" si="23"/>
        <v>3712.6800941950896</v>
      </c>
      <c r="BH54" s="42">
        <f t="shared" si="23"/>
        <v>3760.392546749224</v>
      </c>
      <c r="BI54" s="42">
        <f t="shared" si="23"/>
        <v>3806.3018815420619</v>
      </c>
      <c r="BJ54" s="42">
        <f t="shared" si="23"/>
        <v>3850.4482162580257</v>
      </c>
      <c r="BK54" s="42">
        <f t="shared" si="23"/>
        <v>3892.8736522846393</v>
      </c>
      <c r="BL54" s="42">
        <f t="shared" si="23"/>
        <v>3933.6219003268989</v>
      </c>
      <c r="BM54" s="42">
        <f t="shared" si="23"/>
        <v>3972.7379375927549</v>
      </c>
      <c r="BN54" s="42">
        <f t="shared" si="23"/>
        <v>4010.2676953311316</v>
      </c>
      <c r="BO54" s="42">
        <f t="shared" si="23"/>
        <v>4046.2577753626529</v>
      </c>
    </row>
    <row r="55" spans="1:67" ht="16.5" customHeight="1">
      <c r="A55" s="16"/>
      <c r="B55" s="17" t="s">
        <v>166</v>
      </c>
      <c r="C55" s="18" t="str">
        <f>'Get Started'!D$7</f>
        <v>$</v>
      </c>
      <c r="D55" s="17" t="s">
        <v>167</v>
      </c>
      <c r="E55" s="17"/>
      <c r="F55" s="17"/>
      <c r="G55" s="17"/>
      <c r="H55" s="17" t="s">
        <v>133</v>
      </c>
      <c r="I55" s="42">
        <f t="shared" si="20"/>
        <v>123860.68890237696</v>
      </c>
      <c r="J55" s="17"/>
      <c r="K55" s="17"/>
      <c r="L55" s="17"/>
      <c r="M55" s="17"/>
      <c r="N55" s="17"/>
      <c r="O55" s="17"/>
      <c r="P55" s="17"/>
      <c r="Q55" s="17"/>
      <c r="R55" s="17"/>
      <c r="S55" s="42"/>
      <c r="T55" s="42">
        <f t="shared" ref="T55:BO55" si="24">T16*T37</f>
        <v>0</v>
      </c>
      <c r="U55" s="42">
        <f t="shared" si="24"/>
        <v>0</v>
      </c>
      <c r="V55" s="42">
        <f t="shared" si="24"/>
        <v>0</v>
      </c>
      <c r="W55" s="42">
        <f t="shared" si="24"/>
        <v>0</v>
      </c>
      <c r="X55" s="42">
        <f t="shared" si="24"/>
        <v>0</v>
      </c>
      <c r="Y55" s="42">
        <f t="shared" si="24"/>
        <v>0</v>
      </c>
      <c r="Z55" s="42">
        <f t="shared" si="24"/>
        <v>0</v>
      </c>
      <c r="AA55" s="42">
        <f t="shared" si="24"/>
        <v>0</v>
      </c>
      <c r="AB55" s="42">
        <f t="shared" si="24"/>
        <v>0</v>
      </c>
      <c r="AC55" s="42">
        <f t="shared" si="24"/>
        <v>0</v>
      </c>
      <c r="AD55" s="42">
        <f t="shared" si="24"/>
        <v>0</v>
      </c>
      <c r="AE55" s="42">
        <f t="shared" si="24"/>
        <v>0</v>
      </c>
      <c r="AF55" s="42">
        <f t="shared" si="24"/>
        <v>712.5</v>
      </c>
      <c r="AG55" s="42">
        <f t="shared" si="24"/>
        <v>780.18749999999989</v>
      </c>
      <c r="AH55" s="42">
        <f t="shared" si="24"/>
        <v>850.59942187499996</v>
      </c>
      <c r="AI55" s="42">
        <f t="shared" si="24"/>
        <v>923.52768980800772</v>
      </c>
      <c r="AJ55" s="42">
        <f t="shared" si="24"/>
        <v>998.74959734767606</v>
      </c>
      <c r="AK55" s="42">
        <f t="shared" si="24"/>
        <v>1076.0309373240191</v>
      </c>
      <c r="AL55" s="42">
        <f t="shared" si="24"/>
        <v>1155.1290989328695</v>
      </c>
      <c r="AM55" s="42">
        <f t="shared" si="24"/>
        <v>1235.7960720916685</v>
      </c>
      <c r="AN55" s="42">
        <f t="shared" si="24"/>
        <v>1317.7813084049069</v>
      </c>
      <c r="AO55" s="42">
        <f t="shared" si="24"/>
        <v>1400.8343975817381</v>
      </c>
      <c r="AP55" s="42">
        <f t="shared" si="24"/>
        <v>1484.7075275405309</v>
      </c>
      <c r="AQ55" s="42">
        <f t="shared" si="24"/>
        <v>1569.1577054073916</v>
      </c>
      <c r="AR55" s="42">
        <f t="shared" si="24"/>
        <v>2330.8237249324361</v>
      </c>
      <c r="AS55" s="42">
        <f t="shared" si="24"/>
        <v>2480.0309983418656</v>
      </c>
      <c r="AT55" s="42">
        <f t="shared" si="24"/>
        <v>2631.7218279923127</v>
      </c>
      <c r="AU55" s="42">
        <f t="shared" si="24"/>
        <v>2785.4918978508572</v>
      </c>
      <c r="AV55" s="42">
        <f t="shared" si="24"/>
        <v>2940.9350662446286</v>
      </c>
      <c r="AW55" s="42">
        <f t="shared" si="24"/>
        <v>3097.6470507356703</v>
      </c>
      <c r="AX55" s="42">
        <f t="shared" si="24"/>
        <v>3255.2288654084205</v>
      </c>
      <c r="AY55" s="42">
        <f t="shared" si="24"/>
        <v>3413.2899717999685</v>
      </c>
      <c r="AZ55" s="42">
        <f t="shared" si="24"/>
        <v>3571.4511146891982</v>
      </c>
      <c r="BA55" s="42">
        <f t="shared" si="24"/>
        <v>3729.3468235690598</v>
      </c>
      <c r="BB55" s="42">
        <f t="shared" si="24"/>
        <v>3886.6275695922668</v>
      </c>
      <c r="BC55" s="42">
        <f t="shared" si="24"/>
        <v>4042.9615759066464</v>
      </c>
      <c r="BD55" s="42">
        <f t="shared" si="24"/>
        <v>4841.067536447872</v>
      </c>
      <c r="BE55" s="42">
        <f t="shared" si="24"/>
        <v>5055.6787231080352</v>
      </c>
      <c r="BF55" s="42">
        <f t="shared" si="24"/>
        <v>5270.9261944648506</v>
      </c>
      <c r="BG55" s="42">
        <f t="shared" si="24"/>
        <v>5486.372862334777</v>
      </c>
      <c r="BH55" s="42">
        <f t="shared" si="24"/>
        <v>5701.5904073415713</v>
      </c>
      <c r="BI55" s="42">
        <f t="shared" si="24"/>
        <v>5916.1621171826164</v>
      </c>
      <c r="BJ55" s="42">
        <f t="shared" si="24"/>
        <v>6129.6854757939072</v>
      </c>
      <c r="BK55" s="42">
        <f t="shared" si="24"/>
        <v>6341.7744761077565</v>
      </c>
      <c r="BL55" s="42">
        <f t="shared" si="24"/>
        <v>6552.0616372434661</v>
      </c>
      <c r="BM55" s="42">
        <f t="shared" si="24"/>
        <v>6760.1997148376258</v>
      </c>
      <c r="BN55" s="42">
        <f t="shared" si="24"/>
        <v>6965.8631005677353</v>
      </c>
      <c r="BO55" s="42">
        <f t="shared" si="24"/>
        <v>7168.7489135696123</v>
      </c>
    </row>
    <row r="56" spans="1:67" ht="16.5" customHeight="1">
      <c r="A56" s="16"/>
      <c r="B56" s="17" t="s">
        <v>168</v>
      </c>
      <c r="C56" s="18" t="str">
        <f>'Get Started'!D$7</f>
        <v>$</v>
      </c>
      <c r="D56" s="17" t="s">
        <v>169</v>
      </c>
      <c r="E56" s="17"/>
      <c r="F56" s="17"/>
      <c r="G56" s="17"/>
      <c r="H56" s="17" t="s">
        <v>133</v>
      </c>
      <c r="I56" s="42">
        <f t="shared" si="20"/>
        <v>-6518.9836264408932</v>
      </c>
      <c r="J56" s="17"/>
      <c r="K56" s="17"/>
      <c r="L56" s="17"/>
      <c r="M56" s="17"/>
      <c r="N56" s="17"/>
      <c r="O56" s="17"/>
      <c r="P56" s="17"/>
      <c r="Q56" s="17"/>
      <c r="R56" s="17"/>
      <c r="S56" s="42"/>
      <c r="T56" s="42">
        <f t="shared" ref="T56:BO56" si="25">T16*T38*-1</f>
        <v>0</v>
      </c>
      <c r="U56" s="42">
        <f t="shared" si="25"/>
        <v>0</v>
      </c>
      <c r="V56" s="42">
        <f t="shared" si="25"/>
        <v>0</v>
      </c>
      <c r="W56" s="42">
        <f t="shared" si="25"/>
        <v>0</v>
      </c>
      <c r="X56" s="42">
        <f t="shared" si="25"/>
        <v>0</v>
      </c>
      <c r="Y56" s="42">
        <f t="shared" si="25"/>
        <v>0</v>
      </c>
      <c r="Z56" s="42">
        <f t="shared" si="25"/>
        <v>0</v>
      </c>
      <c r="AA56" s="42">
        <f t="shared" si="25"/>
        <v>0</v>
      </c>
      <c r="AB56" s="42">
        <f t="shared" si="25"/>
        <v>0</v>
      </c>
      <c r="AC56" s="42">
        <f t="shared" si="25"/>
        <v>0</v>
      </c>
      <c r="AD56" s="42">
        <f t="shared" si="25"/>
        <v>0</v>
      </c>
      <c r="AE56" s="42">
        <f t="shared" si="25"/>
        <v>0</v>
      </c>
      <c r="AF56" s="42">
        <f t="shared" si="25"/>
        <v>-37.5</v>
      </c>
      <c r="AG56" s="42">
        <f t="shared" si="25"/>
        <v>-41.062500000000007</v>
      </c>
      <c r="AH56" s="42">
        <f t="shared" si="25"/>
        <v>-44.768390624999995</v>
      </c>
      <c r="AI56" s="42">
        <f t="shared" si="25"/>
        <v>-48.606720516210935</v>
      </c>
      <c r="AJ56" s="42">
        <f t="shared" si="25"/>
        <v>-52.565768281456641</v>
      </c>
      <c r="AK56" s="42">
        <f t="shared" si="25"/>
        <v>-56.633207227579959</v>
      </c>
      <c r="AL56" s="42">
        <f t="shared" si="25"/>
        <v>-60.796268364887879</v>
      </c>
      <c r="AM56" s="42">
        <f t="shared" si="25"/>
        <v>-65.041898531140447</v>
      </c>
      <c r="AN56" s="42">
        <f t="shared" si="25"/>
        <v>-69.356910968679315</v>
      </c>
      <c r="AO56" s="42">
        <f t="shared" si="25"/>
        <v>-73.728126188512533</v>
      </c>
      <c r="AP56" s="42">
        <f t="shared" si="25"/>
        <v>-78.142501449501623</v>
      </c>
      <c r="AQ56" s="42">
        <f t="shared" si="25"/>
        <v>-82.587247653020626</v>
      </c>
      <c r="AR56" s="42">
        <f t="shared" si="25"/>
        <v>-122.67493289118084</v>
      </c>
      <c r="AS56" s="42">
        <f t="shared" si="25"/>
        <v>-130.52794728115083</v>
      </c>
      <c r="AT56" s="42">
        <f t="shared" si="25"/>
        <v>-138.51167515749017</v>
      </c>
      <c r="AU56" s="42">
        <f t="shared" si="25"/>
        <v>-146.6048367289925</v>
      </c>
      <c r="AV56" s="42">
        <f t="shared" si="25"/>
        <v>-154.78605611813836</v>
      </c>
      <c r="AW56" s="42">
        <f t="shared" si="25"/>
        <v>-163.0340553018774</v>
      </c>
      <c r="AX56" s="42">
        <f t="shared" si="25"/>
        <v>-171.32783502149584</v>
      </c>
      <c r="AY56" s="42">
        <f t="shared" si="25"/>
        <v>-179.64684062105098</v>
      </c>
      <c r="AZ56" s="42">
        <f t="shared" si="25"/>
        <v>-187.9711112994315</v>
      </c>
      <c r="BA56" s="42">
        <f t="shared" si="25"/>
        <v>-196.28141176679264</v>
      </c>
      <c r="BB56" s="42">
        <f t="shared" si="25"/>
        <v>-204.55934576801408</v>
      </c>
      <c r="BC56" s="42">
        <f t="shared" si="25"/>
        <v>-212.78745136350776</v>
      </c>
      <c r="BD56" s="42">
        <f t="shared" si="25"/>
        <v>-254.79302823409853</v>
      </c>
      <c r="BE56" s="42">
        <f t="shared" si="25"/>
        <v>-266.08835384779132</v>
      </c>
      <c r="BF56" s="42">
        <f t="shared" si="25"/>
        <v>-277.41716812972896</v>
      </c>
      <c r="BG56" s="42">
        <f t="shared" si="25"/>
        <v>-288.75646643867248</v>
      </c>
      <c r="BH56" s="42">
        <f t="shared" si="25"/>
        <v>-300.08370564955641</v>
      </c>
      <c r="BI56" s="42">
        <f t="shared" si="25"/>
        <v>-311.37695353592721</v>
      </c>
      <c r="BJ56" s="42">
        <f t="shared" si="25"/>
        <v>-322.61502504178463</v>
      </c>
      <c r="BK56" s="42">
        <f t="shared" si="25"/>
        <v>-333.77760400567144</v>
      </c>
      <c r="BL56" s="42">
        <f t="shared" si="25"/>
        <v>-344.8453493286035</v>
      </c>
      <c r="BM56" s="42">
        <f t="shared" si="25"/>
        <v>-355.79998499145404</v>
      </c>
      <c r="BN56" s="42">
        <f t="shared" si="25"/>
        <v>-366.62437371409135</v>
      </c>
      <c r="BO56" s="42">
        <f t="shared" si="25"/>
        <v>-377.30257439840068</v>
      </c>
    </row>
    <row r="57" spans="1:67" ht="16.5" customHeight="1">
      <c r="A57" s="16"/>
      <c r="B57" s="17" t="s">
        <v>170</v>
      </c>
      <c r="C57" s="18" t="str">
        <f>'Get Started'!D$7</f>
        <v>$</v>
      </c>
      <c r="D57" s="17" t="s">
        <v>171</v>
      </c>
      <c r="E57" s="17"/>
      <c r="F57" s="17"/>
      <c r="G57" s="17"/>
      <c r="H57" s="17" t="s">
        <v>133</v>
      </c>
      <c r="I57" s="42">
        <f t="shared" si="20"/>
        <v>0</v>
      </c>
      <c r="J57" s="17"/>
      <c r="K57" s="17"/>
      <c r="L57" s="17"/>
      <c r="M57" s="17"/>
      <c r="N57" s="17"/>
      <c r="O57" s="17"/>
      <c r="P57" s="17"/>
      <c r="Q57" s="17"/>
      <c r="R57" s="17"/>
      <c r="S57" s="42"/>
      <c r="T57" s="42">
        <f t="shared" ref="T57:BO57" si="26">T39*T16</f>
        <v>0</v>
      </c>
      <c r="U57" s="42">
        <f t="shared" si="26"/>
        <v>0</v>
      </c>
      <c r="V57" s="42">
        <f t="shared" si="26"/>
        <v>0</v>
      </c>
      <c r="W57" s="42">
        <f t="shared" si="26"/>
        <v>0</v>
      </c>
      <c r="X57" s="42">
        <f t="shared" si="26"/>
        <v>0</v>
      </c>
      <c r="Y57" s="42">
        <f t="shared" si="26"/>
        <v>0</v>
      </c>
      <c r="Z57" s="42">
        <f t="shared" si="26"/>
        <v>0</v>
      </c>
      <c r="AA57" s="42">
        <f t="shared" si="26"/>
        <v>0</v>
      </c>
      <c r="AB57" s="42">
        <f t="shared" si="26"/>
        <v>0</v>
      </c>
      <c r="AC57" s="42">
        <f t="shared" si="26"/>
        <v>0</v>
      </c>
      <c r="AD57" s="42">
        <f t="shared" si="26"/>
        <v>0</v>
      </c>
      <c r="AE57" s="42">
        <f t="shared" si="26"/>
        <v>0</v>
      </c>
      <c r="AF57" s="42">
        <f t="shared" si="26"/>
        <v>0</v>
      </c>
      <c r="AG57" s="42">
        <f t="shared" si="26"/>
        <v>0</v>
      </c>
      <c r="AH57" s="42">
        <f t="shared" si="26"/>
        <v>0</v>
      </c>
      <c r="AI57" s="42">
        <f t="shared" si="26"/>
        <v>0</v>
      </c>
      <c r="AJ57" s="42">
        <f t="shared" si="26"/>
        <v>0</v>
      </c>
      <c r="AK57" s="42">
        <f t="shared" si="26"/>
        <v>0</v>
      </c>
      <c r="AL57" s="42">
        <f t="shared" si="26"/>
        <v>0</v>
      </c>
      <c r="AM57" s="42">
        <f t="shared" si="26"/>
        <v>0</v>
      </c>
      <c r="AN57" s="42">
        <f t="shared" si="26"/>
        <v>0</v>
      </c>
      <c r="AO57" s="42">
        <f t="shared" si="26"/>
        <v>0</v>
      </c>
      <c r="AP57" s="42">
        <f t="shared" si="26"/>
        <v>0</v>
      </c>
      <c r="AQ57" s="42">
        <f t="shared" si="26"/>
        <v>0</v>
      </c>
      <c r="AR57" s="42">
        <f t="shared" si="26"/>
        <v>0</v>
      </c>
      <c r="AS57" s="42">
        <f t="shared" si="26"/>
        <v>0</v>
      </c>
      <c r="AT57" s="42">
        <f t="shared" si="26"/>
        <v>0</v>
      </c>
      <c r="AU57" s="42">
        <f t="shared" si="26"/>
        <v>0</v>
      </c>
      <c r="AV57" s="42">
        <f t="shared" si="26"/>
        <v>0</v>
      </c>
      <c r="AW57" s="42">
        <f t="shared" si="26"/>
        <v>0</v>
      </c>
      <c r="AX57" s="42">
        <f t="shared" si="26"/>
        <v>0</v>
      </c>
      <c r="AY57" s="42">
        <f t="shared" si="26"/>
        <v>0</v>
      </c>
      <c r="AZ57" s="42">
        <f t="shared" si="26"/>
        <v>0</v>
      </c>
      <c r="BA57" s="42">
        <f t="shared" si="26"/>
        <v>0</v>
      </c>
      <c r="BB57" s="42">
        <f t="shared" si="26"/>
        <v>0</v>
      </c>
      <c r="BC57" s="42">
        <f t="shared" si="26"/>
        <v>0</v>
      </c>
      <c r="BD57" s="42">
        <f t="shared" si="26"/>
        <v>0</v>
      </c>
      <c r="BE57" s="42">
        <f t="shared" si="26"/>
        <v>0</v>
      </c>
      <c r="BF57" s="42">
        <f t="shared" si="26"/>
        <v>0</v>
      </c>
      <c r="BG57" s="42">
        <f t="shared" si="26"/>
        <v>0</v>
      </c>
      <c r="BH57" s="42">
        <f t="shared" si="26"/>
        <v>0</v>
      </c>
      <c r="BI57" s="42">
        <f t="shared" si="26"/>
        <v>0</v>
      </c>
      <c r="BJ57" s="42">
        <f t="shared" si="26"/>
        <v>0</v>
      </c>
      <c r="BK57" s="42">
        <f t="shared" si="26"/>
        <v>0</v>
      </c>
      <c r="BL57" s="42">
        <f t="shared" si="26"/>
        <v>0</v>
      </c>
      <c r="BM57" s="42">
        <f t="shared" si="26"/>
        <v>0</v>
      </c>
      <c r="BN57" s="42">
        <f t="shared" si="26"/>
        <v>0</v>
      </c>
      <c r="BO57" s="42">
        <f t="shared" si="26"/>
        <v>0</v>
      </c>
    </row>
    <row r="58" spans="1:67" ht="16.5" customHeight="1">
      <c r="A58" s="16"/>
      <c r="B58" s="17" t="s">
        <v>172</v>
      </c>
      <c r="C58" s="18" t="str">
        <f>'Get Started'!D$7</f>
        <v>$</v>
      </c>
      <c r="D58" s="17" t="s">
        <v>159</v>
      </c>
      <c r="E58" s="17"/>
      <c r="F58" s="17"/>
      <c r="G58" s="17"/>
      <c r="H58" s="17" t="s">
        <v>144</v>
      </c>
      <c r="I58" s="42">
        <f t="shared" si="20"/>
        <v>118008.89880405112</v>
      </c>
      <c r="J58" s="17"/>
      <c r="K58" s="17"/>
      <c r="L58" s="17"/>
      <c r="M58" s="17"/>
      <c r="N58" s="17"/>
      <c r="O58" s="17"/>
      <c r="P58" s="17"/>
      <c r="Q58" s="17"/>
      <c r="R58" s="17"/>
      <c r="S58" s="42"/>
      <c r="T58" s="42">
        <f t="shared" ref="T58:BO58" si="27">T54+T55+T57+T53</f>
        <v>750</v>
      </c>
      <c r="U58" s="42">
        <f t="shared" si="27"/>
        <v>1571.25</v>
      </c>
      <c r="V58" s="42">
        <f t="shared" si="27"/>
        <v>2466.6178125000001</v>
      </c>
      <c r="W58" s="42">
        <f t="shared" si="27"/>
        <v>3438.7522228242187</v>
      </c>
      <c r="X58" s="42">
        <f t="shared" si="27"/>
        <v>4490.0675884533512</v>
      </c>
      <c r="Y58" s="42">
        <f t="shared" si="27"/>
        <v>5622.73173300495</v>
      </c>
      <c r="Z58" s="42">
        <f t="shared" si="27"/>
        <v>6838.6571003027075</v>
      </c>
      <c r="AA58" s="42">
        <f t="shared" si="27"/>
        <v>8139.4950709255163</v>
      </c>
      <c r="AB58" s="42">
        <f t="shared" si="27"/>
        <v>9526.6332902991016</v>
      </c>
      <c r="AC58" s="42">
        <f t="shared" si="27"/>
        <v>11001.195814069353</v>
      </c>
      <c r="AD58" s="42">
        <f t="shared" si="27"/>
        <v>12564.045843059386</v>
      </c>
      <c r="AE58" s="42">
        <f t="shared" si="27"/>
        <v>14215.790796119798</v>
      </c>
      <c r="AF58" s="42">
        <f t="shared" si="27"/>
        <v>15919.289453943415</v>
      </c>
      <c r="AG58" s="42">
        <f t="shared" si="27"/>
        <v>17708.598399566432</v>
      </c>
      <c r="AH58" s="42">
        <f t="shared" si="27"/>
        <v>19583.464090216239</v>
      </c>
      <c r="AI58" s="42">
        <f t="shared" si="27"/>
        <v>21543.426414471869</v>
      </c>
      <c r="AJ58" s="42">
        <f t="shared" si="27"/>
        <v>23587.832171205504</v>
      </c>
      <c r="AK58" s="42">
        <f t="shared" si="27"/>
        <v>25715.849132691452</v>
      </c>
      <c r="AL58" s="42">
        <f t="shared" si="27"/>
        <v>27926.48046582361</v>
      </c>
      <c r="AM58" s="42">
        <f t="shared" si="27"/>
        <v>30218.579307621821</v>
      </c>
      <c r="AN58" s="42">
        <f t="shared" si="27"/>
        <v>32590.863314236864</v>
      </c>
      <c r="AO58" s="42">
        <f t="shared" si="27"/>
        <v>35041.92902580247</v>
      </c>
      <c r="AP58" s="42">
        <f t="shared" si="27"/>
        <v>37570.265912172719</v>
      </c>
      <c r="AQ58" s="42">
        <f t="shared" si="27"/>
        <v>40174.26998638246</v>
      </c>
      <c r="AR58" s="42">
        <f t="shared" si="27"/>
        <v>42816.63189324081</v>
      </c>
      <c r="AS58" s="42">
        <f t="shared" si="27"/>
        <v>45527.840024573619</v>
      </c>
      <c r="AT58" s="42">
        <f t="shared" si="27"/>
        <v>48305.949884018395</v>
      </c>
      <c r="AU58" s="42">
        <f t="shared" si="27"/>
        <v>51148.982478211998</v>
      </c>
      <c r="AV58" s="42">
        <f t="shared" si="27"/>
        <v>54054.935468840355</v>
      </c>
      <c r="AW58" s="42">
        <f t="shared" si="27"/>
        <v>57021.79343352135</v>
      </c>
      <c r="AX58" s="42">
        <f t="shared" si="27"/>
        <v>60047.537233927127</v>
      </c>
      <c r="AY58" s="42">
        <f t="shared" si="27"/>
        <v>63130.152501619537</v>
      </c>
      <c r="AZ58" s="42">
        <f t="shared" si="27"/>
        <v>66267.637262202974</v>
      </c>
      <c r="BA58" s="42">
        <f t="shared" si="27"/>
        <v>69458.008726696193</v>
      </c>
      <c r="BB58" s="42">
        <f t="shared" si="27"/>
        <v>72699.309285617739</v>
      </c>
      <c r="BC58" s="42">
        <f t="shared" si="27"/>
        <v>75989.611746315597</v>
      </c>
      <c r="BD58" s="42">
        <f t="shared" si="27"/>
        <v>79293.180107708627</v>
      </c>
      <c r="BE58" s="42">
        <f t="shared" si="27"/>
        <v>82638.789512756834</v>
      </c>
      <c r="BF58" s="42">
        <f t="shared" si="27"/>
        <v>86024.499141512802</v>
      </c>
      <c r="BG58" s="42">
        <f t="shared" si="27"/>
        <v>89448.422769269222</v>
      </c>
      <c r="BH58" s="42">
        <f t="shared" si="27"/>
        <v>92908.731610368894</v>
      </c>
      <c r="BI58" s="42">
        <f t="shared" si="27"/>
        <v>96403.656538375028</v>
      </c>
      <c r="BJ58" s="42">
        <f t="shared" si="27"/>
        <v>99931.489729591267</v>
      </c>
      <c r="BK58" s="42">
        <f t="shared" si="27"/>
        <v>103490.58577787022</v>
      </c>
      <c r="BL58" s="42">
        <f t="shared" si="27"/>
        <v>107079.36232886852</v>
      </c>
      <c r="BM58" s="42">
        <f t="shared" si="27"/>
        <v>110696.30028146983</v>
      </c>
      <c r="BN58" s="42">
        <f t="shared" si="27"/>
        <v>114339.94360308687</v>
      </c>
      <c r="BO58" s="42">
        <f t="shared" si="27"/>
        <v>118008.89880405112</v>
      </c>
    </row>
    <row r="59" spans="1:67" ht="16.5" customHeight="1">
      <c r="A59" s="16"/>
      <c r="B59" s="17"/>
      <c r="C59" s="18"/>
      <c r="D59" s="17"/>
      <c r="E59" s="17"/>
      <c r="F59" s="17"/>
      <c r="G59" s="17"/>
      <c r="H59" s="17"/>
      <c r="I59" s="17"/>
      <c r="J59" s="17"/>
      <c r="K59" s="17"/>
      <c r="L59" s="17"/>
      <c r="M59" s="17"/>
      <c r="N59" s="17"/>
      <c r="O59" s="17"/>
      <c r="P59" s="17"/>
      <c r="Q59" s="17"/>
      <c r="R59" s="17"/>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row>
    <row r="60" spans="1:67" ht="16.5" customHeight="1">
      <c r="A60" s="16"/>
      <c r="B60" s="23" t="s">
        <v>173</v>
      </c>
      <c r="C60" s="18"/>
      <c r="D60" s="17"/>
      <c r="E60" s="17"/>
      <c r="F60" s="17"/>
      <c r="G60" s="17"/>
      <c r="H60" s="17"/>
      <c r="I60" s="17"/>
      <c r="J60" s="17"/>
      <c r="K60" s="17"/>
      <c r="L60" s="17"/>
      <c r="M60" s="17"/>
      <c r="N60" s="17"/>
      <c r="O60" s="17"/>
      <c r="P60" s="17"/>
      <c r="Q60" s="17"/>
      <c r="R60" s="17"/>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row>
    <row r="61" spans="1:67" ht="16.5" customHeight="1">
      <c r="A61" s="16"/>
      <c r="B61" s="17" t="s">
        <v>174</v>
      </c>
      <c r="C61" s="18" t="str">
        <f>'Get Started'!D$7</f>
        <v>$</v>
      </c>
      <c r="D61" s="17" t="s">
        <v>175</v>
      </c>
      <c r="E61" s="17"/>
      <c r="F61" s="17"/>
      <c r="G61" s="17"/>
      <c r="H61" s="17" t="s">
        <v>144</v>
      </c>
      <c r="I61" s="42">
        <f>IF(H61="initial",T61,IF(H61="final",BO61,IF(H61="sum",SUM(T61:BO61))))</f>
        <v>1416106.7856486135</v>
      </c>
      <c r="J61" s="17"/>
      <c r="K61" s="17"/>
      <c r="L61" s="17"/>
      <c r="M61" s="17"/>
      <c r="N61" s="17"/>
      <c r="O61" s="17"/>
      <c r="P61" s="17"/>
      <c r="Q61" s="17"/>
      <c r="R61" s="17"/>
      <c r="S61" s="42"/>
      <c r="T61" s="42">
        <f t="shared" ref="T61:BO61" si="28">T58*12</f>
        <v>9000</v>
      </c>
      <c r="U61" s="42">
        <f t="shared" si="28"/>
        <v>18855</v>
      </c>
      <c r="V61" s="42">
        <f t="shared" si="28"/>
        <v>29599.41375</v>
      </c>
      <c r="W61" s="42">
        <f t="shared" si="28"/>
        <v>41265.026673890621</v>
      </c>
      <c r="X61" s="42">
        <f t="shared" si="28"/>
        <v>53880.81106144021</v>
      </c>
      <c r="Y61" s="42">
        <f t="shared" si="28"/>
        <v>67472.780796059407</v>
      </c>
      <c r="Z61" s="42">
        <f t="shared" si="28"/>
        <v>82063.885203632497</v>
      </c>
      <c r="AA61" s="42">
        <f t="shared" si="28"/>
        <v>97673.940851106192</v>
      </c>
      <c r="AB61" s="42">
        <f t="shared" si="28"/>
        <v>114319.59948358922</v>
      </c>
      <c r="AC61" s="42">
        <f t="shared" si="28"/>
        <v>132014.34976883224</v>
      </c>
      <c r="AD61" s="42">
        <f t="shared" si="28"/>
        <v>150768.55011671263</v>
      </c>
      <c r="AE61" s="42">
        <f t="shared" si="28"/>
        <v>170589.48955343757</v>
      </c>
      <c r="AF61" s="42">
        <f t="shared" si="28"/>
        <v>191031.47344732098</v>
      </c>
      <c r="AG61" s="42">
        <f t="shared" si="28"/>
        <v>212503.1807947972</v>
      </c>
      <c r="AH61" s="42">
        <f t="shared" si="28"/>
        <v>235001.56908259488</v>
      </c>
      <c r="AI61" s="42">
        <f t="shared" si="28"/>
        <v>258521.11697366243</v>
      </c>
      <c r="AJ61" s="42">
        <f t="shared" si="28"/>
        <v>283053.98605446605</v>
      </c>
      <c r="AK61" s="42">
        <f t="shared" si="28"/>
        <v>308590.18959229742</v>
      </c>
      <c r="AL61" s="42">
        <f t="shared" si="28"/>
        <v>335117.76558988332</v>
      </c>
      <c r="AM61" s="42">
        <f t="shared" si="28"/>
        <v>362622.95169146184</v>
      </c>
      <c r="AN61" s="42">
        <f t="shared" si="28"/>
        <v>391090.35977084236</v>
      </c>
      <c r="AO61" s="42">
        <f t="shared" si="28"/>
        <v>420503.14830962964</v>
      </c>
      <c r="AP61" s="42">
        <f t="shared" si="28"/>
        <v>450843.19094607263</v>
      </c>
      <c r="AQ61" s="42">
        <f t="shared" si="28"/>
        <v>482091.23983658955</v>
      </c>
      <c r="AR61" s="42">
        <f t="shared" si="28"/>
        <v>513799.58271888969</v>
      </c>
      <c r="AS61" s="42">
        <f t="shared" si="28"/>
        <v>546334.08029488346</v>
      </c>
      <c r="AT61" s="42">
        <f t="shared" si="28"/>
        <v>579671.39860822074</v>
      </c>
      <c r="AU61" s="42">
        <f t="shared" si="28"/>
        <v>613787.78973854403</v>
      </c>
      <c r="AV61" s="42">
        <f t="shared" si="28"/>
        <v>648659.22562608426</v>
      </c>
      <c r="AW61" s="42">
        <f t="shared" si="28"/>
        <v>684261.5212022562</v>
      </c>
      <c r="AX61" s="42">
        <f t="shared" si="28"/>
        <v>720570.44680712558</v>
      </c>
      <c r="AY61" s="42">
        <f t="shared" si="28"/>
        <v>757561.83001943445</v>
      </c>
      <c r="AZ61" s="42">
        <f t="shared" si="28"/>
        <v>795211.64714643569</v>
      </c>
      <c r="BA61" s="42">
        <f t="shared" si="28"/>
        <v>833496.10472035431</v>
      </c>
      <c r="BB61" s="42">
        <f t="shared" si="28"/>
        <v>872391.71142741293</v>
      </c>
      <c r="BC61" s="42">
        <f t="shared" si="28"/>
        <v>911875.34095578711</v>
      </c>
      <c r="BD61" s="42">
        <f t="shared" si="28"/>
        <v>951518.16129250359</v>
      </c>
      <c r="BE61" s="42">
        <f t="shared" si="28"/>
        <v>991665.474153082</v>
      </c>
      <c r="BF61" s="42">
        <f t="shared" si="28"/>
        <v>1032293.9896981537</v>
      </c>
      <c r="BG61" s="42">
        <f t="shared" si="28"/>
        <v>1073381.0732312307</v>
      </c>
      <c r="BH61" s="42">
        <f t="shared" si="28"/>
        <v>1114904.7793244268</v>
      </c>
      <c r="BI61" s="42">
        <f t="shared" si="28"/>
        <v>1156843.8784605004</v>
      </c>
      <c r="BJ61" s="42">
        <f t="shared" si="28"/>
        <v>1199177.8767550951</v>
      </c>
      <c r="BK61" s="42">
        <f t="shared" si="28"/>
        <v>1241887.0293344427</v>
      </c>
      <c r="BL61" s="42">
        <f t="shared" si="28"/>
        <v>1284952.3479464222</v>
      </c>
      <c r="BM61" s="42">
        <f t="shared" si="28"/>
        <v>1328355.6033776379</v>
      </c>
      <c r="BN61" s="42">
        <f t="shared" si="28"/>
        <v>1372079.3232370424</v>
      </c>
      <c r="BO61" s="42">
        <f t="shared" si="28"/>
        <v>1416106.7856486135</v>
      </c>
    </row>
    <row r="62" spans="1:67" ht="16.5" customHeight="1">
      <c r="A62" s="16"/>
      <c r="B62" s="17"/>
      <c r="C62" s="18"/>
      <c r="D62" s="17"/>
      <c r="E62" s="17"/>
      <c r="F62" s="17"/>
      <c r="G62" s="17"/>
      <c r="H62" s="17"/>
      <c r="I62" s="17"/>
      <c r="J62" s="17"/>
      <c r="K62" s="17"/>
      <c r="L62" s="17"/>
      <c r="M62" s="17"/>
      <c r="N62" s="17"/>
      <c r="O62" s="17"/>
      <c r="P62" s="17"/>
      <c r="Q62" s="17"/>
      <c r="R62" s="17"/>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row>
    <row r="63" spans="1:67" ht="16.5" customHeight="1">
      <c r="A63" s="16"/>
      <c r="B63" s="23" t="s">
        <v>176</v>
      </c>
      <c r="C63" s="18"/>
      <c r="D63" s="17"/>
      <c r="E63" s="17"/>
      <c r="F63" s="17"/>
      <c r="G63" s="17"/>
      <c r="H63" s="17"/>
      <c r="I63" s="17"/>
      <c r="J63" s="17"/>
      <c r="K63" s="17"/>
      <c r="L63" s="17"/>
      <c r="M63" s="17"/>
      <c r="N63" s="17"/>
      <c r="O63" s="17"/>
      <c r="P63" s="17"/>
      <c r="Q63" s="17"/>
      <c r="R63" s="17"/>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row>
    <row r="64" spans="1:67" ht="16.5" customHeight="1">
      <c r="A64" s="16"/>
      <c r="B64" s="17" t="s">
        <v>177</v>
      </c>
      <c r="C64" s="18" t="s">
        <v>76</v>
      </c>
      <c r="D64" s="17" t="s">
        <v>178</v>
      </c>
      <c r="E64" s="17"/>
      <c r="F64" s="17"/>
      <c r="G64" s="17"/>
      <c r="H64" s="17" t="s">
        <v>119</v>
      </c>
      <c r="I64" s="44">
        <f>IF(H64=Forecast!$H$74,T64,IF(H64=Forecast!$H$75,BO64,IF(H64=Forecast!$H$76,SUM(T64:BO64),IF(H64=Forecast!$H$77,AVERAGE(T64:BO64),0))))</f>
        <v>0.12108134561949606</v>
      </c>
      <c r="J64" s="17"/>
      <c r="K64" s="17"/>
      <c r="L64" s="17"/>
      <c r="M64" s="17"/>
      <c r="N64" s="17"/>
      <c r="O64" s="17"/>
      <c r="P64" s="17"/>
      <c r="Q64" s="17"/>
      <c r="R64" s="17"/>
      <c r="S64" s="17"/>
      <c r="T64" s="44">
        <f t="shared" ref="T64:BO64" si="29">IFERROR(T40/S40-1,0)</f>
        <v>0</v>
      </c>
      <c r="U64" s="44">
        <f t="shared" si="29"/>
        <v>1.0950000000000002</v>
      </c>
      <c r="V64" s="44">
        <f t="shared" si="29"/>
        <v>0.56984427207637234</v>
      </c>
      <c r="W64" s="44">
        <f t="shared" si="29"/>
        <v>0.39411635049328031</v>
      </c>
      <c r="X64" s="44">
        <f t="shared" si="29"/>
        <v>0.30572582655161362</v>
      </c>
      <c r="Y64" s="44">
        <f t="shared" si="29"/>
        <v>0.25225993200288466</v>
      </c>
      <c r="Z64" s="44">
        <f t="shared" si="29"/>
        <v>0.21625171269694077</v>
      </c>
      <c r="AA64" s="44">
        <f t="shared" si="29"/>
        <v>0.19021833549239187</v>
      </c>
      <c r="AB64" s="44">
        <f t="shared" si="29"/>
        <v>0.17042067195648025</v>
      </c>
      <c r="AC64" s="44">
        <f t="shared" si="29"/>
        <v>0.15478317248463691</v>
      </c>
      <c r="AD64" s="44">
        <f t="shared" si="29"/>
        <v>0.14206183176844411</v>
      </c>
      <c r="AE64" s="44">
        <f t="shared" si="29"/>
        <v>0.13146600813884057</v>
      </c>
      <c r="AF64" s="44">
        <f t="shared" si="29"/>
        <v>0.11983143831073995</v>
      </c>
      <c r="AG64" s="44">
        <f t="shared" si="29"/>
        <v>0.11239879460699065</v>
      </c>
      <c r="AH64" s="44">
        <f t="shared" si="29"/>
        <v>0.10587318365612197</v>
      </c>
      <c r="AI64" s="44">
        <f t="shared" si="29"/>
        <v>0.10008251426951653</v>
      </c>
      <c r="AJ64" s="44">
        <f t="shared" si="29"/>
        <v>9.4896963807033829E-2</v>
      </c>
      <c r="AK64" s="44">
        <f t="shared" si="29"/>
        <v>9.0216724709602181E-2</v>
      </c>
      <c r="AL64" s="44">
        <f t="shared" si="29"/>
        <v>8.5963769725257766E-2</v>
      </c>
      <c r="AM64" s="44">
        <f t="shared" si="29"/>
        <v>8.207618015464857E-2</v>
      </c>
      <c r="AN64" s="44">
        <f t="shared" si="29"/>
        <v>7.8504154098889112E-2</v>
      </c>
      <c r="AO64" s="44">
        <f t="shared" si="29"/>
        <v>7.5207142809711636E-2</v>
      </c>
      <c r="AP64" s="44">
        <f t="shared" si="29"/>
        <v>7.2151760952102961E-2</v>
      </c>
      <c r="AQ64" s="44">
        <f t="shared" si="29"/>
        <v>6.9310238056261575E-2</v>
      </c>
      <c r="AR64" s="44">
        <f t="shared" si="29"/>
        <v>6.5772493383302821E-2</v>
      </c>
      <c r="AS64" s="44">
        <f t="shared" si="29"/>
        <v>6.3321377965762204E-2</v>
      </c>
      <c r="AT64" s="44">
        <f t="shared" si="29"/>
        <v>6.1020023307613469E-2</v>
      </c>
      <c r="AU64" s="44">
        <f t="shared" si="29"/>
        <v>5.885470839554241E-2</v>
      </c>
      <c r="AV64" s="44">
        <f t="shared" si="29"/>
        <v>5.6813505368678907E-2</v>
      </c>
      <c r="AW64" s="44">
        <f t="shared" si="29"/>
        <v>5.4885977366326388E-2</v>
      </c>
      <c r="AX64" s="44">
        <f t="shared" si="29"/>
        <v>5.3062936435581021E-2</v>
      </c>
      <c r="AY64" s="44">
        <f t="shared" si="29"/>
        <v>5.1336248074312696E-2</v>
      </c>
      <c r="AZ64" s="44">
        <f t="shared" si="29"/>
        <v>4.9698672286637491E-2</v>
      </c>
      <c r="BA64" s="44">
        <f t="shared" si="29"/>
        <v>4.8143733446686765E-2</v>
      </c>
      <c r="BB64" s="44">
        <f t="shared" si="29"/>
        <v>4.6665613056594113E-2</v>
      </c>
      <c r="BC64" s="44">
        <f t="shared" si="29"/>
        <v>4.5259060822312014E-2</v>
      </c>
      <c r="BD64" s="44">
        <f t="shared" si="29"/>
        <v>4.3473947102423471E-2</v>
      </c>
      <c r="BE64" s="44">
        <f t="shared" si="29"/>
        <v>4.2192902346755101E-2</v>
      </c>
      <c r="BF64" s="44">
        <f t="shared" si="29"/>
        <v>4.0969980909913106E-2</v>
      </c>
      <c r="BG64" s="44">
        <f t="shared" si="29"/>
        <v>3.9801726972265916E-2</v>
      </c>
      <c r="BH64" s="44">
        <f t="shared" si="29"/>
        <v>3.8684962059369887E-2</v>
      </c>
      <c r="BI64" s="44">
        <f t="shared" si="29"/>
        <v>3.7616754285945797E-2</v>
      </c>
      <c r="BJ64" s="44">
        <f t="shared" si="29"/>
        <v>3.6594391933794768E-2</v>
      </c>
      <c r="BK64" s="44">
        <f t="shared" si="29"/>
        <v>3.5615360662686779E-2</v>
      </c>
      <c r="BL64" s="44">
        <f t="shared" si="29"/>
        <v>3.467732377804067E-2</v>
      </c>
      <c r="BM64" s="44">
        <f t="shared" si="29"/>
        <v>3.3778105079601994E-2</v>
      </c>
      <c r="BN64" s="44">
        <f t="shared" si="29"/>
        <v>3.2915673896528386E-2</v>
      </c>
      <c r="BO64" s="44">
        <f t="shared" si="29"/>
        <v>3.2088131980372969E-2</v>
      </c>
    </row>
    <row r="65" spans="1:67" ht="16.5" customHeight="1">
      <c r="A65" s="16"/>
      <c r="B65" s="17" t="s">
        <v>179</v>
      </c>
      <c r="C65" s="18" t="s">
        <v>76</v>
      </c>
      <c r="D65" s="17" t="s">
        <v>180</v>
      </c>
      <c r="E65" s="17"/>
      <c r="F65" s="17"/>
      <c r="G65" s="17"/>
      <c r="H65" s="17" t="s">
        <v>119</v>
      </c>
      <c r="I65" s="44">
        <f>IF(H65=Forecast!$H$74,T65,IF(H65=Forecast!$H$75,BO65,IF(H65=Forecast!$H$76,SUM(T65:BO65),IF(H65=Forecast!$H$77,AVERAGE(T65:BO65),0))))</f>
        <v>-2.184553847767294E-3</v>
      </c>
      <c r="J65" s="17"/>
      <c r="K65" s="17"/>
      <c r="L65" s="17"/>
      <c r="M65" s="17"/>
      <c r="N65" s="17"/>
      <c r="O65" s="17"/>
      <c r="P65" s="17"/>
      <c r="Q65" s="17"/>
      <c r="R65" s="17"/>
      <c r="S65" s="17"/>
      <c r="T65" s="44">
        <f t="shared" ref="T65:BO65" si="30">IFERROR(T56/S58,0)</f>
        <v>0</v>
      </c>
      <c r="U65" s="44">
        <f t="shared" si="30"/>
        <v>0</v>
      </c>
      <c r="V65" s="44">
        <f t="shared" si="30"/>
        <v>0</v>
      </c>
      <c r="W65" s="44">
        <f t="shared" si="30"/>
        <v>0</v>
      </c>
      <c r="X65" s="44">
        <f t="shared" si="30"/>
        <v>0</v>
      </c>
      <c r="Y65" s="44">
        <f t="shared" si="30"/>
        <v>0</v>
      </c>
      <c r="Z65" s="44">
        <f t="shared" si="30"/>
        <v>0</v>
      </c>
      <c r="AA65" s="44">
        <f t="shared" si="30"/>
        <v>0</v>
      </c>
      <c r="AB65" s="44">
        <f t="shared" si="30"/>
        <v>0</v>
      </c>
      <c r="AC65" s="44">
        <f t="shared" si="30"/>
        <v>0</v>
      </c>
      <c r="AD65" s="44">
        <f t="shared" si="30"/>
        <v>0</v>
      </c>
      <c r="AE65" s="44">
        <f t="shared" si="30"/>
        <v>0</v>
      </c>
      <c r="AF65" s="44">
        <f t="shared" si="30"/>
        <v>-2.6379116390933123E-3</v>
      </c>
      <c r="AG65" s="44">
        <f t="shared" si="30"/>
        <v>-2.5794178891463209E-3</v>
      </c>
      <c r="AH65" s="44">
        <f t="shared" si="30"/>
        <v>-2.5280595118186248E-3</v>
      </c>
      <c r="AI65" s="44">
        <f t="shared" si="30"/>
        <v>-2.4820287305806388E-3</v>
      </c>
      <c r="AJ65" s="44">
        <f t="shared" si="30"/>
        <v>-2.4399910798843685E-3</v>
      </c>
      <c r="AK65" s="44">
        <f t="shared" si="30"/>
        <v>-2.400950066819371E-3</v>
      </c>
      <c r="AL65" s="44">
        <f t="shared" si="30"/>
        <v>-2.3641555855762196E-3</v>
      </c>
      <c r="AM65" s="44">
        <f t="shared" si="30"/>
        <v>-2.3290403031896068E-3</v>
      </c>
      <c r="AN65" s="44">
        <f t="shared" si="30"/>
        <v>-2.2951744442593932E-3</v>
      </c>
      <c r="AO65" s="44">
        <f t="shared" si="30"/>
        <v>-2.2622329908120425E-3</v>
      </c>
      <c r="AP65" s="44">
        <f t="shared" si="30"/>
        <v>-2.2299714548238156E-3</v>
      </c>
      <c r="AQ65" s="44">
        <f t="shared" si="30"/>
        <v>-2.1982076955772215E-3</v>
      </c>
      <c r="AR65" s="44">
        <f t="shared" si="30"/>
        <v>-3.0535696836000493E-3</v>
      </c>
      <c r="AS65" s="44">
        <f t="shared" si="30"/>
        <v>-3.0485337475075064E-3</v>
      </c>
      <c r="AT65" s="44">
        <f t="shared" si="30"/>
        <v>-3.0423511214836591E-3</v>
      </c>
      <c r="AU65" s="44">
        <f t="shared" si="30"/>
        <v>-3.0349229666529224E-3</v>
      </c>
      <c r="AV65" s="44">
        <f t="shared" si="30"/>
        <v>-3.0261805537201603E-3</v>
      </c>
      <c r="AW65" s="44">
        <f t="shared" si="30"/>
        <v>-3.0160808423470862E-3</v>
      </c>
      <c r="AX65" s="44">
        <f t="shared" si="30"/>
        <v>-3.0046027089842024E-3</v>
      </c>
      <c r="AY65" s="44">
        <f t="shared" si="30"/>
        <v>-2.9917436900234722E-3</v>
      </c>
      <c r="AZ65" s="44">
        <f t="shared" si="30"/>
        <v>-2.9775171427727709E-3</v>
      </c>
      <c r="BA65" s="44">
        <f t="shared" si="30"/>
        <v>-2.9619497521868876E-3</v>
      </c>
      <c r="BB65" s="44">
        <f t="shared" si="30"/>
        <v>-2.9450793294825868E-3</v>
      </c>
      <c r="BC65" s="44">
        <f t="shared" si="30"/>
        <v>-2.9269528617874223E-3</v>
      </c>
      <c r="BD65" s="44">
        <f t="shared" si="30"/>
        <v>-3.3529981582838173E-3</v>
      </c>
      <c r="BE65" s="44">
        <f t="shared" si="30"/>
        <v>-3.3557533382612193E-3</v>
      </c>
      <c r="BF65" s="44">
        <f t="shared" si="30"/>
        <v>-3.3569848949312653E-3</v>
      </c>
      <c r="BG65" s="44">
        <f t="shared" si="30"/>
        <v>-3.3566771015273184E-3</v>
      </c>
      <c r="BH65" s="44">
        <f t="shared" si="30"/>
        <v>-3.3548238902279758E-3</v>
      </c>
      <c r="BI65" s="44">
        <f t="shared" si="30"/>
        <v>-3.3514283118377714E-3</v>
      </c>
      <c r="BJ65" s="44">
        <f t="shared" si="30"/>
        <v>-3.3465019546573167E-3</v>
      </c>
      <c r="BK65" s="44">
        <f t="shared" si="30"/>
        <v>-3.3400643271590765E-3</v>
      </c>
      <c r="BL65" s="44">
        <f t="shared" si="30"/>
        <v>-3.3321422111647096E-3</v>
      </c>
      <c r="BM65" s="44">
        <f t="shared" si="30"/>
        <v>-3.3227689935124934E-3</v>
      </c>
      <c r="BN65" s="44">
        <f t="shared" si="30"/>
        <v>-3.3119839848474411E-3</v>
      </c>
      <c r="BO65" s="44">
        <f t="shared" si="30"/>
        <v>-3.2998317342900502E-3</v>
      </c>
    </row>
    <row r="66" spans="1:67" ht="16.5" customHeight="1">
      <c r="A66" s="16"/>
      <c r="B66" s="17" t="s">
        <v>181</v>
      </c>
      <c r="C66" s="18" t="s">
        <v>76</v>
      </c>
      <c r="D66" s="17" t="s">
        <v>182</v>
      </c>
      <c r="E66" s="17"/>
      <c r="F66" s="17"/>
      <c r="G66" s="17"/>
      <c r="H66" s="17" t="s">
        <v>119</v>
      </c>
      <c r="I66" s="44">
        <f>IF(H66=Forecast!$H$74,T66,IF(H66=Forecast!$H$75,BO66,IF(H66=Forecast!$H$76,SUM(T66:BO66),IF(H66=Forecast!$H$77,AVERAGE(T66:BO66),0))))</f>
        <v>0.12108134561949602</v>
      </c>
      <c r="J66" s="17"/>
      <c r="K66" s="17"/>
      <c r="L66" s="17"/>
      <c r="M66" s="17"/>
      <c r="N66" s="17"/>
      <c r="O66" s="17"/>
      <c r="P66" s="17"/>
      <c r="Q66" s="17"/>
      <c r="R66" s="17"/>
      <c r="S66" s="17"/>
      <c r="T66" s="44">
        <f t="shared" ref="T66:BO66" si="31">IFERROR(T58/S58-1,0)</f>
        <v>0</v>
      </c>
      <c r="U66" s="44">
        <f t="shared" si="31"/>
        <v>1.0950000000000002</v>
      </c>
      <c r="V66" s="44">
        <f t="shared" si="31"/>
        <v>0.56984427207637234</v>
      </c>
      <c r="W66" s="44">
        <f t="shared" si="31"/>
        <v>0.39411635049328031</v>
      </c>
      <c r="X66" s="44">
        <f t="shared" si="31"/>
        <v>0.3057258265516134</v>
      </c>
      <c r="Y66" s="44">
        <f t="shared" si="31"/>
        <v>0.25225993200288466</v>
      </c>
      <c r="Z66" s="44">
        <f t="shared" si="31"/>
        <v>0.21625171269694055</v>
      </c>
      <c r="AA66" s="44">
        <f t="shared" si="31"/>
        <v>0.19021833549239187</v>
      </c>
      <c r="AB66" s="44">
        <f t="shared" si="31"/>
        <v>0.17042067195648025</v>
      </c>
      <c r="AC66" s="44">
        <f t="shared" si="31"/>
        <v>0.15478317248463713</v>
      </c>
      <c r="AD66" s="44">
        <f t="shared" si="31"/>
        <v>0.14206183176844411</v>
      </c>
      <c r="AE66" s="44">
        <f t="shared" si="31"/>
        <v>0.13146600813884057</v>
      </c>
      <c r="AF66" s="44">
        <f t="shared" si="31"/>
        <v>0.11983143831074017</v>
      </c>
      <c r="AG66" s="44">
        <f t="shared" si="31"/>
        <v>0.11239879460699065</v>
      </c>
      <c r="AH66" s="44">
        <f t="shared" si="31"/>
        <v>0.10587318365612219</v>
      </c>
      <c r="AI66" s="44">
        <f t="shared" si="31"/>
        <v>0.10008251426951653</v>
      </c>
      <c r="AJ66" s="44">
        <f t="shared" si="31"/>
        <v>9.4896963807033829E-2</v>
      </c>
      <c r="AK66" s="44">
        <f t="shared" si="31"/>
        <v>9.0216724709602403E-2</v>
      </c>
      <c r="AL66" s="44">
        <f t="shared" si="31"/>
        <v>8.5963769725257766E-2</v>
      </c>
      <c r="AM66" s="44">
        <f t="shared" si="31"/>
        <v>8.207618015464857E-2</v>
      </c>
      <c r="AN66" s="44">
        <f t="shared" si="31"/>
        <v>7.8504154098889112E-2</v>
      </c>
      <c r="AO66" s="44">
        <f t="shared" si="31"/>
        <v>7.5207142809711636E-2</v>
      </c>
      <c r="AP66" s="44">
        <f t="shared" si="31"/>
        <v>7.2151760952102739E-2</v>
      </c>
      <c r="AQ66" s="44">
        <f t="shared" si="31"/>
        <v>6.9310238056261575E-2</v>
      </c>
      <c r="AR66" s="44">
        <f t="shared" si="31"/>
        <v>6.5772493383302599E-2</v>
      </c>
      <c r="AS66" s="44">
        <f t="shared" si="31"/>
        <v>6.3321377965762204E-2</v>
      </c>
      <c r="AT66" s="44">
        <f t="shared" si="31"/>
        <v>6.1020023307613469E-2</v>
      </c>
      <c r="AU66" s="44">
        <f t="shared" si="31"/>
        <v>5.8854708395542632E-2</v>
      </c>
      <c r="AV66" s="44">
        <f t="shared" si="31"/>
        <v>5.6813505368678907E-2</v>
      </c>
      <c r="AW66" s="44">
        <f t="shared" si="31"/>
        <v>5.4885977366326166E-2</v>
      </c>
      <c r="AX66" s="44">
        <f t="shared" si="31"/>
        <v>5.3062936435581021E-2</v>
      </c>
      <c r="AY66" s="44">
        <f t="shared" si="31"/>
        <v>5.1336248074312696E-2</v>
      </c>
      <c r="AZ66" s="44">
        <f t="shared" si="31"/>
        <v>4.9698672286637491E-2</v>
      </c>
      <c r="BA66" s="44">
        <f t="shared" si="31"/>
        <v>4.8143733446686543E-2</v>
      </c>
      <c r="BB66" s="44">
        <f t="shared" si="31"/>
        <v>4.6665613056594113E-2</v>
      </c>
      <c r="BC66" s="44">
        <f t="shared" si="31"/>
        <v>4.5259060822312236E-2</v>
      </c>
      <c r="BD66" s="44">
        <f t="shared" si="31"/>
        <v>4.3473947102423693E-2</v>
      </c>
      <c r="BE66" s="44">
        <f t="shared" si="31"/>
        <v>4.2192902346755101E-2</v>
      </c>
      <c r="BF66" s="44">
        <f t="shared" si="31"/>
        <v>4.0969980909913106E-2</v>
      </c>
      <c r="BG66" s="44">
        <f t="shared" si="31"/>
        <v>3.9801726972265916E-2</v>
      </c>
      <c r="BH66" s="44">
        <f t="shared" si="31"/>
        <v>3.8684962059370109E-2</v>
      </c>
      <c r="BI66" s="44">
        <f t="shared" si="31"/>
        <v>3.7616754285945797E-2</v>
      </c>
      <c r="BJ66" s="44">
        <f t="shared" si="31"/>
        <v>3.6594391933794768E-2</v>
      </c>
      <c r="BK66" s="44">
        <f t="shared" si="31"/>
        <v>3.5615360662686557E-2</v>
      </c>
      <c r="BL66" s="44">
        <f t="shared" si="31"/>
        <v>3.467732377804067E-2</v>
      </c>
      <c r="BM66" s="44">
        <f t="shared" si="31"/>
        <v>3.3778105079601994E-2</v>
      </c>
      <c r="BN66" s="44">
        <f t="shared" si="31"/>
        <v>3.2915673896528386E-2</v>
      </c>
      <c r="BO66" s="44">
        <f t="shared" si="31"/>
        <v>3.2088131980372969E-2</v>
      </c>
    </row>
    <row r="67" spans="1:67" ht="16.5" customHeight="1">
      <c r="A67" s="16"/>
      <c r="B67" s="17"/>
      <c r="C67" s="18"/>
      <c r="D67" s="17"/>
      <c r="E67" s="17"/>
      <c r="F67" s="17"/>
      <c r="G67" s="17"/>
      <c r="H67" s="17"/>
      <c r="I67" s="17"/>
      <c r="J67" s="17"/>
      <c r="K67" s="17"/>
      <c r="L67" s="17"/>
      <c r="M67" s="17"/>
      <c r="N67" s="17"/>
      <c r="O67" s="17"/>
      <c r="P67" s="17"/>
      <c r="Q67" s="17"/>
      <c r="R67" s="17"/>
      <c r="S67" s="17"/>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row>
    <row r="68" spans="1:67" ht="16.5" customHeight="1">
      <c r="A68" s="16"/>
      <c r="B68" s="23" t="s">
        <v>183</v>
      </c>
      <c r="C68" s="18"/>
      <c r="D68" s="17"/>
      <c r="E68" s="17"/>
      <c r="F68" s="17"/>
      <c r="G68" s="17"/>
      <c r="H68" s="17"/>
      <c r="I68" s="17"/>
      <c r="J68" s="17"/>
      <c r="K68" s="17"/>
      <c r="L68" s="17"/>
      <c r="M68" s="17"/>
      <c r="N68" s="17"/>
      <c r="O68" s="17"/>
      <c r="P68" s="17"/>
      <c r="Q68" s="17"/>
      <c r="R68" s="17"/>
      <c r="S68" s="17"/>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row>
    <row r="69" spans="1:67" ht="16.5" customHeight="1">
      <c r="A69" s="16"/>
      <c r="B69" s="17" t="s">
        <v>184</v>
      </c>
      <c r="C69" s="18" t="str">
        <f>'Get Started'!D$7</f>
        <v>$</v>
      </c>
      <c r="D69" s="17" t="s">
        <v>185</v>
      </c>
      <c r="E69" s="17"/>
      <c r="F69" s="17"/>
      <c r="G69" s="17"/>
      <c r="H69" s="17" t="s">
        <v>119</v>
      </c>
      <c r="I69" s="42">
        <f>IF(H69=Forecast!$H$74,T69,IF(H69=Forecast!$H$75,BO69,IF(H69=Forecast!$H$76,SUM(T69:BO69),IF(H69=Forecast!$H$77,AVERAGE(T69:BO69),0))))</f>
        <v>525</v>
      </c>
      <c r="J69" s="17"/>
      <c r="K69" s="17"/>
      <c r="L69" s="17"/>
      <c r="M69" s="17"/>
      <c r="N69" s="17"/>
      <c r="O69" s="17"/>
      <c r="P69" s="17"/>
      <c r="Q69" s="17"/>
      <c r="R69" s="17"/>
      <c r="S69" s="17"/>
      <c r="T69" s="18">
        <f t="shared" ref="T69:BO69" si="32">IFERROR(1/T28*T16*T17,0)</f>
        <v>525</v>
      </c>
      <c r="U69" s="18">
        <f t="shared" si="32"/>
        <v>525</v>
      </c>
      <c r="V69" s="18">
        <f t="shared" si="32"/>
        <v>525</v>
      </c>
      <c r="W69" s="18">
        <f t="shared" si="32"/>
        <v>525</v>
      </c>
      <c r="X69" s="18">
        <f t="shared" si="32"/>
        <v>525</v>
      </c>
      <c r="Y69" s="18">
        <f t="shared" si="32"/>
        <v>525</v>
      </c>
      <c r="Z69" s="18">
        <f t="shared" si="32"/>
        <v>525</v>
      </c>
      <c r="AA69" s="18">
        <f t="shared" si="32"/>
        <v>525</v>
      </c>
      <c r="AB69" s="18">
        <f t="shared" si="32"/>
        <v>525</v>
      </c>
      <c r="AC69" s="18">
        <f t="shared" si="32"/>
        <v>525</v>
      </c>
      <c r="AD69" s="18">
        <f t="shared" si="32"/>
        <v>525</v>
      </c>
      <c r="AE69" s="18">
        <f t="shared" si="32"/>
        <v>525</v>
      </c>
      <c r="AF69" s="18">
        <f t="shared" si="32"/>
        <v>525</v>
      </c>
      <c r="AG69" s="18">
        <f t="shared" si="32"/>
        <v>525</v>
      </c>
      <c r="AH69" s="18">
        <f t="shared" si="32"/>
        <v>525</v>
      </c>
      <c r="AI69" s="18">
        <f t="shared" si="32"/>
        <v>525</v>
      </c>
      <c r="AJ69" s="18">
        <f t="shared" si="32"/>
        <v>525</v>
      </c>
      <c r="AK69" s="18">
        <f t="shared" si="32"/>
        <v>525</v>
      </c>
      <c r="AL69" s="18">
        <f t="shared" si="32"/>
        <v>525</v>
      </c>
      <c r="AM69" s="18">
        <f t="shared" si="32"/>
        <v>525</v>
      </c>
      <c r="AN69" s="18">
        <f t="shared" si="32"/>
        <v>525</v>
      </c>
      <c r="AO69" s="18">
        <f t="shared" si="32"/>
        <v>525</v>
      </c>
      <c r="AP69" s="18">
        <f t="shared" si="32"/>
        <v>525</v>
      </c>
      <c r="AQ69" s="18">
        <f t="shared" si="32"/>
        <v>525</v>
      </c>
      <c r="AR69" s="18">
        <f t="shared" si="32"/>
        <v>525</v>
      </c>
      <c r="AS69" s="18">
        <f t="shared" si="32"/>
        <v>525</v>
      </c>
      <c r="AT69" s="18">
        <f t="shared" si="32"/>
        <v>525</v>
      </c>
      <c r="AU69" s="18">
        <f t="shared" si="32"/>
        <v>525</v>
      </c>
      <c r="AV69" s="18">
        <f t="shared" si="32"/>
        <v>525</v>
      </c>
      <c r="AW69" s="18">
        <f t="shared" si="32"/>
        <v>525</v>
      </c>
      <c r="AX69" s="18">
        <f t="shared" si="32"/>
        <v>525</v>
      </c>
      <c r="AY69" s="18">
        <f t="shared" si="32"/>
        <v>525</v>
      </c>
      <c r="AZ69" s="18">
        <f t="shared" si="32"/>
        <v>525</v>
      </c>
      <c r="BA69" s="18">
        <f t="shared" si="32"/>
        <v>525</v>
      </c>
      <c r="BB69" s="18">
        <f t="shared" si="32"/>
        <v>525</v>
      </c>
      <c r="BC69" s="18">
        <f t="shared" si="32"/>
        <v>525</v>
      </c>
      <c r="BD69" s="18">
        <f t="shared" si="32"/>
        <v>525</v>
      </c>
      <c r="BE69" s="18">
        <f t="shared" si="32"/>
        <v>525</v>
      </c>
      <c r="BF69" s="18">
        <f t="shared" si="32"/>
        <v>525</v>
      </c>
      <c r="BG69" s="18">
        <f t="shared" si="32"/>
        <v>525</v>
      </c>
      <c r="BH69" s="18">
        <f t="shared" si="32"/>
        <v>525</v>
      </c>
      <c r="BI69" s="18">
        <f t="shared" si="32"/>
        <v>525</v>
      </c>
      <c r="BJ69" s="18">
        <f t="shared" si="32"/>
        <v>525</v>
      </c>
      <c r="BK69" s="18">
        <f t="shared" si="32"/>
        <v>525</v>
      </c>
      <c r="BL69" s="18">
        <f t="shared" si="32"/>
        <v>525</v>
      </c>
      <c r="BM69" s="18">
        <f t="shared" si="32"/>
        <v>525</v>
      </c>
      <c r="BN69" s="18">
        <f t="shared" si="32"/>
        <v>525</v>
      </c>
      <c r="BO69" s="18">
        <f t="shared" si="32"/>
        <v>525</v>
      </c>
    </row>
    <row r="70" spans="1:67" ht="16.5" customHeight="1">
      <c r="A70" s="16"/>
      <c r="B70" s="17" t="s">
        <v>186</v>
      </c>
      <c r="C70" s="18" t="s">
        <v>86</v>
      </c>
      <c r="D70" s="17" t="s">
        <v>187</v>
      </c>
      <c r="E70" s="17"/>
      <c r="F70" s="17"/>
      <c r="G70" s="17"/>
      <c r="H70" s="17" t="s">
        <v>119</v>
      </c>
      <c r="I70" s="42">
        <f>IF(H70=Forecast!$H$74,T70,IF(H70=Forecast!$H$75,BO70,IF(H70=Forecast!$H$76,SUM(T70:BO70),IF(H70=Forecast!$H$77,AVERAGE(T70:BO70),0))))</f>
        <v>21</v>
      </c>
      <c r="J70" s="17"/>
      <c r="K70" s="17"/>
      <c r="L70" s="17"/>
      <c r="M70" s="17"/>
      <c r="N70" s="17"/>
      <c r="O70" s="17"/>
      <c r="P70" s="17"/>
      <c r="Q70" s="17"/>
      <c r="R70" s="17"/>
      <c r="S70" s="17"/>
      <c r="T70" s="18">
        <f t="shared" ref="T70:BO70" si="33">IFERROR(T69/T18,0)</f>
        <v>21</v>
      </c>
      <c r="U70" s="18">
        <f t="shared" si="33"/>
        <v>21</v>
      </c>
      <c r="V70" s="18">
        <f t="shared" si="33"/>
        <v>21</v>
      </c>
      <c r="W70" s="18">
        <f t="shared" si="33"/>
        <v>21</v>
      </c>
      <c r="X70" s="18">
        <f t="shared" si="33"/>
        <v>21</v>
      </c>
      <c r="Y70" s="18">
        <f t="shared" si="33"/>
        <v>21</v>
      </c>
      <c r="Z70" s="18">
        <f t="shared" si="33"/>
        <v>21</v>
      </c>
      <c r="AA70" s="18">
        <f t="shared" si="33"/>
        <v>21</v>
      </c>
      <c r="AB70" s="18">
        <f t="shared" si="33"/>
        <v>21</v>
      </c>
      <c r="AC70" s="18">
        <f t="shared" si="33"/>
        <v>21</v>
      </c>
      <c r="AD70" s="18">
        <f t="shared" si="33"/>
        <v>21</v>
      </c>
      <c r="AE70" s="18">
        <f t="shared" si="33"/>
        <v>21</v>
      </c>
      <c r="AF70" s="18">
        <f t="shared" si="33"/>
        <v>21</v>
      </c>
      <c r="AG70" s="18">
        <f t="shared" si="33"/>
        <v>21</v>
      </c>
      <c r="AH70" s="18">
        <f t="shared" si="33"/>
        <v>21</v>
      </c>
      <c r="AI70" s="18">
        <f t="shared" si="33"/>
        <v>21</v>
      </c>
      <c r="AJ70" s="18">
        <f t="shared" si="33"/>
        <v>21</v>
      </c>
      <c r="AK70" s="18">
        <f t="shared" si="33"/>
        <v>21</v>
      </c>
      <c r="AL70" s="18">
        <f t="shared" si="33"/>
        <v>21</v>
      </c>
      <c r="AM70" s="18">
        <f t="shared" si="33"/>
        <v>21</v>
      </c>
      <c r="AN70" s="18">
        <f t="shared" si="33"/>
        <v>21</v>
      </c>
      <c r="AO70" s="18">
        <f t="shared" si="33"/>
        <v>21</v>
      </c>
      <c r="AP70" s="18">
        <f t="shared" si="33"/>
        <v>21</v>
      </c>
      <c r="AQ70" s="18">
        <f t="shared" si="33"/>
        <v>21</v>
      </c>
      <c r="AR70" s="18">
        <f t="shared" si="33"/>
        <v>21</v>
      </c>
      <c r="AS70" s="18">
        <f t="shared" si="33"/>
        <v>21</v>
      </c>
      <c r="AT70" s="18">
        <f t="shared" si="33"/>
        <v>21</v>
      </c>
      <c r="AU70" s="18">
        <f t="shared" si="33"/>
        <v>21</v>
      </c>
      <c r="AV70" s="18">
        <f t="shared" si="33"/>
        <v>21</v>
      </c>
      <c r="AW70" s="18">
        <f t="shared" si="33"/>
        <v>21</v>
      </c>
      <c r="AX70" s="18">
        <f t="shared" si="33"/>
        <v>21</v>
      </c>
      <c r="AY70" s="18">
        <f t="shared" si="33"/>
        <v>21</v>
      </c>
      <c r="AZ70" s="18">
        <f t="shared" si="33"/>
        <v>21</v>
      </c>
      <c r="BA70" s="18">
        <f t="shared" si="33"/>
        <v>21</v>
      </c>
      <c r="BB70" s="18">
        <f t="shared" si="33"/>
        <v>21</v>
      </c>
      <c r="BC70" s="18">
        <f t="shared" si="33"/>
        <v>21</v>
      </c>
      <c r="BD70" s="18">
        <f t="shared" si="33"/>
        <v>21</v>
      </c>
      <c r="BE70" s="18">
        <f t="shared" si="33"/>
        <v>21</v>
      </c>
      <c r="BF70" s="18">
        <f t="shared" si="33"/>
        <v>21</v>
      </c>
      <c r="BG70" s="18">
        <f t="shared" si="33"/>
        <v>21</v>
      </c>
      <c r="BH70" s="18">
        <f t="shared" si="33"/>
        <v>21</v>
      </c>
      <c r="BI70" s="18">
        <f t="shared" si="33"/>
        <v>21</v>
      </c>
      <c r="BJ70" s="18">
        <f t="shared" si="33"/>
        <v>21</v>
      </c>
      <c r="BK70" s="18">
        <f t="shared" si="33"/>
        <v>21</v>
      </c>
      <c r="BL70" s="18">
        <f t="shared" si="33"/>
        <v>21</v>
      </c>
      <c r="BM70" s="18">
        <f t="shared" si="33"/>
        <v>21</v>
      </c>
      <c r="BN70" s="18">
        <f t="shared" si="33"/>
        <v>21</v>
      </c>
      <c r="BO70" s="18">
        <f t="shared" si="33"/>
        <v>21</v>
      </c>
    </row>
    <row r="71" spans="1:67" ht="16.5" customHeight="1">
      <c r="A71" s="16"/>
      <c r="B71" s="17" t="s">
        <v>188</v>
      </c>
      <c r="C71" s="18" t="s">
        <v>86</v>
      </c>
      <c r="D71" s="17" t="s">
        <v>189</v>
      </c>
      <c r="E71" s="17"/>
      <c r="F71" s="17"/>
      <c r="G71" s="17"/>
      <c r="H71" s="17" t="s">
        <v>119</v>
      </c>
      <c r="I71" s="42">
        <f>IF(H71=Forecast!$H$74,T71,IF(H71=Forecast!$H$75,BO71,IF(H71=Forecast!$H$76,SUM(T71:BO71),IF(H71=Forecast!$H$77,AVERAGE(T71:BO71),0))))</f>
        <v>0.95238095238095133</v>
      </c>
      <c r="J71" s="17"/>
      <c r="K71" s="17"/>
      <c r="L71" s="17"/>
      <c r="M71" s="17"/>
      <c r="N71" s="17"/>
      <c r="O71" s="17"/>
      <c r="P71" s="17"/>
      <c r="Q71" s="17"/>
      <c r="R71" s="17"/>
      <c r="S71" s="17"/>
      <c r="T71" s="18">
        <f t="shared" ref="T71:BO71" si="34">IFERROR(T18/(T16*T17),0)</f>
        <v>0.95238095238095233</v>
      </c>
      <c r="U71" s="18">
        <f t="shared" si="34"/>
        <v>0.95238095238095233</v>
      </c>
      <c r="V71" s="18">
        <f t="shared" si="34"/>
        <v>0.95238095238095233</v>
      </c>
      <c r="W71" s="18">
        <f t="shared" si="34"/>
        <v>0.95238095238095233</v>
      </c>
      <c r="X71" s="18">
        <f t="shared" si="34"/>
        <v>0.95238095238095233</v>
      </c>
      <c r="Y71" s="18">
        <f t="shared" si="34"/>
        <v>0.95238095238095233</v>
      </c>
      <c r="Z71" s="18">
        <f t="shared" si="34"/>
        <v>0.95238095238095233</v>
      </c>
      <c r="AA71" s="18">
        <f t="shared" si="34"/>
        <v>0.95238095238095233</v>
      </c>
      <c r="AB71" s="18">
        <f t="shared" si="34"/>
        <v>0.95238095238095233</v>
      </c>
      <c r="AC71" s="18">
        <f t="shared" si="34"/>
        <v>0.95238095238095233</v>
      </c>
      <c r="AD71" s="18">
        <f t="shared" si="34"/>
        <v>0.95238095238095233</v>
      </c>
      <c r="AE71" s="18">
        <f t="shared" si="34"/>
        <v>0.95238095238095233</v>
      </c>
      <c r="AF71" s="18">
        <f t="shared" si="34"/>
        <v>0.95238095238095233</v>
      </c>
      <c r="AG71" s="18">
        <f t="shared" si="34"/>
        <v>0.95238095238095233</v>
      </c>
      <c r="AH71" s="18">
        <f t="shared" si="34"/>
        <v>0.95238095238095233</v>
      </c>
      <c r="AI71" s="18">
        <f t="shared" si="34"/>
        <v>0.95238095238095233</v>
      </c>
      <c r="AJ71" s="18">
        <f t="shared" si="34"/>
        <v>0.95238095238095233</v>
      </c>
      <c r="AK71" s="18">
        <f t="shared" si="34"/>
        <v>0.95238095238095233</v>
      </c>
      <c r="AL71" s="18">
        <f t="shared" si="34"/>
        <v>0.95238095238095233</v>
      </c>
      <c r="AM71" s="18">
        <f t="shared" si="34"/>
        <v>0.95238095238095233</v>
      </c>
      <c r="AN71" s="18">
        <f t="shared" si="34"/>
        <v>0.95238095238095233</v>
      </c>
      <c r="AO71" s="18">
        <f t="shared" si="34"/>
        <v>0.95238095238095233</v>
      </c>
      <c r="AP71" s="18">
        <f t="shared" si="34"/>
        <v>0.95238095238095233</v>
      </c>
      <c r="AQ71" s="18">
        <f t="shared" si="34"/>
        <v>0.95238095238095233</v>
      </c>
      <c r="AR71" s="18">
        <f t="shared" si="34"/>
        <v>0.95238095238095233</v>
      </c>
      <c r="AS71" s="18">
        <f t="shared" si="34"/>
        <v>0.95238095238095233</v>
      </c>
      <c r="AT71" s="18">
        <f t="shared" si="34"/>
        <v>0.95238095238095233</v>
      </c>
      <c r="AU71" s="18">
        <f t="shared" si="34"/>
        <v>0.95238095238095233</v>
      </c>
      <c r="AV71" s="18">
        <f t="shared" si="34"/>
        <v>0.95238095238095233</v>
      </c>
      <c r="AW71" s="18">
        <f t="shared" si="34"/>
        <v>0.95238095238095233</v>
      </c>
      <c r="AX71" s="18">
        <f t="shared" si="34"/>
        <v>0.95238095238095233</v>
      </c>
      <c r="AY71" s="18">
        <f t="shared" si="34"/>
        <v>0.95238095238095233</v>
      </c>
      <c r="AZ71" s="18">
        <f t="shared" si="34"/>
        <v>0.95238095238095233</v>
      </c>
      <c r="BA71" s="18">
        <f t="shared" si="34"/>
        <v>0.95238095238095233</v>
      </c>
      <c r="BB71" s="18">
        <f t="shared" si="34"/>
        <v>0.95238095238095233</v>
      </c>
      <c r="BC71" s="18">
        <f t="shared" si="34"/>
        <v>0.95238095238095233</v>
      </c>
      <c r="BD71" s="18">
        <f t="shared" si="34"/>
        <v>0.95238095238095233</v>
      </c>
      <c r="BE71" s="18">
        <f t="shared" si="34"/>
        <v>0.95238095238095233</v>
      </c>
      <c r="BF71" s="18">
        <f t="shared" si="34"/>
        <v>0.95238095238095233</v>
      </c>
      <c r="BG71" s="18">
        <f t="shared" si="34"/>
        <v>0.95238095238095233</v>
      </c>
      <c r="BH71" s="18">
        <f t="shared" si="34"/>
        <v>0.95238095238095233</v>
      </c>
      <c r="BI71" s="18">
        <f t="shared" si="34"/>
        <v>0.95238095238095233</v>
      </c>
      <c r="BJ71" s="18">
        <f t="shared" si="34"/>
        <v>0.95238095238095233</v>
      </c>
      <c r="BK71" s="18">
        <f t="shared" si="34"/>
        <v>0.95238095238095233</v>
      </c>
      <c r="BL71" s="18">
        <f t="shared" si="34"/>
        <v>0.95238095238095233</v>
      </c>
      <c r="BM71" s="18">
        <f t="shared" si="34"/>
        <v>0.95238095238095233</v>
      </c>
      <c r="BN71" s="18">
        <f t="shared" si="34"/>
        <v>0.95238095238095233</v>
      </c>
      <c r="BO71" s="18">
        <f t="shared" si="34"/>
        <v>0.95238095238095233</v>
      </c>
    </row>
    <row r="72" spans="1:67" ht="16.5" customHeight="1">
      <c r="A72" s="16"/>
      <c r="B72" s="17"/>
      <c r="C72" s="18"/>
      <c r="D72" s="17"/>
      <c r="E72" s="17"/>
      <c r="F72" s="17"/>
      <c r="G72" s="17"/>
      <c r="H72" s="17"/>
      <c r="I72" s="17"/>
      <c r="J72" s="17"/>
      <c r="K72" s="17"/>
      <c r="L72" s="17"/>
      <c r="M72" s="17"/>
      <c r="N72" s="17"/>
      <c r="O72" s="17"/>
      <c r="P72" s="17"/>
      <c r="Q72" s="17"/>
      <c r="R72" s="17"/>
      <c r="S72" s="17"/>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row>
    <row r="73" spans="1:67" ht="16.5" customHeight="1">
      <c r="A73" s="16"/>
      <c r="B73" s="23" t="s">
        <v>190</v>
      </c>
      <c r="C73" s="18"/>
      <c r="D73" s="17" t="s">
        <v>191</v>
      </c>
      <c r="E73" s="16"/>
      <c r="F73" s="19"/>
      <c r="G73" s="17"/>
      <c r="H73" s="17"/>
      <c r="I73" s="17"/>
      <c r="J73" s="17"/>
      <c r="K73" s="17"/>
      <c r="L73" s="17"/>
      <c r="M73" s="17"/>
      <c r="N73" s="17"/>
      <c r="O73" s="17"/>
      <c r="P73" s="17"/>
      <c r="Q73" s="17"/>
      <c r="R73" s="17"/>
      <c r="S73" s="17"/>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row>
    <row r="74" spans="1:67" ht="16.5" customHeight="1">
      <c r="A74" s="16"/>
      <c r="B74" s="17" t="s">
        <v>152</v>
      </c>
      <c r="C74" s="18"/>
      <c r="D74" s="17" t="s">
        <v>192</v>
      </c>
      <c r="E74" s="16"/>
      <c r="G74" s="17"/>
      <c r="H74" s="17" t="s">
        <v>122</v>
      </c>
      <c r="I74" s="42">
        <f>IF(H74=Forecast!$H$74,T74,IF(H74=Forecast!$H$75,BO74,IF(H74=Forecast!$H$76,SUM(T74:BO74),IF(H74=Forecast!$H$77,AVERAGE(T74:BO74),0))))</f>
        <v>750</v>
      </c>
      <c r="J74" s="17"/>
      <c r="K74" s="17"/>
      <c r="L74" s="17"/>
      <c r="M74" s="17"/>
      <c r="N74" s="17"/>
      <c r="O74" s="17"/>
      <c r="P74" s="17"/>
      <c r="Q74" s="17"/>
      <c r="R74" s="17"/>
      <c r="S74" s="17"/>
      <c r="T74" s="46">
        <f t="shared" ref="T74:BO74" si="35">T$46</f>
        <v>750</v>
      </c>
      <c r="U74" s="46">
        <f t="shared" si="35"/>
        <v>1571.25</v>
      </c>
      <c r="V74" s="46">
        <f t="shared" si="35"/>
        <v>2466.6178125000001</v>
      </c>
      <c r="W74" s="46">
        <f t="shared" si="35"/>
        <v>3438.7522228242187</v>
      </c>
      <c r="X74" s="46">
        <f t="shared" si="35"/>
        <v>4490.0675884533512</v>
      </c>
      <c r="Y74" s="46">
        <f t="shared" si="35"/>
        <v>5622.7317330049509</v>
      </c>
      <c r="Z74" s="46">
        <f t="shared" si="35"/>
        <v>6838.6571003027084</v>
      </c>
      <c r="AA74" s="46">
        <f t="shared" si="35"/>
        <v>8139.4950709255172</v>
      </c>
      <c r="AB74" s="46">
        <f t="shared" si="35"/>
        <v>9526.6332902991035</v>
      </c>
      <c r="AC74" s="46">
        <f t="shared" si="35"/>
        <v>11001.195814069353</v>
      </c>
      <c r="AD74" s="46">
        <f t="shared" si="35"/>
        <v>12564.045843059384</v>
      </c>
      <c r="AE74" s="46">
        <f t="shared" si="35"/>
        <v>14215.790796119796</v>
      </c>
      <c r="AF74" s="46">
        <f t="shared" si="35"/>
        <v>15919.289453943413</v>
      </c>
      <c r="AG74" s="46">
        <f t="shared" si="35"/>
        <v>17708.598399566428</v>
      </c>
      <c r="AH74" s="46">
        <f t="shared" si="35"/>
        <v>19583.464090216232</v>
      </c>
      <c r="AI74" s="46">
        <f t="shared" si="35"/>
        <v>21543.426414471865</v>
      </c>
      <c r="AJ74" s="46">
        <f t="shared" si="35"/>
        <v>23587.8321712055</v>
      </c>
      <c r="AK74" s="46">
        <f t="shared" si="35"/>
        <v>25715.849132691445</v>
      </c>
      <c r="AL74" s="46">
        <f t="shared" si="35"/>
        <v>27926.480465823603</v>
      </c>
      <c r="AM74" s="46">
        <f t="shared" si="35"/>
        <v>30218.579307621811</v>
      </c>
      <c r="AN74" s="46">
        <f t="shared" si="35"/>
        <v>32590.863314236856</v>
      </c>
      <c r="AO74" s="46">
        <f t="shared" si="35"/>
        <v>35041.929025802456</v>
      </c>
      <c r="AP74" s="46">
        <f t="shared" si="35"/>
        <v>37570.265912172712</v>
      </c>
      <c r="AQ74" s="46">
        <f t="shared" si="35"/>
        <v>40174.269986382453</v>
      </c>
      <c r="AR74" s="46">
        <f t="shared" si="35"/>
        <v>42816.63189324081</v>
      </c>
      <c r="AS74" s="46">
        <f t="shared" si="35"/>
        <v>45527.840024573619</v>
      </c>
      <c r="AT74" s="46">
        <f t="shared" si="35"/>
        <v>48305.949884018402</v>
      </c>
      <c r="AU74" s="46">
        <f t="shared" si="35"/>
        <v>51148.982478211998</v>
      </c>
      <c r="AV74" s="46">
        <f t="shared" si="35"/>
        <v>54054.935468840355</v>
      </c>
      <c r="AW74" s="46">
        <f t="shared" si="35"/>
        <v>57021.793433521358</v>
      </c>
      <c r="AX74" s="46">
        <f t="shared" si="35"/>
        <v>60047.537233927127</v>
      </c>
      <c r="AY74" s="46">
        <f t="shared" si="35"/>
        <v>63130.152501619537</v>
      </c>
      <c r="AZ74" s="46">
        <f t="shared" si="35"/>
        <v>66267.637262202974</v>
      </c>
      <c r="BA74" s="46">
        <f t="shared" si="35"/>
        <v>69458.008726696207</v>
      </c>
      <c r="BB74" s="46">
        <f t="shared" si="35"/>
        <v>72699.309285617754</v>
      </c>
      <c r="BC74" s="46">
        <f t="shared" si="35"/>
        <v>75989.611746315597</v>
      </c>
      <c r="BD74" s="46">
        <f t="shared" si="35"/>
        <v>79293.180107708627</v>
      </c>
      <c r="BE74" s="46">
        <f t="shared" si="35"/>
        <v>82638.789512756834</v>
      </c>
      <c r="BF74" s="46">
        <f t="shared" si="35"/>
        <v>86024.499141512817</v>
      </c>
      <c r="BG74" s="46">
        <f t="shared" si="35"/>
        <v>89448.422769269222</v>
      </c>
      <c r="BH74" s="46">
        <f t="shared" si="35"/>
        <v>92908.731610368894</v>
      </c>
      <c r="BI74" s="46">
        <f t="shared" si="35"/>
        <v>96403.656538375028</v>
      </c>
      <c r="BJ74" s="46">
        <f t="shared" si="35"/>
        <v>99931.489729591252</v>
      </c>
      <c r="BK74" s="46">
        <f t="shared" si="35"/>
        <v>103490.58577787022</v>
      </c>
      <c r="BL74" s="46">
        <f t="shared" si="35"/>
        <v>107079.36232886852</v>
      </c>
      <c r="BM74" s="46">
        <f t="shared" si="35"/>
        <v>110696.30028146981</v>
      </c>
      <c r="BN74" s="46">
        <f t="shared" si="35"/>
        <v>114339.94360308687</v>
      </c>
      <c r="BO74" s="46">
        <f t="shared" si="35"/>
        <v>118008.89880405112</v>
      </c>
    </row>
    <row r="75" spans="1:67" ht="16.5" customHeight="1">
      <c r="A75" s="16"/>
      <c r="B75" s="17" t="s">
        <v>152</v>
      </c>
      <c r="C75" s="18"/>
      <c r="D75" s="17" t="s">
        <v>193</v>
      </c>
      <c r="E75" s="16"/>
      <c r="G75" s="17"/>
      <c r="H75" s="17" t="s">
        <v>144</v>
      </c>
      <c r="I75" s="42">
        <f>IF(H75=Forecast!$H$74,T75,IF(H75=Forecast!$H$75,BO75,IF(H75=Forecast!$H$76,SUM(T75:BO75),IF(H75=Forecast!$H$77,AVERAGE(T75:BO75),0))))</f>
        <v>118008.89880405112</v>
      </c>
      <c r="J75" s="17"/>
      <c r="K75" s="17"/>
      <c r="L75" s="17"/>
      <c r="M75" s="17"/>
      <c r="N75" s="17"/>
      <c r="O75" s="17"/>
      <c r="P75" s="17"/>
      <c r="Q75" s="17"/>
      <c r="R75" s="17"/>
      <c r="S75" s="17"/>
      <c r="T75" s="46">
        <f t="shared" ref="T75:BO75" si="36">T$46</f>
        <v>750</v>
      </c>
      <c r="U75" s="46">
        <f t="shared" si="36"/>
        <v>1571.25</v>
      </c>
      <c r="V75" s="46">
        <f t="shared" si="36"/>
        <v>2466.6178125000001</v>
      </c>
      <c r="W75" s="46">
        <f t="shared" si="36"/>
        <v>3438.7522228242187</v>
      </c>
      <c r="X75" s="46">
        <f t="shared" si="36"/>
        <v>4490.0675884533512</v>
      </c>
      <c r="Y75" s="46">
        <f t="shared" si="36"/>
        <v>5622.7317330049509</v>
      </c>
      <c r="Z75" s="46">
        <f t="shared" si="36"/>
        <v>6838.6571003027084</v>
      </c>
      <c r="AA75" s="46">
        <f t="shared" si="36"/>
        <v>8139.4950709255172</v>
      </c>
      <c r="AB75" s="46">
        <f t="shared" si="36"/>
        <v>9526.6332902991035</v>
      </c>
      <c r="AC75" s="46">
        <f t="shared" si="36"/>
        <v>11001.195814069353</v>
      </c>
      <c r="AD75" s="46">
        <f t="shared" si="36"/>
        <v>12564.045843059384</v>
      </c>
      <c r="AE75" s="46">
        <f t="shared" si="36"/>
        <v>14215.790796119796</v>
      </c>
      <c r="AF75" s="46">
        <f t="shared" si="36"/>
        <v>15919.289453943413</v>
      </c>
      <c r="AG75" s="46">
        <f t="shared" si="36"/>
        <v>17708.598399566428</v>
      </c>
      <c r="AH75" s="46">
        <f t="shared" si="36"/>
        <v>19583.464090216232</v>
      </c>
      <c r="AI75" s="46">
        <f t="shared" si="36"/>
        <v>21543.426414471865</v>
      </c>
      <c r="AJ75" s="46">
        <f t="shared" si="36"/>
        <v>23587.8321712055</v>
      </c>
      <c r="AK75" s="46">
        <f t="shared" si="36"/>
        <v>25715.849132691445</v>
      </c>
      <c r="AL75" s="46">
        <f t="shared" si="36"/>
        <v>27926.480465823603</v>
      </c>
      <c r="AM75" s="46">
        <f t="shared" si="36"/>
        <v>30218.579307621811</v>
      </c>
      <c r="AN75" s="46">
        <f t="shared" si="36"/>
        <v>32590.863314236856</v>
      </c>
      <c r="AO75" s="46">
        <f t="shared" si="36"/>
        <v>35041.929025802456</v>
      </c>
      <c r="AP75" s="46">
        <f t="shared" si="36"/>
        <v>37570.265912172712</v>
      </c>
      <c r="AQ75" s="46">
        <f t="shared" si="36"/>
        <v>40174.269986382453</v>
      </c>
      <c r="AR75" s="46">
        <f t="shared" si="36"/>
        <v>42816.63189324081</v>
      </c>
      <c r="AS75" s="46">
        <f t="shared" si="36"/>
        <v>45527.840024573619</v>
      </c>
      <c r="AT75" s="46">
        <f t="shared" si="36"/>
        <v>48305.949884018402</v>
      </c>
      <c r="AU75" s="46">
        <f t="shared" si="36"/>
        <v>51148.982478211998</v>
      </c>
      <c r="AV75" s="46">
        <f t="shared" si="36"/>
        <v>54054.935468840355</v>
      </c>
      <c r="AW75" s="46">
        <f t="shared" si="36"/>
        <v>57021.793433521358</v>
      </c>
      <c r="AX75" s="46">
        <f t="shared" si="36"/>
        <v>60047.537233927127</v>
      </c>
      <c r="AY75" s="46">
        <f t="shared" si="36"/>
        <v>63130.152501619537</v>
      </c>
      <c r="AZ75" s="46">
        <f t="shared" si="36"/>
        <v>66267.637262202974</v>
      </c>
      <c r="BA75" s="46">
        <f t="shared" si="36"/>
        <v>69458.008726696207</v>
      </c>
      <c r="BB75" s="46">
        <f t="shared" si="36"/>
        <v>72699.309285617754</v>
      </c>
      <c r="BC75" s="46">
        <f t="shared" si="36"/>
        <v>75989.611746315597</v>
      </c>
      <c r="BD75" s="46">
        <f t="shared" si="36"/>
        <v>79293.180107708627</v>
      </c>
      <c r="BE75" s="46">
        <f t="shared" si="36"/>
        <v>82638.789512756834</v>
      </c>
      <c r="BF75" s="46">
        <f t="shared" si="36"/>
        <v>86024.499141512817</v>
      </c>
      <c r="BG75" s="46">
        <f t="shared" si="36"/>
        <v>89448.422769269222</v>
      </c>
      <c r="BH75" s="46">
        <f t="shared" si="36"/>
        <v>92908.731610368894</v>
      </c>
      <c r="BI75" s="46">
        <f t="shared" si="36"/>
        <v>96403.656538375028</v>
      </c>
      <c r="BJ75" s="46">
        <f t="shared" si="36"/>
        <v>99931.489729591252</v>
      </c>
      <c r="BK75" s="46">
        <f t="shared" si="36"/>
        <v>103490.58577787022</v>
      </c>
      <c r="BL75" s="46">
        <f t="shared" si="36"/>
        <v>107079.36232886852</v>
      </c>
      <c r="BM75" s="46">
        <f t="shared" si="36"/>
        <v>110696.30028146981</v>
      </c>
      <c r="BN75" s="46">
        <f t="shared" si="36"/>
        <v>114339.94360308687</v>
      </c>
      <c r="BO75" s="46">
        <f t="shared" si="36"/>
        <v>118008.89880405112</v>
      </c>
    </row>
    <row r="76" spans="1:67" ht="16.5" customHeight="1">
      <c r="A76" s="16"/>
      <c r="B76" s="17" t="s">
        <v>152</v>
      </c>
      <c r="C76" s="18"/>
      <c r="D76" s="17" t="s">
        <v>194</v>
      </c>
      <c r="E76" s="16"/>
      <c r="G76" s="17"/>
      <c r="H76" s="17" t="s">
        <v>133</v>
      </c>
      <c r="I76" s="42">
        <f>IF(H76=Forecast!$H$74,T76,IF(H76=Forecast!$H$75,BO76,IF(H76=Forecast!$H$76,SUM(T76:BO76),IF(H76=Forecast!$H$77,AVERAGE(T76:BO76),0))))</f>
        <v>2294938.3350894083</v>
      </c>
      <c r="J76" s="17"/>
      <c r="K76" s="17"/>
      <c r="L76" s="17"/>
      <c r="M76" s="17"/>
      <c r="N76" s="17"/>
      <c r="O76" s="17"/>
      <c r="P76" s="17"/>
      <c r="Q76" s="17"/>
      <c r="R76" s="17"/>
      <c r="S76" s="17"/>
      <c r="T76" s="46">
        <f t="shared" ref="T76:BO76" si="37">T$46</f>
        <v>750</v>
      </c>
      <c r="U76" s="46">
        <f t="shared" si="37"/>
        <v>1571.25</v>
      </c>
      <c r="V76" s="46">
        <f t="shared" si="37"/>
        <v>2466.6178125000001</v>
      </c>
      <c r="W76" s="46">
        <f t="shared" si="37"/>
        <v>3438.7522228242187</v>
      </c>
      <c r="X76" s="46">
        <f t="shared" si="37"/>
        <v>4490.0675884533512</v>
      </c>
      <c r="Y76" s="46">
        <f t="shared" si="37"/>
        <v>5622.7317330049509</v>
      </c>
      <c r="Z76" s="46">
        <f t="shared" si="37"/>
        <v>6838.6571003027084</v>
      </c>
      <c r="AA76" s="46">
        <f t="shared" si="37"/>
        <v>8139.4950709255172</v>
      </c>
      <c r="AB76" s="46">
        <f t="shared" si="37"/>
        <v>9526.6332902991035</v>
      </c>
      <c r="AC76" s="46">
        <f t="shared" si="37"/>
        <v>11001.195814069353</v>
      </c>
      <c r="AD76" s="46">
        <f t="shared" si="37"/>
        <v>12564.045843059384</v>
      </c>
      <c r="AE76" s="46">
        <f t="shared" si="37"/>
        <v>14215.790796119796</v>
      </c>
      <c r="AF76" s="46">
        <f t="shared" si="37"/>
        <v>15919.289453943413</v>
      </c>
      <c r="AG76" s="46">
        <f t="shared" si="37"/>
        <v>17708.598399566428</v>
      </c>
      <c r="AH76" s="46">
        <f t="shared" si="37"/>
        <v>19583.464090216232</v>
      </c>
      <c r="AI76" s="46">
        <f t="shared" si="37"/>
        <v>21543.426414471865</v>
      </c>
      <c r="AJ76" s="46">
        <f t="shared" si="37"/>
        <v>23587.8321712055</v>
      </c>
      <c r="AK76" s="46">
        <f t="shared" si="37"/>
        <v>25715.849132691445</v>
      </c>
      <c r="AL76" s="46">
        <f t="shared" si="37"/>
        <v>27926.480465823603</v>
      </c>
      <c r="AM76" s="46">
        <f t="shared" si="37"/>
        <v>30218.579307621811</v>
      </c>
      <c r="AN76" s="46">
        <f t="shared" si="37"/>
        <v>32590.863314236856</v>
      </c>
      <c r="AO76" s="46">
        <f t="shared" si="37"/>
        <v>35041.929025802456</v>
      </c>
      <c r="AP76" s="46">
        <f t="shared" si="37"/>
        <v>37570.265912172712</v>
      </c>
      <c r="AQ76" s="46">
        <f t="shared" si="37"/>
        <v>40174.269986382453</v>
      </c>
      <c r="AR76" s="46">
        <f t="shared" si="37"/>
        <v>42816.63189324081</v>
      </c>
      <c r="AS76" s="46">
        <f t="shared" si="37"/>
        <v>45527.840024573619</v>
      </c>
      <c r="AT76" s="46">
        <f t="shared" si="37"/>
        <v>48305.949884018402</v>
      </c>
      <c r="AU76" s="46">
        <f t="shared" si="37"/>
        <v>51148.982478211998</v>
      </c>
      <c r="AV76" s="46">
        <f t="shared" si="37"/>
        <v>54054.935468840355</v>
      </c>
      <c r="AW76" s="46">
        <f t="shared" si="37"/>
        <v>57021.793433521358</v>
      </c>
      <c r="AX76" s="46">
        <f t="shared" si="37"/>
        <v>60047.537233927127</v>
      </c>
      <c r="AY76" s="46">
        <f t="shared" si="37"/>
        <v>63130.152501619537</v>
      </c>
      <c r="AZ76" s="46">
        <f t="shared" si="37"/>
        <v>66267.637262202974</v>
      </c>
      <c r="BA76" s="46">
        <f t="shared" si="37"/>
        <v>69458.008726696207</v>
      </c>
      <c r="BB76" s="46">
        <f t="shared" si="37"/>
        <v>72699.309285617754</v>
      </c>
      <c r="BC76" s="46">
        <f t="shared" si="37"/>
        <v>75989.611746315597</v>
      </c>
      <c r="BD76" s="46">
        <f t="shared" si="37"/>
        <v>79293.180107708627</v>
      </c>
      <c r="BE76" s="46">
        <f t="shared" si="37"/>
        <v>82638.789512756834</v>
      </c>
      <c r="BF76" s="46">
        <f t="shared" si="37"/>
        <v>86024.499141512817</v>
      </c>
      <c r="BG76" s="46">
        <f t="shared" si="37"/>
        <v>89448.422769269222</v>
      </c>
      <c r="BH76" s="46">
        <f t="shared" si="37"/>
        <v>92908.731610368894</v>
      </c>
      <c r="BI76" s="46">
        <f t="shared" si="37"/>
        <v>96403.656538375028</v>
      </c>
      <c r="BJ76" s="46">
        <f t="shared" si="37"/>
        <v>99931.489729591252</v>
      </c>
      <c r="BK76" s="46">
        <f t="shared" si="37"/>
        <v>103490.58577787022</v>
      </c>
      <c r="BL76" s="46">
        <f t="shared" si="37"/>
        <v>107079.36232886852</v>
      </c>
      <c r="BM76" s="46">
        <f t="shared" si="37"/>
        <v>110696.30028146981</v>
      </c>
      <c r="BN76" s="46">
        <f t="shared" si="37"/>
        <v>114339.94360308687</v>
      </c>
      <c r="BO76" s="46">
        <f t="shared" si="37"/>
        <v>118008.89880405112</v>
      </c>
    </row>
    <row r="77" spans="1:67" ht="16.5" customHeight="1">
      <c r="A77" s="16"/>
      <c r="B77" s="17" t="s">
        <v>152</v>
      </c>
      <c r="C77" s="18"/>
      <c r="D77" s="17" t="s">
        <v>195</v>
      </c>
      <c r="E77" s="16"/>
      <c r="G77" s="17"/>
      <c r="H77" s="17" t="s">
        <v>119</v>
      </c>
      <c r="I77" s="42">
        <f>IF(H77=Forecast!$H$74,T77,IF(H77=Forecast!$H$75,BO77,IF(H77=Forecast!$H$76,SUM(T77:BO77),IF(H77=Forecast!$H$77,AVERAGE(T77:BO77),0))))</f>
        <v>47811.215314362671</v>
      </c>
      <c r="J77" s="17"/>
      <c r="K77" s="17"/>
      <c r="L77" s="17"/>
      <c r="M77" s="17"/>
      <c r="N77" s="17"/>
      <c r="O77" s="17"/>
      <c r="P77" s="17"/>
      <c r="Q77" s="17"/>
      <c r="R77" s="17"/>
      <c r="S77" s="17"/>
      <c r="T77" s="46">
        <f t="shared" ref="T77:BO77" si="38">T$46</f>
        <v>750</v>
      </c>
      <c r="U77" s="46">
        <f t="shared" si="38"/>
        <v>1571.25</v>
      </c>
      <c r="V77" s="46">
        <f t="shared" si="38"/>
        <v>2466.6178125000001</v>
      </c>
      <c r="W77" s="46">
        <f t="shared" si="38"/>
        <v>3438.7522228242187</v>
      </c>
      <c r="X77" s="46">
        <f t="shared" si="38"/>
        <v>4490.0675884533512</v>
      </c>
      <c r="Y77" s="46">
        <f t="shared" si="38"/>
        <v>5622.7317330049509</v>
      </c>
      <c r="Z77" s="46">
        <f t="shared" si="38"/>
        <v>6838.6571003027084</v>
      </c>
      <c r="AA77" s="46">
        <f t="shared" si="38"/>
        <v>8139.4950709255172</v>
      </c>
      <c r="AB77" s="46">
        <f t="shared" si="38"/>
        <v>9526.6332902991035</v>
      </c>
      <c r="AC77" s="46">
        <f t="shared" si="38"/>
        <v>11001.195814069353</v>
      </c>
      <c r="AD77" s="46">
        <f t="shared" si="38"/>
        <v>12564.045843059384</v>
      </c>
      <c r="AE77" s="46">
        <f t="shared" si="38"/>
        <v>14215.790796119796</v>
      </c>
      <c r="AF77" s="46">
        <f t="shared" si="38"/>
        <v>15919.289453943413</v>
      </c>
      <c r="AG77" s="46">
        <f t="shared" si="38"/>
        <v>17708.598399566428</v>
      </c>
      <c r="AH77" s="46">
        <f t="shared" si="38"/>
        <v>19583.464090216232</v>
      </c>
      <c r="AI77" s="46">
        <f t="shared" si="38"/>
        <v>21543.426414471865</v>
      </c>
      <c r="AJ77" s="46">
        <f t="shared" si="38"/>
        <v>23587.8321712055</v>
      </c>
      <c r="AK77" s="46">
        <f t="shared" si="38"/>
        <v>25715.849132691445</v>
      </c>
      <c r="AL77" s="46">
        <f t="shared" si="38"/>
        <v>27926.480465823603</v>
      </c>
      <c r="AM77" s="46">
        <f t="shared" si="38"/>
        <v>30218.579307621811</v>
      </c>
      <c r="AN77" s="46">
        <f t="shared" si="38"/>
        <v>32590.863314236856</v>
      </c>
      <c r="AO77" s="46">
        <f t="shared" si="38"/>
        <v>35041.929025802456</v>
      </c>
      <c r="AP77" s="46">
        <f t="shared" si="38"/>
        <v>37570.265912172712</v>
      </c>
      <c r="AQ77" s="46">
        <f t="shared" si="38"/>
        <v>40174.269986382453</v>
      </c>
      <c r="AR77" s="46">
        <f t="shared" si="38"/>
        <v>42816.63189324081</v>
      </c>
      <c r="AS77" s="46">
        <f t="shared" si="38"/>
        <v>45527.840024573619</v>
      </c>
      <c r="AT77" s="46">
        <f t="shared" si="38"/>
        <v>48305.949884018402</v>
      </c>
      <c r="AU77" s="46">
        <f t="shared" si="38"/>
        <v>51148.982478211998</v>
      </c>
      <c r="AV77" s="46">
        <f t="shared" si="38"/>
        <v>54054.935468840355</v>
      </c>
      <c r="AW77" s="46">
        <f t="shared" si="38"/>
        <v>57021.793433521358</v>
      </c>
      <c r="AX77" s="46">
        <f t="shared" si="38"/>
        <v>60047.537233927127</v>
      </c>
      <c r="AY77" s="46">
        <f t="shared" si="38"/>
        <v>63130.152501619537</v>
      </c>
      <c r="AZ77" s="46">
        <f t="shared" si="38"/>
        <v>66267.637262202974</v>
      </c>
      <c r="BA77" s="46">
        <f t="shared" si="38"/>
        <v>69458.008726696207</v>
      </c>
      <c r="BB77" s="46">
        <f t="shared" si="38"/>
        <v>72699.309285617754</v>
      </c>
      <c r="BC77" s="46">
        <f t="shared" si="38"/>
        <v>75989.611746315597</v>
      </c>
      <c r="BD77" s="46">
        <f t="shared" si="38"/>
        <v>79293.180107708627</v>
      </c>
      <c r="BE77" s="46">
        <f t="shared" si="38"/>
        <v>82638.789512756834</v>
      </c>
      <c r="BF77" s="46">
        <f t="shared" si="38"/>
        <v>86024.499141512817</v>
      </c>
      <c r="BG77" s="46">
        <f t="shared" si="38"/>
        <v>89448.422769269222</v>
      </c>
      <c r="BH77" s="46">
        <f t="shared" si="38"/>
        <v>92908.731610368894</v>
      </c>
      <c r="BI77" s="46">
        <f t="shared" si="38"/>
        <v>96403.656538375028</v>
      </c>
      <c r="BJ77" s="46">
        <f t="shared" si="38"/>
        <v>99931.489729591252</v>
      </c>
      <c r="BK77" s="46">
        <f t="shared" si="38"/>
        <v>103490.58577787022</v>
      </c>
      <c r="BL77" s="46">
        <f t="shared" si="38"/>
        <v>107079.36232886852</v>
      </c>
      <c r="BM77" s="46">
        <f t="shared" si="38"/>
        <v>110696.30028146981</v>
      </c>
      <c r="BN77" s="46">
        <f t="shared" si="38"/>
        <v>114339.94360308687</v>
      </c>
      <c r="BO77" s="46">
        <f t="shared" si="38"/>
        <v>118008.89880405112</v>
      </c>
    </row>
    <row r="78" spans="1:67" ht="16.5" customHeight="1">
      <c r="A78" s="16"/>
      <c r="B78" s="17"/>
      <c r="C78" s="18"/>
      <c r="D78" s="17"/>
      <c r="E78" s="17"/>
      <c r="F78" s="17"/>
      <c r="G78" s="17"/>
      <c r="H78" s="17"/>
      <c r="I78" s="17"/>
      <c r="J78" s="17"/>
      <c r="K78" s="17"/>
      <c r="L78" s="17"/>
      <c r="M78" s="17"/>
      <c r="N78" s="17"/>
      <c r="O78" s="17"/>
      <c r="P78" s="17"/>
      <c r="Q78" s="17"/>
      <c r="R78" s="17"/>
      <c r="S78" s="17"/>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row>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
  <sheetViews>
    <sheetView showGridLines="0" workbookViewId="0"/>
  </sheetViews>
  <sheetFormatPr baseColWidth="10" defaultColWidth="10.140625" defaultRowHeight="15" customHeight="1"/>
  <cols>
    <col min="1" max="1" width="4.42578125" customWidth="1"/>
    <col min="2" max="2" width="25.28515625" customWidth="1"/>
    <col min="3" max="3" width="16.140625" customWidth="1"/>
    <col min="4" max="4" width="51.5703125" customWidth="1"/>
    <col min="5" max="5" width="16.5703125" customWidth="1"/>
    <col min="6" max="6" width="5.140625" customWidth="1"/>
  </cols>
  <sheetData>
    <row r="1" spans="1:6">
      <c r="A1" s="1"/>
      <c r="B1" s="1"/>
      <c r="C1" s="1"/>
      <c r="D1" s="1"/>
      <c r="E1" s="1"/>
      <c r="F1" s="1"/>
    </row>
    <row r="2" spans="1:6">
      <c r="A2" s="1"/>
      <c r="B2" s="2" t="s">
        <v>196</v>
      </c>
      <c r="C2" s="1"/>
      <c r="D2" s="1"/>
      <c r="E2" s="1"/>
      <c r="F2" s="1"/>
    </row>
    <row r="3" spans="1:6">
      <c r="A3" s="1"/>
      <c r="B3" s="3" t="s">
        <v>197</v>
      </c>
      <c r="C3" s="1"/>
      <c r="D3" s="1"/>
      <c r="E3" s="1"/>
      <c r="F3" s="1"/>
    </row>
    <row r="4" spans="1:6">
      <c r="A4" s="1"/>
      <c r="B4" s="1"/>
      <c r="C4" s="1"/>
      <c r="D4" s="1"/>
      <c r="E4" s="1"/>
      <c r="F4" s="1"/>
    </row>
    <row r="5" spans="1:6">
      <c r="A5" s="1"/>
      <c r="B5" s="47" t="s">
        <v>198</v>
      </c>
      <c r="C5" s="47" t="s">
        <v>199</v>
      </c>
      <c r="D5" s="47" t="s">
        <v>200</v>
      </c>
      <c r="E5" s="47" t="s">
        <v>201</v>
      </c>
      <c r="F5" s="1"/>
    </row>
    <row r="6" spans="1:6">
      <c r="A6" s="1"/>
      <c r="B6" s="8"/>
      <c r="C6" s="8"/>
      <c r="D6" s="8"/>
      <c r="E6" s="1"/>
      <c r="F6" s="1"/>
    </row>
    <row r="7" spans="1:6">
      <c r="A7" s="1"/>
      <c r="B7" s="5" t="s">
        <v>202</v>
      </c>
      <c r="C7" s="8" t="s">
        <v>203</v>
      </c>
      <c r="D7" s="9" t="s">
        <v>204</v>
      </c>
      <c r="E7" s="48" t="s">
        <v>205</v>
      </c>
      <c r="F7" s="1"/>
    </row>
    <row r="8" spans="1:6">
      <c r="A8" s="1"/>
      <c r="B8" s="5" t="s">
        <v>206</v>
      </c>
      <c r="C8" s="8" t="s">
        <v>207</v>
      </c>
      <c r="D8" s="8" t="s">
        <v>208</v>
      </c>
      <c r="E8" s="9" t="s">
        <v>209</v>
      </c>
      <c r="F8" s="1"/>
    </row>
    <row r="9" spans="1:6">
      <c r="A9" s="1"/>
      <c r="B9" s="5" t="s">
        <v>210</v>
      </c>
      <c r="C9" s="8" t="s">
        <v>203</v>
      </c>
      <c r="D9" s="8" t="s">
        <v>211</v>
      </c>
      <c r="E9" s="9" t="s">
        <v>212</v>
      </c>
      <c r="F9" s="1"/>
    </row>
    <row r="10" spans="1:6">
      <c r="A10" s="1"/>
      <c r="B10" s="1"/>
      <c r="C10" s="1"/>
      <c r="D10" s="1"/>
      <c r="E10" s="1"/>
      <c r="F10" s="1"/>
    </row>
  </sheetData>
  <hyperlinks>
    <hyperlink ref="D7" r:id="rId1" xr:uid="{00000000-0004-0000-0600-000000000000}"/>
    <hyperlink ref="E7" r:id="rId2" xr:uid="{00000000-0004-0000-0600-000001000000}"/>
    <hyperlink ref="E8" r:id="rId3" xr:uid="{00000000-0004-0000-0600-000002000000}"/>
    <hyperlink ref="E9" r:id="rId4" xr:uid="{00000000-0004-0000-0600-000003000000}"/>
  </hyperlinks>
  <pageMargins left="0.7" right="0.7" top="0.75" bottom="0.75" header="0.3" footer="0.3"/>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7"/>
  <sheetViews>
    <sheetView showGridLines="0" workbookViewId="0"/>
  </sheetViews>
  <sheetFormatPr baseColWidth="10" defaultColWidth="10.140625" defaultRowHeight="15" customHeight="1"/>
  <cols>
    <col min="1" max="1" width="4.140625" customWidth="1"/>
    <col min="2" max="2" width="22.85546875" customWidth="1"/>
    <col min="4" max="4" width="13.140625" customWidth="1"/>
    <col min="5" max="5" width="17.5703125" customWidth="1"/>
    <col min="6" max="6" width="9.140625" customWidth="1"/>
    <col min="7" max="17" width="10.140625" customWidth="1"/>
    <col min="18" max="18" width="6.42578125" customWidth="1"/>
  </cols>
  <sheetData>
    <row r="1" spans="1:18" ht="16">
      <c r="A1" s="1"/>
      <c r="B1" s="1"/>
      <c r="C1" s="1"/>
      <c r="D1" s="1"/>
      <c r="E1" s="1"/>
      <c r="F1" s="1"/>
      <c r="G1" s="49"/>
      <c r="H1" s="49"/>
      <c r="I1" s="49"/>
      <c r="J1" s="49"/>
      <c r="K1" s="49"/>
      <c r="L1" s="49"/>
      <c r="M1" s="49"/>
      <c r="N1" s="49"/>
      <c r="O1" s="49"/>
      <c r="P1" s="49"/>
      <c r="Q1" s="49"/>
      <c r="R1" s="1"/>
    </row>
    <row r="2" spans="1:18" ht="18">
      <c r="A2" s="1"/>
      <c r="B2" s="2" t="s">
        <v>213</v>
      </c>
      <c r="C2" s="1"/>
      <c r="D2" s="1"/>
      <c r="E2" s="1"/>
      <c r="F2" s="1"/>
      <c r="G2" s="49"/>
      <c r="H2" s="49"/>
      <c r="I2" s="49"/>
      <c r="J2" s="49"/>
      <c r="K2" s="49"/>
      <c r="L2" s="49"/>
      <c r="M2" s="49"/>
      <c r="N2" s="49"/>
      <c r="O2" s="49"/>
      <c r="P2" s="49"/>
      <c r="Q2" s="49"/>
      <c r="R2" s="1"/>
    </row>
    <row r="3" spans="1:18" ht="16">
      <c r="A3" s="1"/>
      <c r="B3" s="3" t="s">
        <v>214</v>
      </c>
      <c r="C3" s="1"/>
      <c r="D3" s="1"/>
      <c r="E3" s="1"/>
      <c r="F3" s="1"/>
      <c r="G3" s="49"/>
      <c r="H3" s="49"/>
      <c r="I3" s="49"/>
      <c r="J3" s="49"/>
      <c r="K3" s="49"/>
      <c r="L3" s="49"/>
      <c r="M3" s="49"/>
      <c r="N3" s="49"/>
      <c r="O3" s="49"/>
      <c r="P3" s="49"/>
      <c r="Q3" s="49"/>
      <c r="R3" s="1"/>
    </row>
    <row r="4" spans="1:18" ht="16">
      <c r="A4" s="1"/>
      <c r="B4" s="1"/>
      <c r="C4" s="1"/>
      <c r="D4" s="1"/>
      <c r="E4" s="1"/>
      <c r="F4" s="1"/>
      <c r="G4" s="49"/>
      <c r="H4" s="49"/>
      <c r="I4" s="49"/>
      <c r="J4" s="49"/>
      <c r="K4" s="49"/>
      <c r="L4" s="49"/>
      <c r="M4" s="49"/>
      <c r="N4" s="49"/>
      <c r="O4" s="49"/>
      <c r="P4" s="49"/>
      <c r="Q4" s="49"/>
      <c r="R4" s="1"/>
    </row>
    <row r="5" spans="1:18" ht="51" customHeight="1">
      <c r="A5" s="50"/>
      <c r="B5" s="51" t="s">
        <v>215</v>
      </c>
      <c r="C5" s="51" t="s">
        <v>201</v>
      </c>
      <c r="D5" s="51" t="s">
        <v>216</v>
      </c>
      <c r="E5" s="52" t="s">
        <v>217</v>
      </c>
      <c r="F5" s="52" t="s">
        <v>218</v>
      </c>
      <c r="G5" s="52" t="s">
        <v>219</v>
      </c>
      <c r="H5" s="52" t="s">
        <v>220</v>
      </c>
      <c r="I5" s="52" t="s">
        <v>221</v>
      </c>
      <c r="J5" s="52" t="s">
        <v>222</v>
      </c>
      <c r="K5" s="52" t="s">
        <v>223</v>
      </c>
      <c r="L5" s="52" t="s">
        <v>224</v>
      </c>
      <c r="M5" s="52" t="s">
        <v>225</v>
      </c>
      <c r="N5" s="52" t="s">
        <v>226</v>
      </c>
      <c r="O5" s="52" t="s">
        <v>227</v>
      </c>
      <c r="P5" s="52" t="s">
        <v>228</v>
      </c>
      <c r="Q5" s="52" t="s">
        <v>229</v>
      </c>
      <c r="R5" s="50"/>
    </row>
    <row r="6" spans="1:18" ht="16">
      <c r="A6" s="8"/>
      <c r="B6" s="8"/>
      <c r="C6" s="11"/>
      <c r="D6" s="8"/>
      <c r="E6" s="53"/>
      <c r="F6" s="53"/>
      <c r="G6" s="53"/>
      <c r="H6" s="53"/>
      <c r="I6" s="53"/>
      <c r="J6" s="53"/>
      <c r="K6" s="53"/>
      <c r="L6" s="53"/>
      <c r="M6" s="53"/>
      <c r="N6" s="53"/>
      <c r="O6" s="53"/>
      <c r="P6" s="53"/>
      <c r="Q6" s="53"/>
      <c r="R6" s="8"/>
    </row>
    <row r="7" spans="1:18" ht="28">
      <c r="A7" s="8"/>
      <c r="B7" s="8" t="s">
        <v>230</v>
      </c>
      <c r="C7" s="54" t="s">
        <v>231</v>
      </c>
      <c r="D7" s="8" t="s">
        <v>232</v>
      </c>
      <c r="E7" s="53" t="s">
        <v>233</v>
      </c>
      <c r="F7" s="55" t="s">
        <v>234</v>
      </c>
      <c r="G7" s="55" t="s">
        <v>235</v>
      </c>
      <c r="H7" s="55" t="b">
        <v>0</v>
      </c>
      <c r="I7" s="55" t="b">
        <v>1</v>
      </c>
      <c r="J7" s="55" t="b">
        <v>0</v>
      </c>
      <c r="K7" s="55" t="b">
        <v>1</v>
      </c>
      <c r="L7" s="55" t="b">
        <v>1</v>
      </c>
      <c r="M7" s="55" t="b">
        <v>1</v>
      </c>
      <c r="N7" s="55" t="b">
        <v>0</v>
      </c>
      <c r="O7" s="55" t="b">
        <v>0</v>
      </c>
      <c r="P7" s="55" t="b">
        <v>1</v>
      </c>
      <c r="Q7" s="55" t="b">
        <v>0</v>
      </c>
      <c r="R7" s="8"/>
    </row>
    <row r="8" spans="1:18" ht="56">
      <c r="A8" s="8"/>
      <c r="B8" s="8" t="s">
        <v>236</v>
      </c>
      <c r="C8" s="56" t="s">
        <v>237</v>
      </c>
      <c r="D8" s="8" t="s">
        <v>238</v>
      </c>
      <c r="E8" s="53" t="s">
        <v>239</v>
      </c>
      <c r="F8" s="55" t="s">
        <v>240</v>
      </c>
      <c r="G8" s="55" t="s">
        <v>241</v>
      </c>
      <c r="H8" s="55" t="b">
        <v>0</v>
      </c>
      <c r="I8" s="55" t="b">
        <v>1</v>
      </c>
      <c r="J8" s="55" t="b">
        <v>1</v>
      </c>
      <c r="K8" s="55" t="b">
        <v>1</v>
      </c>
      <c r="L8" s="55" t="b">
        <v>1</v>
      </c>
      <c r="M8" s="55" t="b">
        <v>1</v>
      </c>
      <c r="N8" s="55" t="b">
        <v>0</v>
      </c>
      <c r="O8" s="55" t="b">
        <v>1</v>
      </c>
      <c r="P8" s="55" t="b">
        <v>1</v>
      </c>
      <c r="Q8" s="55" t="b">
        <v>0</v>
      </c>
      <c r="R8" s="8"/>
    </row>
    <row r="9" spans="1:18" ht="70">
      <c r="A9" s="8"/>
      <c r="B9" s="8" t="s">
        <v>242</v>
      </c>
      <c r="C9" s="56" t="s">
        <v>243</v>
      </c>
      <c r="D9" s="8" t="s">
        <v>238</v>
      </c>
      <c r="E9" s="53" t="s">
        <v>244</v>
      </c>
      <c r="F9" s="55" t="s">
        <v>245</v>
      </c>
      <c r="G9" s="55" t="s">
        <v>241</v>
      </c>
      <c r="H9" s="55" t="b">
        <v>1</v>
      </c>
      <c r="I9" s="55" t="b">
        <v>1</v>
      </c>
      <c r="J9" s="55" t="b">
        <v>1</v>
      </c>
      <c r="K9" s="55" t="b">
        <v>1</v>
      </c>
      <c r="L9" s="55" t="b">
        <v>1</v>
      </c>
      <c r="M9" s="55" t="b">
        <v>1</v>
      </c>
      <c r="N9" s="55" t="b">
        <v>1</v>
      </c>
      <c r="O9" s="55" t="b">
        <v>1</v>
      </c>
      <c r="P9" s="55" t="b">
        <v>1</v>
      </c>
      <c r="Q9" s="55" t="b">
        <v>1</v>
      </c>
      <c r="R9" s="8"/>
    </row>
    <row r="10" spans="1:18" ht="28">
      <c r="A10" s="8"/>
      <c r="B10" s="8" t="s">
        <v>246</v>
      </c>
      <c r="C10" s="57" t="s">
        <v>247</v>
      </c>
      <c r="D10" s="8" t="s">
        <v>238</v>
      </c>
      <c r="E10" s="53" t="s">
        <v>248</v>
      </c>
      <c r="F10" s="55" t="s">
        <v>245</v>
      </c>
      <c r="G10" s="55" t="s">
        <v>241</v>
      </c>
      <c r="H10" s="55" t="b">
        <v>1</v>
      </c>
      <c r="I10" s="55" t="b">
        <v>1</v>
      </c>
      <c r="J10" s="55" t="b">
        <v>1</v>
      </c>
      <c r="K10" s="55" t="b">
        <v>1</v>
      </c>
      <c r="L10" s="55" t="b">
        <v>1</v>
      </c>
      <c r="M10" s="55" t="b">
        <v>1</v>
      </c>
      <c r="N10" s="55" t="b">
        <v>1</v>
      </c>
      <c r="O10" s="55" t="b">
        <v>1</v>
      </c>
      <c r="P10" s="55" t="b">
        <v>1</v>
      </c>
      <c r="Q10" s="55" t="b">
        <v>1</v>
      </c>
      <c r="R10" s="8"/>
    </row>
    <row r="11" spans="1:18" ht="42">
      <c r="A11" s="8"/>
      <c r="B11" s="8" t="s">
        <v>249</v>
      </c>
      <c r="C11" s="54" t="s">
        <v>250</v>
      </c>
      <c r="D11" s="8" t="s">
        <v>238</v>
      </c>
      <c r="E11" s="53" t="s">
        <v>251</v>
      </c>
      <c r="F11" s="55" t="s">
        <v>245</v>
      </c>
      <c r="G11" s="55" t="s">
        <v>241</v>
      </c>
      <c r="H11" s="55" t="b">
        <v>1</v>
      </c>
      <c r="I11" s="55" t="b">
        <v>1</v>
      </c>
      <c r="J11" s="55" t="b">
        <v>1</v>
      </c>
      <c r="K11" s="55" t="b">
        <v>1</v>
      </c>
      <c r="L11" s="55" t="b">
        <v>1</v>
      </c>
      <c r="M11" s="55" t="b">
        <v>1</v>
      </c>
      <c r="N11" s="55" t="b">
        <v>1</v>
      </c>
      <c r="O11" s="55" t="b">
        <v>1</v>
      </c>
      <c r="P11" s="55" t="b">
        <v>1</v>
      </c>
      <c r="Q11" s="55" t="b">
        <v>1</v>
      </c>
      <c r="R11" s="8"/>
    </row>
    <row r="12" spans="1:18" ht="70">
      <c r="A12" s="8"/>
      <c r="B12" s="8" t="s">
        <v>252</v>
      </c>
      <c r="C12" s="56" t="s">
        <v>253</v>
      </c>
      <c r="D12" s="8" t="s">
        <v>238</v>
      </c>
      <c r="E12" s="53" t="s">
        <v>254</v>
      </c>
      <c r="F12" s="55" t="s">
        <v>234</v>
      </c>
      <c r="G12" s="55" t="s">
        <v>235</v>
      </c>
      <c r="H12" s="55" t="b">
        <v>1</v>
      </c>
      <c r="I12" s="55" t="b">
        <v>0</v>
      </c>
      <c r="J12" s="55" t="b">
        <v>0</v>
      </c>
      <c r="K12" s="55" t="b">
        <v>0</v>
      </c>
      <c r="L12" s="55" t="b">
        <v>1</v>
      </c>
      <c r="M12" s="55" t="b">
        <v>1</v>
      </c>
      <c r="N12" s="55" t="b">
        <v>0</v>
      </c>
      <c r="O12" s="55" t="b">
        <v>0</v>
      </c>
      <c r="P12" s="55" t="b">
        <v>0</v>
      </c>
      <c r="Q12" s="55" t="b">
        <v>0</v>
      </c>
      <c r="R12" s="8"/>
    </row>
    <row r="13" spans="1:18" ht="70">
      <c r="A13" s="8"/>
      <c r="B13" s="8" t="s">
        <v>255</v>
      </c>
      <c r="C13" s="54" t="s">
        <v>256</v>
      </c>
      <c r="D13" s="8" t="s">
        <v>238</v>
      </c>
      <c r="E13" s="53" t="s">
        <v>257</v>
      </c>
      <c r="F13" s="55" t="s">
        <v>234</v>
      </c>
      <c r="G13" s="55" t="s">
        <v>235</v>
      </c>
      <c r="H13" s="55" t="b">
        <v>1</v>
      </c>
      <c r="I13" s="55" t="b">
        <v>0</v>
      </c>
      <c r="J13" s="55" t="b">
        <v>0</v>
      </c>
      <c r="K13" s="55" t="b">
        <v>0</v>
      </c>
      <c r="L13" s="55" t="b">
        <v>1</v>
      </c>
      <c r="M13" s="55" t="b">
        <v>1</v>
      </c>
      <c r="N13" s="55" t="b">
        <v>0</v>
      </c>
      <c r="O13" s="55" t="b">
        <v>0</v>
      </c>
      <c r="P13" s="55" t="b">
        <v>0</v>
      </c>
      <c r="Q13" s="55" t="b">
        <v>0</v>
      </c>
      <c r="R13" s="8"/>
    </row>
    <row r="14" spans="1:18" ht="98">
      <c r="A14" s="8"/>
      <c r="B14" s="8" t="s">
        <v>258</v>
      </c>
      <c r="C14" s="54" t="s">
        <v>259</v>
      </c>
      <c r="D14" s="8" t="s">
        <v>238</v>
      </c>
      <c r="E14" s="53" t="s">
        <v>260</v>
      </c>
      <c r="F14" s="55" t="s">
        <v>234</v>
      </c>
      <c r="G14" s="55" t="s">
        <v>261</v>
      </c>
      <c r="H14" s="55" t="b">
        <v>1</v>
      </c>
      <c r="I14" s="55" t="b">
        <v>0</v>
      </c>
      <c r="J14" s="55" t="b">
        <v>0</v>
      </c>
      <c r="K14" s="55" t="b">
        <v>0</v>
      </c>
      <c r="L14" s="55" t="b">
        <v>0</v>
      </c>
      <c r="M14" s="55" t="b">
        <v>0</v>
      </c>
      <c r="N14" s="55" t="b">
        <v>0</v>
      </c>
      <c r="O14" s="55" t="b">
        <v>0</v>
      </c>
      <c r="P14" s="55" t="b">
        <v>0</v>
      </c>
      <c r="Q14" s="55" t="b">
        <v>0</v>
      </c>
      <c r="R14" s="8"/>
    </row>
    <row r="15" spans="1:18" ht="84">
      <c r="A15" s="8"/>
      <c r="B15" s="8" t="s">
        <v>262</v>
      </c>
      <c r="C15" s="54" t="s">
        <v>263</v>
      </c>
      <c r="D15" s="8" t="s">
        <v>238</v>
      </c>
      <c r="E15" s="53" t="s">
        <v>264</v>
      </c>
      <c r="F15" s="55" t="s">
        <v>234</v>
      </c>
      <c r="G15" s="55" t="s">
        <v>235</v>
      </c>
      <c r="H15" s="55" t="b">
        <v>1</v>
      </c>
      <c r="I15" s="55" t="b">
        <v>0</v>
      </c>
      <c r="J15" s="55" t="b">
        <v>0</v>
      </c>
      <c r="K15" s="55" t="b">
        <v>0</v>
      </c>
      <c r="L15" s="55" t="b">
        <v>1</v>
      </c>
      <c r="M15" s="55" t="b">
        <v>1</v>
      </c>
      <c r="N15" s="55" t="b">
        <v>0</v>
      </c>
      <c r="O15" s="55" t="b">
        <v>0</v>
      </c>
      <c r="P15" s="55" t="b">
        <v>0</v>
      </c>
      <c r="Q15" s="55" t="b">
        <v>0</v>
      </c>
      <c r="R15" s="8"/>
    </row>
    <row r="16" spans="1:18" ht="16">
      <c r="A16" s="1"/>
      <c r="B16" s="8"/>
      <c r="C16" s="11"/>
      <c r="D16" s="8"/>
      <c r="E16" s="53"/>
      <c r="F16" s="53"/>
      <c r="G16" s="53"/>
      <c r="H16" s="55"/>
      <c r="I16" s="55"/>
      <c r="J16" s="55"/>
      <c r="K16" s="55"/>
      <c r="L16" s="55"/>
      <c r="M16" s="55"/>
      <c r="N16" s="55"/>
      <c r="O16" s="55"/>
      <c r="P16" s="55"/>
      <c r="Q16" s="55"/>
      <c r="R16" s="1"/>
    </row>
    <row r="17" spans="1:18" ht="16">
      <c r="A17" s="1"/>
      <c r="B17" s="8"/>
      <c r="C17" s="11"/>
      <c r="D17" s="8"/>
      <c r="E17" s="53"/>
      <c r="F17" s="53"/>
      <c r="G17" s="53"/>
      <c r="H17" s="55"/>
      <c r="I17" s="55"/>
      <c r="J17" s="55"/>
      <c r="K17" s="55"/>
      <c r="L17" s="55"/>
      <c r="M17" s="55"/>
      <c r="N17" s="55"/>
      <c r="O17" s="55"/>
      <c r="P17" s="55"/>
      <c r="Q17" s="55"/>
      <c r="R17" s="1"/>
    </row>
  </sheetData>
  <hyperlinks>
    <hyperlink ref="C7" r:id="rId1" xr:uid="{00000000-0004-0000-0700-000000000000}"/>
    <hyperlink ref="C8" r:id="rId2" xr:uid="{00000000-0004-0000-0700-000001000000}"/>
    <hyperlink ref="C9" r:id="rId3" xr:uid="{00000000-0004-0000-0700-000002000000}"/>
    <hyperlink ref="C10" r:id="rId4" xr:uid="{00000000-0004-0000-0700-000003000000}"/>
    <hyperlink ref="C11" r:id="rId5" xr:uid="{00000000-0004-0000-0700-000004000000}"/>
    <hyperlink ref="C12" r:id="rId6" xr:uid="{00000000-0004-0000-0700-000005000000}"/>
    <hyperlink ref="C13" r:id="rId7" xr:uid="{00000000-0004-0000-0700-000006000000}"/>
    <hyperlink ref="C14" r:id="rId8" xr:uid="{00000000-0004-0000-0700-000007000000}"/>
    <hyperlink ref="C15" r:id="rId9" xr:uid="{00000000-0004-0000-0700-000008000000}"/>
  </hyperlinks>
  <pageMargins left="0.7" right="0.7" top="0.75" bottom="0.75" header="0.3" footer="0.3"/>
  <tableParts count="1">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4"/>
  <sheetViews>
    <sheetView showGridLines="0" workbookViewId="0"/>
  </sheetViews>
  <sheetFormatPr baseColWidth="10" defaultColWidth="10.140625" defaultRowHeight="15" customHeight="1"/>
  <cols>
    <col min="1" max="1" width="3.140625" customWidth="1"/>
    <col min="2" max="2" width="90.7109375" customWidth="1"/>
    <col min="3" max="3" width="3.85546875" customWidth="1"/>
  </cols>
  <sheetData>
    <row r="1" spans="1:3" ht="16.5" customHeight="1">
      <c r="A1" s="58"/>
      <c r="C1" s="58"/>
    </row>
    <row r="2" spans="1:3" ht="16.5" customHeight="1">
      <c r="A2" s="58"/>
      <c r="B2" s="2" t="s">
        <v>32</v>
      </c>
      <c r="C2" s="58"/>
    </row>
    <row r="3" spans="1:3" ht="16.5" customHeight="1">
      <c r="A3" s="59"/>
      <c r="B3" s="60" t="s">
        <v>265</v>
      </c>
      <c r="C3" s="59"/>
    </row>
    <row r="4" spans="1:3" ht="16.5" customHeight="1">
      <c r="A4" s="59"/>
      <c r="B4" s="1"/>
      <c r="C4" s="59"/>
    </row>
    <row r="5" spans="1:3" ht="16.5" customHeight="1">
      <c r="A5" s="59"/>
      <c r="B5" s="1" t="s">
        <v>266</v>
      </c>
      <c r="C5" s="59"/>
    </row>
    <row r="6" spans="1:3" ht="16.5" customHeight="1">
      <c r="A6" s="59"/>
      <c r="B6" s="1" t="s">
        <v>267</v>
      </c>
      <c r="C6" s="59"/>
    </row>
    <row r="7" spans="1:3" ht="16.5" customHeight="1">
      <c r="A7" s="59"/>
      <c r="B7" s="1"/>
      <c r="C7" s="59"/>
    </row>
    <row r="8" spans="1:3" ht="16.5" customHeight="1">
      <c r="A8" s="59"/>
      <c r="B8" s="1" t="s">
        <v>268</v>
      </c>
      <c r="C8" s="59"/>
    </row>
    <row r="9" spans="1:3" ht="16.5" customHeight="1">
      <c r="A9" s="59"/>
      <c r="B9" s="1" t="s">
        <v>269</v>
      </c>
      <c r="C9" s="59"/>
    </row>
    <row r="10" spans="1:3" ht="16.5" customHeight="1">
      <c r="A10" s="59"/>
      <c r="B10" s="1"/>
      <c r="C10" s="59"/>
    </row>
    <row r="11" spans="1:3" ht="16.5" customHeight="1">
      <c r="A11" s="59"/>
      <c r="B11" s="1" t="s">
        <v>270</v>
      </c>
      <c r="C11" s="59"/>
    </row>
    <row r="12" spans="1:3" ht="16.5" customHeight="1">
      <c r="A12" s="59"/>
      <c r="B12" s="50" t="s">
        <v>271</v>
      </c>
      <c r="C12" s="59"/>
    </row>
    <row r="13" spans="1:3" ht="16.5" customHeight="1">
      <c r="A13" s="59"/>
      <c r="B13" s="1"/>
      <c r="C13" s="59"/>
    </row>
    <row r="14" spans="1:3" ht="16.5" customHeight="1">
      <c r="A14" s="59"/>
      <c r="B14" s="1" t="s">
        <v>272</v>
      </c>
      <c r="C14" s="59"/>
    </row>
    <row r="15" spans="1:3" ht="16.5" customHeight="1">
      <c r="A15" s="59"/>
      <c r="B15" s="50" t="s">
        <v>273</v>
      </c>
      <c r="C15" s="59"/>
    </row>
    <row r="16" spans="1:3" ht="16.5" customHeight="1">
      <c r="A16" s="59"/>
      <c r="B16" s="1"/>
      <c r="C16" s="59"/>
    </row>
    <row r="17" spans="1:3" ht="16.5" customHeight="1">
      <c r="A17" s="59"/>
      <c r="B17" s="1" t="s">
        <v>274</v>
      </c>
      <c r="C17" s="59"/>
    </row>
    <row r="18" spans="1:3" ht="16.5" customHeight="1">
      <c r="A18" s="59"/>
      <c r="B18" s="50" t="s">
        <v>275</v>
      </c>
      <c r="C18" s="59"/>
    </row>
    <row r="19" spans="1:3" ht="16.5" customHeight="1">
      <c r="A19" s="59"/>
      <c r="B19" s="1"/>
      <c r="C19" s="59"/>
    </row>
    <row r="20" spans="1:3" ht="16.5" customHeight="1">
      <c r="A20" s="59"/>
      <c r="B20" s="1" t="s">
        <v>276</v>
      </c>
      <c r="C20" s="59"/>
    </row>
    <row r="21" spans="1:3" ht="42.75" customHeight="1">
      <c r="A21" s="59"/>
      <c r="B21" s="50" t="s">
        <v>277</v>
      </c>
      <c r="C21" s="59"/>
    </row>
    <row r="22" spans="1:3" ht="16.5" customHeight="1">
      <c r="A22" s="59"/>
      <c r="B22" s="50"/>
      <c r="C22" s="59"/>
    </row>
    <row r="23" spans="1:3" ht="16.5" customHeight="1">
      <c r="A23" s="59"/>
      <c r="B23" s="50" t="s">
        <v>278</v>
      </c>
      <c r="C23" s="59"/>
    </row>
    <row r="24" spans="1:3" ht="16.5" customHeight="1">
      <c r="A24" s="59"/>
      <c r="B24" s="1"/>
      <c r="C24" s="59"/>
    </row>
  </sheetData>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License</vt:lpstr>
      <vt:lpstr>Disclaimer</vt:lpstr>
      <vt:lpstr>Get Started</vt:lpstr>
      <vt:lpstr>Key Reports</vt:lpstr>
      <vt:lpstr>Forecast</vt:lpstr>
      <vt:lpstr>Additional Tools</vt:lpstr>
      <vt:lpstr>Model Comparison</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created xsi:type="dcterms:W3CDTF">2022-09-29T14:22:22Z</dcterms:created>
  <dcterms:modified xsi:type="dcterms:W3CDTF">2022-09-29T14:22:23Z</dcterms:modified>
</cp:coreProperties>
</file>