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Inputs &amp; Assumptions" sheetId="2" r:id="rId5"/>
    <sheet state="visible" name="Valuation" sheetId="3" r:id="rId6"/>
    <sheet state="visible" name="Returns" sheetId="4" r:id="rId7"/>
    <sheet state="visible" name="Dashboard" sheetId="5" r:id="rId8"/>
  </sheets>
  <definedNames/>
  <calcPr/>
  <extLst>
    <ext uri="GoogleSheetsCustomDataVersion2">
      <go:sheetsCustomData xmlns:go="http://customooxmlschemas.google.com/" r:id="rId9" roundtripDataChecksum="mUGa5dzjbAtDsUJt+/mHXogD8W94XBk6QLql0HevlQI="/>
    </ext>
  </extLst>
</workbook>
</file>

<file path=xl/sharedStrings.xml><?xml version="1.0" encoding="utf-8"?>
<sst xmlns="http://schemas.openxmlformats.org/spreadsheetml/2006/main" count="163" uniqueCount="141">
  <si>
    <t>Venture Capital Method Model</t>
  </si>
  <si>
    <t>A clean, scenario-aware VC Method template (Google Sheets / Excel compatible).</t>
  </si>
  <si>
    <t>Quick Start</t>
  </si>
  <si>
    <t>1) Go to Inputs &amp; Assumptions → fill the yellow cells.</t>
  </si>
  <si>
    <t>2) Pick a Scenario (Base / Upside / Downside).</t>
  </si>
  <si>
    <t>3) Review Valuation for terminal value and required ownership.</t>
  </si>
  <si>
    <t>4) Review Returns for IRR / MOIC and cash flow timeline.</t>
  </si>
  <si>
    <t>5) Use Dashboard for the investor-ready summary.</t>
  </si>
  <si>
    <t>Legend</t>
  </si>
  <si>
    <t>Yellow cells</t>
  </si>
  <si>
    <t>Inputs you can change</t>
  </si>
  <si>
    <t>Blue text</t>
  </si>
  <si>
    <t>User inputs</t>
  </si>
  <si>
    <t>Black text</t>
  </si>
  <si>
    <t>Formulas / outputs</t>
  </si>
  <si>
    <t>Green shading</t>
  </si>
  <si>
    <t>Meets / exceeds target</t>
  </si>
  <si>
    <t>Red shading</t>
  </si>
  <si>
    <t>Below target / watch item</t>
  </si>
  <si>
    <t>Inputs &amp; Assumptions</t>
  </si>
  <si>
    <t>Fill yellow cells only. Everything else is calculated.</t>
  </si>
  <si>
    <t>Scenario</t>
  </si>
  <si>
    <t>Base</t>
  </si>
  <si>
    <t>Tip: scenarios scale base assumptions (see Scenario Factors).</t>
  </si>
  <si>
    <t>Valuation Assumptions</t>
  </si>
  <si>
    <t>General</t>
  </si>
  <si>
    <t>Currency</t>
  </si>
  <si>
    <t>USD</t>
  </si>
  <si>
    <t>Valuation Date</t>
  </si>
  <si>
    <t>Exit Year (years from now)</t>
  </si>
  <si>
    <t>years</t>
  </si>
  <si>
    <t>Target Investor IRR / Discount Rate</t>
  </si>
  <si>
    <t>Exit Metric</t>
  </si>
  <si>
    <t>Revenue</t>
  </si>
  <si>
    <t>Base EV / Revenue Multiple</t>
  </si>
  <si>
    <t>x</t>
  </si>
  <si>
    <t>Base EV / EBITDA Multiple</t>
  </si>
  <si>
    <t>Exit-Year Operating Assumptions (Base)</t>
  </si>
  <si>
    <t>Revenue in Exit Year</t>
  </si>
  <si>
    <t>EBITDA in Exit Year</t>
  </si>
  <si>
    <t>Financial Debt in Exit Year</t>
  </si>
  <si>
    <t>Cash in Exit Year</t>
  </si>
  <si>
    <t>Net Debt (Debt - Cash)</t>
  </si>
  <si>
    <t>Scenario Factors (applied to base assumptions) - Scenario factors scale revenue, EBITDA, and exit multiples.</t>
  </si>
  <si>
    <t>Operating factors scale Revenue/EBITDA; Multiple factors scale the selected exit multiple.</t>
  </si>
  <si>
    <t>Upside Operating Factor</t>
  </si>
  <si>
    <t>Downside Operating Factor</t>
  </si>
  <si>
    <t>Upside Multiple Factor</t>
  </si>
  <si>
    <t>Downside Multiple Factor</t>
  </si>
  <si>
    <t>Selected Operating Factor</t>
  </si>
  <si>
    <t>Selected Multiple Factor</t>
  </si>
  <si>
    <t>Investment Terms</t>
  </si>
  <si>
    <t>Entry, dilution, and preferred terms</t>
  </si>
  <si>
    <t>Investment Amount</t>
  </si>
  <si>
    <t>Check: ownership &amp; dilution drive returns more than the headline valuation.</t>
  </si>
  <si>
    <t>Investor Ownership at Entry</t>
  </si>
  <si>
    <t>Assumes a single investor class for simplicity.</t>
  </si>
  <si>
    <t>Expected Cumulative Dilution by Exit</t>
  </si>
  <si>
    <t>Investor Ownership at Exit</t>
  </si>
  <si>
    <t>Preferred Terms (optional)</t>
  </si>
  <si>
    <t>Liquidation Preference Multiple</t>
  </si>
  <si>
    <t>Preference modeled as non-participating; payout is capped at total equity value.</t>
  </si>
  <si>
    <t>Dividends Paid?</t>
  </si>
  <si>
    <t>No</t>
  </si>
  <si>
    <t>Dividend % on Invested Capital (annual)</t>
  </si>
  <si>
    <t>Dividend Payment Starts in Year</t>
  </si>
  <si>
    <t>Valuation (VC Method + Deal Economics)</t>
  </si>
  <si>
    <t>All values are scenario-adjusted based on Inputs → Scenario &amp; Factors.</t>
  </si>
  <si>
    <t>Scenario-adjusted Exit Inputs</t>
  </si>
  <si>
    <t>Exit Revenue (scenario)</t>
  </si>
  <si>
    <t>Exit EBITDA (scenario)</t>
  </si>
  <si>
    <t>EV / Revenue Multiple (scenario)</t>
  </si>
  <si>
    <t>EV / EBITDA Multiple (scenario)</t>
  </si>
  <si>
    <t>Exit Debt</t>
  </si>
  <si>
    <t>Exit Cash</t>
  </si>
  <si>
    <t>Terminal Value (Exit)</t>
  </si>
  <si>
    <t>Exit Enterprise Value</t>
  </si>
  <si>
    <t>Exit Equity Value</t>
  </si>
  <si>
    <t>PV of Equity Value (today)</t>
  </si>
  <si>
    <t>VC Method Ownership Requirements</t>
  </si>
  <si>
    <t>FV Required on Investment</t>
  </si>
  <si>
    <t>Required ownership is what a VC needs (after dilution) to hit the target IRR.</t>
  </si>
  <si>
    <t>Required Ownership at Exit</t>
  </si>
  <si>
    <t>Required Ownership at Entry (gross of dilution)</t>
  </si>
  <si>
    <t>Implied Post-money Valuation Today (VC Method)</t>
  </si>
  <si>
    <t>Implied Pre-money Valuation Today</t>
  </si>
  <si>
    <t>Deal Economics (based on your proposed ownership)</t>
  </si>
  <si>
    <t>Proposed Ownership at Entry</t>
  </si>
  <si>
    <t>Proposed Ownership at Exit</t>
  </si>
  <si>
    <t>As-Converted Proceeds at Exit</t>
  </si>
  <si>
    <t>Liquidation Preference (return of capital)</t>
  </si>
  <si>
    <t>Exit Proceeds to Investor (max of pref vs as-converted, capped)</t>
  </si>
  <si>
    <t>Investor Returns (Cash Flows, IRR, MOIC)</t>
  </si>
  <si>
    <t>Cash flows use proposed ownership, dilution, and preferred terms from Inputs.</t>
  </si>
  <si>
    <t>Summary</t>
  </si>
  <si>
    <t>Helper calcs</t>
  </si>
  <si>
    <t>Value</t>
  </si>
  <si>
    <t>Format</t>
  </si>
  <si>
    <t>Model IRR</t>
  </si>
  <si>
    <t>0.0%</t>
  </si>
  <si>
    <t>Total Distributions</t>
  </si>
  <si>
    <t>$</t>
  </si>
  <si>
    <t>MOIC</t>
  </si>
  <si>
    <t>Cash Flow Timeline</t>
  </si>
  <si>
    <t>Year</t>
  </si>
  <si>
    <t>Cash Flow</t>
  </si>
  <si>
    <t>Notes</t>
  </si>
  <si>
    <t>Summary Dashboard</t>
  </si>
  <si>
    <t>Investor-ready metrics (scenario-aware).</t>
  </si>
  <si>
    <t>Key Metrics</t>
  </si>
  <si>
    <t>Metric</t>
  </si>
  <si>
    <t>Unit</t>
  </si>
  <si>
    <t>Base/Upside/Downside selection</t>
  </si>
  <si>
    <t>Target Investor IRR</t>
  </si>
  <si>
    <t>%</t>
  </si>
  <si>
    <t>Common early-stage VC hurdle rates vary by fund/round</t>
  </si>
  <si>
    <t>IRR from modeled annual cash flows</t>
  </si>
  <si>
    <t>MOIC (Multiple on Invested Capital)</t>
  </si>
  <si>
    <t>Total distributions / investment</t>
  </si>
  <si>
    <t>Absolute Gain</t>
  </si>
  <si>
    <t>Total distributions minus invested amount</t>
  </si>
  <si>
    <t>Holding Period</t>
  </si>
  <si>
    <t>Years from today to exit</t>
  </si>
  <si>
    <t>Terminal enterprise value at exit</t>
  </si>
  <si>
    <t>EV minus net debt</t>
  </si>
  <si>
    <t>Exit Proceeds to Investor</t>
  </si>
  <si>
    <t>Max(pref, as-converted), capped at equity value</t>
  </si>
  <si>
    <t>Ownership at Entry (proposed)</t>
  </si>
  <si>
    <t>Stake at investment</t>
  </si>
  <si>
    <t>Ownership at Exit (after dilution)</t>
  </si>
  <si>
    <t>Stake remaining at exit</t>
  </si>
  <si>
    <t>Required Ownership at Entry (VC Method)</t>
  </si>
  <si>
    <t>Stake needed to hit target IRR given dilution</t>
  </si>
  <si>
    <t>Implied Post-money Today (VC Method)</t>
  </si>
  <si>
    <t>Investment / required ownership at entry</t>
  </si>
  <si>
    <t>Exit Snapshot</t>
  </si>
  <si>
    <t>Exit Metric Used</t>
  </si>
  <si>
    <t>Revenue or EBITDA multiple</t>
  </si>
  <si>
    <t>Scenario Exit Revenue</t>
  </si>
  <si>
    <t>Scenario Exit EBITDA</t>
  </si>
  <si>
    <t>Selected 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</si>
</sst>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&quot;x&quot;"/>
    <numFmt numFmtId="166" formatCode="$#,##0;[Red]($#,##0);&quot;–&quot;"/>
  </numFmts>
  <fonts count="23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FFFFFF"/>
      <name val="Calibri"/>
    </font>
    <font>
      <b/>
      <sz val="12.0"/>
      <color rgb="FFFFFFFF"/>
      <name val="Calibri"/>
    </font>
    <font>
      <sz val="10.0"/>
      <color rgb="FF111827"/>
      <name val="Calibri"/>
    </font>
    <font>
      <b/>
      <sz val="10.0"/>
      <color rgb="FF111827"/>
      <name val="Calibri"/>
    </font>
    <font>
      <b/>
      <color rgb="FFFFFFFF"/>
      <name val="Calibri"/>
      <scheme val="minor"/>
    </font>
    <font>
      <b/>
      <color rgb="FF333333"/>
      <name val="Calibri"/>
      <scheme val="minor"/>
    </font>
    <font>
      <b/>
      <sz val="10.0"/>
      <color rgb="FF000000"/>
      <name val="Calibri"/>
    </font>
    <font>
      <sz val="11.0"/>
      <color theme="1"/>
      <name val="Calibri"/>
    </font>
    <font>
      <i/>
      <sz val="9.0"/>
      <color rgb="FF6B7280"/>
      <name val="Calibri"/>
    </font>
    <font>
      <b/>
      <color theme="1"/>
      <name val="Calibri"/>
      <scheme val="minor"/>
    </font>
    <font>
      <i/>
      <color rgb="FFB7B7B7"/>
      <name val="Calibri"/>
      <scheme val="minor"/>
    </font>
    <font>
      <i/>
      <color rgb="FFCCCCCC"/>
      <name val="Calibri"/>
      <scheme val="minor"/>
    </font>
    <font>
      <sz val="10.0"/>
      <color rgb="FF0070C0"/>
      <name val="Calibri"/>
    </font>
    <font>
      <b/>
      <color rgb="FF000000"/>
      <name val="Calibri"/>
      <scheme val="minor"/>
    </font>
    <font>
      <color rgb="FF000000"/>
      <name val="Calibri"/>
      <scheme val="minor"/>
    </font>
    <font>
      <b/>
      <sz val="9.0"/>
      <color rgb="FF111827"/>
      <name val="Calibri"/>
    </font>
    <font>
      <b/>
      <sz val="11.0"/>
      <color rgb="FF0070C0"/>
      <name val="Calibri"/>
    </font>
    <font>
      <b/>
      <sz val="10.0"/>
      <color rgb="FF0070C0"/>
      <name val="Calibri"/>
    </font>
    <font>
      <i/>
      <sz val="9.0"/>
      <color rgb="FF0070C0"/>
      <name val="Calibri"/>
    </font>
    <font>
      <b/>
      <sz val="10.0"/>
      <color rgb="FF333333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374151"/>
        <bgColor rgb="FF374151"/>
      </patternFill>
    </fill>
    <fill>
      <patternFill patternType="solid">
        <fgColor rgb="FFF3F4F6"/>
        <bgColor rgb="FFF3F4F6"/>
      </patternFill>
    </fill>
    <fill>
      <patternFill patternType="solid">
        <fgColor rgb="FFFFF2CC"/>
        <bgColor rgb="FFFFF2CC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E5E7EB"/>
        <bgColor rgb="FFE5E7EB"/>
      </patternFill>
    </fill>
    <fill>
      <patternFill patternType="solid">
        <fgColor rgb="FFDBEAFE"/>
        <bgColor rgb="FFDBEAFE"/>
      </patternFill>
    </fill>
    <fill>
      <patternFill patternType="solid">
        <fgColor rgb="FFF2F2F2"/>
        <bgColor rgb="FFF2F2F2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7" fillId="3" fontId="4" numFmtId="0" xfId="0" applyAlignment="1" applyBorder="1" applyFill="1" applyFont="1">
      <alignment horizontal="left" vertical="center"/>
    </xf>
    <xf borderId="7" fillId="4" fontId="5" numFmtId="0" xfId="0" applyAlignment="1" applyBorder="1" applyFill="1" applyFont="1">
      <alignment horizontal="left" vertical="center"/>
    </xf>
    <xf borderId="10" fillId="5" fontId="6" numFmtId="0" xfId="0" applyAlignment="1" applyBorder="1" applyFill="1" applyFont="1">
      <alignment horizontal="left" vertical="center"/>
    </xf>
    <xf borderId="10" fillId="4" fontId="6" numFmtId="0" xfId="0" applyAlignment="1" applyBorder="1" applyFont="1">
      <alignment horizontal="left" vertical="center"/>
    </xf>
    <xf borderId="10" fillId="6" fontId="6" numFmtId="0" xfId="0" applyAlignment="1" applyBorder="1" applyFill="1" applyFont="1">
      <alignment horizontal="left" vertical="center"/>
    </xf>
    <xf borderId="10" fillId="7" fontId="6" numFmtId="0" xfId="0" applyAlignment="1" applyBorder="1" applyFill="1" applyFont="1">
      <alignment horizontal="left" vertical="center"/>
    </xf>
    <xf borderId="1" fillId="8" fontId="7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11" fillId="0" fontId="6" numFmtId="0" xfId="0" applyBorder="1" applyFont="1"/>
    <xf borderId="11" fillId="5" fontId="9" numFmtId="0" xfId="0" applyAlignment="1" applyBorder="1" applyFont="1">
      <alignment horizontal="left" vertical="center"/>
    </xf>
    <xf borderId="11" fillId="0" fontId="10" numFmtId="0" xfId="0" applyBorder="1" applyFont="1"/>
    <xf borderId="0" fillId="0" fontId="11" numFmtId="0" xfId="0" applyFont="1"/>
    <xf borderId="12" fillId="8" fontId="7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2" fillId="9" fontId="12" numFmtId="0" xfId="0" applyAlignment="1" applyBorder="1" applyFill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11" fillId="5" fontId="9" numFmtId="15" xfId="0" applyAlignment="1" applyBorder="1" applyFont="1" applyNumberFormat="1">
      <alignment horizontal="right" vertical="center"/>
    </xf>
    <xf borderId="11" fillId="5" fontId="9" numFmtId="1" xfId="0" applyAlignment="1" applyBorder="1" applyFont="1" applyNumberFormat="1">
      <alignment horizontal="right" vertical="center"/>
    </xf>
    <xf borderId="11" fillId="0" fontId="13" numFmtId="0" xfId="0" applyAlignment="1" applyBorder="1" applyFont="1">
      <alignment horizontal="left" vertical="center"/>
    </xf>
    <xf borderId="11" fillId="5" fontId="9" numFmtId="164" xfId="0" applyAlignment="1" applyBorder="1" applyFont="1" applyNumberFormat="1">
      <alignment horizontal="right" vertical="center"/>
    </xf>
    <xf borderId="11" fillId="5" fontId="9" numFmtId="165" xfId="0" applyAlignment="1" applyBorder="1" applyFont="1" applyNumberFormat="1">
      <alignment horizontal="right" vertical="center"/>
    </xf>
    <xf borderId="11" fillId="0" fontId="14" numFmtId="0" xfId="0" applyAlignment="1" applyBorder="1" applyFont="1">
      <alignment horizontal="left" vertical="center"/>
    </xf>
    <xf borderId="12" fillId="10" fontId="7" numFmtId="0" xfId="0" applyAlignment="1" applyBorder="1" applyFill="1" applyFont="1">
      <alignment horizontal="left" vertical="center"/>
    </xf>
    <xf borderId="11" fillId="5" fontId="9" numFmtId="166" xfId="0" applyAlignment="1" applyBorder="1" applyFont="1" applyNumberFormat="1">
      <alignment horizontal="right" vertical="center"/>
    </xf>
    <xf borderId="11" fillId="4" fontId="15" numFmtId="166" xfId="0" applyAlignment="1" applyBorder="1" applyFont="1" applyNumberFormat="1">
      <alignment horizontal="right" vertical="center"/>
    </xf>
    <xf borderId="11" fillId="0" fontId="16" numFmtId="0" xfId="0" applyBorder="1" applyFont="1"/>
    <xf borderId="11" fillId="0" fontId="17" numFmtId="0" xfId="0" applyBorder="1" applyFont="1"/>
    <xf borderId="0" fillId="0" fontId="16" numFmtId="0" xfId="0" applyFont="1"/>
    <xf borderId="12" fillId="10" fontId="7" numFmtId="0" xfId="0" applyAlignment="1" applyBorder="1" applyFont="1">
      <alignment horizontal="left" readingOrder="0" vertical="center"/>
    </xf>
    <xf borderId="12" fillId="11" fontId="18" numFmtId="0" xfId="0" applyAlignment="1" applyBorder="1" applyFill="1" applyFont="1">
      <alignment horizontal="left" vertical="center"/>
    </xf>
    <xf borderId="11" fillId="5" fontId="9" numFmtId="2" xfId="0" applyAlignment="1" applyBorder="1" applyFont="1" applyNumberFormat="1">
      <alignment horizontal="right" vertical="center"/>
    </xf>
    <xf borderId="11" fillId="4" fontId="15" numFmtId="2" xfId="0" applyAlignment="1" applyBorder="1" applyFont="1" applyNumberFormat="1">
      <alignment horizontal="right" vertical="center"/>
    </xf>
    <xf borderId="12" fillId="11" fontId="6" numFmtId="0" xfId="0" applyAlignment="1" applyBorder="1" applyFont="1">
      <alignment horizontal="left" vertical="center"/>
    </xf>
    <xf borderId="11" fillId="4" fontId="15" numFmtId="164" xfId="0" applyAlignment="1" applyBorder="1" applyFont="1" applyNumberFormat="1">
      <alignment horizontal="right" vertical="center"/>
    </xf>
    <xf borderId="11" fillId="0" fontId="5" numFmtId="0" xfId="0" applyBorder="1" applyFont="1"/>
    <xf borderId="11" fillId="4" fontId="15" numFmtId="165" xfId="0" applyAlignment="1" applyBorder="1" applyFont="1" applyNumberFormat="1">
      <alignment horizontal="right" vertical="center"/>
    </xf>
    <xf borderId="11" fillId="4" fontId="19" numFmtId="166" xfId="0" applyAlignment="1" applyBorder="1" applyFont="1" applyNumberFormat="1">
      <alignment horizontal="right" vertical="center"/>
    </xf>
    <xf borderId="11" fillId="12" fontId="20" numFmtId="166" xfId="0" applyAlignment="1" applyBorder="1" applyFill="1" applyFont="1" applyNumberFormat="1">
      <alignment horizontal="right" vertical="center"/>
    </xf>
    <xf borderId="11" fillId="11" fontId="18" numFmtId="0" xfId="0" applyAlignment="1" applyBorder="1" applyFont="1">
      <alignment horizontal="left" vertical="center"/>
    </xf>
    <xf borderId="11" fillId="8" fontId="7" numFmtId="0" xfId="0" applyAlignment="1" applyBorder="1" applyFont="1">
      <alignment horizontal="left" vertical="center"/>
    </xf>
    <xf borderId="11" fillId="5" fontId="20" numFmtId="164" xfId="0" applyAlignment="1" applyBorder="1" applyFont="1" applyNumberFormat="1">
      <alignment horizontal="right" vertical="center"/>
    </xf>
    <xf borderId="11" fillId="0" fontId="11" numFmtId="0" xfId="0" applyBorder="1" applyFont="1"/>
    <xf borderId="11" fillId="5" fontId="20" numFmtId="166" xfId="0" applyAlignment="1" applyBorder="1" applyFont="1" applyNumberFormat="1">
      <alignment horizontal="right" vertical="center"/>
    </xf>
    <xf borderId="11" fillId="5" fontId="20" numFmtId="165" xfId="0" applyAlignment="1" applyBorder="1" applyFont="1" applyNumberFormat="1">
      <alignment horizontal="right" vertical="center"/>
    </xf>
    <xf borderId="11" fillId="8" fontId="7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center" vertical="center"/>
    </xf>
    <xf borderId="11" fillId="13" fontId="5" numFmtId="0" xfId="0" applyAlignment="1" applyBorder="1" applyFill="1" applyFont="1">
      <alignment horizontal="center" vertical="center"/>
    </xf>
    <xf borderId="11" fillId="13" fontId="15" numFmtId="166" xfId="0" applyAlignment="1" applyBorder="1" applyFont="1" applyNumberFormat="1">
      <alignment horizontal="right" vertical="center"/>
    </xf>
    <xf borderId="7" fillId="13" fontId="21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0" fontId="15" numFmtId="166" xfId="0" applyAlignment="1" applyBorder="1" applyFont="1" applyNumberFormat="1">
      <alignment horizontal="right"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left" vertical="center"/>
    </xf>
    <xf borderId="11" fillId="13" fontId="22" numFmtId="0" xfId="0" applyAlignment="1" applyBorder="1" applyFont="1">
      <alignment horizontal="left" vertical="center"/>
    </xf>
    <xf borderId="11" fillId="4" fontId="20" numFmtId="0" xfId="0" applyAlignment="1" applyBorder="1" applyFont="1">
      <alignment horizontal="right" vertical="center"/>
    </xf>
    <xf borderId="11" fillId="0" fontId="11" numFmtId="0" xfId="0" applyAlignment="1" applyBorder="1" applyFont="1">
      <alignment horizontal="left" vertical="center"/>
    </xf>
    <xf borderId="7" fillId="13" fontId="11" numFmtId="0" xfId="0" applyAlignment="1" applyBorder="1" applyFont="1">
      <alignment horizontal="left" vertical="center"/>
    </xf>
    <xf borderId="11" fillId="0" fontId="22" numFmtId="0" xfId="0" applyAlignment="1" applyBorder="1" applyFont="1">
      <alignment horizontal="left" vertical="center"/>
    </xf>
    <xf borderId="11" fillId="4" fontId="20" numFmtId="164" xfId="0" applyAlignment="1" applyBorder="1" applyFont="1" applyNumberFormat="1">
      <alignment horizontal="right" vertical="center"/>
    </xf>
    <xf borderId="11" fillId="4" fontId="19" numFmtId="164" xfId="0" applyAlignment="1" applyBorder="1" applyFont="1" applyNumberFormat="1">
      <alignment horizontal="right" vertical="center"/>
    </xf>
    <xf borderId="11" fillId="13" fontId="11" numFmtId="0" xfId="0" applyAlignment="1" applyBorder="1" applyFont="1">
      <alignment horizontal="left" vertical="center"/>
    </xf>
    <xf borderId="11" fillId="4" fontId="19" numFmtId="165" xfId="0" applyAlignment="1" applyBorder="1" applyFont="1" applyNumberFormat="1">
      <alignment horizontal="right" vertical="center"/>
    </xf>
    <xf borderId="11" fillId="4" fontId="20" numFmtId="166" xfId="0" applyAlignment="1" applyBorder="1" applyFont="1" applyNumberFormat="1">
      <alignment horizontal="right" vertical="center"/>
    </xf>
    <xf borderId="11" fillId="4" fontId="19" numFmtId="1" xfId="0" applyAlignment="1" applyBorder="1" applyFont="1" applyNumberFormat="1">
      <alignment horizontal="right" vertical="center"/>
    </xf>
    <xf borderId="11" fillId="4" fontId="20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9"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6" width="22.0"/>
    <col customWidth="1" min="7" max="26" width="8.71"/>
  </cols>
  <sheetData>
    <row r="2" ht="27.75" customHeight="1">
      <c r="B2" s="1" t="s">
        <v>0</v>
      </c>
      <c r="C2" s="2"/>
      <c r="D2" s="2"/>
      <c r="E2" s="2"/>
      <c r="F2" s="3"/>
    </row>
    <row r="3" ht="21.75" customHeight="1">
      <c r="B3" s="4"/>
      <c r="C3" s="5"/>
      <c r="D3" s="5"/>
      <c r="E3" s="5"/>
      <c r="F3" s="6"/>
    </row>
    <row r="4">
      <c r="B4" s="7" t="s">
        <v>1</v>
      </c>
      <c r="C4" s="8"/>
      <c r="D4" s="8"/>
      <c r="E4" s="8"/>
      <c r="F4" s="9"/>
    </row>
    <row r="6" ht="19.5" customHeight="1">
      <c r="B6" s="10" t="s">
        <v>2</v>
      </c>
      <c r="C6" s="8"/>
      <c r="D6" s="8"/>
      <c r="E6" s="8"/>
      <c r="F6" s="9"/>
    </row>
    <row r="7" ht="18.0" customHeight="1">
      <c r="B7" s="11" t="s">
        <v>3</v>
      </c>
      <c r="C7" s="8"/>
      <c r="D7" s="8"/>
      <c r="E7" s="8"/>
      <c r="F7" s="9"/>
    </row>
    <row r="8" ht="18.0" customHeight="1">
      <c r="B8" s="11" t="s">
        <v>4</v>
      </c>
      <c r="C8" s="8"/>
      <c r="D8" s="8"/>
      <c r="E8" s="8"/>
      <c r="F8" s="9"/>
    </row>
    <row r="9" ht="18.0" customHeight="1">
      <c r="B9" s="11" t="s">
        <v>5</v>
      </c>
      <c r="C9" s="8"/>
      <c r="D9" s="8"/>
      <c r="E9" s="8"/>
      <c r="F9" s="9"/>
    </row>
    <row r="10" ht="18.0" customHeight="1">
      <c r="B10" s="11" t="s">
        <v>6</v>
      </c>
      <c r="C10" s="8"/>
      <c r="D10" s="8"/>
      <c r="E10" s="8"/>
      <c r="F10" s="9"/>
    </row>
    <row r="11" ht="18.0" customHeight="1">
      <c r="B11" s="11" t="s">
        <v>7</v>
      </c>
      <c r="C11" s="8"/>
      <c r="D11" s="8"/>
      <c r="E11" s="8"/>
      <c r="F11" s="9"/>
    </row>
    <row r="13" ht="19.5" customHeight="1">
      <c r="B13" s="10" t="s">
        <v>8</v>
      </c>
      <c r="C13" s="8"/>
      <c r="D13" s="8"/>
      <c r="E13" s="8"/>
      <c r="F13" s="9"/>
    </row>
    <row r="14" ht="18.0" customHeight="1">
      <c r="B14" s="12" t="s">
        <v>9</v>
      </c>
      <c r="C14" s="11" t="s">
        <v>10</v>
      </c>
      <c r="D14" s="8"/>
      <c r="E14" s="8"/>
      <c r="F14" s="9"/>
    </row>
    <row r="15" ht="18.0" customHeight="1">
      <c r="B15" s="13" t="s">
        <v>11</v>
      </c>
      <c r="C15" s="11" t="s">
        <v>12</v>
      </c>
      <c r="D15" s="8"/>
      <c r="E15" s="8"/>
      <c r="F15" s="9"/>
    </row>
    <row r="16" ht="18.0" customHeight="1">
      <c r="B16" s="13" t="s">
        <v>13</v>
      </c>
      <c r="C16" s="11" t="s">
        <v>14</v>
      </c>
      <c r="D16" s="8"/>
      <c r="E16" s="8"/>
      <c r="F16" s="9"/>
    </row>
    <row r="17" ht="18.0" customHeight="1">
      <c r="B17" s="14" t="s">
        <v>15</v>
      </c>
      <c r="C17" s="11" t="s">
        <v>16</v>
      </c>
      <c r="D17" s="8"/>
      <c r="E17" s="8"/>
      <c r="F17" s="9"/>
    </row>
    <row r="18" ht="18.0" customHeight="1">
      <c r="B18" s="15" t="s">
        <v>17</v>
      </c>
      <c r="C18" s="11" t="s">
        <v>18</v>
      </c>
      <c r="D18" s="8"/>
      <c r="E18" s="8"/>
      <c r="F18" s="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4">
    <mergeCell ref="B2:F3"/>
    <mergeCell ref="B4:F4"/>
    <mergeCell ref="B6:F6"/>
    <mergeCell ref="B7:F7"/>
    <mergeCell ref="B8:F8"/>
    <mergeCell ref="B9:F9"/>
    <mergeCell ref="B10:F10"/>
    <mergeCell ref="B11:F11"/>
    <mergeCell ref="B13:F13"/>
    <mergeCell ref="C14:F14"/>
    <mergeCell ref="C15:F15"/>
    <mergeCell ref="C16:F16"/>
    <mergeCell ref="C17:F17"/>
    <mergeCell ref="C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3" width="14.0"/>
    <col customWidth="1" min="4" max="4" width="24.0"/>
    <col customWidth="1" min="5" max="5" width="18.0"/>
    <col customWidth="1" min="6" max="6" width="22.0"/>
    <col customWidth="1" min="7" max="26" width="8.71"/>
  </cols>
  <sheetData>
    <row r="1" ht="18.0" customHeight="1">
      <c r="A1" s="16" t="s">
        <v>19</v>
      </c>
      <c r="B1" s="2"/>
      <c r="C1" s="2"/>
      <c r="D1" s="2"/>
      <c r="E1" s="2"/>
      <c r="F1" s="3"/>
    </row>
    <row r="2" ht="18.0" customHeight="1">
      <c r="A2" s="4"/>
      <c r="B2" s="5"/>
      <c r="C2" s="5"/>
      <c r="D2" s="5"/>
      <c r="E2" s="5"/>
      <c r="F2" s="6"/>
    </row>
    <row r="3" ht="18.0" customHeight="1">
      <c r="A3" s="17" t="s">
        <v>20</v>
      </c>
    </row>
    <row r="4" ht="18.0" customHeight="1"/>
    <row r="5" ht="18.0" customHeight="1">
      <c r="A5" s="18" t="s">
        <v>21</v>
      </c>
      <c r="B5" s="19" t="s">
        <v>22</v>
      </c>
      <c r="C5" s="20"/>
      <c r="D5" s="21" t="s">
        <v>23</v>
      </c>
    </row>
    <row r="6" ht="18.0" customHeight="1">
      <c r="A6" s="20"/>
      <c r="B6" s="20"/>
      <c r="C6" s="20"/>
    </row>
    <row r="7" ht="18.0" customHeight="1">
      <c r="A7" s="22" t="s">
        <v>24</v>
      </c>
      <c r="B7" s="23"/>
      <c r="C7" s="23"/>
      <c r="D7" s="23"/>
      <c r="E7" s="23"/>
      <c r="F7" s="24"/>
    </row>
    <row r="8" ht="18.0" customHeight="1">
      <c r="A8" s="25" t="s">
        <v>25</v>
      </c>
      <c r="B8" s="23"/>
      <c r="C8" s="23"/>
      <c r="D8" s="23"/>
      <c r="E8" s="23"/>
      <c r="F8" s="24"/>
    </row>
    <row r="9" ht="18.0" customHeight="1">
      <c r="A9" s="26" t="s">
        <v>26</v>
      </c>
      <c r="B9" s="19" t="s">
        <v>27</v>
      </c>
      <c r="C9" s="20"/>
      <c r="D9" s="27"/>
    </row>
    <row r="10" ht="18.0" customHeight="1">
      <c r="A10" s="26" t="s">
        <v>28</v>
      </c>
      <c r="B10" s="28">
        <v>45657.0</v>
      </c>
      <c r="C10" s="20"/>
      <c r="D10" s="27"/>
    </row>
    <row r="11" ht="18.0" customHeight="1">
      <c r="A11" s="26" t="s">
        <v>29</v>
      </c>
      <c r="B11" s="29">
        <v>10.0</v>
      </c>
      <c r="C11" s="30" t="s">
        <v>30</v>
      </c>
      <c r="D11" s="27"/>
    </row>
    <row r="12" ht="18.0" customHeight="1">
      <c r="A12" s="26" t="s">
        <v>31</v>
      </c>
      <c r="B12" s="31">
        <v>0.25</v>
      </c>
      <c r="C12" s="20"/>
      <c r="D12" s="27"/>
    </row>
    <row r="13" ht="18.0" customHeight="1">
      <c r="A13" s="26" t="s">
        <v>32</v>
      </c>
      <c r="B13" s="19" t="s">
        <v>33</v>
      </c>
      <c r="C13" s="20"/>
      <c r="D13" s="27"/>
    </row>
    <row r="14" ht="18.0" customHeight="1">
      <c r="A14" s="26" t="s">
        <v>34</v>
      </c>
      <c r="B14" s="32">
        <v>10.0</v>
      </c>
      <c r="C14" s="30" t="s">
        <v>35</v>
      </c>
      <c r="D14" s="27"/>
    </row>
    <row r="15" ht="18.0" customHeight="1">
      <c r="A15" s="26" t="s">
        <v>36</v>
      </c>
      <c r="B15" s="32">
        <v>20.0</v>
      </c>
      <c r="C15" s="33" t="s">
        <v>35</v>
      </c>
      <c r="D15" s="27"/>
    </row>
    <row r="16" ht="18.0" customHeight="1">
      <c r="A16" s="20"/>
      <c r="B16" s="20"/>
      <c r="C16" s="20"/>
    </row>
    <row r="17" ht="18.0" customHeight="1">
      <c r="A17" s="34" t="s">
        <v>37</v>
      </c>
      <c r="B17" s="23"/>
      <c r="C17" s="23"/>
      <c r="D17" s="23"/>
      <c r="E17" s="23"/>
      <c r="F17" s="24"/>
    </row>
    <row r="18" ht="18.0" customHeight="1">
      <c r="A18" s="18" t="s">
        <v>38</v>
      </c>
      <c r="B18" s="35">
        <v>5.0E7</v>
      </c>
      <c r="C18" s="20"/>
    </row>
    <row r="19" ht="18.0" customHeight="1">
      <c r="A19" s="18" t="s">
        <v>39</v>
      </c>
      <c r="B19" s="35">
        <v>1.0E7</v>
      </c>
      <c r="C19" s="20"/>
    </row>
    <row r="20" ht="18.0" customHeight="1">
      <c r="A20" s="18" t="s">
        <v>40</v>
      </c>
      <c r="B20" s="35">
        <v>0.0</v>
      </c>
      <c r="C20" s="20"/>
    </row>
    <row r="21" ht="18.0" customHeight="1">
      <c r="A21" s="18" t="s">
        <v>41</v>
      </c>
      <c r="B21" s="35">
        <v>0.0</v>
      </c>
      <c r="C21" s="20"/>
    </row>
    <row r="22" ht="18.0" customHeight="1">
      <c r="A22" s="18" t="s">
        <v>42</v>
      </c>
      <c r="B22" s="36">
        <f>B20-B21</f>
        <v>0</v>
      </c>
      <c r="C22" s="20"/>
    </row>
    <row r="23" ht="18.0" customHeight="1">
      <c r="A23" s="37"/>
      <c r="B23" s="38"/>
      <c r="C23" s="20"/>
      <c r="D23" s="39"/>
    </row>
    <row r="24" ht="18.0" customHeight="1">
      <c r="A24" s="40" t="s">
        <v>43</v>
      </c>
      <c r="B24" s="23"/>
      <c r="C24" s="23"/>
      <c r="D24" s="23"/>
      <c r="E24" s="23"/>
      <c r="F24" s="24"/>
    </row>
    <row r="25" ht="18.0" customHeight="1">
      <c r="A25" s="41" t="s">
        <v>44</v>
      </c>
      <c r="B25" s="23"/>
      <c r="C25" s="23"/>
      <c r="D25" s="23"/>
      <c r="E25" s="23"/>
      <c r="F25" s="24"/>
    </row>
    <row r="26" ht="18.0" customHeight="1">
      <c r="A26" s="18" t="s">
        <v>45</v>
      </c>
      <c r="B26" s="42">
        <v>1.25</v>
      </c>
      <c r="C26" s="20"/>
    </row>
    <row r="27" ht="18.0" customHeight="1">
      <c r="A27" s="18" t="s">
        <v>46</v>
      </c>
      <c r="B27" s="42">
        <v>0.75</v>
      </c>
      <c r="C27" s="20"/>
    </row>
    <row r="28" ht="18.0" customHeight="1">
      <c r="A28" s="18" t="s">
        <v>47</v>
      </c>
      <c r="B28" s="42">
        <v>1.15</v>
      </c>
      <c r="C28" s="20"/>
    </row>
    <row r="29" ht="18.0" customHeight="1">
      <c r="A29" s="18" t="s">
        <v>48</v>
      </c>
      <c r="B29" s="42">
        <v>0.85</v>
      </c>
      <c r="C29" s="20"/>
    </row>
    <row r="30" ht="18.0" customHeight="1">
      <c r="A30" s="20"/>
      <c r="B30" s="20"/>
      <c r="C30" s="20"/>
    </row>
    <row r="31" ht="18.0" customHeight="1">
      <c r="A31" s="18" t="s">
        <v>49</v>
      </c>
      <c r="B31" s="43">
        <f>IF($B$5="Upside",$B$26,IF($B$5="Downside",$B$27,1))</f>
        <v>1</v>
      </c>
      <c r="C31" s="20"/>
    </row>
    <row r="32" ht="18.0" customHeight="1">
      <c r="A32" s="18" t="s">
        <v>50</v>
      </c>
      <c r="B32" s="43">
        <f>IF($B$5="Upside",$B$28,IF($B$5="Downside",$B$29,1))</f>
        <v>1</v>
      </c>
      <c r="C32" s="20"/>
    </row>
    <row r="33" ht="18.0" customHeight="1">
      <c r="A33" s="20"/>
      <c r="B33" s="20"/>
      <c r="C33" s="20"/>
    </row>
    <row r="34" ht="18.0" customHeight="1">
      <c r="A34" s="22" t="s">
        <v>51</v>
      </c>
      <c r="B34" s="23"/>
      <c r="C34" s="23"/>
      <c r="D34" s="23"/>
      <c r="E34" s="23"/>
      <c r="F34" s="24"/>
    </row>
    <row r="35" ht="18.0" customHeight="1">
      <c r="A35" s="44" t="s">
        <v>52</v>
      </c>
      <c r="B35" s="23"/>
      <c r="C35" s="23"/>
      <c r="D35" s="23"/>
      <c r="E35" s="23"/>
      <c r="F35" s="24"/>
    </row>
    <row r="36" ht="18.0" customHeight="1">
      <c r="A36" s="18" t="s">
        <v>53</v>
      </c>
      <c r="B36" s="35">
        <v>5000000.0</v>
      </c>
      <c r="C36" s="20"/>
      <c r="D36" s="21" t="s">
        <v>54</v>
      </c>
    </row>
    <row r="37" ht="18.0" customHeight="1">
      <c r="A37" s="18" t="s">
        <v>55</v>
      </c>
      <c r="B37" s="31">
        <v>0.15</v>
      </c>
      <c r="C37" s="20"/>
      <c r="D37" s="21" t="s">
        <v>56</v>
      </c>
    </row>
    <row r="38" ht="18.0" customHeight="1">
      <c r="A38" s="18" t="s">
        <v>57</v>
      </c>
      <c r="B38" s="31">
        <v>0.4</v>
      </c>
      <c r="C38" s="20"/>
    </row>
    <row r="39" ht="18.0" customHeight="1">
      <c r="A39" s="18" t="s">
        <v>58</v>
      </c>
      <c r="B39" s="45">
        <f>B37*(1-B38)</f>
        <v>0.09</v>
      </c>
      <c r="C39" s="20"/>
    </row>
    <row r="40" ht="18.0" customHeight="1">
      <c r="A40" s="20"/>
      <c r="B40" s="20"/>
      <c r="C40" s="20"/>
    </row>
    <row r="41" ht="18.0" customHeight="1">
      <c r="A41" s="22" t="s">
        <v>59</v>
      </c>
      <c r="B41" s="23"/>
      <c r="C41" s="23"/>
      <c r="D41" s="23"/>
      <c r="E41" s="23"/>
      <c r="F41" s="24"/>
    </row>
    <row r="42" ht="18.0" customHeight="1">
      <c r="A42" s="18" t="s">
        <v>60</v>
      </c>
      <c r="B42" s="32">
        <v>1.0</v>
      </c>
      <c r="C42" s="20"/>
      <c r="D42" s="21" t="s">
        <v>61</v>
      </c>
    </row>
    <row r="43" ht="18.0" customHeight="1">
      <c r="A43" s="18" t="s">
        <v>62</v>
      </c>
      <c r="B43" s="19" t="s">
        <v>63</v>
      </c>
      <c r="C43" s="20"/>
    </row>
    <row r="44" ht="18.0" customHeight="1">
      <c r="A44" s="18" t="s">
        <v>64</v>
      </c>
      <c r="B44" s="31">
        <v>0.08</v>
      </c>
      <c r="C44" s="20"/>
    </row>
    <row r="45" ht="18.0" customHeight="1">
      <c r="A45" s="18" t="s">
        <v>65</v>
      </c>
      <c r="B45" s="29">
        <v>3.0</v>
      </c>
      <c r="C45" s="2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5:F25"/>
    <mergeCell ref="A34:F34"/>
    <mergeCell ref="A35:F35"/>
    <mergeCell ref="D36:F36"/>
    <mergeCell ref="D37:F37"/>
    <mergeCell ref="A41:F41"/>
    <mergeCell ref="D42:F42"/>
    <mergeCell ref="A1:F2"/>
    <mergeCell ref="A3:F3"/>
    <mergeCell ref="D5:F5"/>
    <mergeCell ref="A7:F7"/>
    <mergeCell ref="A8:F8"/>
    <mergeCell ref="A17:F17"/>
    <mergeCell ref="A24:F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57"/>
    <col customWidth="1" min="2" max="2" width="22.0"/>
    <col customWidth="1" min="3" max="3" width="16.0"/>
    <col customWidth="1" min="4" max="4" width="26.0"/>
    <col customWidth="1" min="5" max="5" width="18.0"/>
    <col customWidth="1" min="6" max="6" width="20.0"/>
    <col customWidth="1" min="7" max="26" width="8.71"/>
  </cols>
  <sheetData>
    <row r="1" ht="27.75" customHeight="1">
      <c r="A1" s="1" t="s">
        <v>66</v>
      </c>
      <c r="B1" s="2"/>
      <c r="C1" s="2"/>
      <c r="D1" s="2"/>
      <c r="E1" s="2"/>
      <c r="F1" s="3"/>
    </row>
    <row r="2" ht="18.0" customHeight="1">
      <c r="A2" s="4"/>
      <c r="B2" s="5"/>
      <c r="C2" s="5"/>
      <c r="D2" s="5"/>
      <c r="E2" s="5"/>
      <c r="F2" s="6"/>
    </row>
    <row r="3" ht="15.75" customHeight="1">
      <c r="A3" s="21" t="s">
        <v>67</v>
      </c>
    </row>
    <row r="5" ht="19.5" customHeight="1">
      <c r="A5" s="10" t="s">
        <v>68</v>
      </c>
      <c r="B5" s="8"/>
      <c r="C5" s="8"/>
      <c r="D5" s="8"/>
      <c r="E5" s="8"/>
      <c r="F5" s="9"/>
    </row>
    <row r="6">
      <c r="A6" s="46" t="s">
        <v>69</v>
      </c>
      <c r="B6" s="36">
        <f> 'Inputs &amp; Assumptions'!B18*'Inputs &amp; Assumptions'!B31</f>
        <v>50000000</v>
      </c>
    </row>
    <row r="7">
      <c r="A7" s="46" t="s">
        <v>70</v>
      </c>
      <c r="B7" s="36">
        <f> 'Inputs &amp; Assumptions'!B19*'Inputs &amp; Assumptions'!B31</f>
        <v>10000000</v>
      </c>
    </row>
    <row r="8">
      <c r="A8" s="46" t="s">
        <v>71</v>
      </c>
      <c r="B8" s="47">
        <f> 'Inputs &amp; Assumptions'!B14*'Inputs &amp; Assumptions'!B32</f>
        <v>10</v>
      </c>
    </row>
    <row r="9">
      <c r="A9" s="46" t="s">
        <v>72</v>
      </c>
      <c r="B9" s="47">
        <f> 'Inputs &amp; Assumptions'!B15*'Inputs &amp; Assumptions'!B32</f>
        <v>20</v>
      </c>
    </row>
    <row r="10">
      <c r="A10" s="46" t="s">
        <v>73</v>
      </c>
      <c r="B10" s="36">
        <f> 'Inputs &amp; Assumptions'!B20</f>
        <v>0</v>
      </c>
    </row>
    <row r="11">
      <c r="A11" s="46" t="s">
        <v>74</v>
      </c>
      <c r="B11" s="36">
        <f> 'Inputs &amp; Assumptions'!B21</f>
        <v>0</v>
      </c>
    </row>
    <row r="13" ht="19.5" customHeight="1">
      <c r="A13" s="10" t="s">
        <v>75</v>
      </c>
      <c r="B13" s="8"/>
      <c r="C13" s="8"/>
      <c r="D13" s="8"/>
      <c r="E13" s="8"/>
      <c r="F13" s="9"/>
    </row>
    <row r="14">
      <c r="A14" s="18" t="s">
        <v>76</v>
      </c>
      <c r="B14" s="48">
        <f>IF('Inputs &amp; Assumptions'!B13="Revenue",B6*B8,B7*B9)</f>
        <v>500000000</v>
      </c>
    </row>
    <row r="15">
      <c r="A15" s="18" t="s">
        <v>77</v>
      </c>
      <c r="B15" s="48">
        <f>B14-B10+B11</f>
        <v>500000000</v>
      </c>
    </row>
    <row r="16">
      <c r="A16" s="18" t="s">
        <v>78</v>
      </c>
      <c r="B16" s="36">
        <f>B15/(1+'Inputs &amp; Assumptions'!B12)^'Inputs &amp; Assumptions'!B11</f>
        <v>53687091.2</v>
      </c>
    </row>
    <row r="18" ht="19.5" customHeight="1">
      <c r="A18" s="10" t="s">
        <v>79</v>
      </c>
      <c r="B18" s="8"/>
      <c r="C18" s="8"/>
      <c r="D18" s="8"/>
      <c r="E18" s="8"/>
      <c r="F18" s="9"/>
    </row>
    <row r="19">
      <c r="A19" s="46" t="s">
        <v>80</v>
      </c>
      <c r="B19" s="36">
        <f>'Inputs &amp; Assumptions'!B36*(1+'Inputs &amp; Assumptions'!B12)^'Inputs &amp; Assumptions'!B11</f>
        <v>46566128.73</v>
      </c>
      <c r="D19" s="21" t="s">
        <v>81</v>
      </c>
    </row>
    <row r="20">
      <c r="A20" s="18" t="s">
        <v>82</v>
      </c>
      <c r="B20" s="45">
        <f>IF(B15=0,0,B19/B15)</f>
        <v>0.09313225746</v>
      </c>
    </row>
    <row r="21" ht="15.75" customHeight="1">
      <c r="A21" s="18" t="s">
        <v>83</v>
      </c>
      <c r="B21" s="45">
        <f>IF(1-'Inputs &amp; Assumptions'!B38=0,0,B20/(1-'Inputs &amp; Assumptions'!B38))</f>
        <v>0.1552204291</v>
      </c>
    </row>
    <row r="22" ht="15.75" customHeight="1">
      <c r="A22" s="18" t="s">
        <v>84</v>
      </c>
      <c r="B22" s="48">
        <f>IF(B21=0,0,'Inputs &amp; Assumptions'!B36/B21)</f>
        <v>32212254.72</v>
      </c>
    </row>
    <row r="23" ht="15.75" customHeight="1">
      <c r="A23" s="46" t="s">
        <v>85</v>
      </c>
      <c r="B23" s="48">
        <f>B22-'Inputs &amp; Assumptions'!B36</f>
        <v>27212254.72</v>
      </c>
    </row>
    <row r="24" ht="15.75" customHeight="1"/>
    <row r="25" ht="19.5" customHeight="1">
      <c r="A25" s="10" t="s">
        <v>86</v>
      </c>
      <c r="B25" s="8"/>
      <c r="C25" s="8"/>
      <c r="D25" s="8"/>
      <c r="E25" s="8"/>
      <c r="F25" s="9"/>
    </row>
    <row r="26" ht="15.75" customHeight="1">
      <c r="A26" s="46" t="s">
        <v>87</v>
      </c>
      <c r="B26" s="45">
        <f>'Inputs &amp; Assumptions'!B37</f>
        <v>0.15</v>
      </c>
    </row>
    <row r="27" ht="15.75" customHeight="1">
      <c r="A27" s="46" t="s">
        <v>88</v>
      </c>
      <c r="B27" s="45">
        <f>'Inputs &amp; Assumptions'!B39</f>
        <v>0.09</v>
      </c>
    </row>
    <row r="28" ht="15.75" customHeight="1">
      <c r="A28" s="46" t="s">
        <v>89</v>
      </c>
      <c r="B28" s="36">
        <f>B15*B27</f>
        <v>45000000</v>
      </c>
    </row>
    <row r="29" ht="15.75" customHeight="1">
      <c r="A29" s="46" t="s">
        <v>90</v>
      </c>
      <c r="B29" s="36">
        <f>'Inputs &amp; Assumptions'!B36*'Inputs &amp; Assumptions'!B42</f>
        <v>5000000</v>
      </c>
    </row>
    <row r="30" ht="15.75" customHeight="1">
      <c r="A30" s="18" t="s">
        <v>91</v>
      </c>
      <c r="B30" s="49">
        <f>MIN(B15,MAX(B28,B29))</f>
        <v>45000000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2"/>
    <mergeCell ref="A3:F3"/>
    <mergeCell ref="A5:F5"/>
    <mergeCell ref="A13:F13"/>
    <mergeCell ref="A18:F18"/>
    <mergeCell ref="D19:F20"/>
    <mergeCell ref="A25:F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40.0"/>
    <col customWidth="1" min="4" max="6" width="18.0"/>
    <col customWidth="1" min="7" max="26" width="8.71"/>
  </cols>
  <sheetData>
    <row r="1" ht="18.0" customHeight="1">
      <c r="A1" s="1" t="s">
        <v>92</v>
      </c>
      <c r="B1" s="2"/>
      <c r="C1" s="2"/>
      <c r="D1" s="2"/>
      <c r="E1" s="2"/>
      <c r="F1" s="3"/>
    </row>
    <row r="2" ht="18.0" customHeight="1">
      <c r="A2" s="4"/>
      <c r="B2" s="5"/>
      <c r="C2" s="5"/>
      <c r="D2" s="5"/>
      <c r="E2" s="5"/>
      <c r="F2" s="6"/>
    </row>
    <row r="3" ht="18.0" customHeight="1">
      <c r="A3" s="21" t="s">
        <v>93</v>
      </c>
    </row>
    <row r="4" ht="18.0" customHeight="1"/>
    <row r="5" ht="18.0" customHeight="1">
      <c r="A5" s="10" t="s">
        <v>94</v>
      </c>
      <c r="B5" s="8"/>
      <c r="C5" s="8"/>
      <c r="D5" s="8"/>
      <c r="E5" s="8"/>
      <c r="F5" s="9"/>
    </row>
    <row r="6" ht="18.0" customHeight="1">
      <c r="D6" s="50" t="s">
        <v>95</v>
      </c>
      <c r="E6" s="50" t="s">
        <v>96</v>
      </c>
      <c r="F6" s="50" t="s">
        <v>97</v>
      </c>
    </row>
    <row r="7" ht="18.0" customHeight="1">
      <c r="D7" s="51" t="s">
        <v>98</v>
      </c>
      <c r="E7" s="52">
        <f>IF('Inputs &amp; Assumptions'!B11=1,IRR(B14:B15),IF('Inputs &amp; Assumptions'!B11=2,IRR(B14:B16),IF('Inputs &amp; Assumptions'!B11=3,IRR(B14:B17),IF('Inputs &amp; Assumptions'!B11=4,IRR(B14:B18),IF('Inputs &amp; Assumptions'!B11=5,IRR(B14:B19),IF('Inputs &amp; Assumptions'!B11=6,IRR(B14:B20),IF('Inputs &amp; Assumptions'!B11=7,IRR(B14:B21),IF('Inputs &amp; Assumptions'!B11=8,IRR(B14:B22),IF('Inputs &amp; Assumptions'!B11=9,IRR(B14:B23),IF('Inputs &amp; Assumptions'!B11=10,IRR(B14:B24),IF('Inputs &amp; Assumptions'!B11=11,IRR(B14:B25),IF('Inputs &amp; Assumptions'!B11=12,IRR(B14:B26),IF('Inputs &amp; Assumptions'!B11=13,IRR(B14:B27),IF('Inputs &amp; Assumptions'!B11=14,IRR(B14:B28),IF('Inputs &amp; Assumptions'!B11=15,IRR(B14:B29),NA())))))))))))))))</f>
        <v>0.2457309396</v>
      </c>
      <c r="F7" s="53" t="s">
        <v>99</v>
      </c>
    </row>
    <row r="8" ht="18.0" customHeight="1">
      <c r="D8" s="51" t="s">
        <v>100</v>
      </c>
      <c r="E8" s="54">
        <f>Valuation!B30 + IF('Inputs &amp; Assumptions'!B43="Yes", MAX(0,'Inputs &amp; Assumptions'!B11-'Inputs &amp; Assumptions'!B45)*'Inputs &amp; Assumptions'!B36*'Inputs &amp; Assumptions'!B44, 0)</f>
        <v>45000000</v>
      </c>
      <c r="F8" s="53" t="s">
        <v>101</v>
      </c>
    </row>
    <row r="9" ht="18.0" customHeight="1">
      <c r="D9" s="51" t="s">
        <v>102</v>
      </c>
      <c r="E9" s="55">
        <f>IF('Inputs &amp; Assumptions'!B36=0,0,E8/'Inputs &amp; Assumptions'!B36)</f>
        <v>9</v>
      </c>
      <c r="F9" s="53" t="s">
        <v>35</v>
      </c>
    </row>
    <row r="10" ht="18.0" customHeight="1"/>
    <row r="11" ht="18.0" customHeight="1"/>
    <row r="12" ht="18.0" customHeight="1">
      <c r="A12" s="10" t="s">
        <v>103</v>
      </c>
      <c r="B12" s="8"/>
      <c r="C12" s="8"/>
      <c r="D12" s="8"/>
      <c r="E12" s="8"/>
      <c r="F12" s="9"/>
    </row>
    <row r="13" ht="18.0" customHeight="1">
      <c r="A13" s="56" t="s">
        <v>104</v>
      </c>
      <c r="B13" s="56" t="s">
        <v>105</v>
      </c>
      <c r="C13" s="57" t="s">
        <v>106</v>
      </c>
      <c r="D13" s="8"/>
      <c r="E13" s="8"/>
      <c r="F13" s="9"/>
    </row>
    <row r="14" ht="18.0" customHeight="1">
      <c r="A14" s="58">
        <v>0.0</v>
      </c>
      <c r="B14" s="59">
        <f>IF(A14=0, -'Inputs &amp; Assumptions'!B36,IF(A14='Inputs &amp; Assumptions'!B11, Valuation!B30,IF(AND('Inputs &amp; Assumptions'!B43="Yes",A14&gt;='Inputs &amp; Assumptions'!B45,A14&lt;'Inputs &amp; Assumptions'!B11),'Inputs &amp; Assumptions'!B36*'Inputs &amp; Assumptions'!B44,0)))</f>
        <v>-5000000</v>
      </c>
      <c r="C14" s="60" t="str">
        <f>IF(A14=0,"Investment outflow",IF(A14='Inputs &amp; Assumptions'!B11,"Exit proceeds",IF(AND('Inputs &amp; Assumptions'!B43="Yes",A14&gt;='Inputs &amp; Assumptions'!B45,A14&lt;'Inputs &amp; Assumptions'!B11),"Dividend", "")))</f>
        <v>Investment outflow</v>
      </c>
      <c r="D14" s="8"/>
      <c r="E14" s="8"/>
      <c r="F14" s="9"/>
    </row>
    <row r="15" ht="18.0" customHeight="1">
      <c r="A15" s="61">
        <v>1.0</v>
      </c>
      <c r="B15" s="62">
        <f>IF(A15=0, -'Inputs &amp; Assumptions'!B36,IF(A15='Inputs &amp; Assumptions'!B11, Valuation!B30,IF(AND('Inputs &amp; Assumptions'!B43="Yes",A15&gt;='Inputs &amp; Assumptions'!B45,A15&lt;'Inputs &amp; Assumptions'!B11),'Inputs &amp; Assumptions'!B36*'Inputs &amp; Assumptions'!B44,0)))</f>
        <v>0</v>
      </c>
      <c r="C15" s="63" t="str">
        <f>IF(A15=0,"Investment outflow",IF(A15='Inputs &amp; Assumptions'!B11,"Exit proceeds",IF(AND('Inputs &amp; Assumptions'!B43="Yes",A15&gt;='Inputs &amp; Assumptions'!B45,A15&lt;'Inputs &amp; Assumptions'!B11),"Dividend", "")))</f>
        <v/>
      </c>
    </row>
    <row r="16" ht="18.0" customHeight="1">
      <c r="A16" s="58">
        <v>2.0</v>
      </c>
      <c r="B16" s="59">
        <f>IF(A16=0, -'Inputs &amp; Assumptions'!B36,IF(A16='Inputs &amp; Assumptions'!B11, Valuation!B30,IF(AND('Inputs &amp; Assumptions'!B43="Yes",A16&gt;='Inputs &amp; Assumptions'!B45,A16&lt;'Inputs &amp; Assumptions'!B11),'Inputs &amp; Assumptions'!B36*'Inputs &amp; Assumptions'!B44,0)))</f>
        <v>0</v>
      </c>
      <c r="C16" s="60" t="str">
        <f>IF(A16=0,"Investment outflow",IF(A16='Inputs &amp; Assumptions'!B11,"Exit proceeds",IF(AND('Inputs &amp; Assumptions'!B43="Yes",A16&gt;='Inputs &amp; Assumptions'!B45,A16&lt;'Inputs &amp; Assumptions'!B11),"Dividend", "")))</f>
        <v/>
      </c>
      <c r="D16" s="8"/>
      <c r="E16" s="8"/>
      <c r="F16" s="9"/>
    </row>
    <row r="17" ht="18.0" customHeight="1">
      <c r="A17" s="61">
        <v>3.0</v>
      </c>
      <c r="B17" s="62">
        <f>IF(A17=0, -'Inputs &amp; Assumptions'!B36,IF(A17='Inputs &amp; Assumptions'!B11, Valuation!B30,IF(AND('Inputs &amp; Assumptions'!B43="Yes",A17&gt;='Inputs &amp; Assumptions'!B45,A17&lt;'Inputs &amp; Assumptions'!B11),'Inputs &amp; Assumptions'!B36*'Inputs &amp; Assumptions'!B44,0)))</f>
        <v>0</v>
      </c>
      <c r="C17" s="63" t="str">
        <f>IF(A17=0,"Investment outflow",IF(A17='Inputs &amp; Assumptions'!B11,"Exit proceeds",IF(AND('Inputs &amp; Assumptions'!B43="Yes",A17&gt;='Inputs &amp; Assumptions'!B45,A17&lt;'Inputs &amp; Assumptions'!B11),"Dividend", "")))</f>
        <v/>
      </c>
    </row>
    <row r="18" ht="18.0" customHeight="1">
      <c r="A18" s="58">
        <v>4.0</v>
      </c>
      <c r="B18" s="59">
        <f>IF(A18=0, -'Inputs &amp; Assumptions'!B36,IF(A18='Inputs &amp; Assumptions'!B11, Valuation!B30,IF(AND('Inputs &amp; Assumptions'!B43="Yes",A18&gt;='Inputs &amp; Assumptions'!B45,A18&lt;'Inputs &amp; Assumptions'!B11),'Inputs &amp; Assumptions'!B36*'Inputs &amp; Assumptions'!B44,0)))</f>
        <v>0</v>
      </c>
      <c r="C18" s="60" t="str">
        <f>IF(A18=0,"Investment outflow",IF(A18='Inputs &amp; Assumptions'!B11,"Exit proceeds",IF(AND('Inputs &amp; Assumptions'!B43="Yes",A18&gt;='Inputs &amp; Assumptions'!B45,A18&lt;'Inputs &amp; Assumptions'!B11),"Dividend", "")))</f>
        <v/>
      </c>
      <c r="D18" s="8"/>
      <c r="E18" s="8"/>
      <c r="F18" s="9"/>
    </row>
    <row r="19" ht="18.0" customHeight="1">
      <c r="A19" s="61">
        <v>5.0</v>
      </c>
      <c r="B19" s="62">
        <f>IF(A19=0, -'Inputs &amp; Assumptions'!B36,IF(A19='Inputs &amp; Assumptions'!B11, Valuation!B30,IF(AND('Inputs &amp; Assumptions'!B43="Yes",A19&gt;='Inputs &amp; Assumptions'!B45,A19&lt;'Inputs &amp; Assumptions'!B11),'Inputs &amp; Assumptions'!B36*'Inputs &amp; Assumptions'!B44,0)))</f>
        <v>0</v>
      </c>
      <c r="C19" s="63" t="str">
        <f>IF(A19=0,"Investment outflow",IF(A19='Inputs &amp; Assumptions'!B11,"Exit proceeds",IF(AND('Inputs &amp; Assumptions'!B43="Yes",A19&gt;='Inputs &amp; Assumptions'!B45,A19&lt;'Inputs &amp; Assumptions'!B11),"Dividend", "")))</f>
        <v/>
      </c>
    </row>
    <row r="20" ht="18.0" customHeight="1">
      <c r="A20" s="58">
        <v>6.0</v>
      </c>
      <c r="B20" s="59">
        <f>IF(A20=0, -'Inputs &amp; Assumptions'!B36,IF(A20='Inputs &amp; Assumptions'!B11, Valuation!B30,IF(AND('Inputs &amp; Assumptions'!B43="Yes",A20&gt;='Inputs &amp; Assumptions'!B45,A20&lt;'Inputs &amp; Assumptions'!B11),'Inputs &amp; Assumptions'!B36*'Inputs &amp; Assumptions'!B44,0)))</f>
        <v>0</v>
      </c>
      <c r="C20" s="60" t="str">
        <f>IF(A20=0,"Investment outflow",IF(A20='Inputs &amp; Assumptions'!B11,"Exit proceeds",IF(AND('Inputs &amp; Assumptions'!B43="Yes",A20&gt;='Inputs &amp; Assumptions'!B45,A20&lt;'Inputs &amp; Assumptions'!B11),"Dividend", "")))</f>
        <v/>
      </c>
      <c r="D20" s="8"/>
      <c r="E20" s="8"/>
      <c r="F20" s="9"/>
    </row>
    <row r="21" ht="18.0" customHeight="1">
      <c r="A21" s="61">
        <v>7.0</v>
      </c>
      <c r="B21" s="62">
        <f>IF(A21=0, -'Inputs &amp; Assumptions'!B36,IF(A21='Inputs &amp; Assumptions'!B11, Valuation!B30,IF(AND('Inputs &amp; Assumptions'!B43="Yes",A21&gt;='Inputs &amp; Assumptions'!B45,A21&lt;'Inputs &amp; Assumptions'!B11),'Inputs &amp; Assumptions'!B36*'Inputs &amp; Assumptions'!B44,0)))</f>
        <v>0</v>
      </c>
      <c r="C21" s="63" t="str">
        <f>IF(A21=0,"Investment outflow",IF(A21='Inputs &amp; Assumptions'!B11,"Exit proceeds",IF(AND('Inputs &amp; Assumptions'!B43="Yes",A21&gt;='Inputs &amp; Assumptions'!B45,A21&lt;'Inputs &amp; Assumptions'!B11),"Dividend", "")))</f>
        <v/>
      </c>
    </row>
    <row r="22" ht="18.0" customHeight="1">
      <c r="A22" s="58">
        <v>8.0</v>
      </c>
      <c r="B22" s="59">
        <f>IF(A22=0, -'Inputs &amp; Assumptions'!B36,IF(A22='Inputs &amp; Assumptions'!B11, Valuation!B30,IF(AND('Inputs &amp; Assumptions'!B43="Yes",A22&gt;='Inputs &amp; Assumptions'!B45,A22&lt;'Inputs &amp; Assumptions'!B11),'Inputs &amp; Assumptions'!B36*'Inputs &amp; Assumptions'!B44,0)))</f>
        <v>0</v>
      </c>
      <c r="C22" s="60" t="str">
        <f>IF(A22=0,"Investment outflow",IF(A22='Inputs &amp; Assumptions'!B11,"Exit proceeds",IF(AND('Inputs &amp; Assumptions'!B43="Yes",A22&gt;='Inputs &amp; Assumptions'!B45,A22&lt;'Inputs &amp; Assumptions'!B11),"Dividend", "")))</f>
        <v/>
      </c>
      <c r="D22" s="8"/>
      <c r="E22" s="8"/>
      <c r="F22" s="9"/>
    </row>
    <row r="23" ht="18.0" customHeight="1">
      <c r="A23" s="61">
        <v>9.0</v>
      </c>
      <c r="B23" s="62">
        <f>IF(A23=0, -'Inputs &amp; Assumptions'!B36,IF(A23='Inputs &amp; Assumptions'!B11, Valuation!B30,IF(AND('Inputs &amp; Assumptions'!B43="Yes",A23&gt;='Inputs &amp; Assumptions'!B45,A23&lt;'Inputs &amp; Assumptions'!B11),'Inputs &amp; Assumptions'!B36*'Inputs &amp; Assumptions'!B44,0)))</f>
        <v>0</v>
      </c>
      <c r="C23" s="63" t="str">
        <f>IF(A23=0,"Investment outflow",IF(A23='Inputs &amp; Assumptions'!B11,"Exit proceeds",IF(AND('Inputs &amp; Assumptions'!B43="Yes",A23&gt;='Inputs &amp; Assumptions'!B45,A23&lt;'Inputs &amp; Assumptions'!B11),"Dividend", "")))</f>
        <v/>
      </c>
    </row>
    <row r="24" ht="18.0" customHeight="1">
      <c r="A24" s="58">
        <v>10.0</v>
      </c>
      <c r="B24" s="59">
        <f>IF(A24=0, -'Inputs &amp; Assumptions'!B36,IF(A24='Inputs &amp; Assumptions'!B11, Valuation!B30,IF(AND('Inputs &amp; Assumptions'!B43="Yes",A24&gt;='Inputs &amp; Assumptions'!B45,A24&lt;'Inputs &amp; Assumptions'!B11),'Inputs &amp; Assumptions'!B36*'Inputs &amp; Assumptions'!B44,0)))</f>
        <v>45000000</v>
      </c>
      <c r="C24" s="60" t="str">
        <f>IF(A24=0,"Investment outflow",IF(A24='Inputs &amp; Assumptions'!B11,"Exit proceeds",IF(AND('Inputs &amp; Assumptions'!B43="Yes",A24&gt;='Inputs &amp; Assumptions'!B45,A24&lt;'Inputs &amp; Assumptions'!B11),"Dividend", "")))</f>
        <v>Exit proceeds</v>
      </c>
      <c r="D24" s="8"/>
      <c r="E24" s="8"/>
      <c r="F24" s="9"/>
    </row>
    <row r="25" ht="18.0" customHeight="1">
      <c r="A25" s="61">
        <v>11.0</v>
      </c>
      <c r="B25" s="62">
        <f>IF(A25=0, -'Inputs &amp; Assumptions'!B36,IF(A25='Inputs &amp; Assumptions'!B11, Valuation!B30,IF(AND('Inputs &amp; Assumptions'!B43="Yes",A25&gt;='Inputs &amp; Assumptions'!B45,A25&lt;'Inputs &amp; Assumptions'!B11),'Inputs &amp; Assumptions'!B36*'Inputs &amp; Assumptions'!B44,0)))</f>
        <v>0</v>
      </c>
      <c r="C25" s="64" t="str">
        <f>IF(A25=0,"Investment outflow",IF(A25='Inputs &amp; Assumptions'!B11,"Exit proceeds",IF(AND('Inputs &amp; Assumptions'!B43="Yes",A25&gt;='Inputs &amp; Assumptions'!B45,A25&lt;'Inputs &amp; Assumptions'!B11),"Dividend", "")))</f>
        <v/>
      </c>
    </row>
    <row r="26" ht="18.0" customHeight="1">
      <c r="A26" s="61">
        <v>12.0</v>
      </c>
      <c r="B26" s="62">
        <f>IF(A26=0, -'Inputs &amp; Assumptions'!B36,IF(A26='Inputs &amp; Assumptions'!B11, Valuation!B30,IF(AND('Inputs &amp; Assumptions'!B43="Yes",A26&gt;='Inputs &amp; Assumptions'!B45,A26&lt;'Inputs &amp; Assumptions'!B11),'Inputs &amp; Assumptions'!B36*'Inputs &amp; Assumptions'!B44,0)))</f>
        <v>0</v>
      </c>
      <c r="C26" s="64" t="str">
        <f>IF(A26=0,"Investment outflow",IF(A26='Inputs &amp; Assumptions'!B11,"Exit proceeds",IF(AND('Inputs &amp; Assumptions'!B43="Yes",A26&gt;='Inputs &amp; Assumptions'!B45,A26&lt;'Inputs &amp; Assumptions'!B11),"Dividend", "")))</f>
        <v/>
      </c>
    </row>
    <row r="27" ht="18.0" customHeight="1">
      <c r="A27" s="61">
        <v>13.0</v>
      </c>
      <c r="B27" s="62">
        <f>IF(A27=0, -'Inputs &amp; Assumptions'!B36,IF(A27='Inputs &amp; Assumptions'!B11, Valuation!B30,IF(AND('Inputs &amp; Assumptions'!B43="Yes",A27&gt;='Inputs &amp; Assumptions'!B45,A27&lt;'Inputs &amp; Assumptions'!B11),'Inputs &amp; Assumptions'!B36*'Inputs &amp; Assumptions'!B44,0)))</f>
        <v>0</v>
      </c>
      <c r="C27" s="64" t="str">
        <f>IF(A27=0,"Investment outflow",IF(A27='Inputs &amp; Assumptions'!B11,"Exit proceeds",IF(AND('Inputs &amp; Assumptions'!B43="Yes",A27&gt;='Inputs &amp; Assumptions'!B45,A27&lt;'Inputs &amp; Assumptions'!B11),"Dividend", "")))</f>
        <v/>
      </c>
    </row>
    <row r="28" ht="18.0" customHeight="1">
      <c r="A28" s="61">
        <v>14.0</v>
      </c>
      <c r="B28" s="62">
        <f>IF(A28=0, -'Inputs &amp; Assumptions'!B36,IF(A28='Inputs &amp; Assumptions'!B11, Valuation!B30,IF(AND('Inputs &amp; Assumptions'!B43="Yes",A28&gt;='Inputs &amp; Assumptions'!B45,A28&lt;'Inputs &amp; Assumptions'!B11),'Inputs &amp; Assumptions'!B36*'Inputs &amp; Assumptions'!B44,0)))</f>
        <v>0</v>
      </c>
      <c r="C28" s="64" t="str">
        <f>IF(A28=0,"Investment outflow",IF(A28='Inputs &amp; Assumptions'!B11,"Exit proceeds",IF(AND('Inputs &amp; Assumptions'!B43="Yes",A28&gt;='Inputs &amp; Assumptions'!B45,A28&lt;'Inputs &amp; Assumptions'!B11),"Dividend", "")))</f>
        <v/>
      </c>
    </row>
    <row r="29" ht="18.0" customHeight="1">
      <c r="A29" s="61">
        <v>15.0</v>
      </c>
      <c r="B29" s="62">
        <f>IF(A29=0, -'Inputs &amp; Assumptions'!B36,IF(A29='Inputs &amp; Assumptions'!B11, Valuation!B30,IF(AND('Inputs &amp; Assumptions'!B43="Yes",A29&gt;='Inputs &amp; Assumptions'!B45,A29&lt;'Inputs &amp; Assumptions'!B11),'Inputs &amp; Assumptions'!B36*'Inputs &amp; Assumptions'!B44,0)))</f>
        <v>0</v>
      </c>
      <c r="C29" s="64" t="str">
        <f>IF(A29=0,"Investment outflow",IF(A29='Inputs &amp; Assumptions'!B11,"Exit proceeds",IF(AND('Inputs &amp; Assumptions'!B43="Yes",A29&gt;='Inputs &amp; Assumptions'!B45,A29&lt;'Inputs &amp; Assumptions'!B11),"Dividend", "")))</f>
        <v/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2"/>
    <mergeCell ref="A3:F3"/>
    <mergeCell ref="A5:F5"/>
    <mergeCell ref="A12:F12"/>
    <mergeCell ref="C13:F13"/>
    <mergeCell ref="C14:F14"/>
    <mergeCell ref="C15:F15"/>
    <mergeCell ref="C23:F23"/>
    <mergeCell ref="C24:F24"/>
    <mergeCell ref="C25:F25"/>
    <mergeCell ref="C26:F26"/>
    <mergeCell ref="C27:F27"/>
    <mergeCell ref="C28:F28"/>
    <mergeCell ref="C29:F29"/>
    <mergeCell ref="C16:F16"/>
    <mergeCell ref="C17:F17"/>
    <mergeCell ref="C18:F18"/>
    <mergeCell ref="C19:F19"/>
    <mergeCell ref="C20:F20"/>
    <mergeCell ref="C21:F21"/>
    <mergeCell ref="C22:F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18.0"/>
    <col customWidth="1" min="3" max="3" width="12.0"/>
    <col customWidth="1" min="4" max="4" width="44.0"/>
    <col customWidth="1" min="5" max="6" width="18.0"/>
    <col customWidth="1" min="7" max="26" width="8.71"/>
  </cols>
  <sheetData>
    <row r="1" ht="27.75" customHeight="1">
      <c r="A1" s="1" t="s">
        <v>107</v>
      </c>
      <c r="B1" s="2"/>
      <c r="C1" s="2"/>
      <c r="D1" s="2"/>
      <c r="E1" s="2"/>
      <c r="F1" s="3"/>
    </row>
    <row r="2" ht="18.0" customHeight="1">
      <c r="A2" s="4"/>
      <c r="B2" s="5"/>
      <c r="C2" s="5"/>
      <c r="D2" s="5"/>
      <c r="E2" s="5"/>
      <c r="F2" s="6"/>
    </row>
    <row r="3" ht="15.75" customHeight="1">
      <c r="A3" s="21" t="s">
        <v>108</v>
      </c>
    </row>
    <row r="5" ht="19.5" customHeight="1">
      <c r="A5" s="10" t="s">
        <v>109</v>
      </c>
      <c r="B5" s="8"/>
      <c r="C5" s="8"/>
      <c r="D5" s="8"/>
      <c r="E5" s="8"/>
      <c r="F5" s="9"/>
    </row>
    <row r="6" ht="19.5" customHeight="1">
      <c r="A6" s="56" t="s">
        <v>110</v>
      </c>
      <c r="B6" s="56" t="s">
        <v>96</v>
      </c>
      <c r="C6" s="56" t="s">
        <v>111</v>
      </c>
      <c r="D6" s="57" t="s">
        <v>106</v>
      </c>
      <c r="E6" s="8"/>
      <c r="F6" s="9"/>
    </row>
    <row r="7" ht="19.5" customHeight="1">
      <c r="A7" s="65" t="s">
        <v>21</v>
      </c>
      <c r="B7" s="66" t="str">
        <f>'Inputs &amp; Assumptions'!B5</f>
        <v>Base</v>
      </c>
      <c r="C7" s="67"/>
      <c r="D7" s="68" t="s">
        <v>112</v>
      </c>
      <c r="E7" s="8"/>
      <c r="F7" s="9"/>
    </row>
    <row r="8" ht="19.5" customHeight="1">
      <c r="A8" s="69" t="s">
        <v>113</v>
      </c>
      <c r="B8" s="70">
        <f>'Inputs &amp; Assumptions'!B12</f>
        <v>0.25</v>
      </c>
      <c r="C8" s="67" t="s">
        <v>114</v>
      </c>
      <c r="D8" s="27" t="s">
        <v>115</v>
      </c>
    </row>
    <row r="9" ht="19.5" customHeight="1">
      <c r="A9" s="65" t="s">
        <v>98</v>
      </c>
      <c r="B9" s="71">
        <f>Returns!E7</f>
        <v>0.2457309396</v>
      </c>
      <c r="C9" s="72" t="s">
        <v>114</v>
      </c>
      <c r="D9" s="68" t="s">
        <v>116</v>
      </c>
      <c r="E9" s="8"/>
      <c r="F9" s="9"/>
    </row>
    <row r="10" ht="19.5" customHeight="1">
      <c r="A10" s="69" t="s">
        <v>117</v>
      </c>
      <c r="B10" s="73">
        <f>Returns!E9</f>
        <v>9</v>
      </c>
      <c r="C10" s="67" t="s">
        <v>35</v>
      </c>
      <c r="D10" s="27" t="s">
        <v>118</v>
      </c>
    </row>
    <row r="11" ht="19.5" customHeight="1">
      <c r="A11" s="65" t="s">
        <v>119</v>
      </c>
      <c r="B11" s="74">
        <f>Returns!E8-'Inputs &amp; Assumptions'!B36</f>
        <v>40000000</v>
      </c>
      <c r="C11" s="72" t="s">
        <v>101</v>
      </c>
      <c r="D11" s="68" t="s">
        <v>120</v>
      </c>
      <c r="E11" s="8"/>
      <c r="F11" s="9"/>
    </row>
    <row r="12" ht="19.5" customHeight="1">
      <c r="A12" s="69" t="s">
        <v>121</v>
      </c>
      <c r="B12" s="75">
        <f>'Inputs &amp; Assumptions'!B11</f>
        <v>10</v>
      </c>
      <c r="C12" s="67" t="s">
        <v>30</v>
      </c>
      <c r="D12" s="27" t="s">
        <v>122</v>
      </c>
    </row>
    <row r="13" ht="19.5" customHeight="1">
      <c r="A13" s="65" t="s">
        <v>76</v>
      </c>
      <c r="B13" s="74">
        <f>Valuation!B14</f>
        <v>500000000</v>
      </c>
      <c r="C13" s="72" t="s">
        <v>101</v>
      </c>
      <c r="D13" s="68" t="s">
        <v>123</v>
      </c>
      <c r="E13" s="8"/>
      <c r="F13" s="9"/>
    </row>
    <row r="14" ht="19.5" customHeight="1">
      <c r="A14" s="69" t="s">
        <v>77</v>
      </c>
      <c r="B14" s="74">
        <f>Valuation!B15</f>
        <v>500000000</v>
      </c>
      <c r="C14" s="67" t="s">
        <v>101</v>
      </c>
      <c r="D14" s="27" t="s">
        <v>124</v>
      </c>
    </row>
    <row r="15" ht="19.5" customHeight="1">
      <c r="A15" s="65" t="s">
        <v>125</v>
      </c>
      <c r="B15" s="74">
        <f>Valuation!B30</f>
        <v>45000000</v>
      </c>
      <c r="C15" s="72" t="s">
        <v>101</v>
      </c>
      <c r="D15" s="68" t="s">
        <v>126</v>
      </c>
      <c r="E15" s="8"/>
      <c r="F15" s="9"/>
    </row>
    <row r="16" ht="19.5" customHeight="1">
      <c r="A16" s="69" t="s">
        <v>127</v>
      </c>
      <c r="B16" s="71">
        <f>'Inputs &amp; Assumptions'!B37</f>
        <v>0.15</v>
      </c>
      <c r="C16" s="67" t="s">
        <v>114</v>
      </c>
      <c r="D16" s="27" t="s">
        <v>128</v>
      </c>
    </row>
    <row r="17" ht="19.5" customHeight="1">
      <c r="A17" s="65" t="s">
        <v>129</v>
      </c>
      <c r="B17" s="70">
        <f>'Inputs &amp; Assumptions'!B39</f>
        <v>0.09</v>
      </c>
      <c r="C17" s="72" t="s">
        <v>114</v>
      </c>
      <c r="D17" s="68" t="s">
        <v>130</v>
      </c>
      <c r="E17" s="8"/>
      <c r="F17" s="9"/>
    </row>
    <row r="18" ht="19.5" customHeight="1">
      <c r="A18" s="69" t="s">
        <v>131</v>
      </c>
      <c r="B18" s="70">
        <f>Valuation!B21</f>
        <v>0.1552204291</v>
      </c>
      <c r="C18" s="67" t="s">
        <v>114</v>
      </c>
      <c r="D18" s="27" t="s">
        <v>132</v>
      </c>
    </row>
    <row r="19" ht="19.5" customHeight="1">
      <c r="A19" s="65" t="s">
        <v>133</v>
      </c>
      <c r="B19" s="74">
        <f>Valuation!B22</f>
        <v>32212254.72</v>
      </c>
      <c r="C19" s="72" t="s">
        <v>101</v>
      </c>
      <c r="D19" s="68" t="s">
        <v>134</v>
      </c>
      <c r="E19" s="8"/>
      <c r="F19" s="9"/>
    </row>
    <row r="20" ht="19.5" customHeight="1"/>
    <row r="21" ht="15.75" customHeight="1"/>
    <row r="22" ht="19.5" customHeight="1">
      <c r="A22" s="10" t="s">
        <v>135</v>
      </c>
      <c r="B22" s="8"/>
      <c r="C22" s="8"/>
      <c r="D22" s="8"/>
      <c r="E22" s="8"/>
      <c r="F22" s="9"/>
    </row>
    <row r="23" ht="18.0" customHeight="1">
      <c r="A23" s="46" t="s">
        <v>136</v>
      </c>
      <c r="B23" s="66" t="str">
        <f>'Inputs &amp; Assumptions'!B13</f>
        <v>Revenue</v>
      </c>
      <c r="C23" s="53"/>
      <c r="D23" s="21" t="s">
        <v>137</v>
      </c>
    </row>
    <row r="24" ht="18.0" customHeight="1">
      <c r="A24" s="46" t="s">
        <v>138</v>
      </c>
      <c r="B24" s="74">
        <f>Valuation!B6</f>
        <v>50000000</v>
      </c>
      <c r="C24" s="53" t="s">
        <v>101</v>
      </c>
      <c r="D24" s="21"/>
    </row>
    <row r="25" ht="18.0" customHeight="1">
      <c r="A25" s="46" t="s">
        <v>139</v>
      </c>
      <c r="B25" s="74">
        <f>Valuation!B7</f>
        <v>10000000</v>
      </c>
      <c r="C25" s="53" t="s">
        <v>101</v>
      </c>
      <c r="D25" s="21"/>
    </row>
    <row r="26" ht="18.0" customHeight="1">
      <c r="A26" s="46" t="s">
        <v>140</v>
      </c>
      <c r="B26" s="76">
        <f>IF('Inputs &amp; Assumptions'!B13="Revenue",Valuation!B8,Valuation!B9)</f>
        <v>10</v>
      </c>
      <c r="C26" s="53" t="s">
        <v>35</v>
      </c>
      <c r="D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2"/>
    <mergeCell ref="A3:F3"/>
    <mergeCell ref="A5:F5"/>
    <mergeCell ref="D6:F6"/>
    <mergeCell ref="D7:F7"/>
    <mergeCell ref="D8:F8"/>
    <mergeCell ref="D9:F9"/>
    <mergeCell ref="D17:F17"/>
    <mergeCell ref="D18:F18"/>
    <mergeCell ref="D19:F19"/>
    <mergeCell ref="A22:F22"/>
    <mergeCell ref="D23:F23"/>
    <mergeCell ref="D24:F24"/>
    <mergeCell ref="D25:F25"/>
    <mergeCell ref="D26:F26"/>
    <mergeCell ref="D10:F10"/>
    <mergeCell ref="D11:F11"/>
    <mergeCell ref="D12:F12"/>
    <mergeCell ref="D13:F13"/>
    <mergeCell ref="D14:F14"/>
    <mergeCell ref="D15:F15"/>
    <mergeCell ref="D16:F16"/>
  </mergeCells>
  <conditionalFormatting sqref="B9">
    <cfRule type="expression" dxfId="0" priority="1">
      <formula>B9&gt;=B8</formula>
    </cfRule>
  </conditionalFormatting>
  <conditionalFormatting sqref="B9">
    <cfRule type="expression" dxfId="1" priority="2">
      <formula>B9&lt;B8</formula>
    </cfRule>
  </conditionalFormatting>
  <conditionalFormatting sqref="B9">
    <cfRule type="expression" dxfId="2" priority="3">
      <formula>$B$9&gt;=$B$8</formula>
    </cfRule>
  </conditionalFormatting>
  <conditionalFormatting sqref="B9">
    <cfRule type="expression" dxfId="3" priority="4">
      <formula>$B$9&lt;$B$8</formula>
    </cfRule>
  </conditionalFormatting>
  <conditionalFormatting sqref="B9">
    <cfRule type="expression" dxfId="4" priority="5">
      <formula>$B$9&gt;=$B$8</formula>
    </cfRule>
  </conditionalFormatting>
  <conditionalFormatting sqref="B9">
    <cfRule type="expression" dxfId="5" priority="6">
      <formula>$B$9&lt;$B$8</formula>
    </cfRule>
  </conditionalFormatting>
  <conditionalFormatting sqref="B18">
    <cfRule type="expression" dxfId="0" priority="7">
      <formula>B18&lt;=B16</formula>
    </cfRule>
  </conditionalFormatting>
  <conditionalFormatting sqref="B18">
    <cfRule type="expression" dxfId="6" priority="8">
      <formula>B18&gt;B16</formula>
    </cfRule>
  </conditionalFormatting>
  <conditionalFormatting sqref="C2">
    <cfRule type="cellIs" dxfId="7" priority="9" operator="greaterThanOrEqual">
      <formula>0.2</formula>
    </cfRule>
  </conditionalFormatting>
  <conditionalFormatting sqref="C2">
    <cfRule type="cellIs" dxfId="8" priority="10" operator="lessThan">
      <formula>0.2</formula>
    </cfRule>
  </conditionalFormatting>
  <conditionalFormatting sqref="B10">
    <cfRule type="cellIs" dxfId="2" priority="11" operator="greaterThanOrEqual">
      <formula>3</formula>
    </cfRule>
  </conditionalFormatting>
  <conditionalFormatting sqref="B10">
    <cfRule type="cellIs" dxfId="3" priority="12" operator="lessThan">
      <formula>2</formula>
    </cfRule>
  </conditionalFormatting>
  <conditionalFormatting sqref="B10">
    <cfRule type="cellIs" dxfId="4" priority="13" operator="greaterThanOrEqual">
      <formula>3</formula>
    </cfRule>
  </conditionalFormatting>
  <conditionalFormatting sqref="B10">
    <cfRule type="cellIs" dxfId="5" priority="14" operator="lessThan">
      <formula>2</formula>
    </cfRule>
  </conditionalFormatting>
  <conditionalFormatting sqref="B12">
    <cfRule type="cellIs" dxfId="2" priority="15" operator="lessThanOrEqual">
      <formula>5</formula>
    </cfRule>
  </conditionalFormatting>
  <conditionalFormatting sqref="B12">
    <cfRule type="cellIs" dxfId="3" priority="16" operator="greaterThan">
      <formula>10</formula>
    </cfRule>
  </conditionalFormatting>
  <conditionalFormatting sqref="B12">
    <cfRule type="cellIs" dxfId="4" priority="17" operator="lessThanOrEqual">
      <formula>5</formula>
    </cfRule>
  </conditionalFormatting>
  <conditionalFormatting sqref="B12">
    <cfRule type="cellIs" dxfId="5" priority="18" operator="greaterThan">
      <formula>10</formula>
    </cfRule>
  </conditionalFormatting>
  <conditionalFormatting sqref="B16">
    <cfRule type="expression" dxfId="2" priority="19">
      <formula>$B$16&gt;=$B$18</formula>
    </cfRule>
  </conditionalFormatting>
  <conditionalFormatting sqref="B16">
    <cfRule type="expression" dxfId="3" priority="20">
      <formula>$B$16&lt;$B$18</formula>
    </cfRule>
  </conditionalFormatting>
  <conditionalFormatting sqref="B16">
    <cfRule type="expression" dxfId="4" priority="21">
      <formula>$B$16&gt;=$B$18</formula>
    </cfRule>
  </conditionalFormatting>
  <conditionalFormatting sqref="B16">
    <cfRule type="expression" dxfId="5" priority="22">
      <formula>$B$16&lt;$B$18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2026-02-02T20:18:34Z</dcterms:created>
  <dc:creator>openpyxl</dc:creator>
</cp:coreProperties>
</file>