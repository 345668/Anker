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paulwatson/Library/Mobile Documents/com~apple~CloudDocs/The Founder Corner/"/>
    </mc:Choice>
  </mc:AlternateContent>
  <xr:revisionPtr revIDLastSave="0" documentId="8_{1A1AEED6-9790-C845-91C6-467615CCB612}" xr6:coauthVersionLast="47" xr6:coauthVersionMax="47" xr10:uidLastSave="{00000000-0000-0000-0000-000000000000}"/>
  <bookViews>
    <workbookView xWindow="0" yWindow="760" windowWidth="29400" windowHeight="17320" xr2:uid="{00000000-000D-0000-FFFF-FFFF00000000}"/>
  </bookViews>
  <sheets>
    <sheet name="Inputs" sheetId="1" r:id="rId1"/>
    <sheet name="Unit Economics" sheetId="2" r:id="rId2"/>
    <sheet name="Scenario Explorer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CaCu3gXz1EaTlURiG8IMVq4Ftuis7PhrXqO0WgIEwr4="/>
    </ext>
  </extLst>
</workbook>
</file>

<file path=xl/calcChain.xml><?xml version="1.0" encoding="utf-8"?>
<calcChain xmlns="http://schemas.openxmlformats.org/spreadsheetml/2006/main">
  <c r="F16" i="3" l="1" a="1"/>
  <c r="F16" i="3" s="1"/>
  <c r="E16" i="3" a="1"/>
  <c r="E16" i="3" s="1"/>
  <c r="D16" i="3" a="1"/>
  <c r="D16" i="3" s="1"/>
  <c r="C16" i="3" a="1"/>
  <c r="C16" i="3" s="1"/>
  <c r="B16" i="3" a="1"/>
  <c r="B16" i="3" s="1"/>
  <c r="A16" i="3" a="1"/>
  <c r="A16" i="3" s="1"/>
  <c r="J19" i="2"/>
  <c r="E4" i="4" s="1"/>
  <c r="A18" i="2"/>
  <c r="J17" i="2"/>
  <c r="A17" i="2"/>
  <c r="A16" i="2"/>
  <c r="J16" i="2" s="1"/>
  <c r="J15" i="2"/>
  <c r="A15" i="2"/>
  <c r="A14" i="2"/>
  <c r="J13" i="2"/>
  <c r="A13" i="2"/>
  <c r="C13" i="2" s="1"/>
  <c r="J12" i="2"/>
  <c r="A12" i="2"/>
  <c r="J11" i="2"/>
  <c r="A11" i="2"/>
  <c r="A10" i="2"/>
  <c r="J9" i="2"/>
  <c r="A9" i="2"/>
  <c r="A8" i="2"/>
  <c r="J7" i="2"/>
  <c r="A7" i="2"/>
  <c r="B4" i="2"/>
  <c r="K3" i="2"/>
  <c r="H3" i="2"/>
  <c r="E3" i="2"/>
  <c r="B3" i="2"/>
  <c r="H23" i="1"/>
  <c r="H22" i="1"/>
  <c r="H21" i="1"/>
  <c r="H20" i="1"/>
  <c r="H19" i="1"/>
  <c r="H18" i="1"/>
  <c r="H17" i="1"/>
  <c r="H16" i="1"/>
  <c r="H15" i="1"/>
  <c r="H14" i="1"/>
  <c r="H13" i="1"/>
  <c r="H12" i="1"/>
  <c r="B8" i="1"/>
  <c r="B14" i="2" l="1"/>
  <c r="B13" i="2"/>
  <c r="B7" i="2"/>
  <c r="B15" i="2"/>
  <c r="B9" i="2"/>
  <c r="B17" i="2"/>
  <c r="D12" i="2"/>
  <c r="G12" i="2" s="1"/>
  <c r="H13" i="2"/>
  <c r="D13" i="2"/>
  <c r="E13" i="2"/>
  <c r="C9" i="2"/>
  <c r="C18" i="2"/>
  <c r="C14" i="2"/>
  <c r="C17" i="2"/>
  <c r="C15" i="2"/>
  <c r="J8" i="2"/>
  <c r="F12" i="2"/>
  <c r="D14" i="2"/>
  <c r="G14" i="2" s="1"/>
  <c r="B16" i="2"/>
  <c r="J18" i="2"/>
  <c r="C16" i="2"/>
  <c r="C7" i="2"/>
  <c r="B8" i="2"/>
  <c r="D8" i="2" s="1"/>
  <c r="J10" i="2"/>
  <c r="D16" i="2"/>
  <c r="F16" i="2" s="1"/>
  <c r="B18" i="2"/>
  <c r="B23" i="3"/>
  <c r="E16" i="2"/>
  <c r="C11" i="2"/>
  <c r="H11" i="2" s="1"/>
  <c r="B12" i="2"/>
  <c r="J14" i="2"/>
  <c r="H16" i="2"/>
  <c r="I16" i="2" s="1"/>
  <c r="C8" i="2"/>
  <c r="H8" i="2" s="1"/>
  <c r="B10" i="2"/>
  <c r="E8" i="2"/>
  <c r="C10" i="2"/>
  <c r="E10" i="2" s="1"/>
  <c r="B11" i="2"/>
  <c r="D11" i="2" s="1"/>
  <c r="G16" i="2"/>
  <c r="C12" i="2"/>
  <c r="E12" i="2" s="1"/>
  <c r="G11" i="2" l="1"/>
  <c r="F8" i="2"/>
  <c r="G8" i="2" s="1"/>
  <c r="D9" i="2"/>
  <c r="H9" i="2"/>
  <c r="E9" i="2"/>
  <c r="E7" i="2"/>
  <c r="D7" i="2"/>
  <c r="H7" i="2" s="1"/>
  <c r="F13" i="2"/>
  <c r="E18" i="2"/>
  <c r="D18" i="2"/>
  <c r="H10" i="2"/>
  <c r="F14" i="2"/>
  <c r="G13" i="2"/>
  <c r="H15" i="2"/>
  <c r="E15" i="2"/>
  <c r="D15" i="2"/>
  <c r="D10" i="2"/>
  <c r="H12" i="2"/>
  <c r="I12" i="2" s="1"/>
  <c r="H17" i="2"/>
  <c r="D17" i="2"/>
  <c r="E17" i="2"/>
  <c r="E11" i="2"/>
  <c r="F11" i="2" s="1"/>
  <c r="I13" i="2"/>
  <c r="H18" i="2"/>
  <c r="H14" i="2"/>
  <c r="I14" i="2" s="1"/>
  <c r="E14" i="2"/>
  <c r="I8" i="2" l="1"/>
  <c r="F17" i="2"/>
  <c r="G17" i="2"/>
  <c r="I17" i="2" s="1"/>
  <c r="G18" i="2"/>
  <c r="F18" i="2"/>
  <c r="F9" i="2"/>
  <c r="G9" i="2"/>
  <c r="I9" i="2" s="1"/>
  <c r="F10" i="2"/>
  <c r="G10" i="2" s="1"/>
  <c r="G15" i="2"/>
  <c r="I15" i="2" s="1"/>
  <c r="F15" i="2"/>
  <c r="F7" i="2"/>
  <c r="F19" i="2" s="1"/>
  <c r="D19" i="2"/>
  <c r="E19" i="2"/>
  <c r="I11" i="2"/>
  <c r="I10" i="2" l="1"/>
  <c r="G19" i="2"/>
  <c r="A4" i="4"/>
  <c r="B21" i="3"/>
  <c r="H19" i="2"/>
  <c r="K18" i="2"/>
  <c r="K9" i="2"/>
  <c r="K15" i="2"/>
  <c r="K17" i="2"/>
  <c r="I18" i="2"/>
  <c r="G7" i="2"/>
  <c r="C4" i="4" l="1"/>
  <c r="B22" i="3"/>
  <c r="K7" i="2"/>
  <c r="K12" i="2"/>
  <c r="K14" i="2"/>
  <c r="K16" i="2"/>
  <c r="I7" i="2"/>
  <c r="K13" i="2"/>
  <c r="K8" i="2"/>
  <c r="K11" i="2"/>
  <c r="K10" i="2"/>
  <c r="B24" i="3" l="1" a="1"/>
  <c r="B24" i="3" s="1"/>
  <c r="G4" i="4" s="1"/>
</calcChain>
</file>

<file path=xl/sharedStrings.xml><?xml version="1.0" encoding="utf-8"?>
<sst xmlns="http://schemas.openxmlformats.org/spreadsheetml/2006/main" count="94" uniqueCount="82">
  <si>
    <t>Inputs — Pricing Tiers &amp; Cost Assumptions</t>
  </si>
  <si>
    <t>Global Inputs</t>
  </si>
  <si>
    <t>Billing Period</t>
  </si>
  <si>
    <t>Monthly</t>
  </si>
  <si>
    <t>Choose whether prices entered below are Monthly or Annual subscription prices.</t>
  </si>
  <si>
    <t>CAC per Customer (optional)</t>
  </si>
  <si>
    <t>If provided, CAC Payback will be calculated using gross profit per month.</t>
  </si>
  <si>
    <t>Default Variable Cost per Usage Unit</t>
  </si>
  <si>
    <t>Used when a tier doesn't specify a variable cost per usage unit.</t>
  </si>
  <si>
    <t>Gross Margin Target (reference)</t>
  </si>
  <si>
    <t>Reference only (helps judge how close tiers are to target).</t>
  </si>
  <si>
    <t>Scenario (selected in Scenario Explorer)</t>
  </si>
  <si>
    <t>Scenario drives multipliers and adjusts price/customers/usage/costs.</t>
  </si>
  <si>
    <t>Pricing Tiers (editable inputs in blue)</t>
  </si>
  <si>
    <t>Tier Name</t>
  </si>
  <si>
    <t>Base Price (per billing period)</t>
  </si>
  <si>
    <t># Customers</t>
  </si>
  <si>
    <t>Usage / Customer (per month)</t>
  </si>
  <si>
    <t>Fixed Cost / Customer (per month)</t>
  </si>
  <si>
    <t>Var Cost / Usage Unit</t>
  </si>
  <si>
    <t>Usage Price / Unit (optional)</t>
  </si>
  <si>
    <t>Cost to Serve / Customer (per month)</t>
  </si>
  <si>
    <t>Notes</t>
  </si>
  <si>
    <t>Starter</t>
  </si>
  <si>
    <t>Low-touch self-serve</t>
  </si>
  <si>
    <t>Pro</t>
  </si>
  <si>
    <t>Team plans, moderate usage</t>
  </si>
  <si>
    <t>Business</t>
  </si>
  <si>
    <t>Higher usage + support</t>
  </si>
  <si>
    <t>Enterprise</t>
  </si>
  <si>
    <t>High support, negotiated</t>
  </si>
  <si>
    <t>Tip: Add more tiers by filling in the next blank row within this table (rows 12–23). Cost-to-serve (col H) auto-fills; copy it down if needed.</t>
  </si>
  <si>
    <t>Output — Revenue &amp; Unit Economics by Tier (auto-calculated)</t>
  </si>
  <si>
    <t>Billing Period:</t>
  </si>
  <si>
    <t>CAC:</t>
  </si>
  <si>
    <t>Gross Margin Target:</t>
  </si>
  <si>
    <t>Period Months</t>
  </si>
  <si>
    <t>Scenario:</t>
  </si>
  <si>
    <t>Tier</t>
  </si>
  <si>
    <t>Adj Base Price</t>
  </si>
  <si>
    <t>Adj Customers</t>
  </si>
  <si>
    <t>Total Revenue</t>
  </si>
  <si>
    <t>Total Cost</t>
  </si>
  <si>
    <t>Gross Profit</t>
  </si>
  <si>
    <t>Gross Margin %</t>
  </si>
  <si>
    <t>ARPU</t>
  </si>
  <si>
    <t>Gross Profit / Cust / Month</t>
  </si>
  <si>
    <t>CAC Payback (months)</t>
  </si>
  <si>
    <t>Flag</t>
  </si>
  <si>
    <t>TOTAL</t>
  </si>
  <si>
    <t>Scenario Explorer — Compare Pricing Strategies</t>
  </si>
  <si>
    <t>Scenario Controls</t>
  </si>
  <si>
    <t>Scenario</t>
  </si>
  <si>
    <t>Cheap / Volume</t>
  </si>
  <si>
    <t>Pick a strategy preset, or switch Mode to Custom to edit multipliers.</t>
  </si>
  <si>
    <t>Mode</t>
  </si>
  <si>
    <t>Preset</t>
  </si>
  <si>
    <t>Preset Multipliers</t>
  </si>
  <si>
    <t>Price Mult</t>
  </si>
  <si>
    <t>Customer Mult</t>
  </si>
  <si>
    <t>Usage Mult</t>
  </si>
  <si>
    <t>Fixed Cost Mult</t>
  </si>
  <si>
    <t>Var Cost Mult</t>
  </si>
  <si>
    <t>Usage Price Mult</t>
  </si>
  <si>
    <t>Base</t>
  </si>
  <si>
    <t>No adjustments</t>
  </si>
  <si>
    <t>Lower price, more customers</t>
  </si>
  <si>
    <t>Premium / Fewer Customers</t>
  </si>
  <si>
    <t>Higher price, fewer customers</t>
  </si>
  <si>
    <t>Usage-Based Hybrid</t>
  </si>
  <si>
    <t>Usage-driven growth</t>
  </si>
  <si>
    <t>Active Multipliers (used by Unit Economics + Dashboard)</t>
  </si>
  <si>
    <t>Manual (Custom Mode)</t>
  </si>
  <si>
    <t>(Edit row 18 multipliers in Custom Mode)</t>
  </si>
  <si>
    <t>Scenario Summary (active)</t>
  </si>
  <si>
    <t>Total Revenue (per billing period)</t>
  </si>
  <si>
    <t>Overall Gross Margin</t>
  </si>
  <si>
    <t>Avg CAC Payback (months)</t>
  </si>
  <si>
    <t>Top Performing Tier</t>
  </si>
  <si>
    <t>Dashboard — Pricing Strategy Snapshot</t>
  </si>
  <si>
    <t>Top Tier (current scenario)</t>
  </si>
  <si>
    <t>Charts update automatically from Inputs + Scenario Explorer.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</si>
</sst>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"/>
    <numFmt numFmtId="165" formatCode="&quot;$&quot;#,##0.0000"/>
    <numFmt numFmtId="166" formatCode="0.0%"/>
    <numFmt numFmtId="167" formatCode="&quot;$&quot;#,##0.00"/>
    <numFmt numFmtId="168" formatCode="0.0"/>
    <numFmt numFmtId="169" formatCode="0.00\x"/>
  </numFmts>
  <fonts count="15" x14ac:knownFonts="1">
    <font>
      <sz val="11"/>
      <color theme="1"/>
      <name val="Calibri"/>
      <scheme val="minor"/>
    </font>
    <font>
      <b/>
      <sz val="16"/>
      <color rgb="FFFFFFFF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9"/>
      <color rgb="FF66666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i/>
      <sz val="9"/>
      <color rgb="FF666666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666666"/>
      <name val="Calibri"/>
      <family val="2"/>
      <scheme val="minor"/>
    </font>
    <font>
      <b/>
      <sz val="11"/>
      <color rgb="FF666666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0B2F4E"/>
        <bgColor rgb="FF0B2F4E"/>
      </patternFill>
    </fill>
    <fill>
      <patternFill patternType="solid">
        <fgColor rgb="FFD9E8FF"/>
        <bgColor rgb="FFD9E8F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medium">
        <color rgb="FF1F4E79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0" borderId="0" xfId="0" applyFont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164" fontId="5" fillId="4" borderId="4" xfId="0" applyNumberFormat="1" applyFont="1" applyFill="1" applyBorder="1" applyAlignment="1">
      <alignment horizontal="left" vertical="center"/>
    </xf>
    <xf numFmtId="165" fontId="5" fillId="4" borderId="4" xfId="0" applyNumberFormat="1" applyFont="1" applyFill="1" applyBorder="1" applyAlignment="1">
      <alignment horizontal="left" vertical="center"/>
    </xf>
    <xf numFmtId="166" fontId="5" fillId="4" borderId="4" xfId="0" applyNumberFormat="1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 wrapText="1"/>
    </xf>
    <xf numFmtId="167" fontId="5" fillId="4" borderId="4" xfId="0" applyNumberFormat="1" applyFont="1" applyFill="1" applyBorder="1" applyAlignment="1">
      <alignment horizontal="right" vertical="center"/>
    </xf>
    <xf numFmtId="3" fontId="5" fillId="4" borderId="4" xfId="0" applyNumberFormat="1" applyFont="1" applyFill="1" applyBorder="1" applyAlignment="1">
      <alignment horizontal="right" vertical="center"/>
    </xf>
    <xf numFmtId="165" fontId="5" fillId="4" borderId="4" xfId="0" applyNumberFormat="1" applyFont="1" applyFill="1" applyBorder="1" applyAlignment="1">
      <alignment horizontal="right" vertical="center"/>
    </xf>
    <xf numFmtId="167" fontId="9" fillId="5" borderId="4" xfId="0" applyNumberFormat="1" applyFont="1" applyFill="1" applyBorder="1" applyAlignment="1">
      <alignment horizontal="right" vertical="center"/>
    </xf>
    <xf numFmtId="0" fontId="5" fillId="4" borderId="4" xfId="0" applyFont="1" applyFill="1" applyBorder="1" applyAlignment="1">
      <alignment vertical="top" wrapText="1"/>
    </xf>
    <xf numFmtId="0" fontId="11" fillId="6" borderId="4" xfId="0" applyFont="1" applyFill="1" applyBorder="1" applyAlignment="1">
      <alignment horizontal="left" vertical="center"/>
    </xf>
    <xf numFmtId="164" fontId="11" fillId="6" borderId="4" xfId="0" applyNumberFormat="1" applyFont="1" applyFill="1" applyBorder="1" applyAlignment="1">
      <alignment horizontal="left" vertical="center"/>
    </xf>
    <xf numFmtId="0" fontId="4" fillId="0" borderId="0" xfId="0" applyFont="1"/>
    <xf numFmtId="166" fontId="11" fillId="6" borderId="4" xfId="0" applyNumberFormat="1" applyFont="1" applyFill="1" applyBorder="1"/>
    <xf numFmtId="1" fontId="11" fillId="6" borderId="4" xfId="0" applyNumberFormat="1" applyFont="1" applyFill="1" applyBorder="1" applyAlignment="1">
      <alignment horizontal="right" vertical="center"/>
    </xf>
    <xf numFmtId="0" fontId="9" fillId="0" borderId="4" xfId="0" applyFont="1" applyBorder="1" applyAlignment="1">
      <alignment horizontal="left" vertical="center"/>
    </xf>
    <xf numFmtId="167" fontId="9" fillId="0" borderId="4" xfId="0" applyNumberFormat="1" applyFont="1" applyBorder="1" applyAlignment="1">
      <alignment horizontal="right" vertical="center"/>
    </xf>
    <xf numFmtId="3" fontId="9" fillId="0" borderId="4" xfId="0" applyNumberFormat="1" applyFont="1" applyBorder="1" applyAlignment="1">
      <alignment horizontal="right" vertical="center"/>
    </xf>
    <xf numFmtId="164" fontId="9" fillId="0" borderId="4" xfId="0" applyNumberFormat="1" applyFont="1" applyBorder="1" applyAlignment="1">
      <alignment horizontal="right" vertical="center"/>
    </xf>
    <xf numFmtId="166" fontId="9" fillId="0" borderId="4" xfId="0" applyNumberFormat="1" applyFont="1" applyBorder="1" applyAlignment="1">
      <alignment horizontal="right" vertical="center"/>
    </xf>
    <xf numFmtId="168" fontId="9" fillId="0" borderId="4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horizontal="center" vertical="center"/>
    </xf>
    <xf numFmtId="0" fontId="4" fillId="6" borderId="5" xfId="0" applyFont="1" applyFill="1" applyBorder="1" applyAlignment="1">
      <alignment horizontal="left" vertical="center"/>
    </xf>
    <xf numFmtId="0" fontId="11" fillId="6" borderId="5" xfId="0" applyFont="1" applyFill="1" applyBorder="1" applyAlignment="1">
      <alignment horizontal="right" vertical="center"/>
    </xf>
    <xf numFmtId="164" fontId="11" fillId="6" borderId="5" xfId="0" applyNumberFormat="1" applyFont="1" applyFill="1" applyBorder="1" applyAlignment="1">
      <alignment horizontal="right" vertical="center"/>
    </xf>
    <xf numFmtId="166" fontId="11" fillId="6" borderId="5" xfId="0" applyNumberFormat="1" applyFont="1" applyFill="1" applyBorder="1" applyAlignment="1">
      <alignment horizontal="right" vertical="center"/>
    </xf>
    <xf numFmtId="167" fontId="11" fillId="6" borderId="5" xfId="0" applyNumberFormat="1" applyFont="1" applyFill="1" applyBorder="1" applyAlignment="1">
      <alignment horizontal="right" vertical="center"/>
    </xf>
    <xf numFmtId="168" fontId="11" fillId="6" borderId="5" xfId="0" applyNumberFormat="1" applyFont="1" applyFill="1" applyBorder="1" applyAlignment="1">
      <alignment horizontal="right" vertical="center"/>
    </xf>
    <xf numFmtId="0" fontId="4" fillId="0" borderId="4" xfId="0" applyFont="1" applyBorder="1" applyAlignment="1">
      <alignment horizontal="left" vertical="center"/>
    </xf>
    <xf numFmtId="169" fontId="11" fillId="0" borderId="4" xfId="0" applyNumberFormat="1" applyFont="1" applyBorder="1" applyAlignment="1">
      <alignment horizontal="right" vertical="center"/>
    </xf>
    <xf numFmtId="0" fontId="11" fillId="0" borderId="4" xfId="0" applyFont="1" applyBorder="1" applyAlignment="1">
      <alignment vertical="top" wrapText="1"/>
    </xf>
    <xf numFmtId="169" fontId="9" fillId="5" borderId="4" xfId="0" applyNumberFormat="1" applyFont="1" applyFill="1" applyBorder="1" applyAlignment="1">
      <alignment horizontal="right" vertical="center"/>
    </xf>
    <xf numFmtId="169" fontId="5" fillId="4" borderId="4" xfId="0" applyNumberFormat="1" applyFont="1" applyFill="1" applyBorder="1" applyAlignment="1">
      <alignment horizontal="right" vertical="center"/>
    </xf>
    <xf numFmtId="164" fontId="11" fillId="6" borderId="4" xfId="0" applyNumberFormat="1" applyFont="1" applyFill="1" applyBorder="1" applyAlignment="1">
      <alignment horizontal="right" vertical="center"/>
    </xf>
    <xf numFmtId="166" fontId="11" fillId="6" borderId="4" xfId="0" applyNumberFormat="1" applyFont="1" applyFill="1" applyBorder="1" applyAlignment="1">
      <alignment horizontal="right" vertical="center"/>
    </xf>
    <xf numFmtId="168" fontId="11" fillId="6" borderId="4" xfId="0" applyNumberFormat="1" applyFont="1" applyFill="1" applyBorder="1" applyAlignment="1">
      <alignment horizontal="right" vertical="center"/>
    </xf>
    <xf numFmtId="49" fontId="11" fillId="6" borderId="4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0" fillId="0" borderId="0" xfId="0"/>
    <xf numFmtId="0" fontId="10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left" vertical="center"/>
    </xf>
    <xf numFmtId="0" fontId="6" fillId="0" borderId="0" xfId="0" applyFont="1" applyAlignment="1">
      <alignment vertical="top" wrapText="1"/>
    </xf>
    <xf numFmtId="0" fontId="12" fillId="0" borderId="0" xfId="0" applyFont="1" applyAlignment="1">
      <alignment horizontal="left" vertical="center"/>
    </xf>
    <xf numFmtId="168" fontId="14" fillId="6" borderId="6" xfId="0" applyNumberFormat="1" applyFont="1" applyFill="1" applyBorder="1" applyAlignment="1">
      <alignment horizontal="left" vertical="center"/>
    </xf>
    <xf numFmtId="0" fontId="2" fillId="0" borderId="7" xfId="0" applyFont="1" applyBorder="1"/>
    <xf numFmtId="49" fontId="14" fillId="6" borderId="6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164" fontId="14" fillId="6" borderId="6" xfId="0" applyNumberFormat="1" applyFont="1" applyFill="1" applyBorder="1" applyAlignment="1">
      <alignment horizontal="left" vertical="center"/>
    </xf>
    <xf numFmtId="166" fontId="14" fillId="6" borderId="6" xfId="0" applyNumberFormat="1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1"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Revenue and Gross Profit by Tier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'Unit Economics'!$D$6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'Unit Economics'!$A$7:$A$18</c:f>
              <c:strCache>
                <c:ptCount val="12"/>
                <c:pt idx="0">
                  <c:v>Starter</c:v>
                </c:pt>
                <c:pt idx="1">
                  <c:v>Pro</c:v>
                </c:pt>
                <c:pt idx="2">
                  <c:v>Business</c:v>
                </c:pt>
                <c:pt idx="3">
                  <c:v>Enterprise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'Unit Economics'!$D$7:$D$18</c:f>
              <c:numCache>
                <c:formatCode>"$"#,##0</c:formatCode>
                <c:ptCount val="12"/>
                <c:pt idx="0">
                  <c:v>29231.999999999996</c:v>
                </c:pt>
                <c:pt idx="1">
                  <c:v>31496.039999999997</c:v>
                </c:pt>
                <c:pt idx="2">
                  <c:v>28481.543999999998</c:v>
                </c:pt>
                <c:pt idx="3">
                  <c:v>25330.32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2FD-974A-9FD0-F249E41A7553}"/>
            </c:ext>
          </c:extLst>
        </c:ser>
        <c:ser>
          <c:idx val="1"/>
          <c:order val="1"/>
          <c:tx>
            <c:strRef>
              <c:f>'Unit Economics'!$F$6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'Unit Economics'!$A$7:$A$18</c:f>
              <c:strCache>
                <c:ptCount val="12"/>
                <c:pt idx="0">
                  <c:v>Starter</c:v>
                </c:pt>
                <c:pt idx="1">
                  <c:v>Pro</c:v>
                </c:pt>
                <c:pt idx="2">
                  <c:v>Business</c:v>
                </c:pt>
                <c:pt idx="3">
                  <c:v>Enterprise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'Unit Economics'!$F$7:$F$18</c:f>
              <c:numCache>
                <c:formatCode>"$"#,##0</c:formatCode>
                <c:ptCount val="12"/>
                <c:pt idx="0">
                  <c:v>22927.679999999997</c:v>
                </c:pt>
                <c:pt idx="1">
                  <c:v>27813.239999999998</c:v>
                </c:pt>
                <c:pt idx="2">
                  <c:v>25829.927999999996</c:v>
                </c:pt>
                <c:pt idx="3">
                  <c:v>22970.16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2FD-974A-9FD0-F249E41A7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6416840"/>
        <c:axId val="1012812453"/>
      </c:barChart>
      <c:catAx>
        <c:axId val="1256416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Tier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12812453"/>
        <c:crosses val="autoZero"/>
        <c:auto val="1"/>
        <c:lblAlgn val="ctr"/>
        <c:lblOffset val="100"/>
        <c:noMultiLvlLbl val="1"/>
      </c:catAx>
      <c:valAx>
        <c:axId val="10128124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Amount</a:t>
                </a:r>
              </a:p>
            </c:rich>
          </c:tx>
          <c:overlay val="0"/>
        </c:title>
        <c:numFmt formatCode="&quot;$&quot;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5641684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Cost vs Profit (stacked) by Tier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'Unit Economics'!$E$6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'Unit Economics'!$A$7:$A$18</c:f>
              <c:strCache>
                <c:ptCount val="12"/>
                <c:pt idx="0">
                  <c:v>Starter</c:v>
                </c:pt>
                <c:pt idx="1">
                  <c:v>Pro</c:v>
                </c:pt>
                <c:pt idx="2">
                  <c:v>Business</c:v>
                </c:pt>
                <c:pt idx="3">
                  <c:v>Enterprise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'Unit Economics'!$E$7:$E$18</c:f>
              <c:numCache>
                <c:formatCode>"$"#,##0</c:formatCode>
                <c:ptCount val="12"/>
                <c:pt idx="0">
                  <c:v>6304.32</c:v>
                </c:pt>
                <c:pt idx="1">
                  <c:v>3682.8000000000006</c:v>
                </c:pt>
                <c:pt idx="2">
                  <c:v>2651.6160000000004</c:v>
                </c:pt>
                <c:pt idx="3">
                  <c:v>2360.16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550-ED49-9AEB-BD816EFF2241}"/>
            </c:ext>
          </c:extLst>
        </c:ser>
        <c:ser>
          <c:idx val="1"/>
          <c:order val="1"/>
          <c:tx>
            <c:strRef>
              <c:f>'Unit Economics'!$F$6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'Unit Economics'!$A$7:$A$18</c:f>
              <c:strCache>
                <c:ptCount val="12"/>
                <c:pt idx="0">
                  <c:v>Starter</c:v>
                </c:pt>
                <c:pt idx="1">
                  <c:v>Pro</c:v>
                </c:pt>
                <c:pt idx="2">
                  <c:v>Business</c:v>
                </c:pt>
                <c:pt idx="3">
                  <c:v>Enterprise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'Unit Economics'!$F$7:$F$18</c:f>
              <c:numCache>
                <c:formatCode>"$"#,##0</c:formatCode>
                <c:ptCount val="12"/>
                <c:pt idx="0">
                  <c:v>22927.679999999997</c:v>
                </c:pt>
                <c:pt idx="1">
                  <c:v>27813.239999999998</c:v>
                </c:pt>
                <c:pt idx="2">
                  <c:v>25829.927999999996</c:v>
                </c:pt>
                <c:pt idx="3">
                  <c:v>22970.16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550-ED49-9AEB-BD816EFF2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9151107"/>
        <c:axId val="1583130642"/>
      </c:barChart>
      <c:catAx>
        <c:axId val="19191511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Tier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3130642"/>
        <c:crosses val="autoZero"/>
        <c:auto val="1"/>
        <c:lblAlgn val="ctr"/>
        <c:lblOffset val="100"/>
        <c:noMultiLvlLbl val="1"/>
      </c:catAx>
      <c:valAx>
        <c:axId val="15831306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Amount</a:t>
                </a:r>
              </a:p>
            </c:rich>
          </c:tx>
          <c:overlay val="0"/>
        </c:title>
        <c:numFmt formatCode="&quot;$&quot;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1915110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6477000" cy="3238500"/>
    <xdr:graphicFrame macro="">
      <xdr:nvGraphicFramePr>
        <xdr:cNvPr id="819406325" name="Chart 1">
          <a:extLst>
            <a:ext uri="{FF2B5EF4-FFF2-40B4-BE49-F238E27FC236}">
              <a16:creationId xmlns:a16="http://schemas.microsoft.com/office/drawing/2014/main" id="{00000000-0008-0000-0300-0000F525D7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23</xdr:row>
      <xdr:rowOff>0</xdr:rowOff>
    </xdr:from>
    <xdr:ext cx="6477000" cy="3238500"/>
    <xdr:graphicFrame macro="">
      <xdr:nvGraphicFramePr>
        <xdr:cNvPr id="1961212636" name="Chart 2">
          <a:extLst>
            <a:ext uri="{FF2B5EF4-FFF2-40B4-BE49-F238E27FC236}">
              <a16:creationId xmlns:a16="http://schemas.microsoft.com/office/drawing/2014/main" id="{00000000-0008-0000-0300-0000DCBAE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showGridLines="0" tabSelected="1" workbookViewId="0">
      <pane ySplit="11" topLeftCell="A12" activePane="bottomLeft" state="frozen"/>
      <selection pane="bottomLeft" activeCell="B13" sqref="B13"/>
    </sheetView>
  </sheetViews>
  <sheetFormatPr baseColWidth="10" defaultColWidth="14.5" defaultRowHeight="15" customHeight="1" x14ac:dyDescent="0.2"/>
  <cols>
    <col min="1" max="1" width="36.83203125" customWidth="1"/>
    <col min="2" max="2" width="18" customWidth="1"/>
    <col min="3" max="3" width="12" customWidth="1"/>
    <col min="4" max="4" width="18" customWidth="1"/>
    <col min="5" max="5" width="22" customWidth="1"/>
    <col min="6" max="6" width="16" customWidth="1"/>
    <col min="7" max="7" width="20" customWidth="1"/>
    <col min="8" max="8" width="22" customWidth="1"/>
    <col min="9" max="9" width="26" customWidth="1"/>
    <col min="10" max="26" width="8.6640625" customWidth="1"/>
  </cols>
  <sheetData>
    <row r="1" spans="1:9" ht="27.75" customHeight="1" x14ac:dyDescent="0.2">
      <c r="A1" s="42" t="s">
        <v>0</v>
      </c>
      <c r="B1" s="43"/>
      <c r="C1" s="43"/>
      <c r="D1" s="43"/>
      <c r="E1" s="43"/>
      <c r="F1" s="43"/>
      <c r="G1" s="43"/>
      <c r="H1" s="43"/>
      <c r="I1" s="44"/>
    </row>
    <row r="3" spans="1:9" ht="19.5" customHeight="1" x14ac:dyDescent="0.2">
      <c r="A3" s="45" t="s">
        <v>1</v>
      </c>
      <c r="B3" s="43"/>
      <c r="C3" s="43"/>
      <c r="D3" s="43"/>
      <c r="E3" s="43"/>
      <c r="F3" s="43"/>
      <c r="G3" s="43"/>
      <c r="H3" s="43"/>
      <c r="I3" s="44"/>
    </row>
    <row r="4" spans="1:9" x14ac:dyDescent="0.2">
      <c r="A4" s="1" t="s">
        <v>2</v>
      </c>
      <c r="B4" s="2" t="s">
        <v>3</v>
      </c>
      <c r="D4" s="46" t="s">
        <v>4</v>
      </c>
      <c r="E4" s="40"/>
      <c r="F4" s="40"/>
      <c r="G4" s="40"/>
      <c r="H4" s="40"/>
      <c r="I4" s="40"/>
    </row>
    <row r="5" spans="1:9" x14ac:dyDescent="0.2">
      <c r="A5" s="1" t="s">
        <v>5</v>
      </c>
      <c r="B5" s="3"/>
      <c r="D5" s="46" t="s">
        <v>6</v>
      </c>
      <c r="E5" s="40"/>
      <c r="F5" s="40"/>
      <c r="G5" s="40"/>
      <c r="H5" s="40"/>
      <c r="I5" s="40"/>
    </row>
    <row r="6" spans="1:9" x14ac:dyDescent="0.2">
      <c r="A6" s="1" t="s">
        <v>7</v>
      </c>
      <c r="B6" s="4">
        <v>2E-3</v>
      </c>
      <c r="D6" s="46" t="s">
        <v>8</v>
      </c>
      <c r="E6" s="40"/>
      <c r="F6" s="40"/>
      <c r="G6" s="40"/>
      <c r="H6" s="40"/>
      <c r="I6" s="40"/>
    </row>
    <row r="7" spans="1:9" x14ac:dyDescent="0.2">
      <c r="A7" s="1" t="s">
        <v>9</v>
      </c>
      <c r="B7" s="5">
        <v>0.75</v>
      </c>
      <c r="D7" s="46" t="s">
        <v>10</v>
      </c>
      <c r="E7" s="40"/>
      <c r="F7" s="40"/>
      <c r="G7" s="40"/>
      <c r="H7" s="40"/>
      <c r="I7" s="40"/>
    </row>
    <row r="8" spans="1:9" x14ac:dyDescent="0.2">
      <c r="A8" s="1" t="s">
        <v>11</v>
      </c>
      <c r="B8" s="2" t="str">
        <f>'Scenario Explorer'!$B$4</f>
        <v>Cheap / Volume</v>
      </c>
      <c r="D8" s="46" t="s">
        <v>12</v>
      </c>
      <c r="E8" s="40"/>
      <c r="F8" s="40"/>
      <c r="G8" s="40"/>
      <c r="H8" s="40"/>
      <c r="I8" s="40"/>
    </row>
    <row r="10" spans="1:9" ht="16" x14ac:dyDescent="0.2">
      <c r="A10" s="39" t="s">
        <v>13</v>
      </c>
      <c r="B10" s="40"/>
      <c r="C10" s="40"/>
      <c r="D10" s="40"/>
      <c r="E10" s="40"/>
      <c r="F10" s="40"/>
      <c r="G10" s="40"/>
      <c r="H10" s="40"/>
      <c r="I10" s="40"/>
    </row>
    <row r="11" spans="1:9" ht="36" customHeight="1" x14ac:dyDescent="0.2">
      <c r="A11" s="6" t="s">
        <v>14</v>
      </c>
      <c r="B11" s="6" t="s">
        <v>15</v>
      </c>
      <c r="C11" s="6" t="s">
        <v>16</v>
      </c>
      <c r="D11" s="6" t="s">
        <v>17</v>
      </c>
      <c r="E11" s="6" t="s">
        <v>18</v>
      </c>
      <c r="F11" s="6" t="s">
        <v>19</v>
      </c>
      <c r="G11" s="6" t="s">
        <v>20</v>
      </c>
      <c r="H11" s="6" t="s">
        <v>21</v>
      </c>
      <c r="I11" s="6" t="s">
        <v>22</v>
      </c>
    </row>
    <row r="12" spans="1:9" ht="16" x14ac:dyDescent="0.2">
      <c r="A12" s="2" t="s">
        <v>23</v>
      </c>
      <c r="B12" s="7">
        <v>29</v>
      </c>
      <c r="C12" s="8">
        <v>800</v>
      </c>
      <c r="D12" s="8">
        <v>200</v>
      </c>
      <c r="E12" s="7">
        <v>3.5</v>
      </c>
      <c r="F12" s="9"/>
      <c r="G12" s="9">
        <v>0</v>
      </c>
      <c r="H12" s="10">
        <f t="shared" ref="H12:H23" si="0">IF($A12="","", $E12 + $D12*IF($F12="", $B$6, $F12))</f>
        <v>3.9</v>
      </c>
      <c r="I12" s="11" t="s">
        <v>24</v>
      </c>
    </row>
    <row r="13" spans="1:9" ht="16" x14ac:dyDescent="0.2">
      <c r="A13" s="2" t="s">
        <v>25</v>
      </c>
      <c r="B13" s="7">
        <v>99</v>
      </c>
      <c r="C13" s="8">
        <v>250</v>
      </c>
      <c r="D13" s="8">
        <v>800</v>
      </c>
      <c r="E13" s="7">
        <v>6</v>
      </c>
      <c r="F13" s="9">
        <v>1.5E-3</v>
      </c>
      <c r="G13" s="9">
        <v>8.0000000000000004E-4</v>
      </c>
      <c r="H13" s="10">
        <f t="shared" si="0"/>
        <v>7.2</v>
      </c>
      <c r="I13" s="11" t="s">
        <v>26</v>
      </c>
    </row>
    <row r="14" spans="1:9" ht="16" x14ac:dyDescent="0.2">
      <c r="A14" s="2" t="s">
        <v>27</v>
      </c>
      <c r="B14" s="7">
        <v>249</v>
      </c>
      <c r="C14" s="8">
        <v>90</v>
      </c>
      <c r="D14" s="8">
        <v>2000</v>
      </c>
      <c r="E14" s="7">
        <v>12</v>
      </c>
      <c r="F14" s="9">
        <v>1.1999999999999999E-3</v>
      </c>
      <c r="G14" s="9">
        <v>6.9999999999999999E-4</v>
      </c>
      <c r="H14" s="10">
        <f t="shared" si="0"/>
        <v>14.4</v>
      </c>
      <c r="I14" s="11" t="s">
        <v>28</v>
      </c>
    </row>
    <row r="15" spans="1:9" ht="16" x14ac:dyDescent="0.2">
      <c r="A15" s="2" t="s">
        <v>29</v>
      </c>
      <c r="B15" s="7">
        <v>999</v>
      </c>
      <c r="C15" s="8">
        <v>20</v>
      </c>
      <c r="D15" s="8">
        <v>8000</v>
      </c>
      <c r="E15" s="7">
        <v>50</v>
      </c>
      <c r="F15" s="9">
        <v>1E-3</v>
      </c>
      <c r="G15" s="9">
        <v>5.0000000000000001E-4</v>
      </c>
      <c r="H15" s="10">
        <f t="shared" si="0"/>
        <v>58</v>
      </c>
      <c r="I15" s="11" t="s">
        <v>30</v>
      </c>
    </row>
    <row r="16" spans="1:9" x14ac:dyDescent="0.2">
      <c r="A16" s="2"/>
      <c r="B16" s="7"/>
      <c r="C16" s="8"/>
      <c r="D16" s="8"/>
      <c r="E16" s="7"/>
      <c r="F16" s="9"/>
      <c r="G16" s="9"/>
      <c r="H16" s="10" t="str">
        <f t="shared" si="0"/>
        <v/>
      </c>
      <c r="I16" s="11"/>
    </row>
    <row r="17" spans="1:9" x14ac:dyDescent="0.2">
      <c r="A17" s="2"/>
      <c r="B17" s="7"/>
      <c r="C17" s="8"/>
      <c r="D17" s="8"/>
      <c r="E17" s="7"/>
      <c r="F17" s="9"/>
      <c r="G17" s="9"/>
      <c r="H17" s="10" t="str">
        <f t="shared" si="0"/>
        <v/>
      </c>
      <c r="I17" s="11"/>
    </row>
    <row r="18" spans="1:9" x14ac:dyDescent="0.2">
      <c r="A18" s="2"/>
      <c r="B18" s="7"/>
      <c r="C18" s="8"/>
      <c r="D18" s="8"/>
      <c r="E18" s="7"/>
      <c r="F18" s="9"/>
      <c r="G18" s="9"/>
      <c r="H18" s="10" t="str">
        <f t="shared" si="0"/>
        <v/>
      </c>
      <c r="I18" s="11"/>
    </row>
    <row r="19" spans="1:9" x14ac:dyDescent="0.2">
      <c r="A19" s="2"/>
      <c r="B19" s="7"/>
      <c r="C19" s="8"/>
      <c r="D19" s="8"/>
      <c r="E19" s="7"/>
      <c r="F19" s="9"/>
      <c r="G19" s="9"/>
      <c r="H19" s="10" t="str">
        <f t="shared" si="0"/>
        <v/>
      </c>
      <c r="I19" s="11"/>
    </row>
    <row r="20" spans="1:9" x14ac:dyDescent="0.2">
      <c r="A20" s="2"/>
      <c r="B20" s="7"/>
      <c r="C20" s="8"/>
      <c r="D20" s="8"/>
      <c r="E20" s="7"/>
      <c r="F20" s="9"/>
      <c r="G20" s="9"/>
      <c r="H20" s="10" t="str">
        <f t="shared" si="0"/>
        <v/>
      </c>
      <c r="I20" s="11"/>
    </row>
    <row r="21" spans="1:9" ht="15.75" customHeight="1" x14ac:dyDescent="0.2">
      <c r="A21" s="2"/>
      <c r="B21" s="7"/>
      <c r="C21" s="8"/>
      <c r="D21" s="8"/>
      <c r="E21" s="7"/>
      <c r="F21" s="9"/>
      <c r="G21" s="9"/>
      <c r="H21" s="10" t="str">
        <f t="shared" si="0"/>
        <v/>
      </c>
      <c r="I21" s="11"/>
    </row>
    <row r="22" spans="1:9" ht="15.75" customHeight="1" x14ac:dyDescent="0.2">
      <c r="A22" s="2"/>
      <c r="B22" s="7"/>
      <c r="C22" s="8"/>
      <c r="D22" s="8"/>
      <c r="E22" s="7"/>
      <c r="F22" s="9"/>
      <c r="G22" s="9"/>
      <c r="H22" s="10" t="str">
        <f t="shared" si="0"/>
        <v/>
      </c>
      <c r="I22" s="11"/>
    </row>
    <row r="23" spans="1:9" ht="15.75" customHeight="1" x14ac:dyDescent="0.2">
      <c r="A23" s="2"/>
      <c r="B23" s="7"/>
      <c r="C23" s="8"/>
      <c r="D23" s="8"/>
      <c r="E23" s="7"/>
      <c r="F23" s="9"/>
      <c r="G23" s="9"/>
      <c r="H23" s="10" t="str">
        <f t="shared" si="0"/>
        <v/>
      </c>
      <c r="I23" s="11"/>
    </row>
    <row r="24" spans="1:9" ht="15.75" customHeight="1" x14ac:dyDescent="0.2"/>
    <row r="25" spans="1:9" ht="24" customHeight="1" x14ac:dyDescent="0.2">
      <c r="A25" s="41" t="s">
        <v>31</v>
      </c>
      <c r="B25" s="40"/>
      <c r="C25" s="40"/>
      <c r="D25" s="40"/>
      <c r="E25" s="40"/>
      <c r="F25" s="40"/>
      <c r="G25" s="40"/>
      <c r="H25" s="40"/>
      <c r="I25" s="40"/>
    </row>
    <row r="26" spans="1:9" ht="15.75" customHeight="1" x14ac:dyDescent="0.2"/>
    <row r="27" spans="1:9" ht="15.75" customHeight="1" x14ac:dyDescent="0.2"/>
    <row r="28" spans="1:9" ht="15.75" customHeight="1" x14ac:dyDescent="0.2"/>
    <row r="29" spans="1:9" ht="15.75" customHeight="1" x14ac:dyDescent="0.2"/>
    <row r="30" spans="1:9" ht="15.75" customHeight="1" x14ac:dyDescent="0.2"/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0:I10"/>
    <mergeCell ref="A25:I25"/>
    <mergeCell ref="A1:I1"/>
    <mergeCell ref="A3:I3"/>
    <mergeCell ref="D4:I4"/>
    <mergeCell ref="D5:I5"/>
    <mergeCell ref="D6:I6"/>
    <mergeCell ref="D7:I7"/>
    <mergeCell ref="D8:I8"/>
  </mergeCells>
  <dataValidations count="1">
    <dataValidation type="list" allowBlank="1" sqref="B4" xr:uid="{00000000-0002-0000-0000-000000000000}">
      <formula1>"Monthly,Annual"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showGridLines="0" workbookViewId="0">
      <pane ySplit="6" topLeftCell="A7" activePane="bottomLeft" state="frozen"/>
      <selection pane="bottomLeft" activeCell="B8" sqref="B8"/>
    </sheetView>
  </sheetViews>
  <sheetFormatPr baseColWidth="10" defaultColWidth="14.5" defaultRowHeight="15" customHeight="1" x14ac:dyDescent="0.2"/>
  <cols>
    <col min="1" max="1" width="18" customWidth="1"/>
    <col min="2" max="2" width="16" customWidth="1"/>
    <col min="3" max="3" width="14" customWidth="1"/>
    <col min="4" max="6" width="16" customWidth="1"/>
    <col min="7" max="7" width="14" customWidth="1"/>
    <col min="8" max="8" width="12" customWidth="1"/>
    <col min="9" max="9" width="22" customWidth="1"/>
    <col min="10" max="10" width="18" customWidth="1"/>
    <col min="11" max="11" width="10" customWidth="1"/>
    <col min="12" max="26" width="8.6640625" customWidth="1"/>
  </cols>
  <sheetData>
    <row r="1" spans="1:11" ht="27.75" customHeight="1" x14ac:dyDescent="0.2">
      <c r="A1" s="42" t="s">
        <v>32</v>
      </c>
      <c r="B1" s="43"/>
      <c r="C1" s="43"/>
      <c r="D1" s="43"/>
      <c r="E1" s="43"/>
      <c r="F1" s="43"/>
      <c r="G1" s="43"/>
      <c r="H1" s="43"/>
      <c r="I1" s="43"/>
      <c r="J1" s="43"/>
      <c r="K1" s="44"/>
    </row>
    <row r="3" spans="1:11" x14ac:dyDescent="0.2">
      <c r="A3" s="1" t="s">
        <v>33</v>
      </c>
      <c r="B3" s="12" t="str">
        <f>Inputs!$B$4</f>
        <v>Monthly</v>
      </c>
      <c r="D3" s="1" t="s">
        <v>34</v>
      </c>
      <c r="E3" s="13">
        <f>Inputs!$B$5</f>
        <v>0</v>
      </c>
      <c r="G3" s="14" t="s">
        <v>35</v>
      </c>
      <c r="H3" s="15">
        <f>Inputs!$B$7</f>
        <v>0.75</v>
      </c>
      <c r="J3" s="14" t="s">
        <v>36</v>
      </c>
      <c r="K3" s="16">
        <f>IF(Inputs!$B$4="Annual",12,1)</f>
        <v>1</v>
      </c>
    </row>
    <row r="4" spans="1:11" x14ac:dyDescent="0.2">
      <c r="A4" s="1" t="s">
        <v>37</v>
      </c>
      <c r="B4" s="12" t="str">
        <f>'Scenario Explorer'!$B$4</f>
        <v>Cheap / Volume</v>
      </c>
    </row>
    <row r="6" spans="1:11" ht="33.75" customHeight="1" x14ac:dyDescent="0.2">
      <c r="A6" s="6" t="s">
        <v>38</v>
      </c>
      <c r="B6" s="6" t="s">
        <v>39</v>
      </c>
      <c r="C6" s="6" t="s">
        <v>40</v>
      </c>
      <c r="D6" s="6" t="s">
        <v>41</v>
      </c>
      <c r="E6" s="6" t="s">
        <v>42</v>
      </c>
      <c r="F6" s="6" t="s">
        <v>43</v>
      </c>
      <c r="G6" s="6" t="s">
        <v>44</v>
      </c>
      <c r="H6" s="6" t="s">
        <v>45</v>
      </c>
      <c r="I6" s="6" t="s">
        <v>46</v>
      </c>
      <c r="J6" s="6" t="s">
        <v>47</v>
      </c>
      <c r="K6" s="6" t="s">
        <v>48</v>
      </c>
    </row>
    <row r="7" spans="1:11" x14ac:dyDescent="0.2">
      <c r="A7" s="17" t="str">
        <f>Inputs!$A12</f>
        <v>Starter</v>
      </c>
      <c r="B7" s="18">
        <f>IF($A7="","", Inputs!$B12*'Scenario Explorer'!$A$16)</f>
        <v>20.299999999999997</v>
      </c>
      <c r="C7" s="19">
        <f>IF($A7="","", Inputs!$C12*'Scenario Explorer'!$B$16)</f>
        <v>1440</v>
      </c>
      <c r="D7" s="20">
        <f>IF($A7="","", $C7 * ( $B7 + ((Inputs!$D12*'Scenario Explorer'!$C$16)*(Inputs!$G12*'Scenario Explorer'!$F$16)*$K$3) ) )</f>
        <v>29231.999999999996</v>
      </c>
      <c r="E7" s="20">
        <f>IF($A7="","", $C7 * ( ((Inputs!$E12*'Scenario Explorer'!$D$16) + (Inputs!$D12*'Scenario Explorer'!$C$16)*(IF(Inputs!$F12="", Inputs!$B$6, Inputs!$F12)*'Scenario Explorer'!$E$16)) * $K$3 ) )</f>
        <v>6304.32</v>
      </c>
      <c r="F7" s="20">
        <f t="shared" ref="F7:F18" si="0">IF($A7="","", $D7 - $E7)</f>
        <v>22927.679999999997</v>
      </c>
      <c r="G7" s="21">
        <f t="shared" ref="G7:G18" si="1">IF($A7="","", IF($D7=0,"", $F7/$D7))</f>
        <v>0.78433497536945807</v>
      </c>
      <c r="H7" s="18">
        <f t="shared" ref="H7:H18" si="2">IF($A7="","", IF($C7=0,"", $D7/$C7))</f>
        <v>20.299999999999997</v>
      </c>
      <c r="I7" s="18">
        <f t="shared" ref="I7:I18" si="3">IF($A7="","", IF($K$3=0,"", ($H7*$G7)/$K$3))</f>
        <v>15.921999999999997</v>
      </c>
      <c r="J7" s="22" t="str">
        <f>IF($A7="","", IF(Inputs!$B$5="","", IF($I7=0,"", Inputs!$B$5/$I7)))</f>
        <v/>
      </c>
      <c r="K7" s="23" t="str">
        <f>IF($A7="","", IF(AND($G7&gt;=MAX($G$7:$G$18), OR(Inputs!$B$5="", $J7&lt;=MIN($J$7:$J$18))), "BEST", ""))</f>
        <v/>
      </c>
    </row>
    <row r="8" spans="1:11" x14ac:dyDescent="0.2">
      <c r="A8" s="17" t="str">
        <f>Inputs!$A13</f>
        <v>Pro</v>
      </c>
      <c r="B8" s="18">
        <f>IF($A8="","", Inputs!$B13*'Scenario Explorer'!$A$16)</f>
        <v>69.3</v>
      </c>
      <c r="C8" s="19">
        <f>IF($A8="","", Inputs!$C13*'Scenario Explorer'!$B$16)</f>
        <v>450</v>
      </c>
      <c r="D8" s="20">
        <f>IF($A8="","", $C8 * ( $B8 + ((Inputs!$D13*'Scenario Explorer'!$C$16)*(Inputs!$G13*'Scenario Explorer'!$F$16)*$K$3) ) )</f>
        <v>31496.039999999997</v>
      </c>
      <c r="E8" s="20">
        <f>IF($A8="","", $C8 * ( ((Inputs!$E13*'Scenario Explorer'!$D$16) + (Inputs!$D13*'Scenario Explorer'!$C$16)*(IF(Inputs!$F13="", Inputs!$B$6, Inputs!$F13)*'Scenario Explorer'!$E$16)) * $K$3 ) )</f>
        <v>3682.8000000000006</v>
      </c>
      <c r="F8" s="20">
        <f t="shared" si="0"/>
        <v>27813.239999999998</v>
      </c>
      <c r="G8" s="21">
        <f t="shared" si="1"/>
        <v>0.88307101464184068</v>
      </c>
      <c r="H8" s="18">
        <f t="shared" si="2"/>
        <v>69.991199999999992</v>
      </c>
      <c r="I8" s="18">
        <f t="shared" si="3"/>
        <v>61.807199999999995</v>
      </c>
      <c r="J8" s="22" t="str">
        <f>IF($A8="","", IF(Inputs!$B$5="","", IF($I8=0,"", Inputs!$B$5/$I8)))</f>
        <v/>
      </c>
      <c r="K8" s="23" t="str">
        <f>IF($A8="","", IF(AND($G8&gt;=MAX($G$7:$G$18), OR(Inputs!$B$5="", $J8&lt;=MIN($J$7:$J$18))), "BEST", ""))</f>
        <v/>
      </c>
    </row>
    <row r="9" spans="1:11" x14ac:dyDescent="0.2">
      <c r="A9" s="17" t="str">
        <f>Inputs!$A14</f>
        <v>Business</v>
      </c>
      <c r="B9" s="18">
        <f>IF($A9="","", Inputs!$B14*'Scenario Explorer'!$A$16)</f>
        <v>174.29999999999998</v>
      </c>
      <c r="C9" s="19">
        <f>IF($A9="","", Inputs!$C14*'Scenario Explorer'!$B$16)</f>
        <v>162</v>
      </c>
      <c r="D9" s="20">
        <f>IF($A9="","", $C9 * ( $B9 + ((Inputs!$D14*'Scenario Explorer'!$C$16)*(Inputs!$G14*'Scenario Explorer'!$F$16)*$K$3) ) )</f>
        <v>28481.543999999998</v>
      </c>
      <c r="E9" s="20">
        <f>IF($A9="","", $C9 * ( ((Inputs!$E14*'Scenario Explorer'!$D$16) + (Inputs!$D14*'Scenario Explorer'!$C$16)*(IF(Inputs!$F14="", Inputs!$B$6, Inputs!$F14)*'Scenario Explorer'!$E$16)) * $K$3 ) )</f>
        <v>2651.6160000000004</v>
      </c>
      <c r="F9" s="20">
        <f t="shared" si="0"/>
        <v>25829.927999999996</v>
      </c>
      <c r="G9" s="21">
        <f t="shared" si="1"/>
        <v>0.90690055286328575</v>
      </c>
      <c r="H9" s="18">
        <f t="shared" si="2"/>
        <v>175.81199999999998</v>
      </c>
      <c r="I9" s="18">
        <f t="shared" si="3"/>
        <v>159.44399999999999</v>
      </c>
      <c r="J9" s="22" t="str">
        <f>IF($A9="","", IF(Inputs!$B$5="","", IF($I9=0,"", Inputs!$B$5/$I9)))</f>
        <v/>
      </c>
      <c r="K9" s="23" t="str">
        <f>IF($A9="","", IF(AND($G9&gt;=MAX($G$7:$G$18), OR(Inputs!$B$5="", $J9&lt;=MIN($J$7:$J$18))), "BEST", ""))</f>
        <v>BEST</v>
      </c>
    </row>
    <row r="10" spans="1:11" x14ac:dyDescent="0.2">
      <c r="A10" s="17" t="str">
        <f>Inputs!$A15</f>
        <v>Enterprise</v>
      </c>
      <c r="B10" s="18">
        <f>IF($A10="","", Inputs!$B15*'Scenario Explorer'!$A$16)</f>
        <v>699.3</v>
      </c>
      <c r="C10" s="19">
        <f>IF($A10="","", Inputs!$C15*'Scenario Explorer'!$B$16)</f>
        <v>36</v>
      </c>
      <c r="D10" s="20">
        <f>IF($A10="","", $C10 * ( $B10 + ((Inputs!$D15*'Scenario Explorer'!$C$16)*(Inputs!$G15*'Scenario Explorer'!$F$16)*$K$3) ) )</f>
        <v>25330.32</v>
      </c>
      <c r="E10" s="20">
        <f>IF($A10="","", $C10 * ( ((Inputs!$E15*'Scenario Explorer'!$D$16) + (Inputs!$D15*'Scenario Explorer'!$C$16)*(IF(Inputs!$F15="", Inputs!$B$6, Inputs!$F15)*'Scenario Explorer'!$E$16)) * $K$3 ) )</f>
        <v>2360.16</v>
      </c>
      <c r="F10" s="20">
        <f t="shared" si="0"/>
        <v>22970.16</v>
      </c>
      <c r="G10" s="21">
        <f t="shared" si="1"/>
        <v>0.90682470651772262</v>
      </c>
      <c r="H10" s="18">
        <f t="shared" si="2"/>
        <v>703.62</v>
      </c>
      <c r="I10" s="18">
        <f t="shared" si="3"/>
        <v>638.05999999999995</v>
      </c>
      <c r="J10" s="22" t="str">
        <f>IF($A10="","", IF(Inputs!$B$5="","", IF($I10=0,"", Inputs!$B$5/$I10)))</f>
        <v/>
      </c>
      <c r="K10" s="23" t="str">
        <f>IF($A10="","", IF(AND($G10&gt;=MAX($G$7:$G$18), OR(Inputs!$B$5="", $J10&lt;=MIN($J$7:$J$18))), "BEST", ""))</f>
        <v/>
      </c>
    </row>
    <row r="11" spans="1:11" x14ac:dyDescent="0.2">
      <c r="A11" s="17">
        <f>Inputs!$A16</f>
        <v>0</v>
      </c>
      <c r="B11" s="18">
        <f>IF($A11="","", Inputs!$B16*'Scenario Explorer'!$A$16)</f>
        <v>0</v>
      </c>
      <c r="C11" s="19">
        <f>IF($A11="","", Inputs!$C16*'Scenario Explorer'!$B$16)</f>
        <v>0</v>
      </c>
      <c r="D11" s="20">
        <f>IF($A11="","", $C11 * ( $B11 + ((Inputs!$D16*'Scenario Explorer'!$C$16)*(Inputs!$G16*'Scenario Explorer'!$F$16)*$K$3) ) )</f>
        <v>0</v>
      </c>
      <c r="E11" s="20">
        <f>IF($A11="","", $C11 * ( ((Inputs!$E16*'Scenario Explorer'!$D$16) + (Inputs!$D16*'Scenario Explorer'!$C$16)*(IF(Inputs!$F16="", Inputs!$B$6, Inputs!$F16)*'Scenario Explorer'!$E$16)) * $K$3 ) )</f>
        <v>0</v>
      </c>
      <c r="F11" s="20">
        <f t="shared" si="0"/>
        <v>0</v>
      </c>
      <c r="G11" s="21" t="str">
        <f t="shared" si="1"/>
        <v/>
      </c>
      <c r="H11" s="18" t="str">
        <f t="shared" si="2"/>
        <v/>
      </c>
      <c r="I11" s="18" t="e">
        <f t="shared" si="3"/>
        <v>#VALUE!</v>
      </c>
      <c r="J11" s="22" t="str">
        <f>IF($A11="","", IF(Inputs!$B$5="","", IF($I11=0,"", Inputs!$B$5/$I11)))</f>
        <v/>
      </c>
      <c r="K11" s="23" t="str">
        <f>IF($A11="","", IF(AND($G11&gt;=MAX($G$7:$G$18), OR(Inputs!$B$5="", $J11&lt;=MIN($J$7:$J$18))), "BEST", ""))</f>
        <v>BEST</v>
      </c>
    </row>
    <row r="12" spans="1:11" x14ac:dyDescent="0.2">
      <c r="A12" s="17">
        <f>Inputs!$A17</f>
        <v>0</v>
      </c>
      <c r="B12" s="18">
        <f>IF($A12="","", Inputs!$B17*'Scenario Explorer'!$A$16)</f>
        <v>0</v>
      </c>
      <c r="C12" s="19">
        <f>IF($A12="","", Inputs!$C17*'Scenario Explorer'!$B$16)</f>
        <v>0</v>
      </c>
      <c r="D12" s="20">
        <f>IF($A12="","", $C12 * ( $B12 + ((Inputs!$D17*'Scenario Explorer'!$C$16)*(Inputs!$G17*'Scenario Explorer'!$F$16)*$K$3) ) )</f>
        <v>0</v>
      </c>
      <c r="E12" s="20">
        <f>IF($A12="","", $C12 * ( ((Inputs!$E17*'Scenario Explorer'!$D$16) + (Inputs!$D17*'Scenario Explorer'!$C$16)*(IF(Inputs!$F17="", Inputs!$B$6, Inputs!$F17)*'Scenario Explorer'!$E$16)) * $K$3 ) )</f>
        <v>0</v>
      </c>
      <c r="F12" s="20">
        <f t="shared" si="0"/>
        <v>0</v>
      </c>
      <c r="G12" s="21" t="str">
        <f t="shared" si="1"/>
        <v/>
      </c>
      <c r="H12" s="18" t="str">
        <f t="shared" si="2"/>
        <v/>
      </c>
      <c r="I12" s="18" t="e">
        <f t="shared" si="3"/>
        <v>#VALUE!</v>
      </c>
      <c r="J12" s="22" t="str">
        <f>IF($A12="","", IF(Inputs!$B$5="","", IF($I12=0,"", Inputs!$B$5/$I12)))</f>
        <v/>
      </c>
      <c r="K12" s="23" t="str">
        <f>IF($A12="","", IF(AND($G12&gt;=MAX($G$7:$G$18), OR(Inputs!$B$5="", $J12&lt;=MIN($J$7:$J$18))), "BEST", ""))</f>
        <v>BEST</v>
      </c>
    </row>
    <row r="13" spans="1:11" x14ac:dyDescent="0.2">
      <c r="A13" s="17">
        <f>Inputs!$A18</f>
        <v>0</v>
      </c>
      <c r="B13" s="18">
        <f>IF($A13="","", Inputs!$B18*'Scenario Explorer'!$A$16)</f>
        <v>0</v>
      </c>
      <c r="C13" s="19">
        <f>IF($A13="","", Inputs!$C18*'Scenario Explorer'!$B$16)</f>
        <v>0</v>
      </c>
      <c r="D13" s="20">
        <f>IF($A13="","", $C13 * ( $B13 + ((Inputs!$D18*'Scenario Explorer'!$C$16)*(Inputs!$G18*'Scenario Explorer'!$F$16)*$K$3) ) )</f>
        <v>0</v>
      </c>
      <c r="E13" s="20">
        <f>IF($A13="","", $C13 * ( ((Inputs!$E18*'Scenario Explorer'!$D$16) + (Inputs!$D18*'Scenario Explorer'!$C$16)*(IF(Inputs!$F18="", Inputs!$B$6, Inputs!$F18)*'Scenario Explorer'!$E$16)) * $K$3 ) )</f>
        <v>0</v>
      </c>
      <c r="F13" s="20">
        <f t="shared" si="0"/>
        <v>0</v>
      </c>
      <c r="G13" s="21" t="str">
        <f t="shared" si="1"/>
        <v/>
      </c>
      <c r="H13" s="18" t="str">
        <f t="shared" si="2"/>
        <v/>
      </c>
      <c r="I13" s="18" t="e">
        <f t="shared" si="3"/>
        <v>#VALUE!</v>
      </c>
      <c r="J13" s="22" t="str">
        <f>IF($A13="","", IF(Inputs!$B$5="","", IF($I13=0,"", Inputs!$B$5/$I13)))</f>
        <v/>
      </c>
      <c r="K13" s="23" t="str">
        <f>IF($A13="","", IF(AND($G13&gt;=MAX($G$7:$G$18), OR(Inputs!$B$5="", $J13&lt;=MIN($J$7:$J$18))), "BEST", ""))</f>
        <v>BEST</v>
      </c>
    </row>
    <row r="14" spans="1:11" x14ac:dyDescent="0.2">
      <c r="A14" s="17">
        <f>Inputs!$A19</f>
        <v>0</v>
      </c>
      <c r="B14" s="18">
        <f>IF($A14="","", Inputs!$B19*'Scenario Explorer'!$A$16)</f>
        <v>0</v>
      </c>
      <c r="C14" s="19">
        <f>IF($A14="","", Inputs!$C19*'Scenario Explorer'!$B$16)</f>
        <v>0</v>
      </c>
      <c r="D14" s="20">
        <f>IF($A14="","", $C14 * ( $B14 + ((Inputs!$D19*'Scenario Explorer'!$C$16)*(Inputs!$G19*'Scenario Explorer'!$F$16)*$K$3) ) )</f>
        <v>0</v>
      </c>
      <c r="E14" s="20">
        <f>IF($A14="","", $C14 * ( ((Inputs!$E19*'Scenario Explorer'!$D$16) + (Inputs!$D19*'Scenario Explorer'!$C$16)*(IF(Inputs!$F19="", Inputs!$B$6, Inputs!$F19)*'Scenario Explorer'!$E$16)) * $K$3 ) )</f>
        <v>0</v>
      </c>
      <c r="F14" s="20">
        <f t="shared" si="0"/>
        <v>0</v>
      </c>
      <c r="G14" s="21" t="str">
        <f t="shared" si="1"/>
        <v/>
      </c>
      <c r="H14" s="18" t="str">
        <f t="shared" si="2"/>
        <v/>
      </c>
      <c r="I14" s="18" t="e">
        <f t="shared" si="3"/>
        <v>#VALUE!</v>
      </c>
      <c r="J14" s="22" t="str">
        <f>IF($A14="","", IF(Inputs!$B$5="","", IF($I14=0,"", Inputs!$B$5/$I14)))</f>
        <v/>
      </c>
      <c r="K14" s="23" t="str">
        <f>IF($A14="","", IF(AND($G14&gt;=MAX($G$7:$G$18), OR(Inputs!$B$5="", $J14&lt;=MIN($J$7:$J$18))), "BEST", ""))</f>
        <v>BEST</v>
      </c>
    </row>
    <row r="15" spans="1:11" x14ac:dyDescent="0.2">
      <c r="A15" s="17">
        <f>Inputs!$A20</f>
        <v>0</v>
      </c>
      <c r="B15" s="18">
        <f>IF($A15="","", Inputs!$B20*'Scenario Explorer'!$A$16)</f>
        <v>0</v>
      </c>
      <c r="C15" s="19">
        <f>IF($A15="","", Inputs!$C20*'Scenario Explorer'!$B$16)</f>
        <v>0</v>
      </c>
      <c r="D15" s="20">
        <f>IF($A15="","", $C15 * ( $B15 + ((Inputs!$D20*'Scenario Explorer'!$C$16)*(Inputs!$G20*'Scenario Explorer'!$F$16)*$K$3) ) )</f>
        <v>0</v>
      </c>
      <c r="E15" s="20">
        <f>IF($A15="","", $C15 * ( ((Inputs!$E20*'Scenario Explorer'!$D$16) + (Inputs!$D20*'Scenario Explorer'!$C$16)*(IF(Inputs!$F20="", Inputs!$B$6, Inputs!$F20)*'Scenario Explorer'!$E$16)) * $K$3 ) )</f>
        <v>0</v>
      </c>
      <c r="F15" s="20">
        <f t="shared" si="0"/>
        <v>0</v>
      </c>
      <c r="G15" s="21" t="str">
        <f t="shared" si="1"/>
        <v/>
      </c>
      <c r="H15" s="18" t="str">
        <f t="shared" si="2"/>
        <v/>
      </c>
      <c r="I15" s="18" t="e">
        <f t="shared" si="3"/>
        <v>#VALUE!</v>
      </c>
      <c r="J15" s="22" t="str">
        <f>IF($A15="","", IF(Inputs!$B$5="","", IF($I15=0,"", Inputs!$B$5/$I15)))</f>
        <v/>
      </c>
      <c r="K15" s="23" t="str">
        <f>IF($A15="","", IF(AND($G15&gt;=MAX($G$7:$G$18), OR(Inputs!$B$5="", $J15&lt;=MIN($J$7:$J$18))), "BEST", ""))</f>
        <v>BEST</v>
      </c>
    </row>
    <row r="16" spans="1:11" x14ac:dyDescent="0.2">
      <c r="A16" s="17">
        <f>Inputs!$A21</f>
        <v>0</v>
      </c>
      <c r="B16" s="18">
        <f>IF($A16="","", Inputs!$B21*'Scenario Explorer'!$A$16)</f>
        <v>0</v>
      </c>
      <c r="C16" s="19">
        <f>IF($A16="","", Inputs!$C21*'Scenario Explorer'!$B$16)</f>
        <v>0</v>
      </c>
      <c r="D16" s="20">
        <f>IF($A16="","", $C16 * ( $B16 + ((Inputs!$D21*'Scenario Explorer'!$C$16)*(Inputs!$G21*'Scenario Explorer'!$F$16)*$K$3) ) )</f>
        <v>0</v>
      </c>
      <c r="E16" s="20">
        <f>IF($A16="","", $C16 * ( ((Inputs!$E21*'Scenario Explorer'!$D$16) + (Inputs!$D21*'Scenario Explorer'!$C$16)*(IF(Inputs!$F21="", Inputs!$B$6, Inputs!$F21)*'Scenario Explorer'!$E$16)) * $K$3 ) )</f>
        <v>0</v>
      </c>
      <c r="F16" s="20">
        <f t="shared" si="0"/>
        <v>0</v>
      </c>
      <c r="G16" s="21" t="str">
        <f t="shared" si="1"/>
        <v/>
      </c>
      <c r="H16" s="18" t="str">
        <f t="shared" si="2"/>
        <v/>
      </c>
      <c r="I16" s="18" t="e">
        <f t="shared" si="3"/>
        <v>#VALUE!</v>
      </c>
      <c r="J16" s="22" t="str">
        <f>IF($A16="","", IF(Inputs!$B$5="","", IF($I16=0,"", Inputs!$B$5/$I16)))</f>
        <v/>
      </c>
      <c r="K16" s="23" t="str">
        <f>IF($A16="","", IF(AND($G16&gt;=MAX($G$7:$G$18), OR(Inputs!$B$5="", $J16&lt;=MIN($J$7:$J$18))), "BEST", ""))</f>
        <v>BEST</v>
      </c>
    </row>
    <row r="17" spans="1:11" x14ac:dyDescent="0.2">
      <c r="A17" s="17">
        <f>Inputs!$A22</f>
        <v>0</v>
      </c>
      <c r="B17" s="18">
        <f>IF($A17="","", Inputs!$B22*'Scenario Explorer'!$A$16)</f>
        <v>0</v>
      </c>
      <c r="C17" s="19">
        <f>IF($A17="","", Inputs!$C22*'Scenario Explorer'!$B$16)</f>
        <v>0</v>
      </c>
      <c r="D17" s="20">
        <f>IF($A17="","", $C17 * ( $B17 + ((Inputs!$D22*'Scenario Explorer'!$C$16)*(Inputs!$G22*'Scenario Explorer'!$F$16)*$K$3) ) )</f>
        <v>0</v>
      </c>
      <c r="E17" s="20">
        <f>IF($A17="","", $C17 * ( ((Inputs!$E22*'Scenario Explorer'!$D$16) + (Inputs!$D22*'Scenario Explorer'!$C$16)*(IF(Inputs!$F22="", Inputs!$B$6, Inputs!$F22)*'Scenario Explorer'!$E$16)) * $K$3 ) )</f>
        <v>0</v>
      </c>
      <c r="F17" s="20">
        <f t="shared" si="0"/>
        <v>0</v>
      </c>
      <c r="G17" s="21" t="str">
        <f t="shared" si="1"/>
        <v/>
      </c>
      <c r="H17" s="18" t="str">
        <f t="shared" si="2"/>
        <v/>
      </c>
      <c r="I17" s="18" t="e">
        <f t="shared" si="3"/>
        <v>#VALUE!</v>
      </c>
      <c r="J17" s="22" t="str">
        <f>IF($A17="","", IF(Inputs!$B$5="","", IF($I17=0,"", Inputs!$B$5/$I17)))</f>
        <v/>
      </c>
      <c r="K17" s="23" t="str">
        <f>IF($A17="","", IF(AND($G17&gt;=MAX($G$7:$G$18), OR(Inputs!$B$5="", $J17&lt;=MIN($J$7:$J$18))), "BEST", ""))</f>
        <v>BEST</v>
      </c>
    </row>
    <row r="18" spans="1:11" x14ac:dyDescent="0.2">
      <c r="A18" s="17">
        <f>Inputs!$A23</f>
        <v>0</v>
      </c>
      <c r="B18" s="18">
        <f>IF($A18="","", Inputs!$B23*'Scenario Explorer'!$A$16)</f>
        <v>0</v>
      </c>
      <c r="C18" s="19">
        <f>IF($A18="","", Inputs!$C23*'Scenario Explorer'!$B$16)</f>
        <v>0</v>
      </c>
      <c r="D18" s="20">
        <f>IF($A18="","", $C18 * ( $B18 + ((Inputs!$D23*'Scenario Explorer'!$C$16)*(Inputs!$G23*'Scenario Explorer'!$F$16)*$K$3) ) )</f>
        <v>0</v>
      </c>
      <c r="E18" s="20">
        <f>IF($A18="","", $C18 * ( ((Inputs!$E23*'Scenario Explorer'!$D$16) + (Inputs!$D23*'Scenario Explorer'!$C$16)*(IF(Inputs!$F23="", Inputs!$B$6, Inputs!$F23)*'Scenario Explorer'!$E$16)) * $K$3 ) )</f>
        <v>0</v>
      </c>
      <c r="F18" s="20">
        <f t="shared" si="0"/>
        <v>0</v>
      </c>
      <c r="G18" s="21" t="str">
        <f t="shared" si="1"/>
        <v/>
      </c>
      <c r="H18" s="18" t="str">
        <f t="shared" si="2"/>
        <v/>
      </c>
      <c r="I18" s="18" t="e">
        <f t="shared" si="3"/>
        <v>#VALUE!</v>
      </c>
      <c r="J18" s="22" t="str">
        <f>IF($A18="","", IF(Inputs!$B$5="","", IF($I18=0,"", Inputs!$B$5/$I18)))</f>
        <v/>
      </c>
      <c r="K18" s="23" t="str">
        <f>IF($A18="","", IF(AND($G18&gt;=MAX($G$7:$G$18), OR(Inputs!$B$5="", $J18&lt;=MIN($J$7:$J$18))), "BEST", ""))</f>
        <v>BEST</v>
      </c>
    </row>
    <row r="19" spans="1:11" x14ac:dyDescent="0.2">
      <c r="A19" s="24" t="s">
        <v>49</v>
      </c>
      <c r="B19" s="25"/>
      <c r="C19" s="25"/>
      <c r="D19" s="26">
        <f>SUM($D$7:$D$18)</f>
        <v>114539.90399999998</v>
      </c>
      <c r="E19" s="26">
        <f>SUM($E$7:$E$18)</f>
        <v>14998.896000000001</v>
      </c>
      <c r="F19" s="26">
        <f>SUM($F$7:$F$18)</f>
        <v>99541.008000000002</v>
      </c>
      <c r="G19" s="27">
        <f>IF($D19=0,"", $F19/$D19)</f>
        <v>0.8690509117241797</v>
      </c>
      <c r="H19" s="28">
        <f>IF(SUM($C$7:$C$18)=0,"", $D19/SUM($C$7:$C$18))</f>
        <v>54.856275862068955</v>
      </c>
      <c r="I19" s="25"/>
      <c r="J19" s="29" t="str">
        <f>IF(Inputs!$B$5="","", AVERAGEIF($J$7:$J$18,"&gt;0"))</f>
        <v/>
      </c>
      <c r="K19" s="25"/>
    </row>
    <row r="21" spans="1:11" ht="15.75" customHeight="1" x14ac:dyDescent="0.2"/>
    <row r="22" spans="1:11" ht="15.75" customHeight="1" x14ac:dyDescent="0.2"/>
    <row r="23" spans="1:11" ht="15.75" customHeight="1" x14ac:dyDescent="0.2"/>
    <row r="24" spans="1:11" ht="15.75" customHeight="1" x14ac:dyDescent="0.2"/>
    <row r="25" spans="1:11" ht="15.75" customHeight="1" x14ac:dyDescent="0.2"/>
    <row r="26" spans="1:11" ht="15.75" customHeight="1" x14ac:dyDescent="0.2"/>
    <row r="27" spans="1:11" ht="15.75" customHeight="1" x14ac:dyDescent="0.2"/>
    <row r="28" spans="1:11" ht="15.75" customHeight="1" x14ac:dyDescent="0.2"/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K1"/>
  </mergeCells>
  <conditionalFormatting sqref="A7:K18">
    <cfRule type="expression" dxfId="0" priority="1">
      <formula>$K7="BEST"</formula>
    </cfRule>
  </conditionalFormatting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showGridLines="0" workbookViewId="0"/>
  </sheetViews>
  <sheetFormatPr baseColWidth="10" defaultColWidth="14.5" defaultRowHeight="15" customHeight="1" x14ac:dyDescent="0.2"/>
  <cols>
    <col min="1" max="1" width="22" customWidth="1"/>
    <col min="2" max="2" width="20" customWidth="1"/>
    <col min="3" max="7" width="18" customWidth="1"/>
    <col min="8" max="8" width="24" customWidth="1"/>
    <col min="9" max="26" width="8.6640625" customWidth="1"/>
  </cols>
  <sheetData>
    <row r="1" spans="1:8" ht="27.75" customHeight="1" x14ac:dyDescent="0.2">
      <c r="A1" s="42" t="s">
        <v>50</v>
      </c>
      <c r="B1" s="43"/>
      <c r="C1" s="43"/>
      <c r="D1" s="43"/>
      <c r="E1" s="43"/>
      <c r="F1" s="43"/>
      <c r="G1" s="43"/>
      <c r="H1" s="44"/>
    </row>
    <row r="3" spans="1:8" ht="19.5" customHeight="1" x14ac:dyDescent="0.2">
      <c r="A3" s="45" t="s">
        <v>51</v>
      </c>
      <c r="B3" s="43"/>
      <c r="C3" s="43"/>
      <c r="D3" s="43"/>
      <c r="E3" s="43"/>
      <c r="F3" s="43"/>
      <c r="G3" s="43"/>
      <c r="H3" s="44"/>
    </row>
    <row r="4" spans="1:8" x14ac:dyDescent="0.2">
      <c r="A4" s="1" t="s">
        <v>52</v>
      </c>
      <c r="B4" s="2" t="s">
        <v>53</v>
      </c>
      <c r="D4" s="46" t="s">
        <v>54</v>
      </c>
      <c r="E4" s="40"/>
      <c r="F4" s="40"/>
      <c r="G4" s="40"/>
      <c r="H4" s="40"/>
    </row>
    <row r="5" spans="1:8" x14ac:dyDescent="0.2">
      <c r="A5" s="1" t="s">
        <v>55</v>
      </c>
      <c r="B5" s="2" t="s">
        <v>56</v>
      </c>
      <c r="D5" s="40"/>
      <c r="E5" s="40"/>
      <c r="F5" s="40"/>
      <c r="G5" s="40"/>
      <c r="H5" s="40"/>
    </row>
    <row r="7" spans="1:8" ht="16" x14ac:dyDescent="0.2">
      <c r="A7" s="39" t="s">
        <v>57</v>
      </c>
      <c r="B7" s="40"/>
      <c r="C7" s="40"/>
      <c r="D7" s="40"/>
      <c r="E7" s="40"/>
      <c r="F7" s="40"/>
      <c r="G7" s="40"/>
      <c r="H7" s="40"/>
    </row>
    <row r="8" spans="1:8" ht="30" customHeight="1" x14ac:dyDescent="0.2">
      <c r="A8" s="6" t="s">
        <v>52</v>
      </c>
      <c r="B8" s="6" t="s">
        <v>58</v>
      </c>
      <c r="C8" s="6" t="s">
        <v>59</v>
      </c>
      <c r="D8" s="6" t="s">
        <v>60</v>
      </c>
      <c r="E8" s="6" t="s">
        <v>61</v>
      </c>
      <c r="F8" s="6" t="s">
        <v>62</v>
      </c>
      <c r="G8" s="6" t="s">
        <v>63</v>
      </c>
      <c r="H8" s="6" t="s">
        <v>22</v>
      </c>
    </row>
    <row r="9" spans="1:8" ht="18" customHeight="1" x14ac:dyDescent="0.2">
      <c r="A9" s="30" t="s">
        <v>64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2" t="s">
        <v>65</v>
      </c>
    </row>
    <row r="10" spans="1:8" ht="18" customHeight="1" x14ac:dyDescent="0.2">
      <c r="A10" s="30" t="s">
        <v>53</v>
      </c>
      <c r="B10" s="31">
        <v>0.7</v>
      </c>
      <c r="C10" s="31">
        <v>1.8</v>
      </c>
      <c r="D10" s="31">
        <v>1.2</v>
      </c>
      <c r="E10" s="31">
        <v>1.1000000000000001</v>
      </c>
      <c r="F10" s="31">
        <v>1.1000000000000001</v>
      </c>
      <c r="G10" s="31">
        <v>0.9</v>
      </c>
      <c r="H10" s="32" t="s">
        <v>66</v>
      </c>
    </row>
    <row r="11" spans="1:8" ht="18" customHeight="1" x14ac:dyDescent="0.2">
      <c r="A11" s="30" t="s">
        <v>67</v>
      </c>
      <c r="B11" s="31">
        <v>1.4</v>
      </c>
      <c r="C11" s="31">
        <v>0.6</v>
      </c>
      <c r="D11" s="31">
        <v>1.5</v>
      </c>
      <c r="E11" s="31">
        <v>1.3</v>
      </c>
      <c r="F11" s="31">
        <v>1.2</v>
      </c>
      <c r="G11" s="31">
        <v>1.1000000000000001</v>
      </c>
      <c r="H11" s="32" t="s">
        <v>68</v>
      </c>
    </row>
    <row r="12" spans="1:8" ht="18" customHeight="1" x14ac:dyDescent="0.2">
      <c r="A12" s="30" t="s">
        <v>69</v>
      </c>
      <c r="B12" s="31">
        <v>1</v>
      </c>
      <c r="C12" s="31">
        <v>1</v>
      </c>
      <c r="D12" s="31">
        <v>2.5</v>
      </c>
      <c r="E12" s="31">
        <v>1.4</v>
      </c>
      <c r="F12" s="31">
        <v>1.4</v>
      </c>
      <c r="G12" s="31">
        <v>1.2</v>
      </c>
      <c r="H12" s="32" t="s">
        <v>70</v>
      </c>
    </row>
    <row r="14" spans="1:8" ht="19.5" customHeight="1" x14ac:dyDescent="0.2">
      <c r="A14" s="39" t="s">
        <v>71</v>
      </c>
      <c r="B14" s="40"/>
      <c r="C14" s="40"/>
      <c r="D14" s="40"/>
      <c r="E14" s="40"/>
      <c r="F14" s="40"/>
      <c r="G14" s="40"/>
      <c r="H14" s="40"/>
    </row>
    <row r="15" spans="1:8" ht="18" customHeight="1" x14ac:dyDescent="0.2">
      <c r="A15" s="1" t="s">
        <v>58</v>
      </c>
      <c r="B15" s="1" t="s">
        <v>59</v>
      </c>
      <c r="C15" s="1" t="s">
        <v>60</v>
      </c>
      <c r="D15" s="1" t="s">
        <v>61</v>
      </c>
      <c r="E15" s="1" t="s">
        <v>62</v>
      </c>
      <c r="F15" s="1" t="s">
        <v>63</v>
      </c>
    </row>
    <row r="16" spans="1:8" ht="18" customHeight="1" x14ac:dyDescent="0.2">
      <c r="A16" s="33">
        <f t="array" ref="A16">IF($B$5="Preset", INDEX($B$9:$B$12, MATCH($B$4, $A$9:$A$12, 0)), $A$18)</f>
        <v>0.7</v>
      </c>
      <c r="B16" s="33">
        <f t="array" ref="B16">IF($B$5="Preset", INDEX($C$9:$C$12, MATCH($B$4, $A$9:$A$12, 0)), $B$18)</f>
        <v>1.8</v>
      </c>
      <c r="C16" s="33">
        <f t="array" ref="C16">IF($B$5="Preset", INDEX($D$9:$D$12, MATCH($B$4, $A$9:$A$12, 0)), $C$18)</f>
        <v>1.2</v>
      </c>
      <c r="D16" s="33">
        <f t="array" ref="D16">IF($B$5="Preset", INDEX($E$9:$E$12, MATCH($B$4, $A$9:$A$12, 0)), $D$18)</f>
        <v>1.1000000000000001</v>
      </c>
      <c r="E16" s="33">
        <f t="array" ref="E16">IF($B$5="Preset", INDEX($F$9:$F$12, MATCH($B$4, $A$9:$A$12, 0)), $E$18)</f>
        <v>1.1000000000000001</v>
      </c>
      <c r="F16" s="33">
        <f t="array" ref="F16">IF($B$5="Preset", INDEX($G$9:$G$12, MATCH($B$4, $A$9:$A$12, 0)), $F$18)</f>
        <v>0.9</v>
      </c>
    </row>
    <row r="17" spans="1:8" x14ac:dyDescent="0.2">
      <c r="A17" s="47" t="s">
        <v>72</v>
      </c>
      <c r="B17" s="40"/>
      <c r="C17" s="40"/>
      <c r="D17" s="40"/>
      <c r="E17" s="40"/>
      <c r="F17" s="40"/>
      <c r="G17" s="40"/>
      <c r="H17" s="40"/>
    </row>
    <row r="18" spans="1:8" ht="18" customHeight="1" x14ac:dyDescent="0.2">
      <c r="A18" s="34">
        <v>1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46" t="s">
        <v>73</v>
      </c>
      <c r="H18" s="40"/>
    </row>
    <row r="20" spans="1:8" ht="16" x14ac:dyDescent="0.2">
      <c r="A20" s="39" t="s">
        <v>74</v>
      </c>
      <c r="B20" s="40"/>
      <c r="C20" s="40"/>
      <c r="D20" s="40"/>
      <c r="E20" s="40"/>
      <c r="F20" s="40"/>
      <c r="G20" s="40"/>
      <c r="H20" s="40"/>
    </row>
    <row r="21" spans="1:8" ht="15.75" customHeight="1" x14ac:dyDescent="0.2">
      <c r="A21" s="1" t="s">
        <v>75</v>
      </c>
      <c r="B21" s="35">
        <f>'Unit Economics'!$D$19</f>
        <v>114539.90399999998</v>
      </c>
    </row>
    <row r="22" spans="1:8" ht="15.75" customHeight="1" x14ac:dyDescent="0.2">
      <c r="A22" s="1" t="s">
        <v>76</v>
      </c>
      <c r="B22" s="36">
        <f>'Unit Economics'!$G$19</f>
        <v>0.8690509117241797</v>
      </c>
    </row>
    <row r="23" spans="1:8" ht="15.75" customHeight="1" x14ac:dyDescent="0.2">
      <c r="A23" s="1" t="s">
        <v>77</v>
      </c>
      <c r="B23" s="37" t="str">
        <f>'Unit Economics'!$J$19</f>
        <v/>
      </c>
    </row>
    <row r="24" spans="1:8" ht="15.75" customHeight="1" x14ac:dyDescent="0.2">
      <c r="A24" s="1" t="s">
        <v>78</v>
      </c>
      <c r="B24" s="38" t="str">
        <f t="array" ref="B24">IFERROR(INDEX('Unit Economics'!$A$7:$A$18, MATCH("BEST",'Unit Economics'!$K$7:$K$18,0)),"")</f>
        <v>Business</v>
      </c>
    </row>
    <row r="25" spans="1:8" ht="15.75" customHeight="1" x14ac:dyDescent="0.2"/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17:H17"/>
    <mergeCell ref="G18:H18"/>
    <mergeCell ref="A20:H20"/>
    <mergeCell ref="A1:H1"/>
    <mergeCell ref="A3:H3"/>
    <mergeCell ref="D4:H5"/>
    <mergeCell ref="A7:H7"/>
    <mergeCell ref="A14:H14"/>
  </mergeCells>
  <dataValidations count="2">
    <dataValidation type="list" allowBlank="1" sqref="B5" xr:uid="{00000000-0002-0000-0200-000000000000}">
      <formula1>"Preset,Custom"</formula1>
    </dataValidation>
    <dataValidation type="list" allowBlank="1" sqref="B4" xr:uid="{00000000-0002-0000-0200-000001000000}">
      <formula1>"Base,Cheap / Volume,Premium / Fewer Customers,Usage-Based Hybrid"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 x14ac:dyDescent="0.2"/>
  <cols>
    <col min="1" max="8" width="18" customWidth="1"/>
    <col min="9" max="26" width="8.6640625" customWidth="1"/>
  </cols>
  <sheetData>
    <row r="1" spans="1:8" ht="27.75" customHeight="1" x14ac:dyDescent="0.2">
      <c r="A1" s="42" t="s">
        <v>79</v>
      </c>
      <c r="B1" s="43"/>
      <c r="C1" s="43"/>
      <c r="D1" s="43"/>
      <c r="E1" s="43"/>
      <c r="F1" s="43"/>
      <c r="G1" s="43"/>
      <c r="H1" s="44"/>
    </row>
    <row r="3" spans="1:8" x14ac:dyDescent="0.2">
      <c r="A3" s="51" t="s">
        <v>41</v>
      </c>
      <c r="B3" s="40"/>
      <c r="C3" s="51" t="s">
        <v>76</v>
      </c>
      <c r="D3" s="40"/>
      <c r="E3" s="51" t="s">
        <v>77</v>
      </c>
      <c r="F3" s="40"/>
      <c r="G3" s="51" t="s">
        <v>80</v>
      </c>
      <c r="H3" s="40"/>
    </row>
    <row r="4" spans="1:8" ht="19" x14ac:dyDescent="0.2">
      <c r="A4" s="52">
        <f>'Unit Economics'!$D$19</f>
        <v>114539.90399999998</v>
      </c>
      <c r="B4" s="49"/>
      <c r="C4" s="53">
        <f>'Unit Economics'!$G$19</f>
        <v>0.8690509117241797</v>
      </c>
      <c r="D4" s="49"/>
      <c r="E4" s="48" t="str">
        <f>'Unit Economics'!$J$19</f>
        <v/>
      </c>
      <c r="F4" s="49"/>
      <c r="G4" s="50" t="str">
        <f>'Scenario Explorer'!$B$24</f>
        <v>Business</v>
      </c>
      <c r="H4" s="49"/>
    </row>
    <row r="6" spans="1:8" x14ac:dyDescent="0.2">
      <c r="A6" s="54" t="s">
        <v>81</v>
      </c>
      <c r="B6" s="40"/>
      <c r="C6" s="40"/>
      <c r="D6" s="40"/>
      <c r="E6" s="40"/>
      <c r="F6" s="40"/>
      <c r="G6" s="40"/>
      <c r="H6" s="4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A6:H6"/>
    <mergeCell ref="E4:F4"/>
    <mergeCell ref="G4:H4"/>
    <mergeCell ref="A1:H1"/>
    <mergeCell ref="A3:B3"/>
    <mergeCell ref="C3:D3"/>
    <mergeCell ref="E3:F3"/>
    <mergeCell ref="G3:H3"/>
    <mergeCell ref="A4:B4"/>
    <mergeCell ref="C4:D4"/>
  </mergeCells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Unit Economics</vt:lpstr>
      <vt:lpstr>Scenario Explorer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Watson</cp:lastModifiedBy>
  <dcterms:created xsi:type="dcterms:W3CDTF">2025-12-31T07:56:46Z</dcterms:created>
  <dcterms:modified xsi:type="dcterms:W3CDTF">2026-01-04T13:21:09Z</dcterms:modified>
</cp:coreProperties>
</file>