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taylordavidson/Downloads/"/>
    </mc:Choice>
  </mc:AlternateContent>
  <xr:revisionPtr revIDLastSave="0" documentId="13_ncr:1_{681AD11C-080B-AC49-BC4A-E81E5BC1F75A}" xr6:coauthVersionLast="47" xr6:coauthVersionMax="47" xr10:uidLastSave="{00000000-0000-0000-0000-000000000000}"/>
  <bookViews>
    <workbookView xWindow="0" yWindow="640" windowWidth="29400" windowHeight="18480" xr2:uid="{00000000-000D-0000-FFFF-FFFF00000000}"/>
  </bookViews>
  <sheets>
    <sheet name="README" sheetId="1" r:id="rId1"/>
    <sheet name="License" sheetId="2" r:id="rId2"/>
    <sheet name="Cap Table" sheetId="3" r:id="rId3"/>
    <sheet name="Exit Waterfall" sheetId="4" r:id="rId4"/>
    <sheet name="Exit Waterfall, with Convertibl" sheetId="5" r:id="rId5"/>
    <sheet name="Cap Table, with Anti Dilution" sheetId="6" r:id="rId6"/>
    <sheet name="Cap Table, Issuing Equity" sheetId="7" r:id="rId7"/>
    <sheet name="Cap Table, Issuing Options" sheetId="8" r:id="rId8"/>
    <sheet name="Cap Table, Converting SAFEs and" sheetId="9" r:id="rId9"/>
    <sheet name="Resources" sheetId="10" r:id="rId10"/>
    <sheet name="Glossary" sheetId="11" r:id="rId11"/>
    <sheet name="Changelog"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5" i="9" l="1"/>
  <c r="V53" i="9"/>
  <c r="Q53" i="9"/>
  <c r="V52" i="9"/>
  <c r="Q52" i="9"/>
  <c r="V51" i="9"/>
  <c r="M18" i="9" s="1"/>
  <c r="Q51" i="9"/>
  <c r="V50" i="9"/>
  <c r="V55" i="9" s="1"/>
  <c r="Q50" i="9"/>
  <c r="M43" i="9"/>
  <c r="K41" i="9"/>
  <c r="P29" i="9"/>
  <c r="O29" i="9"/>
  <c r="K29" i="9"/>
  <c r="E29" i="9"/>
  <c r="D29" i="9"/>
  <c r="C29" i="9"/>
  <c r="U27" i="9"/>
  <c r="S27" i="9"/>
  <c r="H27" i="9"/>
  <c r="F27" i="9"/>
  <c r="G27" i="9" s="1"/>
  <c r="U26" i="9"/>
  <c r="S26" i="9"/>
  <c r="H26" i="9"/>
  <c r="F26" i="9"/>
  <c r="U25" i="9"/>
  <c r="S25" i="9"/>
  <c r="H25" i="9"/>
  <c r="I25" i="9" s="1"/>
  <c r="F25" i="9"/>
  <c r="U24" i="9"/>
  <c r="S24" i="9"/>
  <c r="H24" i="9"/>
  <c r="F24" i="9"/>
  <c r="U23" i="9"/>
  <c r="U29" i="9" s="1"/>
  <c r="S23" i="9"/>
  <c r="H23" i="9"/>
  <c r="F23" i="9"/>
  <c r="G23" i="9" s="1"/>
  <c r="U20" i="9"/>
  <c r="S20" i="9"/>
  <c r="M20" i="9"/>
  <c r="H20" i="9"/>
  <c r="I20" i="9" s="1"/>
  <c r="F20" i="9"/>
  <c r="B20" i="9"/>
  <c r="U19" i="9"/>
  <c r="S19" i="9"/>
  <c r="M19" i="9"/>
  <c r="H19" i="9"/>
  <c r="F19" i="9"/>
  <c r="B19" i="9"/>
  <c r="U18" i="9"/>
  <c r="S18" i="9"/>
  <c r="H18" i="9"/>
  <c r="F18" i="9"/>
  <c r="B18" i="9"/>
  <c r="U17" i="9"/>
  <c r="S17" i="9"/>
  <c r="M17" i="9"/>
  <c r="H17" i="9"/>
  <c r="F17" i="9"/>
  <c r="G17" i="9" s="1"/>
  <c r="B17" i="9"/>
  <c r="V14" i="9"/>
  <c r="U14" i="9"/>
  <c r="T14" i="9"/>
  <c r="S14" i="9"/>
  <c r="X14" i="9" s="1"/>
  <c r="H14" i="9"/>
  <c r="F14" i="9"/>
  <c r="G14" i="9" s="1"/>
  <c r="U13" i="9"/>
  <c r="X13" i="9" s="1"/>
  <c r="T13" i="9"/>
  <c r="V13" i="9" s="1"/>
  <c r="S13" i="9"/>
  <c r="H13" i="9"/>
  <c r="F13" i="9"/>
  <c r="U12" i="9"/>
  <c r="T12" i="9"/>
  <c r="X12" i="9" s="1"/>
  <c r="S12" i="9"/>
  <c r="H12" i="9"/>
  <c r="I12" i="9" s="1"/>
  <c r="F12" i="9"/>
  <c r="U11" i="9"/>
  <c r="T11" i="9"/>
  <c r="V11" i="9" s="1"/>
  <c r="S11" i="9"/>
  <c r="X11" i="9" s="1"/>
  <c r="H11" i="9"/>
  <c r="F11" i="9"/>
  <c r="F29" i="9" s="1"/>
  <c r="V10" i="9"/>
  <c r="U10" i="9"/>
  <c r="X10" i="9" s="1"/>
  <c r="T10" i="9"/>
  <c r="S10" i="9"/>
  <c r="S29" i="9" s="1"/>
  <c r="H10" i="9"/>
  <c r="H29" i="9" s="1"/>
  <c r="F10" i="9"/>
  <c r="Y7" i="9"/>
  <c r="X7" i="9"/>
  <c r="W7" i="9"/>
  <c r="V7" i="9"/>
  <c r="U7" i="9"/>
  <c r="T7" i="9"/>
  <c r="S7" i="9"/>
  <c r="R7" i="9"/>
  <c r="Q7" i="9"/>
  <c r="P7" i="9"/>
  <c r="M49" i="8"/>
  <c r="M50" i="8" s="1"/>
  <c r="O19" i="8" s="1"/>
  <c r="M47" i="8"/>
  <c r="M42" i="8"/>
  <c r="K40" i="8"/>
  <c r="P28" i="8"/>
  <c r="M28" i="8"/>
  <c r="K28" i="8"/>
  <c r="E28" i="8"/>
  <c r="D28" i="8"/>
  <c r="C28" i="8"/>
  <c r="U26" i="8"/>
  <c r="S26" i="8"/>
  <c r="H26" i="8"/>
  <c r="F26" i="8"/>
  <c r="U25" i="8"/>
  <c r="S25" i="8"/>
  <c r="H25" i="8"/>
  <c r="F25" i="8"/>
  <c r="U24" i="8"/>
  <c r="S24" i="8"/>
  <c r="H24" i="8"/>
  <c r="F24" i="8"/>
  <c r="U23" i="8"/>
  <c r="S23" i="8"/>
  <c r="H23" i="8"/>
  <c r="F23" i="8"/>
  <c r="U22" i="8"/>
  <c r="S22" i="8"/>
  <c r="H22" i="8"/>
  <c r="F22" i="8"/>
  <c r="T19" i="8"/>
  <c r="V19" i="8" s="1"/>
  <c r="S19" i="8"/>
  <c r="R19" i="8"/>
  <c r="R18" i="8" s="1"/>
  <c r="U18" i="8" s="1"/>
  <c r="X18" i="8" s="1"/>
  <c r="H19" i="8"/>
  <c r="F19" i="8"/>
  <c r="T18" i="8"/>
  <c r="V18" i="8" s="1"/>
  <c r="S18" i="8"/>
  <c r="H18" i="8"/>
  <c r="F18" i="8"/>
  <c r="T17" i="8"/>
  <c r="V17" i="8" s="1"/>
  <c r="S17" i="8"/>
  <c r="R17" i="8"/>
  <c r="U17" i="8" s="1"/>
  <c r="X17" i="8" s="1"/>
  <c r="H17" i="8"/>
  <c r="F17" i="8"/>
  <c r="B17" i="8"/>
  <c r="V14" i="8"/>
  <c r="U14" i="8"/>
  <c r="X14" i="8" s="1"/>
  <c r="T14" i="8"/>
  <c r="S14" i="8"/>
  <c r="H14" i="8"/>
  <c r="F14" i="8"/>
  <c r="X13" i="8"/>
  <c r="U13" i="8"/>
  <c r="T13" i="8"/>
  <c r="V13" i="8" s="1"/>
  <c r="S13" i="8"/>
  <c r="H13" i="8"/>
  <c r="F13" i="8"/>
  <c r="U12" i="8"/>
  <c r="T12" i="8"/>
  <c r="S12" i="8"/>
  <c r="V12" i="8" s="1"/>
  <c r="H12" i="8"/>
  <c r="F12" i="8"/>
  <c r="X11" i="8"/>
  <c r="V11" i="8"/>
  <c r="U11" i="8"/>
  <c r="T11" i="8"/>
  <c r="S11" i="8"/>
  <c r="H11" i="8"/>
  <c r="F11" i="8"/>
  <c r="F28" i="8" s="1"/>
  <c r="U10" i="8"/>
  <c r="X10" i="8" s="1"/>
  <c r="T10" i="8"/>
  <c r="S10" i="8"/>
  <c r="H10" i="8"/>
  <c r="F10" i="8"/>
  <c r="Y7" i="8"/>
  <c r="X7" i="8"/>
  <c r="W7" i="8"/>
  <c r="V7" i="8"/>
  <c r="U7" i="8"/>
  <c r="T7" i="8"/>
  <c r="S7" i="8"/>
  <c r="R7" i="8"/>
  <c r="Q7" i="8"/>
  <c r="P7" i="8"/>
  <c r="K33" i="7"/>
  <c r="P23" i="7"/>
  <c r="O23" i="7"/>
  <c r="M23" i="7"/>
  <c r="K23" i="7"/>
  <c r="E23" i="7"/>
  <c r="D23" i="7"/>
  <c r="C23" i="7"/>
  <c r="U21" i="7"/>
  <c r="S21" i="7"/>
  <c r="H21" i="7"/>
  <c r="F21" i="7"/>
  <c r="U20" i="7"/>
  <c r="S20" i="7"/>
  <c r="H20" i="7"/>
  <c r="F20" i="7"/>
  <c r="U19" i="7"/>
  <c r="S19" i="7"/>
  <c r="S23" i="7" s="1"/>
  <c r="H19" i="7"/>
  <c r="F19" i="7"/>
  <c r="U18" i="7"/>
  <c r="S18" i="7"/>
  <c r="H18" i="7"/>
  <c r="F18" i="7"/>
  <c r="U17" i="7"/>
  <c r="S17" i="7"/>
  <c r="H17" i="7"/>
  <c r="F17" i="7"/>
  <c r="U14" i="7"/>
  <c r="S14" i="7"/>
  <c r="H14" i="7"/>
  <c r="F14" i="7"/>
  <c r="U13" i="7"/>
  <c r="S13" i="7"/>
  <c r="H13" i="7"/>
  <c r="F13" i="7"/>
  <c r="U12" i="7"/>
  <c r="S12" i="7"/>
  <c r="H12" i="7"/>
  <c r="F12" i="7"/>
  <c r="U11" i="7"/>
  <c r="S11" i="7"/>
  <c r="H11" i="7"/>
  <c r="F11" i="7"/>
  <c r="U10" i="7"/>
  <c r="S10" i="7"/>
  <c r="H10" i="7"/>
  <c r="F10" i="7"/>
  <c r="Y7" i="7"/>
  <c r="X7" i="7"/>
  <c r="W7" i="7"/>
  <c r="V7" i="7"/>
  <c r="U7" i="7"/>
  <c r="T7" i="7"/>
  <c r="S7" i="7"/>
  <c r="R7" i="7"/>
  <c r="Q7" i="7"/>
  <c r="P7" i="7"/>
  <c r="Z80" i="6"/>
  <c r="V80" i="6"/>
  <c r="U80" i="6"/>
  <c r="T80" i="6"/>
  <c r="X80" i="6" s="1"/>
  <c r="S80" i="6"/>
  <c r="L80" i="6"/>
  <c r="Z79" i="6"/>
  <c r="V79" i="6"/>
  <c r="U79" i="6"/>
  <c r="T79" i="6"/>
  <c r="X79" i="6" s="1"/>
  <c r="S79" i="6"/>
  <c r="L79" i="6"/>
  <c r="Z78" i="6"/>
  <c r="V78" i="6"/>
  <c r="U78" i="6"/>
  <c r="T78" i="6"/>
  <c r="X78" i="6" s="1"/>
  <c r="S78" i="6"/>
  <c r="L78" i="6"/>
  <c r="Z77" i="6"/>
  <c r="V77" i="6"/>
  <c r="U77" i="6"/>
  <c r="T77" i="6"/>
  <c r="X77" i="6" s="1"/>
  <c r="S77" i="6"/>
  <c r="L77" i="6"/>
  <c r="Z76" i="6"/>
  <c r="U76" i="6"/>
  <c r="T76" i="6"/>
  <c r="X76" i="6" s="1"/>
  <c r="S76" i="6"/>
  <c r="N76" i="6"/>
  <c r="V76" i="6" s="1"/>
  <c r="L76" i="6"/>
  <c r="N68" i="6"/>
  <c r="N66" i="6"/>
  <c r="N69" i="6" s="1"/>
  <c r="P19" i="6" s="1"/>
  <c r="P35" i="6" s="1"/>
  <c r="N61" i="6"/>
  <c r="X59" i="6"/>
  <c r="N26" i="6" s="1"/>
  <c r="S59" i="6"/>
  <c r="X58" i="6"/>
  <c r="N25" i="6" s="1"/>
  <c r="S58" i="6"/>
  <c r="X57" i="6"/>
  <c r="N24" i="6" s="1"/>
  <c r="S57" i="6"/>
  <c r="X56" i="6"/>
  <c r="N23" i="6" s="1"/>
  <c r="S56" i="6"/>
  <c r="N49" i="6"/>
  <c r="L47" i="6"/>
  <c r="Q35" i="6"/>
  <c r="L35" i="6"/>
  <c r="E35" i="6"/>
  <c r="D35" i="6"/>
  <c r="C35" i="6"/>
  <c r="V33" i="6"/>
  <c r="T33" i="6"/>
  <c r="R33" i="6"/>
  <c r="I33" i="6"/>
  <c r="F33" i="6"/>
  <c r="V32" i="6"/>
  <c r="T32" i="6"/>
  <c r="R32" i="6"/>
  <c r="I32" i="6"/>
  <c r="F32" i="6"/>
  <c r="V31" i="6"/>
  <c r="T31" i="6"/>
  <c r="R31" i="6"/>
  <c r="I31" i="6"/>
  <c r="F31" i="6"/>
  <c r="V30" i="6"/>
  <c r="T30" i="6"/>
  <c r="R30" i="6"/>
  <c r="I30" i="6"/>
  <c r="F30" i="6"/>
  <c r="V29" i="6"/>
  <c r="T29" i="6"/>
  <c r="R29" i="6"/>
  <c r="I29" i="6"/>
  <c r="F29" i="6"/>
  <c r="V26" i="6"/>
  <c r="T26" i="6"/>
  <c r="I26" i="6"/>
  <c r="F26" i="6"/>
  <c r="B26" i="6"/>
  <c r="V25" i="6"/>
  <c r="T25" i="6"/>
  <c r="I25" i="6"/>
  <c r="F25" i="6"/>
  <c r="B25" i="6"/>
  <c r="V24" i="6"/>
  <c r="T24" i="6"/>
  <c r="I24" i="6"/>
  <c r="F24" i="6"/>
  <c r="B24" i="6"/>
  <c r="V23" i="6"/>
  <c r="T23" i="6"/>
  <c r="I23" i="6"/>
  <c r="F23" i="6"/>
  <c r="B23" i="6"/>
  <c r="V20" i="6"/>
  <c r="Z20" i="6" s="1"/>
  <c r="U20" i="6"/>
  <c r="W20" i="6" s="1"/>
  <c r="T20" i="6"/>
  <c r="I20" i="6"/>
  <c r="F20" i="6"/>
  <c r="U19" i="6"/>
  <c r="T19" i="6"/>
  <c r="S19" i="6"/>
  <c r="I19" i="6"/>
  <c r="F19" i="6"/>
  <c r="V18" i="6"/>
  <c r="Z18" i="6" s="1"/>
  <c r="U18" i="6"/>
  <c r="W18" i="6" s="1"/>
  <c r="T18" i="6"/>
  <c r="S18" i="6"/>
  <c r="I18" i="6"/>
  <c r="F18" i="6"/>
  <c r="U17" i="6"/>
  <c r="W17" i="6" s="1"/>
  <c r="T17" i="6"/>
  <c r="S17" i="6"/>
  <c r="S35" i="6" s="1"/>
  <c r="I17" i="6"/>
  <c r="F17" i="6"/>
  <c r="B17" i="6"/>
  <c r="W14" i="6"/>
  <c r="V14" i="6"/>
  <c r="U14" i="6"/>
  <c r="T14" i="6"/>
  <c r="Z14" i="6" s="1"/>
  <c r="I14" i="6"/>
  <c r="F14" i="6"/>
  <c r="V13" i="6"/>
  <c r="U13" i="6"/>
  <c r="Z13" i="6" s="1"/>
  <c r="T13" i="6"/>
  <c r="I13" i="6"/>
  <c r="F13" i="6"/>
  <c r="V12" i="6"/>
  <c r="U12" i="6"/>
  <c r="W12" i="6" s="1"/>
  <c r="T12" i="6"/>
  <c r="I12" i="6"/>
  <c r="F12" i="6"/>
  <c r="V11" i="6"/>
  <c r="U11" i="6"/>
  <c r="T11" i="6"/>
  <c r="I11" i="6"/>
  <c r="F11" i="6"/>
  <c r="V10" i="6"/>
  <c r="U10" i="6"/>
  <c r="T10" i="6"/>
  <c r="I10" i="6"/>
  <c r="F10" i="6"/>
  <c r="AA8" i="6"/>
  <c r="Z8" i="6"/>
  <c r="AA7" i="6"/>
  <c r="Z7" i="6"/>
  <c r="X7" i="6"/>
  <c r="W7" i="6"/>
  <c r="V7" i="6"/>
  <c r="U7" i="6"/>
  <c r="T7" i="6"/>
  <c r="S7" i="6"/>
  <c r="R7" i="6"/>
  <c r="Q7" i="6"/>
  <c r="G263" i="5"/>
  <c r="B263" i="5"/>
  <c r="G262" i="5"/>
  <c r="B262" i="5"/>
  <c r="G261" i="5"/>
  <c r="B261" i="5"/>
  <c r="G260" i="5"/>
  <c r="B260" i="5"/>
  <c r="B259" i="5"/>
  <c r="B258" i="5"/>
  <c r="B257" i="5"/>
  <c r="B256" i="5"/>
  <c r="B255" i="5"/>
  <c r="B254" i="5"/>
  <c r="B253" i="5"/>
  <c r="B252" i="5"/>
  <c r="B251" i="5"/>
  <c r="B250" i="5"/>
  <c r="B249" i="5"/>
  <c r="B243" i="5"/>
  <c r="B242" i="5"/>
  <c r="B241" i="5"/>
  <c r="B240" i="5"/>
  <c r="B239" i="5"/>
  <c r="B238" i="5"/>
  <c r="B237" i="5"/>
  <c r="B236" i="5"/>
  <c r="B235" i="5"/>
  <c r="B234" i="5"/>
  <c r="B233" i="5"/>
  <c r="B232" i="5"/>
  <c r="B231" i="5"/>
  <c r="B230" i="5"/>
  <c r="B229" i="5"/>
  <c r="B226" i="5"/>
  <c r="B225" i="5"/>
  <c r="B224" i="5"/>
  <c r="B223" i="5"/>
  <c r="B222" i="5"/>
  <c r="B221" i="5"/>
  <c r="B220" i="5"/>
  <c r="B219" i="5"/>
  <c r="B218" i="5"/>
  <c r="B217" i="5"/>
  <c r="B216" i="5"/>
  <c r="B215" i="5"/>
  <c r="B214" i="5"/>
  <c r="B213" i="5"/>
  <c r="B212" i="5"/>
  <c r="B209" i="5"/>
  <c r="B208" i="5"/>
  <c r="B207" i="5"/>
  <c r="B206" i="5"/>
  <c r="B205" i="5"/>
  <c r="B204" i="5"/>
  <c r="B203" i="5"/>
  <c r="B202" i="5"/>
  <c r="B201" i="5"/>
  <c r="B200" i="5"/>
  <c r="B199" i="5"/>
  <c r="B198" i="5"/>
  <c r="B197" i="5"/>
  <c r="B196" i="5"/>
  <c r="B195" i="5"/>
  <c r="B190" i="5"/>
  <c r="B189" i="5"/>
  <c r="B188" i="5"/>
  <c r="B187" i="5"/>
  <c r="B186" i="5"/>
  <c r="B185" i="5"/>
  <c r="B184" i="5"/>
  <c r="B183" i="5"/>
  <c r="B182" i="5"/>
  <c r="B181" i="5"/>
  <c r="B180" i="5"/>
  <c r="B179" i="5"/>
  <c r="B178" i="5"/>
  <c r="B177" i="5"/>
  <c r="B176" i="5"/>
  <c r="C172" i="5"/>
  <c r="B171" i="5"/>
  <c r="B170" i="5"/>
  <c r="B169" i="5"/>
  <c r="B168" i="5"/>
  <c r="B167" i="5"/>
  <c r="B166" i="5"/>
  <c r="B165" i="5"/>
  <c r="B164" i="5"/>
  <c r="B163" i="5"/>
  <c r="B162" i="5"/>
  <c r="B161" i="5"/>
  <c r="B160" i="5"/>
  <c r="B159" i="5"/>
  <c r="B158" i="5"/>
  <c r="B157" i="5"/>
  <c r="C154" i="5"/>
  <c r="B153" i="5"/>
  <c r="B152" i="5"/>
  <c r="B151" i="5"/>
  <c r="B150" i="5"/>
  <c r="B149" i="5"/>
  <c r="B148" i="5"/>
  <c r="B147" i="5"/>
  <c r="B146" i="5"/>
  <c r="B145" i="5"/>
  <c r="B144" i="5"/>
  <c r="B143" i="5"/>
  <c r="B142" i="5"/>
  <c r="B141" i="5"/>
  <c r="B140" i="5"/>
  <c r="B139" i="5"/>
  <c r="J135" i="5"/>
  <c r="I135" i="5"/>
  <c r="H135" i="5"/>
  <c r="G135" i="5"/>
  <c r="F135" i="5"/>
  <c r="E135" i="5"/>
  <c r="D135" i="5"/>
  <c r="B135" i="5"/>
  <c r="J134" i="5"/>
  <c r="I134" i="5"/>
  <c r="H134" i="5"/>
  <c r="G134" i="5"/>
  <c r="F134" i="5"/>
  <c r="E134" i="5"/>
  <c r="D134" i="5"/>
  <c r="B134" i="5"/>
  <c r="J133" i="5"/>
  <c r="I133" i="5"/>
  <c r="H133" i="5"/>
  <c r="G133" i="5"/>
  <c r="F133" i="5"/>
  <c r="E133" i="5"/>
  <c r="D133" i="5"/>
  <c r="B133" i="5"/>
  <c r="J132" i="5"/>
  <c r="I132" i="5"/>
  <c r="H132" i="5"/>
  <c r="G132" i="5"/>
  <c r="F132" i="5"/>
  <c r="E132" i="5"/>
  <c r="D132" i="5"/>
  <c r="B132" i="5"/>
  <c r="J131" i="5"/>
  <c r="I131" i="5"/>
  <c r="H131" i="5"/>
  <c r="G131" i="5"/>
  <c r="F131" i="5"/>
  <c r="E131" i="5"/>
  <c r="D131" i="5"/>
  <c r="B131" i="5"/>
  <c r="J130" i="5"/>
  <c r="I130" i="5"/>
  <c r="H130" i="5"/>
  <c r="G130" i="5"/>
  <c r="F130" i="5"/>
  <c r="E130" i="5"/>
  <c r="D130" i="5"/>
  <c r="B130" i="5"/>
  <c r="J129" i="5"/>
  <c r="I129" i="5"/>
  <c r="H129" i="5"/>
  <c r="G129" i="5"/>
  <c r="F129" i="5"/>
  <c r="E129" i="5"/>
  <c r="D129" i="5"/>
  <c r="B129" i="5"/>
  <c r="J128" i="5"/>
  <c r="I128" i="5"/>
  <c r="H128" i="5"/>
  <c r="G128" i="5"/>
  <c r="F128" i="5"/>
  <c r="E128" i="5"/>
  <c r="D128" i="5"/>
  <c r="B128" i="5"/>
  <c r="J127" i="5"/>
  <c r="I127" i="5"/>
  <c r="H127" i="5"/>
  <c r="G127" i="5"/>
  <c r="F127" i="5"/>
  <c r="E127" i="5"/>
  <c r="D127" i="5"/>
  <c r="B127" i="5"/>
  <c r="J126" i="5"/>
  <c r="I126" i="5"/>
  <c r="H126" i="5"/>
  <c r="G126" i="5"/>
  <c r="F126" i="5"/>
  <c r="E126" i="5"/>
  <c r="D126" i="5"/>
  <c r="B126" i="5"/>
  <c r="J125" i="5"/>
  <c r="I125" i="5"/>
  <c r="H125" i="5"/>
  <c r="G125" i="5"/>
  <c r="F125" i="5"/>
  <c r="E125" i="5"/>
  <c r="D125" i="5"/>
  <c r="B125" i="5"/>
  <c r="J124" i="5"/>
  <c r="I124" i="5"/>
  <c r="H124" i="5"/>
  <c r="G124" i="5"/>
  <c r="F124" i="5"/>
  <c r="E124" i="5"/>
  <c r="D124" i="5"/>
  <c r="B124" i="5"/>
  <c r="J123" i="5"/>
  <c r="I123" i="5"/>
  <c r="H123" i="5"/>
  <c r="G123" i="5"/>
  <c r="F123" i="5"/>
  <c r="E123" i="5"/>
  <c r="D123" i="5"/>
  <c r="B123" i="5"/>
  <c r="J122" i="5"/>
  <c r="I122" i="5"/>
  <c r="H122" i="5"/>
  <c r="G122" i="5"/>
  <c r="F122" i="5"/>
  <c r="E122" i="5"/>
  <c r="D122" i="5"/>
  <c r="B122" i="5"/>
  <c r="J121" i="5"/>
  <c r="J45" i="5" s="1"/>
  <c r="I121" i="5"/>
  <c r="I136" i="5" s="1"/>
  <c r="H121" i="5"/>
  <c r="G121" i="5"/>
  <c r="F121" i="5"/>
  <c r="F45" i="5" s="1"/>
  <c r="E121" i="5"/>
  <c r="D121" i="5"/>
  <c r="D136" i="5" s="1"/>
  <c r="B121" i="5"/>
  <c r="B117" i="5"/>
  <c r="B116" i="5"/>
  <c r="B115" i="5"/>
  <c r="B114" i="5"/>
  <c r="B113" i="5"/>
  <c r="B112" i="5"/>
  <c r="B111" i="5"/>
  <c r="B110" i="5"/>
  <c r="B109" i="5"/>
  <c r="B108" i="5"/>
  <c r="B107" i="5"/>
  <c r="B106" i="5"/>
  <c r="B105" i="5"/>
  <c r="B104" i="5"/>
  <c r="B103" i="5"/>
  <c r="J99" i="5"/>
  <c r="I99" i="5"/>
  <c r="H99" i="5"/>
  <c r="G99" i="5"/>
  <c r="F99" i="5"/>
  <c r="E99" i="5"/>
  <c r="D99" i="5"/>
  <c r="B99" i="5"/>
  <c r="J98" i="5"/>
  <c r="I98" i="5"/>
  <c r="H98" i="5"/>
  <c r="G98" i="5"/>
  <c r="F98" i="5"/>
  <c r="E98" i="5"/>
  <c r="D98" i="5"/>
  <c r="B98" i="5"/>
  <c r="J97" i="5"/>
  <c r="I97" i="5"/>
  <c r="H97" i="5"/>
  <c r="G97" i="5"/>
  <c r="F97" i="5"/>
  <c r="E97" i="5"/>
  <c r="D97" i="5"/>
  <c r="B97" i="5"/>
  <c r="J96" i="5"/>
  <c r="I96" i="5"/>
  <c r="H96" i="5"/>
  <c r="G96" i="5"/>
  <c r="F96" i="5"/>
  <c r="E96" i="5"/>
  <c r="D96" i="5"/>
  <c r="B96" i="5"/>
  <c r="J95" i="5"/>
  <c r="I95" i="5"/>
  <c r="H95" i="5"/>
  <c r="G95" i="5"/>
  <c r="F95" i="5"/>
  <c r="E95" i="5"/>
  <c r="D95" i="5"/>
  <c r="B95" i="5"/>
  <c r="J94" i="5"/>
  <c r="I94" i="5"/>
  <c r="H94" i="5"/>
  <c r="G94" i="5"/>
  <c r="F94" i="5"/>
  <c r="E94" i="5"/>
  <c r="D94" i="5"/>
  <c r="B94" i="5"/>
  <c r="J93" i="5"/>
  <c r="I93" i="5"/>
  <c r="H93" i="5"/>
  <c r="G93" i="5"/>
  <c r="F93" i="5"/>
  <c r="E93" i="5"/>
  <c r="D93" i="5"/>
  <c r="B93" i="5"/>
  <c r="J92" i="5"/>
  <c r="I92" i="5"/>
  <c r="H92" i="5"/>
  <c r="G92" i="5"/>
  <c r="F92" i="5"/>
  <c r="E92" i="5"/>
  <c r="D92" i="5"/>
  <c r="B92" i="5"/>
  <c r="J91" i="5"/>
  <c r="I91" i="5"/>
  <c r="H91" i="5"/>
  <c r="G91" i="5"/>
  <c r="F91" i="5"/>
  <c r="E91" i="5"/>
  <c r="D91" i="5"/>
  <c r="B91" i="5"/>
  <c r="J90" i="5"/>
  <c r="I90" i="5"/>
  <c r="H90" i="5"/>
  <c r="G90" i="5"/>
  <c r="F90" i="5"/>
  <c r="E90" i="5"/>
  <c r="D90" i="5"/>
  <c r="B90" i="5"/>
  <c r="J89" i="5"/>
  <c r="I89" i="5"/>
  <c r="H89" i="5"/>
  <c r="G89" i="5"/>
  <c r="F89" i="5"/>
  <c r="E89" i="5"/>
  <c r="D89" i="5"/>
  <c r="B89" i="5"/>
  <c r="J88" i="5"/>
  <c r="I88" i="5"/>
  <c r="H88" i="5"/>
  <c r="G88" i="5"/>
  <c r="F88" i="5"/>
  <c r="E88" i="5"/>
  <c r="D88" i="5"/>
  <c r="B88" i="5"/>
  <c r="J87" i="5"/>
  <c r="I87" i="5"/>
  <c r="H87" i="5"/>
  <c r="G87" i="5"/>
  <c r="F87" i="5"/>
  <c r="E87" i="5"/>
  <c r="D87" i="5"/>
  <c r="B87" i="5"/>
  <c r="J86" i="5"/>
  <c r="I86" i="5"/>
  <c r="H86" i="5"/>
  <c r="G86" i="5"/>
  <c r="F86" i="5"/>
  <c r="E86" i="5"/>
  <c r="D86" i="5"/>
  <c r="B86" i="5"/>
  <c r="J85" i="5"/>
  <c r="J100" i="5" s="1"/>
  <c r="I85" i="5"/>
  <c r="I100" i="5" s="1"/>
  <c r="H85" i="5"/>
  <c r="H100" i="5" s="1"/>
  <c r="G85" i="5"/>
  <c r="G100" i="5" s="1"/>
  <c r="F85" i="5"/>
  <c r="F100" i="5" s="1"/>
  <c r="E85" i="5"/>
  <c r="E100" i="5" s="1"/>
  <c r="D85" i="5"/>
  <c r="D100" i="5" s="1"/>
  <c r="B85" i="5"/>
  <c r="J82" i="5"/>
  <c r="I82" i="5"/>
  <c r="H82" i="5"/>
  <c r="G82" i="5"/>
  <c r="F82" i="5"/>
  <c r="E82" i="5"/>
  <c r="D82" i="5"/>
  <c r="J81" i="5"/>
  <c r="I81" i="5"/>
  <c r="H81" i="5"/>
  <c r="G81" i="5"/>
  <c r="F81" i="5"/>
  <c r="E81" i="5"/>
  <c r="D81" i="5"/>
  <c r="J80" i="5"/>
  <c r="I80" i="5"/>
  <c r="H80" i="5"/>
  <c r="G80" i="5"/>
  <c r="F80" i="5"/>
  <c r="E80" i="5"/>
  <c r="D80" i="5"/>
  <c r="J79" i="5"/>
  <c r="I79" i="5"/>
  <c r="H79" i="5"/>
  <c r="G79" i="5"/>
  <c r="F79" i="5"/>
  <c r="E79" i="5"/>
  <c r="D79" i="5"/>
  <c r="J78" i="5"/>
  <c r="I78" i="5"/>
  <c r="H78" i="5"/>
  <c r="G78" i="5"/>
  <c r="F78" i="5"/>
  <c r="E78" i="5"/>
  <c r="D78" i="5"/>
  <c r="J77" i="5"/>
  <c r="I77" i="5"/>
  <c r="H77" i="5"/>
  <c r="G77" i="5"/>
  <c r="F77" i="5"/>
  <c r="E77" i="5"/>
  <c r="D77" i="5"/>
  <c r="J76" i="5"/>
  <c r="I76" i="5"/>
  <c r="H76" i="5"/>
  <c r="G76" i="5"/>
  <c r="F76" i="5"/>
  <c r="E76" i="5"/>
  <c r="D76" i="5"/>
  <c r="J75" i="5"/>
  <c r="I75" i="5"/>
  <c r="H75" i="5"/>
  <c r="G75" i="5"/>
  <c r="F75" i="5"/>
  <c r="E75" i="5"/>
  <c r="D75" i="5"/>
  <c r="J74" i="5"/>
  <c r="I74" i="5"/>
  <c r="H74" i="5"/>
  <c r="G74" i="5"/>
  <c r="F74" i="5"/>
  <c r="E74" i="5"/>
  <c r="D74" i="5"/>
  <c r="J73" i="5"/>
  <c r="I73" i="5"/>
  <c r="H73" i="5"/>
  <c r="G73" i="5"/>
  <c r="F73" i="5"/>
  <c r="E73" i="5"/>
  <c r="D73" i="5"/>
  <c r="J72" i="5"/>
  <c r="I72" i="5"/>
  <c r="H72" i="5"/>
  <c r="G72" i="5"/>
  <c r="F72" i="5"/>
  <c r="E72" i="5"/>
  <c r="D72" i="5"/>
  <c r="J71" i="5"/>
  <c r="I71" i="5"/>
  <c r="H71" i="5"/>
  <c r="G71" i="5"/>
  <c r="F71" i="5"/>
  <c r="E71" i="5"/>
  <c r="D71" i="5"/>
  <c r="J70" i="5"/>
  <c r="I70" i="5"/>
  <c r="H70" i="5"/>
  <c r="G70" i="5"/>
  <c r="F70" i="5"/>
  <c r="E70" i="5"/>
  <c r="D70" i="5"/>
  <c r="J69" i="5"/>
  <c r="I69" i="5"/>
  <c r="H69" i="5"/>
  <c r="G69" i="5"/>
  <c r="F69" i="5"/>
  <c r="E69" i="5"/>
  <c r="D69" i="5"/>
  <c r="J68" i="5"/>
  <c r="I68" i="5"/>
  <c r="H68" i="5"/>
  <c r="G68" i="5"/>
  <c r="F68" i="5"/>
  <c r="E68" i="5"/>
  <c r="D68" i="5"/>
  <c r="E47" i="5"/>
  <c r="F47" i="5" s="1"/>
  <c r="G47" i="5" s="1"/>
  <c r="H47" i="5" s="1"/>
  <c r="I47" i="5" s="1"/>
  <c r="J47" i="5" s="1"/>
  <c r="G45" i="5"/>
  <c r="E45" i="5"/>
  <c r="W37" i="5"/>
  <c r="V37" i="5"/>
  <c r="U37" i="5"/>
  <c r="Q37" i="5"/>
  <c r="M37" i="5"/>
  <c r="E37" i="5"/>
  <c r="B64" i="5" s="1"/>
  <c r="B82" i="5" s="1"/>
  <c r="W36" i="5"/>
  <c r="V36" i="5"/>
  <c r="U36" i="5"/>
  <c r="M36" i="5" s="1"/>
  <c r="Q36" i="5"/>
  <c r="E36" i="5"/>
  <c r="B63" i="5" s="1"/>
  <c r="B81" i="5" s="1"/>
  <c r="W35" i="5"/>
  <c r="V35" i="5"/>
  <c r="U35" i="5"/>
  <c r="M35" i="5" s="1"/>
  <c r="Q35" i="5"/>
  <c r="E35" i="5"/>
  <c r="B62" i="5" s="1"/>
  <c r="B80" i="5" s="1"/>
  <c r="W34" i="5"/>
  <c r="V34" i="5"/>
  <c r="U34" i="5"/>
  <c r="M34" i="5" s="1"/>
  <c r="Q34" i="5"/>
  <c r="E34" i="5"/>
  <c r="B61" i="5" s="1"/>
  <c r="B79" i="5" s="1"/>
  <c r="W33" i="5"/>
  <c r="V33" i="5"/>
  <c r="U33" i="5"/>
  <c r="M33" i="5" s="1"/>
  <c r="Q33" i="5"/>
  <c r="G33" i="5"/>
  <c r="E33" i="5"/>
  <c r="B60" i="5" s="1"/>
  <c r="B78" i="5" s="1"/>
  <c r="W32" i="5"/>
  <c r="V32" i="5"/>
  <c r="U32" i="5"/>
  <c r="M32" i="5" s="1"/>
  <c r="Q32" i="5"/>
  <c r="F32" i="5"/>
  <c r="G32" i="5" s="1"/>
  <c r="E32" i="5"/>
  <c r="B59" i="5" s="1"/>
  <c r="B77" i="5" s="1"/>
  <c r="W31" i="5"/>
  <c r="V31" i="5"/>
  <c r="U31" i="5"/>
  <c r="M31" i="5" s="1"/>
  <c r="Q31" i="5"/>
  <c r="G31" i="5"/>
  <c r="F31" i="5"/>
  <c r="F39" i="5" s="1"/>
  <c r="E31" i="5"/>
  <c r="B58" i="5" s="1"/>
  <c r="B76" i="5" s="1"/>
  <c r="W30" i="5"/>
  <c r="V30" i="5"/>
  <c r="U30" i="5"/>
  <c r="M30" i="5" s="1"/>
  <c r="Q30" i="5"/>
  <c r="G30" i="5"/>
  <c r="E30" i="5"/>
  <c r="B57" i="5" s="1"/>
  <c r="B75" i="5" s="1"/>
  <c r="W29" i="5"/>
  <c r="V29" i="5"/>
  <c r="U29" i="5"/>
  <c r="M29" i="5" s="1"/>
  <c r="Q29" i="5"/>
  <c r="G29" i="5"/>
  <c r="E29" i="5"/>
  <c r="B56" i="5" s="1"/>
  <c r="B74" i="5" s="1"/>
  <c r="W28" i="5"/>
  <c r="V28" i="5"/>
  <c r="U28" i="5"/>
  <c r="M28" i="5" s="1"/>
  <c r="Q28" i="5"/>
  <c r="G28" i="5"/>
  <c r="E28" i="5"/>
  <c r="B55" i="5" s="1"/>
  <c r="B73" i="5" s="1"/>
  <c r="W27" i="5"/>
  <c r="V27" i="5"/>
  <c r="U27" i="5"/>
  <c r="M27" i="5" s="1"/>
  <c r="Q27" i="5"/>
  <c r="G27" i="5"/>
  <c r="E27" i="5"/>
  <c r="B54" i="5" s="1"/>
  <c r="B72" i="5" s="1"/>
  <c r="W26" i="5"/>
  <c r="V26" i="5"/>
  <c r="U26" i="5"/>
  <c r="M26" i="5" s="1"/>
  <c r="Q26" i="5"/>
  <c r="G26" i="5"/>
  <c r="E26" i="5"/>
  <c r="B53" i="5" s="1"/>
  <c r="B71" i="5" s="1"/>
  <c r="W25" i="5"/>
  <c r="V25" i="5"/>
  <c r="U25" i="5"/>
  <c r="M25" i="5" s="1"/>
  <c r="Q25" i="5"/>
  <c r="G25" i="5"/>
  <c r="E25" i="5"/>
  <c r="B52" i="5" s="1"/>
  <c r="B70" i="5" s="1"/>
  <c r="W24" i="5"/>
  <c r="V24" i="5"/>
  <c r="U24" i="5"/>
  <c r="M24" i="5" s="1"/>
  <c r="Q24" i="5"/>
  <c r="G24" i="5"/>
  <c r="E24" i="5"/>
  <c r="B51" i="5" s="1"/>
  <c r="B69" i="5" s="1"/>
  <c r="W23" i="5"/>
  <c r="V23" i="5"/>
  <c r="U23" i="5"/>
  <c r="M23" i="5" s="1"/>
  <c r="Q23" i="5"/>
  <c r="G23" i="5"/>
  <c r="E23" i="5"/>
  <c r="B50" i="5" s="1"/>
  <c r="B68" i="5" s="1"/>
  <c r="G228" i="4"/>
  <c r="B228" i="4"/>
  <c r="G227" i="4"/>
  <c r="B227" i="4"/>
  <c r="G226" i="4"/>
  <c r="B226" i="4"/>
  <c r="G225" i="4"/>
  <c r="B225" i="4"/>
  <c r="B224" i="4"/>
  <c r="B223" i="4"/>
  <c r="B222" i="4"/>
  <c r="B221" i="4"/>
  <c r="B220" i="4"/>
  <c r="B219" i="4"/>
  <c r="B218" i="4"/>
  <c r="B217" i="4"/>
  <c r="B216" i="4"/>
  <c r="B215" i="4"/>
  <c r="B214" i="4"/>
  <c r="B206" i="4"/>
  <c r="B198" i="4"/>
  <c r="B174" i="4"/>
  <c r="B173" i="4"/>
  <c r="B172" i="4"/>
  <c r="B171" i="4"/>
  <c r="B170" i="4"/>
  <c r="B169" i="4"/>
  <c r="B168" i="4"/>
  <c r="B167" i="4"/>
  <c r="B166" i="4"/>
  <c r="B165" i="4"/>
  <c r="B164" i="4"/>
  <c r="B163" i="4"/>
  <c r="B162" i="4"/>
  <c r="B161" i="4"/>
  <c r="B160" i="4"/>
  <c r="B155" i="4"/>
  <c r="B154" i="4"/>
  <c r="B153" i="4"/>
  <c r="B152" i="4"/>
  <c r="B151" i="4"/>
  <c r="B150" i="4"/>
  <c r="B149" i="4"/>
  <c r="B148" i="4"/>
  <c r="B147" i="4"/>
  <c r="B146" i="4"/>
  <c r="B145" i="4"/>
  <c r="B144" i="4"/>
  <c r="B143" i="4"/>
  <c r="B142" i="4"/>
  <c r="B141" i="4"/>
  <c r="C137" i="4"/>
  <c r="B136" i="4"/>
  <c r="B135" i="4"/>
  <c r="B134" i="4"/>
  <c r="B133" i="4"/>
  <c r="B132" i="4"/>
  <c r="B131" i="4"/>
  <c r="B130" i="4"/>
  <c r="B129" i="4"/>
  <c r="B128" i="4"/>
  <c r="B127" i="4"/>
  <c r="B126" i="4"/>
  <c r="B125" i="4"/>
  <c r="B124" i="4"/>
  <c r="B123" i="4"/>
  <c r="B122" i="4"/>
  <c r="C119" i="4"/>
  <c r="B118" i="4"/>
  <c r="B117" i="4"/>
  <c r="B116" i="4"/>
  <c r="B115" i="4"/>
  <c r="B114" i="4"/>
  <c r="B113" i="4"/>
  <c r="B112" i="4"/>
  <c r="B111" i="4"/>
  <c r="B110" i="4"/>
  <c r="B109" i="4"/>
  <c r="B108" i="4"/>
  <c r="B107" i="4"/>
  <c r="B106" i="4"/>
  <c r="B105" i="4"/>
  <c r="B104" i="4"/>
  <c r="J100" i="4"/>
  <c r="I100" i="4"/>
  <c r="H100" i="4"/>
  <c r="G100" i="4"/>
  <c r="F100" i="4"/>
  <c r="E100" i="4"/>
  <c r="D100" i="4"/>
  <c r="B100" i="4"/>
  <c r="J99" i="4"/>
  <c r="I99" i="4"/>
  <c r="H99" i="4"/>
  <c r="G99" i="4"/>
  <c r="F99" i="4"/>
  <c r="E99" i="4"/>
  <c r="D99" i="4"/>
  <c r="B99" i="4"/>
  <c r="J98" i="4"/>
  <c r="I98" i="4"/>
  <c r="H98" i="4"/>
  <c r="G98" i="4"/>
  <c r="F98" i="4"/>
  <c r="E98" i="4"/>
  <c r="D98" i="4"/>
  <c r="B98" i="4"/>
  <c r="J97" i="4"/>
  <c r="I97" i="4"/>
  <c r="H97" i="4"/>
  <c r="G97" i="4"/>
  <c r="F97" i="4"/>
  <c r="E97" i="4"/>
  <c r="D97" i="4"/>
  <c r="B97" i="4"/>
  <c r="H96" i="4"/>
  <c r="F96" i="4"/>
  <c r="E96" i="4"/>
  <c r="D96" i="4"/>
  <c r="B96" i="4"/>
  <c r="H95" i="4"/>
  <c r="F95" i="4"/>
  <c r="B95" i="4"/>
  <c r="F94" i="4"/>
  <c r="E94" i="4"/>
  <c r="D94" i="4"/>
  <c r="B94" i="4"/>
  <c r="B93" i="4"/>
  <c r="B92" i="4"/>
  <c r="B91" i="4"/>
  <c r="H90" i="4"/>
  <c r="B90" i="4"/>
  <c r="B89" i="4"/>
  <c r="B88" i="4"/>
  <c r="F87" i="4"/>
  <c r="B87" i="4"/>
  <c r="F86" i="4"/>
  <c r="E86" i="4"/>
  <c r="D86" i="4"/>
  <c r="B86" i="4"/>
  <c r="B82" i="4"/>
  <c r="B81" i="4"/>
  <c r="B80" i="4"/>
  <c r="B79" i="4"/>
  <c r="B78" i="4"/>
  <c r="B77" i="4"/>
  <c r="B76" i="4"/>
  <c r="B75" i="4"/>
  <c r="B74" i="4"/>
  <c r="B73" i="4"/>
  <c r="B72" i="4"/>
  <c r="B71" i="4"/>
  <c r="B70" i="4"/>
  <c r="B69" i="4"/>
  <c r="B68" i="4"/>
  <c r="B64" i="4"/>
  <c r="B208" i="4" s="1"/>
  <c r="B62" i="4"/>
  <c r="B189" i="4" s="1"/>
  <c r="B61" i="4"/>
  <c r="B60" i="4"/>
  <c r="B58" i="4"/>
  <c r="B202" i="4" s="1"/>
  <c r="B54" i="4"/>
  <c r="B181" i="4" s="1"/>
  <c r="B50" i="4"/>
  <c r="B194" i="4" s="1"/>
  <c r="J47" i="4"/>
  <c r="F47" i="4"/>
  <c r="G47" i="4" s="1"/>
  <c r="H47" i="4" s="1"/>
  <c r="I47" i="4" s="1"/>
  <c r="E47" i="4"/>
  <c r="F39" i="4"/>
  <c r="W37" i="4"/>
  <c r="V37" i="4"/>
  <c r="U37" i="4"/>
  <c r="M37" i="4" s="1"/>
  <c r="Q37" i="4"/>
  <c r="E37" i="4"/>
  <c r="W36" i="4"/>
  <c r="V36" i="4"/>
  <c r="U36" i="4"/>
  <c r="M36" i="4" s="1"/>
  <c r="Q36" i="4"/>
  <c r="E36" i="4"/>
  <c r="B63" i="4" s="1"/>
  <c r="W35" i="4"/>
  <c r="V35" i="4"/>
  <c r="U35" i="4"/>
  <c r="M35" i="4" s="1"/>
  <c r="Q35" i="4"/>
  <c r="E35" i="4"/>
  <c r="W34" i="4"/>
  <c r="V34" i="4"/>
  <c r="U34" i="4"/>
  <c r="Q34" i="4"/>
  <c r="M34" i="4"/>
  <c r="E34" i="4"/>
  <c r="W33" i="4"/>
  <c r="V33" i="4"/>
  <c r="U33" i="4"/>
  <c r="M33" i="4" s="1"/>
  <c r="Q33" i="4"/>
  <c r="G33" i="4"/>
  <c r="I96" i="4" s="1"/>
  <c r="E33" i="4"/>
  <c r="W32" i="4"/>
  <c r="V32" i="4"/>
  <c r="U32" i="4"/>
  <c r="M32" i="4" s="1"/>
  <c r="Q32" i="4"/>
  <c r="F32" i="4"/>
  <c r="G32" i="4" s="1"/>
  <c r="E95" i="4" s="1"/>
  <c r="E32" i="4"/>
  <c r="B59" i="4" s="1"/>
  <c r="W31" i="4"/>
  <c r="V31" i="4"/>
  <c r="U31" i="4"/>
  <c r="M31" i="4" s="1"/>
  <c r="Q31" i="4"/>
  <c r="F31" i="4"/>
  <c r="G31" i="4" s="1"/>
  <c r="H94" i="4" s="1"/>
  <c r="E31" i="4"/>
  <c r="W30" i="4"/>
  <c r="V30" i="4"/>
  <c r="U30" i="4"/>
  <c r="M30" i="4" s="1"/>
  <c r="Q30" i="4"/>
  <c r="G30" i="4"/>
  <c r="E30" i="4"/>
  <c r="B57" i="4" s="1"/>
  <c r="W29" i="4"/>
  <c r="V29" i="4"/>
  <c r="U29" i="4"/>
  <c r="M29" i="4" s="1"/>
  <c r="Q29" i="4"/>
  <c r="G29" i="4"/>
  <c r="E29" i="4"/>
  <c r="B56" i="4" s="1"/>
  <c r="W28" i="4"/>
  <c r="V28" i="4"/>
  <c r="U28" i="4"/>
  <c r="M28" i="4" s="1"/>
  <c r="Q28" i="4"/>
  <c r="G28" i="4"/>
  <c r="D91" i="4" s="1"/>
  <c r="E28" i="4"/>
  <c r="B55" i="4" s="1"/>
  <c r="W27" i="4"/>
  <c r="V27" i="4"/>
  <c r="U27" i="4"/>
  <c r="M27" i="4" s="1"/>
  <c r="Q27" i="4"/>
  <c r="G27" i="4"/>
  <c r="F90" i="4" s="1"/>
  <c r="E27" i="4"/>
  <c r="W26" i="4"/>
  <c r="V26" i="4"/>
  <c r="U26" i="4"/>
  <c r="M26" i="4" s="1"/>
  <c r="Q26" i="4"/>
  <c r="G26" i="4"/>
  <c r="E26" i="4"/>
  <c r="B53" i="4" s="1"/>
  <c r="W25" i="4"/>
  <c r="V25" i="4"/>
  <c r="U25" i="4"/>
  <c r="M25" i="4" s="1"/>
  <c r="Q25" i="4"/>
  <c r="G25" i="4"/>
  <c r="E25" i="4"/>
  <c r="B52" i="4" s="1"/>
  <c r="W24" i="4"/>
  <c r="V24" i="4"/>
  <c r="U24" i="4"/>
  <c r="M24" i="4" s="1"/>
  <c r="Q24" i="4"/>
  <c r="G24" i="4"/>
  <c r="H87" i="4" s="1"/>
  <c r="E24" i="4"/>
  <c r="B51" i="4" s="1"/>
  <c r="W23" i="4"/>
  <c r="V23" i="4"/>
  <c r="U23" i="4"/>
  <c r="M23" i="4" s="1"/>
  <c r="Q23" i="4"/>
  <c r="G23" i="4"/>
  <c r="H86" i="4" s="1"/>
  <c r="E23" i="4"/>
  <c r="M68" i="3"/>
  <c r="M67" i="3"/>
  <c r="AC65" i="3"/>
  <c r="M65" i="3"/>
  <c r="AC60" i="3"/>
  <c r="M60" i="3"/>
  <c r="AM58" i="3"/>
  <c r="AH58" i="3"/>
  <c r="W58" i="3"/>
  <c r="R58" i="3"/>
  <c r="AM57" i="3"/>
  <c r="AH57" i="3"/>
  <c r="W57" i="3"/>
  <c r="R57" i="3"/>
  <c r="AM56" i="3"/>
  <c r="AC23" i="3" s="1"/>
  <c r="AH56" i="3"/>
  <c r="W56" i="3"/>
  <c r="W60" i="3" s="1"/>
  <c r="R56" i="3"/>
  <c r="AM55" i="3"/>
  <c r="AM60" i="3" s="1"/>
  <c r="AH55" i="3"/>
  <c r="W55" i="3"/>
  <c r="R55" i="3"/>
  <c r="AC48" i="3"/>
  <c r="M48" i="3"/>
  <c r="AA46" i="3"/>
  <c r="K46" i="3"/>
  <c r="AF34" i="3"/>
  <c r="AA34" i="3"/>
  <c r="P34" i="3"/>
  <c r="K34" i="3"/>
  <c r="E34" i="3"/>
  <c r="D34" i="3"/>
  <c r="C34" i="3"/>
  <c r="AK32" i="3"/>
  <c r="AI32" i="3"/>
  <c r="U32" i="3"/>
  <c r="S32" i="3"/>
  <c r="H32" i="3"/>
  <c r="F32" i="3"/>
  <c r="AK31" i="3"/>
  <c r="AI31" i="3"/>
  <c r="U31" i="3"/>
  <c r="S31" i="3"/>
  <c r="H31" i="3"/>
  <c r="F31" i="3"/>
  <c r="AI30" i="3"/>
  <c r="U30" i="3"/>
  <c r="S30" i="3"/>
  <c r="H30" i="3"/>
  <c r="F30" i="3"/>
  <c r="U29" i="3"/>
  <c r="AK29" i="3" s="1"/>
  <c r="S29" i="3"/>
  <c r="AI29" i="3" s="1"/>
  <c r="H29" i="3"/>
  <c r="F29" i="3"/>
  <c r="AK28" i="3"/>
  <c r="U28" i="3"/>
  <c r="S28" i="3"/>
  <c r="AI28" i="3" s="1"/>
  <c r="H28" i="3"/>
  <c r="F28" i="3"/>
  <c r="AK25" i="3"/>
  <c r="AC25" i="3"/>
  <c r="U25" i="3"/>
  <c r="S25" i="3"/>
  <c r="AI25" i="3" s="1"/>
  <c r="M25" i="3"/>
  <c r="H25" i="3"/>
  <c r="F25" i="3"/>
  <c r="B25" i="3"/>
  <c r="AC24" i="3"/>
  <c r="U24" i="3"/>
  <c r="AK24" i="3" s="1"/>
  <c r="S24" i="3"/>
  <c r="AI24" i="3" s="1"/>
  <c r="M24" i="3"/>
  <c r="H24" i="3"/>
  <c r="F24" i="3"/>
  <c r="B24" i="3"/>
  <c r="AK23" i="3"/>
  <c r="U23" i="3"/>
  <c r="S23" i="3"/>
  <c r="AI23" i="3" s="1"/>
  <c r="H23" i="3"/>
  <c r="I23" i="3" s="1"/>
  <c r="F23" i="3"/>
  <c r="B23" i="3"/>
  <c r="AK22" i="3"/>
  <c r="AC22" i="3"/>
  <c r="U22" i="3"/>
  <c r="S22" i="3"/>
  <c r="AI22" i="3" s="1"/>
  <c r="M22" i="3"/>
  <c r="H22" i="3"/>
  <c r="I22" i="3" s="1"/>
  <c r="F22" i="3"/>
  <c r="B22" i="3"/>
  <c r="X19" i="3"/>
  <c r="V19" i="3"/>
  <c r="T19" i="3"/>
  <c r="AJ19" i="3" s="1"/>
  <c r="AL19" i="3" s="1"/>
  <c r="S19" i="3"/>
  <c r="AI19" i="3" s="1"/>
  <c r="O19" i="3"/>
  <c r="U19" i="3" s="1"/>
  <c r="H19" i="3"/>
  <c r="I19" i="3" s="1"/>
  <c r="F19" i="3"/>
  <c r="AI18" i="3"/>
  <c r="V18" i="3"/>
  <c r="U18" i="3"/>
  <c r="T18" i="3"/>
  <c r="AJ18" i="3" s="1"/>
  <c r="AL18" i="3" s="1"/>
  <c r="S18" i="3"/>
  <c r="H18" i="3"/>
  <c r="F18" i="3"/>
  <c r="AH17" i="3"/>
  <c r="X17" i="3"/>
  <c r="V17" i="3"/>
  <c r="U17" i="3"/>
  <c r="AK17" i="3" s="1"/>
  <c r="AN17" i="3" s="1"/>
  <c r="T17" i="3"/>
  <c r="AJ17" i="3" s="1"/>
  <c r="AL17" i="3" s="1"/>
  <c r="S17" i="3"/>
  <c r="AI17" i="3" s="1"/>
  <c r="H17" i="3"/>
  <c r="I17" i="3" s="1"/>
  <c r="F17" i="3"/>
  <c r="B17" i="3"/>
  <c r="AI14" i="3"/>
  <c r="U14" i="3"/>
  <c r="AK14" i="3" s="1"/>
  <c r="T14" i="3"/>
  <c r="V14" i="3" s="1"/>
  <c r="S14" i="3"/>
  <c r="H14" i="3"/>
  <c r="I14" i="3" s="1"/>
  <c r="F14" i="3"/>
  <c r="V13" i="3"/>
  <c r="U13" i="3"/>
  <c r="AK13" i="3" s="1"/>
  <c r="AN13" i="3" s="1"/>
  <c r="T13" i="3"/>
  <c r="AJ13" i="3" s="1"/>
  <c r="S13" i="3"/>
  <c r="AI13" i="3" s="1"/>
  <c r="H13" i="3"/>
  <c r="F13" i="3"/>
  <c r="AN12" i="3"/>
  <c r="AK12" i="3"/>
  <c r="AI12" i="3"/>
  <c r="V12" i="3"/>
  <c r="U12" i="3"/>
  <c r="X12" i="3" s="1"/>
  <c r="T12" i="3"/>
  <c r="AJ12" i="3" s="1"/>
  <c r="AL12" i="3" s="1"/>
  <c r="S12" i="3"/>
  <c r="H12" i="3"/>
  <c r="F12" i="3"/>
  <c r="AK11" i="3"/>
  <c r="AJ11" i="3"/>
  <c r="V11" i="3"/>
  <c r="U11" i="3"/>
  <c r="T11" i="3"/>
  <c r="S11" i="3"/>
  <c r="X11" i="3" s="1"/>
  <c r="H11" i="3"/>
  <c r="F11" i="3"/>
  <c r="U10" i="3"/>
  <c r="X10" i="3" s="1"/>
  <c r="T10" i="3"/>
  <c r="S10" i="3"/>
  <c r="S34" i="3" s="1"/>
  <c r="H10" i="3"/>
  <c r="H34" i="3" s="1"/>
  <c r="F10" i="3"/>
  <c r="AL7" i="3"/>
  <c r="AJ7" i="3"/>
  <c r="AI7" i="3"/>
  <c r="AG7" i="3"/>
  <c r="AF7" i="3"/>
  <c r="Y7" i="3"/>
  <c r="AO7" i="3" s="1"/>
  <c r="X7" i="3"/>
  <c r="AN7" i="3" s="1"/>
  <c r="W7" i="3"/>
  <c r="AM7" i="3" s="1"/>
  <c r="V7" i="3"/>
  <c r="U7" i="3"/>
  <c r="AH7" i="3" s="1"/>
  <c r="T7" i="3"/>
  <c r="S7" i="3"/>
  <c r="R7" i="3"/>
  <c r="Q7" i="3"/>
  <c r="P7" i="3"/>
  <c r="D45" i="5" l="1"/>
  <c r="N35" i="6"/>
  <c r="R35" i="6"/>
  <c r="M29" i="9"/>
  <c r="AI57" i="3"/>
  <c r="J136" i="5"/>
  <c r="T57" i="6"/>
  <c r="R51" i="9"/>
  <c r="R50" i="9"/>
  <c r="AI55" i="3"/>
  <c r="AI56" i="3"/>
  <c r="T58" i="6"/>
  <c r="T56" i="6"/>
  <c r="T59" i="6"/>
  <c r="R53" i="9"/>
  <c r="I25" i="3"/>
  <c r="T58" i="3"/>
  <c r="I32" i="3"/>
  <c r="I34" i="3"/>
  <c r="T56" i="3"/>
  <c r="T55" i="3"/>
  <c r="M40" i="3"/>
  <c r="I18" i="3"/>
  <c r="I28" i="3"/>
  <c r="I31" i="3"/>
  <c r="T57" i="3"/>
  <c r="I29" i="3"/>
  <c r="I13" i="3"/>
  <c r="I11" i="3"/>
  <c r="AL13" i="3"/>
  <c r="AI58" i="3"/>
  <c r="B196" i="4"/>
  <c r="B179" i="4"/>
  <c r="AI10" i="3"/>
  <c r="AI34" i="3" s="1"/>
  <c r="AI11" i="3"/>
  <c r="AN11" i="3" s="1"/>
  <c r="I12" i="3"/>
  <c r="V10" i="3"/>
  <c r="I30" i="3"/>
  <c r="AJ10" i="3"/>
  <c r="AL11" i="3"/>
  <c r="AC67" i="3"/>
  <c r="AC68" i="3" s="1"/>
  <c r="AE19" i="3" s="1"/>
  <c r="X18" i="3"/>
  <c r="U34" i="3"/>
  <c r="AK10" i="3"/>
  <c r="AC34" i="3"/>
  <c r="F34" i="3"/>
  <c r="G30" i="3" s="1"/>
  <c r="I10" i="3"/>
  <c r="AK7" i="3"/>
  <c r="X13" i="3"/>
  <c r="X14" i="3"/>
  <c r="G32" i="3"/>
  <c r="B180" i="4"/>
  <c r="B197" i="4"/>
  <c r="B201" i="4"/>
  <c r="B184" i="4"/>
  <c r="I89" i="4"/>
  <c r="G89" i="4"/>
  <c r="J89" i="4"/>
  <c r="H89" i="4"/>
  <c r="F89" i="4"/>
  <c r="E89" i="4"/>
  <c r="D89" i="4"/>
  <c r="B200" i="4"/>
  <c r="B183" i="4"/>
  <c r="S58" i="3"/>
  <c r="S56" i="3"/>
  <c r="S55" i="3"/>
  <c r="M39" i="4"/>
  <c r="D42" i="4"/>
  <c r="G22" i="3"/>
  <c r="G13" i="3"/>
  <c r="AJ14" i="3"/>
  <c r="AL14" i="3" s="1"/>
  <c r="AH19" i="3"/>
  <c r="AH18" i="3" s="1"/>
  <c r="AK30" i="3"/>
  <c r="O34" i="3"/>
  <c r="I88" i="4"/>
  <c r="G88" i="4"/>
  <c r="J88" i="4"/>
  <c r="I25" i="4"/>
  <c r="H88" i="4"/>
  <c r="F88" i="4"/>
  <c r="D88" i="4"/>
  <c r="E88" i="4"/>
  <c r="I92" i="4"/>
  <c r="G92" i="4"/>
  <c r="J92" i="4"/>
  <c r="H92" i="4"/>
  <c r="F92" i="4"/>
  <c r="E92" i="4"/>
  <c r="D92" i="4"/>
  <c r="B190" i="4"/>
  <c r="B207" i="4"/>
  <c r="AK18" i="3"/>
  <c r="AN18" i="3" s="1"/>
  <c r="M23" i="3"/>
  <c r="M34" i="3" s="1"/>
  <c r="I24" i="3"/>
  <c r="S57" i="3"/>
  <c r="B195" i="4"/>
  <c r="B178" i="4"/>
  <c r="B182" i="4"/>
  <c r="B199" i="4"/>
  <c r="B203" i="4"/>
  <c r="B186" i="4"/>
  <c r="I93" i="4"/>
  <c r="G93" i="4"/>
  <c r="J93" i="4"/>
  <c r="I30" i="4"/>
  <c r="E87" i="4"/>
  <c r="E45" i="4" s="1"/>
  <c r="H93" i="4"/>
  <c r="B177" i="4"/>
  <c r="B204" i="4"/>
  <c r="B187" i="4"/>
  <c r="B191" i="4"/>
  <c r="I24" i="5"/>
  <c r="G39" i="5"/>
  <c r="I87" i="4"/>
  <c r="G87" i="4"/>
  <c r="J87" i="4"/>
  <c r="I91" i="4"/>
  <c r="G91" i="4"/>
  <c r="J91" i="4"/>
  <c r="B185" i="4"/>
  <c r="I95" i="4"/>
  <c r="G95" i="4"/>
  <c r="J95" i="4"/>
  <c r="F91" i="4"/>
  <c r="D93" i="4"/>
  <c r="E91" i="4"/>
  <c r="I86" i="4"/>
  <c r="G86" i="4"/>
  <c r="G39" i="4"/>
  <c r="J86" i="4"/>
  <c r="I23" i="4"/>
  <c r="I90" i="4"/>
  <c r="G90" i="4"/>
  <c r="J90" i="4"/>
  <c r="I27" i="4"/>
  <c r="I94" i="4"/>
  <c r="G94" i="4"/>
  <c r="I31" i="4"/>
  <c r="J94" i="4"/>
  <c r="I32" i="4"/>
  <c r="B188" i="4"/>
  <c r="B205" i="4"/>
  <c r="D90" i="4"/>
  <c r="H91" i="4"/>
  <c r="E93" i="4"/>
  <c r="D87" i="4"/>
  <c r="E90" i="4"/>
  <c r="F93" i="4"/>
  <c r="D95" i="4"/>
  <c r="D42" i="5"/>
  <c r="M39" i="5"/>
  <c r="J96" i="4"/>
  <c r="I28" i="5"/>
  <c r="I27" i="5"/>
  <c r="G96" i="4"/>
  <c r="I31" i="5"/>
  <c r="I30" i="5"/>
  <c r="H45" i="5"/>
  <c r="H136" i="5"/>
  <c r="I45" i="5"/>
  <c r="G11" i="6"/>
  <c r="T35" i="6"/>
  <c r="O28" i="8"/>
  <c r="U19" i="8"/>
  <c r="X19" i="8" s="1"/>
  <c r="E136" i="5"/>
  <c r="F136" i="5"/>
  <c r="W19" i="6"/>
  <c r="Z19" i="6"/>
  <c r="G19" i="8"/>
  <c r="G17" i="8"/>
  <c r="G10" i="8"/>
  <c r="G22" i="8"/>
  <c r="G25" i="8"/>
  <c r="G18" i="8"/>
  <c r="G13" i="8"/>
  <c r="G26" i="8"/>
  <c r="G28" i="8"/>
  <c r="G12" i="8"/>
  <c r="G136" i="5"/>
  <c r="Z12" i="6"/>
  <c r="W13" i="6"/>
  <c r="J29" i="6"/>
  <c r="G11" i="8"/>
  <c r="Z10" i="6"/>
  <c r="W10" i="6"/>
  <c r="V19" i="6"/>
  <c r="I19" i="8"/>
  <c r="W11" i="6"/>
  <c r="Z11" i="6"/>
  <c r="Z82" i="6"/>
  <c r="I35" i="6"/>
  <c r="G26" i="6"/>
  <c r="G30" i="6"/>
  <c r="I10" i="7"/>
  <c r="I14" i="7"/>
  <c r="H23" i="7"/>
  <c r="I19" i="7" s="1"/>
  <c r="I14" i="8"/>
  <c r="I17" i="8"/>
  <c r="I22" i="8"/>
  <c r="G24" i="8"/>
  <c r="G18" i="9"/>
  <c r="I12" i="7"/>
  <c r="G23" i="8"/>
  <c r="I26" i="8"/>
  <c r="G26" i="9"/>
  <c r="G13" i="9"/>
  <c r="G29" i="9"/>
  <c r="G19" i="9"/>
  <c r="G12" i="9"/>
  <c r="G25" i="9"/>
  <c r="G20" i="9"/>
  <c r="X61" i="6"/>
  <c r="H28" i="8"/>
  <c r="I10" i="8"/>
  <c r="G24" i="9"/>
  <c r="I17" i="7"/>
  <c r="U23" i="7"/>
  <c r="S28" i="8"/>
  <c r="X12" i="8"/>
  <c r="I18" i="8"/>
  <c r="G10" i="9"/>
  <c r="I26" i="9"/>
  <c r="F35" i="6"/>
  <c r="G10" i="6"/>
  <c r="G12" i="6"/>
  <c r="J14" i="6"/>
  <c r="F23" i="7"/>
  <c r="G14" i="7"/>
  <c r="I21" i="7"/>
  <c r="V10" i="8"/>
  <c r="G14" i="8"/>
  <c r="I25" i="8"/>
  <c r="S53" i="9"/>
  <c r="I24" i="9"/>
  <c r="I17" i="9"/>
  <c r="I10" i="9"/>
  <c r="M35" i="9"/>
  <c r="I29" i="9"/>
  <c r="I27" i="9"/>
  <c r="I18" i="9"/>
  <c r="S50" i="9"/>
  <c r="S51" i="9"/>
  <c r="I14" i="9"/>
  <c r="I23" i="9"/>
  <c r="I11" i="9"/>
  <c r="S52" i="9"/>
  <c r="I13" i="9"/>
  <c r="I19" i="9"/>
  <c r="V17" i="6"/>
  <c r="Z17" i="6" s="1"/>
  <c r="N82" i="6"/>
  <c r="G11" i="9"/>
  <c r="R52" i="9"/>
  <c r="V12" i="9"/>
  <c r="U28" i="8"/>
  <c r="R55" i="9" l="1"/>
  <c r="T55" i="9" s="1"/>
  <c r="T61" i="6"/>
  <c r="AE34" i="3"/>
  <c r="AK19" i="3"/>
  <c r="AN19" i="3" s="1"/>
  <c r="G23" i="7"/>
  <c r="G21" i="7"/>
  <c r="G12" i="7"/>
  <c r="G10" i="7"/>
  <c r="G20" i="7"/>
  <c r="G18" i="7"/>
  <c r="V35" i="6"/>
  <c r="G11" i="7"/>
  <c r="U57" i="6"/>
  <c r="J35" i="6"/>
  <c r="J25" i="6"/>
  <c r="U59" i="6"/>
  <c r="U56" i="6"/>
  <c r="N41" i="6"/>
  <c r="J33" i="6"/>
  <c r="J19" i="6"/>
  <c r="J13" i="6"/>
  <c r="J24" i="6"/>
  <c r="J17" i="6"/>
  <c r="J10" i="6"/>
  <c r="J11" i="6"/>
  <c r="U58" i="6"/>
  <c r="J30" i="6"/>
  <c r="J20" i="6"/>
  <c r="J26" i="6"/>
  <c r="G24" i="3"/>
  <c r="G18" i="3"/>
  <c r="I101" i="4"/>
  <c r="I45" i="4"/>
  <c r="G34" i="3"/>
  <c r="G31" i="3"/>
  <c r="G14" i="3"/>
  <c r="G23" i="3"/>
  <c r="G28" i="3"/>
  <c r="G25" i="3"/>
  <c r="G17" i="3"/>
  <c r="G10" i="3"/>
  <c r="G19" i="3"/>
  <c r="M41" i="3"/>
  <c r="G32" i="6"/>
  <c r="G23" i="6"/>
  <c r="G13" i="6"/>
  <c r="G35" i="6"/>
  <c r="G20" i="6"/>
  <c r="G25" i="6"/>
  <c r="G31" i="6"/>
  <c r="G29" i="6"/>
  <c r="G13" i="7"/>
  <c r="J31" i="6"/>
  <c r="G19" i="7"/>
  <c r="J101" i="4"/>
  <c r="J45" i="4"/>
  <c r="AK34" i="3"/>
  <c r="AN10" i="3"/>
  <c r="AL10" i="3"/>
  <c r="D45" i="4"/>
  <c r="G24" i="6"/>
  <c r="I11" i="7"/>
  <c r="I12" i="8"/>
  <c r="I11" i="8"/>
  <c r="I23" i="8"/>
  <c r="M34" i="8"/>
  <c r="I28" i="8"/>
  <c r="I24" i="8"/>
  <c r="I13" i="8"/>
  <c r="J23" i="6"/>
  <c r="G33" i="6"/>
  <c r="J32" i="6"/>
  <c r="E42" i="5"/>
  <c r="D46" i="5"/>
  <c r="I36" i="4"/>
  <c r="I34" i="4"/>
  <c r="I35" i="4"/>
  <c r="I33" i="4"/>
  <c r="I37" i="4"/>
  <c r="I39" i="4"/>
  <c r="F45" i="4"/>
  <c r="I28" i="4"/>
  <c r="I24" i="4"/>
  <c r="I34" i="5"/>
  <c r="I35" i="5"/>
  <c r="I39" i="5"/>
  <c r="I36" i="5"/>
  <c r="I33" i="5"/>
  <c r="I37" i="5"/>
  <c r="I29" i="5"/>
  <c r="I23" i="5"/>
  <c r="I32" i="5"/>
  <c r="I26" i="5"/>
  <c r="I25" i="5"/>
  <c r="F101" i="4"/>
  <c r="I29" i="4"/>
  <c r="S60" i="3"/>
  <c r="U60" i="3" s="1"/>
  <c r="H45" i="4"/>
  <c r="AN14" i="3"/>
  <c r="G11" i="3"/>
  <c r="G18" i="6"/>
  <c r="G19" i="6"/>
  <c r="I20" i="7"/>
  <c r="M29" i="7"/>
  <c r="M30" i="7" s="1"/>
  <c r="I23" i="7"/>
  <c r="I18" i="7"/>
  <c r="J18" i="6"/>
  <c r="V61" i="6"/>
  <c r="I13" i="7"/>
  <c r="G29" i="3"/>
  <c r="E42" i="4"/>
  <c r="D46" i="4"/>
  <c r="E101" i="4"/>
  <c r="I26" i="4"/>
  <c r="H101" i="4"/>
  <c r="G12" i="3"/>
  <c r="M36" i="9"/>
  <c r="M37" i="9" s="1"/>
  <c r="G17" i="6"/>
  <c r="G14" i="6"/>
  <c r="G17" i="7"/>
  <c r="J12" i="6"/>
  <c r="G101" i="4"/>
  <c r="G45" i="4"/>
  <c r="D101" i="4"/>
  <c r="AI60" i="3"/>
  <c r="AK60" i="3" s="1"/>
  <c r="N17" i="7" l="1"/>
  <c r="T17" i="7" s="1"/>
  <c r="N20" i="7"/>
  <c r="T20" i="7" s="1"/>
  <c r="N13" i="7"/>
  <c r="T13" i="7" s="1"/>
  <c r="N11" i="7"/>
  <c r="T11" i="7" s="1"/>
  <c r="N18" i="7"/>
  <c r="T18" i="7" s="1"/>
  <c r="N21" i="7"/>
  <c r="T21" i="7" s="1"/>
  <c r="L18" i="7"/>
  <c r="N19" i="7"/>
  <c r="T19" i="7" s="1"/>
  <c r="N12" i="7"/>
  <c r="T12" i="7" s="1"/>
  <c r="N14" i="7"/>
  <c r="T14" i="7" s="1"/>
  <c r="N10" i="7"/>
  <c r="N42" i="6"/>
  <c r="N20" i="9"/>
  <c r="T20" i="9" s="1"/>
  <c r="L18" i="9"/>
  <c r="T50" i="9"/>
  <c r="U50" i="9" s="1"/>
  <c r="N25" i="9"/>
  <c r="T25" i="9" s="1"/>
  <c r="T51" i="9"/>
  <c r="U51" i="9" s="1"/>
  <c r="N23" i="9"/>
  <c r="T23" i="9" s="1"/>
  <c r="N26" i="9"/>
  <c r="T26" i="9" s="1"/>
  <c r="T52" i="9"/>
  <c r="U52" i="9" s="1"/>
  <c r="N17" i="9"/>
  <c r="L17" i="9" s="1"/>
  <c r="N24" i="9"/>
  <c r="T24" i="9" s="1"/>
  <c r="N18" i="9"/>
  <c r="T18" i="9" s="1"/>
  <c r="T53" i="9"/>
  <c r="U53" i="9" s="1"/>
  <c r="N27" i="9"/>
  <c r="T27" i="9" s="1"/>
  <c r="N19" i="9"/>
  <c r="T19" i="9" s="1"/>
  <c r="D50" i="5"/>
  <c r="E46" i="4"/>
  <c r="F42" i="4"/>
  <c r="U58" i="3"/>
  <c r="V58" i="3" s="1"/>
  <c r="N28" i="3"/>
  <c r="T28" i="3" s="1"/>
  <c r="U55" i="3"/>
  <c r="V55" i="3" s="1"/>
  <c r="N30" i="3"/>
  <c r="T30" i="3" s="1"/>
  <c r="L28" i="3"/>
  <c r="U57" i="3"/>
  <c r="V57" i="3" s="1"/>
  <c r="N31" i="3"/>
  <c r="T31" i="3" s="1"/>
  <c r="L23" i="3"/>
  <c r="N32" i="3"/>
  <c r="T32" i="3" s="1"/>
  <c r="L30" i="3"/>
  <c r="N25" i="3"/>
  <c r="T25" i="3" s="1"/>
  <c r="L25" i="3"/>
  <c r="N22" i="3"/>
  <c r="L22" i="3" s="1"/>
  <c r="N24" i="3"/>
  <c r="T24" i="3" s="1"/>
  <c r="N29" i="3"/>
  <c r="T29" i="3" s="1"/>
  <c r="U56" i="3"/>
  <c r="V56" i="3" s="1"/>
  <c r="N23" i="3"/>
  <c r="T23" i="3" s="1"/>
  <c r="D50" i="4"/>
  <c r="D51" i="4"/>
  <c r="F42" i="5"/>
  <c r="E46" i="5"/>
  <c r="M35" i="8"/>
  <c r="M36" i="8" s="1"/>
  <c r="M42" i="3"/>
  <c r="L25" i="9" l="1"/>
  <c r="L19" i="9"/>
  <c r="X20" i="7"/>
  <c r="V20" i="7"/>
  <c r="E50" i="5"/>
  <c r="V23" i="9"/>
  <c r="X23" i="9"/>
  <c r="V23" i="3"/>
  <c r="X23" i="3"/>
  <c r="V60" i="3"/>
  <c r="V32" i="3"/>
  <c r="X32" i="3"/>
  <c r="L32" i="3"/>
  <c r="L24" i="9"/>
  <c r="L23" i="9"/>
  <c r="U55" i="9"/>
  <c r="V12" i="7"/>
  <c r="X12" i="7"/>
  <c r="L17" i="7"/>
  <c r="V29" i="3"/>
  <c r="X29" i="3"/>
  <c r="V26" i="9"/>
  <c r="X26" i="9"/>
  <c r="V31" i="3"/>
  <c r="X31" i="3"/>
  <c r="L29" i="3"/>
  <c r="G42" i="5"/>
  <c r="F46" i="5"/>
  <c r="E50" i="4"/>
  <c r="E51" i="4" s="1"/>
  <c r="D51" i="5"/>
  <c r="F46" i="4"/>
  <c r="G42" i="4"/>
  <c r="V20" i="9"/>
  <c r="X20" i="9"/>
  <c r="V17" i="7"/>
  <c r="X17" i="7"/>
  <c r="X18" i="9"/>
  <c r="V18" i="9"/>
  <c r="L27" i="9"/>
  <c r="D52" i="4"/>
  <c r="X24" i="9"/>
  <c r="V24" i="9"/>
  <c r="L20" i="9"/>
  <c r="O33" i="6"/>
  <c r="U33" i="6" s="1"/>
  <c r="O25" i="6"/>
  <c r="U25" i="6" s="1"/>
  <c r="V58" i="6"/>
  <c r="W58" i="6" s="1"/>
  <c r="O26" i="6"/>
  <c r="U26" i="6" s="1"/>
  <c r="V59" i="6"/>
  <c r="W59" i="6" s="1"/>
  <c r="O29" i="6"/>
  <c r="U29" i="6" s="1"/>
  <c r="O31" i="6"/>
  <c r="U31" i="6" s="1"/>
  <c r="O23" i="6"/>
  <c r="V57" i="6"/>
  <c r="W57" i="6" s="1"/>
  <c r="O32" i="6"/>
  <c r="U32" i="6" s="1"/>
  <c r="M31" i="6"/>
  <c r="O24" i="6"/>
  <c r="U24" i="6" s="1"/>
  <c r="V56" i="6"/>
  <c r="W56" i="6" s="1"/>
  <c r="O30" i="6"/>
  <c r="U30" i="6" s="1"/>
  <c r="M29" i="6"/>
  <c r="N23" i="7"/>
  <c r="T10" i="7"/>
  <c r="V18" i="7"/>
  <c r="X18" i="7"/>
  <c r="V21" i="7"/>
  <c r="X21" i="7"/>
  <c r="V25" i="3"/>
  <c r="X25" i="3"/>
  <c r="V30" i="3"/>
  <c r="X30" i="3"/>
  <c r="T17" i="9"/>
  <c r="N29" i="9"/>
  <c r="N43" i="6"/>
  <c r="L19" i="7"/>
  <c r="L20" i="7"/>
  <c r="V14" i="7"/>
  <c r="X14" i="7"/>
  <c r="X11" i="7"/>
  <c r="V11" i="7"/>
  <c r="V27" i="9"/>
  <c r="X27" i="9"/>
  <c r="V19" i="7"/>
  <c r="X19" i="7"/>
  <c r="V24" i="3"/>
  <c r="X24" i="3"/>
  <c r="N25" i="8"/>
  <c r="T25" i="8" s="1"/>
  <c r="N23" i="8"/>
  <c r="T23" i="8" s="1"/>
  <c r="N26" i="8"/>
  <c r="T26" i="8" s="1"/>
  <c r="L23" i="8"/>
  <c r="L26" i="8"/>
  <c r="N24" i="8"/>
  <c r="T24" i="8" s="1"/>
  <c r="N22" i="8"/>
  <c r="T22" i="3"/>
  <c r="N34" i="3"/>
  <c r="L26" i="9"/>
  <c r="L24" i="3"/>
  <c r="L34" i="3" s="1"/>
  <c r="M37" i="3" s="1"/>
  <c r="M39" i="3" s="1"/>
  <c r="L31" i="3"/>
  <c r="V28" i="3"/>
  <c r="X28" i="3"/>
  <c r="V19" i="9"/>
  <c r="X19" i="9"/>
  <c r="X25" i="9"/>
  <c r="V25" i="9"/>
  <c r="L21" i="7"/>
  <c r="X13" i="7"/>
  <c r="V13" i="7"/>
  <c r="M33" i="6" l="1"/>
  <c r="M24" i="6"/>
  <c r="L29" i="9"/>
  <c r="M32" i="9" s="1"/>
  <c r="M34" i="9" s="1"/>
  <c r="D53" i="4"/>
  <c r="D54" i="4" s="1"/>
  <c r="D55" i="4" s="1"/>
  <c r="V10" i="7"/>
  <c r="T23" i="7"/>
  <c r="X10" i="7"/>
  <c r="L24" i="8"/>
  <c r="X25" i="8"/>
  <c r="V25" i="8"/>
  <c r="M25" i="6"/>
  <c r="M26" i="6"/>
  <c r="M32" i="6"/>
  <c r="Y32" i="6"/>
  <c r="Y79" i="6" s="1"/>
  <c r="W32" i="6"/>
  <c r="G46" i="4"/>
  <c r="H42" i="4"/>
  <c r="V17" i="9"/>
  <c r="X17" i="9"/>
  <c r="T29" i="9"/>
  <c r="X26" i="8"/>
  <c r="V26" i="8"/>
  <c r="V24" i="8"/>
  <c r="X24" i="8"/>
  <c r="Y33" i="6"/>
  <c r="Y80" i="6" s="1"/>
  <c r="W33" i="6"/>
  <c r="Z26" i="6"/>
  <c r="W26" i="6"/>
  <c r="F50" i="4"/>
  <c r="F51" i="4"/>
  <c r="F52" i="4" s="1"/>
  <c r="E52" i="4"/>
  <c r="O35" i="6"/>
  <c r="U23" i="6"/>
  <c r="D52" i="5"/>
  <c r="V23" i="8"/>
  <c r="X23" i="8"/>
  <c r="W30" i="6"/>
  <c r="Y30" i="6"/>
  <c r="Y77" i="6" s="1"/>
  <c r="X22" i="3"/>
  <c r="V22" i="3"/>
  <c r="T34" i="3"/>
  <c r="L25" i="8"/>
  <c r="W61" i="6"/>
  <c r="W31" i="6"/>
  <c r="Y31" i="6"/>
  <c r="Y78" i="6" s="1"/>
  <c r="M23" i="6"/>
  <c r="F50" i="5"/>
  <c r="F51" i="5" s="1"/>
  <c r="E51" i="5"/>
  <c r="M30" i="6"/>
  <c r="N28" i="8"/>
  <c r="T22" i="8"/>
  <c r="L22" i="8"/>
  <c r="W24" i="6"/>
  <c r="Z24" i="6"/>
  <c r="Y29" i="6"/>
  <c r="Y76" i="6" s="1"/>
  <c r="W29" i="6"/>
  <c r="W25" i="6"/>
  <c r="Z25" i="6"/>
  <c r="G46" i="5"/>
  <c r="H42" i="5"/>
  <c r="L23" i="7"/>
  <c r="M26" i="7" s="1"/>
  <c r="M28" i="7" s="1"/>
  <c r="Z33" i="6" l="1"/>
  <c r="Z32" i="6"/>
  <c r="Z29" i="6"/>
  <c r="L28" i="8"/>
  <c r="M31" i="8" s="1"/>
  <c r="M33" i="8" s="1"/>
  <c r="F53" i="4"/>
  <c r="H46" i="5"/>
  <c r="I42" i="5"/>
  <c r="V22" i="8"/>
  <c r="T28" i="8"/>
  <c r="X22" i="8"/>
  <c r="G50" i="4"/>
  <c r="G50" i="5"/>
  <c r="G51" i="5" s="1"/>
  <c r="Z31" i="6"/>
  <c r="D53" i="5"/>
  <c r="W23" i="6"/>
  <c r="Z23" i="6"/>
  <c r="U35" i="6"/>
  <c r="X29" i="9"/>
  <c r="Y17" i="9" s="1"/>
  <c r="V29" i="9"/>
  <c r="F52" i="5"/>
  <c r="V34" i="3"/>
  <c r="W22" i="3" s="1"/>
  <c r="F53" i="5"/>
  <c r="X34" i="3"/>
  <c r="E52" i="5"/>
  <c r="E53" i="4"/>
  <c r="Z30" i="6"/>
  <c r="D56" i="4"/>
  <c r="X23" i="7"/>
  <c r="Y10" i="7"/>
  <c r="I42" i="4"/>
  <c r="H46" i="4"/>
  <c r="M35" i="6"/>
  <c r="N38" i="6" s="1"/>
  <c r="N40" i="6" s="1"/>
  <c r="E54" i="4"/>
  <c r="V23" i="7"/>
  <c r="E53" i="5" l="1"/>
  <c r="E54" i="5" s="1"/>
  <c r="E55" i="5" s="1"/>
  <c r="E56" i="5" s="1"/>
  <c r="W29" i="9"/>
  <c r="W14" i="9"/>
  <c r="W13" i="9"/>
  <c r="W11" i="9"/>
  <c r="W10" i="9"/>
  <c r="W12" i="9"/>
  <c r="W20" i="9"/>
  <c r="W23" i="9"/>
  <c r="W27" i="9"/>
  <c r="W25" i="9"/>
  <c r="W19" i="9"/>
  <c r="W24" i="9"/>
  <c r="W18" i="9"/>
  <c r="W26" i="9"/>
  <c r="AA23" i="6"/>
  <c r="Y82" i="6"/>
  <c r="Z35" i="6"/>
  <c r="D54" i="5"/>
  <c r="D55" i="5" s="1"/>
  <c r="D56" i="5" s="1"/>
  <c r="D57" i="5" s="1"/>
  <c r="G51" i="4"/>
  <c r="G52" i="4" s="1"/>
  <c r="G53" i="4" s="1"/>
  <c r="AA31" i="6"/>
  <c r="X28" i="8"/>
  <c r="Y22" i="8" s="1"/>
  <c r="H50" i="5"/>
  <c r="H51" i="5" s="1"/>
  <c r="W23" i="7"/>
  <c r="W19" i="7"/>
  <c r="W12" i="7"/>
  <c r="W17" i="7"/>
  <c r="W18" i="7"/>
  <c r="W20" i="7"/>
  <c r="W11" i="7"/>
  <c r="W21" i="7"/>
  <c r="W13" i="7"/>
  <c r="W14" i="7"/>
  <c r="I46" i="5"/>
  <c r="J42" i="5"/>
  <c r="H246" i="5"/>
  <c r="I246" i="5"/>
  <c r="W10" i="7"/>
  <c r="F54" i="4"/>
  <c r="F55" i="4" s="1"/>
  <c r="E55" i="4"/>
  <c r="W17" i="9"/>
  <c r="D57" i="4"/>
  <c r="D58" i="4" s="1"/>
  <c r="V28" i="8"/>
  <c r="F54" i="5"/>
  <c r="H50" i="4"/>
  <c r="W34" i="3"/>
  <c r="W13" i="3"/>
  <c r="W11" i="3"/>
  <c r="W17" i="3"/>
  <c r="W12" i="3"/>
  <c r="W18" i="3"/>
  <c r="W14" i="3"/>
  <c r="W19" i="3"/>
  <c r="W10" i="3"/>
  <c r="W23" i="3"/>
  <c r="W25" i="3"/>
  <c r="W28" i="3"/>
  <c r="W30" i="3"/>
  <c r="W29" i="3"/>
  <c r="W24" i="3"/>
  <c r="W32" i="3"/>
  <c r="W31" i="3"/>
  <c r="Y29" i="9"/>
  <c r="Y12" i="9"/>
  <c r="Y11" i="9"/>
  <c r="Y14" i="9"/>
  <c r="Y13" i="9"/>
  <c r="Y10" i="9"/>
  <c r="Y24" i="9"/>
  <c r="Y25" i="9"/>
  <c r="Y26" i="9"/>
  <c r="Y27" i="9"/>
  <c r="Y18" i="9"/>
  <c r="Y19" i="9"/>
  <c r="Y20" i="9"/>
  <c r="Y23" i="9"/>
  <c r="W35" i="6"/>
  <c r="X23" i="6" s="1"/>
  <c r="J42" i="4"/>
  <c r="F211" i="4" s="1"/>
  <c r="I46" i="4"/>
  <c r="Y23" i="7"/>
  <c r="Y17" i="7"/>
  <c r="Y21" i="7"/>
  <c r="Y18" i="7"/>
  <c r="Y19" i="7"/>
  <c r="Y14" i="7"/>
  <c r="Y12" i="7"/>
  <c r="Y11" i="7"/>
  <c r="Y13" i="7"/>
  <c r="Y20" i="7"/>
  <c r="AA30" i="6"/>
  <c r="AJ58" i="3"/>
  <c r="AJ56" i="3"/>
  <c r="AC40" i="3"/>
  <c r="AJ55" i="3"/>
  <c r="Y34" i="3"/>
  <c r="Y19" i="3"/>
  <c r="AJ57" i="3"/>
  <c r="Y11" i="3"/>
  <c r="Y12" i="3"/>
  <c r="Y10" i="3"/>
  <c r="Y17" i="3"/>
  <c r="Y14" i="3"/>
  <c r="Y13" i="3"/>
  <c r="Y18" i="3"/>
  <c r="M69" i="3" s="1"/>
  <c r="Y31" i="3"/>
  <c r="Y30" i="3"/>
  <c r="Y25" i="3"/>
  <c r="Y24" i="3"/>
  <c r="Y29" i="3"/>
  <c r="Y32" i="3"/>
  <c r="Y28" i="3"/>
  <c r="Y23" i="3"/>
  <c r="Y22" i="3"/>
  <c r="G52" i="5"/>
  <c r="E57" i="5" l="1"/>
  <c r="D58" i="5"/>
  <c r="D59" i="5" s="1"/>
  <c r="D60" i="5" s="1"/>
  <c r="D61" i="5" s="1"/>
  <c r="D62" i="5" s="1"/>
  <c r="D63" i="5" s="1"/>
  <c r="D64" i="5" s="1"/>
  <c r="AC42" i="3"/>
  <c r="AC41" i="3"/>
  <c r="E56" i="4"/>
  <c r="E57" i="4" s="1"/>
  <c r="H52" i="5"/>
  <c r="H53" i="5" s="1"/>
  <c r="F57" i="4"/>
  <c r="Y28" i="8"/>
  <c r="Y10" i="8"/>
  <c r="Y17" i="8"/>
  <c r="Y18" i="8"/>
  <c r="Y13" i="8"/>
  <c r="Y14" i="8"/>
  <c r="Y11" i="8"/>
  <c r="Y19" i="8"/>
  <c r="Y12" i="8"/>
  <c r="Y25" i="8"/>
  <c r="Y24" i="8"/>
  <c r="Y26" i="8"/>
  <c r="Y23" i="8"/>
  <c r="F55" i="5"/>
  <c r="D59" i="4"/>
  <c r="D60" i="4" s="1"/>
  <c r="D61" i="4" s="1"/>
  <c r="F56" i="4"/>
  <c r="J46" i="5"/>
  <c r="F246" i="5"/>
  <c r="E246" i="5"/>
  <c r="G246" i="5"/>
  <c r="D246" i="5"/>
  <c r="G54" i="4"/>
  <c r="G55" i="4" s="1"/>
  <c r="J46" i="4"/>
  <c r="I211" i="4"/>
  <c r="H211" i="4"/>
  <c r="E211" i="4"/>
  <c r="X35" i="6"/>
  <c r="X14" i="6"/>
  <c r="X18" i="6"/>
  <c r="X17" i="6"/>
  <c r="X12" i="6"/>
  <c r="X20" i="6"/>
  <c r="X10" i="6"/>
  <c r="X11" i="6"/>
  <c r="X13" i="6"/>
  <c r="X19" i="6"/>
  <c r="X29" i="6"/>
  <c r="X26" i="6"/>
  <c r="X31" i="6"/>
  <c r="X24" i="6"/>
  <c r="X33" i="6"/>
  <c r="X25" i="6"/>
  <c r="X32" i="6"/>
  <c r="X30" i="6"/>
  <c r="E58" i="5"/>
  <c r="E59" i="5" s="1"/>
  <c r="D211" i="4"/>
  <c r="H51" i="4"/>
  <c r="W28" i="8"/>
  <c r="W14" i="8"/>
  <c r="W19" i="8"/>
  <c r="W17" i="8"/>
  <c r="W18" i="8"/>
  <c r="W12" i="8"/>
  <c r="W13" i="8"/>
  <c r="W11" i="8"/>
  <c r="W10" i="8"/>
  <c r="W25" i="8"/>
  <c r="W26" i="8"/>
  <c r="W24" i="8"/>
  <c r="W23" i="8"/>
  <c r="I50" i="5"/>
  <c r="G53" i="5"/>
  <c r="I51" i="4"/>
  <c r="I50" i="4"/>
  <c r="G211" i="4"/>
  <c r="W22" i="8"/>
  <c r="AA35" i="6"/>
  <c r="Y35" i="6"/>
  <c r="AA14" i="6"/>
  <c r="AA13" i="6"/>
  <c r="AA20" i="6"/>
  <c r="AA18" i="6"/>
  <c r="N70" i="6" s="1"/>
  <c r="AA12" i="6"/>
  <c r="AA19" i="6"/>
  <c r="AA11" i="6"/>
  <c r="AA10" i="6"/>
  <c r="AA17" i="6"/>
  <c r="AA32" i="6"/>
  <c r="AA26" i="6"/>
  <c r="AA24" i="6"/>
  <c r="AA33" i="6"/>
  <c r="AA29" i="6"/>
  <c r="AA25" i="6"/>
  <c r="D149" i="5" l="1"/>
  <c r="D147" i="5"/>
  <c r="D140" i="5"/>
  <c r="E58" i="4"/>
  <c r="E59" i="4"/>
  <c r="D62" i="4"/>
  <c r="D63" i="4" s="1"/>
  <c r="D64" i="4" s="1"/>
  <c r="D112" i="4" s="1"/>
  <c r="D107" i="4"/>
  <c r="D113" i="4"/>
  <c r="D118" i="4"/>
  <c r="D110" i="4"/>
  <c r="D117" i="4"/>
  <c r="D106" i="4"/>
  <c r="D111" i="4"/>
  <c r="D104" i="4"/>
  <c r="D115" i="4"/>
  <c r="D105" i="4"/>
  <c r="D116" i="4"/>
  <c r="G56" i="4"/>
  <c r="J50" i="4"/>
  <c r="H52" i="4"/>
  <c r="D153" i="5"/>
  <c r="F58" i="4"/>
  <c r="F59" i="4" s="1"/>
  <c r="D139" i="5"/>
  <c r="AK58" i="3"/>
  <c r="AL58" i="3" s="1"/>
  <c r="AK56" i="3"/>
  <c r="AL56" i="3" s="1"/>
  <c r="AD30" i="3"/>
  <c r="AJ30" i="3" s="1"/>
  <c r="AB32" i="3"/>
  <c r="AD28" i="3"/>
  <c r="AJ28" i="3" s="1"/>
  <c r="AD22" i="3"/>
  <c r="AB30" i="3"/>
  <c r="AD23" i="3"/>
  <c r="AJ23" i="3" s="1"/>
  <c r="AK55" i="3"/>
  <c r="AL55" i="3" s="1"/>
  <c r="AD31" i="3"/>
  <c r="AJ31" i="3" s="1"/>
  <c r="AK57" i="3"/>
  <c r="AL57" i="3" s="1"/>
  <c r="AD29" i="3"/>
  <c r="AJ29" i="3" s="1"/>
  <c r="AB23" i="3"/>
  <c r="AB31" i="3"/>
  <c r="AD32" i="3"/>
  <c r="AJ32" i="3" s="1"/>
  <c r="AD24" i="3"/>
  <c r="AJ24" i="3" s="1"/>
  <c r="AD25" i="3"/>
  <c r="AJ25" i="3" s="1"/>
  <c r="AB24" i="3"/>
  <c r="D148" i="5"/>
  <c r="J246" i="5"/>
  <c r="D144" i="5"/>
  <c r="D150" i="5"/>
  <c r="D152" i="5"/>
  <c r="D141" i="5"/>
  <c r="D151" i="5"/>
  <c r="E60" i="4"/>
  <c r="D146" i="5"/>
  <c r="D142" i="5"/>
  <c r="I52" i="4"/>
  <c r="I53" i="4" s="1"/>
  <c r="J211" i="4"/>
  <c r="H54" i="5"/>
  <c r="G54" i="5"/>
  <c r="G55" i="5" s="1"/>
  <c r="D65" i="5"/>
  <c r="F56" i="5"/>
  <c r="J50" i="5"/>
  <c r="I51" i="5"/>
  <c r="E60" i="5"/>
  <c r="E61" i="5" s="1"/>
  <c r="M51" i="8"/>
  <c r="D145" i="5"/>
  <c r="D143" i="5"/>
  <c r="J51" i="5" l="1"/>
  <c r="J52" i="5" s="1"/>
  <c r="J53" i="5" s="1"/>
  <c r="J54" i="5" s="1"/>
  <c r="E62" i="5"/>
  <c r="E63" i="5" s="1"/>
  <c r="D65" i="4"/>
  <c r="D109" i="4"/>
  <c r="D114" i="4"/>
  <c r="D108" i="4"/>
  <c r="D119" i="4" s="1"/>
  <c r="D137" i="4" s="1"/>
  <c r="F60" i="4"/>
  <c r="D117" i="5"/>
  <c r="D116" i="5"/>
  <c r="D115" i="5"/>
  <c r="D114" i="5"/>
  <c r="D107" i="5"/>
  <c r="D106" i="5"/>
  <c r="D112" i="5"/>
  <c r="D104" i="5"/>
  <c r="D109" i="5"/>
  <c r="D111" i="5"/>
  <c r="D110" i="5"/>
  <c r="D105" i="5"/>
  <c r="D103" i="5"/>
  <c r="D108" i="5"/>
  <c r="D113" i="5"/>
  <c r="F57" i="5"/>
  <c r="D154" i="5"/>
  <c r="D172" i="5" s="1"/>
  <c r="H55" i="5"/>
  <c r="AB29" i="3"/>
  <c r="AB28" i="3"/>
  <c r="I52" i="5"/>
  <c r="AD34" i="3"/>
  <c r="AJ22" i="3"/>
  <c r="AL28" i="3"/>
  <c r="AN28" i="3"/>
  <c r="I54" i="4"/>
  <c r="I55" i="4"/>
  <c r="G56" i="5"/>
  <c r="I56" i="4"/>
  <c r="AL24" i="3"/>
  <c r="AN24" i="3"/>
  <c r="AL31" i="3"/>
  <c r="AN31" i="3"/>
  <c r="AL30" i="3"/>
  <c r="AN30" i="3"/>
  <c r="F61" i="4"/>
  <c r="F62" i="4" s="1"/>
  <c r="F63" i="4" s="1"/>
  <c r="F64" i="4" s="1"/>
  <c r="J51" i="4"/>
  <c r="J52" i="4"/>
  <c r="G57" i="4"/>
  <c r="AL25" i="3"/>
  <c r="AN25" i="3"/>
  <c r="AB25" i="3"/>
  <c r="AL60" i="3"/>
  <c r="H53" i="4"/>
  <c r="E61" i="4"/>
  <c r="AL29" i="3"/>
  <c r="AN29" i="3"/>
  <c r="AB22" i="3"/>
  <c r="AB34" i="3" s="1"/>
  <c r="AC37" i="3" s="1"/>
  <c r="AC39" i="3" s="1"/>
  <c r="AL32" i="3"/>
  <c r="AN32" i="3"/>
  <c r="AL23" i="3"/>
  <c r="AN23" i="3"/>
  <c r="D81" i="4"/>
  <c r="D79" i="4"/>
  <c r="D82" i="4"/>
  <c r="D80" i="4"/>
  <c r="D78" i="4"/>
  <c r="D76" i="4"/>
  <c r="D72" i="4"/>
  <c r="D68" i="4"/>
  <c r="D73" i="4"/>
  <c r="D70" i="4"/>
  <c r="D69" i="4"/>
  <c r="D71" i="4"/>
  <c r="D77" i="4"/>
  <c r="D75" i="4"/>
  <c r="D74" i="4"/>
  <c r="E64" i="5" l="1"/>
  <c r="E143" i="5" s="1"/>
  <c r="E144" i="5"/>
  <c r="E147" i="5"/>
  <c r="E151" i="5"/>
  <c r="E149" i="5"/>
  <c r="E65" i="5"/>
  <c r="E109" i="5" s="1"/>
  <c r="E142" i="5"/>
  <c r="E139" i="5"/>
  <c r="E150" i="5"/>
  <c r="E145" i="5"/>
  <c r="E153" i="5"/>
  <c r="E146" i="5"/>
  <c r="E148" i="5"/>
  <c r="E140" i="5"/>
  <c r="E152" i="5"/>
  <c r="E141" i="5"/>
  <c r="D118" i="5"/>
  <c r="F118" i="4"/>
  <c r="F112" i="4"/>
  <c r="F108" i="4"/>
  <c r="F115" i="4"/>
  <c r="F105" i="4"/>
  <c r="F107" i="4"/>
  <c r="F113" i="4"/>
  <c r="F106" i="4"/>
  <c r="F111" i="4"/>
  <c r="F104" i="4"/>
  <c r="F114" i="4"/>
  <c r="F110" i="4"/>
  <c r="F116" i="4"/>
  <c r="F65" i="4"/>
  <c r="F117" i="4"/>
  <c r="F109" i="4"/>
  <c r="G57" i="5"/>
  <c r="E62" i="4"/>
  <c r="E63" i="4" s="1"/>
  <c r="E64" i="4" s="1"/>
  <c r="E117" i="4"/>
  <c r="J53" i="4"/>
  <c r="J54" i="4" s="1"/>
  <c r="G110" i="4"/>
  <c r="G114" i="4"/>
  <c r="G58" i="4"/>
  <c r="G59" i="4" s="1"/>
  <c r="G60" i="4" s="1"/>
  <c r="G61" i="4" s="1"/>
  <c r="G62" i="4" s="1"/>
  <c r="G63" i="4" s="1"/>
  <c r="G64" i="4" s="1"/>
  <c r="G111" i="4" s="1"/>
  <c r="E116" i="4"/>
  <c r="H56" i="5"/>
  <c r="J55" i="5"/>
  <c r="I53" i="5"/>
  <c r="I57" i="4"/>
  <c r="H54" i="4"/>
  <c r="D173" i="5"/>
  <c r="D167" i="5"/>
  <c r="D160" i="5"/>
  <c r="D158" i="5"/>
  <c r="D159" i="5"/>
  <c r="D157" i="5"/>
  <c r="D169" i="5"/>
  <c r="D166" i="5"/>
  <c r="D170" i="5"/>
  <c r="D161" i="5"/>
  <c r="D171" i="5"/>
  <c r="D168" i="5"/>
  <c r="D163" i="5"/>
  <c r="D164" i="5"/>
  <c r="D165" i="5"/>
  <c r="D162" i="5"/>
  <c r="D83" i="4"/>
  <c r="D138" i="4"/>
  <c r="D123" i="4"/>
  <c r="D128" i="4"/>
  <c r="D125" i="4"/>
  <c r="D126" i="4"/>
  <c r="D122" i="4"/>
  <c r="D136" i="4"/>
  <c r="D129" i="4"/>
  <c r="D133" i="4"/>
  <c r="D134" i="4"/>
  <c r="D130" i="4"/>
  <c r="D131" i="4"/>
  <c r="D127" i="4"/>
  <c r="D132" i="4"/>
  <c r="D135" i="4"/>
  <c r="D124" i="4"/>
  <c r="AL22" i="3"/>
  <c r="AN22" i="3"/>
  <c r="AJ34" i="3"/>
  <c r="F58" i="5"/>
  <c r="E108" i="5" l="1"/>
  <c r="E154" i="5"/>
  <c r="E172" i="5" s="1"/>
  <c r="E158" i="5" s="1"/>
  <c r="E115" i="5"/>
  <c r="E114" i="5"/>
  <c r="E113" i="5"/>
  <c r="E107" i="5"/>
  <c r="E112" i="5"/>
  <c r="E117" i="5"/>
  <c r="E110" i="5"/>
  <c r="E103" i="5"/>
  <c r="E104" i="5"/>
  <c r="E105" i="5"/>
  <c r="E116" i="5"/>
  <c r="E111" i="5"/>
  <c r="E106" i="5"/>
  <c r="G109" i="4"/>
  <c r="G116" i="4"/>
  <c r="D171" i="4"/>
  <c r="D152" i="4"/>
  <c r="D206" i="5"/>
  <c r="D187" i="5"/>
  <c r="D162" i="4"/>
  <c r="D143" i="4"/>
  <c r="D167" i="4"/>
  <c r="D148" i="4"/>
  <c r="D209" i="5"/>
  <c r="D190" i="5"/>
  <c r="D198" i="5"/>
  <c r="D179" i="5"/>
  <c r="H57" i="5"/>
  <c r="G113" i="4"/>
  <c r="G108" i="4"/>
  <c r="E113" i="4"/>
  <c r="E115" i="4"/>
  <c r="E118" i="4"/>
  <c r="E110" i="4"/>
  <c r="E114" i="4"/>
  <c r="E106" i="4"/>
  <c r="E109" i="4"/>
  <c r="E112" i="4"/>
  <c r="E107" i="4"/>
  <c r="E105" i="4"/>
  <c r="E104" i="4"/>
  <c r="E111" i="4"/>
  <c r="E65" i="4"/>
  <c r="E108" i="4"/>
  <c r="E173" i="5"/>
  <c r="E157" i="5"/>
  <c r="E163" i="5"/>
  <c r="E167" i="5"/>
  <c r="E171" i="5"/>
  <c r="E161" i="5"/>
  <c r="E160" i="5"/>
  <c r="E164" i="5"/>
  <c r="E168" i="5"/>
  <c r="E165" i="5"/>
  <c r="E169" i="5"/>
  <c r="E162" i="5"/>
  <c r="E166" i="5"/>
  <c r="E170" i="5"/>
  <c r="E159" i="5"/>
  <c r="G58" i="5"/>
  <c r="F119" i="4"/>
  <c r="F137" i="4" s="1"/>
  <c r="F59" i="5"/>
  <c r="F60" i="5" s="1"/>
  <c r="F61" i="5" s="1"/>
  <c r="F62" i="5" s="1"/>
  <c r="F63" i="5" s="1"/>
  <c r="F64" i="5" s="1"/>
  <c r="F146" i="5" s="1"/>
  <c r="D196" i="5"/>
  <c r="D177" i="5"/>
  <c r="I54" i="5"/>
  <c r="I55" i="5" s="1"/>
  <c r="I56" i="5" s="1"/>
  <c r="D173" i="4"/>
  <c r="D154" i="4"/>
  <c r="D174" i="4"/>
  <c r="D155" i="4"/>
  <c r="D199" i="5"/>
  <c r="D180" i="5"/>
  <c r="D205" i="5"/>
  <c r="D186" i="5"/>
  <c r="G112" i="4"/>
  <c r="G104" i="4"/>
  <c r="G105" i="4"/>
  <c r="G106" i="4"/>
  <c r="G107" i="4"/>
  <c r="D169" i="4"/>
  <c r="D150" i="4"/>
  <c r="D163" i="4"/>
  <c r="D144" i="4"/>
  <c r="D203" i="5"/>
  <c r="D184" i="5"/>
  <c r="D207" i="5"/>
  <c r="D188" i="5"/>
  <c r="H55" i="4"/>
  <c r="G115" i="4"/>
  <c r="F82" i="4"/>
  <c r="F81" i="4"/>
  <c r="F80" i="4"/>
  <c r="F79" i="4"/>
  <c r="F77" i="4"/>
  <c r="F78" i="4"/>
  <c r="F68" i="4"/>
  <c r="F83" i="4" s="1"/>
  <c r="F72" i="4"/>
  <c r="F76" i="4"/>
  <c r="F75" i="4"/>
  <c r="F74" i="4"/>
  <c r="F69" i="4"/>
  <c r="F73" i="4"/>
  <c r="F70" i="4"/>
  <c r="F71" i="4"/>
  <c r="J56" i="5"/>
  <c r="D160" i="4"/>
  <c r="D141" i="4"/>
  <c r="D208" i="5"/>
  <c r="D189" i="5"/>
  <c r="D165" i="4"/>
  <c r="D146" i="4"/>
  <c r="D166" i="4"/>
  <c r="D147" i="4"/>
  <c r="D202" i="5"/>
  <c r="D183" i="5"/>
  <c r="D195" i="5"/>
  <c r="D176" i="5"/>
  <c r="G117" i="4"/>
  <c r="D170" i="4"/>
  <c r="D151" i="4"/>
  <c r="D164" i="4"/>
  <c r="D145" i="4"/>
  <c r="D200" i="5"/>
  <c r="D181" i="5"/>
  <c r="D204" i="5"/>
  <c r="D185" i="5"/>
  <c r="AO22" i="3"/>
  <c r="AN34" i="3"/>
  <c r="D168" i="4"/>
  <c r="D149" i="4"/>
  <c r="AL34" i="3"/>
  <c r="D172" i="4"/>
  <c r="D153" i="4"/>
  <c r="D161" i="4"/>
  <c r="D142" i="4"/>
  <c r="D201" i="5"/>
  <c r="D182" i="5"/>
  <c r="D197" i="5"/>
  <c r="D178" i="5"/>
  <c r="I58" i="4"/>
  <c r="I59" i="4" s="1"/>
  <c r="J57" i="5"/>
  <c r="J58" i="5" s="1"/>
  <c r="J59" i="5" s="1"/>
  <c r="J60" i="5" s="1"/>
  <c r="J61" i="5" s="1"/>
  <c r="G118" i="4"/>
  <c r="G65" i="4"/>
  <c r="J55" i="4"/>
  <c r="E118" i="5" l="1"/>
  <c r="F142" i="5"/>
  <c r="F143" i="5"/>
  <c r="I57" i="5"/>
  <c r="I58" i="5" s="1"/>
  <c r="I59" i="5" s="1"/>
  <c r="I60" i="5" s="1"/>
  <c r="I61" i="5" s="1"/>
  <c r="I62" i="5" s="1"/>
  <c r="I63" i="5" s="1"/>
  <c r="I64" i="5" s="1"/>
  <c r="I144" i="5" s="1"/>
  <c r="AM34" i="3"/>
  <c r="AM12" i="3"/>
  <c r="AM18" i="3"/>
  <c r="AM17" i="3"/>
  <c r="AM19" i="3"/>
  <c r="AM13" i="3"/>
  <c r="AM14" i="3"/>
  <c r="AM11" i="3"/>
  <c r="AM10" i="3"/>
  <c r="AM29" i="3"/>
  <c r="AM31" i="3"/>
  <c r="AM30" i="3"/>
  <c r="AM32" i="3"/>
  <c r="AM28" i="3"/>
  <c r="AM24" i="3"/>
  <c r="AM25" i="3"/>
  <c r="AM23" i="3"/>
  <c r="D225" i="5"/>
  <c r="D242" i="5" s="1"/>
  <c r="D218" i="5"/>
  <c r="D235" i="5" s="1"/>
  <c r="AM22" i="3"/>
  <c r="E200" i="5"/>
  <c r="E181" i="5"/>
  <c r="E205" i="5"/>
  <c r="E186" i="5"/>
  <c r="E119" i="4"/>
  <c r="E137" i="4" s="1"/>
  <c r="H58" i="5"/>
  <c r="H59" i="5" s="1"/>
  <c r="H60" i="5" s="1"/>
  <c r="H61" i="5" s="1"/>
  <c r="H62" i="5" s="1"/>
  <c r="D215" i="5"/>
  <c r="D232" i="5" s="1"/>
  <c r="D223" i="5"/>
  <c r="D240" i="5" s="1"/>
  <c r="D205" i="4"/>
  <c r="D188" i="4"/>
  <c r="D185" i="4"/>
  <c r="D202" i="4" s="1"/>
  <c r="D181" i="4"/>
  <c r="D198" i="4" s="1"/>
  <c r="D219" i="5"/>
  <c r="D236" i="5" s="1"/>
  <c r="D177" i="4"/>
  <c r="D194" i="4" s="1"/>
  <c r="D140" i="4"/>
  <c r="D156" i="4"/>
  <c r="D157" i="4" s="1"/>
  <c r="D180" i="4"/>
  <c r="D197" i="4" s="1"/>
  <c r="E201" i="5"/>
  <c r="E182" i="5"/>
  <c r="D226" i="5"/>
  <c r="D243" i="5" s="1"/>
  <c r="D182" i="4"/>
  <c r="D199" i="4" s="1"/>
  <c r="D190" i="4"/>
  <c r="D207" i="4" s="1"/>
  <c r="E207" i="5"/>
  <c r="E188" i="5"/>
  <c r="F147" i="5"/>
  <c r="F141" i="5"/>
  <c r="F65" i="5"/>
  <c r="F139" i="5"/>
  <c r="F140" i="5"/>
  <c r="F144" i="5"/>
  <c r="F148" i="5"/>
  <c r="F152" i="5"/>
  <c r="F153" i="5"/>
  <c r="F149" i="5"/>
  <c r="F151" i="5"/>
  <c r="E203" i="5"/>
  <c r="E184" i="5"/>
  <c r="E196" i="5"/>
  <c r="E177" i="5"/>
  <c r="G82" i="4"/>
  <c r="G80" i="4"/>
  <c r="G78" i="4"/>
  <c r="G76" i="4"/>
  <c r="G68" i="4"/>
  <c r="G72" i="4"/>
  <c r="G81" i="4"/>
  <c r="G79" i="4"/>
  <c r="G71" i="4"/>
  <c r="G70" i="4"/>
  <c r="G69" i="4"/>
  <c r="G73" i="4"/>
  <c r="G74" i="4"/>
  <c r="G75" i="4"/>
  <c r="G77" i="4"/>
  <c r="D178" i="4"/>
  <c r="D195" i="4" s="1"/>
  <c r="AO34" i="3"/>
  <c r="AO12" i="3"/>
  <c r="AO13" i="3"/>
  <c r="AO17" i="3"/>
  <c r="AO11" i="3"/>
  <c r="AO18" i="3"/>
  <c r="AO10" i="3"/>
  <c r="AO14" i="3"/>
  <c r="AO19" i="3"/>
  <c r="AO31" i="3"/>
  <c r="AO25" i="3"/>
  <c r="AO32" i="3"/>
  <c r="AO29" i="3"/>
  <c r="AO30" i="3"/>
  <c r="AO24" i="3"/>
  <c r="AO23" i="3"/>
  <c r="AO28" i="3"/>
  <c r="D187" i="4"/>
  <c r="D204" i="4" s="1"/>
  <c r="D183" i="4"/>
  <c r="D200" i="4" s="1"/>
  <c r="J62" i="5"/>
  <c r="H56" i="4"/>
  <c r="H57" i="4" s="1"/>
  <c r="H58" i="4" s="1"/>
  <c r="H59" i="4" s="1"/>
  <c r="D186" i="4"/>
  <c r="D203" i="4" s="1"/>
  <c r="D222" i="5"/>
  <c r="D239" i="5" s="1"/>
  <c r="D213" i="5"/>
  <c r="D230" i="5" s="1"/>
  <c r="E206" i="5"/>
  <c r="E187" i="5"/>
  <c r="E195" i="5"/>
  <c r="E176" i="5"/>
  <c r="I60" i="4"/>
  <c r="I61" i="4" s="1"/>
  <c r="I62" i="4" s="1"/>
  <c r="I63" i="4" s="1"/>
  <c r="I64" i="4" s="1"/>
  <c r="I109" i="4"/>
  <c r="I104" i="4"/>
  <c r="D224" i="5"/>
  <c r="D241" i="5" s="1"/>
  <c r="G119" i="4"/>
  <c r="G137" i="4" s="1"/>
  <c r="J56" i="4"/>
  <c r="G59" i="5"/>
  <c r="G60" i="5" s="1"/>
  <c r="G61" i="5" s="1"/>
  <c r="G62" i="5" s="1"/>
  <c r="G63" i="5" s="1"/>
  <c r="G64" i="5" s="1"/>
  <c r="E202" i="5"/>
  <c r="E183" i="5"/>
  <c r="D184" i="4"/>
  <c r="D201" i="4" s="1"/>
  <c r="D216" i="5"/>
  <c r="D233" i="5" s="1"/>
  <c r="F138" i="4"/>
  <c r="F131" i="4"/>
  <c r="F135" i="4"/>
  <c r="F126" i="4"/>
  <c r="F133" i="4"/>
  <c r="F125" i="4"/>
  <c r="F128" i="4"/>
  <c r="F136" i="4"/>
  <c r="F122" i="4"/>
  <c r="F130" i="4"/>
  <c r="F132" i="4"/>
  <c r="F124" i="4"/>
  <c r="F129" i="4"/>
  <c r="F123" i="4"/>
  <c r="F127" i="4"/>
  <c r="F134" i="4"/>
  <c r="E197" i="5"/>
  <c r="E178" i="5"/>
  <c r="E198" i="5"/>
  <c r="E179" i="5"/>
  <c r="D214" i="5"/>
  <c r="D231" i="5" s="1"/>
  <c r="D220" i="5"/>
  <c r="D237" i="5" s="1"/>
  <c r="F145" i="5"/>
  <c r="E208" i="5"/>
  <c r="E189" i="5"/>
  <c r="E199" i="5"/>
  <c r="E180" i="5"/>
  <c r="E81" i="4"/>
  <c r="E79" i="4"/>
  <c r="E82" i="4"/>
  <c r="E80" i="4"/>
  <c r="E78" i="4"/>
  <c r="E76" i="4"/>
  <c r="E72" i="4"/>
  <c r="E68" i="4"/>
  <c r="E77" i="4"/>
  <c r="E70" i="4"/>
  <c r="E71" i="4"/>
  <c r="E74" i="4"/>
  <c r="E69" i="4"/>
  <c r="E73" i="4"/>
  <c r="E75" i="4"/>
  <c r="D179" i="4"/>
  <c r="D196" i="4" s="1"/>
  <c r="D206" i="4"/>
  <c r="D189" i="4"/>
  <c r="D221" i="5"/>
  <c r="D238" i="5"/>
  <c r="D217" i="5"/>
  <c r="D234" i="5" s="1"/>
  <c r="D191" i="5"/>
  <c r="D192" i="5" s="1"/>
  <c r="D212" i="5"/>
  <c r="D229" i="5" s="1"/>
  <c r="D175" i="5"/>
  <c r="D191" i="4"/>
  <c r="D208" i="4" s="1"/>
  <c r="F150" i="5"/>
  <c r="E204" i="5"/>
  <c r="E185" i="5"/>
  <c r="E209" i="5"/>
  <c r="E190" i="5"/>
  <c r="I147" i="5" l="1"/>
  <c r="H63" i="5"/>
  <c r="H64" i="5" s="1"/>
  <c r="I151" i="5"/>
  <c r="I145" i="5"/>
  <c r="I146" i="5"/>
  <c r="I139" i="5"/>
  <c r="H141" i="5"/>
  <c r="I141" i="5"/>
  <c r="I152" i="5"/>
  <c r="I143" i="5"/>
  <c r="H145" i="5"/>
  <c r="I153" i="5"/>
  <c r="H60" i="4"/>
  <c r="H61" i="4" s="1"/>
  <c r="H62" i="4" s="1"/>
  <c r="H63" i="4" s="1"/>
  <c r="H64" i="4" s="1"/>
  <c r="I117" i="4"/>
  <c r="I112" i="4"/>
  <c r="I106" i="4"/>
  <c r="I113" i="4"/>
  <c r="J63" i="5"/>
  <c r="F117" i="5"/>
  <c r="F116" i="5"/>
  <c r="F115" i="5"/>
  <c r="F114" i="5"/>
  <c r="F108" i="5"/>
  <c r="F107" i="5"/>
  <c r="F106" i="5"/>
  <c r="F112" i="5"/>
  <c r="F109" i="5"/>
  <c r="F113" i="5"/>
  <c r="F104" i="5"/>
  <c r="F110" i="5"/>
  <c r="F103" i="5"/>
  <c r="F105" i="5"/>
  <c r="F111" i="5"/>
  <c r="E218" i="5"/>
  <c r="E235" i="5" s="1"/>
  <c r="F161" i="4"/>
  <c r="F142" i="4"/>
  <c r="F163" i="4"/>
  <c r="F144" i="4"/>
  <c r="I107" i="4"/>
  <c r="E224" i="5"/>
  <c r="E241" i="5" s="1"/>
  <c r="H148" i="5"/>
  <c r="H147" i="5"/>
  <c r="H146" i="5"/>
  <c r="H142" i="5"/>
  <c r="H152" i="5"/>
  <c r="H143" i="5"/>
  <c r="H144" i="5"/>
  <c r="H150" i="5"/>
  <c r="H149" i="5"/>
  <c r="H151" i="5"/>
  <c r="H153" i="5"/>
  <c r="H139" i="5"/>
  <c r="H140" i="5"/>
  <c r="E222" i="5"/>
  <c r="E239" i="5" s="1"/>
  <c r="F171" i="4"/>
  <c r="F152" i="4"/>
  <c r="E226" i="5"/>
  <c r="E243" i="5" s="1"/>
  <c r="F167" i="4"/>
  <c r="F148" i="4"/>
  <c r="E217" i="5"/>
  <c r="E234" i="5" s="1"/>
  <c r="I110" i="4"/>
  <c r="G146" i="5"/>
  <c r="G143" i="5"/>
  <c r="G144" i="5"/>
  <c r="G148" i="5"/>
  <c r="G141" i="5"/>
  <c r="G142" i="5"/>
  <c r="G152" i="5"/>
  <c r="G147" i="5"/>
  <c r="G153" i="5"/>
  <c r="G150" i="5"/>
  <c r="G65" i="5"/>
  <c r="G151" i="5"/>
  <c r="G145" i="5"/>
  <c r="G140" i="5"/>
  <c r="F166" i="4"/>
  <c r="F147" i="4"/>
  <c r="E225" i="5"/>
  <c r="E242" i="5"/>
  <c r="H105" i="4"/>
  <c r="H117" i="4"/>
  <c r="H118" i="4"/>
  <c r="H113" i="4"/>
  <c r="H106" i="4"/>
  <c r="H107" i="4"/>
  <c r="H116" i="4"/>
  <c r="H104" i="4"/>
  <c r="H115" i="4"/>
  <c r="H110" i="4"/>
  <c r="H111" i="4"/>
  <c r="H112" i="4"/>
  <c r="H109" i="4"/>
  <c r="AC69" i="3"/>
  <c r="E213" i="5"/>
  <c r="E230" i="5" s="1"/>
  <c r="F165" i="4"/>
  <c r="F146" i="4"/>
  <c r="E83" i="4"/>
  <c r="E216" i="5"/>
  <c r="E233" i="5" s="1"/>
  <c r="G138" i="4"/>
  <c r="G130" i="4"/>
  <c r="G126" i="4"/>
  <c r="G134" i="4"/>
  <c r="G135" i="4"/>
  <c r="G122" i="4"/>
  <c r="G123" i="4"/>
  <c r="G129" i="4"/>
  <c r="G128" i="4"/>
  <c r="G131" i="4"/>
  <c r="G124" i="4"/>
  <c r="G132" i="4"/>
  <c r="G127" i="4"/>
  <c r="G133" i="4"/>
  <c r="G136" i="4"/>
  <c r="G125" i="4"/>
  <c r="I116" i="4"/>
  <c r="E215" i="5"/>
  <c r="E232" i="5" s="1"/>
  <c r="F162" i="4"/>
  <c r="F143" i="4"/>
  <c r="F164" i="4"/>
  <c r="F145" i="4"/>
  <c r="E219" i="5"/>
  <c r="E236" i="5" s="1"/>
  <c r="I105" i="4"/>
  <c r="E221" i="5"/>
  <c r="E238" i="5" s="1"/>
  <c r="F170" i="4"/>
  <c r="F151" i="4"/>
  <c r="F173" i="4"/>
  <c r="F154" i="4"/>
  <c r="I114" i="4"/>
  <c r="I65" i="4"/>
  <c r="E212" i="5"/>
  <c r="E229" i="5" s="1"/>
  <c r="E191" i="5"/>
  <c r="E192" i="5" s="1"/>
  <c r="E175" i="5"/>
  <c r="E214" i="5"/>
  <c r="E231" i="5" s="1"/>
  <c r="F168" i="4"/>
  <c r="F149" i="4"/>
  <c r="F169" i="4"/>
  <c r="F150" i="4"/>
  <c r="G139" i="5"/>
  <c r="I118" i="4"/>
  <c r="I111" i="4"/>
  <c r="H65" i="4"/>
  <c r="H65" i="5"/>
  <c r="F160" i="4"/>
  <c r="F141" i="4"/>
  <c r="G149" i="5"/>
  <c r="I115" i="4"/>
  <c r="I108" i="4"/>
  <c r="E223" i="5"/>
  <c r="E240" i="5" s="1"/>
  <c r="G83" i="4"/>
  <c r="E220" i="5"/>
  <c r="E237" i="5" s="1"/>
  <c r="J57" i="4"/>
  <c r="I65" i="5"/>
  <c r="I140" i="5"/>
  <c r="I148" i="5"/>
  <c r="I150" i="5"/>
  <c r="I149" i="5"/>
  <c r="F172" i="4"/>
  <c r="F153" i="4"/>
  <c r="F174" i="4"/>
  <c r="F155" i="4"/>
  <c r="F154" i="5"/>
  <c r="F172" i="5" s="1"/>
  <c r="E138" i="4"/>
  <c r="E128" i="4"/>
  <c r="E127" i="4"/>
  <c r="E129" i="4"/>
  <c r="E126" i="4"/>
  <c r="E125" i="4"/>
  <c r="E135" i="4"/>
  <c r="E136" i="4"/>
  <c r="E134" i="4"/>
  <c r="E124" i="4"/>
  <c r="E122" i="4"/>
  <c r="E133" i="4"/>
  <c r="E131" i="4"/>
  <c r="E123" i="4"/>
  <c r="E132" i="4"/>
  <c r="E130" i="4"/>
  <c r="I142" i="5"/>
  <c r="F118" i="5" l="1"/>
  <c r="H114" i="4"/>
  <c r="H108" i="4"/>
  <c r="E168" i="4"/>
  <c r="E149" i="4"/>
  <c r="E174" i="4"/>
  <c r="E155" i="4"/>
  <c r="F194" i="4"/>
  <c r="F140" i="4"/>
  <c r="F156" i="4"/>
  <c r="F157" i="4" s="1"/>
  <c r="F177" i="4"/>
  <c r="F190" i="4"/>
  <c r="F207" i="4" s="1"/>
  <c r="G165" i="4"/>
  <c r="G146" i="4"/>
  <c r="G173" i="4"/>
  <c r="G154" i="4"/>
  <c r="F197" i="4"/>
  <c r="F180" i="4"/>
  <c r="E173" i="4"/>
  <c r="E154" i="4"/>
  <c r="G170" i="4"/>
  <c r="G151" i="4"/>
  <c r="G172" i="4"/>
  <c r="G153" i="4"/>
  <c r="F199" i="4"/>
  <c r="F182" i="4"/>
  <c r="H119" i="4"/>
  <c r="H137" i="4" s="1"/>
  <c r="G115" i="5"/>
  <c r="G113" i="5"/>
  <c r="G116" i="5"/>
  <c r="G114" i="5"/>
  <c r="G117" i="5"/>
  <c r="G105" i="5"/>
  <c r="G111" i="5"/>
  <c r="G109" i="5"/>
  <c r="G107" i="5"/>
  <c r="G112" i="5"/>
  <c r="G104" i="5"/>
  <c r="G108" i="5"/>
  <c r="G106" i="5"/>
  <c r="G103" i="5"/>
  <c r="G110" i="5"/>
  <c r="G162" i="4"/>
  <c r="G143" i="4"/>
  <c r="F178" i="4"/>
  <c r="F195" i="4" s="1"/>
  <c r="G164" i="4"/>
  <c r="G145" i="4"/>
  <c r="F188" i="4"/>
  <c r="F205" i="4" s="1"/>
  <c r="H154" i="5"/>
  <c r="H172" i="5" s="1"/>
  <c r="E169" i="4"/>
  <c r="E150" i="4"/>
  <c r="E164" i="4"/>
  <c r="E145" i="4"/>
  <c r="G154" i="5"/>
  <c r="G172" i="5" s="1"/>
  <c r="G169" i="4"/>
  <c r="G150" i="4"/>
  <c r="G168" i="4"/>
  <c r="G149" i="4"/>
  <c r="I119" i="4"/>
  <c r="I137" i="4" s="1"/>
  <c r="F184" i="4"/>
  <c r="F201" i="4" s="1"/>
  <c r="E170" i="4"/>
  <c r="E151" i="4"/>
  <c r="E161" i="4"/>
  <c r="E142" i="4"/>
  <c r="E163" i="4"/>
  <c r="E144" i="4"/>
  <c r="F173" i="5"/>
  <c r="F158" i="5"/>
  <c r="F163" i="5"/>
  <c r="F171" i="5"/>
  <c r="F167" i="5"/>
  <c r="F162" i="5"/>
  <c r="F159" i="5"/>
  <c r="F166" i="5"/>
  <c r="F170" i="5"/>
  <c r="F161" i="5"/>
  <c r="F157" i="5"/>
  <c r="F169" i="5"/>
  <c r="F168" i="5"/>
  <c r="F164" i="5"/>
  <c r="F160" i="5"/>
  <c r="F165" i="5"/>
  <c r="E167" i="4"/>
  <c r="E148" i="4"/>
  <c r="G166" i="4"/>
  <c r="G147" i="4"/>
  <c r="F181" i="4"/>
  <c r="F198" i="4" s="1"/>
  <c r="G167" i="4"/>
  <c r="G148" i="4"/>
  <c r="F187" i="4"/>
  <c r="F204" i="4" s="1"/>
  <c r="E171" i="4"/>
  <c r="E152" i="4"/>
  <c r="F191" i="4"/>
  <c r="F208" i="4" s="1"/>
  <c r="I113" i="5"/>
  <c r="I116" i="5"/>
  <c r="I114" i="5"/>
  <c r="I117" i="5"/>
  <c r="I115" i="5"/>
  <c r="I106" i="5"/>
  <c r="I108" i="5"/>
  <c r="I107" i="5"/>
  <c r="I112" i="5"/>
  <c r="I103" i="5"/>
  <c r="I105" i="5"/>
  <c r="I104" i="5"/>
  <c r="I111" i="5"/>
  <c r="I109" i="5"/>
  <c r="I110" i="5"/>
  <c r="H115" i="5"/>
  <c r="H113" i="5"/>
  <c r="H116" i="5"/>
  <c r="H114" i="5"/>
  <c r="H106" i="5"/>
  <c r="H117" i="5"/>
  <c r="H105" i="5"/>
  <c r="H111" i="5"/>
  <c r="H104" i="5"/>
  <c r="H108" i="5"/>
  <c r="H107" i="5"/>
  <c r="H112" i="5"/>
  <c r="H103" i="5"/>
  <c r="H110" i="5"/>
  <c r="H109" i="5"/>
  <c r="F186" i="4"/>
  <c r="F203" i="4" s="1"/>
  <c r="F183" i="4"/>
  <c r="F200" i="4" s="1"/>
  <c r="E160" i="4"/>
  <c r="E141" i="4"/>
  <c r="E165" i="4"/>
  <c r="E146" i="4"/>
  <c r="J58" i="4"/>
  <c r="G163" i="4"/>
  <c r="G144" i="4"/>
  <c r="E162" i="4"/>
  <c r="E143" i="4"/>
  <c r="E166" i="4"/>
  <c r="E147" i="4"/>
  <c r="F189" i="4"/>
  <c r="F206" i="4" s="1"/>
  <c r="F185" i="4"/>
  <c r="F202" i="4" s="1"/>
  <c r="I82" i="4"/>
  <c r="I81" i="4"/>
  <c r="I80" i="4"/>
  <c r="I79" i="4"/>
  <c r="I71" i="4"/>
  <c r="I74" i="4"/>
  <c r="I69" i="4"/>
  <c r="I73" i="4"/>
  <c r="I77" i="4"/>
  <c r="I70" i="4"/>
  <c r="I68" i="4"/>
  <c r="I72" i="4"/>
  <c r="I78" i="4"/>
  <c r="I76" i="4"/>
  <c r="I75" i="4"/>
  <c r="G174" i="4"/>
  <c r="G155" i="4"/>
  <c r="G161" i="4"/>
  <c r="G142" i="4"/>
  <c r="E172" i="4"/>
  <c r="E153" i="4"/>
  <c r="H82" i="4"/>
  <c r="H81" i="4"/>
  <c r="H80" i="4"/>
  <c r="H79" i="4"/>
  <c r="H72" i="4"/>
  <c r="H76" i="4"/>
  <c r="H75" i="4"/>
  <c r="H78" i="4"/>
  <c r="H71" i="4"/>
  <c r="H70" i="4"/>
  <c r="H74" i="4"/>
  <c r="H69" i="4"/>
  <c r="H73" i="4"/>
  <c r="H77" i="4"/>
  <c r="H68" i="4"/>
  <c r="F179" i="4"/>
  <c r="F196" i="4" s="1"/>
  <c r="G171" i="4"/>
  <c r="G152" i="4"/>
  <c r="G160" i="4"/>
  <c r="G141" i="4"/>
  <c r="I154" i="5"/>
  <c r="I172" i="5" s="1"/>
  <c r="J64" i="5"/>
  <c r="G188" i="4" l="1"/>
  <c r="G205" i="4" s="1"/>
  <c r="I173" i="5"/>
  <c r="I159" i="5"/>
  <c r="I165" i="5"/>
  <c r="I169" i="5"/>
  <c r="I170" i="5"/>
  <c r="I160" i="5"/>
  <c r="I161" i="5"/>
  <c r="I166" i="5"/>
  <c r="I171" i="5"/>
  <c r="I162" i="5"/>
  <c r="I167" i="5"/>
  <c r="I163" i="5"/>
  <c r="I168" i="5"/>
  <c r="I158" i="5"/>
  <c r="I164" i="5"/>
  <c r="I157" i="5"/>
  <c r="H173" i="5"/>
  <c r="H161" i="5"/>
  <c r="H166" i="5"/>
  <c r="H171" i="5"/>
  <c r="H162" i="5"/>
  <c r="H167" i="5"/>
  <c r="H158" i="5"/>
  <c r="H168" i="5"/>
  <c r="H163" i="5"/>
  <c r="H164" i="5"/>
  <c r="H157" i="5"/>
  <c r="H160" i="5"/>
  <c r="H165" i="5"/>
  <c r="H170" i="5"/>
  <c r="H159" i="5"/>
  <c r="H169" i="5"/>
  <c r="F195" i="5"/>
  <c r="F176" i="5"/>
  <c r="F201" i="5"/>
  <c r="F182" i="5"/>
  <c r="G204" i="4"/>
  <c r="G187" i="4"/>
  <c r="G182" i="4"/>
  <c r="G199" i="4" s="1"/>
  <c r="I118" i="5"/>
  <c r="F198" i="5"/>
  <c r="F179" i="5"/>
  <c r="F197" i="5"/>
  <c r="F178" i="5"/>
  <c r="G173" i="5"/>
  <c r="G158" i="5"/>
  <c r="G157" i="5"/>
  <c r="G161" i="5"/>
  <c r="G168" i="5"/>
  <c r="G164" i="5"/>
  <c r="G159" i="5"/>
  <c r="G170" i="5"/>
  <c r="G165" i="5"/>
  <c r="G171" i="5"/>
  <c r="G166" i="5"/>
  <c r="G167" i="5"/>
  <c r="G162" i="5"/>
  <c r="G169" i="5"/>
  <c r="G160" i="5"/>
  <c r="G163" i="5"/>
  <c r="J147" i="5"/>
  <c r="J148" i="5"/>
  <c r="J151" i="5"/>
  <c r="J139" i="5"/>
  <c r="J149" i="5"/>
  <c r="J146" i="5"/>
  <c r="J153" i="5"/>
  <c r="J145" i="5"/>
  <c r="J140" i="5"/>
  <c r="J143" i="5"/>
  <c r="J144" i="5"/>
  <c r="J141" i="5"/>
  <c r="J65" i="5"/>
  <c r="H118" i="5"/>
  <c r="F208" i="5"/>
  <c r="F189" i="5"/>
  <c r="E180" i="4"/>
  <c r="E197" i="4"/>
  <c r="G178" i="4"/>
  <c r="G195" i="4"/>
  <c r="I83" i="4"/>
  <c r="E183" i="4"/>
  <c r="E200" i="4" s="1"/>
  <c r="F202" i="5"/>
  <c r="F183" i="5"/>
  <c r="F200" i="5"/>
  <c r="F181" i="5"/>
  <c r="E178" i="4"/>
  <c r="E195" i="4" s="1"/>
  <c r="E191" i="4"/>
  <c r="E208" i="4" s="1"/>
  <c r="F204" i="5"/>
  <c r="F185" i="5"/>
  <c r="J150" i="5"/>
  <c r="H83" i="4"/>
  <c r="J59" i="4"/>
  <c r="J60" i="4" s="1"/>
  <c r="J61" i="4" s="1"/>
  <c r="J62" i="4" s="1"/>
  <c r="J63" i="4" s="1"/>
  <c r="J64" i="4" s="1"/>
  <c r="J65" i="4" s="1"/>
  <c r="G183" i="4"/>
  <c r="G200" i="4" s="1"/>
  <c r="F206" i="5"/>
  <c r="F187" i="5"/>
  <c r="F205" i="5"/>
  <c r="F186" i="5"/>
  <c r="I138" i="4"/>
  <c r="I128" i="4"/>
  <c r="I125" i="4"/>
  <c r="I131" i="4"/>
  <c r="I126" i="4"/>
  <c r="I124" i="4"/>
  <c r="I127" i="4"/>
  <c r="I135" i="4"/>
  <c r="I130" i="4"/>
  <c r="I129" i="4"/>
  <c r="I123" i="4"/>
  <c r="I133" i="4"/>
  <c r="I122" i="4"/>
  <c r="I134" i="4"/>
  <c r="I132" i="4"/>
  <c r="I136" i="4"/>
  <c r="E181" i="4"/>
  <c r="E198" i="4" s="1"/>
  <c r="G179" i="4"/>
  <c r="G196" i="4" s="1"/>
  <c r="G118" i="5"/>
  <c r="H138" i="4"/>
  <c r="H128" i="4"/>
  <c r="H132" i="4"/>
  <c r="H125" i="4"/>
  <c r="H136" i="4"/>
  <c r="H131" i="4"/>
  <c r="H123" i="4"/>
  <c r="H133" i="4"/>
  <c r="H127" i="4"/>
  <c r="H124" i="4"/>
  <c r="H126" i="4"/>
  <c r="H122" i="4"/>
  <c r="H129" i="4"/>
  <c r="H134" i="4"/>
  <c r="H135" i="4"/>
  <c r="H130" i="4"/>
  <c r="E188" i="4"/>
  <c r="E205" i="4" s="1"/>
  <c r="E186" i="4"/>
  <c r="E203" i="4" s="1"/>
  <c r="G180" i="4"/>
  <c r="G197" i="4" s="1"/>
  <c r="G184" i="4"/>
  <c r="G201" i="4" s="1"/>
  <c r="F203" i="5"/>
  <c r="F184" i="5"/>
  <c r="J142" i="5"/>
  <c r="E189" i="4"/>
  <c r="E206" i="4" s="1"/>
  <c r="J152" i="5"/>
  <c r="G177" i="4"/>
  <c r="G194" i="4" s="1"/>
  <c r="G156" i="4"/>
  <c r="G157" i="4" s="1"/>
  <c r="G140" i="4"/>
  <c r="G191" i="4"/>
  <c r="G208" i="4"/>
  <c r="E179" i="4"/>
  <c r="E196" i="4"/>
  <c r="E182" i="4"/>
  <c r="E199" i="4" s="1"/>
  <c r="F207" i="5"/>
  <c r="F188" i="5"/>
  <c r="F209" i="5"/>
  <c r="F190" i="5"/>
  <c r="E187" i="4"/>
  <c r="E204" i="4"/>
  <c r="G185" i="4"/>
  <c r="G202" i="4" s="1"/>
  <c r="E190" i="4"/>
  <c r="E207" i="4"/>
  <c r="E185" i="4"/>
  <c r="E202" i="4" s="1"/>
  <c r="E156" i="4"/>
  <c r="E157" i="4" s="1"/>
  <c r="E140" i="4"/>
  <c r="E177" i="4"/>
  <c r="E194" i="4" s="1"/>
  <c r="E184" i="4"/>
  <c r="E201" i="4" s="1"/>
  <c r="F199" i="5"/>
  <c r="F180" i="5"/>
  <c r="F196" i="5"/>
  <c r="F177" i="5"/>
  <c r="G186" i="4"/>
  <c r="G203" i="4"/>
  <c r="G181" i="4"/>
  <c r="G198" i="4" s="1"/>
  <c r="G189" i="4"/>
  <c r="G206" i="4" s="1"/>
  <c r="G190" i="4"/>
  <c r="G207" i="4"/>
  <c r="J82" i="4" l="1"/>
  <c r="J81" i="4"/>
  <c r="J80" i="4"/>
  <c r="J79" i="4"/>
  <c r="J70" i="4"/>
  <c r="J77" i="4"/>
  <c r="J68" i="4"/>
  <c r="J72" i="4"/>
  <c r="J76" i="4"/>
  <c r="J78" i="4"/>
  <c r="J71" i="4"/>
  <c r="J74" i="4"/>
  <c r="J69" i="4"/>
  <c r="J73" i="4"/>
  <c r="J75" i="4"/>
  <c r="H164" i="4"/>
  <c r="H145" i="4"/>
  <c r="I173" i="4"/>
  <c r="I154" i="4"/>
  <c r="G207" i="5"/>
  <c r="G188" i="5"/>
  <c r="F218" i="5"/>
  <c r="F235" i="5" s="1"/>
  <c r="H168" i="4"/>
  <c r="H149" i="4"/>
  <c r="H160" i="4"/>
  <c r="H141" i="4"/>
  <c r="H163" i="4"/>
  <c r="H144" i="4"/>
  <c r="I168" i="4"/>
  <c r="I149" i="4"/>
  <c r="G198" i="5"/>
  <c r="G179" i="5"/>
  <c r="G197" i="5"/>
  <c r="G178" i="5"/>
  <c r="F214" i="5"/>
  <c r="F231" i="5" s="1"/>
  <c r="H208" i="5"/>
  <c r="H189" i="5"/>
  <c r="H205" i="5"/>
  <c r="H186" i="5"/>
  <c r="I196" i="5"/>
  <c r="I177" i="5"/>
  <c r="I198" i="5"/>
  <c r="I179" i="5"/>
  <c r="I208" i="5"/>
  <c r="I189" i="5"/>
  <c r="H170" i="4"/>
  <c r="H151" i="4"/>
  <c r="H200" i="5"/>
  <c r="H181" i="5"/>
  <c r="I206" i="5"/>
  <c r="I187" i="5"/>
  <c r="H162" i="4"/>
  <c r="H143" i="4"/>
  <c r="H166" i="4"/>
  <c r="H147" i="4"/>
  <c r="I170" i="4"/>
  <c r="I151" i="4"/>
  <c r="I165" i="4"/>
  <c r="I146" i="4"/>
  <c r="F222" i="5"/>
  <c r="F239" i="5" s="1"/>
  <c r="J113" i="5"/>
  <c r="J116" i="5"/>
  <c r="J114" i="5"/>
  <c r="J106" i="5"/>
  <c r="J117" i="5"/>
  <c r="J112" i="5"/>
  <c r="J115" i="5"/>
  <c r="J108" i="5"/>
  <c r="J110" i="5"/>
  <c r="J109" i="5"/>
  <c r="J103" i="5"/>
  <c r="J105" i="5"/>
  <c r="J104" i="5"/>
  <c r="J111" i="5"/>
  <c r="J107" i="5"/>
  <c r="G200" i="5"/>
  <c r="G181" i="5"/>
  <c r="G206" i="5"/>
  <c r="G187" i="5"/>
  <c r="F215" i="5"/>
  <c r="F232" i="5" s="1"/>
  <c r="H198" i="5"/>
  <c r="H179" i="5"/>
  <c r="H209" i="5"/>
  <c r="H190" i="5"/>
  <c r="I201" i="5"/>
  <c r="I182" i="5"/>
  <c r="I207" i="5"/>
  <c r="I188" i="5"/>
  <c r="J154" i="5"/>
  <c r="J172" i="5" s="1"/>
  <c r="G205" i="5"/>
  <c r="G186" i="5"/>
  <c r="G199" i="5"/>
  <c r="G180" i="5"/>
  <c r="F191" i="5"/>
  <c r="F192" i="5" s="1"/>
  <c r="F212" i="5"/>
  <c r="F229" i="5" s="1"/>
  <c r="F175" i="5"/>
  <c r="H195" i="5"/>
  <c r="H176" i="5"/>
  <c r="H204" i="5"/>
  <c r="H185" i="5"/>
  <c r="I205" i="5"/>
  <c r="I186" i="5"/>
  <c r="I203" i="5"/>
  <c r="I184" i="5"/>
  <c r="I174" i="4"/>
  <c r="I155" i="4"/>
  <c r="I160" i="4"/>
  <c r="I141" i="4"/>
  <c r="F223" i="5"/>
  <c r="F240" i="5" s="1"/>
  <c r="F221" i="5"/>
  <c r="F238" i="5" s="1"/>
  <c r="F217" i="5"/>
  <c r="F234" i="5" s="1"/>
  <c r="G204" i="5"/>
  <c r="G185" i="5"/>
  <c r="H202" i="5"/>
  <c r="H183" i="5"/>
  <c r="H199" i="5"/>
  <c r="H180" i="5"/>
  <c r="I200" i="5"/>
  <c r="I181" i="5"/>
  <c r="I197" i="5"/>
  <c r="I178" i="5"/>
  <c r="J116" i="4"/>
  <c r="J113" i="4"/>
  <c r="J114" i="4"/>
  <c r="J108" i="4"/>
  <c r="J105" i="4"/>
  <c r="J110" i="4"/>
  <c r="J106" i="4"/>
  <c r="J104" i="4"/>
  <c r="J117" i="4"/>
  <c r="J107" i="4"/>
  <c r="J112" i="4"/>
  <c r="J109" i="4"/>
  <c r="J118" i="4"/>
  <c r="J115" i="4"/>
  <c r="J111" i="4"/>
  <c r="G202" i="5"/>
  <c r="G183" i="5"/>
  <c r="F226" i="5"/>
  <c r="F243" i="5" s="1"/>
  <c r="H165" i="4"/>
  <c r="H146" i="4"/>
  <c r="I172" i="4"/>
  <c r="I153" i="4"/>
  <c r="I162" i="4"/>
  <c r="I143" i="4"/>
  <c r="F224" i="5"/>
  <c r="F241" i="5" s="1"/>
  <c r="H173" i="4"/>
  <c r="H154" i="4"/>
  <c r="H161" i="4"/>
  <c r="H142" i="4"/>
  <c r="I171" i="4"/>
  <c r="I152" i="4"/>
  <c r="I169" i="4"/>
  <c r="I150" i="4"/>
  <c r="G209" i="5"/>
  <c r="G190" i="5"/>
  <c r="G196" i="5"/>
  <c r="G177" i="5"/>
  <c r="H201" i="5"/>
  <c r="H182" i="5"/>
  <c r="I209" i="5"/>
  <c r="I190" i="5"/>
  <c r="H171" i="4"/>
  <c r="H152" i="4"/>
  <c r="I164" i="4"/>
  <c r="I145" i="4"/>
  <c r="G195" i="5"/>
  <c r="G176" i="5"/>
  <c r="F213" i="5"/>
  <c r="F230" i="5" s="1"/>
  <c r="H172" i="4"/>
  <c r="H153" i="4"/>
  <c r="I161" i="4"/>
  <c r="I142" i="4"/>
  <c r="I163" i="4"/>
  <c r="I144" i="4"/>
  <c r="F219" i="5"/>
  <c r="F236" i="5" s="1"/>
  <c r="G203" i="5"/>
  <c r="G184" i="5"/>
  <c r="H207" i="5"/>
  <c r="H188" i="5"/>
  <c r="H206" i="5"/>
  <c r="H187" i="5"/>
  <c r="I195" i="5"/>
  <c r="I176" i="5"/>
  <c r="I204" i="5"/>
  <c r="I185" i="5"/>
  <c r="H203" i="5"/>
  <c r="H184" i="5"/>
  <c r="H169" i="4"/>
  <c r="H150" i="4"/>
  <c r="F216" i="5"/>
  <c r="F233" i="5" s="1"/>
  <c r="F220" i="5"/>
  <c r="F237" i="5" s="1"/>
  <c r="H167" i="4"/>
  <c r="H148" i="4"/>
  <c r="H174" i="4"/>
  <c r="H155" i="4"/>
  <c r="I167" i="4"/>
  <c r="I148" i="4"/>
  <c r="I166" i="4"/>
  <c r="I147" i="4"/>
  <c r="F225" i="5"/>
  <c r="F242" i="5" s="1"/>
  <c r="G201" i="5"/>
  <c r="G182" i="5"/>
  <c r="G208" i="5"/>
  <c r="G189" i="5"/>
  <c r="H197" i="5"/>
  <c r="H178" i="5"/>
  <c r="H196" i="5"/>
  <c r="H177" i="5"/>
  <c r="I202" i="5"/>
  <c r="I183" i="5"/>
  <c r="I199" i="5"/>
  <c r="I180" i="5"/>
  <c r="H213" i="5" l="1"/>
  <c r="H230" i="5" s="1"/>
  <c r="G225" i="5"/>
  <c r="G242" i="5" s="1"/>
  <c r="I183" i="4"/>
  <c r="I200" i="4" s="1"/>
  <c r="H188" i="4"/>
  <c r="H205" i="4" s="1"/>
  <c r="I219" i="5"/>
  <c r="I236" i="5" s="1"/>
  <c r="G218" i="5"/>
  <c r="G235" i="5" s="1"/>
  <c r="I184" i="4"/>
  <c r="I201" i="4" s="1"/>
  <c r="I180" i="4"/>
  <c r="I197" i="4" s="1"/>
  <c r="I226" i="5"/>
  <c r="I243" i="5"/>
  <c r="H190" i="4"/>
  <c r="H207" i="4"/>
  <c r="J173" i="5"/>
  <c r="J169" i="5"/>
  <c r="J163" i="5"/>
  <c r="J157" i="5"/>
  <c r="J161" i="5"/>
  <c r="J167" i="5"/>
  <c r="J164" i="5"/>
  <c r="J165" i="5"/>
  <c r="J158" i="5"/>
  <c r="J166" i="5"/>
  <c r="J171" i="5"/>
  <c r="J160" i="5"/>
  <c r="J168" i="5"/>
  <c r="J159" i="5"/>
  <c r="J162" i="5"/>
  <c r="J170" i="5"/>
  <c r="G217" i="5"/>
  <c r="G234" i="5" s="1"/>
  <c r="H217" i="5"/>
  <c r="H234" i="5" s="1"/>
  <c r="H191" i="4"/>
  <c r="H208" i="4" s="1"/>
  <c r="I178" i="4"/>
  <c r="I195" i="4" s="1"/>
  <c r="H218" i="5"/>
  <c r="H235" i="5" s="1"/>
  <c r="H214" i="5"/>
  <c r="H231" i="5" s="1"/>
  <c r="H184" i="4"/>
  <c r="H201" i="4" s="1"/>
  <c r="H186" i="4"/>
  <c r="H203" i="4"/>
  <c r="H189" i="4"/>
  <c r="H206" i="4" s="1"/>
  <c r="I181" i="4"/>
  <c r="I198" i="4" s="1"/>
  <c r="G230" i="5"/>
  <c r="G213" i="5"/>
  <c r="H223" i="5"/>
  <c r="H240" i="5" s="1"/>
  <c r="I216" i="5"/>
  <c r="I233" i="5" s="1"/>
  <c r="I221" i="5"/>
  <c r="I238" i="5" s="1"/>
  <c r="G220" i="5"/>
  <c r="G237" i="5" s="1"/>
  <c r="G191" i="5"/>
  <c r="G192" i="5" s="1"/>
  <c r="G212" i="5"/>
  <c r="G229" i="5" s="1"/>
  <c r="G175" i="5"/>
  <c r="H182" i="4"/>
  <c r="H199" i="4" s="1"/>
  <c r="I217" i="5"/>
  <c r="I234" i="5"/>
  <c r="I222" i="5"/>
  <c r="I239" i="5" s="1"/>
  <c r="H215" i="5"/>
  <c r="H232" i="5" s="1"/>
  <c r="H183" i="4"/>
  <c r="H200" i="4"/>
  <c r="I213" i="5"/>
  <c r="I230" i="5" s="1"/>
  <c r="H180" i="4"/>
  <c r="H197" i="4" s="1"/>
  <c r="J83" i="4"/>
  <c r="I203" i="4"/>
  <c r="I186" i="4"/>
  <c r="G214" i="5"/>
  <c r="G231" i="5" s="1"/>
  <c r="I191" i="5"/>
  <c r="I192" i="5" s="1"/>
  <c r="I212" i="5"/>
  <c r="I229" i="5" s="1"/>
  <c r="I175" i="5"/>
  <c r="H216" i="5"/>
  <c r="H233" i="5" s="1"/>
  <c r="I177" i="4"/>
  <c r="I194" i="4" s="1"/>
  <c r="I140" i="4"/>
  <c r="I156" i="4"/>
  <c r="I157" i="4" s="1"/>
  <c r="H221" i="5"/>
  <c r="H238" i="5" s="1"/>
  <c r="I224" i="5"/>
  <c r="I241" i="5" s="1"/>
  <c r="H179" i="4"/>
  <c r="H196" i="4" s="1"/>
  <c r="H187" i="4"/>
  <c r="H204" i="4" s="1"/>
  <c r="H222" i="5"/>
  <c r="H239" i="5" s="1"/>
  <c r="H194" i="4"/>
  <c r="H177" i="4"/>
  <c r="H140" i="4"/>
  <c r="H156" i="4"/>
  <c r="H157" i="4" s="1"/>
  <c r="G224" i="5"/>
  <c r="G241" i="5" s="1"/>
  <c r="I188" i="4"/>
  <c r="I205" i="4" s="1"/>
  <c r="G216" i="5"/>
  <c r="G233" i="5" s="1"/>
  <c r="G215" i="5"/>
  <c r="G232" i="5" s="1"/>
  <c r="I179" i="4"/>
  <c r="I196" i="4"/>
  <c r="H219" i="5"/>
  <c r="H236" i="5" s="1"/>
  <c r="I191" i="4"/>
  <c r="I208" i="4" s="1"/>
  <c r="H212" i="5"/>
  <c r="H229" i="5" s="1"/>
  <c r="H175" i="5"/>
  <c r="H191" i="5"/>
  <c r="H192" i="5" s="1"/>
  <c r="I218" i="5"/>
  <c r="I235" i="5"/>
  <c r="I182" i="4"/>
  <c r="I199" i="4" s="1"/>
  <c r="I225" i="5"/>
  <c r="I242" i="5"/>
  <c r="H225" i="5"/>
  <c r="H242" i="5" s="1"/>
  <c r="H185" i="4"/>
  <c r="H202" i="4" s="1"/>
  <c r="I190" i="4"/>
  <c r="I207" i="4" s="1"/>
  <c r="G219" i="5"/>
  <c r="G236" i="5" s="1"/>
  <c r="G222" i="5"/>
  <c r="G239" i="5" s="1"/>
  <c r="G223" i="5"/>
  <c r="G240" i="5" s="1"/>
  <c r="I223" i="5"/>
  <c r="I240" i="5" s="1"/>
  <c r="G226" i="5"/>
  <c r="G243" i="5" s="1"/>
  <c r="H178" i="4"/>
  <c r="H195" i="4"/>
  <c r="H220" i="5"/>
  <c r="H237" i="5" s="1"/>
  <c r="H224" i="5"/>
  <c r="H241" i="5" s="1"/>
  <c r="I189" i="4"/>
  <c r="I206" i="4" s="1"/>
  <c r="J119" i="4"/>
  <c r="J137" i="4" s="1"/>
  <c r="I214" i="5"/>
  <c r="I231" i="5" s="1"/>
  <c r="G221" i="5"/>
  <c r="G238" i="5" s="1"/>
  <c r="I220" i="5"/>
  <c r="I237" i="5" s="1"/>
  <c r="H226" i="5"/>
  <c r="H243" i="5" s="1"/>
  <c r="J118" i="5"/>
  <c r="I187" i="4"/>
  <c r="I204" i="4"/>
  <c r="I215" i="5"/>
  <c r="I232" i="5"/>
  <c r="I185" i="4"/>
  <c r="I202" i="4" s="1"/>
  <c r="H181" i="4"/>
  <c r="H198" i="4" s="1"/>
  <c r="J200" i="5" l="1"/>
  <c r="J181" i="5"/>
  <c r="J202" i="5"/>
  <c r="J183" i="5"/>
  <c r="J197" i="5"/>
  <c r="J178" i="5"/>
  <c r="J205" i="5"/>
  <c r="J186" i="5"/>
  <c r="J206" i="5"/>
  <c r="J187" i="5"/>
  <c r="J199" i="5"/>
  <c r="J180" i="5"/>
  <c r="J198" i="5"/>
  <c r="J179" i="5"/>
  <c r="J138" i="4"/>
  <c r="J131" i="4"/>
  <c r="J126" i="4"/>
  <c r="J123" i="4"/>
  <c r="J130" i="4"/>
  <c r="J128" i="4"/>
  <c r="J125" i="4"/>
  <c r="J129" i="4"/>
  <c r="J122" i="4"/>
  <c r="J124" i="4"/>
  <c r="J127" i="4"/>
  <c r="J134" i="4"/>
  <c r="J135" i="4"/>
  <c r="J136" i="4"/>
  <c r="J133" i="4"/>
  <c r="J132" i="4"/>
  <c r="J209" i="5"/>
  <c r="J190" i="5"/>
  <c r="J201" i="5"/>
  <c r="J182" i="5"/>
  <c r="J204" i="5"/>
  <c r="J185" i="5"/>
  <c r="J207" i="5"/>
  <c r="J188" i="5"/>
  <c r="J195" i="5"/>
  <c r="J176" i="5"/>
  <c r="J196" i="5"/>
  <c r="J177" i="5"/>
  <c r="J208" i="5"/>
  <c r="J189" i="5"/>
  <c r="J203" i="5"/>
  <c r="J184" i="5"/>
  <c r="J226" i="5" l="1"/>
  <c r="J243" i="5" s="1"/>
  <c r="D263" i="5"/>
  <c r="J162" i="4"/>
  <c r="D216" i="4" s="1"/>
  <c r="J143" i="4"/>
  <c r="J169" i="4"/>
  <c r="D223" i="4" s="1"/>
  <c r="J150" i="4"/>
  <c r="J222" i="5"/>
  <c r="J239" i="5" s="1"/>
  <c r="D259" i="5"/>
  <c r="J212" i="5"/>
  <c r="J229" i="5" s="1"/>
  <c r="J175" i="5"/>
  <c r="J191" i="5"/>
  <c r="J192" i="5" s="1"/>
  <c r="D249" i="5"/>
  <c r="J220" i="5"/>
  <c r="J237" i="5" s="1"/>
  <c r="D257" i="5"/>
  <c r="J224" i="5"/>
  <c r="J241" i="5" s="1"/>
  <c r="D261" i="5"/>
  <c r="J160" i="4"/>
  <c r="D214" i="4" s="1"/>
  <c r="J141" i="4"/>
  <c r="J170" i="4"/>
  <c r="D224" i="4" s="1"/>
  <c r="J151" i="4"/>
  <c r="J214" i="5"/>
  <c r="J231" i="5" s="1"/>
  <c r="D251" i="5"/>
  <c r="J171" i="4"/>
  <c r="D225" i="4" s="1"/>
  <c r="J152" i="4"/>
  <c r="J174" i="4"/>
  <c r="D228" i="4" s="1"/>
  <c r="J155" i="4"/>
  <c r="J167" i="4"/>
  <c r="D221" i="4" s="1"/>
  <c r="J148" i="4"/>
  <c r="J215" i="5"/>
  <c r="J232" i="5" s="1"/>
  <c r="D252" i="5"/>
  <c r="J163" i="4"/>
  <c r="D217" i="4" s="1"/>
  <c r="J144" i="4"/>
  <c r="J225" i="5"/>
  <c r="J242" i="5" s="1"/>
  <c r="D262" i="5"/>
  <c r="J221" i="5"/>
  <c r="J238" i="5" s="1"/>
  <c r="D258" i="5"/>
  <c r="J216" i="5"/>
  <c r="J233" i="5" s="1"/>
  <c r="D253" i="5"/>
  <c r="J173" i="4"/>
  <c r="D227" i="4" s="1"/>
  <c r="J154" i="4"/>
  <c r="J213" i="5"/>
  <c r="J230" i="5" s="1"/>
  <c r="D250" i="5"/>
  <c r="J218" i="5"/>
  <c r="J235" i="5" s="1"/>
  <c r="D255" i="5"/>
  <c r="J172" i="4"/>
  <c r="D226" i="4" s="1"/>
  <c r="J153" i="4"/>
  <c r="J161" i="4"/>
  <c r="D215" i="4" s="1"/>
  <c r="J142" i="4"/>
  <c r="J223" i="5"/>
  <c r="J240" i="5" s="1"/>
  <c r="D260" i="5"/>
  <c r="J217" i="5"/>
  <c r="J234" i="5" s="1"/>
  <c r="D254" i="5"/>
  <c r="J166" i="4"/>
  <c r="D220" i="4" s="1"/>
  <c r="J147" i="4"/>
  <c r="J219" i="5"/>
  <c r="J236" i="5" s="1"/>
  <c r="D256" i="5"/>
  <c r="J168" i="4"/>
  <c r="D222" i="4" s="1"/>
  <c r="J149" i="4"/>
  <c r="J165" i="4"/>
  <c r="D219" i="4" s="1"/>
  <c r="J146" i="4"/>
  <c r="J164" i="4"/>
  <c r="D218" i="4" s="1"/>
  <c r="J145" i="4"/>
  <c r="F256" i="5" l="1"/>
  <c r="E256" i="5"/>
  <c r="G256" i="5" s="1"/>
  <c r="J180" i="4"/>
  <c r="J197" i="4" s="1"/>
  <c r="J140" i="4"/>
  <c r="J177" i="4"/>
  <c r="J194" i="4" s="1"/>
  <c r="J156" i="4"/>
  <c r="J157" i="4" s="1"/>
  <c r="J186" i="4"/>
  <c r="J203" i="4"/>
  <c r="E223" i="4"/>
  <c r="G223" i="4" s="1"/>
  <c r="F223" i="4"/>
  <c r="E222" i="4"/>
  <c r="G222" i="4" s="1"/>
  <c r="F222" i="4"/>
  <c r="F255" i="5"/>
  <c r="E255" i="5"/>
  <c r="G255" i="5" s="1"/>
  <c r="E253" i="5"/>
  <c r="G253" i="5" s="1"/>
  <c r="F253" i="5"/>
  <c r="J191" i="4"/>
  <c r="J208" i="4" s="1"/>
  <c r="E224" i="4"/>
  <c r="G224" i="4" s="1"/>
  <c r="F224" i="4"/>
  <c r="F228" i="4"/>
  <c r="E228" i="4"/>
  <c r="E249" i="5"/>
  <c r="G249" i="5" s="1"/>
  <c r="F249" i="5"/>
  <c r="E214" i="4"/>
  <c r="G214" i="4" s="1"/>
  <c r="F214" i="4"/>
  <c r="E225" i="4"/>
  <c r="F225" i="4"/>
  <c r="J188" i="4"/>
  <c r="J205" i="4"/>
  <c r="J198" i="4"/>
  <c r="J181" i="4"/>
  <c r="F250" i="5"/>
  <c r="E250" i="5"/>
  <c r="G250" i="5" s="1"/>
  <c r="F252" i="5"/>
  <c r="E252" i="5"/>
  <c r="G252" i="5" s="1"/>
  <c r="J179" i="4"/>
  <c r="J196" i="4" s="1"/>
  <c r="J178" i="4"/>
  <c r="J195" i="4" s="1"/>
  <c r="F220" i="4"/>
  <c r="E220" i="4"/>
  <c r="G220" i="4" s="1"/>
  <c r="E215" i="4"/>
  <c r="G215" i="4" s="1"/>
  <c r="F215" i="4"/>
  <c r="F263" i="5"/>
  <c r="E263" i="5"/>
  <c r="E260" i="5"/>
  <c r="F260" i="5"/>
  <c r="F217" i="4"/>
  <c r="E217" i="4"/>
  <c r="G217" i="4" s="1"/>
  <c r="E258" i="5"/>
  <c r="G258" i="5" s="1"/>
  <c r="F258" i="5"/>
  <c r="E261" i="5"/>
  <c r="F261" i="5"/>
  <c r="F218" i="4"/>
  <c r="E218" i="4"/>
  <c r="G218" i="4" s="1"/>
  <c r="E216" i="4"/>
  <c r="G216" i="4" s="1"/>
  <c r="F216" i="4"/>
  <c r="J199" i="4"/>
  <c r="J182" i="4"/>
  <c r="F219" i="4"/>
  <c r="E219" i="4"/>
  <c r="G219" i="4" s="1"/>
  <c r="F254" i="5"/>
  <c r="E254" i="5"/>
  <c r="G254" i="5" s="1"/>
  <c r="J189" i="4"/>
  <c r="J206" i="4" s="1"/>
  <c r="J190" i="4"/>
  <c r="J207" i="4" s="1"/>
  <c r="F262" i="5"/>
  <c r="E262" i="5"/>
  <c r="J184" i="4"/>
  <c r="J201" i="4" s="1"/>
  <c r="F257" i="5"/>
  <c r="E257" i="5"/>
  <c r="G257" i="5" s="1"/>
  <c r="E259" i="5"/>
  <c r="G259" i="5" s="1"/>
  <c r="F259" i="5"/>
  <c r="J183" i="4"/>
  <c r="J200" i="4" s="1"/>
  <c r="F251" i="5"/>
  <c r="E251" i="5"/>
  <c r="G251" i="5" s="1"/>
  <c r="J185" i="4"/>
  <c r="J202" i="4" s="1"/>
  <c r="E226" i="4"/>
  <c r="F226" i="4"/>
  <c r="F227" i="4"/>
  <c r="E227" i="4"/>
  <c r="E221" i="4"/>
  <c r="G221" i="4" s="1"/>
  <c r="F221" i="4"/>
  <c r="J187" i="4"/>
  <c r="J204" i="4"/>
</calcChain>
</file>

<file path=xl/sharedStrings.xml><?xml version="1.0" encoding="utf-8"?>
<sst xmlns="http://schemas.openxmlformats.org/spreadsheetml/2006/main" count="1200" uniqueCount="506">
  <si>
    <t>Cap Table and Exit Waterfall Tool, by Foresight</t>
  </si>
  <si>
    <t>Copyright &amp; Contact</t>
  </si>
  <si>
    <t xml:space="preserve">This was created by Taylor Davidson (@tdavidson) of Foresight.
© 2025, Unstructured Ventures, LLC.
Questions, contact taylor@foresight.is or @tdavidson
</t>
  </si>
  <si>
    <t>Purchase</t>
  </si>
  <si>
    <t xml:space="preserve">Thank you for downloading this model from https://foresight.is/cap-table , donations are always appreciated.
</t>
  </si>
  <si>
    <t>License</t>
  </si>
  <si>
    <r>
      <rPr>
        <sz val="10"/>
        <color rgb="FF000000"/>
        <rFont val="Arial"/>
        <family val="2"/>
      </rPr>
      <t xml:space="preserve">tl:dr; You can modify, edit, use, and share within your company (and with third-parties as needed to operate your business). You may not redistribute, resell, give away to others. </t>
    </r>
    <r>
      <rPr>
        <u/>
        <sz val="10"/>
        <color rgb="FF1155CC"/>
        <rFont val="Arial"/>
        <family val="2"/>
      </rPr>
      <t xml:space="preserve">Full license.
</t>
    </r>
  </si>
  <si>
    <t>Goal</t>
  </si>
  <si>
    <t>The cap table and exit waterfall are intended to be instructional tools to analyze how raising investment capital impacts cap tables, ownership, and proceeds at exit to shareholders of a company. The base cap table is extendable to as many rounds as you need to model - simply highlight the columns for a full round's calcs and paste to the right - and the exit waterfall is similarly extendable.
You may want to alter the model to fit your desired layout and formatting, or to modify it to fit your specific usecase, and that's great; I highly encourage you to learn how to build your own cap table (and exit waterfall) specific to your situation, and my goal for this template is for it to an educational tool, and not just an executional template. I have spent hundreds of hours working on the structure, design, and terminology used in the model based on using this tool with founders, investors, and lawyers, as well as teaching people the core concepts.
Once you're running a company, I highly suggest using an online cap table management platform, such as:
- [Pulley](https://pulley.com/)
- [Carta](https://carta.com/)
- [Angellist Equity](https://www.angellist.com/startups/equity)
- [Ledgy](https://ledgy.com/)
- [Cake](https://www.cakeequity.com/)
The base cap table and exit waterfall can also be used to scenario modeling future rounds and exit distributions to shareholders, and built to be easy to use from an export of a share register from any of the online cap table management platforms.</t>
  </si>
  <si>
    <t>Copy to Google Sheets or Download to Excel</t>
  </si>
  <si>
    <r>
      <t xml:space="preserve">File &gt; Make a Copy to copy it to your own Google Drive, or File &gt; Download to download this to use in Excel or other spreadsheet programs. </t>
    </r>
    <r>
      <rPr>
        <u/>
        <sz val="10"/>
        <color rgb="FF1155CC"/>
        <rFont val="Arial"/>
        <family val="2"/>
      </rPr>
      <t xml:space="preserve">See License for warranties and liabilities.
</t>
    </r>
  </si>
  <si>
    <t>Support</t>
  </si>
  <si>
    <r>
      <t xml:space="preserve">Questions, happy to assist, contact anytime. More details on how I provide support: </t>
    </r>
    <r>
      <rPr>
        <u/>
        <sz val="10"/>
        <color rgb="FF1155CC"/>
        <rFont val="Arial"/>
        <family val="2"/>
      </rPr>
      <t xml:space="preserve">https://foresight.is/learn/support
</t>
    </r>
  </si>
  <si>
    <t>Want to learn more?</t>
  </si>
  <si>
    <r>
      <t xml:space="preserve">I run a live, 4 session masterclass on cap table and exit waterfall modeling multiple times a year, check it out at </t>
    </r>
    <r>
      <rPr>
        <u/>
        <sz val="10"/>
        <color rgb="FF1155CC"/>
        <rFont val="Arial"/>
        <family val="2"/>
      </rPr>
      <t>https://foresight.is/cap-table-masterclass/</t>
    </r>
    <r>
      <rPr>
        <sz val="10"/>
        <color rgb="FF000000"/>
        <rFont val="Arial"/>
        <scheme val="minor"/>
      </rPr>
      <t xml:space="preserve"> if you want to learn these topics in more detail in a live, small-class setting.</t>
    </r>
  </si>
  <si>
    <t>Missing a feature you need?</t>
  </si>
  <si>
    <r>
      <t xml:space="preserve">Check out the </t>
    </r>
    <r>
      <rPr>
        <u/>
        <sz val="10"/>
        <color rgb="FF1155CC"/>
        <rFont val="Arial"/>
        <family val="2"/>
      </rPr>
      <t>Resources</t>
    </r>
    <r>
      <rPr>
        <sz val="10"/>
        <color rgb="FF000000"/>
        <rFont val="Arial"/>
        <scheme val="minor"/>
      </rPr>
      <t xml:space="preserve"> for other resources for modeling cap tables, and contact me if you have any questions or specific needs. I provide custom cap table modeling services to many founders, investors, and lawyers.
</t>
    </r>
  </si>
  <si>
    <t>Quickstart</t>
  </si>
  <si>
    <t>Input cap table assumptions on the example cap table and example exit waterfall sheets. The initial cap table on the exit waterfall is not automatically linked to the example cap table by design, but feel free to link the cap table sheet into the exit waterfall sheet for your usecase.</t>
  </si>
  <si>
    <t>Outline</t>
  </si>
  <si>
    <t>README</t>
  </si>
  <si>
    <t>Contact into, overview on model. Safe to delete or hide.</t>
  </si>
  <si>
    <t xml:space="preserve">   Formatting and Colors Overview</t>
  </si>
  <si>
    <r>
      <t xml:space="preserve">Details on what the colors and formatting in the model mean. </t>
    </r>
    <r>
      <rPr>
        <u/>
        <sz val="10"/>
        <color rgb="FF1155CC"/>
        <rFont val="Arial"/>
        <family val="2"/>
      </rPr>
      <t>https://foresight.is/learn/colors-and-formatting</t>
    </r>
  </si>
  <si>
    <r>
      <t xml:space="preserve">Terms of use of the model. Safe to delete or hide. </t>
    </r>
    <r>
      <rPr>
        <u/>
        <sz val="10"/>
        <color rgb="FF1155CC"/>
        <rFont val="Arial"/>
        <family val="2"/>
      </rPr>
      <t>https://foresight.is/license</t>
    </r>
  </si>
  <si>
    <t>Cap Table</t>
  </si>
  <si>
    <t>Core cap table example, modeling all options and settings</t>
  </si>
  <si>
    <t xml:space="preserve">  Video: How to add in additional rounds</t>
  </si>
  <si>
    <t>https://foresight.is/docs/equity/</t>
  </si>
  <si>
    <t xml:space="preserve">  Video: Modeling an equity round</t>
  </si>
  <si>
    <t xml:space="preserve">  Video: Modeling convertibles</t>
  </si>
  <si>
    <t>https://foresight.is/docs/convertibles/</t>
  </si>
  <si>
    <t xml:space="preserve">  Video: Modeling options</t>
  </si>
  <si>
    <t>https://foresight.is/docs/options/</t>
  </si>
  <si>
    <t>Cap Table, with Anti Dilution</t>
  </si>
  <si>
    <t>Core cap table example, modeling all options and settings, adding anti-dilution protection (v3.1). Separated out simply to provide a version of the cap table without the extra detail required for anti-dilution. Details at https://foresight.is/docs/anti-dilution/</t>
  </si>
  <si>
    <t>Cap Table, Issuing Equity</t>
  </si>
  <si>
    <t>Example cap table, only modeling the issuance of an equity round</t>
  </si>
  <si>
    <t>Cap Table, Issuing Options</t>
  </si>
  <si>
    <t>Example cap table, modeling the issuance of an equity round and an option pool</t>
  </si>
  <si>
    <t>Cap Table, Converting SAFEs and Notes</t>
  </si>
  <si>
    <t>Example cap table, modeling the issuance of an equity round and converting SAFEs and Convertible Notes</t>
  </si>
  <si>
    <t>Ext Waterfall</t>
  </si>
  <si>
    <t>Model distribution of proceeds (cash or stock or mixture) in an exit event. This waterfall structure was new in Sept 2024 as the "Simple" version, in Feb 2025 it replaced prior waterfall structure. Details on waterfalls at https://foresight.is/docs/waterfall/</t>
  </si>
  <si>
    <t>Resources</t>
  </si>
  <si>
    <t>Links to other models and resources for modeling venture capital funds and investments, from around the web. Safe to delete or hide.</t>
  </si>
  <si>
    <t>Glossary</t>
  </si>
  <si>
    <t>Glossary of key terminology in the model. Safe to delete or hide.</t>
  </si>
  <si>
    <t>Changelog</t>
  </si>
  <si>
    <t>List of what has been changed in model versions. Safe to delete or hide, although I'd advise to hide (instead of delete) so can always check to see what model version you are using to compare to future changes.</t>
  </si>
  <si>
    <t>License Agreement</t>
  </si>
  <si>
    <t>Also https://foresight.is/license</t>
  </si>
  <si>
    <t>This License Agreement (“the Agreement”) between you, the licensee, and Unstructured Ventures, LLC (the “Company”) a limited liability corporation headquartered and registered in the Commonwealth of Pennsylvania and organized under the laws of the state of Delaware. The Company owns the financial model (the “Product”) and any edits, additions, or customizations (the "Service") delivered under this Agreement. This Agreement grants you a non-exclusive, non-transferable right to use and incorporate the Product and Service in personal and corporate projects for the organization that purchased the Product and/or Service.</t>
  </si>
  <si>
    <t>You agree as follows:</t>
  </si>
  <si>
    <t>1. Scope of use</t>
  </si>
  <si>
    <t>* Use and incorporate the Product and/or Service in personal and commercial projects for your company including financial models, business plans, pitch decks, etc.</t>
  </si>
  <si>
    <t>* You may modify the Product and/or Service to better serve your project.</t>
  </si>
  <si>
    <t>* You are granted unlimited usage of the Product and/or Service purchased in your organization.</t>
  </si>
  <si>
    <t>* If an organization is the licensee, all employees of the organization may use the same license.</t>
  </si>
  <si>
    <t>2. Limitations and non-use</t>
  </si>
  <si>
    <t>* You may not redistribute, sublicense or resell the Product and/or Service.</t>
  </si>
  <si>
    <t>* You may not distribute, license or sell derivative, recompiled, reverse engineered, or modified versions of the Product and/or Service.</t>
  </si>
  <si>
    <t>* You may not use the Product and/or Service as in projects for other organizations.</t>
  </si>
  <si>
    <t>* If your customers would like to use the Product and/or Service as a part of their own product, you must obtain a separate license for each client.</t>
  </si>
  <si>
    <t>* The Product and/or Service is provided “as is” without a warranty of any kind, either expressed or implied.</t>
  </si>
  <si>
    <t>* The Company owns all right, title, intellectual property, and interest in the Product and/or Service.</t>
  </si>
  <si>
    <t>* The design, text, graphics, selection and arrangement in the Product and/or Service are the copyright © of the Company, all rights reserved.</t>
  </si>
  <si>
    <t>The Company’s liability to you for costs, damages, or other losses arising from your use of the Product and/or Service — including third-party claims against you — is limited to a refund of your license fee of the Product and/or the fees paid in the 12 months preceding the Service in question. The Company may not be held liable for any consequential damages related to your use of the Product and/orService. We are not financial advisors, planners, brokers, or tax advisors, and the Company, Product, and Service are not intended to provide legal, tax, or financial advice. Your financial situation is unique, and any information and advice obtained through the Product and/or Service may not be appropriate for your situation. Accordingly, before making any final decisions or implementing any financial strategy, you should consider obtaining additional information and advice from your accountant or other financial advisers who are fully aware of your individual situation.</t>
  </si>
  <si>
    <t>TO THE FULLEST EXTENT PERMITTED BY LAW, WE AND OUR AFFILIATES, SUPPLIERS AND DISTRIBUTORS MAKE NO WARRANTIES, EITHER EXPRESS OR IMPLIED, ABOUT THE PRODUCTS AND SERVICES. THE PRODUCTS AND SERVICES ARE PROVIDED "AS IS." WE ALSO DISCLAIM ANY WARRANTIES OF MERCHANTABILITY, FITNESS FOR A PARTICULAR PURPOSE AND NON-INFRINGEMENT.  INFORMATION AND OPINIONS RECEIVED VIA THE PRODUCT, SERVICE, AND WEBSITE SHOULD NOT BE RELIED UPON FOR PERSONAL, MEDICAL, LEGAL OR FINANCIAL DECISIONS AND YOU SHOULD CONSULT AN APPROPRIATE PROFESSIONAL FOR SPECIFIC ADVICE TAILORED TO YOUR SITUATION.</t>
  </si>
  <si>
    <t>TO THE FULLEST EXTENT PERMITTED BY LAW, IN NO EVENT WILL WE, OUR AFFILIATES, SUPPLIERS OR DISTRIBUTORS BE LIABLE FOR ANY INDIRECT, SPECIAL, INCIDENTAL, PUNITIVE, EXEMPLARY OR CONSEQUENTIAL DAMAGES OR ANY LOSS OF USE, DATA, BUSINESS, OR PROFITS, REGARDLESS OF LEGAL THEORY, WHETHER OR NOT WE HAVE BEEN WARNED OF THE POSSIBILITY OF SUCH DAMAGES, AND EVEN IF A REMEDY FAILS OF ITS ESSENTIAL PURPOSE.</t>
  </si>
  <si>
    <t>This Agreement is governed by the laws of the Commonwealth of Pennsylvania and the applicable laws of the United States of America. Legal proceedings related to this Agreement may only be brought in the courts of Pennsylvania. You agree to service of process at the e-mail address on your original order. Notices may be sent to Unstructured Ventures, LLC by email to hello@unstructuredventures.com or by post to Unstructured Ventures, LLC, 6360 Broad St, #5226, Pittsburgh, PA, 15206, USA.</t>
  </si>
  <si>
    <t>Cap Table for Equity Rounds and SAFE and Convertible note Conversions</t>
  </si>
  <si>
    <t>See #REF errors or received a circular reference error notification? Turn on iterative calculations. See https://foresight.is/circulars for context.</t>
  </si>
  <si>
    <t>Example for modeling multiple rounds of equity, converting outstanding SAFEs and convertible notes, creating and updating option pool, and more. Extend to as many rounds of equity capital as needed in minutes. https://foresight.is/docs/equity</t>
  </si>
  <si>
    <t>Pre-financing cap table</t>
  </si>
  <si>
    <t>Proforma cap table</t>
  </si>
  <si>
    <t>Shareholder</t>
  </si>
  <si>
    <t>Common Shares</t>
  </si>
  <si>
    <t>Preferred Shares</t>
  </si>
  <si>
    <t>Options</t>
  </si>
  <si>
    <t>Issued and Outstanding</t>
  </si>
  <si>
    <t>% Issued and Outstanding</t>
  </si>
  <si>
    <t>Fully Diluted Shares</t>
  </si>
  <si>
    <t>% Fully Diluted</t>
  </si>
  <si>
    <t>Investment</t>
  </si>
  <si>
    <t>Actual Investment</t>
  </si>
  <si>
    <t>Preferred Shares Issued</t>
  </si>
  <si>
    <t>Options Authorized</t>
  </si>
  <si>
    <t>all preferred classes</t>
  </si>
  <si>
    <t>due to share rounding</t>
  </si>
  <si>
    <t>from conversion</t>
  </si>
  <si>
    <t>from new investment</t>
  </si>
  <si>
    <t>from new options</t>
  </si>
  <si>
    <t>optional, if shares are sold, cancelled, or exchanged without issuing new shares by company</t>
  </si>
  <si>
    <t>Common</t>
  </si>
  <si>
    <t>Options and RSUs</t>
  </si>
  <si>
    <t>Shares available for issuance</t>
  </si>
  <si>
    <t>New shares reserved for issuance</t>
  </si>
  <si>
    <t>Equity Investors (from Convertibles)</t>
  </si>
  <si>
    <t>Equity Investors</t>
  </si>
  <si>
    <t>Investor</t>
  </si>
  <si>
    <t>Total</t>
  </si>
  <si>
    <t>Round</t>
  </si>
  <si>
    <t>Total Investment</t>
  </si>
  <si>
    <t>sum of all investment in the round from above. will not include converted capital from SAFEs and notes</t>
  </si>
  <si>
    <t>Premoney Valuation</t>
  </si>
  <si>
    <t>assumption</t>
  </si>
  <si>
    <t>Postmoney Valuation</t>
  </si>
  <si>
    <t>total investment in round + premoney valuation</t>
  </si>
  <si>
    <t>Company Capitalization</t>
  </si>
  <si>
    <t>used for the denominator in the share price calculation below</t>
  </si>
  <si>
    <t>Price per Share</t>
  </si>
  <si>
    <t>premoney valuation / company capitalization (as determined by the conversion method used)</t>
  </si>
  <si>
    <t>Effective Premoney</t>
  </si>
  <si>
    <t>if applicable, the effective premoney valuation created by the dilution of option pools and conversions, which reduces the "true" premoney valuation of the round.not used in calculations, purely informational.</t>
  </si>
  <si>
    <t>Calculation options</t>
  </si>
  <si>
    <t>Use iterative calculations (Circular References)</t>
  </si>
  <si>
    <t>TRUE/FALSE if Excel, Check/Unchecked if Google Sheets. Some calculations regarding cap tables requires circular references to work properly. Turn on Iterative Calculations (in Google Sheets, File &gt; Settings &gt; Calculation &gt; Turn Iterations On, and in Excel, Excel &gt; Preferences &gt; Calculation &gt; Use Iterative Calculation). This toggle just zeros out the conversions and option pool calcs if not set to checked (Google Sheets) or TRUE (Excel).</t>
  </si>
  <si>
    <t>enter in the number of digits to round the share price to. can enter "na", "not applicable", or some non-number input if do not want to round (or enter a high number such as "99" or "999")</t>
  </si>
  <si>
    <t>Rounding shares up or down</t>
  </si>
  <si>
    <t>rounddown</t>
  </si>
  <si>
    <t>optional. rounding the shares eliminates fractional shares, with investments it results in slightly different investment amounts and with conversions it (usually) necessitates paying the convertible investor a small amount back (for the amount not converted into a fractional share)</t>
  </si>
  <si>
    <t>Date of Investment &amp; Conversion</t>
  </si>
  <si>
    <t>only used for calculating interest on convertible notes, if applicable.</t>
  </si>
  <si>
    <t>Calculating conversions and share prices</t>
  </si>
  <si>
    <t>The key to calculating the conversions of SAFEs and Convertible Notes into Equity is to review how the legal documents for each instrument define how the company capitalization and the share price should be calculated. The calcs here use best practices, but you may have to overwrite the "Company Capitalization" cells below for your specific situation.</t>
  </si>
  <si>
    <t>Method for converting premoney SAFEs and Convertible Notes</t>
  </si>
  <si>
    <t>investor friendly</t>
  </si>
  <si>
    <t>investor friendly reduces the effective premoney valuation and forces the dilutive effect of issuing options on the existing shareholders; founder friendly results in new equity shareholders sharing in the dilution from issuing shares to the convertibles. investor friendly is the assumed default.</t>
  </si>
  <si>
    <t>Instrument Type</t>
  </si>
  <si>
    <t>Discount Rate</t>
  </si>
  <si>
    <t>Cap</t>
  </si>
  <si>
    <t>Fixed Percentage</t>
  </si>
  <si>
    <t>Interest Rate</t>
  </si>
  <si>
    <t>Date</t>
  </si>
  <si>
    <t>Interest Converted</t>
  </si>
  <si>
    <t>Payment to Convertible Holders</t>
  </si>
  <si>
    <t>add as many rows as needed, no limit to # of investors</t>
  </si>
  <si>
    <t>input 1-discount rate in docs</t>
  </si>
  <si>
    <t>valuation cap</t>
  </si>
  <si>
    <t>optional, if a fixed percentage SAFE</t>
  </si>
  <si>
    <t>annual, simple interest</t>
  </si>
  <si>
    <t>change from the default</t>
  </si>
  <si>
    <t>calculated from the dates</t>
  </si>
  <si>
    <t>used in price per share calc</t>
  </si>
  <si>
    <t>uses same rounding assumptions</t>
  </si>
  <si>
    <t>from fractional shares</t>
  </si>
  <si>
    <t>postmoney SAFE</t>
  </si>
  <si>
    <t>premoney SAFE</t>
  </si>
  <si>
    <t>convertible note</t>
  </si>
  <si>
    <t>Calculating option pools, if applicable</t>
  </si>
  <si>
    <t>Desired Available Option Pool, post financing</t>
  </si>
  <si>
    <t>.</t>
  </si>
  <si>
    <t>of postmoney capitalization</t>
  </si>
  <si>
    <t>Method for creating option pool</t>
  </si>
  <si>
    <t>investor friendly (premoney option pool) reduces the effective premoney valuation and forces the dilutive effect of issuing options on the existing shareholders; founder friendly (postmoney option pool) results in new equity shareholders sharing in the dilution from issuing the new option pool. investor friendly is the assumed default.</t>
  </si>
  <si>
    <t>Desired available options, post financing</t>
  </si>
  <si>
    <t>how many options we want available in the pool, at the end of the round, using the assumption above</t>
  </si>
  <si>
    <t>Options issued since previous round</t>
  </si>
  <si>
    <t>from the "available for issuance", how many were issued, to calculate how many are still available</t>
  </si>
  <si>
    <t>Options available to issue, prior to round</t>
  </si>
  <si>
    <t>how many available prior to the round, already in the pool</t>
  </si>
  <si>
    <t>New options added to option pool</t>
  </si>
  <si>
    <t>how many new options we need to authorize in this round</t>
  </si>
  <si>
    <t>Option pool, post-financing</t>
  </si>
  <si>
    <t>a check to make sure the option pool on the cap table equals our original assumption</t>
  </si>
  <si>
    <t>Waterfall Distribution of Proceeds or Liquidation Analysis</t>
  </si>
  <si>
    <t>Waterfall distribution of proceeds (cash, stock, mixture) from a liquidation event to equity shareholders</t>
  </si>
  <si>
    <t>TRUE/FALSE if Excel, Check/Unchecked if Google Sheets. Circular references are required for the sheet to work properly, otherwise the share counts will all be zero. Turn on Iterative Calculations (in Google Sheets, File &gt; Settings &gt; Calculation &gt; Turn Iterations On, and in Excel, Excel &gt; Preferences &gt; Calculation &gt; Use Iterative Calculation).</t>
  </si>
  <si>
    <t>What this analysis can do:</t>
  </si>
  <si>
    <t>1. Easy to extend to many classes of preferred, common, options and warrants at different strike prices</t>
  </si>
  <si>
    <t>2. Nonparticipating, participating preferred, and participating preferred with a cap liquidation preferences</t>
  </si>
  <si>
    <t>3. Distributions to many classes of shares at different share prices</t>
  </si>
  <si>
    <t>4. Liquidation preference multiple not equal to 1 (input the amount of preferences, reflecting the multiple * amount invested)</t>
  </si>
  <si>
    <t>5. Preference stack of multiple classes of preferred senior to each other, and also classes pari-passu to each other (set the seniority for each row)</t>
  </si>
  <si>
    <t>6. Sub-classes of share classes to account for shares of a class given to investors at different share prices</t>
  </si>
  <si>
    <t>7. Warrants are assumed to be exercised cashless, options exercised by paying the cost to exercise to the company</t>
  </si>
  <si>
    <t>8. Options at different strike prices, can add in as many rows as needed to cover different exercise prices</t>
  </si>
  <si>
    <t>9. Dividends for preferred shareholders</t>
  </si>
  <si>
    <t>10. Conversion ratio from preferred shares to common shares</t>
  </si>
  <si>
    <t>What this analysis cannot do:</t>
  </si>
  <si>
    <t>1. Testing for unconverted convertibles to pay as debt or as equity</t>
  </si>
  <si>
    <t>Contact taylor@foresight.is for custom solutions for this</t>
  </si>
  <si>
    <t>Shareholders by Class</t>
  </si>
  <si>
    <t>Type</t>
  </si>
  <si>
    <t>Seniority</t>
  </si>
  <si>
    <t>Amount Invested</t>
  </si>
  <si>
    <t>Shares</t>
  </si>
  <si>
    <t>Conversion Ratio</t>
  </si>
  <si>
    <t>% Ownership</t>
  </si>
  <si>
    <t>Price per share</t>
  </si>
  <si>
    <t>Liquidity Pref Multiple</t>
  </si>
  <si>
    <t>Liquidity Preferences</t>
  </si>
  <si>
    <t>Preferred Participation Rights</t>
  </si>
  <si>
    <t>Participation Multiple</t>
  </si>
  <si>
    <t>Cap on Participation</t>
  </si>
  <si>
    <t>Type of Dividends</t>
  </si>
  <si>
    <t>Dividend or Interest Rate</t>
  </si>
  <si>
    <t>Dividends</t>
  </si>
  <si>
    <t>Date of Exit</t>
  </si>
  <si>
    <t>Investment Date</t>
  </si>
  <si>
    <t>amount invested / price per share</t>
  </si>
  <si>
    <t>from preferred to common</t>
  </si>
  <si>
    <t>pre distribution</t>
  </si>
  <si>
    <t>or Strike Price, for options and warrants</t>
  </si>
  <si>
    <t>multiple of amount invested</t>
  </si>
  <si>
    <t>per shareholder; amount invested * liquidity preference multiple + dividends, if used. or change the formula if needed for a specific situation</t>
  </si>
  <si>
    <t>select in dropdown. only if preferred shares</t>
  </si>
  <si>
    <t>only if selecting participating with cap</t>
  </si>
  <si>
    <t>only used if participating preferred with cap</t>
  </si>
  <si>
    <t>select in dropdown</t>
  </si>
  <si>
    <t>one-time or annual rate</t>
  </si>
  <si>
    <t>optional, calculated differently depending on the type of dividends, and added to liquidity preference. assumes dividends are not paid if preferred converts to common, except if is participating preferred, in which case it would get paid the dividends</t>
  </si>
  <si>
    <t>date of exit. default is today(), but change to your exit date</t>
  </si>
  <si>
    <t>input the investment date.</t>
  </si>
  <si>
    <t>Series J</t>
  </si>
  <si>
    <t>Preferred</t>
  </si>
  <si>
    <t>Non Participating</t>
  </si>
  <si>
    <t>Not declared</t>
  </si>
  <si>
    <t>Series I</t>
  </si>
  <si>
    <t>Series H</t>
  </si>
  <si>
    <t>Series G</t>
  </si>
  <si>
    <t>Series F</t>
  </si>
  <si>
    <t>Series E</t>
  </si>
  <si>
    <t>Series D</t>
  </si>
  <si>
    <t>Series C</t>
  </si>
  <si>
    <t>Series B</t>
  </si>
  <si>
    <t>Series A</t>
  </si>
  <si>
    <t>Seed</t>
  </si>
  <si>
    <t>Warrants</t>
  </si>
  <si>
    <t>Distributions to Equity</t>
  </si>
  <si>
    <t>Exit Price</t>
  </si>
  <si>
    <t>Repayment of Debt</t>
  </si>
  <si>
    <t>Repayment of Convertibles</t>
  </si>
  <si>
    <t>Proceeds from Options</t>
  </si>
  <si>
    <t>Breakpoint #</t>
  </si>
  <si>
    <t>Liquidation Preferences per share class, by seniority</t>
  </si>
  <si>
    <t>Partial Shares to Preferred, if Participating Preferred with a Cap is selected</t>
  </si>
  <si>
    <r>
      <t xml:space="preserve">this section is a "helper column", not strictly needed except that spreadsheets perform better when complex iterative calculations are broken out. details at </t>
    </r>
    <r>
      <rPr>
        <u/>
        <sz val="10"/>
        <color rgb="FF1155CC"/>
        <rFont val="Arial"/>
        <family val="2"/>
      </rPr>
      <t>https://foresight.is/docs/iterative-calculations/</t>
    </r>
  </si>
  <si>
    <t>Distributions to Liquidation Preferences</t>
  </si>
  <si>
    <t>Distributions to Common</t>
  </si>
  <si>
    <t>Per Common Share</t>
  </si>
  <si>
    <t>Distributions per Shareholder class</t>
  </si>
  <si>
    <t>Check</t>
  </si>
  <si>
    <t>Total distributions per share</t>
  </si>
  <si>
    <t>Total distributions, cash</t>
  </si>
  <si>
    <t>input is the % of the distributions to be distributed in cash</t>
  </si>
  <si>
    <t>Total distributions, # of shares</t>
  </si>
  <si>
    <t>input is the share price for the shares being distributed, this calculates the number of shares to be distributed. optional, only needed for distributions of shares</t>
  </si>
  <si>
    <t>Expected value</t>
  </si>
  <si>
    <t>Probability of exit outcome</t>
  </si>
  <si>
    <t>Expected Returns</t>
  </si>
  <si>
    <t>Proceeds</t>
  </si>
  <si>
    <t>Net Returns</t>
  </si>
  <si>
    <t>Gross Multiple</t>
  </si>
  <si>
    <t>ROI</t>
  </si>
  <si>
    <t>Convertible</t>
  </si>
  <si>
    <t>Valuation Cap</t>
  </si>
  <si>
    <t>Type of Convertible</t>
  </si>
  <si>
    <t>check or input TRUE if this share class represents an unconverted SAFE or convertible note that will convert</t>
  </si>
  <si>
    <t>select the type of convertible, this impacts the way the share price is calculated. please read your legal documents to confirm the exact treatment and make adjustments to the liquidity capitalization as needed</t>
  </si>
  <si>
    <t>not applicable</t>
  </si>
  <si>
    <t>Optional: Liquidity Capitalization to use for converting unconverted SAFEs and/or convertible notes</t>
  </si>
  <si>
    <t>helper column to calculate the liquidity capitalization used in calculating the liquidity price used to convert the unconverted convervitable into shares in the liwuidation waterfall. please note this may require adjustment given the details for each convertible, always read your legal documents to know the exact treatment</t>
  </si>
  <si>
    <t>Optional: Shares to issue to unconverted SAFEs and/or convertible notes</t>
  </si>
  <si>
    <t>this section is a "helper" column, used to calculate the number of shares to issue to each unconverted convertible note and/or SAFE, if to be converted in a liquidity event</t>
  </si>
  <si>
    <t>Optional: Partial Shares to Preferred, if Participating Preferred with a Cap is selected</t>
  </si>
  <si>
    <r>
      <t xml:space="preserve">this section is a "helper column", not strictly needed except that spreadsheets perform better when complex iterative calculations are broken out. details at </t>
    </r>
    <r>
      <rPr>
        <u/>
        <sz val="10"/>
        <color rgb="FF1155CC"/>
        <rFont val="Arial"/>
        <family val="2"/>
      </rPr>
      <t>https://foresight.is/docs/iterative-calculations/</t>
    </r>
  </si>
  <si>
    <t>this represents the distribution of value, which may be in cash, shares, or other securities to be distributed to shareholders. note that for unconverted convertibles that are paid the cash-out amount (liquidity preference), there is no distribution per share because they never own shares</t>
  </si>
  <si>
    <t>Expected value of distributions</t>
  </si>
  <si>
    <t>Example Cap Table</t>
  </si>
  <si>
    <t xml:space="preserve">Example for modeling multiple rounds of equity, converting outstanding SAFEs and convertible notes, creating and updating option pool, and more. </t>
  </si>
  <si>
    <t>on an as-converted basis</t>
  </si>
  <si>
    <t>Warrants, on as-converted basis</t>
  </si>
  <si>
    <t>Equity Investors (from Convertibles this round)</t>
  </si>
  <si>
    <t>a check to make sure the option pool on the cap table equals our original assumption, you will need to modify if you include more lines for option pools</t>
  </si>
  <si>
    <t>Calculating anti-dilution protection, if applicable</t>
  </si>
  <si>
    <t>Use anti-dilution calculations for preferred equity investors</t>
  </si>
  <si>
    <t>Amount Originally Invested</t>
  </si>
  <si>
    <t>Ownership or Value Dilution</t>
  </si>
  <si>
    <t>Conversion Ratio or New Shares</t>
  </si>
  <si>
    <t>Original conversion ratio from preferred shares to common shares</t>
  </si>
  <si>
    <t>Purchase price per preferred share</t>
  </si>
  <si>
    <t>New conversion ratio if ownership dilution</t>
  </si>
  <si>
    <t>New conversion ratio if full ratchet anti-dilution</t>
  </si>
  <si>
    <t>New conversion ratio if broad-based weighted average</t>
  </si>
  <si>
    <t>New conversion ratio if narrow-based weighted average</t>
  </si>
  <si>
    <t>Method for anti-dilution protection</t>
  </si>
  <si>
    <t>New conversion ratio with anti-dilution protection</t>
  </si>
  <si>
    <t>Number of Fully-Diluted shares on an as-converted basis added through anti-dilution protection</t>
  </si>
  <si>
    <t>New Shares Issued</t>
  </si>
  <si>
    <t>TRUE/FALSE if Excel, Check/Unchecked if Google Sheets. Using this option will use the anti-dilution protections, if they apply to the fundraise given the known information about the new equity raise.</t>
  </si>
  <si>
    <t>there are two different types of dilution :) check out https://foresight.is/docs/anti-dilution/ for a full explainer</t>
  </si>
  <si>
    <t>only if using value dilution</t>
  </si>
  <si>
    <t>calculated from conversion ratio</t>
  </si>
  <si>
    <t>issued during round</t>
  </si>
  <si>
    <t>value</t>
  </si>
  <si>
    <t>conversion ratio</t>
  </si>
  <si>
    <t>full ratchet</t>
  </si>
  <si>
    <t>Simple example for modeling multiple rounds of equity</t>
  </si>
  <si>
    <t>premoney valuation / company capitalization, prior to the round</t>
  </si>
  <si>
    <t>Simplified example for modeling issuing equity and option pools</t>
  </si>
  <si>
    <t>Some calculations regarding cap tables requires circular references to work properly. Turn on Iterative Calculations (in Google Sheets, File &gt; Settings &gt; Calculation &gt; Turn Iterations On, and in Excel, Excel &gt; Preferences &gt; Calculation &gt; Use Iterative Calculation). This toggle just zeros out the conversions and option pool calcs if not set to checked (Google Sheets) or TRUE (Excel).</t>
  </si>
  <si>
    <t>Simplified example for modeling issuing equity and converting outstanding SAFEs and convertible notes</t>
  </si>
  <si>
    <t>Resources and Templates</t>
  </si>
  <si>
    <t>Tools and templates to understand more about cap tables and exit waterfalls</t>
  </si>
  <si>
    <t>Name</t>
  </si>
  <si>
    <t>Key Attributes</t>
  </si>
  <si>
    <t>Link</t>
  </si>
  <si>
    <t>Cap Table and Exit Waterfall Tool</t>
  </si>
  <si>
    <t>This model; instructional tool to learn how cap tables and exit waterfalls work</t>
  </si>
  <si>
    <t>https://foresight.is/cap-table</t>
  </si>
  <si>
    <t>Angelcalc</t>
  </si>
  <si>
    <t>Resource to use to build and verify cap tables, as well as manage a portfolio.</t>
  </si>
  <si>
    <t>https://www.angelcalc.com</t>
  </si>
  <si>
    <t>Safe and Convertible Note Calculator, by Carta</t>
  </si>
  <si>
    <t>Free resource to use to model the impact of issuing and converting SAFEs and convertible notes on cap tables.</t>
  </si>
  <si>
    <t>https://safes.carta.com/</t>
  </si>
  <si>
    <t>Cap Table and Exit Waterfall Course, by Foresight</t>
  </si>
  <si>
    <t>Self-paced course to teach the concepts and calculations behind creating cap tables and exit waterfalls.</t>
  </si>
  <si>
    <t>https://foresight.is/cap-table-course/</t>
  </si>
  <si>
    <t>Eloquens, for examples of other cap table structures</t>
  </si>
  <si>
    <t>Search for more cap table templates at Eloquens, to see other ways to create and format cap tables</t>
  </si>
  <si>
    <t>https://www.eloquens.com/search/cap%20table</t>
  </si>
  <si>
    <t>What is a cap table?</t>
  </si>
  <si>
    <t>Intro explainer on what a cap table is and why it's important</t>
  </si>
  <si>
    <t>https://learn.angellist.com/articles/cap-table</t>
  </si>
  <si>
    <t>How to model ownership &amp; dilution, and how pro rata works in venture capital deals., by Chloe Alpert</t>
  </si>
  <si>
    <t>Good overview article on how to model ownership, dilution, and prorata investments</t>
  </si>
  <si>
    <t>https://chloealpert.com/how-to-model-ownership-dilution-and-how-pro-rata-works-in-venture-capital-deals/</t>
  </si>
  <si>
    <t>Basics of Pre- and Post-Money Option Pools</t>
  </si>
  <si>
    <t>Understanding the basics of option pools</t>
  </si>
  <si>
    <t>https://ledgy.com/blog/pre-and-post-money-option-pools/</t>
  </si>
  <si>
    <t>Calculating Share Prices with Outstanding Convertible Notes or SAFEs</t>
  </si>
  <si>
    <t>Primer on how to calculate share prices with unconverted convertible notes. This was a foundational learning piece for me; I no longer use the effective premoney method as the primary calculation method, but it's great to understand why the math works.</t>
  </si>
  <si>
    <t>https://www.cooleygo.com/calculating-share-price-outstanding-convertible-notes-or-safes/</t>
  </si>
  <si>
    <t>Premoney and Postmoney SAFEs, by Carta</t>
  </si>
  <si>
    <t>Intro explainer on what premoney and postmoney SAFEs are</t>
  </si>
  <si>
    <t>https://carta.com/blog/pre-money-and-post-money-safes/</t>
  </si>
  <si>
    <t>Y Combinator, documents for Postmoney SAFE</t>
  </si>
  <si>
    <t>The documents for Y Combinator's default postmoney SAFE</t>
  </si>
  <si>
    <t>https://www.ycombinator.com/documents</t>
  </si>
  <si>
    <t>Venture Capital Method (Valuation)</t>
  </si>
  <si>
    <t>Examples of how to use the Venture Capital Method for valuation, free Google Sheets</t>
  </si>
  <si>
    <t>https://vcmethod.com/</t>
  </si>
  <si>
    <t>Key venture terms and metrics used in this model. Send me an email about any terms that are unclear and I'll update the Glossary.</t>
  </si>
  <si>
    <t>Term</t>
  </si>
  <si>
    <t>Definition</t>
  </si>
  <si>
    <t>Investment Amount</t>
  </si>
  <si>
    <t>New amount invested to purchase shares in a round</t>
  </si>
  <si>
    <t>Negotiated valuation of a company prior to a round of investment</t>
  </si>
  <si>
    <t>Valuation after an investment round. Premoney Valuation + Amount Invested = Postmoney Valuation</t>
  </si>
  <si>
    <t>Definition used for the number of shares to use in calculating price per share</t>
  </si>
  <si>
    <t>The price per share that an investor is paying to purchase new shares issued to the investor</t>
  </si>
  <si>
    <t>"Priced Round"</t>
  </si>
  <si>
    <t>Selling shares of equity at a determined price set by a valuation on the shares. Premoney valuation / ( # of shares issued and outstanding + # of authorized options)</t>
  </si>
  <si>
    <t>"Issuing Shares"</t>
  </si>
  <si>
    <t>Taking in investment capital using – typically – one of the structures – and giving investors securities at a determined price (or the right to purchase securities at a price to be determined later). Rounds can be amorphous and can aggregate multiple investments at different valuations, when using convertibles. Raising money means that the company issues new shares to an investor, increasing the total number of shares and diluting existing shareholders. # of shares issued to an investor = amount invested / share price they paid</t>
  </si>
  <si>
    <t>"Converting Investments"</t>
  </si>
  <si>
    <t>Convertible notes and SAFEs are converted into equity when an equity round is raised, purchasing similar shares as the new equity round, but usually for a different price</t>
  </si>
  <si>
    <t>Percentage Ownership</t>
  </si>
  <si>
    <t>Shares owned by an investor / Fully-diluted shares, representing the percentage of the shares owned by the investor</t>
  </si>
  <si>
    <t>"Effective Premoney Valuation"</t>
  </si>
  <si>
    <t>The real valuation that a company is getting on a new investment round. Premoney valuation minus the value of the dilution born by existing shareholders = “effective premoney”</t>
  </si>
  <si>
    <t>Equity</t>
  </si>
  <si>
    <t>https://www.investopedia.com/terms/e/equityfinancing.asp</t>
  </si>
  <si>
    <t>Convertible Note</t>
  </si>
  <si>
    <t>Debt that has the right to convert into equity upon a milestone (a date or a significant financing event). Treated as unsecured debt, with the seniority of debt and rights to repayment. Can include a discount rate (right to purchase shares at a discount to the equity price), a cap (a max valuation paid at the time of conversion), an interest rate (typically accrued, and converted into equity or paid at time of conversion), and a maturity date (a date it has to be converted by, which can be renegotiated in practice).</t>
  </si>
  <si>
    <t>Premoney SAFE</t>
  </si>
  <si>
    <t>Essentially treated as a warrant to purchase shares, not treated as debt. Created to be simpler and easier (simpler docs) and standardized, to reduce legal costs and complexity. Can have cap or discount, no interest rate, no maturity. Introduced by Y Combinator in 2013.</t>
  </si>
  <si>
    <t>Postmoney SAFE</t>
  </si>
  <si>
    <t>Introduced by Y Combinator in 2018 / https://www.ycombinator.com/documents/ Created to provide clarity on ownership, by defining the exact conversion method. Effectively adds antidilution protection for investors. Removed prorata rights, which can be negotiated as a side letter</t>
  </si>
  <si>
    <t>https://www.cooleygo.com/understanding-the-valuation-cap/</t>
  </si>
  <si>
    <t>Discount for purchasers of shares through convertible instruments, allowing the purchaser to pay the price per share for the equity shares * the discount rate = the price per share paid by the owners of the convertible instruments. Legal documents will usually cite the discount rate differently than we commonly talk about it, so be careful to make sure it's (1 - discount rate) * price per share or (discount rate) * price per share</t>
  </si>
  <si>
    <t>https://www.upcounsel.com/convertible-note-interest-rate</t>
  </si>
  <si>
    <t>https://www.investopedia.com/terms/c/commonstock.asp</t>
  </si>
  <si>
    <t>https://www.investopedia.com/articles/stocks/06/preferredstock.asp</t>
  </si>
  <si>
    <t>Authorized Shares</t>
  </si>
  <si>
    <t>The number of shares that the company is authorized to issue, per their legal documents, and approved by their board of directors.</t>
  </si>
  <si>
    <t>Issued and Outstanding Shares</t>
  </si>
  <si>
    <t xml:space="preserve">Shares issued and currently outstanding to shareholders. This will be less than the authorized shares.
</t>
  </si>
  <si>
    <t>Issued and outstanding shares plus shares reserved for authorized options, and assumes that all authorized options will be eventually granted and exercised.</t>
  </si>
  <si>
    <t>Fractional Shares</t>
  </si>
  <si>
    <t>Shares are typically not issued in fractions (e.g. 1/2 a share). Typically we round the number of shares calculated purchased or issued so that no fractional shares are issued.</t>
  </si>
  <si>
    <t>Investor Friendly</t>
  </si>
  <si>
    <t>Refers to a method of issuing options ot shares from convertibles where the dilution incurred from those events is borne entirely by existing shareholders prior to the round, and not the new equity investors</t>
  </si>
  <si>
    <t>Founder Friendly</t>
  </si>
  <si>
    <t>Refers to a method of issuing options ot shares from convertibles where the dilution incurred from those events is borne entirely by all shareholders, including the new equity investors</t>
  </si>
  <si>
    <t>Premoney Option Pool</t>
  </si>
  <si>
    <t>A Premoney option pool, the “investor friendly” option, reduces the premoney valuation by the value of the options created, and forces the dilutive impact on existing shareholders.</t>
  </si>
  <si>
    <t>Postmoney Option Pool</t>
  </si>
  <si>
    <t>A Postmoney option pool, the “founder friendly” option, shares the impact of dilution on all shareholders, including new equity investors.</t>
  </si>
  <si>
    <t>"Convert in the premoney"</t>
  </si>
  <si>
    <t>From https://docs.equity.gust.com/article/116-converting-notes-pre-money-vs-post-money - "In a pre-money conversion the notes convert first, and are included as part of your company's value in the pre-money valuation. You may also hear pre-money conversion referred to as "the percentage-ownership method".</t>
  </si>
  <si>
    <t>"Convert in the postmoney"</t>
  </si>
  <si>
    <t>From https://docs.equity.gust.com/article/116-converting-notes-pre-money-vs-post-money - "In a post-money conversion, the incoming series goes first, then the note holders convert increasing the post-money valuation of the company. Because the pre-money value does not include the note holders, it gives a fixed price for the new round shares and so post-money conversion is sometimes (confusingly) referred to as "the pre-money method" when looked at from the perspective of the new investors."</t>
  </si>
  <si>
    <t>Premoney Conversion Method ("Convert in the postmoney", or "Founder Friendly")</t>
  </si>
  <si>
    <t>Percentage Ownership Conversion Method (Premoney Conversion Method, or "Convert in the postmoney", or "Investor Friendly")</t>
  </si>
  <si>
    <t>Dollars Ownership Conversion Method</t>
  </si>
  <si>
    <t>Option Pool</t>
  </si>
  <si>
    <t>Options, also called employee stock option pool or ESOP, represent the right (not the commitment) for the owner of the options to purchase shares. A company usually reserves or creates a pool of options, representing a % of the company, to grant to for future hires as compensation, typically created and amended around financing rounds.</t>
  </si>
  <si>
    <t>Strike Price</t>
  </si>
  <si>
    <t>Provides the right to option holders to purchase common shares at a price (”strike price”) related to the value of the company today, and sell (hopefully) at a higher price in future as company’s value grows</t>
  </si>
  <si>
    <t>Authorized Options</t>
  </si>
  <si>
    <t>Options authorized to issue</t>
  </si>
  <si>
    <t>Granted Options</t>
  </si>
  <si>
    <t>Options already granted to option holders</t>
  </si>
  <si>
    <t>Vested Options</t>
  </si>
  <si>
    <t>Options vested by option holders, based on their vesting schedule</t>
  </si>
  <si>
    <t>Options Available for Granting</t>
  </si>
  <si>
    <t>Options available to grant. Authorized options less granted options</t>
  </si>
  <si>
    <t>https://www.investopedia.com/terms/w/warrant.asp</t>
  </si>
  <si>
    <t>Pro rata</t>
  </si>
  <si>
    <t>Prorata, or prorata rights, are terms written into share agreements that give investor the right to purchase additional shares in future financings, usually towards the goal of maintaining their ownership percentage of a company.</t>
  </si>
  <si>
    <t>Here's what has changed.</t>
  </si>
  <si>
    <t>Version</t>
  </si>
  <si>
    <t>v3.5.3</t>
  </si>
  <si>
    <t>Added `Exit Waterfall, with Convertibles` sheet to add new section to handle the distribution of proceeds to unconverted convertibles in a liquidation scenario prior to a conversion event. This is a beta feature and will be actively tested, and please note that it is always important to read the convertible agreement for how to handle a liquidation event.
Added new section ton `Exit Waterfall` sheet to show the distribution of proceeds to cash and securities, if the distribution includes securities.</t>
  </si>
  <si>
    <t>v3.5.2</t>
  </si>
  <si>
    <t>Edited 'Exit Waterfall' sheet to add the conversion ratio to the calculation of shares for the full participation option.
Added checkboxes/true &amp; false inputs on Cap Table, Anti Dilution and Exit Waterfall sheets to turn off calculations requiring circular references. This means those sheets will not work without using checking the checkbox or entering "true", but this should make the initial use clearer and remove the unprompted spreadsheet warning message.</t>
  </si>
  <si>
    <t>v3.5.1</t>
  </si>
  <si>
    <t>Edited `Cap Table, Anti Dilution` to adjust calculation of broad-based and narrow-based weighted average so it uses the amount invested in the new round, not the amount invested by each of the existing shareholders in past rounds, in the calc for the new conversion price</t>
  </si>
  <si>
    <t>v3.5.0</t>
  </si>
  <si>
    <t>Edited the 'Exit Waterfall, Simple' sheet to add in features previously only in the base 'Exit Waterfall' and 'Exit Waterfall, Extended' sheets, bringing this stucture to match the features in the previous Exit Waterfall sheets, and deleted the older sheets and renamed the 'Simple' variant to just 'Exit Waterfall'. This was done because the 'Simple' version is built to use an easier formula structure than the 'Exit Waterfall' and 'Exit Waterfall, Extended' sheets, and because of that it is easier to use without needing the feature toggles on the earlier sheets, and is *much* easier to extend to cover more share classes and options. Simpler and better, always innovating.</t>
  </si>
  <si>
    <t>v3.4.8</t>
  </si>
  <si>
    <t>Edited "Exit Waterfall" and "Exit Waterfall, Extended" sheets to fix how warrants are exercised cashless. Previously the cashless exercise would result in the proceeds distribution check being off because the foregone proceeds from the cashless exercise was not accounted for going back to other shareholders. The method was changed to adjust the number of shares issued tot he warrant holders by the value of the foregone proceeds by the cashless exercise, if that option is selected. Thank you Preten for finding this. I also adjusted the "Exit Waterfall, Simple" sheet for calculating proceeds to warrants; previously the method subtracted out the foregone proceeds from warrant holders and added them back to the other sharedholders, which resulted in the same result, but I adjusted the calcs to use the same method of adjusting the shares so that the methods are consistent.</t>
  </si>
  <si>
    <t>v3.4.7</t>
  </si>
  <si>
    <t>Edited "Cap Table, Issuing Options" calculation for the number of desired options to subtract out the options currently available. That makes the algebraic method used in this sheet equivalent to the circular reference method used in the core "Cap Table" sheet. Thank you Tom for finding this.</t>
  </si>
  <si>
    <t>v.3.4.6</t>
  </si>
  <si>
    <t>Edited 'Exit Waterfall, Simple' sheet to fix the Shares calculation to use the Liquidity Preferences from the correct column</t>
  </si>
  <si>
    <t>v3.4.5</t>
  </si>
  <si>
    <t>New 'Exit Waterfall, Simple' sheet to provide an alternative way to calculating a waterfall using a simpler set of formulas by making a few intentional decisions on aspects of preferred investments it does not support. See sheet for more details.</t>
  </si>
  <si>
    <t>v3.4.4</t>
  </si>
  <si>
    <t>Updates to Cap Table, Anti Dilution. Edited to allow for (a) issuing new shares instead of adjusting conversion ratio, (2) accounting for ownership % dilution as well as value dilution, and (3) making anti-dilution ratios different per row to account for different original purchase prices. The updates allow for significantly more flexibiity in dealing with anti-dilution.</t>
  </si>
  <si>
    <t>v3.4.3</t>
  </si>
  <si>
    <t>Edited the Exit Waterfall and Exit Waterfall, Extended sheets for a beta implementation of cashless warrants exercise. Select the option for cashless exercise in the pre-distribution cap table setup, and the model will adjust the proceeds from exercise and proceeds to warrant holders automatically. This is prebuilt for all of the options or warrants lines, although this would only be used for warrants.</t>
  </si>
  <si>
    <t>v3.4.2</t>
  </si>
  <si>
    <t>Edited the Exit Waterfall, Extended sheet to adjust the liquidation preferences calculation for the second and third shareclasses, to link them to the correct shareclass. Thank you Jessie for pointing this out.</t>
  </si>
  <si>
    <t>v3.4.1</t>
  </si>
  <si>
    <t>Added a prebuilt input for fixed percentage postmoney SAFEs in the Cap Table sheet. The model always worked for these SAFEs (just divide the investment amount by the fixed percentage to get the effective valuation cap), but this provides a clearer input to do the same thing.</t>
  </si>
  <si>
    <t>v3.4</t>
  </si>
  <si>
    <t>On Cap Table, with Anti Dilution sheet, editing to (a) make the selection of which type of anti-dilution protection to use a dropdown, instead of implying the selection from the number calculated (a little clearer IMO), and (b) adding a calc for the number of shares on an as-converted basis added through anti-dilution protection, and (c) adding those shares to the company capitalization used in calculating equity share price</t>
  </si>
  <si>
    <t>v3.3</t>
  </si>
  <si>
    <t>On Exit Waterfall, introduced a new model settings at the top, to set the formula structure in a few situations. Basically, some aspects of the Exit Waterfall create circulars that can be difficult for Excel and Google Sheets to calculate correctly (yes, spreadsheet programs have limitations, especially when it comes to circular references). By default, the model uses simpler formulas unless the more advanced options are required, for example for pari-passu or for down rounds (introduced in the previous version), in which cases the model turns on the more complicated formulas. Hopefully this makes it better for a wider range of people to use without issue, and still keeps the more advanced functionality for those that need it.</t>
  </si>
  <si>
    <t>v3.2</t>
  </si>
  <si>
    <t xml:space="preserve">On Exit Waterfall, changed the liquidation preference calculation for each share class to use the proceeds per share to common instead of the residual per share from the section above. The previous method did not work as well in conditions where the liquidation price per share decreased in future rounds. This method does make the calculations even more circular, but more robust for that situation. </t>
  </si>
  <si>
    <t>v3.1</t>
  </si>
  <si>
    <t>Adding prebuilt anti-dilution protection to the default cap table example sheet. This is a beta release of the feature, and will change based on feedback, but aims to add in full ratchet and weighted average (broad-based and narrow-based) if selected and if applicable based on new share prices. The feature is not fully automatic, as you will need to select the type of anti-dilution protection and input the purchase price from the previous equity round. This calculates the same protection for all preferred shareholders, although if shareholders have different original purchase prices their anti-dilution protection will be different. I do expect to change the approach to make it more flexible and automatic based on user feedback and use.</t>
  </si>
  <si>
    <t>v3.0</t>
  </si>
  <si>
    <r>
      <t xml:space="preserve">Brand new v3, a complete break in format and calculation methods, redesigned and redrawn. More details covered at </t>
    </r>
    <r>
      <rPr>
        <u/>
        <sz val="10"/>
        <color rgb="FF1155CC"/>
        <rFont val="Arial"/>
        <family val="2"/>
      </rPr>
      <t>https://foresight.is/cap-table</t>
    </r>
  </si>
  <si>
    <t>v2.6</t>
  </si>
  <si>
    <t>Updated 7 - Proratas and 5 - Exit Waterfall with dropdowns to turn on interative calculations in the formulas, so I can provide the model without the annoying circular reference error popup. Just turn on iterative calcs in the dropdown and in Excel/Google Sheets setup when necessary to use the calcs for those sheets.</t>
  </si>
  <si>
    <t>v2.59</t>
  </si>
  <si>
    <t>Updated Base Cap Table sheet, total postmoney SAFE dilution calc, AD49, to fix formula so it can cover dilution for all shareholders, in a more flexible manner. Thank you Tim for catching this.</t>
  </si>
  <si>
    <t>v2.58</t>
  </si>
  <si>
    <t>Updated Exit Waterfall to work for scenarios where shareholder classes are pari-passu, and have to use liquidation preferences to drive preferred / common decisions. Added 7 - Proratas and 8 - Scorecard Valuation as two new instructional tabs, as examples for how to calculate prorata investment amounts (couple scenarios handled, more to be built and added) and an example of a scorecard valuation approach.</t>
  </si>
  <si>
    <t>v2.57</t>
  </si>
  <si>
    <t>Version control, updating to make this the current model to remove any conflicts about versions or circular references. 1 - Base Cap Table: Added link to an Angelcalc model comparison (I like Angelcalc!) to compare results.</t>
  </si>
  <si>
    <t>v2.56</t>
  </si>
  <si>
    <t>Exit Waterfall - moved the structure for handling unconverted convertible notes. This is manual; structuring this for each note under the specific terms of the note and testing for the different specific methods can be hard for convertible notes. Exit Waterfall - changed % of options exercised calc to use common share price instead of blended overall share price</t>
  </si>
  <si>
    <t>v2.55</t>
  </si>
  <si>
    <t>5 - Exit Waterfall - finished latest set of revisions with new structure, which allows for pari-passu treatment of rounds, proceeds from dividends, manual editing for proceeds from payments for unconverted convertibles, amng other optimizations. This new structure involves a number of edits to make the tool better as an instructional tool, with more explainers and notes, more features to handle situations that users have requested, and a slightly slimmer footprint (meaning, less rounds) so that the tool is overall easier to use.</t>
  </si>
  <si>
    <t>Cap Table, Exit Waterfall, Summary - Deleted. The base cap table model was replaced with the new 1 - Cap Table sheet, towards the goal to build in some new features, but also make it a better instructional tool and easier to edit for situations. Big picture, I believe that cap tables are better managed in sofware, and tools like Carta, Capshare, and Captable.io are all good options for people to manage detailed cap tables. Spreadsheet-based solutions are difficult to manage, update, and keep accurate. But spreadsheets are great for analysis, and so I refocused the goal of this tool on teaching, instructions, and a footprint that's easier to use for analysis and scenario modeling. In the new base cap table sheet - "1 - Cap Table" - the model introduces a couple new features to help it handle postmoney SAFEs better and more automatically, a clearer way to handle share grants, transfers, and cancellations, options exercising, and warrants. It's also easier to use for analyzing exported cap tables from Carta, Capshare, and Captable.io, by exporting the share register and linking them into the opening cap table (and exit waterfall) for scenario modeling of future rounds and proceeds distributions at exit. I recognize that some may like the deleted sheets, but based on my usage of this tool with entrepreneurs over the past few years, I think this is a solution that will be easier to use and a better fit with how spreadsheets should really be used for modeling cap tables.</t>
  </si>
  <si>
    <t>4 - Conversion, Postmoney - Edited how the postmoney conversion is handled so that it no longer requires all SAFEs to be postmoney SAFEs, and now can convert convertible notes, premoney SAFEs, and postmoney SAFEs all in the same structure.</t>
  </si>
  <si>
    <t>v2.54</t>
  </si>
  <si>
    <t>Exit Waterfall and 5 - Exit Waterfall Distribution: Reordered the rows for each shareholder class and edited to show how participation and conversion works a bit clearer; previously, I included in "convert to common" the participation of preferred shares that weren't *converting* but just *participating* in the common distributions. The math was correct, but I updated it so that the delineation between participation and conversion is clearer. In a similar vein, I created the participation calculations show that they show the results for all three participation options simultaneously, even if they are not used for that particular shareholder class, as an aid to help explain the calcs and show the differences in results from the options. Exit Waterfall and 5 - Exit Waterfal Distribution: Edited the calcs for Participating Preferred with a Cap options so that it accurately showed how participation for this option works.</t>
  </si>
  <si>
    <t>v2.53</t>
  </si>
  <si>
    <t>Exit Waterfall, and 5 - Exit Waterfall: Edited the "Cap of Proceeds / Invested Capital" and "Cap on Participation" rows, respectively, to reflect pulling from invested capital and not liquidation preferences. Previously, no issues if liquidation preferences = invested capital, but if liquidation preferences were a multiple of invested capital, and participating preferred with a cap was used, it would calculate the cap incorrectly.</t>
  </si>
  <si>
    <t>v2.52</t>
  </si>
  <si>
    <t>Cap Table: Edited the summary columns - at the very end of the sheet - to correctly pull in the shares, options, and fully-diluted per round, for the Summary and Exit Waterfall sheets.</t>
  </si>
  <si>
    <t>v2.51</t>
  </si>
  <si>
    <t>Cap Table: Edited a couple # shares calcs for line 7 in all rounds, fixing a stray "0" that should have had a calculation in those cells</t>
  </si>
  <si>
    <t>New sheet, 3 - Conversion, Postmoney, and edits to 4 - Option Pool: Added a new sheet to clearly show how to use the new Y Combinator Postmoney SAFE. The core Cap Table sheet already supports it, but now the instructional sheets provide a better guide on how to set it up with the core Cap Table sheet. Also made one small edit on Cap Table to optionally calculate fully-diluted shares on a premoney or postmoney basis. Yes, I know this edit is done on a global basis, which reflects an assumption that all SAFEs are either premoney or postmoney. If this assumption turns out to be an issue it can be edited to be more granular, and if it is requested I will change this.</t>
  </si>
  <si>
    <t>Cap Table: Added new columns to optionally calculate total dilution from postmoney SAFEs per round in order to calculate fully-diluted; changed $ converted in round to pick up SAFEs, and changed share price to handle postmoney SAFEs using previous round fully-diluted instead of issued and outstanding to calculate price per share.</t>
  </si>
  <si>
    <t>Cap Table and all 3 - Conversion sheets and 4 - Option Pool and Conversion: Switched the "Converted in Round" calcs for all rounds to use monthly interest rate instead of annual, as it would fail to pick up interest earned on conversions that happen less than a year from issuance of the convertible, and undercalculate accrued interest for periods that do not match annual intervals.</t>
  </si>
  <si>
    <t>Cap Table and relevant instructional sheets with option pools: Added condition for calculation of postmoney option pool # of shares to test to see if there is a valuation, and if not, to calculate the # of shares based on the issued and outstanding prior to the round. This corrects for the zero shares that would have been estimated in the case of a zero valuation.</t>
  </si>
  <si>
    <t>v2.5</t>
  </si>
  <si>
    <t>Cap Table: R73 (postmoney valuation, first funding round) drew it's calcs from the incorrect column. Thank you George for finding this simple error.</t>
  </si>
  <si>
    <t>v2.4</t>
  </si>
  <si>
    <t>4 - Option Pool + Convention: Edits to the Fully-diluted shares calculations, each round in this sheet was incorrectly calculating fully-diluted shares. This calc is situational specific, so you may need to change the formula if you are using this sheet for other rounds, not converting the notes in the second round, or other scenarios. Check the results to make sure they make sense to you.</t>
  </si>
  <si>
    <t>v2.3</t>
  </si>
  <si>
    <t>Cap Table: Reorganized the assumptions layout to bring them in line with the Cap Table, deleting the Assumptions sheet and bringing them into the Cap Table sheet.. Why? I think in practice it is better - in this case - to bring the assumptions closer to the cap table. The cap table always involved a bit of manual inputs around the investments per investor, and previously it took a bit of back and forth between the sheets to adjust the inputs.This also makes it the same, structurally, as the instructional sheets, which I always like using as my base when I build custom cap tables. Reorganizing the inputs makes it a little less "plug and play", but I don't think cap tables are ever plug and play, so removing the sheen makes this a bit more usable, in my opinion.</t>
  </si>
  <si>
    <t>Exit Waterfall: both Exit Waterfall sheets were edited to remove the circular references introduced in v2.2. No changes to the calcs, just changed the structure so that everyone doesn't have to see the circular references until they are actually needed based on the inputs and options used.</t>
  </si>
  <si>
    <t>Instructional Sheets: Little edits throughout, more notes. Added "Fully Diluted" to all the Convertible instructional sheets to match the main cap table, and because it's important to show fully-diluted. Added a sheet to show the combination of an option pool and convertible issuance (and conversion).</t>
  </si>
  <si>
    <t>Cap Table: Just a note: Previously, this tool was the same cap table used in the Standard Model. However, going forward, the Standard Model will use a simplified structure for its cap table. The reason is that I don't always advocate for including a detailed cap table in the Standard Model, and it created an additional layer of compleity that was not always necessary in a forecast model. The simplified structure in the Standard Model can be used with this more detailed Cap Table model if desired, contact hello@foresight.is with any questions.</t>
  </si>
  <si>
    <t>v2.2</t>
  </si>
  <si>
    <t>4 - Exit Waterfall Distribution and Exit Waterfall: Fixed the test for "Convert to Common?" for all classes of shareholders to adjust the participating preferred with a cap option. Previously, at lower exit valuations, it was not allocating participation above the liquidation preference, replaced the test conditions with a new test; instead of testing to see if the implied proceeds if convert to common is &gt; the liquidation preference, it tests to see if there is leftover residual to allocate, by testing for the leftover residual at this stage after liquidation preferences from all shareholder classes. That's a long explanation, but I provide it just for context, it's a fairly simple edit to the formula, just change it for each "Convert to Common?" line on both of those sheets.</t>
  </si>
  <si>
    <t>v2.1</t>
  </si>
  <si>
    <t>3 - Conversion, All: Edited Y18 on Conversion, Premoney, Conversion, % Invested, and Conversion, $ Invested, to sum all the % ownerships in that column. Previously it missed the ownership of the last row in those columns. No impact to $ calcs, just the presentation of that %.</t>
  </si>
  <si>
    <t>v2.0</t>
  </si>
  <si>
    <t>New version! Completely rebuilt from the ground-up to accomplish a couple key goals:</t>
  </si>
  <si>
    <t>A better instructional tool.</t>
  </si>
  <si>
    <t>The previous cap table was a good tool to use, but not a great tool if you wanted to understand how everything worked so you could build your own. With this model, I've tried to build this so that it would be a much better instructional tool, and I've done that by building in a number of additional sheets that show specific examples so that you can unpack the formulas and the methdologies in each situation.</t>
  </si>
  <si>
    <t>More flexible and easier to edit.</t>
  </si>
  <si>
    <t>The core tool - the Cap Table sheet - is analogous to the Cap Table in the original Cap Table model, in that it aims to allow users to specify a number of specifics about each round and fully model all (or almost all) situations. This tool adds in more flexibility with a structure that makes it easier to add in lines for additional shareholders, makes it easy to add in convertible instruments in any round (the previous tool only allowed for convertibles in the first fundraising round), and is all around easier to understand.</t>
  </si>
  <si>
    <t>More flexible conversion of convertible instruments.</t>
  </si>
  <si>
    <t>The previous cap table had a fundamental assumption - noted but perhaps not clear - that the note or SAFE conversions were done using the premoney method. In real life, there are multiple methods for converting a note, and this new version builds in the options for convertibles to be converted using the percentage ownership and dollars invested methods. Simply select the method in the dropdown, and the calculations - as well as the cells labeled as inputs - will change.</t>
  </si>
  <si>
    <t>A much clearer waterfall detail.</t>
  </si>
  <si>
    <t>The previous cap table had a formula that was the most complex I have ever built, which I'm both proud and disgusted by, simply because it was also the most incomprehensible formula I have ever built, and it is completely impossible for anyone to really unpack and understand how it works. In this version, that formula is gone, replaced with several lines and columns that unpack the formula and also provide more transparency into how the waterfall is calculated.</t>
  </si>
  <si>
    <t>More waterfall returns analysis.</t>
  </si>
  <si>
    <t>I also wanted to create a waterfall that showed the distribution to investors over a range of sales prices, rather than just one single exit value. Done. Coming soon I expect to add on IRRs for each investor.</t>
  </si>
  <si>
    <t>There's a couple limitations in the models.</t>
  </si>
  <si>
    <t>a) Implictly assumes that any unconverted notes or SAFE instruments convert in the next round that is an equity round, essentially assuming that it is a qualified financing. This can be changed by overwriting the conversion amount in any round.</t>
  </si>
  <si>
    <t>b) If a unique shareholder holds multiple types of stock (common, preferred) then they are better entered as two separate lines, one for each respective class of stock.</t>
  </si>
  <si>
    <t>c) Anti-dilution protections for down round scenarios are not built in.</t>
  </si>
  <si>
    <t>d) The waterfall assumes each round using preferred instruments are senior to the preferred instruments of the previous round. If there are multiple preferred share classes offered in a round, you would need to edit the waterfall.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</si>
</sst>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4" formatCode="_(&quot;$&quot;* #,##0.00_);_(&quot;$&quot;* \(#,##0.00\);_(&quot;$&quot;* &quot;-&quot;??_);_(@_)"/>
    <numFmt numFmtId="164" formatCode="#,##0_);\(#,##0\);_(&quot;-&quot;_);_(@_)"/>
    <numFmt numFmtId="165" formatCode="#,##0.0000_);\(#,##0.0000\);_(&quot;-&quot;_);_(@_)"/>
    <numFmt numFmtId="166" formatCode="0.0000"/>
    <numFmt numFmtId="167" formatCode="m/d/yyyy"/>
    <numFmt numFmtId="168" formatCode="#,##0.0000"/>
    <numFmt numFmtId="169" formatCode="#,##0.00_);\(#,##0.00\);_(&quot;-&quot;_);_(@_)"/>
    <numFmt numFmtId="170" formatCode="0.0%"/>
    <numFmt numFmtId="171" formatCode="_(* #,##0.0_);_(* \(#,##0.0\);_(* &quot;-&quot;??_);_(@_)"/>
    <numFmt numFmtId="172" formatCode="_(* #,##0_);_(* \(#,##0\);_(* &quot;-&quot;??_);_(@_)"/>
    <numFmt numFmtId="173" formatCode="_([$£-809]* #,##0.00_);_([$£-809]* \(#,##0.00\);_([$£-809]* &quot;-&quot;??_);_(@_)"/>
    <numFmt numFmtId="174" formatCode="0.000"/>
  </numFmts>
  <fonts count="35">
    <font>
      <sz val="10"/>
      <color rgb="FF000000"/>
      <name val="Arial"/>
      <scheme val="minor"/>
    </font>
    <font>
      <b/>
      <sz val="14"/>
      <color theme="1"/>
      <name val="Arial"/>
      <family val="2"/>
      <scheme val="minor"/>
    </font>
    <font>
      <sz val="10"/>
      <color rgb="FF000000"/>
      <name val="Arial"/>
      <family val="2"/>
      <scheme val="minor"/>
    </font>
    <font>
      <b/>
      <sz val="10"/>
      <color theme="1"/>
      <name val="Arial"/>
      <family val="2"/>
      <scheme val="minor"/>
    </font>
    <font>
      <sz val="10"/>
      <color rgb="FF000000"/>
      <name val="Arial"/>
      <family val="2"/>
    </font>
    <font>
      <sz val="10"/>
      <color theme="1"/>
      <name val="Arial"/>
      <family val="2"/>
      <scheme val="minor"/>
    </font>
    <font>
      <u/>
      <sz val="10"/>
      <color rgb="FF0000FF"/>
      <name val="Arial"/>
      <family val="2"/>
    </font>
    <font>
      <b/>
      <sz val="12"/>
      <color theme="1"/>
      <name val="Arial"/>
      <family val="2"/>
      <scheme val="minor"/>
    </font>
    <font>
      <i/>
      <sz val="10"/>
      <color rgb="FF000000"/>
      <name val="&quot;Avenir Book&quot;"/>
    </font>
    <font>
      <sz val="10"/>
      <color rgb="FF666666"/>
      <name val="Arial"/>
      <family val="2"/>
    </font>
    <font>
      <sz val="10"/>
      <color rgb="FF000000"/>
      <name val="&quot;Avenir Book&quot;"/>
    </font>
    <font>
      <sz val="10"/>
      <color rgb="FF000000"/>
      <name val="Arial"/>
      <family val="2"/>
    </font>
    <font>
      <sz val="10"/>
      <color rgb="FF666666"/>
      <name val="Arial"/>
      <family val="2"/>
      <scheme val="minor"/>
    </font>
    <font>
      <sz val="10"/>
      <color rgb="FFFFFFFF"/>
      <name val="Arial"/>
      <family val="2"/>
      <scheme val="minor"/>
    </font>
    <font>
      <sz val="10"/>
      <color theme="0"/>
      <name val="Arial"/>
      <family val="2"/>
      <scheme val="minor"/>
    </font>
    <font>
      <sz val="10"/>
      <color theme="1"/>
      <name val="Arial"/>
      <family val="2"/>
    </font>
    <font>
      <sz val="8"/>
      <color theme="1"/>
      <name val="Arial"/>
      <family val="2"/>
      <scheme val="minor"/>
    </font>
    <font>
      <b/>
      <sz val="10"/>
      <color theme="1"/>
      <name val="Arial"/>
      <family val="2"/>
    </font>
    <font>
      <sz val="10"/>
      <color rgb="FF0000FF"/>
      <name val="Arial"/>
      <family val="2"/>
    </font>
    <font>
      <sz val="10"/>
      <color rgb="FF0000FF"/>
      <name val="Arial"/>
      <family val="2"/>
      <scheme val="minor"/>
    </font>
    <font>
      <i/>
      <sz val="10"/>
      <color theme="1"/>
      <name val="Arial"/>
      <family val="2"/>
      <scheme val="minor"/>
    </font>
    <font>
      <sz val="10"/>
      <color theme="1"/>
      <name val="Calibri"/>
      <family val="2"/>
    </font>
    <font>
      <i/>
      <sz val="10"/>
      <color theme="1"/>
      <name val="Arial"/>
      <family val="2"/>
    </font>
    <font>
      <sz val="7"/>
      <color theme="1"/>
      <name val="Arial"/>
      <family val="2"/>
      <scheme val="minor"/>
    </font>
    <font>
      <sz val="10"/>
      <color rgb="FF0000FF"/>
      <name val="Arial"/>
      <family val="2"/>
      <scheme val="minor"/>
    </font>
    <font>
      <sz val="10"/>
      <color theme="1"/>
      <name val="Arial"/>
      <family val="2"/>
      <scheme val="minor"/>
    </font>
    <font>
      <i/>
      <sz val="10"/>
      <color theme="1"/>
      <name val="Arial"/>
      <family val="2"/>
      <scheme val="minor"/>
    </font>
    <font>
      <u/>
      <sz val="10"/>
      <color rgb="FF0000FF"/>
      <name val="Arial"/>
      <family val="2"/>
    </font>
    <font>
      <b/>
      <sz val="14"/>
      <color theme="1"/>
      <name val="Arial"/>
      <family val="2"/>
    </font>
    <font>
      <sz val="10"/>
      <color rgb="FF666666"/>
      <name val="Arial"/>
      <family val="2"/>
    </font>
    <font>
      <u/>
      <sz val="10"/>
      <color rgb="FF0000FF"/>
      <name val="Arial"/>
      <family val="2"/>
    </font>
    <font>
      <u/>
      <sz val="10"/>
      <color rgb="FF1155CC"/>
      <name val="Arial"/>
      <family val="2"/>
    </font>
    <font>
      <u/>
      <sz val="10"/>
      <color rgb="FF1155CC"/>
      <name val="Arial"/>
      <family val="2"/>
    </font>
    <font>
      <u/>
      <sz val="10"/>
      <color rgb="FF1155CC"/>
      <name val="Arial"/>
      <family val="2"/>
    </font>
    <font>
      <u/>
      <sz val="10"/>
      <color rgb="FF0000FF"/>
      <name val="Arial"/>
      <family val="2"/>
    </font>
  </fonts>
  <fills count="6">
    <fill>
      <patternFill patternType="none"/>
    </fill>
    <fill>
      <patternFill patternType="gray125"/>
    </fill>
    <fill>
      <patternFill patternType="solid">
        <fgColor theme="7"/>
        <bgColor theme="7"/>
      </patternFill>
    </fill>
    <fill>
      <patternFill patternType="solid">
        <fgColor rgb="FFF3F3F3"/>
        <bgColor rgb="FFF3F3F3"/>
      </patternFill>
    </fill>
    <fill>
      <patternFill patternType="solid">
        <fgColor rgb="FFEFEFEF"/>
        <bgColor rgb="FFEFEFEF"/>
      </patternFill>
    </fill>
    <fill>
      <patternFill patternType="solid">
        <fgColor rgb="FFF2F2F2"/>
        <bgColor rgb="FFF2F2F2"/>
      </patternFill>
    </fill>
  </fills>
  <borders count="6">
    <border>
      <left/>
      <right/>
      <top/>
      <bottom/>
      <diagonal/>
    </border>
    <border>
      <left/>
      <right/>
      <top/>
      <bottom style="thin">
        <color rgb="FF000000"/>
      </bottom>
      <diagonal/>
    </border>
    <border>
      <left/>
      <right/>
      <top style="thin">
        <color rgb="FF000000"/>
      </top>
      <bottom/>
      <diagonal/>
    </border>
    <border>
      <left/>
      <right/>
      <top/>
      <bottom/>
      <diagonal/>
    </border>
    <border>
      <left/>
      <right/>
      <top/>
      <bottom style="thin">
        <color rgb="FF000000"/>
      </bottom>
      <diagonal/>
    </border>
    <border>
      <left/>
      <right/>
      <top/>
      <bottom/>
      <diagonal/>
    </border>
  </borders>
  <cellStyleXfs count="1">
    <xf numFmtId="0" fontId="0" fillId="0" borderId="0"/>
  </cellStyleXfs>
  <cellXfs count="130">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5" fillId="0" borderId="0" xfId="0" applyFont="1" applyAlignment="1">
      <alignment vertical="top"/>
    </xf>
    <xf numFmtId="0" fontId="5" fillId="0" borderId="0" xfId="0" applyFont="1"/>
    <xf numFmtId="0" fontId="8" fillId="0" borderId="0" xfId="0" applyFont="1" applyAlignment="1">
      <alignment wrapText="1"/>
    </xf>
    <xf numFmtId="0" fontId="9" fillId="0" borderId="0" xfId="0" applyFont="1" applyAlignment="1">
      <alignment wrapText="1"/>
    </xf>
    <xf numFmtId="0" fontId="10" fillId="0" borderId="0" xfId="0" applyFont="1" applyAlignment="1">
      <alignment wrapText="1"/>
    </xf>
    <xf numFmtId="164" fontId="5" fillId="0" borderId="0" xfId="0" applyNumberFormat="1" applyFont="1"/>
    <xf numFmtId="0" fontId="11" fillId="0" borderId="0" xfId="0" applyFont="1"/>
    <xf numFmtId="0" fontId="12" fillId="0" borderId="0" xfId="0" applyFont="1"/>
    <xf numFmtId="0" fontId="13" fillId="2" borderId="0" xfId="0" applyFont="1" applyFill="1"/>
    <xf numFmtId="0" fontId="14" fillId="2" borderId="0" xfId="0" applyFont="1" applyFill="1"/>
    <xf numFmtId="164" fontId="14" fillId="2" borderId="0" xfId="0" applyNumberFormat="1" applyFont="1" applyFill="1"/>
    <xf numFmtId="0" fontId="5" fillId="0" borderId="0" xfId="0" applyFont="1" applyAlignment="1">
      <alignment wrapText="1"/>
    </xf>
    <xf numFmtId="0" fontId="5" fillId="0" borderId="1" xfId="0" applyFont="1" applyBorder="1" applyAlignment="1">
      <alignment horizontal="left" wrapText="1"/>
    </xf>
    <xf numFmtId="0" fontId="5" fillId="0" borderId="1" xfId="0" applyFont="1" applyBorder="1" applyAlignment="1">
      <alignment horizontal="center" wrapText="1"/>
    </xf>
    <xf numFmtId="164" fontId="5" fillId="0" borderId="1" xfId="0" applyNumberFormat="1" applyFont="1" applyBorder="1" applyAlignment="1">
      <alignment horizontal="center" wrapText="1"/>
    </xf>
    <xf numFmtId="0" fontId="15" fillId="0" borderId="0" xfId="0" applyFont="1"/>
    <xf numFmtId="164" fontId="16" fillId="0" borderId="0" xfId="0" applyNumberFormat="1" applyFont="1" applyAlignment="1">
      <alignment horizontal="center" vertical="center"/>
    </xf>
    <xf numFmtId="164" fontId="16" fillId="0" borderId="0" xfId="0" applyNumberFormat="1" applyFont="1" applyAlignment="1">
      <alignment horizontal="left" vertical="center"/>
    </xf>
    <xf numFmtId="164" fontId="17" fillId="0" borderId="0" xfId="0" applyNumberFormat="1" applyFont="1" applyAlignment="1">
      <alignment horizontal="left"/>
    </xf>
    <xf numFmtId="164" fontId="15" fillId="0" borderId="0" xfId="0" applyNumberFormat="1" applyFont="1" applyAlignment="1">
      <alignment horizontal="right"/>
    </xf>
    <xf numFmtId="10" fontId="15" fillId="0" borderId="0" xfId="0" applyNumberFormat="1" applyFont="1" applyAlignment="1">
      <alignment horizontal="right"/>
    </xf>
    <xf numFmtId="164" fontId="18" fillId="3" borderId="0" xfId="0" applyNumberFormat="1" applyFont="1" applyFill="1" applyAlignment="1">
      <alignment horizontal="left"/>
    </xf>
    <xf numFmtId="164" fontId="18" fillId="3" borderId="0" xfId="0" applyNumberFormat="1" applyFont="1" applyFill="1" applyAlignment="1">
      <alignment horizontal="right"/>
    </xf>
    <xf numFmtId="164" fontId="19" fillId="3" borderId="0" xfId="0" applyNumberFormat="1" applyFont="1" applyFill="1"/>
    <xf numFmtId="164" fontId="15" fillId="0" borderId="0" xfId="0" applyNumberFormat="1" applyFont="1"/>
    <xf numFmtId="164" fontId="15" fillId="0" borderId="0" xfId="0" applyNumberFormat="1" applyFont="1" applyAlignment="1">
      <alignment horizontal="left"/>
    </xf>
    <xf numFmtId="10" fontId="5" fillId="0" borderId="0" xfId="0" applyNumberFormat="1" applyFont="1"/>
    <xf numFmtId="0" fontId="5" fillId="0" borderId="2" xfId="0" applyFont="1" applyBorder="1"/>
    <xf numFmtId="164" fontId="15" fillId="0" borderId="2" xfId="0" applyNumberFormat="1" applyFont="1" applyBorder="1" applyAlignment="1">
      <alignment horizontal="right"/>
    </xf>
    <xf numFmtId="10" fontId="5" fillId="0" borderId="2" xfId="0" applyNumberFormat="1" applyFont="1" applyBorder="1"/>
    <xf numFmtId="165" fontId="5" fillId="0" borderId="0" xfId="0" applyNumberFormat="1" applyFont="1"/>
    <xf numFmtId="4" fontId="5" fillId="0" borderId="0" xfId="0" applyNumberFormat="1" applyFont="1"/>
    <xf numFmtId="166" fontId="5" fillId="0" borderId="0" xfId="0" applyNumberFormat="1" applyFont="1"/>
    <xf numFmtId="4" fontId="20" fillId="0" borderId="1" xfId="0" applyNumberFormat="1" applyFont="1" applyBorder="1"/>
    <xf numFmtId="164" fontId="5" fillId="0" borderId="1" xfId="0" applyNumberFormat="1" applyFont="1" applyBorder="1"/>
    <xf numFmtId="0" fontId="5" fillId="0" borderId="1" xfId="0" applyFont="1" applyBorder="1"/>
    <xf numFmtId="164" fontId="19" fillId="3" borderId="0" xfId="0" applyNumberFormat="1" applyFont="1" applyFill="1" applyAlignment="1">
      <alignment horizontal="right"/>
    </xf>
    <xf numFmtId="167" fontId="19" fillId="3" borderId="0" xfId="0" applyNumberFormat="1" applyFont="1" applyFill="1"/>
    <xf numFmtId="0" fontId="20" fillId="0" borderId="0" xfId="0" applyFont="1"/>
    <xf numFmtId="0" fontId="20" fillId="0" borderId="1" xfId="0" applyFont="1" applyBorder="1"/>
    <xf numFmtId="0" fontId="15" fillId="0" borderId="3" xfId="0" applyFont="1" applyBorder="1"/>
    <xf numFmtId="0" fontId="21" fillId="0" borderId="0" xfId="0" applyFont="1"/>
    <xf numFmtId="164" fontId="19" fillId="3" borderId="0" xfId="0" applyNumberFormat="1" applyFont="1" applyFill="1" applyAlignment="1">
      <alignment horizontal="left"/>
    </xf>
    <xf numFmtId="0" fontId="5" fillId="0" borderId="0" xfId="0" applyFont="1" applyAlignment="1">
      <alignment horizontal="center" wrapText="1"/>
    </xf>
    <xf numFmtId="164" fontId="5" fillId="0" borderId="0" xfId="0" applyNumberFormat="1" applyFont="1" applyAlignment="1">
      <alignment horizontal="center" wrapText="1"/>
    </xf>
    <xf numFmtId="9" fontId="18" fillId="3" borderId="0" xfId="0" applyNumberFormat="1" applyFont="1" applyFill="1" applyAlignment="1">
      <alignment horizontal="right"/>
    </xf>
    <xf numFmtId="168" fontId="5" fillId="0" borderId="0" xfId="0" applyNumberFormat="1" applyFont="1"/>
    <xf numFmtId="169" fontId="15" fillId="0" borderId="0" xfId="0" applyNumberFormat="1" applyFont="1" applyAlignment="1">
      <alignment horizontal="right"/>
    </xf>
    <xf numFmtId="9" fontId="19" fillId="3" borderId="0" xfId="0" applyNumberFormat="1" applyFont="1" applyFill="1"/>
    <xf numFmtId="164" fontId="5" fillId="0" borderId="2" xfId="0" applyNumberFormat="1" applyFont="1" applyBorder="1"/>
    <xf numFmtId="168" fontId="5" fillId="0" borderId="2" xfId="0" applyNumberFormat="1" applyFont="1" applyBorder="1"/>
    <xf numFmtId="169" fontId="5" fillId="0" borderId="2" xfId="0" applyNumberFormat="1" applyFont="1" applyBorder="1"/>
    <xf numFmtId="0" fontId="22" fillId="0" borderId="4" xfId="0" applyFont="1" applyBorder="1"/>
    <xf numFmtId="0" fontId="21" fillId="0" borderId="1" xfId="0" applyFont="1" applyBorder="1"/>
    <xf numFmtId="3" fontId="21" fillId="0" borderId="1" xfId="0" applyNumberFormat="1" applyFont="1" applyBorder="1"/>
    <xf numFmtId="0" fontId="18" fillId="4" borderId="0" xfId="0" applyFont="1" applyFill="1" applyAlignment="1">
      <alignment horizontal="right"/>
    </xf>
    <xf numFmtId="3" fontId="15" fillId="0" borderId="3" xfId="0" applyNumberFormat="1" applyFont="1" applyBorder="1"/>
    <xf numFmtId="44" fontId="5" fillId="0" borderId="0" xfId="0" applyNumberFormat="1" applyFont="1"/>
    <xf numFmtId="44" fontId="1" fillId="0" borderId="0" xfId="0" applyNumberFormat="1" applyFont="1"/>
    <xf numFmtId="44" fontId="12" fillId="0" borderId="0" xfId="0" applyNumberFormat="1" applyFont="1"/>
    <xf numFmtId="44" fontId="22" fillId="0" borderId="0" xfId="0" applyNumberFormat="1" applyFont="1"/>
    <xf numFmtId="0" fontId="15" fillId="0" borderId="0" xfId="0" applyFont="1" applyAlignment="1">
      <alignment horizontal="right"/>
    </xf>
    <xf numFmtId="44" fontId="15" fillId="0" borderId="0" xfId="0" applyNumberFormat="1" applyFont="1"/>
    <xf numFmtId="44" fontId="15" fillId="0" borderId="1" xfId="0" applyNumberFormat="1" applyFont="1" applyBorder="1" applyAlignment="1">
      <alignment wrapText="1"/>
    </xf>
    <xf numFmtId="0" fontId="15" fillId="0" borderId="1" xfId="0" applyFont="1" applyBorder="1"/>
    <xf numFmtId="0" fontId="5" fillId="0" borderId="1" xfId="0" applyFont="1" applyBorder="1" applyAlignment="1">
      <alignment horizontal="left"/>
    </xf>
    <xf numFmtId="0" fontId="15" fillId="0" borderId="1" xfId="0" applyFont="1" applyBorder="1" applyAlignment="1">
      <alignment horizontal="right" wrapText="1"/>
    </xf>
    <xf numFmtId="0" fontId="15" fillId="0" borderId="1" xfId="0" applyFont="1" applyBorder="1" applyAlignment="1">
      <alignment horizontal="center" wrapText="1"/>
    </xf>
    <xf numFmtId="0" fontId="15" fillId="0" borderId="1" xfId="0" applyFont="1" applyBorder="1" applyAlignment="1">
      <alignment horizontal="left" wrapText="1"/>
    </xf>
    <xf numFmtId="0" fontId="16" fillId="0" borderId="0" xfId="0" applyFont="1" applyAlignment="1">
      <alignment horizontal="center" vertical="top"/>
    </xf>
    <xf numFmtId="0" fontId="23" fillId="0" borderId="0" xfId="0" applyFont="1" applyAlignment="1">
      <alignment horizontal="center" vertical="top"/>
    </xf>
    <xf numFmtId="44" fontId="24" fillId="5" borderId="5" xfId="0" applyNumberFormat="1" applyFont="1" applyFill="1" applyBorder="1"/>
    <xf numFmtId="164" fontId="24" fillId="5" borderId="5" xfId="0" applyNumberFormat="1" applyFont="1" applyFill="1" applyBorder="1"/>
    <xf numFmtId="169" fontId="24" fillId="5" borderId="5" xfId="0" applyNumberFormat="1" applyFont="1" applyFill="1" applyBorder="1"/>
    <xf numFmtId="170" fontId="5" fillId="0" borderId="0" xfId="0" applyNumberFormat="1" applyFont="1"/>
    <xf numFmtId="4" fontId="24" fillId="5" borderId="0" xfId="0" applyNumberFormat="1" applyFont="1" applyFill="1"/>
    <xf numFmtId="171" fontId="24" fillId="5" borderId="5" xfId="0" applyNumberFormat="1" applyFont="1" applyFill="1" applyBorder="1" applyAlignment="1">
      <alignment horizontal="left"/>
    </xf>
    <xf numFmtId="171" fontId="24" fillId="5" borderId="5" xfId="0" applyNumberFormat="1" applyFont="1" applyFill="1" applyBorder="1"/>
    <xf numFmtId="170" fontId="24" fillId="5" borderId="5" xfId="0" applyNumberFormat="1" applyFont="1" applyFill="1" applyBorder="1"/>
    <xf numFmtId="14" fontId="24" fillId="5" borderId="5" xfId="0" applyNumberFormat="1" applyFont="1" applyFill="1" applyBorder="1" applyAlignment="1">
      <alignment horizontal="right"/>
    </xf>
    <xf numFmtId="44" fontId="5" fillId="0" borderId="2" xfId="0" applyNumberFormat="1" applyFont="1" applyBorder="1"/>
    <xf numFmtId="172" fontId="5" fillId="0" borderId="2" xfId="0" applyNumberFormat="1" applyFont="1" applyBorder="1" applyAlignment="1">
      <alignment horizontal="left" wrapText="1"/>
    </xf>
    <xf numFmtId="170" fontId="5" fillId="0" borderId="2" xfId="0" applyNumberFormat="1" applyFont="1" applyBorder="1"/>
    <xf numFmtId="173" fontId="15" fillId="0" borderId="0" xfId="0" applyNumberFormat="1" applyFont="1"/>
    <xf numFmtId="172" fontId="19" fillId="3" borderId="0" xfId="0" applyNumberFormat="1" applyFont="1" applyFill="1" applyAlignment="1">
      <alignment horizontal="left" wrapText="1"/>
    </xf>
    <xf numFmtId="172" fontId="5" fillId="0" borderId="0" xfId="0" applyNumberFormat="1" applyFont="1" applyAlignment="1">
      <alignment horizontal="left" wrapText="1"/>
    </xf>
    <xf numFmtId="172" fontId="5" fillId="0" borderId="2" xfId="0" applyNumberFormat="1" applyFont="1" applyBorder="1"/>
    <xf numFmtId="173" fontId="25" fillId="0" borderId="0" xfId="0" applyNumberFormat="1" applyFont="1"/>
    <xf numFmtId="173" fontId="26" fillId="0" borderId="0" xfId="0" applyNumberFormat="1" applyFont="1"/>
    <xf numFmtId="172" fontId="5" fillId="0" borderId="0" xfId="0" applyNumberFormat="1" applyFont="1" applyAlignment="1">
      <alignment horizontal="left"/>
    </xf>
    <xf numFmtId="0" fontId="27" fillId="0" borderId="0" xfId="0" applyFont="1"/>
    <xf numFmtId="172" fontId="15" fillId="0" borderId="0" xfId="0" applyNumberFormat="1" applyFont="1"/>
    <xf numFmtId="172" fontId="13" fillId="0" borderId="0" xfId="0" applyNumberFormat="1" applyFont="1"/>
    <xf numFmtId="173" fontId="13" fillId="0" borderId="0" xfId="0" applyNumberFormat="1" applyFont="1"/>
    <xf numFmtId="2" fontId="5" fillId="0" borderId="0" xfId="0" applyNumberFormat="1" applyFont="1"/>
    <xf numFmtId="172" fontId="13" fillId="0" borderId="0" xfId="0" applyNumberFormat="1" applyFont="1" applyAlignment="1">
      <alignment horizontal="left" wrapText="1"/>
    </xf>
    <xf numFmtId="10" fontId="19" fillId="3" borderId="0" xfId="0" applyNumberFormat="1" applyFont="1" applyFill="1" applyAlignment="1">
      <alignment horizontal="right" wrapText="1"/>
    </xf>
    <xf numFmtId="44" fontId="20" fillId="0" borderId="0" xfId="0" applyNumberFormat="1" applyFont="1"/>
    <xf numFmtId="10" fontId="5" fillId="0" borderId="0" xfId="0" applyNumberFormat="1" applyFont="1" applyAlignment="1">
      <alignment horizontal="right" wrapText="1"/>
    </xf>
    <xf numFmtId="172" fontId="5" fillId="0" borderId="0" xfId="0" applyNumberFormat="1" applyFont="1" applyAlignment="1">
      <alignment horizontal="right" wrapText="1"/>
    </xf>
    <xf numFmtId="0" fontId="5" fillId="0" borderId="0" xfId="0" applyFont="1" applyAlignment="1">
      <alignment horizontal="right"/>
    </xf>
    <xf numFmtId="169" fontId="18" fillId="3" borderId="0" xfId="0" applyNumberFormat="1" applyFont="1" applyFill="1" applyAlignment="1">
      <alignment horizontal="right"/>
    </xf>
    <xf numFmtId="169" fontId="15" fillId="0" borderId="2" xfId="0" applyNumberFormat="1" applyFont="1" applyBorder="1" applyAlignment="1">
      <alignment horizontal="right"/>
    </xf>
    <xf numFmtId="10" fontId="18" fillId="4" borderId="0" xfId="0" applyNumberFormat="1" applyFont="1" applyFill="1" applyAlignment="1">
      <alignment horizontal="right"/>
    </xf>
    <xf numFmtId="0" fontId="22" fillId="0" borderId="1" xfId="0" applyFont="1" applyBorder="1"/>
    <xf numFmtId="169" fontId="18" fillId="3" borderId="0" xfId="0" applyNumberFormat="1" applyFont="1" applyFill="1" applyAlignment="1">
      <alignment horizontal="left"/>
    </xf>
    <xf numFmtId="174" fontId="5" fillId="0" borderId="0" xfId="0" applyNumberFormat="1" applyFont="1"/>
    <xf numFmtId="0" fontId="28" fillId="0" borderId="0" xfId="0" applyFont="1"/>
    <xf numFmtId="0" fontId="29" fillId="0" borderId="3" xfId="0" applyFont="1" applyBorder="1"/>
    <xf numFmtId="0" fontId="15" fillId="0" borderId="0" xfId="0" applyFont="1" applyAlignment="1">
      <alignment vertical="top" wrapText="1"/>
    </xf>
    <xf numFmtId="0" fontId="30" fillId="0" borderId="0" xfId="0" applyFont="1" applyAlignment="1">
      <alignment vertical="top"/>
    </xf>
    <xf numFmtId="0" fontId="31" fillId="0" borderId="0" xfId="0" applyFont="1" applyAlignment="1">
      <alignment vertical="top"/>
    </xf>
    <xf numFmtId="0" fontId="32" fillId="0" borderId="0" xfId="0" applyFont="1" applyAlignment="1">
      <alignment vertical="top"/>
    </xf>
    <xf numFmtId="0" fontId="33" fillId="0" borderId="0" xfId="0" applyFont="1" applyAlignment="1">
      <alignment vertical="top"/>
    </xf>
    <xf numFmtId="0" fontId="34" fillId="0" borderId="0" xfId="0" applyFont="1" applyAlignment="1">
      <alignment vertical="top" wrapText="1"/>
    </xf>
    <xf numFmtId="0" fontId="5" fillId="0" borderId="0" xfId="0" applyFont="1" applyAlignment="1">
      <alignment horizontal="left"/>
    </xf>
    <xf numFmtId="0" fontId="5" fillId="0" borderId="0" xfId="0" applyFont="1" applyAlignment="1">
      <alignment horizontal="left" vertical="top" wrapText="1"/>
    </xf>
    <xf numFmtId="0" fontId="15" fillId="3" borderId="0" xfId="0" applyFont="1" applyFill="1" applyAlignment="1">
      <alignment vertical="top" wrapText="1"/>
    </xf>
    <xf numFmtId="167" fontId="15" fillId="3" borderId="0" xfId="0" applyNumberFormat="1" applyFont="1" applyFill="1" applyAlignment="1">
      <alignment horizontal="left" vertical="top" wrapText="1"/>
    </xf>
    <xf numFmtId="167" fontId="5" fillId="0" borderId="0" xfId="0" applyNumberFormat="1" applyFont="1" applyAlignment="1">
      <alignment horizontal="left" vertical="top" wrapText="1"/>
    </xf>
    <xf numFmtId="164" fontId="19" fillId="3" borderId="0" xfId="0" applyNumberFormat="1" applyFont="1" applyFill="1" applyAlignment="1">
      <alignment horizontal="right"/>
      <extLst>
        <ext xmlns:xfpb="http://schemas.microsoft.com/office/spreadsheetml/2022/featurepropertybag" uri="{C7286773-470A-42A8-94C5-96B5CB345126}">
          <xfpb:xfComplement i="0"/>
        </ext>
      </extLst>
    </xf>
  </cellXfs>
  <cellStyles count="1">
    <cellStyle name="Normal" xfId="0" builtinId="0"/>
  </cellStyles>
  <dxfs count="15">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D0E0E3"/>
          <bgColor rgb="FFD0E0E3"/>
        </patternFill>
      </fill>
    </dxf>
    <dxf>
      <fill>
        <patternFill patternType="solid">
          <fgColor rgb="FFFFFFFF"/>
          <bgColor rgb="FFFFFFFF"/>
        </patternFill>
      </fill>
    </dxf>
    <dxf>
      <fill>
        <patternFill patternType="solid">
          <fgColor rgb="FFD0E0E3"/>
          <bgColor rgb="FFD0E0E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s>
  <tableStyles count="5">
    <tableStyle name="README-style" pivot="0" count="3" xr9:uid="{00000000-0011-0000-FFFF-FFFF00000000}">
      <tableStyleElement type="headerRow" dxfId="14"/>
      <tableStyleElement type="firstRowStripe" dxfId="13"/>
      <tableStyleElement type="secondRowStripe" dxfId="12"/>
    </tableStyle>
    <tableStyle name="README-style 2" pivot="0" count="3" xr9:uid="{00000000-0011-0000-FFFF-FFFF01000000}">
      <tableStyleElement type="headerRow" dxfId="11"/>
      <tableStyleElement type="firstRowStripe" dxfId="10"/>
      <tableStyleElement type="secondRowStripe" dxfId="9"/>
    </tableStyle>
    <tableStyle name="Resources-style" pivot="0" count="3" xr9:uid="{00000000-0011-0000-FFFF-FFFF02000000}">
      <tableStyleElement type="headerRow" dxfId="8"/>
      <tableStyleElement type="firstRowStripe" dxfId="7"/>
      <tableStyleElement type="secondRowStripe" dxfId="6"/>
    </tableStyle>
    <tableStyle name="Glossary-style" pivot="0" count="3" xr9:uid="{00000000-0011-0000-FFFF-FFFF03000000}">
      <tableStyleElement type="headerRow" dxfId="5"/>
      <tableStyleElement type="firstRowStripe" dxfId="4"/>
      <tableStyleElement type="secondRowStripe" dxfId="3"/>
    </tableStyle>
    <tableStyle name="Changelog-style" pivot="0" count="3" xr9:uid="{00000000-0011-0000-FFFF-FFFF04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Proceeds</a:t>
            </a:r>
          </a:p>
        </c:rich>
      </c:tx>
      <c:overlay val="0"/>
    </c:title>
    <c:autoTitleDeleted val="0"/>
    <c:plotArea>
      <c:layout/>
      <c:barChart>
        <c:barDir val="col"/>
        <c:grouping val="percentStacked"/>
        <c:varyColors val="1"/>
        <c:ser>
          <c:idx val="0"/>
          <c:order val="0"/>
          <c:tx>
            <c:strRef>
              <c:f>'Exit Waterfall'!$B$141</c:f>
              <c:strCache>
                <c:ptCount val="1"/>
                <c:pt idx="0">
                  <c:v> Series J </c:v>
                </c:pt>
              </c:strCache>
            </c:strRef>
          </c:tx>
          <c:spPr>
            <a:solidFill>
              <a:srgbClr val="4285F4"/>
            </a:solidFill>
            <a:ln cmpd="sng">
              <a:solidFill>
                <a:srgbClr val="000000"/>
              </a:solidFill>
            </a:ln>
          </c:spPr>
          <c:invertIfNegative val="1"/>
          <c:cat>
            <c:numRef>
              <c:f>'Exit Waterfall'!$C$140:$J$140</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Waterfall'!$C$141:$J$141</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768-8A47-B5E2-BFC3B1EA38DB}"/>
            </c:ext>
          </c:extLst>
        </c:ser>
        <c:ser>
          <c:idx val="1"/>
          <c:order val="1"/>
          <c:tx>
            <c:strRef>
              <c:f>'Exit Waterfall'!$B$142</c:f>
              <c:strCache>
                <c:ptCount val="1"/>
                <c:pt idx="0">
                  <c:v> Series I </c:v>
                </c:pt>
              </c:strCache>
            </c:strRef>
          </c:tx>
          <c:spPr>
            <a:solidFill>
              <a:srgbClr val="EA4335"/>
            </a:solidFill>
            <a:ln cmpd="sng">
              <a:solidFill>
                <a:srgbClr val="000000"/>
              </a:solidFill>
            </a:ln>
          </c:spPr>
          <c:invertIfNegative val="1"/>
          <c:cat>
            <c:numRef>
              <c:f>'Exit Waterfall'!$C$140:$J$140</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Waterfall'!$C$142:$J$142</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2768-8A47-B5E2-BFC3B1EA38DB}"/>
            </c:ext>
          </c:extLst>
        </c:ser>
        <c:ser>
          <c:idx val="2"/>
          <c:order val="2"/>
          <c:tx>
            <c:strRef>
              <c:f>'Exit Waterfall'!$B$143</c:f>
              <c:strCache>
                <c:ptCount val="1"/>
                <c:pt idx="0">
                  <c:v> Series H </c:v>
                </c:pt>
              </c:strCache>
            </c:strRef>
          </c:tx>
          <c:spPr>
            <a:solidFill>
              <a:srgbClr val="FBBC04"/>
            </a:solidFill>
            <a:ln cmpd="sng">
              <a:solidFill>
                <a:srgbClr val="000000"/>
              </a:solidFill>
            </a:ln>
          </c:spPr>
          <c:invertIfNegative val="1"/>
          <c:cat>
            <c:numRef>
              <c:f>'Exit Waterfall'!$C$140:$J$140</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Waterfall'!$C$143:$J$143</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2768-8A47-B5E2-BFC3B1EA38DB}"/>
            </c:ext>
          </c:extLst>
        </c:ser>
        <c:ser>
          <c:idx val="3"/>
          <c:order val="3"/>
          <c:tx>
            <c:strRef>
              <c:f>'Exit Waterfall'!$B$144</c:f>
              <c:strCache>
                <c:ptCount val="1"/>
                <c:pt idx="0">
                  <c:v> Series G </c:v>
                </c:pt>
              </c:strCache>
            </c:strRef>
          </c:tx>
          <c:spPr>
            <a:solidFill>
              <a:srgbClr val="34A853"/>
            </a:solidFill>
            <a:ln cmpd="sng">
              <a:solidFill>
                <a:srgbClr val="000000"/>
              </a:solidFill>
            </a:ln>
          </c:spPr>
          <c:invertIfNegative val="1"/>
          <c:cat>
            <c:numRef>
              <c:f>'Exit Waterfall'!$C$140:$J$140</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Waterfall'!$C$144:$J$144</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2768-8A47-B5E2-BFC3B1EA38DB}"/>
            </c:ext>
          </c:extLst>
        </c:ser>
        <c:ser>
          <c:idx val="4"/>
          <c:order val="4"/>
          <c:tx>
            <c:strRef>
              <c:f>'Exit Waterfall'!$B$145</c:f>
              <c:strCache>
                <c:ptCount val="1"/>
                <c:pt idx="0">
                  <c:v> Series F </c:v>
                </c:pt>
              </c:strCache>
            </c:strRef>
          </c:tx>
          <c:spPr>
            <a:solidFill>
              <a:srgbClr val="FF6D01"/>
            </a:solidFill>
            <a:ln cmpd="sng">
              <a:solidFill>
                <a:srgbClr val="000000"/>
              </a:solidFill>
            </a:ln>
          </c:spPr>
          <c:invertIfNegative val="1"/>
          <c:cat>
            <c:numRef>
              <c:f>'Exit Waterfall'!$C$140:$J$140</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Waterfall'!$C$145:$J$145</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2768-8A47-B5E2-BFC3B1EA38DB}"/>
            </c:ext>
          </c:extLst>
        </c:ser>
        <c:ser>
          <c:idx val="5"/>
          <c:order val="5"/>
          <c:tx>
            <c:strRef>
              <c:f>'Exit Waterfall'!$B$146</c:f>
              <c:strCache>
                <c:ptCount val="1"/>
                <c:pt idx="0">
                  <c:v> Series E </c:v>
                </c:pt>
              </c:strCache>
            </c:strRef>
          </c:tx>
          <c:spPr>
            <a:solidFill>
              <a:srgbClr val="46BDC6"/>
            </a:solidFill>
            <a:ln cmpd="sng">
              <a:solidFill>
                <a:srgbClr val="000000"/>
              </a:solidFill>
            </a:ln>
          </c:spPr>
          <c:invertIfNegative val="1"/>
          <c:cat>
            <c:numRef>
              <c:f>'Exit Waterfall'!$C$140:$J$140</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Waterfall'!$C$146:$J$146</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2768-8A47-B5E2-BFC3B1EA38DB}"/>
            </c:ext>
          </c:extLst>
        </c:ser>
        <c:ser>
          <c:idx val="6"/>
          <c:order val="6"/>
          <c:tx>
            <c:strRef>
              <c:f>'Exit Waterfall'!$B$147</c:f>
              <c:strCache>
                <c:ptCount val="1"/>
                <c:pt idx="0">
                  <c:v> Series D </c:v>
                </c:pt>
              </c:strCache>
            </c:strRef>
          </c:tx>
          <c:spPr>
            <a:solidFill>
              <a:srgbClr val="D3E2FC"/>
            </a:solidFill>
            <a:ln cmpd="sng">
              <a:solidFill>
                <a:srgbClr val="000000"/>
              </a:solidFill>
            </a:ln>
          </c:spPr>
          <c:invertIfNegative val="1"/>
          <c:cat>
            <c:numRef>
              <c:f>'Exit Waterfall'!$C$140:$J$140</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Waterfall'!$C$147:$J$147</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2768-8A47-B5E2-BFC3B1EA38DB}"/>
            </c:ext>
          </c:extLst>
        </c:ser>
        <c:ser>
          <c:idx val="7"/>
          <c:order val="7"/>
          <c:tx>
            <c:strRef>
              <c:f>'Exit Waterfall'!$B$148</c:f>
              <c:strCache>
                <c:ptCount val="1"/>
                <c:pt idx="0">
                  <c:v> Series C </c:v>
                </c:pt>
              </c:strCache>
            </c:strRef>
          </c:tx>
          <c:spPr>
            <a:solidFill>
              <a:srgbClr val="F8C4C0"/>
            </a:solidFill>
            <a:ln cmpd="sng">
              <a:solidFill>
                <a:srgbClr val="000000"/>
              </a:solidFill>
            </a:ln>
          </c:spPr>
          <c:invertIfNegative val="1"/>
          <c:cat>
            <c:numRef>
              <c:f>'Exit Waterfall'!$C$140:$J$140</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Waterfall'!$C$148:$J$148</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2768-8A47-B5E2-BFC3B1EA38DB}"/>
            </c:ext>
          </c:extLst>
        </c:ser>
        <c:ser>
          <c:idx val="8"/>
          <c:order val="8"/>
          <c:tx>
            <c:strRef>
              <c:f>'Exit Waterfall'!$B$149</c:f>
              <c:strCache>
                <c:ptCount val="1"/>
                <c:pt idx="0">
                  <c:v> Series B </c:v>
                </c:pt>
              </c:strCache>
            </c:strRef>
          </c:tx>
          <c:spPr>
            <a:solidFill>
              <a:srgbClr val="FDE49B"/>
            </a:solidFill>
            <a:ln cmpd="sng">
              <a:solidFill>
                <a:srgbClr val="000000"/>
              </a:solidFill>
            </a:ln>
          </c:spPr>
          <c:invertIfNegative val="1"/>
          <c:cat>
            <c:numRef>
              <c:f>'Exit Waterfall'!$C$140:$J$140</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Waterfall'!$C$149:$J$149</c:f>
              <c:numCache>
                <c:formatCode>_(* #,##0_);_(* \(#,##0\);_(* "-"??_);_(@_)</c:formatCode>
                <c:ptCount val="8"/>
                <c:pt idx="1">
                  <c:v>2000000</c:v>
                </c:pt>
                <c:pt idx="2">
                  <c:v>2000000</c:v>
                </c:pt>
                <c:pt idx="3">
                  <c:v>2000000</c:v>
                </c:pt>
                <c:pt idx="4">
                  <c:v>2000000</c:v>
                </c:pt>
                <c:pt idx="5">
                  <c:v>2000000</c:v>
                </c:pt>
                <c:pt idx="6">
                  <c:v>2000000</c:v>
                </c:pt>
                <c:pt idx="7">
                  <c:v>2000000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2768-8A47-B5E2-BFC3B1EA38DB}"/>
            </c:ext>
          </c:extLst>
        </c:ser>
        <c:ser>
          <c:idx val="9"/>
          <c:order val="9"/>
          <c:tx>
            <c:strRef>
              <c:f>'Exit Waterfall'!$B$150</c:f>
              <c:strCache>
                <c:ptCount val="1"/>
                <c:pt idx="0">
                  <c:v> Series A </c:v>
                </c:pt>
              </c:strCache>
            </c:strRef>
          </c:tx>
          <c:spPr>
            <a:solidFill>
              <a:srgbClr val="96DFAA"/>
            </a:solidFill>
            <a:ln cmpd="sng">
              <a:solidFill>
                <a:srgbClr val="000000"/>
              </a:solidFill>
            </a:ln>
          </c:spPr>
          <c:invertIfNegative val="1"/>
          <c:cat>
            <c:numRef>
              <c:f>'Exit Waterfall'!$C$140:$J$140</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Waterfall'!$C$150:$J$150</c:f>
              <c:numCache>
                <c:formatCode>_(* #,##0_);_(* \(#,##0\);_(* "-"??_);_(@_)</c:formatCode>
                <c:ptCount val="8"/>
                <c:pt idx="1">
                  <c:v>0</c:v>
                </c:pt>
                <c:pt idx="2">
                  <c:v>1000000</c:v>
                </c:pt>
                <c:pt idx="3">
                  <c:v>1000000</c:v>
                </c:pt>
                <c:pt idx="4">
                  <c:v>1000000</c:v>
                </c:pt>
                <c:pt idx="5">
                  <c:v>1000000</c:v>
                </c:pt>
                <c:pt idx="6">
                  <c:v>1000000</c:v>
                </c:pt>
                <c:pt idx="7">
                  <c:v>1000000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2768-8A47-B5E2-BFC3B1EA38DB}"/>
            </c:ext>
          </c:extLst>
        </c:ser>
        <c:ser>
          <c:idx val="10"/>
          <c:order val="10"/>
          <c:tx>
            <c:strRef>
              <c:f>'Exit Waterfall'!$B$151</c:f>
              <c:strCache>
                <c:ptCount val="1"/>
                <c:pt idx="0">
                  <c:v> Seed </c:v>
                </c:pt>
              </c:strCache>
            </c:strRef>
          </c:tx>
          <c:spPr>
            <a:solidFill>
              <a:srgbClr val="FFC59A"/>
            </a:solidFill>
            <a:ln cmpd="sng">
              <a:solidFill>
                <a:srgbClr val="000000"/>
              </a:solidFill>
            </a:ln>
          </c:spPr>
          <c:invertIfNegative val="1"/>
          <c:cat>
            <c:numRef>
              <c:f>'Exit Waterfall'!$C$140:$J$140</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Waterfall'!$C$151:$J$151</c:f>
              <c:numCache>
                <c:formatCode>_(* #,##0_);_(* \(#,##0\);_(* "-"??_);_(@_)</c:formatCode>
                <c:ptCount val="8"/>
                <c:pt idx="1">
                  <c:v>0</c:v>
                </c:pt>
                <c:pt idx="2">
                  <c:v>0</c:v>
                </c:pt>
                <c:pt idx="3">
                  <c:v>500000</c:v>
                </c:pt>
                <c:pt idx="4">
                  <c:v>500000</c:v>
                </c:pt>
                <c:pt idx="5">
                  <c:v>500000</c:v>
                </c:pt>
                <c:pt idx="6">
                  <c:v>500000</c:v>
                </c:pt>
                <c:pt idx="7">
                  <c:v>500000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2768-8A47-B5E2-BFC3B1EA38DB}"/>
            </c:ext>
          </c:extLst>
        </c:ser>
        <c:ser>
          <c:idx val="11"/>
          <c:order val="11"/>
          <c:tx>
            <c:strRef>
              <c:f>'Exit Waterfall'!$B$152</c:f>
              <c:strCache>
                <c:ptCount val="1"/>
                <c:pt idx="0">
                  <c:v> Common </c:v>
                </c:pt>
              </c:strCache>
            </c:strRef>
          </c:tx>
          <c:spPr>
            <a:solidFill>
              <a:srgbClr val="BBE7EA"/>
            </a:solidFill>
            <a:ln cmpd="sng">
              <a:solidFill>
                <a:srgbClr val="000000"/>
              </a:solidFill>
            </a:ln>
          </c:spPr>
          <c:invertIfNegative val="1"/>
          <c:cat>
            <c:numRef>
              <c:f>'Exit Waterfall'!$C$140:$J$140</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Waterfall'!$C$152:$J$152</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B-2768-8A47-B5E2-BFC3B1EA38DB}"/>
            </c:ext>
          </c:extLst>
        </c:ser>
        <c:ser>
          <c:idx val="12"/>
          <c:order val="12"/>
          <c:tx>
            <c:strRef>
              <c:f>'Exit Waterfall'!$B$153</c:f>
              <c:strCache>
                <c:ptCount val="1"/>
                <c:pt idx="0">
                  <c:v> Options </c:v>
                </c:pt>
              </c:strCache>
            </c:strRef>
          </c:tx>
          <c:spPr>
            <a:solidFill>
              <a:srgbClr val="FFFFFF"/>
            </a:solidFill>
            <a:ln cmpd="sng">
              <a:solidFill>
                <a:srgbClr val="000000"/>
              </a:solidFill>
            </a:ln>
          </c:spPr>
          <c:invertIfNegative val="1"/>
          <c:cat>
            <c:numRef>
              <c:f>'Exit Waterfall'!$C$140:$J$140</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Waterfall'!$C$153:$J$153</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C-2768-8A47-B5E2-BFC3B1EA38DB}"/>
            </c:ext>
          </c:extLst>
        </c:ser>
        <c:ser>
          <c:idx val="13"/>
          <c:order val="13"/>
          <c:tx>
            <c:strRef>
              <c:f>'Exit Waterfall'!$B$154</c:f>
              <c:strCache>
                <c:ptCount val="1"/>
                <c:pt idx="0">
                  <c:v> Options </c:v>
                </c:pt>
              </c:strCache>
            </c:strRef>
          </c:tx>
          <c:spPr>
            <a:solidFill>
              <a:srgbClr val="FFFFFF"/>
            </a:solidFill>
            <a:ln cmpd="sng">
              <a:solidFill>
                <a:srgbClr val="000000"/>
              </a:solidFill>
            </a:ln>
          </c:spPr>
          <c:invertIfNegative val="1"/>
          <c:cat>
            <c:numRef>
              <c:f>'Exit Waterfall'!$C$140:$J$140</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Waterfall'!$C$154:$J$154</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D-2768-8A47-B5E2-BFC3B1EA38DB}"/>
            </c:ext>
          </c:extLst>
        </c:ser>
        <c:ser>
          <c:idx val="14"/>
          <c:order val="14"/>
          <c:tx>
            <c:strRef>
              <c:f>'Exit Waterfall'!$B$155</c:f>
              <c:strCache>
                <c:ptCount val="1"/>
                <c:pt idx="0">
                  <c:v> Warrants </c:v>
                </c:pt>
              </c:strCache>
            </c:strRef>
          </c:tx>
          <c:spPr>
            <a:solidFill>
              <a:srgbClr val="FFFFFF"/>
            </a:solidFill>
            <a:ln cmpd="sng">
              <a:solidFill>
                <a:srgbClr val="000000"/>
              </a:solidFill>
            </a:ln>
          </c:spPr>
          <c:invertIfNegative val="1"/>
          <c:cat>
            <c:numRef>
              <c:f>'Exit Waterfall'!$C$140:$J$140</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Waterfall'!$C$155:$J$155</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E-2768-8A47-B5E2-BFC3B1EA38DB}"/>
            </c:ext>
          </c:extLst>
        </c:ser>
        <c:dLbls>
          <c:showLegendKey val="0"/>
          <c:showVal val="0"/>
          <c:showCatName val="0"/>
          <c:showSerName val="0"/>
          <c:showPercent val="0"/>
          <c:showBubbleSize val="0"/>
        </c:dLbls>
        <c:gapWidth val="150"/>
        <c:overlap val="100"/>
        <c:axId val="1773288693"/>
        <c:axId val="1477398482"/>
      </c:barChart>
      <c:catAx>
        <c:axId val="1773288693"/>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477398482"/>
        <c:crosses val="autoZero"/>
        <c:auto val="1"/>
        <c:lblAlgn val="ctr"/>
        <c:lblOffset val="100"/>
        <c:noMultiLvlLbl val="1"/>
      </c:catAx>
      <c:valAx>
        <c:axId val="14773984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773288693"/>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Proceeds</a:t>
            </a:r>
          </a:p>
        </c:rich>
      </c:tx>
      <c:overlay val="0"/>
    </c:title>
    <c:autoTitleDeleted val="0"/>
    <c:plotArea>
      <c:layout/>
      <c:barChart>
        <c:barDir val="col"/>
        <c:grouping val="stacked"/>
        <c:varyColors val="1"/>
        <c:ser>
          <c:idx val="0"/>
          <c:order val="0"/>
          <c:tx>
            <c:strRef>
              <c:f>'Exit Waterfall'!$B$141</c:f>
              <c:strCache>
                <c:ptCount val="1"/>
                <c:pt idx="0">
                  <c:v> Series J </c:v>
                </c:pt>
              </c:strCache>
            </c:strRef>
          </c:tx>
          <c:spPr>
            <a:solidFill>
              <a:srgbClr val="4285F4"/>
            </a:solidFill>
            <a:ln cmpd="sng">
              <a:solidFill>
                <a:srgbClr val="000000"/>
              </a:solidFill>
            </a:ln>
          </c:spPr>
          <c:invertIfNegative val="1"/>
          <c:cat>
            <c:numRef>
              <c:f>'Exit Waterfall'!$C$140:$J$140</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Waterfall'!$C$141:$J$141</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A8B-3445-A7A6-D515F92DF5B1}"/>
            </c:ext>
          </c:extLst>
        </c:ser>
        <c:ser>
          <c:idx val="1"/>
          <c:order val="1"/>
          <c:tx>
            <c:strRef>
              <c:f>'Exit Waterfall'!$B$142</c:f>
              <c:strCache>
                <c:ptCount val="1"/>
                <c:pt idx="0">
                  <c:v> Series I </c:v>
                </c:pt>
              </c:strCache>
            </c:strRef>
          </c:tx>
          <c:spPr>
            <a:solidFill>
              <a:srgbClr val="EA4335"/>
            </a:solidFill>
            <a:ln cmpd="sng">
              <a:solidFill>
                <a:srgbClr val="000000"/>
              </a:solidFill>
            </a:ln>
          </c:spPr>
          <c:invertIfNegative val="1"/>
          <c:cat>
            <c:numRef>
              <c:f>'Exit Waterfall'!$C$140:$J$140</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Waterfall'!$C$142:$J$142</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A8B-3445-A7A6-D515F92DF5B1}"/>
            </c:ext>
          </c:extLst>
        </c:ser>
        <c:ser>
          <c:idx val="2"/>
          <c:order val="2"/>
          <c:tx>
            <c:strRef>
              <c:f>'Exit Waterfall'!$B$143</c:f>
              <c:strCache>
                <c:ptCount val="1"/>
                <c:pt idx="0">
                  <c:v> Series H </c:v>
                </c:pt>
              </c:strCache>
            </c:strRef>
          </c:tx>
          <c:spPr>
            <a:solidFill>
              <a:srgbClr val="FBBC04"/>
            </a:solidFill>
            <a:ln cmpd="sng">
              <a:solidFill>
                <a:srgbClr val="000000"/>
              </a:solidFill>
            </a:ln>
          </c:spPr>
          <c:invertIfNegative val="1"/>
          <c:cat>
            <c:numRef>
              <c:f>'Exit Waterfall'!$C$140:$J$140</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Waterfall'!$C$143:$J$143</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A8B-3445-A7A6-D515F92DF5B1}"/>
            </c:ext>
          </c:extLst>
        </c:ser>
        <c:ser>
          <c:idx val="3"/>
          <c:order val="3"/>
          <c:tx>
            <c:strRef>
              <c:f>'Exit Waterfall'!$B$144</c:f>
              <c:strCache>
                <c:ptCount val="1"/>
                <c:pt idx="0">
                  <c:v> Series G </c:v>
                </c:pt>
              </c:strCache>
            </c:strRef>
          </c:tx>
          <c:spPr>
            <a:solidFill>
              <a:srgbClr val="34A853"/>
            </a:solidFill>
            <a:ln cmpd="sng">
              <a:solidFill>
                <a:srgbClr val="000000"/>
              </a:solidFill>
            </a:ln>
          </c:spPr>
          <c:invertIfNegative val="1"/>
          <c:cat>
            <c:numRef>
              <c:f>'Exit Waterfall'!$C$140:$J$140</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Waterfall'!$C$144:$J$144</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1A8B-3445-A7A6-D515F92DF5B1}"/>
            </c:ext>
          </c:extLst>
        </c:ser>
        <c:ser>
          <c:idx val="4"/>
          <c:order val="4"/>
          <c:tx>
            <c:strRef>
              <c:f>'Exit Waterfall'!$B$145</c:f>
              <c:strCache>
                <c:ptCount val="1"/>
                <c:pt idx="0">
                  <c:v> Series F </c:v>
                </c:pt>
              </c:strCache>
            </c:strRef>
          </c:tx>
          <c:spPr>
            <a:solidFill>
              <a:srgbClr val="FF6D01"/>
            </a:solidFill>
            <a:ln cmpd="sng">
              <a:solidFill>
                <a:srgbClr val="000000"/>
              </a:solidFill>
            </a:ln>
          </c:spPr>
          <c:invertIfNegative val="1"/>
          <c:cat>
            <c:numRef>
              <c:f>'Exit Waterfall'!$C$140:$J$140</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Waterfall'!$C$145:$J$145</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1A8B-3445-A7A6-D515F92DF5B1}"/>
            </c:ext>
          </c:extLst>
        </c:ser>
        <c:ser>
          <c:idx val="5"/>
          <c:order val="5"/>
          <c:tx>
            <c:strRef>
              <c:f>'Exit Waterfall'!$B$146</c:f>
              <c:strCache>
                <c:ptCount val="1"/>
                <c:pt idx="0">
                  <c:v> Series E </c:v>
                </c:pt>
              </c:strCache>
            </c:strRef>
          </c:tx>
          <c:spPr>
            <a:solidFill>
              <a:srgbClr val="46BDC6"/>
            </a:solidFill>
            <a:ln cmpd="sng">
              <a:solidFill>
                <a:srgbClr val="000000"/>
              </a:solidFill>
            </a:ln>
          </c:spPr>
          <c:invertIfNegative val="1"/>
          <c:cat>
            <c:numRef>
              <c:f>'Exit Waterfall'!$C$140:$J$140</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Waterfall'!$C$146:$J$146</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1A8B-3445-A7A6-D515F92DF5B1}"/>
            </c:ext>
          </c:extLst>
        </c:ser>
        <c:ser>
          <c:idx val="6"/>
          <c:order val="6"/>
          <c:tx>
            <c:strRef>
              <c:f>'Exit Waterfall'!$B$147</c:f>
              <c:strCache>
                <c:ptCount val="1"/>
                <c:pt idx="0">
                  <c:v> Series D </c:v>
                </c:pt>
              </c:strCache>
            </c:strRef>
          </c:tx>
          <c:spPr>
            <a:solidFill>
              <a:srgbClr val="D3E2FC"/>
            </a:solidFill>
            <a:ln cmpd="sng">
              <a:solidFill>
                <a:srgbClr val="000000"/>
              </a:solidFill>
            </a:ln>
          </c:spPr>
          <c:invertIfNegative val="1"/>
          <c:cat>
            <c:numRef>
              <c:f>'Exit Waterfall'!$C$140:$J$140</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Waterfall'!$C$147:$J$147</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1A8B-3445-A7A6-D515F92DF5B1}"/>
            </c:ext>
          </c:extLst>
        </c:ser>
        <c:ser>
          <c:idx val="7"/>
          <c:order val="7"/>
          <c:tx>
            <c:strRef>
              <c:f>'Exit Waterfall'!$B$148</c:f>
              <c:strCache>
                <c:ptCount val="1"/>
                <c:pt idx="0">
                  <c:v> Series C </c:v>
                </c:pt>
              </c:strCache>
            </c:strRef>
          </c:tx>
          <c:spPr>
            <a:solidFill>
              <a:srgbClr val="F8C4C0"/>
            </a:solidFill>
            <a:ln cmpd="sng">
              <a:solidFill>
                <a:srgbClr val="000000"/>
              </a:solidFill>
            </a:ln>
          </c:spPr>
          <c:invertIfNegative val="1"/>
          <c:cat>
            <c:numRef>
              <c:f>'Exit Waterfall'!$C$140:$J$140</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Waterfall'!$C$148:$J$148</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1A8B-3445-A7A6-D515F92DF5B1}"/>
            </c:ext>
          </c:extLst>
        </c:ser>
        <c:ser>
          <c:idx val="8"/>
          <c:order val="8"/>
          <c:tx>
            <c:strRef>
              <c:f>'Exit Waterfall'!$B$149</c:f>
              <c:strCache>
                <c:ptCount val="1"/>
                <c:pt idx="0">
                  <c:v> Series B </c:v>
                </c:pt>
              </c:strCache>
            </c:strRef>
          </c:tx>
          <c:spPr>
            <a:solidFill>
              <a:srgbClr val="FDE49B"/>
            </a:solidFill>
            <a:ln cmpd="sng">
              <a:solidFill>
                <a:srgbClr val="000000"/>
              </a:solidFill>
            </a:ln>
          </c:spPr>
          <c:invertIfNegative val="1"/>
          <c:cat>
            <c:numRef>
              <c:f>'Exit Waterfall'!$C$140:$J$140</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Waterfall'!$C$149:$J$149</c:f>
              <c:numCache>
                <c:formatCode>_(* #,##0_);_(* \(#,##0\);_(* "-"??_);_(@_)</c:formatCode>
                <c:ptCount val="8"/>
                <c:pt idx="1">
                  <c:v>2000000</c:v>
                </c:pt>
                <c:pt idx="2">
                  <c:v>2000000</c:v>
                </c:pt>
                <c:pt idx="3">
                  <c:v>2000000</c:v>
                </c:pt>
                <c:pt idx="4">
                  <c:v>2000000</c:v>
                </c:pt>
                <c:pt idx="5">
                  <c:v>2000000</c:v>
                </c:pt>
                <c:pt idx="6">
                  <c:v>2000000</c:v>
                </c:pt>
                <c:pt idx="7">
                  <c:v>2000000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1A8B-3445-A7A6-D515F92DF5B1}"/>
            </c:ext>
          </c:extLst>
        </c:ser>
        <c:ser>
          <c:idx val="9"/>
          <c:order val="9"/>
          <c:tx>
            <c:strRef>
              <c:f>'Exit Waterfall'!$B$150</c:f>
              <c:strCache>
                <c:ptCount val="1"/>
                <c:pt idx="0">
                  <c:v> Series A </c:v>
                </c:pt>
              </c:strCache>
            </c:strRef>
          </c:tx>
          <c:spPr>
            <a:solidFill>
              <a:srgbClr val="96DFAA"/>
            </a:solidFill>
            <a:ln cmpd="sng">
              <a:solidFill>
                <a:srgbClr val="000000"/>
              </a:solidFill>
            </a:ln>
          </c:spPr>
          <c:invertIfNegative val="1"/>
          <c:cat>
            <c:numRef>
              <c:f>'Exit Waterfall'!$C$140:$J$140</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Waterfall'!$C$150:$J$150</c:f>
              <c:numCache>
                <c:formatCode>_(* #,##0_);_(* \(#,##0\);_(* "-"??_);_(@_)</c:formatCode>
                <c:ptCount val="8"/>
                <c:pt idx="1">
                  <c:v>0</c:v>
                </c:pt>
                <c:pt idx="2">
                  <c:v>1000000</c:v>
                </c:pt>
                <c:pt idx="3">
                  <c:v>1000000</c:v>
                </c:pt>
                <c:pt idx="4">
                  <c:v>1000000</c:v>
                </c:pt>
                <c:pt idx="5">
                  <c:v>1000000</c:v>
                </c:pt>
                <c:pt idx="6">
                  <c:v>1000000</c:v>
                </c:pt>
                <c:pt idx="7">
                  <c:v>1000000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1A8B-3445-A7A6-D515F92DF5B1}"/>
            </c:ext>
          </c:extLst>
        </c:ser>
        <c:ser>
          <c:idx val="10"/>
          <c:order val="10"/>
          <c:tx>
            <c:strRef>
              <c:f>'Exit Waterfall'!$B$151</c:f>
              <c:strCache>
                <c:ptCount val="1"/>
                <c:pt idx="0">
                  <c:v> Seed </c:v>
                </c:pt>
              </c:strCache>
            </c:strRef>
          </c:tx>
          <c:spPr>
            <a:solidFill>
              <a:srgbClr val="FFC59A"/>
            </a:solidFill>
            <a:ln cmpd="sng">
              <a:solidFill>
                <a:srgbClr val="000000"/>
              </a:solidFill>
            </a:ln>
          </c:spPr>
          <c:invertIfNegative val="1"/>
          <c:cat>
            <c:numRef>
              <c:f>'Exit Waterfall'!$C$140:$J$140</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Waterfall'!$C$151:$J$151</c:f>
              <c:numCache>
                <c:formatCode>_(* #,##0_);_(* \(#,##0\);_(* "-"??_);_(@_)</c:formatCode>
                <c:ptCount val="8"/>
                <c:pt idx="1">
                  <c:v>0</c:v>
                </c:pt>
                <c:pt idx="2">
                  <c:v>0</c:v>
                </c:pt>
                <c:pt idx="3">
                  <c:v>500000</c:v>
                </c:pt>
                <c:pt idx="4">
                  <c:v>500000</c:v>
                </c:pt>
                <c:pt idx="5">
                  <c:v>500000</c:v>
                </c:pt>
                <c:pt idx="6">
                  <c:v>500000</c:v>
                </c:pt>
                <c:pt idx="7">
                  <c:v>500000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1A8B-3445-A7A6-D515F92DF5B1}"/>
            </c:ext>
          </c:extLst>
        </c:ser>
        <c:ser>
          <c:idx val="11"/>
          <c:order val="11"/>
          <c:tx>
            <c:strRef>
              <c:f>'Exit Waterfall'!$B$152</c:f>
              <c:strCache>
                <c:ptCount val="1"/>
                <c:pt idx="0">
                  <c:v> Common </c:v>
                </c:pt>
              </c:strCache>
            </c:strRef>
          </c:tx>
          <c:spPr>
            <a:solidFill>
              <a:srgbClr val="BBE7EA"/>
            </a:solidFill>
            <a:ln cmpd="sng">
              <a:solidFill>
                <a:srgbClr val="000000"/>
              </a:solidFill>
            </a:ln>
          </c:spPr>
          <c:invertIfNegative val="1"/>
          <c:cat>
            <c:numRef>
              <c:f>'Exit Waterfall'!$C$140:$J$140</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Waterfall'!$C$152:$J$152</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B-1A8B-3445-A7A6-D515F92DF5B1}"/>
            </c:ext>
          </c:extLst>
        </c:ser>
        <c:ser>
          <c:idx val="12"/>
          <c:order val="12"/>
          <c:tx>
            <c:strRef>
              <c:f>'Exit Waterfall'!$B$153</c:f>
              <c:strCache>
                <c:ptCount val="1"/>
                <c:pt idx="0">
                  <c:v> Options </c:v>
                </c:pt>
              </c:strCache>
            </c:strRef>
          </c:tx>
          <c:spPr>
            <a:solidFill>
              <a:srgbClr val="FFFFFF"/>
            </a:solidFill>
            <a:ln cmpd="sng">
              <a:solidFill>
                <a:srgbClr val="000000"/>
              </a:solidFill>
            </a:ln>
          </c:spPr>
          <c:invertIfNegative val="1"/>
          <c:cat>
            <c:numRef>
              <c:f>'Exit Waterfall'!$C$140:$J$140</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Waterfall'!$C$153:$J$153</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C-1A8B-3445-A7A6-D515F92DF5B1}"/>
            </c:ext>
          </c:extLst>
        </c:ser>
        <c:ser>
          <c:idx val="13"/>
          <c:order val="13"/>
          <c:tx>
            <c:strRef>
              <c:f>'Exit Waterfall'!$B$154</c:f>
              <c:strCache>
                <c:ptCount val="1"/>
                <c:pt idx="0">
                  <c:v> Options </c:v>
                </c:pt>
              </c:strCache>
            </c:strRef>
          </c:tx>
          <c:spPr>
            <a:solidFill>
              <a:srgbClr val="FFFFFF"/>
            </a:solidFill>
            <a:ln cmpd="sng">
              <a:solidFill>
                <a:srgbClr val="000000"/>
              </a:solidFill>
            </a:ln>
          </c:spPr>
          <c:invertIfNegative val="1"/>
          <c:cat>
            <c:numRef>
              <c:f>'Exit Waterfall'!$C$140:$J$140</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Waterfall'!$C$154:$J$154</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D-1A8B-3445-A7A6-D515F92DF5B1}"/>
            </c:ext>
          </c:extLst>
        </c:ser>
        <c:ser>
          <c:idx val="14"/>
          <c:order val="14"/>
          <c:tx>
            <c:strRef>
              <c:f>'Exit Waterfall'!$B$155</c:f>
              <c:strCache>
                <c:ptCount val="1"/>
                <c:pt idx="0">
                  <c:v> Warrants </c:v>
                </c:pt>
              </c:strCache>
            </c:strRef>
          </c:tx>
          <c:spPr>
            <a:solidFill>
              <a:srgbClr val="FFFFFF"/>
            </a:solidFill>
            <a:ln cmpd="sng">
              <a:solidFill>
                <a:srgbClr val="000000"/>
              </a:solidFill>
            </a:ln>
          </c:spPr>
          <c:invertIfNegative val="1"/>
          <c:cat>
            <c:numRef>
              <c:f>'Exit Waterfall'!$C$140:$J$140</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Waterfall'!$C$155:$J$155</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E-1A8B-3445-A7A6-D515F92DF5B1}"/>
            </c:ext>
          </c:extLst>
        </c:ser>
        <c:dLbls>
          <c:showLegendKey val="0"/>
          <c:showVal val="0"/>
          <c:showCatName val="0"/>
          <c:showSerName val="0"/>
          <c:showPercent val="0"/>
          <c:showBubbleSize val="0"/>
        </c:dLbls>
        <c:gapWidth val="150"/>
        <c:overlap val="100"/>
        <c:axId val="448565646"/>
        <c:axId val="520323447"/>
      </c:barChart>
      <c:catAx>
        <c:axId val="448565646"/>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520323447"/>
        <c:crosses val="autoZero"/>
        <c:auto val="1"/>
        <c:lblAlgn val="ctr"/>
        <c:lblOffset val="100"/>
        <c:noMultiLvlLbl val="1"/>
      </c:catAx>
      <c:valAx>
        <c:axId val="5203234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448565646"/>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Distribution of Proceeds to Liquidation Preferences v. Common</a:t>
            </a:r>
          </a:p>
        </c:rich>
      </c:tx>
      <c:overlay val="0"/>
    </c:title>
    <c:autoTitleDeleted val="0"/>
    <c:plotArea>
      <c:layout/>
      <c:barChart>
        <c:barDir val="col"/>
        <c:grouping val="percentStacked"/>
        <c:varyColors val="1"/>
        <c:ser>
          <c:idx val="0"/>
          <c:order val="0"/>
          <c:tx>
            <c:strRef>
              <c:f>'Exit Waterfall'!$C$119</c:f>
              <c:strCache>
                <c:ptCount val="1"/>
                <c:pt idx="0">
                  <c:v> Distributions to Liquidation Preferences </c:v>
                </c:pt>
              </c:strCache>
            </c:strRef>
          </c:tx>
          <c:spPr>
            <a:solidFill>
              <a:srgbClr val="4285F4"/>
            </a:solidFill>
            <a:ln cmpd="sng">
              <a:solidFill>
                <a:srgbClr val="000000"/>
              </a:solidFill>
            </a:ln>
          </c:spPr>
          <c:invertIfNegative val="1"/>
          <c:cat>
            <c:numRef>
              <c:f>'Exit Waterfall'!$D$46:$J$46</c:f>
              <c:numCache>
                <c:formatCode>_(* #,##0_);_(* \(#,##0\);_(* "-"??_);_(@_)</c:formatCode>
                <c:ptCount val="7"/>
                <c:pt idx="0">
                  <c:v>2000000</c:v>
                </c:pt>
                <c:pt idx="1">
                  <c:v>3000000</c:v>
                </c:pt>
                <c:pt idx="2">
                  <c:v>4000000</c:v>
                </c:pt>
                <c:pt idx="3">
                  <c:v>8000000</c:v>
                </c:pt>
                <c:pt idx="4">
                  <c:v>16000000</c:v>
                </c:pt>
                <c:pt idx="5">
                  <c:v>32000000</c:v>
                </c:pt>
                <c:pt idx="6">
                  <c:v>64000000</c:v>
                </c:pt>
              </c:numCache>
            </c:numRef>
          </c:cat>
          <c:val>
            <c:numRef>
              <c:f>'Exit Waterfall'!$D$119:$J$119</c:f>
              <c:numCache>
                <c:formatCode>_(* #,##0_);_(* \(#,##0\);_(* "-"??_);_(@_)</c:formatCode>
                <c:ptCount val="7"/>
                <c:pt idx="0">
                  <c:v>2000000</c:v>
                </c:pt>
                <c:pt idx="1">
                  <c:v>3000000</c:v>
                </c:pt>
                <c:pt idx="2">
                  <c:v>3500000</c:v>
                </c:pt>
                <c:pt idx="3">
                  <c:v>3500000</c:v>
                </c:pt>
                <c:pt idx="4">
                  <c:v>3500000</c:v>
                </c:pt>
                <c:pt idx="5">
                  <c:v>3500000</c:v>
                </c:pt>
                <c:pt idx="6">
                  <c:v>3500000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727-3E4D-89BB-3EB506D1DD62}"/>
            </c:ext>
          </c:extLst>
        </c:ser>
        <c:ser>
          <c:idx val="1"/>
          <c:order val="1"/>
          <c:tx>
            <c:strRef>
              <c:f>'Exit Waterfall'!$C$137</c:f>
              <c:strCache>
                <c:ptCount val="1"/>
                <c:pt idx="0">
                  <c:v> Distributions to Common </c:v>
                </c:pt>
              </c:strCache>
            </c:strRef>
          </c:tx>
          <c:spPr>
            <a:solidFill>
              <a:srgbClr val="EA4335"/>
            </a:solidFill>
            <a:ln cmpd="sng">
              <a:solidFill>
                <a:srgbClr val="000000"/>
              </a:solidFill>
            </a:ln>
          </c:spPr>
          <c:invertIfNegative val="1"/>
          <c:cat>
            <c:numRef>
              <c:f>'Exit Waterfall'!$D$46:$J$46</c:f>
              <c:numCache>
                <c:formatCode>_(* #,##0_);_(* \(#,##0\);_(* "-"??_);_(@_)</c:formatCode>
                <c:ptCount val="7"/>
                <c:pt idx="0">
                  <c:v>2000000</c:v>
                </c:pt>
                <c:pt idx="1">
                  <c:v>3000000</c:v>
                </c:pt>
                <c:pt idx="2">
                  <c:v>4000000</c:v>
                </c:pt>
                <c:pt idx="3">
                  <c:v>8000000</c:v>
                </c:pt>
                <c:pt idx="4">
                  <c:v>16000000</c:v>
                </c:pt>
                <c:pt idx="5">
                  <c:v>32000000</c:v>
                </c:pt>
                <c:pt idx="6">
                  <c:v>64000000</c:v>
                </c:pt>
              </c:numCache>
            </c:numRef>
          </c:cat>
          <c:val>
            <c:numRef>
              <c:f>'Exit Waterfall'!$D$137:$J$137</c:f>
              <c:numCache>
                <c:formatCode>_(* #,##0_);_(* \(#,##0\);_(* "-"??_);_(@_)</c:formatCode>
                <c:ptCount val="7"/>
                <c:pt idx="0">
                  <c:v>0</c:v>
                </c:pt>
                <c:pt idx="1">
                  <c:v>0</c:v>
                </c:pt>
                <c:pt idx="2">
                  <c:v>500000</c:v>
                </c:pt>
                <c:pt idx="3">
                  <c:v>4500000</c:v>
                </c:pt>
                <c:pt idx="4">
                  <c:v>12500000</c:v>
                </c:pt>
                <c:pt idx="5">
                  <c:v>28500000</c:v>
                </c:pt>
                <c:pt idx="6">
                  <c:v>60500000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A727-3E4D-89BB-3EB506D1DD62}"/>
            </c:ext>
          </c:extLst>
        </c:ser>
        <c:dLbls>
          <c:showLegendKey val="0"/>
          <c:showVal val="0"/>
          <c:showCatName val="0"/>
          <c:showSerName val="0"/>
          <c:showPercent val="0"/>
          <c:showBubbleSize val="0"/>
        </c:dLbls>
        <c:gapWidth val="150"/>
        <c:overlap val="100"/>
        <c:axId val="677118950"/>
        <c:axId val="53943788"/>
      </c:barChart>
      <c:catAx>
        <c:axId val="677118950"/>
        <c:scaling>
          <c:orientation val="minMax"/>
        </c:scaling>
        <c:delete val="0"/>
        <c:axPos val="b"/>
        <c:title>
          <c:tx>
            <c:rich>
              <a:bodyPr/>
              <a:lstStyle/>
              <a:p>
                <a:pPr lvl="0">
                  <a:defRPr b="0">
                    <a:solidFill>
                      <a:srgbClr val="000000"/>
                    </a:solidFill>
                    <a:latin typeface="+mn-lt"/>
                  </a:defRPr>
                </a:pPr>
                <a:endParaRPr/>
              </a:p>
            </c:rich>
          </c:tx>
          <c:overlay val="0"/>
        </c:title>
        <c:numFmt formatCode="_(* #,##0_);_(* \(#,##0\);_(* &quot;-&quot;??_);_(@_)" sourceLinked="1"/>
        <c:majorTickMark val="none"/>
        <c:minorTickMark val="none"/>
        <c:tickLblPos val="nextTo"/>
        <c:txPr>
          <a:bodyPr/>
          <a:lstStyle/>
          <a:p>
            <a:pPr lvl="0">
              <a:defRPr b="0">
                <a:solidFill>
                  <a:srgbClr val="000000"/>
                </a:solidFill>
                <a:latin typeface="+mn-lt"/>
              </a:defRPr>
            </a:pPr>
            <a:endParaRPr lang="en-US"/>
          </a:p>
        </c:txPr>
        <c:crossAx val="53943788"/>
        <c:crosses val="autoZero"/>
        <c:auto val="1"/>
        <c:lblAlgn val="ctr"/>
        <c:lblOffset val="100"/>
        <c:noMultiLvlLbl val="1"/>
      </c:catAx>
      <c:valAx>
        <c:axId val="539437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677118950"/>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Distribution of Proceeds to Liquidation Preferences v. Common</a:t>
            </a:r>
          </a:p>
        </c:rich>
      </c:tx>
      <c:overlay val="0"/>
    </c:title>
    <c:autoTitleDeleted val="0"/>
    <c:plotArea>
      <c:layout/>
      <c:barChart>
        <c:barDir val="col"/>
        <c:grouping val="stacked"/>
        <c:varyColors val="1"/>
        <c:ser>
          <c:idx val="0"/>
          <c:order val="0"/>
          <c:tx>
            <c:strRef>
              <c:f>'Exit Waterfall'!$C$119</c:f>
              <c:strCache>
                <c:ptCount val="1"/>
                <c:pt idx="0">
                  <c:v> Distributions to Liquidation Preferences </c:v>
                </c:pt>
              </c:strCache>
            </c:strRef>
          </c:tx>
          <c:spPr>
            <a:solidFill>
              <a:srgbClr val="4285F4"/>
            </a:solidFill>
            <a:ln cmpd="sng">
              <a:solidFill>
                <a:srgbClr val="000000"/>
              </a:solidFill>
            </a:ln>
          </c:spPr>
          <c:invertIfNegative val="1"/>
          <c:cat>
            <c:numRef>
              <c:f>'Exit Waterfall'!$D$46:$J$46</c:f>
              <c:numCache>
                <c:formatCode>_(* #,##0_);_(* \(#,##0\);_(* "-"??_);_(@_)</c:formatCode>
                <c:ptCount val="7"/>
                <c:pt idx="0">
                  <c:v>2000000</c:v>
                </c:pt>
                <c:pt idx="1">
                  <c:v>3000000</c:v>
                </c:pt>
                <c:pt idx="2">
                  <c:v>4000000</c:v>
                </c:pt>
                <c:pt idx="3">
                  <c:v>8000000</c:v>
                </c:pt>
                <c:pt idx="4">
                  <c:v>16000000</c:v>
                </c:pt>
                <c:pt idx="5">
                  <c:v>32000000</c:v>
                </c:pt>
                <c:pt idx="6">
                  <c:v>64000000</c:v>
                </c:pt>
              </c:numCache>
            </c:numRef>
          </c:cat>
          <c:val>
            <c:numRef>
              <c:f>'Exit Waterfall'!$D$119:$J$119</c:f>
              <c:numCache>
                <c:formatCode>_(* #,##0_);_(* \(#,##0\);_(* "-"??_);_(@_)</c:formatCode>
                <c:ptCount val="7"/>
                <c:pt idx="0">
                  <c:v>2000000</c:v>
                </c:pt>
                <c:pt idx="1">
                  <c:v>3000000</c:v>
                </c:pt>
                <c:pt idx="2">
                  <c:v>3500000</c:v>
                </c:pt>
                <c:pt idx="3">
                  <c:v>3500000</c:v>
                </c:pt>
                <c:pt idx="4">
                  <c:v>3500000</c:v>
                </c:pt>
                <c:pt idx="5">
                  <c:v>3500000</c:v>
                </c:pt>
                <c:pt idx="6">
                  <c:v>3500000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5EE-234A-91EC-A3F56AD33721}"/>
            </c:ext>
          </c:extLst>
        </c:ser>
        <c:ser>
          <c:idx val="1"/>
          <c:order val="1"/>
          <c:tx>
            <c:strRef>
              <c:f>'Exit Waterfall'!$C$137</c:f>
              <c:strCache>
                <c:ptCount val="1"/>
                <c:pt idx="0">
                  <c:v> Distributions to Common </c:v>
                </c:pt>
              </c:strCache>
            </c:strRef>
          </c:tx>
          <c:spPr>
            <a:solidFill>
              <a:srgbClr val="EA4335"/>
            </a:solidFill>
            <a:ln cmpd="sng">
              <a:solidFill>
                <a:srgbClr val="000000"/>
              </a:solidFill>
            </a:ln>
          </c:spPr>
          <c:invertIfNegative val="1"/>
          <c:cat>
            <c:numRef>
              <c:f>'Exit Waterfall'!$D$46:$J$46</c:f>
              <c:numCache>
                <c:formatCode>_(* #,##0_);_(* \(#,##0\);_(* "-"??_);_(@_)</c:formatCode>
                <c:ptCount val="7"/>
                <c:pt idx="0">
                  <c:v>2000000</c:v>
                </c:pt>
                <c:pt idx="1">
                  <c:v>3000000</c:v>
                </c:pt>
                <c:pt idx="2">
                  <c:v>4000000</c:v>
                </c:pt>
                <c:pt idx="3">
                  <c:v>8000000</c:v>
                </c:pt>
                <c:pt idx="4">
                  <c:v>16000000</c:v>
                </c:pt>
                <c:pt idx="5">
                  <c:v>32000000</c:v>
                </c:pt>
                <c:pt idx="6">
                  <c:v>64000000</c:v>
                </c:pt>
              </c:numCache>
            </c:numRef>
          </c:cat>
          <c:val>
            <c:numRef>
              <c:f>'Exit Waterfall'!$D$137:$J$137</c:f>
              <c:numCache>
                <c:formatCode>_(* #,##0_);_(* \(#,##0\);_(* "-"??_);_(@_)</c:formatCode>
                <c:ptCount val="7"/>
                <c:pt idx="0">
                  <c:v>0</c:v>
                </c:pt>
                <c:pt idx="1">
                  <c:v>0</c:v>
                </c:pt>
                <c:pt idx="2">
                  <c:v>500000</c:v>
                </c:pt>
                <c:pt idx="3">
                  <c:v>4500000</c:v>
                </c:pt>
                <c:pt idx="4">
                  <c:v>12500000</c:v>
                </c:pt>
                <c:pt idx="5">
                  <c:v>28500000</c:v>
                </c:pt>
                <c:pt idx="6">
                  <c:v>60500000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5EE-234A-91EC-A3F56AD33721}"/>
            </c:ext>
          </c:extLst>
        </c:ser>
        <c:dLbls>
          <c:showLegendKey val="0"/>
          <c:showVal val="0"/>
          <c:showCatName val="0"/>
          <c:showSerName val="0"/>
          <c:showPercent val="0"/>
          <c:showBubbleSize val="0"/>
        </c:dLbls>
        <c:gapWidth val="150"/>
        <c:overlap val="100"/>
        <c:axId val="43907273"/>
        <c:axId val="717403014"/>
      </c:barChart>
      <c:catAx>
        <c:axId val="43907273"/>
        <c:scaling>
          <c:orientation val="minMax"/>
        </c:scaling>
        <c:delete val="0"/>
        <c:axPos val="b"/>
        <c:title>
          <c:tx>
            <c:rich>
              <a:bodyPr/>
              <a:lstStyle/>
              <a:p>
                <a:pPr lvl="0">
                  <a:defRPr b="0">
                    <a:solidFill>
                      <a:srgbClr val="000000"/>
                    </a:solidFill>
                    <a:latin typeface="+mn-lt"/>
                  </a:defRPr>
                </a:pPr>
                <a:endParaRPr/>
              </a:p>
            </c:rich>
          </c:tx>
          <c:overlay val="0"/>
        </c:title>
        <c:numFmt formatCode="_(* #,##0_);_(* \(#,##0\);_(* &quot;-&quot;??_);_(@_)" sourceLinked="1"/>
        <c:majorTickMark val="none"/>
        <c:minorTickMark val="none"/>
        <c:tickLblPos val="nextTo"/>
        <c:txPr>
          <a:bodyPr/>
          <a:lstStyle/>
          <a:p>
            <a:pPr lvl="0">
              <a:defRPr b="0">
                <a:solidFill>
                  <a:srgbClr val="000000"/>
                </a:solidFill>
                <a:latin typeface="+mn-lt"/>
              </a:defRPr>
            </a:pPr>
            <a:endParaRPr lang="en-US"/>
          </a:p>
        </c:txPr>
        <c:crossAx val="717403014"/>
        <c:crosses val="autoZero"/>
        <c:auto val="1"/>
        <c:lblAlgn val="ctr"/>
        <c:lblOffset val="100"/>
        <c:noMultiLvlLbl val="1"/>
      </c:catAx>
      <c:valAx>
        <c:axId val="7174030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_(* #,##0_);_(* \(#,##0\);_(* &quot;-&quot;??_);_(@_)" sourceLinked="1"/>
        <c:majorTickMark val="none"/>
        <c:minorTickMark val="none"/>
        <c:tickLblPos val="nextTo"/>
        <c:spPr>
          <a:ln/>
        </c:spPr>
        <c:txPr>
          <a:bodyPr/>
          <a:lstStyle/>
          <a:p>
            <a:pPr lvl="0">
              <a:defRPr b="0">
                <a:solidFill>
                  <a:srgbClr val="000000"/>
                </a:solidFill>
                <a:latin typeface="+mn-lt"/>
              </a:defRPr>
            </a:pPr>
            <a:endParaRPr lang="en-US"/>
          </a:p>
        </c:txPr>
        <c:crossAx val="43907273"/>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Proceeds</a:t>
            </a:r>
          </a:p>
        </c:rich>
      </c:tx>
      <c:overlay val="0"/>
    </c:title>
    <c:autoTitleDeleted val="0"/>
    <c:plotArea>
      <c:layout/>
      <c:barChart>
        <c:barDir val="col"/>
        <c:grouping val="percentStacked"/>
        <c:varyColors val="1"/>
        <c:ser>
          <c:idx val="0"/>
          <c:order val="0"/>
          <c:tx>
            <c:strRef>
              <c:f>'Exit Waterfall, with Convertibl'!$B$176</c:f>
              <c:strCache>
                <c:ptCount val="1"/>
                <c:pt idx="0">
                  <c:v> Series J </c:v>
                </c:pt>
              </c:strCache>
            </c:strRef>
          </c:tx>
          <c:spPr>
            <a:solidFill>
              <a:srgbClr val="4285F4"/>
            </a:solidFill>
            <a:ln cmpd="sng">
              <a:solidFill>
                <a:srgbClr val="000000"/>
              </a:solidFill>
            </a:ln>
          </c:spPr>
          <c:invertIfNegative val="1"/>
          <c:cat>
            <c:numRef>
              <c:f>'Exit Waterfall, with Convertibl'!$C$175:$J$175</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 with Convertibl'!$C$176:$J$176</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301-694A-BAB0-4C263F559961}"/>
            </c:ext>
          </c:extLst>
        </c:ser>
        <c:ser>
          <c:idx val="1"/>
          <c:order val="1"/>
          <c:tx>
            <c:strRef>
              <c:f>'Exit Waterfall, with Convertibl'!$B$177</c:f>
              <c:strCache>
                <c:ptCount val="1"/>
                <c:pt idx="0">
                  <c:v> Series I </c:v>
                </c:pt>
              </c:strCache>
            </c:strRef>
          </c:tx>
          <c:spPr>
            <a:solidFill>
              <a:srgbClr val="EA4335"/>
            </a:solidFill>
            <a:ln cmpd="sng">
              <a:solidFill>
                <a:srgbClr val="000000"/>
              </a:solidFill>
            </a:ln>
          </c:spPr>
          <c:invertIfNegative val="1"/>
          <c:cat>
            <c:numRef>
              <c:f>'Exit Waterfall, with Convertibl'!$C$175:$J$175</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 with Convertibl'!$C$177:$J$177</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301-694A-BAB0-4C263F559961}"/>
            </c:ext>
          </c:extLst>
        </c:ser>
        <c:ser>
          <c:idx val="2"/>
          <c:order val="2"/>
          <c:tx>
            <c:strRef>
              <c:f>'Exit Waterfall, with Convertibl'!$B$178</c:f>
              <c:strCache>
                <c:ptCount val="1"/>
                <c:pt idx="0">
                  <c:v> Series H </c:v>
                </c:pt>
              </c:strCache>
            </c:strRef>
          </c:tx>
          <c:spPr>
            <a:solidFill>
              <a:srgbClr val="FBBC04"/>
            </a:solidFill>
            <a:ln cmpd="sng">
              <a:solidFill>
                <a:srgbClr val="000000"/>
              </a:solidFill>
            </a:ln>
          </c:spPr>
          <c:invertIfNegative val="1"/>
          <c:cat>
            <c:numRef>
              <c:f>'Exit Waterfall, with Convertibl'!$C$175:$J$175</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 with Convertibl'!$C$178:$J$178</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3301-694A-BAB0-4C263F559961}"/>
            </c:ext>
          </c:extLst>
        </c:ser>
        <c:ser>
          <c:idx val="3"/>
          <c:order val="3"/>
          <c:tx>
            <c:strRef>
              <c:f>'Exit Waterfall, with Convertibl'!$B$179</c:f>
              <c:strCache>
                <c:ptCount val="1"/>
                <c:pt idx="0">
                  <c:v> Series G </c:v>
                </c:pt>
              </c:strCache>
            </c:strRef>
          </c:tx>
          <c:spPr>
            <a:solidFill>
              <a:srgbClr val="34A853"/>
            </a:solidFill>
            <a:ln cmpd="sng">
              <a:solidFill>
                <a:srgbClr val="000000"/>
              </a:solidFill>
            </a:ln>
          </c:spPr>
          <c:invertIfNegative val="1"/>
          <c:cat>
            <c:numRef>
              <c:f>'Exit Waterfall, with Convertibl'!$C$175:$J$175</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 with Convertibl'!$C$179:$J$179</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3301-694A-BAB0-4C263F559961}"/>
            </c:ext>
          </c:extLst>
        </c:ser>
        <c:ser>
          <c:idx val="4"/>
          <c:order val="4"/>
          <c:tx>
            <c:strRef>
              <c:f>'Exit Waterfall, with Convertibl'!$B$180</c:f>
              <c:strCache>
                <c:ptCount val="1"/>
                <c:pt idx="0">
                  <c:v> Series F </c:v>
                </c:pt>
              </c:strCache>
            </c:strRef>
          </c:tx>
          <c:spPr>
            <a:solidFill>
              <a:srgbClr val="FF6D01"/>
            </a:solidFill>
            <a:ln cmpd="sng">
              <a:solidFill>
                <a:srgbClr val="000000"/>
              </a:solidFill>
            </a:ln>
          </c:spPr>
          <c:invertIfNegative val="1"/>
          <c:cat>
            <c:numRef>
              <c:f>'Exit Waterfall, with Convertibl'!$C$175:$J$175</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 with Convertibl'!$C$180:$J$180</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3301-694A-BAB0-4C263F559961}"/>
            </c:ext>
          </c:extLst>
        </c:ser>
        <c:ser>
          <c:idx val="5"/>
          <c:order val="5"/>
          <c:tx>
            <c:strRef>
              <c:f>'Exit Waterfall, with Convertibl'!$B$181</c:f>
              <c:strCache>
                <c:ptCount val="1"/>
                <c:pt idx="0">
                  <c:v> Series E </c:v>
                </c:pt>
              </c:strCache>
            </c:strRef>
          </c:tx>
          <c:spPr>
            <a:solidFill>
              <a:srgbClr val="46BDC6"/>
            </a:solidFill>
            <a:ln cmpd="sng">
              <a:solidFill>
                <a:srgbClr val="000000"/>
              </a:solidFill>
            </a:ln>
          </c:spPr>
          <c:invertIfNegative val="1"/>
          <c:cat>
            <c:numRef>
              <c:f>'Exit Waterfall, with Convertibl'!$C$175:$J$175</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 with Convertibl'!$C$181:$J$181</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3301-694A-BAB0-4C263F559961}"/>
            </c:ext>
          </c:extLst>
        </c:ser>
        <c:ser>
          <c:idx val="6"/>
          <c:order val="6"/>
          <c:tx>
            <c:strRef>
              <c:f>'Exit Waterfall, with Convertibl'!$B$182</c:f>
              <c:strCache>
                <c:ptCount val="1"/>
                <c:pt idx="0">
                  <c:v> Series D </c:v>
                </c:pt>
              </c:strCache>
            </c:strRef>
          </c:tx>
          <c:spPr>
            <a:solidFill>
              <a:srgbClr val="D3E2FC"/>
            </a:solidFill>
            <a:ln cmpd="sng">
              <a:solidFill>
                <a:srgbClr val="000000"/>
              </a:solidFill>
            </a:ln>
          </c:spPr>
          <c:invertIfNegative val="1"/>
          <c:cat>
            <c:numRef>
              <c:f>'Exit Waterfall, with Convertibl'!$C$175:$J$175</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 with Convertibl'!$C$182:$J$182</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3301-694A-BAB0-4C263F559961}"/>
            </c:ext>
          </c:extLst>
        </c:ser>
        <c:ser>
          <c:idx val="7"/>
          <c:order val="7"/>
          <c:tx>
            <c:strRef>
              <c:f>'Exit Waterfall, with Convertibl'!$B$183</c:f>
              <c:strCache>
                <c:ptCount val="1"/>
                <c:pt idx="0">
                  <c:v> Series C </c:v>
                </c:pt>
              </c:strCache>
            </c:strRef>
          </c:tx>
          <c:spPr>
            <a:solidFill>
              <a:srgbClr val="F8C4C0"/>
            </a:solidFill>
            <a:ln cmpd="sng">
              <a:solidFill>
                <a:srgbClr val="000000"/>
              </a:solidFill>
            </a:ln>
          </c:spPr>
          <c:invertIfNegative val="1"/>
          <c:cat>
            <c:numRef>
              <c:f>'Exit Waterfall, with Convertibl'!$C$175:$J$175</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 with Convertibl'!$C$183:$J$183</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3301-694A-BAB0-4C263F559961}"/>
            </c:ext>
          </c:extLst>
        </c:ser>
        <c:ser>
          <c:idx val="8"/>
          <c:order val="8"/>
          <c:tx>
            <c:strRef>
              <c:f>'Exit Waterfall, with Convertibl'!$B$184</c:f>
              <c:strCache>
                <c:ptCount val="1"/>
                <c:pt idx="0">
                  <c:v> Series B </c:v>
                </c:pt>
              </c:strCache>
            </c:strRef>
          </c:tx>
          <c:spPr>
            <a:solidFill>
              <a:srgbClr val="FDE49B"/>
            </a:solidFill>
            <a:ln cmpd="sng">
              <a:solidFill>
                <a:srgbClr val="000000"/>
              </a:solidFill>
            </a:ln>
          </c:spPr>
          <c:invertIfNegative val="1"/>
          <c:cat>
            <c:numRef>
              <c:f>'Exit Waterfall, with Convertibl'!$C$175:$J$175</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 with Convertibl'!$C$184:$J$184</c:f>
              <c:numCache>
                <c:formatCode>_(* #,##0_);_(* \(#,##0\);_(* "-"??_);_(@_)</c:formatCode>
                <c:ptCount val="8"/>
                <c:pt idx="1">
                  <c:v>2000000</c:v>
                </c:pt>
                <c:pt idx="2">
                  <c:v>2000000</c:v>
                </c:pt>
                <c:pt idx="3">
                  <c:v>2000000</c:v>
                </c:pt>
                <c:pt idx="4">
                  <c:v>2000000</c:v>
                </c:pt>
                <c:pt idx="5">
                  <c:v>2000000</c:v>
                </c:pt>
                <c:pt idx="6">
                  <c:v>2000000</c:v>
                </c:pt>
                <c:pt idx="7">
                  <c:v>2000000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3301-694A-BAB0-4C263F559961}"/>
            </c:ext>
          </c:extLst>
        </c:ser>
        <c:ser>
          <c:idx val="9"/>
          <c:order val="9"/>
          <c:tx>
            <c:strRef>
              <c:f>'Exit Waterfall, with Convertibl'!$B$185</c:f>
              <c:strCache>
                <c:ptCount val="1"/>
                <c:pt idx="0">
                  <c:v> Series A </c:v>
                </c:pt>
              </c:strCache>
            </c:strRef>
          </c:tx>
          <c:spPr>
            <a:solidFill>
              <a:srgbClr val="96DFAA"/>
            </a:solidFill>
            <a:ln cmpd="sng">
              <a:solidFill>
                <a:srgbClr val="000000"/>
              </a:solidFill>
            </a:ln>
          </c:spPr>
          <c:invertIfNegative val="1"/>
          <c:cat>
            <c:numRef>
              <c:f>'Exit Waterfall, with Convertibl'!$C$175:$J$175</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 with Convertibl'!$C$185:$J$185</c:f>
              <c:numCache>
                <c:formatCode>_(* #,##0_);_(* \(#,##0\);_(* "-"??_);_(@_)</c:formatCode>
                <c:ptCount val="8"/>
                <c:pt idx="1">
                  <c:v>0</c:v>
                </c:pt>
                <c:pt idx="2">
                  <c:v>1000000</c:v>
                </c:pt>
                <c:pt idx="3">
                  <c:v>1000000</c:v>
                </c:pt>
                <c:pt idx="4">
                  <c:v>1000000</c:v>
                </c:pt>
                <c:pt idx="5">
                  <c:v>1000000</c:v>
                </c:pt>
                <c:pt idx="6">
                  <c:v>1000000</c:v>
                </c:pt>
                <c:pt idx="7">
                  <c:v>1000000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3301-694A-BAB0-4C263F559961}"/>
            </c:ext>
          </c:extLst>
        </c:ser>
        <c:ser>
          <c:idx val="10"/>
          <c:order val="10"/>
          <c:tx>
            <c:strRef>
              <c:f>'Exit Waterfall, with Convertibl'!$B$186</c:f>
              <c:strCache>
                <c:ptCount val="1"/>
                <c:pt idx="0">
                  <c:v> Seed </c:v>
                </c:pt>
              </c:strCache>
            </c:strRef>
          </c:tx>
          <c:spPr>
            <a:solidFill>
              <a:srgbClr val="FFC59A"/>
            </a:solidFill>
            <a:ln cmpd="sng">
              <a:solidFill>
                <a:srgbClr val="000000"/>
              </a:solidFill>
            </a:ln>
          </c:spPr>
          <c:invertIfNegative val="1"/>
          <c:cat>
            <c:numRef>
              <c:f>'Exit Waterfall, with Convertibl'!$C$175:$J$175</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 with Convertibl'!$C$186:$J$186</c:f>
              <c:numCache>
                <c:formatCode>_(* #,##0_);_(* \(#,##0\);_(* "-"??_);_(@_)</c:formatCode>
                <c:ptCount val="8"/>
                <c:pt idx="1">
                  <c:v>0</c:v>
                </c:pt>
                <c:pt idx="2">
                  <c:v>0</c:v>
                </c:pt>
                <c:pt idx="3">
                  <c:v>500000</c:v>
                </c:pt>
                <c:pt idx="4">
                  <c:v>500000</c:v>
                </c:pt>
                <c:pt idx="5">
                  <c:v>500000</c:v>
                </c:pt>
                <c:pt idx="6">
                  <c:v>500000</c:v>
                </c:pt>
                <c:pt idx="7">
                  <c:v>500000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3301-694A-BAB0-4C263F559961}"/>
            </c:ext>
          </c:extLst>
        </c:ser>
        <c:ser>
          <c:idx val="11"/>
          <c:order val="11"/>
          <c:tx>
            <c:strRef>
              <c:f>'Exit Waterfall, with Convertibl'!$B$187</c:f>
              <c:strCache>
                <c:ptCount val="1"/>
                <c:pt idx="0">
                  <c:v> Common </c:v>
                </c:pt>
              </c:strCache>
            </c:strRef>
          </c:tx>
          <c:spPr>
            <a:solidFill>
              <a:srgbClr val="BBE7EA"/>
            </a:solidFill>
            <a:ln cmpd="sng">
              <a:solidFill>
                <a:srgbClr val="000000"/>
              </a:solidFill>
            </a:ln>
          </c:spPr>
          <c:invertIfNegative val="1"/>
          <c:cat>
            <c:numRef>
              <c:f>'Exit Waterfall, with Convertibl'!$C$175:$J$175</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 with Convertibl'!$C$187:$J$187</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B-3301-694A-BAB0-4C263F559961}"/>
            </c:ext>
          </c:extLst>
        </c:ser>
        <c:ser>
          <c:idx val="12"/>
          <c:order val="12"/>
          <c:tx>
            <c:strRef>
              <c:f>'Exit Waterfall, with Convertibl'!$B$188</c:f>
              <c:strCache>
                <c:ptCount val="1"/>
                <c:pt idx="0">
                  <c:v> Options </c:v>
                </c:pt>
              </c:strCache>
            </c:strRef>
          </c:tx>
          <c:spPr>
            <a:solidFill>
              <a:srgbClr val="FFFFFF"/>
            </a:solidFill>
            <a:ln cmpd="sng">
              <a:solidFill>
                <a:srgbClr val="000000"/>
              </a:solidFill>
            </a:ln>
          </c:spPr>
          <c:invertIfNegative val="1"/>
          <c:cat>
            <c:numRef>
              <c:f>'Exit Waterfall, with Convertibl'!$C$175:$J$175</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 with Convertibl'!$C$188:$J$188</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C-3301-694A-BAB0-4C263F559961}"/>
            </c:ext>
          </c:extLst>
        </c:ser>
        <c:ser>
          <c:idx val="13"/>
          <c:order val="13"/>
          <c:tx>
            <c:strRef>
              <c:f>'Exit Waterfall, with Convertibl'!$B$189</c:f>
              <c:strCache>
                <c:ptCount val="1"/>
                <c:pt idx="0">
                  <c:v> Options </c:v>
                </c:pt>
              </c:strCache>
            </c:strRef>
          </c:tx>
          <c:spPr>
            <a:solidFill>
              <a:srgbClr val="FFFFFF"/>
            </a:solidFill>
            <a:ln cmpd="sng">
              <a:solidFill>
                <a:srgbClr val="000000"/>
              </a:solidFill>
            </a:ln>
          </c:spPr>
          <c:invertIfNegative val="1"/>
          <c:cat>
            <c:numRef>
              <c:f>'Exit Waterfall, with Convertibl'!$C$175:$J$175</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 with Convertibl'!$C$189:$J$189</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D-3301-694A-BAB0-4C263F559961}"/>
            </c:ext>
          </c:extLst>
        </c:ser>
        <c:ser>
          <c:idx val="14"/>
          <c:order val="14"/>
          <c:tx>
            <c:strRef>
              <c:f>'Exit Waterfall, with Convertibl'!$B$190</c:f>
              <c:strCache>
                <c:ptCount val="1"/>
                <c:pt idx="0">
                  <c:v> Warrants </c:v>
                </c:pt>
              </c:strCache>
            </c:strRef>
          </c:tx>
          <c:spPr>
            <a:solidFill>
              <a:srgbClr val="FFFFFF"/>
            </a:solidFill>
            <a:ln cmpd="sng">
              <a:solidFill>
                <a:srgbClr val="000000"/>
              </a:solidFill>
            </a:ln>
          </c:spPr>
          <c:invertIfNegative val="1"/>
          <c:cat>
            <c:numRef>
              <c:f>'Exit Waterfall, with Convertibl'!$C$175:$J$175</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 with Convertibl'!$C$190:$J$190</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E-3301-694A-BAB0-4C263F559961}"/>
            </c:ext>
          </c:extLst>
        </c:ser>
        <c:dLbls>
          <c:showLegendKey val="0"/>
          <c:showVal val="0"/>
          <c:showCatName val="0"/>
          <c:showSerName val="0"/>
          <c:showPercent val="0"/>
          <c:showBubbleSize val="0"/>
        </c:dLbls>
        <c:gapWidth val="150"/>
        <c:overlap val="100"/>
        <c:axId val="1874916067"/>
        <c:axId val="608633010"/>
      </c:barChart>
      <c:catAx>
        <c:axId val="1874916067"/>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608633010"/>
        <c:crosses val="autoZero"/>
        <c:auto val="1"/>
        <c:lblAlgn val="ctr"/>
        <c:lblOffset val="100"/>
        <c:noMultiLvlLbl val="1"/>
      </c:catAx>
      <c:valAx>
        <c:axId val="60863301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874916067"/>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Proceeds</a:t>
            </a:r>
          </a:p>
        </c:rich>
      </c:tx>
      <c:overlay val="0"/>
    </c:title>
    <c:autoTitleDeleted val="0"/>
    <c:plotArea>
      <c:layout/>
      <c:barChart>
        <c:barDir val="col"/>
        <c:grouping val="stacked"/>
        <c:varyColors val="1"/>
        <c:ser>
          <c:idx val="0"/>
          <c:order val="0"/>
          <c:tx>
            <c:strRef>
              <c:f>'Exit Waterfall, with Convertibl'!$B$176</c:f>
              <c:strCache>
                <c:ptCount val="1"/>
                <c:pt idx="0">
                  <c:v> Series J </c:v>
                </c:pt>
              </c:strCache>
            </c:strRef>
          </c:tx>
          <c:spPr>
            <a:solidFill>
              <a:srgbClr val="4285F4"/>
            </a:solidFill>
            <a:ln cmpd="sng">
              <a:solidFill>
                <a:srgbClr val="000000"/>
              </a:solidFill>
            </a:ln>
          </c:spPr>
          <c:invertIfNegative val="1"/>
          <c:cat>
            <c:numRef>
              <c:f>'Exit Waterfall, with Convertibl'!$C$175:$J$175</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 with Convertibl'!$C$176:$J$176</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120-0F4F-BF65-D22AD63ECCE7}"/>
            </c:ext>
          </c:extLst>
        </c:ser>
        <c:ser>
          <c:idx val="1"/>
          <c:order val="1"/>
          <c:tx>
            <c:strRef>
              <c:f>'Exit Waterfall, with Convertibl'!$B$177</c:f>
              <c:strCache>
                <c:ptCount val="1"/>
                <c:pt idx="0">
                  <c:v> Series I </c:v>
                </c:pt>
              </c:strCache>
            </c:strRef>
          </c:tx>
          <c:spPr>
            <a:solidFill>
              <a:srgbClr val="EA4335"/>
            </a:solidFill>
            <a:ln cmpd="sng">
              <a:solidFill>
                <a:srgbClr val="000000"/>
              </a:solidFill>
            </a:ln>
          </c:spPr>
          <c:invertIfNegative val="1"/>
          <c:cat>
            <c:numRef>
              <c:f>'Exit Waterfall, with Convertibl'!$C$175:$J$175</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 with Convertibl'!$C$177:$J$177</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1120-0F4F-BF65-D22AD63ECCE7}"/>
            </c:ext>
          </c:extLst>
        </c:ser>
        <c:ser>
          <c:idx val="2"/>
          <c:order val="2"/>
          <c:tx>
            <c:strRef>
              <c:f>'Exit Waterfall, with Convertibl'!$B$178</c:f>
              <c:strCache>
                <c:ptCount val="1"/>
                <c:pt idx="0">
                  <c:v> Series H </c:v>
                </c:pt>
              </c:strCache>
            </c:strRef>
          </c:tx>
          <c:spPr>
            <a:solidFill>
              <a:srgbClr val="FBBC04"/>
            </a:solidFill>
            <a:ln cmpd="sng">
              <a:solidFill>
                <a:srgbClr val="000000"/>
              </a:solidFill>
            </a:ln>
          </c:spPr>
          <c:invertIfNegative val="1"/>
          <c:cat>
            <c:numRef>
              <c:f>'Exit Waterfall, with Convertibl'!$C$175:$J$175</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 with Convertibl'!$C$178:$J$178</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1120-0F4F-BF65-D22AD63ECCE7}"/>
            </c:ext>
          </c:extLst>
        </c:ser>
        <c:ser>
          <c:idx val="3"/>
          <c:order val="3"/>
          <c:tx>
            <c:strRef>
              <c:f>'Exit Waterfall, with Convertibl'!$B$179</c:f>
              <c:strCache>
                <c:ptCount val="1"/>
                <c:pt idx="0">
                  <c:v> Series G </c:v>
                </c:pt>
              </c:strCache>
            </c:strRef>
          </c:tx>
          <c:spPr>
            <a:solidFill>
              <a:srgbClr val="34A853"/>
            </a:solidFill>
            <a:ln cmpd="sng">
              <a:solidFill>
                <a:srgbClr val="000000"/>
              </a:solidFill>
            </a:ln>
          </c:spPr>
          <c:invertIfNegative val="1"/>
          <c:cat>
            <c:numRef>
              <c:f>'Exit Waterfall, with Convertibl'!$C$175:$J$175</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 with Convertibl'!$C$179:$J$179</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1120-0F4F-BF65-D22AD63ECCE7}"/>
            </c:ext>
          </c:extLst>
        </c:ser>
        <c:ser>
          <c:idx val="4"/>
          <c:order val="4"/>
          <c:tx>
            <c:strRef>
              <c:f>'Exit Waterfall, with Convertibl'!$B$180</c:f>
              <c:strCache>
                <c:ptCount val="1"/>
                <c:pt idx="0">
                  <c:v> Series F </c:v>
                </c:pt>
              </c:strCache>
            </c:strRef>
          </c:tx>
          <c:spPr>
            <a:solidFill>
              <a:srgbClr val="FF6D01"/>
            </a:solidFill>
            <a:ln cmpd="sng">
              <a:solidFill>
                <a:srgbClr val="000000"/>
              </a:solidFill>
            </a:ln>
          </c:spPr>
          <c:invertIfNegative val="1"/>
          <c:cat>
            <c:numRef>
              <c:f>'Exit Waterfall, with Convertibl'!$C$175:$J$175</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 with Convertibl'!$C$180:$J$180</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1120-0F4F-BF65-D22AD63ECCE7}"/>
            </c:ext>
          </c:extLst>
        </c:ser>
        <c:ser>
          <c:idx val="5"/>
          <c:order val="5"/>
          <c:tx>
            <c:strRef>
              <c:f>'Exit Waterfall, with Convertibl'!$B$181</c:f>
              <c:strCache>
                <c:ptCount val="1"/>
                <c:pt idx="0">
                  <c:v> Series E </c:v>
                </c:pt>
              </c:strCache>
            </c:strRef>
          </c:tx>
          <c:spPr>
            <a:solidFill>
              <a:srgbClr val="46BDC6"/>
            </a:solidFill>
            <a:ln cmpd="sng">
              <a:solidFill>
                <a:srgbClr val="000000"/>
              </a:solidFill>
            </a:ln>
          </c:spPr>
          <c:invertIfNegative val="1"/>
          <c:cat>
            <c:numRef>
              <c:f>'Exit Waterfall, with Convertibl'!$C$175:$J$175</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 with Convertibl'!$C$181:$J$181</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1120-0F4F-BF65-D22AD63ECCE7}"/>
            </c:ext>
          </c:extLst>
        </c:ser>
        <c:ser>
          <c:idx val="6"/>
          <c:order val="6"/>
          <c:tx>
            <c:strRef>
              <c:f>'Exit Waterfall, with Convertibl'!$B$182</c:f>
              <c:strCache>
                <c:ptCount val="1"/>
                <c:pt idx="0">
                  <c:v> Series D </c:v>
                </c:pt>
              </c:strCache>
            </c:strRef>
          </c:tx>
          <c:spPr>
            <a:solidFill>
              <a:srgbClr val="D3E2FC"/>
            </a:solidFill>
            <a:ln cmpd="sng">
              <a:solidFill>
                <a:srgbClr val="000000"/>
              </a:solidFill>
            </a:ln>
          </c:spPr>
          <c:invertIfNegative val="1"/>
          <c:cat>
            <c:numRef>
              <c:f>'Exit Waterfall, with Convertibl'!$C$175:$J$175</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 with Convertibl'!$C$182:$J$182</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1120-0F4F-BF65-D22AD63ECCE7}"/>
            </c:ext>
          </c:extLst>
        </c:ser>
        <c:ser>
          <c:idx val="7"/>
          <c:order val="7"/>
          <c:tx>
            <c:strRef>
              <c:f>'Exit Waterfall, with Convertibl'!$B$183</c:f>
              <c:strCache>
                <c:ptCount val="1"/>
                <c:pt idx="0">
                  <c:v> Series C </c:v>
                </c:pt>
              </c:strCache>
            </c:strRef>
          </c:tx>
          <c:spPr>
            <a:solidFill>
              <a:srgbClr val="F8C4C0"/>
            </a:solidFill>
            <a:ln cmpd="sng">
              <a:solidFill>
                <a:srgbClr val="000000"/>
              </a:solidFill>
            </a:ln>
          </c:spPr>
          <c:invertIfNegative val="1"/>
          <c:cat>
            <c:numRef>
              <c:f>'Exit Waterfall, with Convertibl'!$C$175:$J$175</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 with Convertibl'!$C$183:$J$183</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1120-0F4F-BF65-D22AD63ECCE7}"/>
            </c:ext>
          </c:extLst>
        </c:ser>
        <c:ser>
          <c:idx val="8"/>
          <c:order val="8"/>
          <c:tx>
            <c:strRef>
              <c:f>'Exit Waterfall, with Convertibl'!$B$184</c:f>
              <c:strCache>
                <c:ptCount val="1"/>
                <c:pt idx="0">
                  <c:v> Series B </c:v>
                </c:pt>
              </c:strCache>
            </c:strRef>
          </c:tx>
          <c:spPr>
            <a:solidFill>
              <a:srgbClr val="FDE49B"/>
            </a:solidFill>
            <a:ln cmpd="sng">
              <a:solidFill>
                <a:srgbClr val="000000"/>
              </a:solidFill>
            </a:ln>
          </c:spPr>
          <c:invertIfNegative val="1"/>
          <c:cat>
            <c:numRef>
              <c:f>'Exit Waterfall, with Convertibl'!$C$175:$J$175</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 with Convertibl'!$C$184:$J$184</c:f>
              <c:numCache>
                <c:formatCode>_(* #,##0_);_(* \(#,##0\);_(* "-"??_);_(@_)</c:formatCode>
                <c:ptCount val="8"/>
                <c:pt idx="1">
                  <c:v>2000000</c:v>
                </c:pt>
                <c:pt idx="2">
                  <c:v>2000000</c:v>
                </c:pt>
                <c:pt idx="3">
                  <c:v>2000000</c:v>
                </c:pt>
                <c:pt idx="4">
                  <c:v>2000000</c:v>
                </c:pt>
                <c:pt idx="5">
                  <c:v>2000000</c:v>
                </c:pt>
                <c:pt idx="6">
                  <c:v>2000000</c:v>
                </c:pt>
                <c:pt idx="7">
                  <c:v>2000000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1120-0F4F-BF65-D22AD63ECCE7}"/>
            </c:ext>
          </c:extLst>
        </c:ser>
        <c:ser>
          <c:idx val="9"/>
          <c:order val="9"/>
          <c:tx>
            <c:strRef>
              <c:f>'Exit Waterfall, with Convertibl'!$B$185</c:f>
              <c:strCache>
                <c:ptCount val="1"/>
                <c:pt idx="0">
                  <c:v> Series A </c:v>
                </c:pt>
              </c:strCache>
            </c:strRef>
          </c:tx>
          <c:spPr>
            <a:solidFill>
              <a:srgbClr val="96DFAA"/>
            </a:solidFill>
            <a:ln cmpd="sng">
              <a:solidFill>
                <a:srgbClr val="000000"/>
              </a:solidFill>
            </a:ln>
          </c:spPr>
          <c:invertIfNegative val="1"/>
          <c:cat>
            <c:numRef>
              <c:f>'Exit Waterfall, with Convertibl'!$C$175:$J$175</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 with Convertibl'!$C$185:$J$185</c:f>
              <c:numCache>
                <c:formatCode>_(* #,##0_);_(* \(#,##0\);_(* "-"??_);_(@_)</c:formatCode>
                <c:ptCount val="8"/>
                <c:pt idx="1">
                  <c:v>0</c:v>
                </c:pt>
                <c:pt idx="2">
                  <c:v>1000000</c:v>
                </c:pt>
                <c:pt idx="3">
                  <c:v>1000000</c:v>
                </c:pt>
                <c:pt idx="4">
                  <c:v>1000000</c:v>
                </c:pt>
                <c:pt idx="5">
                  <c:v>1000000</c:v>
                </c:pt>
                <c:pt idx="6">
                  <c:v>1000000</c:v>
                </c:pt>
                <c:pt idx="7">
                  <c:v>1000000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9-1120-0F4F-BF65-D22AD63ECCE7}"/>
            </c:ext>
          </c:extLst>
        </c:ser>
        <c:ser>
          <c:idx val="10"/>
          <c:order val="10"/>
          <c:tx>
            <c:strRef>
              <c:f>'Exit Waterfall, with Convertibl'!$B$186</c:f>
              <c:strCache>
                <c:ptCount val="1"/>
                <c:pt idx="0">
                  <c:v> Seed </c:v>
                </c:pt>
              </c:strCache>
            </c:strRef>
          </c:tx>
          <c:spPr>
            <a:solidFill>
              <a:srgbClr val="FFC59A"/>
            </a:solidFill>
            <a:ln cmpd="sng">
              <a:solidFill>
                <a:srgbClr val="000000"/>
              </a:solidFill>
            </a:ln>
          </c:spPr>
          <c:invertIfNegative val="1"/>
          <c:cat>
            <c:numRef>
              <c:f>'Exit Waterfall, with Convertibl'!$C$175:$J$175</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 with Convertibl'!$C$186:$J$186</c:f>
              <c:numCache>
                <c:formatCode>_(* #,##0_);_(* \(#,##0\);_(* "-"??_);_(@_)</c:formatCode>
                <c:ptCount val="8"/>
                <c:pt idx="1">
                  <c:v>0</c:v>
                </c:pt>
                <c:pt idx="2">
                  <c:v>0</c:v>
                </c:pt>
                <c:pt idx="3">
                  <c:v>500000</c:v>
                </c:pt>
                <c:pt idx="4">
                  <c:v>500000</c:v>
                </c:pt>
                <c:pt idx="5">
                  <c:v>500000</c:v>
                </c:pt>
                <c:pt idx="6">
                  <c:v>500000</c:v>
                </c:pt>
                <c:pt idx="7">
                  <c:v>500000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A-1120-0F4F-BF65-D22AD63ECCE7}"/>
            </c:ext>
          </c:extLst>
        </c:ser>
        <c:ser>
          <c:idx val="11"/>
          <c:order val="11"/>
          <c:tx>
            <c:strRef>
              <c:f>'Exit Waterfall, with Convertibl'!$B$187</c:f>
              <c:strCache>
                <c:ptCount val="1"/>
                <c:pt idx="0">
                  <c:v> Common </c:v>
                </c:pt>
              </c:strCache>
            </c:strRef>
          </c:tx>
          <c:spPr>
            <a:solidFill>
              <a:srgbClr val="BBE7EA"/>
            </a:solidFill>
            <a:ln cmpd="sng">
              <a:solidFill>
                <a:srgbClr val="000000"/>
              </a:solidFill>
            </a:ln>
          </c:spPr>
          <c:invertIfNegative val="1"/>
          <c:cat>
            <c:numRef>
              <c:f>'Exit Waterfall, with Convertibl'!$C$175:$J$175</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 with Convertibl'!$C$187:$J$187</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B-1120-0F4F-BF65-D22AD63ECCE7}"/>
            </c:ext>
          </c:extLst>
        </c:ser>
        <c:ser>
          <c:idx val="12"/>
          <c:order val="12"/>
          <c:tx>
            <c:strRef>
              <c:f>'Exit Waterfall, with Convertibl'!$B$188</c:f>
              <c:strCache>
                <c:ptCount val="1"/>
                <c:pt idx="0">
                  <c:v> Options </c:v>
                </c:pt>
              </c:strCache>
            </c:strRef>
          </c:tx>
          <c:spPr>
            <a:solidFill>
              <a:srgbClr val="FFFFFF"/>
            </a:solidFill>
            <a:ln cmpd="sng">
              <a:solidFill>
                <a:srgbClr val="000000"/>
              </a:solidFill>
            </a:ln>
          </c:spPr>
          <c:invertIfNegative val="1"/>
          <c:cat>
            <c:numRef>
              <c:f>'Exit Waterfall, with Convertibl'!$C$175:$J$175</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 with Convertibl'!$C$188:$J$188</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C-1120-0F4F-BF65-D22AD63ECCE7}"/>
            </c:ext>
          </c:extLst>
        </c:ser>
        <c:ser>
          <c:idx val="13"/>
          <c:order val="13"/>
          <c:tx>
            <c:strRef>
              <c:f>'Exit Waterfall, with Convertibl'!$B$189</c:f>
              <c:strCache>
                <c:ptCount val="1"/>
                <c:pt idx="0">
                  <c:v> Options </c:v>
                </c:pt>
              </c:strCache>
            </c:strRef>
          </c:tx>
          <c:spPr>
            <a:solidFill>
              <a:srgbClr val="FFFFFF"/>
            </a:solidFill>
            <a:ln cmpd="sng">
              <a:solidFill>
                <a:srgbClr val="000000"/>
              </a:solidFill>
            </a:ln>
          </c:spPr>
          <c:invertIfNegative val="1"/>
          <c:cat>
            <c:numRef>
              <c:f>'Exit Waterfall, with Convertibl'!$C$175:$J$175</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 with Convertibl'!$C$189:$J$189</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D-1120-0F4F-BF65-D22AD63ECCE7}"/>
            </c:ext>
          </c:extLst>
        </c:ser>
        <c:ser>
          <c:idx val="14"/>
          <c:order val="14"/>
          <c:tx>
            <c:strRef>
              <c:f>'Exit Waterfall, with Convertibl'!$B$190</c:f>
              <c:strCache>
                <c:ptCount val="1"/>
                <c:pt idx="0">
                  <c:v> Warrants </c:v>
                </c:pt>
              </c:strCache>
            </c:strRef>
          </c:tx>
          <c:spPr>
            <a:solidFill>
              <a:srgbClr val="FFFFFF"/>
            </a:solidFill>
            <a:ln cmpd="sng">
              <a:solidFill>
                <a:srgbClr val="000000"/>
              </a:solidFill>
            </a:ln>
          </c:spPr>
          <c:invertIfNegative val="1"/>
          <c:cat>
            <c:numRef>
              <c:f>'Exit Waterfall, with Convertibl'!$C$175:$J$175</c:f>
              <c:numCache>
                <c:formatCode>_(* #,##0_);_(* \(#,##0\);_(* "-"??_);_(@_)</c:formatCode>
                <c:ptCount val="8"/>
                <c:pt idx="1">
                  <c:v>2000000</c:v>
                </c:pt>
                <c:pt idx="2">
                  <c:v>3000000</c:v>
                </c:pt>
                <c:pt idx="3">
                  <c:v>3500000</c:v>
                </c:pt>
                <c:pt idx="4">
                  <c:v>3500000</c:v>
                </c:pt>
                <c:pt idx="5">
                  <c:v>3500000</c:v>
                </c:pt>
                <c:pt idx="6">
                  <c:v>3500000</c:v>
                </c:pt>
                <c:pt idx="7">
                  <c:v>3500000</c:v>
                </c:pt>
              </c:numCache>
            </c:numRef>
          </c:cat>
          <c:val>
            <c:numRef>
              <c:f>'Exit Waterfall, with Convertibl'!$C$190:$J$190</c:f>
              <c:numCache>
                <c:formatCode>_(* #,##0_);_(* \(#,##0\);_(* "-"??_);_(@_)</c:formatCode>
                <c:ptCount val="8"/>
                <c:pt idx="1">
                  <c:v>0</c:v>
                </c:pt>
                <c:pt idx="2">
                  <c:v>0</c:v>
                </c:pt>
                <c:pt idx="3">
                  <c:v>0</c:v>
                </c:pt>
                <c:pt idx="4">
                  <c:v>0</c:v>
                </c:pt>
                <c:pt idx="5">
                  <c:v>0</c:v>
                </c:pt>
                <c:pt idx="6">
                  <c:v>0</c:v>
                </c:pt>
                <c:pt idx="7">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E-1120-0F4F-BF65-D22AD63ECCE7}"/>
            </c:ext>
          </c:extLst>
        </c:ser>
        <c:dLbls>
          <c:showLegendKey val="0"/>
          <c:showVal val="0"/>
          <c:showCatName val="0"/>
          <c:showSerName val="0"/>
          <c:showPercent val="0"/>
          <c:showBubbleSize val="0"/>
        </c:dLbls>
        <c:gapWidth val="150"/>
        <c:overlap val="100"/>
        <c:axId val="978486017"/>
        <c:axId val="1087965159"/>
      </c:barChart>
      <c:catAx>
        <c:axId val="978486017"/>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087965159"/>
        <c:crosses val="autoZero"/>
        <c:auto val="1"/>
        <c:lblAlgn val="ctr"/>
        <c:lblOffset val="100"/>
        <c:noMultiLvlLbl val="1"/>
      </c:catAx>
      <c:valAx>
        <c:axId val="10879651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978486017"/>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Distribution of Proceeds to Liquidation Preferences v. Common</a:t>
            </a:r>
          </a:p>
        </c:rich>
      </c:tx>
      <c:overlay val="0"/>
    </c:title>
    <c:autoTitleDeleted val="0"/>
    <c:plotArea>
      <c:layout/>
      <c:barChart>
        <c:barDir val="col"/>
        <c:grouping val="percentStacked"/>
        <c:varyColors val="1"/>
        <c:ser>
          <c:idx val="0"/>
          <c:order val="0"/>
          <c:tx>
            <c:strRef>
              <c:f>'Exit Waterfall, with Convertibl'!$C$154</c:f>
              <c:strCache>
                <c:ptCount val="1"/>
                <c:pt idx="0">
                  <c:v> Distributions to Liquidation Preferences </c:v>
                </c:pt>
              </c:strCache>
            </c:strRef>
          </c:tx>
          <c:spPr>
            <a:solidFill>
              <a:srgbClr val="4285F4"/>
            </a:solidFill>
            <a:ln cmpd="sng">
              <a:solidFill>
                <a:srgbClr val="000000"/>
              </a:solidFill>
            </a:ln>
          </c:spPr>
          <c:invertIfNegative val="1"/>
          <c:cat>
            <c:numRef>
              <c:f>'Exit Waterfall, with Convertibl'!$D$46:$J$46</c:f>
              <c:numCache>
                <c:formatCode>_(* #,##0_);_(* \(#,##0\);_(* "-"??_);_(@_)</c:formatCode>
                <c:ptCount val="7"/>
                <c:pt idx="0">
                  <c:v>2000000</c:v>
                </c:pt>
                <c:pt idx="1">
                  <c:v>3000000</c:v>
                </c:pt>
                <c:pt idx="2">
                  <c:v>4000000</c:v>
                </c:pt>
                <c:pt idx="3">
                  <c:v>8000000</c:v>
                </c:pt>
                <c:pt idx="4">
                  <c:v>16000000</c:v>
                </c:pt>
                <c:pt idx="5">
                  <c:v>32000000</c:v>
                </c:pt>
                <c:pt idx="6">
                  <c:v>64000000</c:v>
                </c:pt>
              </c:numCache>
            </c:numRef>
          </c:cat>
          <c:val>
            <c:numRef>
              <c:f>'Exit Waterfall, with Convertibl'!$D$154:$J$154</c:f>
              <c:numCache>
                <c:formatCode>_(* #,##0_);_(* \(#,##0\);_(* "-"??_);_(@_)</c:formatCode>
                <c:ptCount val="7"/>
                <c:pt idx="0">
                  <c:v>2000000</c:v>
                </c:pt>
                <c:pt idx="1">
                  <c:v>3000000</c:v>
                </c:pt>
                <c:pt idx="2">
                  <c:v>3500000</c:v>
                </c:pt>
                <c:pt idx="3">
                  <c:v>3500000</c:v>
                </c:pt>
                <c:pt idx="4">
                  <c:v>3500000</c:v>
                </c:pt>
                <c:pt idx="5">
                  <c:v>3500000</c:v>
                </c:pt>
                <c:pt idx="6">
                  <c:v>3500000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67F-7448-8E0C-1DD1AE936804}"/>
            </c:ext>
          </c:extLst>
        </c:ser>
        <c:ser>
          <c:idx val="1"/>
          <c:order val="1"/>
          <c:tx>
            <c:strRef>
              <c:f>'Exit Waterfall, with Convertibl'!$C$172</c:f>
              <c:strCache>
                <c:ptCount val="1"/>
                <c:pt idx="0">
                  <c:v> Distributions to Common </c:v>
                </c:pt>
              </c:strCache>
            </c:strRef>
          </c:tx>
          <c:spPr>
            <a:solidFill>
              <a:srgbClr val="EA4335"/>
            </a:solidFill>
            <a:ln cmpd="sng">
              <a:solidFill>
                <a:srgbClr val="000000"/>
              </a:solidFill>
            </a:ln>
          </c:spPr>
          <c:invertIfNegative val="1"/>
          <c:cat>
            <c:numRef>
              <c:f>'Exit Waterfall, with Convertibl'!$D$46:$J$46</c:f>
              <c:numCache>
                <c:formatCode>_(* #,##0_);_(* \(#,##0\);_(* "-"??_);_(@_)</c:formatCode>
                <c:ptCount val="7"/>
                <c:pt idx="0">
                  <c:v>2000000</c:v>
                </c:pt>
                <c:pt idx="1">
                  <c:v>3000000</c:v>
                </c:pt>
                <c:pt idx="2">
                  <c:v>4000000</c:v>
                </c:pt>
                <c:pt idx="3">
                  <c:v>8000000</c:v>
                </c:pt>
                <c:pt idx="4">
                  <c:v>16000000</c:v>
                </c:pt>
                <c:pt idx="5">
                  <c:v>32000000</c:v>
                </c:pt>
                <c:pt idx="6">
                  <c:v>64000000</c:v>
                </c:pt>
              </c:numCache>
            </c:numRef>
          </c:cat>
          <c:val>
            <c:numRef>
              <c:f>'Exit Waterfall, with Convertibl'!$D$172:$J$172</c:f>
              <c:numCache>
                <c:formatCode>_(* #,##0_);_(* \(#,##0\);_(* "-"??_);_(@_)</c:formatCode>
                <c:ptCount val="7"/>
                <c:pt idx="0">
                  <c:v>0</c:v>
                </c:pt>
                <c:pt idx="1">
                  <c:v>0</c:v>
                </c:pt>
                <c:pt idx="2">
                  <c:v>500000</c:v>
                </c:pt>
                <c:pt idx="3">
                  <c:v>4500000</c:v>
                </c:pt>
                <c:pt idx="4">
                  <c:v>12500000</c:v>
                </c:pt>
                <c:pt idx="5">
                  <c:v>28500000</c:v>
                </c:pt>
                <c:pt idx="6">
                  <c:v>60500000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367F-7448-8E0C-1DD1AE936804}"/>
            </c:ext>
          </c:extLst>
        </c:ser>
        <c:dLbls>
          <c:showLegendKey val="0"/>
          <c:showVal val="0"/>
          <c:showCatName val="0"/>
          <c:showSerName val="0"/>
          <c:showPercent val="0"/>
          <c:showBubbleSize val="0"/>
        </c:dLbls>
        <c:gapWidth val="150"/>
        <c:overlap val="100"/>
        <c:axId val="251086885"/>
        <c:axId val="2057358433"/>
      </c:barChart>
      <c:catAx>
        <c:axId val="251086885"/>
        <c:scaling>
          <c:orientation val="minMax"/>
        </c:scaling>
        <c:delete val="0"/>
        <c:axPos val="b"/>
        <c:title>
          <c:tx>
            <c:rich>
              <a:bodyPr/>
              <a:lstStyle/>
              <a:p>
                <a:pPr lvl="0">
                  <a:defRPr b="0">
                    <a:solidFill>
                      <a:srgbClr val="000000"/>
                    </a:solidFill>
                    <a:latin typeface="+mn-lt"/>
                  </a:defRPr>
                </a:pPr>
                <a:endParaRPr/>
              </a:p>
            </c:rich>
          </c:tx>
          <c:overlay val="0"/>
        </c:title>
        <c:numFmt formatCode="_(* #,##0_);_(* \(#,##0\);_(* &quot;-&quot;??_);_(@_)" sourceLinked="1"/>
        <c:majorTickMark val="none"/>
        <c:minorTickMark val="none"/>
        <c:tickLblPos val="nextTo"/>
        <c:txPr>
          <a:bodyPr/>
          <a:lstStyle/>
          <a:p>
            <a:pPr lvl="0">
              <a:defRPr b="0">
                <a:solidFill>
                  <a:srgbClr val="000000"/>
                </a:solidFill>
                <a:latin typeface="+mn-lt"/>
              </a:defRPr>
            </a:pPr>
            <a:endParaRPr lang="en-US"/>
          </a:p>
        </c:txPr>
        <c:crossAx val="2057358433"/>
        <c:crosses val="autoZero"/>
        <c:auto val="1"/>
        <c:lblAlgn val="ctr"/>
        <c:lblOffset val="100"/>
        <c:noMultiLvlLbl val="1"/>
      </c:catAx>
      <c:valAx>
        <c:axId val="20573584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251086885"/>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b="0">
                <a:solidFill>
                  <a:srgbClr val="757575"/>
                </a:solidFill>
                <a:latin typeface="+mn-lt"/>
              </a:rPr>
              <a:t>Distribution of Proceeds to Liquidation Preferences v. Common</a:t>
            </a:r>
          </a:p>
        </c:rich>
      </c:tx>
      <c:overlay val="0"/>
    </c:title>
    <c:autoTitleDeleted val="0"/>
    <c:plotArea>
      <c:layout/>
      <c:barChart>
        <c:barDir val="col"/>
        <c:grouping val="stacked"/>
        <c:varyColors val="1"/>
        <c:ser>
          <c:idx val="0"/>
          <c:order val="0"/>
          <c:tx>
            <c:strRef>
              <c:f>'Exit Waterfall, with Convertibl'!$C$154</c:f>
              <c:strCache>
                <c:ptCount val="1"/>
                <c:pt idx="0">
                  <c:v> Distributions to Liquidation Preferences </c:v>
                </c:pt>
              </c:strCache>
            </c:strRef>
          </c:tx>
          <c:spPr>
            <a:solidFill>
              <a:srgbClr val="4285F4"/>
            </a:solidFill>
            <a:ln cmpd="sng">
              <a:solidFill>
                <a:srgbClr val="000000"/>
              </a:solidFill>
            </a:ln>
          </c:spPr>
          <c:invertIfNegative val="1"/>
          <c:cat>
            <c:numRef>
              <c:f>'Exit Waterfall, with Convertibl'!$D$46:$J$46</c:f>
              <c:numCache>
                <c:formatCode>_(* #,##0_);_(* \(#,##0\);_(* "-"??_);_(@_)</c:formatCode>
                <c:ptCount val="7"/>
                <c:pt idx="0">
                  <c:v>2000000</c:v>
                </c:pt>
                <c:pt idx="1">
                  <c:v>3000000</c:v>
                </c:pt>
                <c:pt idx="2">
                  <c:v>4000000</c:v>
                </c:pt>
                <c:pt idx="3">
                  <c:v>8000000</c:v>
                </c:pt>
                <c:pt idx="4">
                  <c:v>16000000</c:v>
                </c:pt>
                <c:pt idx="5">
                  <c:v>32000000</c:v>
                </c:pt>
                <c:pt idx="6">
                  <c:v>64000000</c:v>
                </c:pt>
              </c:numCache>
            </c:numRef>
          </c:cat>
          <c:val>
            <c:numRef>
              <c:f>'Exit Waterfall, with Convertibl'!$D$154:$J$154</c:f>
              <c:numCache>
                <c:formatCode>_(* #,##0_);_(* \(#,##0\);_(* "-"??_);_(@_)</c:formatCode>
                <c:ptCount val="7"/>
                <c:pt idx="0">
                  <c:v>2000000</c:v>
                </c:pt>
                <c:pt idx="1">
                  <c:v>3000000</c:v>
                </c:pt>
                <c:pt idx="2">
                  <c:v>3500000</c:v>
                </c:pt>
                <c:pt idx="3">
                  <c:v>3500000</c:v>
                </c:pt>
                <c:pt idx="4">
                  <c:v>3500000</c:v>
                </c:pt>
                <c:pt idx="5">
                  <c:v>3500000</c:v>
                </c:pt>
                <c:pt idx="6">
                  <c:v>3500000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BE3C-664F-84BF-E127AB4C5C71}"/>
            </c:ext>
          </c:extLst>
        </c:ser>
        <c:ser>
          <c:idx val="1"/>
          <c:order val="1"/>
          <c:tx>
            <c:strRef>
              <c:f>'Exit Waterfall, with Convertibl'!$C$172</c:f>
              <c:strCache>
                <c:ptCount val="1"/>
                <c:pt idx="0">
                  <c:v> Distributions to Common </c:v>
                </c:pt>
              </c:strCache>
            </c:strRef>
          </c:tx>
          <c:spPr>
            <a:solidFill>
              <a:srgbClr val="EA4335"/>
            </a:solidFill>
            <a:ln cmpd="sng">
              <a:solidFill>
                <a:srgbClr val="000000"/>
              </a:solidFill>
            </a:ln>
          </c:spPr>
          <c:invertIfNegative val="1"/>
          <c:cat>
            <c:numRef>
              <c:f>'Exit Waterfall, with Convertibl'!$D$46:$J$46</c:f>
              <c:numCache>
                <c:formatCode>_(* #,##0_);_(* \(#,##0\);_(* "-"??_);_(@_)</c:formatCode>
                <c:ptCount val="7"/>
                <c:pt idx="0">
                  <c:v>2000000</c:v>
                </c:pt>
                <c:pt idx="1">
                  <c:v>3000000</c:v>
                </c:pt>
                <c:pt idx="2">
                  <c:v>4000000</c:v>
                </c:pt>
                <c:pt idx="3">
                  <c:v>8000000</c:v>
                </c:pt>
                <c:pt idx="4">
                  <c:v>16000000</c:v>
                </c:pt>
                <c:pt idx="5">
                  <c:v>32000000</c:v>
                </c:pt>
                <c:pt idx="6">
                  <c:v>64000000</c:v>
                </c:pt>
              </c:numCache>
            </c:numRef>
          </c:cat>
          <c:val>
            <c:numRef>
              <c:f>'Exit Waterfall, with Convertibl'!$D$172:$J$172</c:f>
              <c:numCache>
                <c:formatCode>_(* #,##0_);_(* \(#,##0\);_(* "-"??_);_(@_)</c:formatCode>
                <c:ptCount val="7"/>
                <c:pt idx="0">
                  <c:v>0</c:v>
                </c:pt>
                <c:pt idx="1">
                  <c:v>0</c:v>
                </c:pt>
                <c:pt idx="2">
                  <c:v>500000</c:v>
                </c:pt>
                <c:pt idx="3">
                  <c:v>4500000</c:v>
                </c:pt>
                <c:pt idx="4">
                  <c:v>12500000</c:v>
                </c:pt>
                <c:pt idx="5">
                  <c:v>28500000</c:v>
                </c:pt>
                <c:pt idx="6">
                  <c:v>60500000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BE3C-664F-84BF-E127AB4C5C71}"/>
            </c:ext>
          </c:extLst>
        </c:ser>
        <c:dLbls>
          <c:showLegendKey val="0"/>
          <c:showVal val="0"/>
          <c:showCatName val="0"/>
          <c:showSerName val="0"/>
          <c:showPercent val="0"/>
          <c:showBubbleSize val="0"/>
        </c:dLbls>
        <c:gapWidth val="150"/>
        <c:overlap val="100"/>
        <c:axId val="763023416"/>
        <c:axId val="2091693981"/>
      </c:barChart>
      <c:catAx>
        <c:axId val="763023416"/>
        <c:scaling>
          <c:orientation val="minMax"/>
        </c:scaling>
        <c:delete val="0"/>
        <c:axPos val="b"/>
        <c:title>
          <c:tx>
            <c:rich>
              <a:bodyPr/>
              <a:lstStyle/>
              <a:p>
                <a:pPr lvl="0">
                  <a:defRPr b="0">
                    <a:solidFill>
                      <a:srgbClr val="000000"/>
                    </a:solidFill>
                    <a:latin typeface="+mn-lt"/>
                  </a:defRPr>
                </a:pPr>
                <a:endParaRPr/>
              </a:p>
            </c:rich>
          </c:tx>
          <c:overlay val="0"/>
        </c:title>
        <c:numFmt formatCode="_(* #,##0_);_(* \(#,##0\);_(* &quot;-&quot;??_);_(@_)" sourceLinked="1"/>
        <c:majorTickMark val="none"/>
        <c:minorTickMark val="none"/>
        <c:tickLblPos val="nextTo"/>
        <c:txPr>
          <a:bodyPr/>
          <a:lstStyle/>
          <a:p>
            <a:pPr lvl="0">
              <a:defRPr b="0">
                <a:solidFill>
                  <a:srgbClr val="000000"/>
                </a:solidFill>
                <a:latin typeface="+mn-lt"/>
              </a:defRPr>
            </a:pPr>
            <a:endParaRPr lang="en-US"/>
          </a:p>
        </c:txPr>
        <c:crossAx val="2091693981"/>
        <c:crosses val="autoZero"/>
        <c:auto val="1"/>
        <c:lblAlgn val="ctr"/>
        <c:lblOffset val="100"/>
        <c:noMultiLvlLbl val="1"/>
      </c:catAx>
      <c:valAx>
        <c:axId val="209169398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_(* #,##0_);_(* \(#,##0\);_(* &quot;-&quot;??_);_(@_)" sourceLinked="1"/>
        <c:majorTickMark val="none"/>
        <c:minorTickMark val="none"/>
        <c:tickLblPos val="nextTo"/>
        <c:spPr>
          <a:ln/>
        </c:spPr>
        <c:txPr>
          <a:bodyPr/>
          <a:lstStyle/>
          <a:p>
            <a:pPr lvl="0">
              <a:defRPr b="0">
                <a:solidFill>
                  <a:srgbClr val="000000"/>
                </a:solidFill>
                <a:latin typeface="+mn-lt"/>
              </a:defRPr>
            </a:pPr>
            <a:endParaRPr lang="en-US"/>
          </a:p>
        </c:txPr>
        <c:crossAx val="763023416"/>
        <c:crosses val="autoZero"/>
        <c:crossBetween val="between"/>
      </c:valAx>
    </c:plotArea>
    <c:legend>
      <c:legendPos val="b"/>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28575</xdr:colOff>
      <xdr:row>229</xdr:row>
      <xdr:rowOff>76200</xdr:rowOff>
    </xdr:from>
    <xdr:ext cx="5057775" cy="3714750"/>
    <xdr:graphicFrame macro="">
      <xdr:nvGraphicFramePr>
        <xdr:cNvPr id="2" name="Chart 1" title="Chart">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28575</xdr:colOff>
      <xdr:row>229</xdr:row>
      <xdr:rowOff>76200</xdr:rowOff>
    </xdr:from>
    <xdr:ext cx="5057775" cy="3714750"/>
    <xdr:graphicFrame macro="">
      <xdr:nvGraphicFramePr>
        <xdr:cNvPr id="3" name="Chart 2" title="Chart">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xdr:col>
      <xdr:colOff>28575</xdr:colOff>
      <xdr:row>249</xdr:row>
      <xdr:rowOff>38100</xdr:rowOff>
    </xdr:from>
    <xdr:ext cx="5057775" cy="3619500"/>
    <xdr:graphicFrame macro="">
      <xdr:nvGraphicFramePr>
        <xdr:cNvPr id="4" name="Chart 3" title="Chart">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6</xdr:col>
      <xdr:colOff>28575</xdr:colOff>
      <xdr:row>249</xdr:row>
      <xdr:rowOff>38100</xdr:rowOff>
    </xdr:from>
    <xdr:ext cx="5057775" cy="3619500"/>
    <xdr:graphicFrame macro="">
      <xdr:nvGraphicFramePr>
        <xdr:cNvPr id="5" name="Chart 4" title="Chart">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28575</xdr:colOff>
      <xdr:row>264</xdr:row>
      <xdr:rowOff>76200</xdr:rowOff>
    </xdr:from>
    <xdr:ext cx="5057775" cy="3714750"/>
    <xdr:graphicFrame macro="">
      <xdr:nvGraphicFramePr>
        <xdr:cNvPr id="5" name="Chart 5" title="Chart">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28575</xdr:colOff>
      <xdr:row>264</xdr:row>
      <xdr:rowOff>76200</xdr:rowOff>
    </xdr:from>
    <xdr:ext cx="5057775" cy="3714750"/>
    <xdr:graphicFrame macro="">
      <xdr:nvGraphicFramePr>
        <xdr:cNvPr id="6" name="Chart 6" title="Chart">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xdr:col>
      <xdr:colOff>28575</xdr:colOff>
      <xdr:row>284</xdr:row>
      <xdr:rowOff>38100</xdr:rowOff>
    </xdr:from>
    <xdr:ext cx="5057775" cy="3619500"/>
    <xdr:graphicFrame macro="">
      <xdr:nvGraphicFramePr>
        <xdr:cNvPr id="7" name="Chart 7" title="Chart">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6</xdr:col>
      <xdr:colOff>28575</xdr:colOff>
      <xdr:row>284</xdr:row>
      <xdr:rowOff>38100</xdr:rowOff>
    </xdr:from>
    <xdr:ext cx="5057775" cy="3619500"/>
    <xdr:graphicFrame macro="">
      <xdr:nvGraphicFramePr>
        <xdr:cNvPr id="8" name="Chart 8" title="Chart">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4:C12">
  <tableColumns count="2">
    <tableColumn id="1" xr3:uid="{00000000-0010-0000-0000-000001000000}" name="Copyright &amp; Contact"/>
    <tableColumn id="2" xr3:uid="{00000000-0010-0000-0000-000002000000}" name="This was created by Taylor Davidson (@tdavidson) of Foresight._x000a_© 2025, Unstructured Ventures, LLC._x000a_Questions, contact taylor@foresight.is or @tdavidson_x000a_"/>
  </tableColumns>
  <tableStyleInfo name="READM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6:C31">
  <tableColumns count="2">
    <tableColumn id="1" xr3:uid="{00000000-0010-0000-0100-000001000000}" name="README"/>
    <tableColumn id="2" xr3:uid="{00000000-0010-0000-0100-000002000000}" name="Contact into, overview on model. Safe to delete or hide."/>
  </tableColumns>
  <tableStyleInfo name="README-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7:D18">
  <tableColumns count="3">
    <tableColumn id="1" xr3:uid="{00000000-0010-0000-0200-000001000000}" name="Cap Table and Exit Waterfall Tool"/>
    <tableColumn id="2" xr3:uid="{00000000-0010-0000-0200-000002000000}" name="This model; instructional tool to learn how cap tables and exit waterfalls work"/>
    <tableColumn id="3" xr3:uid="{00000000-0010-0000-0200-000003000000}" name="https://foresight.is/cap-table"/>
  </tableColumns>
  <tableStyleInfo name="Resources-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B7:C46">
  <tableColumns count="2">
    <tableColumn id="1" xr3:uid="{00000000-0010-0000-0300-000001000000}" name="Investment Amount"/>
    <tableColumn id="2" xr3:uid="{00000000-0010-0000-0300-000002000000}" name="New amount invested to purchase shares in a round"/>
  </tableColumns>
  <tableStyleInfo name="Glossary-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B6:D63" headerRowCount="0">
  <tableColumns count="3">
    <tableColumn id="1" xr3:uid="{00000000-0010-0000-0400-000001000000}" name="Column1"/>
    <tableColumn id="2" xr3:uid="{00000000-0010-0000-0400-000002000000}" name="Column2"/>
    <tableColumn id="3" xr3:uid="{00000000-0010-0000-0400-000003000000}" name="Column3"/>
  </tableColumns>
  <tableStyleInfo name="Changelog-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foresight.is/docs/options/" TargetMode="External"/><Relationship Id="rId3" Type="http://schemas.openxmlformats.org/officeDocument/2006/relationships/hyperlink" Target="https://foresight.is/learn/colors-and-formatting" TargetMode="External"/><Relationship Id="rId7" Type="http://schemas.openxmlformats.org/officeDocument/2006/relationships/hyperlink" Target="https://foresight.is/docs/convertibles/" TargetMode="External"/><Relationship Id="rId2" Type="http://schemas.openxmlformats.org/officeDocument/2006/relationships/hyperlink" Target="https://foresight.is/cap-table-masterclass/" TargetMode="External"/><Relationship Id="rId1" Type="http://schemas.openxmlformats.org/officeDocument/2006/relationships/hyperlink" Target="https://foresight.is/learn/support" TargetMode="External"/><Relationship Id="rId6" Type="http://schemas.openxmlformats.org/officeDocument/2006/relationships/hyperlink" Target="https://foresight.is/docs/equity/" TargetMode="External"/><Relationship Id="rId5" Type="http://schemas.openxmlformats.org/officeDocument/2006/relationships/hyperlink" Target="https://foresight.is/docs/equity/" TargetMode="External"/><Relationship Id="rId10" Type="http://schemas.openxmlformats.org/officeDocument/2006/relationships/table" Target="../tables/table2.xml"/><Relationship Id="rId4" Type="http://schemas.openxmlformats.org/officeDocument/2006/relationships/hyperlink" Target="https://foresight.is/license" TargetMode="External"/><Relationship Id="rId9"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foresight.is/docs/iterative-calculations/"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foresight.is/docs/iterative-calculations/"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ledgy.com/blog/pre-and-post-money-option-pools/" TargetMode="External"/><Relationship Id="rId13" Type="http://schemas.openxmlformats.org/officeDocument/2006/relationships/table" Target="../tables/table3.xml"/><Relationship Id="rId3" Type="http://schemas.openxmlformats.org/officeDocument/2006/relationships/hyperlink" Target="https://safes.carta.com/" TargetMode="External"/><Relationship Id="rId7" Type="http://schemas.openxmlformats.org/officeDocument/2006/relationships/hyperlink" Target="https://chloealpert.com/how-to-model-ownership-dilution-and-how-pro-rata-works-in-venture-capital-deals/" TargetMode="External"/><Relationship Id="rId12" Type="http://schemas.openxmlformats.org/officeDocument/2006/relationships/hyperlink" Target="https://vcmethod.com/" TargetMode="External"/><Relationship Id="rId2" Type="http://schemas.openxmlformats.org/officeDocument/2006/relationships/hyperlink" Target="https://www.angelcalc.com/" TargetMode="External"/><Relationship Id="rId1" Type="http://schemas.openxmlformats.org/officeDocument/2006/relationships/hyperlink" Target="https://foresight.is/cap-table" TargetMode="External"/><Relationship Id="rId6" Type="http://schemas.openxmlformats.org/officeDocument/2006/relationships/hyperlink" Target="https://learn.angellist.com/articles/cap-table" TargetMode="External"/><Relationship Id="rId11" Type="http://schemas.openxmlformats.org/officeDocument/2006/relationships/hyperlink" Target="https://www.ycombinator.com/documents" TargetMode="External"/><Relationship Id="rId5" Type="http://schemas.openxmlformats.org/officeDocument/2006/relationships/hyperlink" Target="https://www.eloquens.com/search/cap%20table" TargetMode="External"/><Relationship Id="rId10" Type="http://schemas.openxmlformats.org/officeDocument/2006/relationships/hyperlink" Target="https://carta.com/blog/pre-money-and-post-money-safes/" TargetMode="External"/><Relationship Id="rId4" Type="http://schemas.openxmlformats.org/officeDocument/2006/relationships/hyperlink" Target="https://foresight.is/cap-table-course/" TargetMode="External"/><Relationship Id="rId9" Type="http://schemas.openxmlformats.org/officeDocument/2006/relationships/hyperlink" Target="https://www.cooleygo.com/calculating-share-price-outstanding-convertible-notes-or-safes/"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cooleygo.com/calculating-share-price-outstanding-convertible-notes-or-safes/" TargetMode="External"/><Relationship Id="rId3" Type="http://schemas.openxmlformats.org/officeDocument/2006/relationships/hyperlink" Target="https://www.upcounsel.com/convertible-note-interest-rate" TargetMode="External"/><Relationship Id="rId7" Type="http://schemas.openxmlformats.org/officeDocument/2006/relationships/hyperlink" Target="https://www.cooleygo.com/calculating-share-price-outstanding-convertible-notes-or-safes/" TargetMode="External"/><Relationship Id="rId2" Type="http://schemas.openxmlformats.org/officeDocument/2006/relationships/hyperlink" Target="https://www.cooleygo.com/understanding-the-valuation-cap/" TargetMode="External"/><Relationship Id="rId1" Type="http://schemas.openxmlformats.org/officeDocument/2006/relationships/hyperlink" Target="https://www.investopedia.com/terms/e/equityfinancing.asp" TargetMode="External"/><Relationship Id="rId6" Type="http://schemas.openxmlformats.org/officeDocument/2006/relationships/hyperlink" Target="https://www.cooleygo.com/calculating-share-price-outstanding-convertible-notes-or-safes/" TargetMode="External"/><Relationship Id="rId5" Type="http://schemas.openxmlformats.org/officeDocument/2006/relationships/hyperlink" Target="https://www.investopedia.com/articles/stocks/06/preferredstock.asp" TargetMode="External"/><Relationship Id="rId10" Type="http://schemas.openxmlformats.org/officeDocument/2006/relationships/table" Target="../tables/table4.xml"/><Relationship Id="rId4" Type="http://schemas.openxmlformats.org/officeDocument/2006/relationships/hyperlink" Target="https://www.investopedia.com/terms/c/commonstock.asp" TargetMode="External"/><Relationship Id="rId9" Type="http://schemas.openxmlformats.org/officeDocument/2006/relationships/hyperlink" Target="https://www.investopedia.com/terms/w/warrant.asp" TargetMode="External"/></Relationships>
</file>

<file path=xl/worksheets/_rels/sheet12.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hyperlink" Target="https://foresight.is/cap-tab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C32"/>
  <sheetViews>
    <sheetView showGridLines="0" tabSelected="1" workbookViewId="0">
      <selection activeCell="A4" sqref="A4:XFD12"/>
    </sheetView>
  </sheetViews>
  <sheetFormatPr baseColWidth="10" defaultColWidth="12.6640625" defaultRowHeight="15.75" customHeight="1"/>
  <cols>
    <col min="1" max="1" width="4.1640625" customWidth="1"/>
    <col min="2" max="2" width="36.83203125" customWidth="1"/>
    <col min="3" max="3" width="65.6640625" customWidth="1"/>
    <col min="4" max="4" width="22.6640625" customWidth="1"/>
  </cols>
  <sheetData>
    <row r="2" spans="2:3">
      <c r="B2" s="1" t="s">
        <v>0</v>
      </c>
    </row>
    <row r="3" spans="2:3" ht="15.75" customHeight="1">
      <c r="B3" s="2"/>
    </row>
    <row r="4" spans="2:3" ht="44" customHeight="1">
      <c r="B4" s="3" t="s">
        <v>1</v>
      </c>
      <c r="C4" s="4" t="s">
        <v>2</v>
      </c>
    </row>
    <row r="5" spans="2:3" ht="44" customHeight="1">
      <c r="B5" s="3" t="s">
        <v>3</v>
      </c>
      <c r="C5" s="4" t="s">
        <v>4</v>
      </c>
    </row>
    <row r="6" spans="2:3" ht="44" customHeight="1">
      <c r="B6" s="3" t="s">
        <v>5</v>
      </c>
      <c r="C6" s="5" t="s">
        <v>6</v>
      </c>
    </row>
    <row r="7" spans="2:3" ht="44" customHeight="1">
      <c r="B7" s="3" t="s">
        <v>7</v>
      </c>
      <c r="C7" s="6" t="s">
        <v>8</v>
      </c>
    </row>
    <row r="8" spans="2:3" ht="44" customHeight="1">
      <c r="B8" s="3" t="s">
        <v>9</v>
      </c>
      <c r="C8" s="7" t="s">
        <v>10</v>
      </c>
    </row>
    <row r="9" spans="2:3" ht="44" customHeight="1">
      <c r="B9" s="3" t="s">
        <v>11</v>
      </c>
      <c r="C9" s="7" t="s">
        <v>12</v>
      </c>
    </row>
    <row r="10" spans="2:3" ht="44" customHeight="1">
      <c r="B10" s="3" t="s">
        <v>13</v>
      </c>
      <c r="C10" s="7" t="s">
        <v>14</v>
      </c>
    </row>
    <row r="11" spans="2:3" ht="44" customHeight="1">
      <c r="B11" s="3" t="s">
        <v>15</v>
      </c>
      <c r="C11" s="7" t="s">
        <v>16</v>
      </c>
    </row>
    <row r="12" spans="2:3" ht="44" customHeight="1">
      <c r="B12" s="3" t="s">
        <v>17</v>
      </c>
      <c r="C12" s="6" t="s">
        <v>18</v>
      </c>
    </row>
    <row r="13" spans="2:3" ht="15.75" customHeight="1">
      <c r="B13" s="6"/>
      <c r="C13" s="6"/>
    </row>
    <row r="14" spans="2:3" ht="15.75" customHeight="1">
      <c r="B14" s="8" t="s">
        <v>19</v>
      </c>
      <c r="C14" s="9"/>
    </row>
    <row r="15" spans="2:3" ht="15.75" customHeight="1">
      <c r="B15" s="4"/>
      <c r="C15" s="9"/>
    </row>
    <row r="16" spans="2:3" ht="15.75" customHeight="1">
      <c r="B16" s="4" t="s">
        <v>20</v>
      </c>
      <c r="C16" s="6" t="s">
        <v>21</v>
      </c>
    </row>
    <row r="17" spans="2:3" ht="15.75" customHeight="1">
      <c r="B17" s="4" t="s">
        <v>22</v>
      </c>
      <c r="C17" s="7" t="s">
        <v>23</v>
      </c>
    </row>
    <row r="18" spans="2:3" ht="15.75" customHeight="1">
      <c r="B18" s="4" t="s">
        <v>5</v>
      </c>
      <c r="C18" s="7" t="s">
        <v>24</v>
      </c>
    </row>
    <row r="19" spans="2:3" ht="15.75" customHeight="1">
      <c r="B19" s="4" t="s">
        <v>25</v>
      </c>
      <c r="C19" s="6" t="s">
        <v>26</v>
      </c>
    </row>
    <row r="20" spans="2:3" ht="15.75" customHeight="1">
      <c r="B20" s="6" t="s">
        <v>27</v>
      </c>
      <c r="C20" s="7" t="s">
        <v>28</v>
      </c>
    </row>
    <row r="21" spans="2:3" ht="15.75" customHeight="1">
      <c r="B21" s="6" t="s">
        <v>29</v>
      </c>
      <c r="C21" s="7" t="s">
        <v>28</v>
      </c>
    </row>
    <row r="22" spans="2:3" ht="15.75" customHeight="1">
      <c r="B22" s="6" t="s">
        <v>30</v>
      </c>
      <c r="C22" s="7" t="s">
        <v>31</v>
      </c>
    </row>
    <row r="23" spans="2:3" ht="15.75" customHeight="1">
      <c r="B23" s="6" t="s">
        <v>32</v>
      </c>
      <c r="C23" s="7" t="s">
        <v>33</v>
      </c>
    </row>
    <row r="24" spans="2:3" ht="15.75" customHeight="1">
      <c r="B24" s="6" t="s">
        <v>34</v>
      </c>
      <c r="C24" s="6" t="s">
        <v>35</v>
      </c>
    </row>
    <row r="25" spans="2:3" ht="15.75" customHeight="1">
      <c r="B25" s="6" t="s">
        <v>36</v>
      </c>
      <c r="C25" s="6" t="s">
        <v>37</v>
      </c>
    </row>
    <row r="26" spans="2:3" ht="15.75" customHeight="1">
      <c r="B26" s="6" t="s">
        <v>38</v>
      </c>
      <c r="C26" s="6" t="s">
        <v>39</v>
      </c>
    </row>
    <row r="27" spans="2:3" ht="15.75" customHeight="1">
      <c r="B27" s="6" t="s">
        <v>40</v>
      </c>
      <c r="C27" s="6" t="s">
        <v>41</v>
      </c>
    </row>
    <row r="28" spans="2:3" ht="15.75" customHeight="1">
      <c r="B28" s="6" t="s">
        <v>42</v>
      </c>
      <c r="C28" s="6" t="s">
        <v>43</v>
      </c>
    </row>
    <row r="29" spans="2:3" ht="15.75" customHeight="1">
      <c r="B29" s="6" t="s">
        <v>44</v>
      </c>
      <c r="C29" s="6" t="s">
        <v>45</v>
      </c>
    </row>
    <row r="30" spans="2:3" ht="15.75" customHeight="1">
      <c r="B30" s="6" t="s">
        <v>46</v>
      </c>
      <c r="C30" s="6" t="s">
        <v>47</v>
      </c>
    </row>
    <row r="31" spans="2:3" ht="15.75" customHeight="1">
      <c r="B31" s="6" t="s">
        <v>48</v>
      </c>
      <c r="C31" s="6" t="s">
        <v>49</v>
      </c>
    </row>
    <row r="32" spans="2:3" ht="15.75" customHeight="1">
      <c r="B32" s="10"/>
      <c r="C32" s="6"/>
    </row>
  </sheetData>
  <hyperlinks>
    <hyperlink ref="C6" location="null!A1" display="tl:dr; You can modify, edit, use, and share within your company (and with third-parties as needed to operate your business). You may not redistribute, resell, give away to others. Full license._x000a_" xr:uid="{00000000-0004-0000-0000-000000000000}"/>
    <hyperlink ref="C8" location="null!A1" display="File &gt; Make a Copy to copy it to your own Google Drive, or File &gt; Download to download this to use in Excel or other spreadsheet programs. See License for warranties and liabilities._x000a_" xr:uid="{00000000-0004-0000-0000-000001000000}"/>
    <hyperlink ref="C9" r:id="rId1" xr:uid="{00000000-0004-0000-0000-000002000000}"/>
    <hyperlink ref="C10" r:id="rId2" xr:uid="{00000000-0004-0000-0000-000003000000}"/>
    <hyperlink ref="C11" location="null!A1" display="Check out the Resources for other resources for modeling cap tables, and contact me if you have any questions or specific needs. I provide custom cap table modeling services to many founders, investors, and lawyers._x000a_" xr:uid="{00000000-0004-0000-0000-000004000000}"/>
    <hyperlink ref="C17" r:id="rId3" xr:uid="{00000000-0004-0000-0000-000005000000}"/>
    <hyperlink ref="C18" r:id="rId4" xr:uid="{00000000-0004-0000-0000-000006000000}"/>
    <hyperlink ref="C20" r:id="rId5" xr:uid="{00000000-0004-0000-0000-000007000000}"/>
    <hyperlink ref="C21" r:id="rId6" xr:uid="{00000000-0004-0000-0000-000008000000}"/>
    <hyperlink ref="C22" r:id="rId7" xr:uid="{00000000-0004-0000-0000-000009000000}"/>
    <hyperlink ref="C23" r:id="rId8" xr:uid="{00000000-0004-0000-0000-00000A000000}"/>
  </hyperlinks>
  <pageMargins left="0.7" right="0.7" top="0.75" bottom="0.75" header="0.3" footer="0.3"/>
  <tableParts count="2">
    <tablePart r:id="rId9"/>
    <tablePart r:id="rId1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29"/>
  <sheetViews>
    <sheetView showGridLines="0" workbookViewId="0"/>
  </sheetViews>
  <sheetFormatPr baseColWidth="10" defaultColWidth="12.6640625" defaultRowHeight="15.75" customHeight="1"/>
  <cols>
    <col min="1" max="1" width="2.83203125" customWidth="1"/>
    <col min="2" max="2" width="79.1640625" customWidth="1"/>
  </cols>
  <sheetData>
    <row r="1" spans="1:2" ht="29.25" customHeight="1">
      <c r="A1" s="1"/>
      <c r="B1" s="1" t="s">
        <v>50</v>
      </c>
    </row>
    <row r="2" spans="1:2" ht="19.5" customHeight="1">
      <c r="A2" s="11"/>
      <c r="B2" s="12" t="s">
        <v>51</v>
      </c>
    </row>
    <row r="3" spans="1:2" ht="13">
      <c r="A3" s="13"/>
      <c r="B3" s="13"/>
    </row>
    <row r="4" spans="1:2" ht="98">
      <c r="A4" s="13"/>
      <c r="B4" s="13" t="s">
        <v>52</v>
      </c>
    </row>
    <row r="5" spans="1:2" ht="13">
      <c r="A5" s="13"/>
      <c r="B5" s="13"/>
    </row>
    <row r="6" spans="1:2" ht="14">
      <c r="A6" s="13"/>
      <c r="B6" s="13" t="s">
        <v>53</v>
      </c>
    </row>
    <row r="7" spans="1:2" ht="13">
      <c r="A7" s="13"/>
      <c r="B7" s="13"/>
    </row>
    <row r="8" spans="1:2" ht="14">
      <c r="A8" s="13"/>
      <c r="B8" s="13" t="s">
        <v>54</v>
      </c>
    </row>
    <row r="9" spans="1:2" ht="28">
      <c r="A9" s="13"/>
      <c r="B9" s="13" t="s">
        <v>55</v>
      </c>
    </row>
    <row r="10" spans="1:2" ht="14">
      <c r="A10" s="13"/>
      <c r="B10" s="13" t="s">
        <v>56</v>
      </c>
    </row>
    <row r="11" spans="1:2" ht="14">
      <c r="A11" s="13"/>
      <c r="B11" s="13" t="s">
        <v>57</v>
      </c>
    </row>
    <row r="12" spans="1:2" ht="14">
      <c r="A12" s="13"/>
      <c r="B12" s="13" t="s">
        <v>58</v>
      </c>
    </row>
    <row r="13" spans="1:2" ht="13">
      <c r="A13" s="13"/>
      <c r="B13" s="13"/>
    </row>
    <row r="14" spans="1:2" ht="14">
      <c r="A14" s="13"/>
      <c r="B14" s="13" t="s">
        <v>59</v>
      </c>
    </row>
    <row r="15" spans="1:2" ht="14">
      <c r="A15" s="13"/>
      <c r="B15" s="13" t="s">
        <v>60</v>
      </c>
    </row>
    <row r="16" spans="1:2" ht="28">
      <c r="A16" s="13"/>
      <c r="B16" s="13" t="s">
        <v>61</v>
      </c>
    </row>
    <row r="17" spans="1:2" ht="14">
      <c r="A17" s="13"/>
      <c r="B17" s="13" t="s">
        <v>62</v>
      </c>
    </row>
    <row r="18" spans="1:2" ht="28">
      <c r="A18" s="13"/>
      <c r="B18" s="13" t="s">
        <v>63</v>
      </c>
    </row>
    <row r="19" spans="1:2" ht="28">
      <c r="A19" s="13"/>
      <c r="B19" s="13" t="s">
        <v>64</v>
      </c>
    </row>
    <row r="20" spans="1:2" ht="14">
      <c r="A20" s="13"/>
      <c r="B20" s="13" t="s">
        <v>65</v>
      </c>
    </row>
    <row r="21" spans="1:2" ht="28">
      <c r="A21" s="13"/>
      <c r="B21" s="13" t="s">
        <v>66</v>
      </c>
    </row>
    <row r="22" spans="1:2" ht="13">
      <c r="A22" s="13"/>
      <c r="B22" s="13"/>
    </row>
    <row r="23" spans="1:2" ht="154">
      <c r="A23" s="13"/>
      <c r="B23" s="13" t="s">
        <v>67</v>
      </c>
    </row>
    <row r="24" spans="1:2" ht="13">
      <c r="A24" s="13"/>
      <c r="B24" s="13"/>
    </row>
    <row r="25" spans="1:2" ht="112">
      <c r="A25" s="13"/>
      <c r="B25" s="13" t="s">
        <v>68</v>
      </c>
    </row>
    <row r="26" spans="1:2" ht="13">
      <c r="A26" s="13"/>
      <c r="B26" s="13"/>
    </row>
    <row r="27" spans="1:2" ht="84">
      <c r="A27" s="13"/>
      <c r="B27" s="13" t="s">
        <v>69</v>
      </c>
    </row>
    <row r="28" spans="1:2" ht="13">
      <c r="A28" s="13"/>
      <c r="B28" s="13"/>
    </row>
    <row r="29" spans="1:2" ht="84">
      <c r="A29" s="13"/>
      <c r="B29" s="13" t="s">
        <v>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O71"/>
  <sheetViews>
    <sheetView showGridLines="0" workbookViewId="0">
      <pane xSplit="2" topLeftCell="C1" activePane="topRight" state="frozen"/>
      <selection pane="topRight" activeCell="M45" sqref="M45"/>
    </sheetView>
  </sheetViews>
  <sheetFormatPr baseColWidth="10" defaultColWidth="12.6640625" defaultRowHeight="15.75" customHeight="1"/>
  <cols>
    <col min="1" max="1" width="5.83203125" customWidth="1"/>
    <col min="2" max="2" width="37.83203125" customWidth="1"/>
    <col min="9" max="9" width="16.83203125" customWidth="1"/>
    <col min="10" max="10" width="10" customWidth="1"/>
    <col min="11" max="11" width="14.6640625" customWidth="1"/>
    <col min="12" max="12" width="16.83203125" customWidth="1"/>
    <col min="13" max="13" width="13.1640625" customWidth="1"/>
    <col min="14" max="15" width="13.6640625" customWidth="1"/>
    <col min="16" max="17" width="16" customWidth="1"/>
    <col min="18" max="18" width="13.5" customWidth="1"/>
    <col min="19" max="19" width="14.1640625" customWidth="1"/>
    <col min="20" max="20" width="13.1640625" customWidth="1"/>
    <col min="21" max="21" width="15.1640625" customWidth="1"/>
    <col min="22" max="22" width="14.5" customWidth="1"/>
    <col min="23" max="23" width="13.5" customWidth="1"/>
    <col min="24" max="26" width="13.1640625" customWidth="1"/>
    <col min="27" max="27" width="14.6640625" customWidth="1"/>
    <col min="28" max="28" width="16.83203125" customWidth="1"/>
    <col min="29" max="29" width="13.1640625" customWidth="1"/>
    <col min="30" max="31" width="13.6640625" customWidth="1"/>
    <col min="32" max="33" width="16" customWidth="1"/>
    <col min="34" max="34" width="13.5" customWidth="1"/>
    <col min="35" max="35" width="14.1640625" customWidth="1"/>
    <col min="36" max="36" width="13.1640625" customWidth="1"/>
    <col min="37" max="37" width="15.1640625" customWidth="1"/>
    <col min="38" max="38" width="14.5" customWidth="1"/>
    <col min="39" max="39" width="13.5" customWidth="1"/>
    <col min="40" max="42" width="13.1640625" customWidth="1"/>
  </cols>
  <sheetData>
    <row r="1" spans="1:41" ht="15.75" customHeight="1">
      <c r="L1" s="14"/>
      <c r="Q1" s="14"/>
      <c r="R1" s="14"/>
      <c r="S1" s="14"/>
      <c r="T1" s="14"/>
      <c r="U1" s="14"/>
      <c r="V1" s="14"/>
      <c r="AB1" s="14"/>
      <c r="AG1" s="14"/>
      <c r="AH1" s="14"/>
      <c r="AI1" s="14"/>
      <c r="AJ1" s="14"/>
      <c r="AK1" s="14"/>
      <c r="AL1" s="14"/>
    </row>
    <row r="2" spans="1:41">
      <c r="B2" s="1" t="s">
        <v>71</v>
      </c>
      <c r="G2" s="15" t="s">
        <v>72</v>
      </c>
      <c r="L2" s="14"/>
      <c r="Q2" s="14"/>
      <c r="R2" s="14"/>
      <c r="S2" s="14"/>
      <c r="T2" s="14"/>
      <c r="U2" s="14"/>
      <c r="V2" s="14"/>
      <c r="AB2" s="14"/>
      <c r="AG2" s="14"/>
      <c r="AH2" s="14"/>
      <c r="AI2" s="14"/>
      <c r="AJ2" s="14"/>
      <c r="AK2" s="14"/>
      <c r="AL2" s="14"/>
    </row>
    <row r="3" spans="1:41" ht="15.75" customHeight="1">
      <c r="B3" s="16" t="s">
        <v>73</v>
      </c>
      <c r="L3" s="14"/>
      <c r="Q3" s="14"/>
      <c r="R3" s="14"/>
      <c r="S3" s="14"/>
      <c r="T3" s="14"/>
      <c r="U3" s="14"/>
      <c r="V3" s="14"/>
      <c r="AB3" s="14"/>
      <c r="AG3" s="14"/>
      <c r="AH3" s="14"/>
      <c r="AI3" s="14"/>
      <c r="AJ3" s="14"/>
      <c r="AK3" s="14"/>
      <c r="AL3" s="14"/>
    </row>
    <row r="4" spans="1:41" ht="15.75" customHeight="1">
      <c r="L4" s="14"/>
      <c r="Q4" s="14"/>
      <c r="R4" s="14"/>
      <c r="S4" s="14"/>
      <c r="T4" s="14"/>
      <c r="U4" s="14"/>
      <c r="V4" s="14"/>
      <c r="AB4" s="14"/>
      <c r="AG4" s="14"/>
      <c r="AH4" s="14"/>
      <c r="AI4" s="14"/>
      <c r="AJ4" s="14"/>
      <c r="AK4" s="14"/>
      <c r="AL4" s="14"/>
    </row>
    <row r="5" spans="1:41" ht="15.75" customHeight="1">
      <c r="B5" s="17" t="s">
        <v>74</v>
      </c>
      <c r="C5" s="18"/>
      <c r="D5" s="18"/>
      <c r="E5" s="18"/>
      <c r="F5" s="18"/>
      <c r="G5" s="18"/>
      <c r="H5" s="18"/>
      <c r="I5" s="18"/>
      <c r="K5" s="17" t="s">
        <v>75</v>
      </c>
      <c r="L5" s="19"/>
      <c r="M5" s="18"/>
      <c r="N5" s="18"/>
      <c r="O5" s="18"/>
      <c r="P5" s="19"/>
      <c r="Q5" s="19"/>
      <c r="R5" s="19"/>
      <c r="S5" s="19"/>
      <c r="T5" s="19"/>
      <c r="U5" s="19"/>
      <c r="V5" s="18"/>
      <c r="W5" s="18"/>
      <c r="X5" s="18"/>
      <c r="Y5" s="18"/>
      <c r="AA5" s="17" t="s">
        <v>75</v>
      </c>
      <c r="AB5" s="19"/>
      <c r="AC5" s="18"/>
      <c r="AD5" s="18"/>
      <c r="AE5" s="18"/>
      <c r="AF5" s="19"/>
      <c r="AG5" s="19"/>
      <c r="AH5" s="19"/>
      <c r="AI5" s="19"/>
      <c r="AJ5" s="19"/>
      <c r="AK5" s="19"/>
      <c r="AL5" s="18"/>
      <c r="AM5" s="18"/>
      <c r="AN5" s="18"/>
      <c r="AO5" s="18"/>
    </row>
    <row r="6" spans="1:41" ht="15.75" customHeight="1">
      <c r="L6" s="14"/>
      <c r="P6" s="14"/>
      <c r="Q6" s="14"/>
      <c r="R6" s="14"/>
      <c r="S6" s="14"/>
      <c r="T6" s="14"/>
      <c r="U6" s="14"/>
      <c r="AB6" s="14"/>
      <c r="AF6" s="14"/>
      <c r="AG6" s="14"/>
      <c r="AH6" s="14"/>
      <c r="AI6" s="14"/>
      <c r="AJ6" s="14"/>
      <c r="AK6" s="14"/>
    </row>
    <row r="7" spans="1:41" ht="15.75" customHeight="1">
      <c r="A7" s="20"/>
      <c r="B7" s="21" t="s">
        <v>76</v>
      </c>
      <c r="C7" s="22" t="s">
        <v>77</v>
      </c>
      <c r="D7" s="22" t="s">
        <v>78</v>
      </c>
      <c r="E7" s="22" t="s">
        <v>79</v>
      </c>
      <c r="F7" s="22" t="s">
        <v>80</v>
      </c>
      <c r="G7" s="22" t="s">
        <v>81</v>
      </c>
      <c r="H7" s="22" t="s">
        <v>82</v>
      </c>
      <c r="I7" s="22" t="s">
        <v>83</v>
      </c>
      <c r="J7" s="20"/>
      <c r="K7" s="21" t="s">
        <v>84</v>
      </c>
      <c r="L7" s="23" t="s">
        <v>85</v>
      </c>
      <c r="M7" s="23" t="s">
        <v>86</v>
      </c>
      <c r="N7" s="23" t="s">
        <v>86</v>
      </c>
      <c r="O7" s="23" t="s">
        <v>87</v>
      </c>
      <c r="P7" s="23" t="str">
        <f t="shared" ref="P7:Q7" si="0">C7&amp;" Transferred"</f>
        <v>Common Shares Transferred</v>
      </c>
      <c r="Q7" s="23" t="str">
        <f t="shared" si="0"/>
        <v>Preferred Shares Transferred</v>
      </c>
      <c r="R7" s="23" t="str">
        <f>E7&amp;" Issued, Cancelled, or Recategorized"</f>
        <v>Options Issued, Cancelled, or Recategorized</v>
      </c>
      <c r="S7" s="22" t="str">
        <f t="shared" ref="S7:Y7" si="1">C7</f>
        <v>Common Shares</v>
      </c>
      <c r="T7" s="22" t="str">
        <f t="shared" si="1"/>
        <v>Preferred Shares</v>
      </c>
      <c r="U7" s="22" t="str">
        <f t="shared" si="1"/>
        <v>Options</v>
      </c>
      <c r="V7" s="22" t="str">
        <f t="shared" si="1"/>
        <v>Issued and Outstanding</v>
      </c>
      <c r="W7" s="22" t="str">
        <f t="shared" si="1"/>
        <v>% Issued and Outstanding</v>
      </c>
      <c r="X7" s="23" t="str">
        <f t="shared" si="1"/>
        <v>Fully Diluted Shares</v>
      </c>
      <c r="Y7" s="22" t="str">
        <f t="shared" si="1"/>
        <v>% Fully Diluted</v>
      </c>
      <c r="AA7" s="21" t="s">
        <v>84</v>
      </c>
      <c r="AB7" s="23" t="s">
        <v>85</v>
      </c>
      <c r="AC7" s="23" t="s">
        <v>86</v>
      </c>
      <c r="AD7" s="23" t="s">
        <v>86</v>
      </c>
      <c r="AE7" s="23" t="s">
        <v>87</v>
      </c>
      <c r="AF7" s="23" t="str">
        <f t="shared" ref="AF7:AG7" si="2">S7&amp;" Transferred"</f>
        <v>Common Shares Transferred</v>
      </c>
      <c r="AG7" s="23" t="str">
        <f t="shared" si="2"/>
        <v>Preferred Shares Transferred</v>
      </c>
      <c r="AH7" s="23" t="str">
        <f>U7&amp;" Issued, Cancelled, or Recategorized"</f>
        <v>Options Issued, Cancelled, or Recategorized</v>
      </c>
      <c r="AI7" s="22" t="str">
        <f t="shared" ref="AI7:AO7" si="3">S7</f>
        <v>Common Shares</v>
      </c>
      <c r="AJ7" s="22" t="str">
        <f t="shared" si="3"/>
        <v>Preferred Shares</v>
      </c>
      <c r="AK7" s="22" t="str">
        <f t="shared" si="3"/>
        <v>Options</v>
      </c>
      <c r="AL7" s="22" t="str">
        <f t="shared" si="3"/>
        <v>Issued and Outstanding</v>
      </c>
      <c r="AM7" s="22" t="str">
        <f t="shared" si="3"/>
        <v>% Issued and Outstanding</v>
      </c>
      <c r="AN7" s="23" t="str">
        <f t="shared" si="3"/>
        <v>Fully Diluted Shares</v>
      </c>
      <c r="AO7" s="22" t="str">
        <f t="shared" si="3"/>
        <v>% Fully Diluted</v>
      </c>
    </row>
    <row r="8" spans="1:41" ht="15.75" customHeight="1">
      <c r="B8" s="24"/>
      <c r="D8" s="25" t="s">
        <v>88</v>
      </c>
      <c r="L8" s="25" t="s">
        <v>89</v>
      </c>
      <c r="M8" s="25" t="s">
        <v>90</v>
      </c>
      <c r="N8" s="25" t="s">
        <v>91</v>
      </c>
      <c r="O8" s="25" t="s">
        <v>92</v>
      </c>
      <c r="P8" s="26" t="s">
        <v>93</v>
      </c>
      <c r="Q8" s="25"/>
      <c r="R8" s="25"/>
      <c r="X8" s="14"/>
      <c r="AB8" s="25" t="s">
        <v>89</v>
      </c>
      <c r="AC8" s="25" t="s">
        <v>90</v>
      </c>
      <c r="AD8" s="25" t="s">
        <v>91</v>
      </c>
      <c r="AE8" s="25" t="s">
        <v>92</v>
      </c>
      <c r="AF8" s="26" t="s">
        <v>93</v>
      </c>
      <c r="AG8" s="25"/>
      <c r="AH8" s="25"/>
      <c r="AN8" s="14"/>
    </row>
    <row r="9" spans="1:41" ht="15.75" customHeight="1">
      <c r="B9" s="27" t="s">
        <v>94</v>
      </c>
      <c r="C9" s="28"/>
      <c r="D9" s="28"/>
      <c r="E9" s="28"/>
      <c r="F9" s="28"/>
      <c r="G9" s="29"/>
      <c r="H9" s="28"/>
      <c r="I9" s="29"/>
      <c r="L9" s="14"/>
      <c r="M9" s="28"/>
      <c r="N9" s="28"/>
      <c r="O9" s="28"/>
      <c r="P9" s="28"/>
      <c r="Q9" s="28"/>
      <c r="R9" s="28"/>
      <c r="S9" s="28"/>
      <c r="T9" s="28"/>
      <c r="U9" s="28"/>
      <c r="V9" s="28"/>
      <c r="W9" s="29"/>
      <c r="X9" s="28"/>
      <c r="Y9" s="29"/>
      <c r="AB9" s="14"/>
      <c r="AC9" s="28"/>
      <c r="AD9" s="28"/>
      <c r="AE9" s="28"/>
      <c r="AF9" s="28"/>
      <c r="AG9" s="28"/>
      <c r="AH9" s="28"/>
      <c r="AI9" s="28"/>
      <c r="AJ9" s="28"/>
      <c r="AK9" s="28"/>
      <c r="AL9" s="28"/>
      <c r="AM9" s="29"/>
      <c r="AN9" s="28"/>
      <c r="AO9" s="29"/>
    </row>
    <row r="10" spans="1:41" ht="15.75" customHeight="1">
      <c r="B10" s="30" t="s">
        <v>76</v>
      </c>
      <c r="C10" s="31">
        <v>0</v>
      </c>
      <c r="D10" s="31">
        <v>0</v>
      </c>
      <c r="E10" s="32">
        <v>0</v>
      </c>
      <c r="F10" s="28">
        <f t="shared" ref="F10:F14" si="4">D10+C10</f>
        <v>0</v>
      </c>
      <c r="G10" s="29">
        <f t="shared" ref="G10:G14" si="5">IFERROR(F10/F$34,0)</f>
        <v>0</v>
      </c>
      <c r="H10" s="28">
        <f t="shared" ref="H10:H14" si="6">E10+D10+C10</f>
        <v>0</v>
      </c>
      <c r="I10" s="29">
        <f t="shared" ref="I10:I14" si="7">IFERROR(H10/H$34,0)</f>
        <v>0</v>
      </c>
      <c r="K10" s="14">
        <v>0</v>
      </c>
      <c r="L10" s="14">
        <v>0</v>
      </c>
      <c r="M10" s="14">
        <v>0</v>
      </c>
      <c r="N10" s="14">
        <v>0</v>
      </c>
      <c r="O10" s="14">
        <v>0</v>
      </c>
      <c r="P10" s="31">
        <v>0</v>
      </c>
      <c r="Q10" s="31">
        <v>0</v>
      </c>
      <c r="R10" s="31">
        <v>0</v>
      </c>
      <c r="S10" s="28">
        <f t="shared" ref="S10:S14" si="8">C10+P10</f>
        <v>0</v>
      </c>
      <c r="T10" s="28">
        <f t="shared" ref="T10:T14" si="9">N10+D10+M10+Q10</f>
        <v>0</v>
      </c>
      <c r="U10" s="28">
        <f t="shared" ref="U10:U14" si="10">E10+O10+R10</f>
        <v>0</v>
      </c>
      <c r="V10" s="28">
        <f t="shared" ref="V10:V14" si="11">T10+S10</f>
        <v>0</v>
      </c>
      <c r="W10" s="29">
        <f t="shared" ref="W10:W14" si="12">IFERROR(V10/V$34,0)</f>
        <v>0</v>
      </c>
      <c r="X10" s="28">
        <f t="shared" ref="X10:X14" si="13">U10+T10+S10</f>
        <v>0</v>
      </c>
      <c r="Y10" s="29">
        <f t="shared" ref="Y10:Y14" si="14">IFERROR(X10/X$34,0)</f>
        <v>0</v>
      </c>
      <c r="AA10" s="14">
        <v>0</v>
      </c>
      <c r="AB10" s="14">
        <v>0</v>
      </c>
      <c r="AC10" s="14">
        <v>0</v>
      </c>
      <c r="AD10" s="14">
        <v>0</v>
      </c>
      <c r="AE10" s="14">
        <v>0</v>
      </c>
      <c r="AF10" s="31">
        <v>0</v>
      </c>
      <c r="AG10" s="31">
        <v>0</v>
      </c>
      <c r="AH10" s="31">
        <v>0</v>
      </c>
      <c r="AI10" s="28">
        <f t="shared" ref="AI10:AI14" si="15">S10+AF10</f>
        <v>0</v>
      </c>
      <c r="AJ10" s="28">
        <f t="shared" ref="AJ10:AJ14" si="16">AD10+T10+AC10+AG10</f>
        <v>0</v>
      </c>
      <c r="AK10" s="28">
        <f t="shared" ref="AK10:AK14" si="17">U10+AE10+AH10</f>
        <v>0</v>
      </c>
      <c r="AL10" s="28">
        <f t="shared" ref="AL10:AL14" si="18">AJ10+AI10</f>
        <v>0</v>
      </c>
      <c r="AM10" s="29">
        <f t="shared" ref="AM10:AM14" si="19">IFERROR(AL10/AL$34,0)</f>
        <v>0</v>
      </c>
      <c r="AN10" s="28">
        <f t="shared" ref="AN10:AN14" si="20">AK10+AJ10+AI10</f>
        <v>0</v>
      </c>
      <c r="AO10" s="29">
        <f t="shared" ref="AO10:AO14" si="21">IFERROR(AN10/AN$34,0)</f>
        <v>0</v>
      </c>
    </row>
    <row r="11" spans="1:41" ht="15.75" customHeight="1">
      <c r="B11" s="30" t="s">
        <v>76</v>
      </c>
      <c r="C11" s="31">
        <v>0</v>
      </c>
      <c r="D11" s="31">
        <v>0</v>
      </c>
      <c r="E11" s="32">
        <v>0</v>
      </c>
      <c r="F11" s="28">
        <f t="shared" si="4"/>
        <v>0</v>
      </c>
      <c r="G11" s="29">
        <f t="shared" si="5"/>
        <v>0</v>
      </c>
      <c r="H11" s="28">
        <f t="shared" si="6"/>
        <v>0</v>
      </c>
      <c r="I11" s="29">
        <f t="shared" si="7"/>
        <v>0</v>
      </c>
      <c r="K11" s="14">
        <v>0</v>
      </c>
      <c r="L11" s="14">
        <v>0</v>
      </c>
      <c r="M11" s="14">
        <v>0</v>
      </c>
      <c r="N11" s="14">
        <v>0</v>
      </c>
      <c r="O11" s="14">
        <v>0</v>
      </c>
      <c r="P11" s="31">
        <v>0</v>
      </c>
      <c r="Q11" s="31">
        <v>0</v>
      </c>
      <c r="R11" s="31">
        <v>0</v>
      </c>
      <c r="S11" s="28">
        <f t="shared" si="8"/>
        <v>0</v>
      </c>
      <c r="T11" s="28">
        <f t="shared" si="9"/>
        <v>0</v>
      </c>
      <c r="U11" s="28">
        <f t="shared" si="10"/>
        <v>0</v>
      </c>
      <c r="V11" s="28">
        <f t="shared" si="11"/>
        <v>0</v>
      </c>
      <c r="W11" s="29">
        <f t="shared" si="12"/>
        <v>0</v>
      </c>
      <c r="X11" s="28">
        <f t="shared" si="13"/>
        <v>0</v>
      </c>
      <c r="Y11" s="29">
        <f t="shared" si="14"/>
        <v>0</v>
      </c>
      <c r="AA11" s="14">
        <v>0</v>
      </c>
      <c r="AB11" s="14">
        <v>0</v>
      </c>
      <c r="AC11" s="14">
        <v>0</v>
      </c>
      <c r="AD11" s="14">
        <v>0</v>
      </c>
      <c r="AE11" s="14">
        <v>0</v>
      </c>
      <c r="AF11" s="31">
        <v>0</v>
      </c>
      <c r="AG11" s="31">
        <v>0</v>
      </c>
      <c r="AH11" s="31">
        <v>0</v>
      </c>
      <c r="AI11" s="28">
        <f t="shared" si="15"/>
        <v>0</v>
      </c>
      <c r="AJ11" s="28">
        <f t="shared" si="16"/>
        <v>0</v>
      </c>
      <c r="AK11" s="28">
        <f t="shared" si="17"/>
        <v>0</v>
      </c>
      <c r="AL11" s="28">
        <f t="shared" si="18"/>
        <v>0</v>
      </c>
      <c r="AM11" s="29">
        <f t="shared" si="19"/>
        <v>0</v>
      </c>
      <c r="AN11" s="28">
        <f t="shared" si="20"/>
        <v>0</v>
      </c>
      <c r="AO11" s="29">
        <f t="shared" si="21"/>
        <v>0</v>
      </c>
    </row>
    <row r="12" spans="1:41" ht="15.75" customHeight="1">
      <c r="B12" s="30" t="s">
        <v>76</v>
      </c>
      <c r="C12" s="31">
        <v>0</v>
      </c>
      <c r="D12" s="31">
        <v>0</v>
      </c>
      <c r="E12" s="32">
        <v>0</v>
      </c>
      <c r="F12" s="28">
        <f t="shared" si="4"/>
        <v>0</v>
      </c>
      <c r="G12" s="29">
        <f t="shared" si="5"/>
        <v>0</v>
      </c>
      <c r="H12" s="28">
        <f t="shared" si="6"/>
        <v>0</v>
      </c>
      <c r="I12" s="29">
        <f t="shared" si="7"/>
        <v>0</v>
      </c>
      <c r="K12" s="14">
        <v>0</v>
      </c>
      <c r="L12" s="14">
        <v>0</v>
      </c>
      <c r="M12" s="14">
        <v>0</v>
      </c>
      <c r="N12" s="14">
        <v>0</v>
      </c>
      <c r="O12" s="14">
        <v>0</v>
      </c>
      <c r="P12" s="31">
        <v>0</v>
      </c>
      <c r="Q12" s="31">
        <v>0</v>
      </c>
      <c r="R12" s="31">
        <v>0</v>
      </c>
      <c r="S12" s="28">
        <f t="shared" si="8"/>
        <v>0</v>
      </c>
      <c r="T12" s="28">
        <f t="shared" si="9"/>
        <v>0</v>
      </c>
      <c r="U12" s="28">
        <f t="shared" si="10"/>
        <v>0</v>
      </c>
      <c r="V12" s="28">
        <f t="shared" si="11"/>
        <v>0</v>
      </c>
      <c r="W12" s="29">
        <f t="shared" si="12"/>
        <v>0</v>
      </c>
      <c r="X12" s="28">
        <f t="shared" si="13"/>
        <v>0</v>
      </c>
      <c r="Y12" s="29">
        <f t="shared" si="14"/>
        <v>0</v>
      </c>
      <c r="AA12" s="14">
        <v>0</v>
      </c>
      <c r="AB12" s="14">
        <v>0</v>
      </c>
      <c r="AC12" s="14">
        <v>0</v>
      </c>
      <c r="AD12" s="14">
        <v>0</v>
      </c>
      <c r="AE12" s="14">
        <v>0</v>
      </c>
      <c r="AF12" s="31">
        <v>0</v>
      </c>
      <c r="AG12" s="31">
        <v>0</v>
      </c>
      <c r="AH12" s="31">
        <v>0</v>
      </c>
      <c r="AI12" s="28">
        <f t="shared" si="15"/>
        <v>0</v>
      </c>
      <c r="AJ12" s="28">
        <f t="shared" si="16"/>
        <v>0</v>
      </c>
      <c r="AK12" s="28">
        <f t="shared" si="17"/>
        <v>0</v>
      </c>
      <c r="AL12" s="28">
        <f t="shared" si="18"/>
        <v>0</v>
      </c>
      <c r="AM12" s="29">
        <f t="shared" si="19"/>
        <v>0</v>
      </c>
      <c r="AN12" s="28">
        <f t="shared" si="20"/>
        <v>0</v>
      </c>
      <c r="AO12" s="29">
        <f t="shared" si="21"/>
        <v>0</v>
      </c>
    </row>
    <row r="13" spans="1:41" ht="15.75" customHeight="1">
      <c r="B13" s="30" t="s">
        <v>76</v>
      </c>
      <c r="C13" s="31">
        <v>0</v>
      </c>
      <c r="D13" s="31">
        <v>0</v>
      </c>
      <c r="E13" s="32">
        <v>0</v>
      </c>
      <c r="F13" s="28">
        <f t="shared" si="4"/>
        <v>0</v>
      </c>
      <c r="G13" s="29">
        <f t="shared" si="5"/>
        <v>0</v>
      </c>
      <c r="H13" s="28">
        <f t="shared" si="6"/>
        <v>0</v>
      </c>
      <c r="I13" s="29">
        <f t="shared" si="7"/>
        <v>0</v>
      </c>
      <c r="K13" s="14">
        <v>0</v>
      </c>
      <c r="L13" s="14">
        <v>0</v>
      </c>
      <c r="M13" s="14">
        <v>0</v>
      </c>
      <c r="N13" s="14">
        <v>0</v>
      </c>
      <c r="O13" s="14">
        <v>0</v>
      </c>
      <c r="P13" s="31">
        <v>0</v>
      </c>
      <c r="Q13" s="31">
        <v>0</v>
      </c>
      <c r="R13" s="31">
        <v>0</v>
      </c>
      <c r="S13" s="28">
        <f t="shared" si="8"/>
        <v>0</v>
      </c>
      <c r="T13" s="28">
        <f t="shared" si="9"/>
        <v>0</v>
      </c>
      <c r="U13" s="28">
        <f t="shared" si="10"/>
        <v>0</v>
      </c>
      <c r="V13" s="28">
        <f t="shared" si="11"/>
        <v>0</v>
      </c>
      <c r="W13" s="29">
        <f t="shared" si="12"/>
        <v>0</v>
      </c>
      <c r="X13" s="28">
        <f t="shared" si="13"/>
        <v>0</v>
      </c>
      <c r="Y13" s="29">
        <f t="shared" si="14"/>
        <v>0</v>
      </c>
      <c r="AA13" s="14">
        <v>0</v>
      </c>
      <c r="AB13" s="14">
        <v>0</v>
      </c>
      <c r="AC13" s="14">
        <v>0</v>
      </c>
      <c r="AD13" s="14">
        <v>0</v>
      </c>
      <c r="AE13" s="14">
        <v>0</v>
      </c>
      <c r="AF13" s="31">
        <v>0</v>
      </c>
      <c r="AG13" s="31">
        <v>0</v>
      </c>
      <c r="AH13" s="31">
        <v>0</v>
      </c>
      <c r="AI13" s="28">
        <f t="shared" si="15"/>
        <v>0</v>
      </c>
      <c r="AJ13" s="28">
        <f t="shared" si="16"/>
        <v>0</v>
      </c>
      <c r="AK13" s="28">
        <f t="shared" si="17"/>
        <v>0</v>
      </c>
      <c r="AL13" s="28">
        <f t="shared" si="18"/>
        <v>0</v>
      </c>
      <c r="AM13" s="29">
        <f t="shared" si="19"/>
        <v>0</v>
      </c>
      <c r="AN13" s="28">
        <f t="shared" si="20"/>
        <v>0</v>
      </c>
      <c r="AO13" s="29">
        <f t="shared" si="21"/>
        <v>0</v>
      </c>
    </row>
    <row r="14" spans="1:41" ht="15.75" customHeight="1">
      <c r="B14" s="30" t="s">
        <v>76</v>
      </c>
      <c r="C14" s="31">
        <v>0</v>
      </c>
      <c r="D14" s="31">
        <v>0</v>
      </c>
      <c r="E14" s="32">
        <v>0</v>
      </c>
      <c r="F14" s="28">
        <f t="shared" si="4"/>
        <v>0</v>
      </c>
      <c r="G14" s="29">
        <f t="shared" si="5"/>
        <v>0</v>
      </c>
      <c r="H14" s="28">
        <f t="shared" si="6"/>
        <v>0</v>
      </c>
      <c r="I14" s="29">
        <f t="shared" si="7"/>
        <v>0</v>
      </c>
      <c r="K14" s="14">
        <v>0</v>
      </c>
      <c r="L14" s="14">
        <v>0</v>
      </c>
      <c r="M14" s="14">
        <v>0</v>
      </c>
      <c r="N14" s="14">
        <v>0</v>
      </c>
      <c r="O14" s="14">
        <v>0</v>
      </c>
      <c r="P14" s="31">
        <v>0</v>
      </c>
      <c r="Q14" s="31">
        <v>0</v>
      </c>
      <c r="R14" s="31">
        <v>0</v>
      </c>
      <c r="S14" s="28">
        <f t="shared" si="8"/>
        <v>0</v>
      </c>
      <c r="T14" s="28">
        <f t="shared" si="9"/>
        <v>0</v>
      </c>
      <c r="U14" s="28">
        <f t="shared" si="10"/>
        <v>0</v>
      </c>
      <c r="V14" s="28">
        <f t="shared" si="11"/>
        <v>0</v>
      </c>
      <c r="W14" s="29">
        <f t="shared" si="12"/>
        <v>0</v>
      </c>
      <c r="X14" s="28">
        <f t="shared" si="13"/>
        <v>0</v>
      </c>
      <c r="Y14" s="29">
        <f t="shared" si="14"/>
        <v>0</v>
      </c>
      <c r="AA14" s="14">
        <v>0</v>
      </c>
      <c r="AB14" s="14">
        <v>0</v>
      </c>
      <c r="AC14" s="14">
        <v>0</v>
      </c>
      <c r="AD14" s="14">
        <v>0</v>
      </c>
      <c r="AE14" s="14">
        <v>0</v>
      </c>
      <c r="AF14" s="31">
        <v>0</v>
      </c>
      <c r="AG14" s="31">
        <v>0</v>
      </c>
      <c r="AH14" s="31">
        <v>0</v>
      </c>
      <c r="AI14" s="28">
        <f t="shared" si="15"/>
        <v>0</v>
      </c>
      <c r="AJ14" s="28">
        <f t="shared" si="16"/>
        <v>0</v>
      </c>
      <c r="AK14" s="28">
        <f t="shared" si="17"/>
        <v>0</v>
      </c>
      <c r="AL14" s="28">
        <f t="shared" si="18"/>
        <v>0</v>
      </c>
      <c r="AM14" s="29">
        <f t="shared" si="19"/>
        <v>0</v>
      </c>
      <c r="AN14" s="28">
        <f t="shared" si="20"/>
        <v>0</v>
      </c>
      <c r="AO14" s="29">
        <f t="shared" si="21"/>
        <v>0</v>
      </c>
    </row>
    <row r="15" spans="1:41" ht="15.75" customHeight="1">
      <c r="B15" s="10"/>
      <c r="C15" s="14"/>
      <c r="D15" s="14"/>
      <c r="E15" s="14"/>
      <c r="F15" s="14"/>
      <c r="H15" s="14"/>
      <c r="L15" s="14"/>
      <c r="M15" s="28"/>
      <c r="N15" s="28"/>
      <c r="O15" s="33"/>
      <c r="P15" s="33"/>
      <c r="Q15" s="33"/>
      <c r="R15" s="33"/>
      <c r="S15" s="33"/>
      <c r="T15" s="28"/>
      <c r="U15" s="28"/>
      <c r="X15" s="28"/>
      <c r="AB15" s="14"/>
      <c r="AC15" s="28"/>
      <c r="AD15" s="28"/>
      <c r="AE15" s="33"/>
      <c r="AF15" s="33"/>
      <c r="AG15" s="33"/>
      <c r="AH15" s="33"/>
      <c r="AI15" s="33"/>
      <c r="AJ15" s="28"/>
      <c r="AK15" s="28"/>
      <c r="AN15" s="28"/>
    </row>
    <row r="16" spans="1:41" ht="15.75" customHeight="1">
      <c r="B16" s="27" t="s">
        <v>95</v>
      </c>
      <c r="C16" s="14"/>
      <c r="D16" s="14"/>
      <c r="E16" s="14"/>
      <c r="F16" s="14"/>
      <c r="H16" s="14"/>
      <c r="L16" s="14"/>
      <c r="M16" s="28"/>
      <c r="N16" s="28"/>
      <c r="O16" s="33"/>
      <c r="P16" s="33"/>
      <c r="Q16" s="33"/>
      <c r="R16" s="33"/>
      <c r="S16" s="33"/>
      <c r="T16" s="28"/>
      <c r="U16" s="28"/>
      <c r="X16" s="28"/>
      <c r="AB16" s="14"/>
      <c r="AC16" s="28"/>
      <c r="AD16" s="28"/>
      <c r="AE16" s="33"/>
      <c r="AF16" s="33"/>
      <c r="AG16" s="33"/>
      <c r="AH16" s="33"/>
      <c r="AI16" s="33"/>
      <c r="AJ16" s="28"/>
      <c r="AK16" s="28"/>
      <c r="AN16" s="28"/>
    </row>
    <row r="17" spans="2:41" ht="15.75" customHeight="1">
      <c r="B17" s="34" t="str">
        <f>B16&amp;" issued and outstanding"</f>
        <v>Options and RSUs issued and outstanding</v>
      </c>
      <c r="C17" s="31">
        <v>0</v>
      </c>
      <c r="D17" s="31">
        <v>0</v>
      </c>
      <c r="E17" s="32">
        <v>0</v>
      </c>
      <c r="F17" s="28">
        <f t="shared" ref="F17:F19" si="22">D17+C17</f>
        <v>0</v>
      </c>
      <c r="G17" s="29">
        <f t="shared" ref="G17:G19" si="23">IFERROR(F17/F$34,0)</f>
        <v>0</v>
      </c>
      <c r="H17" s="28">
        <f t="shared" ref="H17:H19" si="24">E17+D17+C17</f>
        <v>0</v>
      </c>
      <c r="I17" s="29">
        <f t="shared" ref="I17:I19" si="25">IFERROR(H17/H$34,0)</f>
        <v>0</v>
      </c>
      <c r="K17" s="14">
        <v>0</v>
      </c>
      <c r="L17" s="14">
        <v>0</v>
      </c>
      <c r="M17" s="14">
        <v>0</v>
      </c>
      <c r="N17" s="14">
        <v>0</v>
      </c>
      <c r="O17" s="14">
        <v>0</v>
      </c>
      <c r="P17" s="31">
        <v>0</v>
      </c>
      <c r="Q17" s="31">
        <v>0</v>
      </c>
      <c r="R17" s="31">
        <v>0</v>
      </c>
      <c r="S17" s="28">
        <f t="shared" ref="S17:S19" si="26">C17+P17</f>
        <v>0</v>
      </c>
      <c r="T17" s="28">
        <f t="shared" ref="T17:T19" si="27">N17+D17+M17+Q17</f>
        <v>0</v>
      </c>
      <c r="U17" s="28">
        <f t="shared" ref="U17:U19" si="28">E17+O17+R17</f>
        <v>0</v>
      </c>
      <c r="V17" s="28">
        <f t="shared" ref="V17:V19" si="29">T17+S17</f>
        <v>0</v>
      </c>
      <c r="W17" s="29">
        <f t="shared" ref="W17:W19" si="30">IFERROR(V17/V$34,0)</f>
        <v>0</v>
      </c>
      <c r="X17" s="28">
        <f t="shared" ref="X17:X19" si="31">U17+T17+S17</f>
        <v>0</v>
      </c>
      <c r="Y17" s="29">
        <f t="shared" ref="Y17:Y19" si="32">IFERROR(X17/X$34,0)</f>
        <v>0</v>
      </c>
      <c r="AA17" s="14">
        <v>0</v>
      </c>
      <c r="AB17" s="14">
        <v>0</v>
      </c>
      <c r="AC17" s="14">
        <v>0</v>
      </c>
      <c r="AD17" s="14">
        <v>0</v>
      </c>
      <c r="AE17" s="14">
        <v>0</v>
      </c>
      <c r="AF17" s="31">
        <v>0</v>
      </c>
      <c r="AG17" s="31">
        <v>0</v>
      </c>
      <c r="AH17" s="31">
        <f>ABS(AC66)</f>
        <v>0</v>
      </c>
      <c r="AI17" s="28">
        <f t="shared" ref="AI17:AI19" si="33">S17+AF17</f>
        <v>0</v>
      </c>
      <c r="AJ17" s="28">
        <f t="shared" ref="AJ17:AJ19" si="34">AD17+T17+AC17+AG17</f>
        <v>0</v>
      </c>
      <c r="AK17" s="28">
        <f t="shared" ref="AK17:AK19" si="35">U17+AE17+AH17</f>
        <v>0</v>
      </c>
      <c r="AL17" s="28">
        <f t="shared" ref="AL17:AL19" si="36">AJ17+AI17</f>
        <v>0</v>
      </c>
      <c r="AM17" s="29">
        <f t="shared" ref="AM17:AM19" si="37">IFERROR(AL17/AL$34,0)</f>
        <v>0</v>
      </c>
      <c r="AN17" s="28">
        <f t="shared" ref="AN17:AN19" si="38">AK17+AJ17+AI17</f>
        <v>0</v>
      </c>
      <c r="AO17" s="29">
        <f t="shared" ref="AO17:AO19" si="39">IFERROR(AN17/AN$34,0)</f>
        <v>0</v>
      </c>
    </row>
    <row r="18" spans="2:41" ht="15.75" customHeight="1">
      <c r="B18" s="34" t="s">
        <v>96</v>
      </c>
      <c r="C18" s="31">
        <v>0</v>
      </c>
      <c r="D18" s="31">
        <v>0</v>
      </c>
      <c r="E18" s="32">
        <v>0</v>
      </c>
      <c r="F18" s="28">
        <f t="shared" si="22"/>
        <v>0</v>
      </c>
      <c r="G18" s="29">
        <f t="shared" si="23"/>
        <v>0</v>
      </c>
      <c r="H18" s="28">
        <f t="shared" si="24"/>
        <v>0</v>
      </c>
      <c r="I18" s="29">
        <f t="shared" si="25"/>
        <v>0</v>
      </c>
      <c r="K18" s="14">
        <v>0</v>
      </c>
      <c r="L18" s="14">
        <v>0</v>
      </c>
      <c r="M18" s="14">
        <v>0</v>
      </c>
      <c r="N18" s="14">
        <v>0</v>
      </c>
      <c r="O18" s="14">
        <v>0</v>
      </c>
      <c r="P18" s="31">
        <v>0</v>
      </c>
      <c r="Q18" s="31">
        <v>0</v>
      </c>
      <c r="R18" s="31">
        <v>0</v>
      </c>
      <c r="S18" s="28">
        <f t="shared" si="26"/>
        <v>0</v>
      </c>
      <c r="T18" s="28">
        <f t="shared" si="27"/>
        <v>0</v>
      </c>
      <c r="U18" s="28">
        <f t="shared" si="28"/>
        <v>0</v>
      </c>
      <c r="V18" s="28">
        <f t="shared" si="29"/>
        <v>0</v>
      </c>
      <c r="W18" s="29">
        <f t="shared" si="30"/>
        <v>0</v>
      </c>
      <c r="X18" s="28">
        <f t="shared" si="31"/>
        <v>0</v>
      </c>
      <c r="Y18" s="29">
        <f t="shared" si="32"/>
        <v>0</v>
      </c>
      <c r="AA18" s="14">
        <v>0</v>
      </c>
      <c r="AB18" s="14">
        <v>0</v>
      </c>
      <c r="AC18" s="14">
        <v>0</v>
      </c>
      <c r="AD18" s="14">
        <v>0</v>
      </c>
      <c r="AE18" s="14">
        <v>0</v>
      </c>
      <c r="AF18" s="31">
        <v>0</v>
      </c>
      <c r="AG18" s="31">
        <v>0</v>
      </c>
      <c r="AH18" s="31">
        <f>AH19*-1+ABS(AC66)*-1</f>
        <v>0</v>
      </c>
      <c r="AI18" s="28">
        <f t="shared" si="33"/>
        <v>0</v>
      </c>
      <c r="AJ18" s="28">
        <f t="shared" si="34"/>
        <v>0</v>
      </c>
      <c r="AK18" s="28">
        <f t="shared" si="35"/>
        <v>0</v>
      </c>
      <c r="AL18" s="28">
        <f t="shared" si="36"/>
        <v>0</v>
      </c>
      <c r="AM18" s="29">
        <f t="shared" si="37"/>
        <v>0</v>
      </c>
      <c r="AN18" s="28">
        <f t="shared" si="38"/>
        <v>0</v>
      </c>
      <c r="AO18" s="29">
        <f t="shared" si="39"/>
        <v>0</v>
      </c>
    </row>
    <row r="19" spans="2:41" ht="15.75" customHeight="1">
      <c r="B19" s="34" t="s">
        <v>97</v>
      </c>
      <c r="C19" s="14">
        <v>0</v>
      </c>
      <c r="D19" s="14">
        <v>0</v>
      </c>
      <c r="E19" s="14">
        <v>0</v>
      </c>
      <c r="F19" s="28">
        <f t="shared" si="22"/>
        <v>0</v>
      </c>
      <c r="G19" s="29">
        <f t="shared" si="23"/>
        <v>0</v>
      </c>
      <c r="H19" s="28">
        <f t="shared" si="24"/>
        <v>0</v>
      </c>
      <c r="I19" s="29">
        <f t="shared" si="25"/>
        <v>0</v>
      </c>
      <c r="K19" s="14">
        <v>0</v>
      </c>
      <c r="L19" s="14">
        <v>0</v>
      </c>
      <c r="M19" s="14">
        <v>0</v>
      </c>
      <c r="N19" s="14">
        <v>0</v>
      </c>
      <c r="O19" s="28">
        <f>M68</f>
        <v>0</v>
      </c>
      <c r="P19" s="31">
        <v>0</v>
      </c>
      <c r="Q19" s="31">
        <v>0</v>
      </c>
      <c r="R19" s="31">
        <v>0</v>
      </c>
      <c r="S19" s="28">
        <f t="shared" si="26"/>
        <v>0</v>
      </c>
      <c r="T19" s="28">
        <f t="shared" si="27"/>
        <v>0</v>
      </c>
      <c r="U19" s="28">
        <f t="shared" si="28"/>
        <v>0</v>
      </c>
      <c r="V19" s="28">
        <f t="shared" si="29"/>
        <v>0</v>
      </c>
      <c r="W19" s="29">
        <f t="shared" si="30"/>
        <v>0</v>
      </c>
      <c r="X19" s="28">
        <f t="shared" si="31"/>
        <v>0</v>
      </c>
      <c r="Y19" s="29">
        <f t="shared" si="32"/>
        <v>0</v>
      </c>
      <c r="AA19" s="14">
        <v>0</v>
      </c>
      <c r="AB19" s="14">
        <v>0</v>
      </c>
      <c r="AC19" s="14">
        <v>0</v>
      </c>
      <c r="AD19" s="14">
        <v>0</v>
      </c>
      <c r="AE19" s="28">
        <f>AC68</f>
        <v>0</v>
      </c>
      <c r="AF19" s="31">
        <v>0</v>
      </c>
      <c r="AG19" s="31">
        <v>0</v>
      </c>
      <c r="AH19" s="31">
        <f>-1*U19</f>
        <v>0</v>
      </c>
      <c r="AI19" s="28">
        <f t="shared" si="33"/>
        <v>0</v>
      </c>
      <c r="AJ19" s="28">
        <f t="shared" si="34"/>
        <v>0</v>
      </c>
      <c r="AK19" s="28">
        <f t="shared" si="35"/>
        <v>0</v>
      </c>
      <c r="AL19" s="28">
        <f t="shared" si="36"/>
        <v>0</v>
      </c>
      <c r="AM19" s="29">
        <f t="shared" si="37"/>
        <v>0</v>
      </c>
      <c r="AN19" s="28">
        <f t="shared" si="38"/>
        <v>0</v>
      </c>
      <c r="AO19" s="29">
        <f t="shared" si="39"/>
        <v>0</v>
      </c>
    </row>
    <row r="20" spans="2:41" ht="15.75" customHeight="1">
      <c r="C20" s="14"/>
      <c r="D20" s="14"/>
      <c r="E20" s="14"/>
      <c r="F20" s="14"/>
      <c r="H20" s="14"/>
      <c r="L20" s="14"/>
      <c r="M20" s="28"/>
      <c r="N20" s="28"/>
      <c r="O20" s="28"/>
      <c r="P20" s="28"/>
      <c r="Q20" s="28"/>
      <c r="R20" s="28"/>
      <c r="S20" s="28"/>
      <c r="T20" s="28"/>
      <c r="U20" s="28"/>
      <c r="X20" s="14"/>
      <c r="AB20" s="14"/>
      <c r="AC20" s="28"/>
      <c r="AD20" s="28"/>
      <c r="AE20" s="28"/>
      <c r="AF20" s="28"/>
      <c r="AG20" s="28"/>
      <c r="AH20" s="28"/>
      <c r="AI20" s="28"/>
      <c r="AJ20" s="28"/>
      <c r="AK20" s="28"/>
      <c r="AN20" s="14"/>
    </row>
    <row r="21" spans="2:41" ht="15.75" customHeight="1">
      <c r="B21" s="27" t="s">
        <v>98</v>
      </c>
      <c r="C21" s="14"/>
      <c r="D21" s="14"/>
      <c r="E21" s="14"/>
      <c r="F21" s="14"/>
      <c r="H21" s="14"/>
      <c r="L21" s="14"/>
      <c r="M21" s="28"/>
      <c r="N21" s="28"/>
      <c r="O21" s="28"/>
      <c r="P21" s="28"/>
      <c r="Q21" s="28"/>
      <c r="R21" s="28"/>
      <c r="S21" s="28"/>
      <c r="T21" s="28"/>
      <c r="U21" s="28"/>
      <c r="X21" s="14"/>
      <c r="Y21" s="35"/>
      <c r="AB21" s="14"/>
      <c r="AC21" s="28"/>
      <c r="AD21" s="28"/>
      <c r="AE21" s="28"/>
      <c r="AF21" s="28"/>
      <c r="AG21" s="28"/>
      <c r="AH21" s="28"/>
      <c r="AI21" s="28"/>
      <c r="AJ21" s="28"/>
      <c r="AK21" s="28"/>
      <c r="AN21" s="14"/>
      <c r="AO21" s="35"/>
    </row>
    <row r="22" spans="2:41" ht="15.75" customHeight="1">
      <c r="B22" s="30" t="str">
        <f t="shared" ref="B22:B25" si="40">K55</f>
        <v>Investor</v>
      </c>
      <c r="C22" s="14">
        <v>0</v>
      </c>
      <c r="D22" s="14">
        <v>0</v>
      </c>
      <c r="E22" s="14">
        <v>0</v>
      </c>
      <c r="F22" s="28">
        <f t="shared" ref="F22:F25" si="41">D22+C22</f>
        <v>0</v>
      </c>
      <c r="G22" s="29">
        <f t="shared" ref="G22:G25" si="42">IFERROR(F22/F$34,0)</f>
        <v>0</v>
      </c>
      <c r="H22" s="28">
        <f t="shared" ref="H22:H25" si="43">E22+D22+C22</f>
        <v>0</v>
      </c>
      <c r="I22" s="29">
        <f t="shared" ref="I22:I25" si="44">IFERROR(H22/H$34,0)</f>
        <v>0</v>
      </c>
      <c r="K22" s="31">
        <v>0</v>
      </c>
      <c r="L22" s="28">
        <f t="shared" ref="L22:L25" si="45">IFERROR(M$41*N22,0)</f>
        <v>0</v>
      </c>
      <c r="M22" s="28">
        <f t="shared" ref="M22:M25" si="46">W55</f>
        <v>0</v>
      </c>
      <c r="N22" s="28">
        <f t="shared" ref="N22:N25" si="47">IFERROR(IF(M$47="rounddown",ROUNDDOWN(K22/M$41,0),IF(M$47="roundup",ROUNDUP(K22/M$41,0),IF(M$47="round",ROUND(K22/M$41,0),K22/M$41))),0)</f>
        <v>0</v>
      </c>
      <c r="O22" s="14">
        <v>0</v>
      </c>
      <c r="P22" s="31">
        <v>0</v>
      </c>
      <c r="Q22" s="31">
        <v>0</v>
      </c>
      <c r="R22" s="31">
        <v>0</v>
      </c>
      <c r="S22" s="28">
        <f t="shared" ref="S22:S25" si="48">C22+P22</f>
        <v>0</v>
      </c>
      <c r="T22" s="28">
        <f t="shared" ref="T22:T25" si="49">N22+D22+M22+Q22</f>
        <v>0</v>
      </c>
      <c r="U22" s="28">
        <f t="shared" ref="U22:U25" si="50">E22+O22+R22</f>
        <v>0</v>
      </c>
      <c r="V22" s="28">
        <f t="shared" ref="V22:V25" si="51">T22+S22</f>
        <v>0</v>
      </c>
      <c r="W22" s="29">
        <f t="shared" ref="W22:W25" si="52">IFERROR(V22/V$34,0)</f>
        <v>0</v>
      </c>
      <c r="X22" s="28">
        <f t="shared" ref="X22:X25" si="53">U22+T22+S22</f>
        <v>0</v>
      </c>
      <c r="Y22" s="29">
        <f t="shared" ref="Y22:Y25" si="54">IFERROR(X22/X$34,0)</f>
        <v>0</v>
      </c>
      <c r="AA22" s="31">
        <v>0</v>
      </c>
      <c r="AB22" s="28">
        <f t="shared" ref="AB22:AB25" si="55">IFERROR(AC$41*AD22,0)</f>
        <v>0</v>
      </c>
      <c r="AC22" s="28">
        <f t="shared" ref="AC22:AC25" si="56">AM55</f>
        <v>0</v>
      </c>
      <c r="AD22" s="28">
        <f t="shared" ref="AD22:AD25" si="57">IFERROR(IF(AC$47="rounddown",ROUNDDOWN(AA22/AC$41,0),IF(AC$47="roundup",ROUNDUP(AA22/AC$41,0),IF(AC$47="round",ROUND(AA22/AC$41,0),AA22/AC$41))),0)</f>
        <v>0</v>
      </c>
      <c r="AE22" s="14">
        <v>0</v>
      </c>
      <c r="AF22" s="31">
        <v>0</v>
      </c>
      <c r="AG22" s="31">
        <v>0</v>
      </c>
      <c r="AH22" s="31">
        <v>0</v>
      </c>
      <c r="AI22" s="28">
        <f t="shared" ref="AI22:AI25" si="58">S22+AF22</f>
        <v>0</v>
      </c>
      <c r="AJ22" s="28">
        <f t="shared" ref="AJ22:AJ25" si="59">AD22+T22+AC22+AG22</f>
        <v>0</v>
      </c>
      <c r="AK22" s="28">
        <f t="shared" ref="AK22:AK25" si="60">U22+AE22+AH22</f>
        <v>0</v>
      </c>
      <c r="AL22" s="28">
        <f t="shared" ref="AL22:AL25" si="61">AJ22+AI22</f>
        <v>0</v>
      </c>
      <c r="AM22" s="29">
        <f t="shared" ref="AM22:AM25" si="62">IFERROR(AL22/AL$34,0)</f>
        <v>0</v>
      </c>
      <c r="AN22" s="28">
        <f t="shared" ref="AN22:AN25" si="63">AK22+AJ22+AI22</f>
        <v>0</v>
      </c>
      <c r="AO22" s="29">
        <f t="shared" ref="AO22:AO25" si="64">IFERROR(AN22/AN$34,0)</f>
        <v>0</v>
      </c>
    </row>
    <row r="23" spans="2:41" ht="15.75" customHeight="1">
      <c r="B23" s="30" t="str">
        <f t="shared" si="40"/>
        <v>Investor</v>
      </c>
      <c r="C23" s="14">
        <v>0</v>
      </c>
      <c r="D23" s="14">
        <v>0</v>
      </c>
      <c r="E23" s="14">
        <v>0</v>
      </c>
      <c r="F23" s="28">
        <f t="shared" si="41"/>
        <v>0</v>
      </c>
      <c r="G23" s="29">
        <f t="shared" si="42"/>
        <v>0</v>
      </c>
      <c r="H23" s="28">
        <f t="shared" si="43"/>
        <v>0</v>
      </c>
      <c r="I23" s="29">
        <f t="shared" si="44"/>
        <v>0</v>
      </c>
      <c r="K23" s="31">
        <v>0</v>
      </c>
      <c r="L23" s="28">
        <f t="shared" si="45"/>
        <v>0</v>
      </c>
      <c r="M23" s="28">
        <f t="shared" si="46"/>
        <v>0</v>
      </c>
      <c r="N23" s="28">
        <f t="shared" si="47"/>
        <v>0</v>
      </c>
      <c r="O23" s="14">
        <v>0</v>
      </c>
      <c r="P23" s="31">
        <v>0</v>
      </c>
      <c r="Q23" s="31">
        <v>0</v>
      </c>
      <c r="R23" s="31">
        <v>0</v>
      </c>
      <c r="S23" s="28">
        <f t="shared" si="48"/>
        <v>0</v>
      </c>
      <c r="T23" s="28">
        <f t="shared" si="49"/>
        <v>0</v>
      </c>
      <c r="U23" s="28">
        <f t="shared" si="50"/>
        <v>0</v>
      </c>
      <c r="V23" s="28">
        <f t="shared" si="51"/>
        <v>0</v>
      </c>
      <c r="W23" s="29">
        <f t="shared" si="52"/>
        <v>0</v>
      </c>
      <c r="X23" s="28">
        <f t="shared" si="53"/>
        <v>0</v>
      </c>
      <c r="Y23" s="29">
        <f t="shared" si="54"/>
        <v>0</v>
      </c>
      <c r="AA23" s="31">
        <v>0</v>
      </c>
      <c r="AB23" s="28">
        <f t="shared" si="55"/>
        <v>0</v>
      </c>
      <c r="AC23" s="28">
        <f t="shared" si="56"/>
        <v>0</v>
      </c>
      <c r="AD23" s="28">
        <f t="shared" si="57"/>
        <v>0</v>
      </c>
      <c r="AE23" s="14">
        <v>0</v>
      </c>
      <c r="AF23" s="31">
        <v>0</v>
      </c>
      <c r="AG23" s="31">
        <v>0</v>
      </c>
      <c r="AH23" s="31">
        <v>0</v>
      </c>
      <c r="AI23" s="28">
        <f t="shared" si="58"/>
        <v>0</v>
      </c>
      <c r="AJ23" s="28">
        <f t="shared" si="59"/>
        <v>0</v>
      </c>
      <c r="AK23" s="28">
        <f t="shared" si="60"/>
        <v>0</v>
      </c>
      <c r="AL23" s="28">
        <f t="shared" si="61"/>
        <v>0</v>
      </c>
      <c r="AM23" s="29">
        <f t="shared" si="62"/>
        <v>0</v>
      </c>
      <c r="AN23" s="28">
        <f t="shared" si="63"/>
        <v>0</v>
      </c>
      <c r="AO23" s="29">
        <f t="shared" si="64"/>
        <v>0</v>
      </c>
    </row>
    <row r="24" spans="2:41" ht="15.75" customHeight="1">
      <c r="B24" s="30" t="str">
        <f t="shared" si="40"/>
        <v>Investor</v>
      </c>
      <c r="C24" s="14">
        <v>0</v>
      </c>
      <c r="D24" s="14">
        <v>0</v>
      </c>
      <c r="E24" s="14">
        <v>0</v>
      </c>
      <c r="F24" s="28">
        <f t="shared" si="41"/>
        <v>0</v>
      </c>
      <c r="G24" s="29">
        <f t="shared" si="42"/>
        <v>0</v>
      </c>
      <c r="H24" s="28">
        <f t="shared" si="43"/>
        <v>0</v>
      </c>
      <c r="I24" s="29">
        <f t="shared" si="44"/>
        <v>0</v>
      </c>
      <c r="K24" s="31">
        <v>0</v>
      </c>
      <c r="L24" s="28">
        <f t="shared" si="45"/>
        <v>0</v>
      </c>
      <c r="M24" s="28">
        <f t="shared" si="46"/>
        <v>0</v>
      </c>
      <c r="N24" s="28">
        <f t="shared" si="47"/>
        <v>0</v>
      </c>
      <c r="O24" s="14">
        <v>0</v>
      </c>
      <c r="P24" s="31">
        <v>0</v>
      </c>
      <c r="Q24" s="31">
        <v>0</v>
      </c>
      <c r="R24" s="31">
        <v>0</v>
      </c>
      <c r="S24" s="28">
        <f t="shared" si="48"/>
        <v>0</v>
      </c>
      <c r="T24" s="28">
        <f t="shared" si="49"/>
        <v>0</v>
      </c>
      <c r="U24" s="28">
        <f t="shared" si="50"/>
        <v>0</v>
      </c>
      <c r="V24" s="28">
        <f t="shared" si="51"/>
        <v>0</v>
      </c>
      <c r="W24" s="29">
        <f t="shared" si="52"/>
        <v>0</v>
      </c>
      <c r="X24" s="28">
        <f t="shared" si="53"/>
        <v>0</v>
      </c>
      <c r="Y24" s="29">
        <f t="shared" si="54"/>
        <v>0</v>
      </c>
      <c r="AA24" s="31">
        <v>0</v>
      </c>
      <c r="AB24" s="28">
        <f t="shared" si="55"/>
        <v>0</v>
      </c>
      <c r="AC24" s="28">
        <f t="shared" si="56"/>
        <v>0</v>
      </c>
      <c r="AD24" s="28">
        <f t="shared" si="57"/>
        <v>0</v>
      </c>
      <c r="AE24" s="14">
        <v>0</v>
      </c>
      <c r="AF24" s="31">
        <v>0</v>
      </c>
      <c r="AG24" s="31">
        <v>0</v>
      </c>
      <c r="AH24" s="31">
        <v>0</v>
      </c>
      <c r="AI24" s="28">
        <f t="shared" si="58"/>
        <v>0</v>
      </c>
      <c r="AJ24" s="28">
        <f t="shared" si="59"/>
        <v>0</v>
      </c>
      <c r="AK24" s="28">
        <f t="shared" si="60"/>
        <v>0</v>
      </c>
      <c r="AL24" s="28">
        <f t="shared" si="61"/>
        <v>0</v>
      </c>
      <c r="AM24" s="29">
        <f t="shared" si="62"/>
        <v>0</v>
      </c>
      <c r="AN24" s="28">
        <f t="shared" si="63"/>
        <v>0</v>
      </c>
      <c r="AO24" s="29">
        <f t="shared" si="64"/>
        <v>0</v>
      </c>
    </row>
    <row r="25" spans="2:41" ht="15.75" customHeight="1">
      <c r="B25" s="30" t="str">
        <f t="shared" si="40"/>
        <v>Investor</v>
      </c>
      <c r="C25" s="14">
        <v>0</v>
      </c>
      <c r="D25" s="14">
        <v>0</v>
      </c>
      <c r="E25" s="14">
        <v>0</v>
      </c>
      <c r="F25" s="28">
        <f t="shared" si="41"/>
        <v>0</v>
      </c>
      <c r="G25" s="29">
        <f t="shared" si="42"/>
        <v>0</v>
      </c>
      <c r="H25" s="28">
        <f t="shared" si="43"/>
        <v>0</v>
      </c>
      <c r="I25" s="29">
        <f t="shared" si="44"/>
        <v>0</v>
      </c>
      <c r="K25" s="31">
        <v>0</v>
      </c>
      <c r="L25" s="28">
        <f t="shared" si="45"/>
        <v>0</v>
      </c>
      <c r="M25" s="28">
        <f t="shared" si="46"/>
        <v>0</v>
      </c>
      <c r="N25" s="28">
        <f t="shared" si="47"/>
        <v>0</v>
      </c>
      <c r="O25" s="14">
        <v>0</v>
      </c>
      <c r="P25" s="31">
        <v>0</v>
      </c>
      <c r="Q25" s="31">
        <v>0</v>
      </c>
      <c r="R25" s="31">
        <v>0</v>
      </c>
      <c r="S25" s="28">
        <f t="shared" si="48"/>
        <v>0</v>
      </c>
      <c r="T25" s="28">
        <f t="shared" si="49"/>
        <v>0</v>
      </c>
      <c r="U25" s="28">
        <f t="shared" si="50"/>
        <v>0</v>
      </c>
      <c r="V25" s="28">
        <f t="shared" si="51"/>
        <v>0</v>
      </c>
      <c r="W25" s="29">
        <f t="shared" si="52"/>
        <v>0</v>
      </c>
      <c r="X25" s="28">
        <f t="shared" si="53"/>
        <v>0</v>
      </c>
      <c r="Y25" s="29">
        <f t="shared" si="54"/>
        <v>0</v>
      </c>
      <c r="AA25" s="31">
        <v>0</v>
      </c>
      <c r="AB25" s="28">
        <f t="shared" si="55"/>
        <v>0</v>
      </c>
      <c r="AC25" s="28">
        <f t="shared" si="56"/>
        <v>0</v>
      </c>
      <c r="AD25" s="28">
        <f t="shared" si="57"/>
        <v>0</v>
      </c>
      <c r="AE25" s="14">
        <v>0</v>
      </c>
      <c r="AF25" s="31">
        <v>0</v>
      </c>
      <c r="AG25" s="31">
        <v>0</v>
      </c>
      <c r="AH25" s="31">
        <v>0</v>
      </c>
      <c r="AI25" s="28">
        <f t="shared" si="58"/>
        <v>0</v>
      </c>
      <c r="AJ25" s="28">
        <f t="shared" si="59"/>
        <v>0</v>
      </c>
      <c r="AK25" s="28">
        <f t="shared" si="60"/>
        <v>0</v>
      </c>
      <c r="AL25" s="28">
        <f t="shared" si="61"/>
        <v>0</v>
      </c>
      <c r="AM25" s="29">
        <f t="shared" si="62"/>
        <v>0</v>
      </c>
      <c r="AN25" s="28">
        <f t="shared" si="63"/>
        <v>0</v>
      </c>
      <c r="AO25" s="29">
        <f t="shared" si="64"/>
        <v>0</v>
      </c>
    </row>
    <row r="26" spans="2:41" ht="15.75" customHeight="1">
      <c r="C26" s="14"/>
      <c r="D26" s="14"/>
      <c r="E26" s="28"/>
      <c r="F26" s="28"/>
      <c r="G26" s="28"/>
      <c r="H26" s="28"/>
      <c r="I26" s="28"/>
      <c r="J26" s="28"/>
      <c r="K26" s="28"/>
      <c r="L26" s="28"/>
      <c r="M26" s="28"/>
      <c r="N26" s="28"/>
      <c r="O26" s="28"/>
      <c r="P26" s="28"/>
      <c r="Q26" s="28"/>
      <c r="R26" s="28"/>
      <c r="S26" s="28"/>
      <c r="T26" s="28"/>
      <c r="U26" s="28"/>
      <c r="V26" s="28"/>
      <c r="W26" s="29"/>
      <c r="X26" s="28"/>
      <c r="Y26" s="29"/>
      <c r="AA26" s="28"/>
      <c r="AB26" s="28"/>
      <c r="AC26" s="28"/>
      <c r="AD26" s="28"/>
      <c r="AE26" s="28"/>
      <c r="AF26" s="28"/>
      <c r="AG26" s="28"/>
      <c r="AH26" s="28"/>
      <c r="AI26" s="28"/>
      <c r="AJ26" s="28"/>
      <c r="AK26" s="28"/>
      <c r="AL26" s="28"/>
      <c r="AM26" s="29"/>
      <c r="AN26" s="28"/>
      <c r="AO26" s="29"/>
    </row>
    <row r="27" spans="2:41" ht="15.75" customHeight="1">
      <c r="B27" s="27" t="s">
        <v>99</v>
      </c>
      <c r="C27" s="14"/>
      <c r="D27" s="14"/>
      <c r="E27" s="28"/>
      <c r="F27" s="28"/>
      <c r="G27" s="28"/>
      <c r="H27" s="28"/>
      <c r="I27" s="28"/>
      <c r="J27" s="28"/>
      <c r="K27" s="28"/>
      <c r="L27" s="28"/>
      <c r="M27" s="28"/>
      <c r="N27" s="28"/>
      <c r="O27" s="28"/>
      <c r="P27" s="28"/>
      <c r="Q27" s="28"/>
      <c r="R27" s="28"/>
      <c r="S27" s="28"/>
      <c r="T27" s="28"/>
      <c r="U27" s="28"/>
      <c r="V27" s="28"/>
      <c r="W27" s="29"/>
      <c r="X27" s="28"/>
      <c r="Y27" s="29"/>
      <c r="AA27" s="28"/>
      <c r="AB27" s="28"/>
      <c r="AC27" s="28"/>
      <c r="AD27" s="28"/>
      <c r="AE27" s="28"/>
      <c r="AF27" s="28"/>
      <c r="AG27" s="28"/>
      <c r="AH27" s="28"/>
      <c r="AI27" s="28"/>
      <c r="AJ27" s="28"/>
      <c r="AK27" s="28"/>
      <c r="AL27" s="28"/>
      <c r="AM27" s="29"/>
      <c r="AN27" s="28"/>
      <c r="AO27" s="29"/>
    </row>
    <row r="28" spans="2:41" ht="15.75" customHeight="1">
      <c r="B28" s="30" t="s">
        <v>100</v>
      </c>
      <c r="C28" s="31">
        <v>0</v>
      </c>
      <c r="D28" s="31">
        <v>0</v>
      </c>
      <c r="E28" s="14">
        <v>0</v>
      </c>
      <c r="F28" s="28">
        <f t="shared" ref="F28:F32" si="65">D28+C28</f>
        <v>0</v>
      </c>
      <c r="G28" s="29">
        <f t="shared" ref="G28:G32" si="66">IFERROR(F28/F$34,0)</f>
        <v>0</v>
      </c>
      <c r="H28" s="28">
        <f t="shared" ref="H28:H32" si="67">E28+D28+C28</f>
        <v>0</v>
      </c>
      <c r="I28" s="29">
        <f t="shared" ref="I28:I32" si="68">IFERROR(H28/H$34,0)</f>
        <v>0</v>
      </c>
      <c r="K28" s="31">
        <v>0</v>
      </c>
      <c r="L28" s="28">
        <f t="shared" ref="L28:L32" si="69">IFERROR(M$41*N28,0)</f>
        <v>0</v>
      </c>
      <c r="M28" s="14">
        <v>0</v>
      </c>
      <c r="N28" s="28">
        <f t="shared" ref="N28:N32" si="70">IFERROR(IF(M$47="rounddown",ROUNDDOWN(K28/M$41,0),IF(M$47="roundup",ROUNDUP(K28/M$41,0),IF(M$47="round",ROUND(K28/M$41,0),K28/M$41))),0)</f>
        <v>0</v>
      </c>
      <c r="O28" s="14">
        <v>0</v>
      </c>
      <c r="P28" s="31">
        <v>0</v>
      </c>
      <c r="Q28" s="31">
        <v>0</v>
      </c>
      <c r="R28" s="31">
        <v>0</v>
      </c>
      <c r="S28" s="28">
        <f t="shared" ref="S28:S32" si="71">C28+P28</f>
        <v>0</v>
      </c>
      <c r="T28" s="28">
        <f t="shared" ref="T28:T32" si="72">N28+D28+M28+Q28</f>
        <v>0</v>
      </c>
      <c r="U28" s="28">
        <f t="shared" ref="U28:U32" si="73">E28+O28+R28</f>
        <v>0</v>
      </c>
      <c r="V28" s="28">
        <f t="shared" ref="V28:V32" si="74">T28+S28</f>
        <v>0</v>
      </c>
      <c r="W28" s="29">
        <f t="shared" ref="W28:W32" si="75">IFERROR(V28/V$34,0)</f>
        <v>0</v>
      </c>
      <c r="X28" s="28">
        <f t="shared" ref="X28:X32" si="76">U28+T28+S28</f>
        <v>0</v>
      </c>
      <c r="Y28" s="29">
        <f t="shared" ref="Y28:Y32" si="77">IFERROR(X28/X$34,0)</f>
        <v>0</v>
      </c>
      <c r="AA28" s="31">
        <v>0</v>
      </c>
      <c r="AB28" s="28">
        <f t="shared" ref="AB28:AB32" si="78">IFERROR(AC$41*AD28,0)</f>
        <v>0</v>
      </c>
      <c r="AC28" s="14">
        <v>0</v>
      </c>
      <c r="AD28" s="28">
        <f t="shared" ref="AD28:AD32" si="79">IFERROR(IF(AC$47="rounddown",ROUNDDOWN(AA28/AC$41,0),IF(AC$47="roundup",ROUNDUP(AA28/AC$41,0),IF(AC$47="round",ROUND(AA28/AC$41,0),AA28/AC$41))),0)</f>
        <v>0</v>
      </c>
      <c r="AE28" s="14">
        <v>0</v>
      </c>
      <c r="AF28" s="31">
        <v>0</v>
      </c>
      <c r="AG28" s="31">
        <v>0</v>
      </c>
      <c r="AH28" s="31">
        <v>0</v>
      </c>
      <c r="AI28" s="28">
        <f t="shared" ref="AI28:AI32" si="80">S28+AF28</f>
        <v>0</v>
      </c>
      <c r="AJ28" s="28">
        <f t="shared" ref="AJ28:AJ32" si="81">AD28+T28+AC28+AG28</f>
        <v>0</v>
      </c>
      <c r="AK28" s="28">
        <f t="shared" ref="AK28:AK32" si="82">U28+AE28+AH28</f>
        <v>0</v>
      </c>
      <c r="AL28" s="28">
        <f t="shared" ref="AL28:AL32" si="83">AJ28+AI28</f>
        <v>0</v>
      </c>
      <c r="AM28" s="29">
        <f t="shared" ref="AM28:AM32" si="84">IFERROR(AL28/AL$34,0)</f>
        <v>0</v>
      </c>
      <c r="AN28" s="28">
        <f t="shared" ref="AN28:AN32" si="85">AK28+AJ28+AI28</f>
        <v>0</v>
      </c>
      <c r="AO28" s="29">
        <f t="shared" ref="AO28:AO32" si="86">IFERROR(AN28/AN$34,0)</f>
        <v>0</v>
      </c>
    </row>
    <row r="29" spans="2:41" ht="15.75" customHeight="1">
      <c r="B29" s="30" t="s">
        <v>100</v>
      </c>
      <c r="C29" s="31">
        <v>0</v>
      </c>
      <c r="D29" s="31">
        <v>0</v>
      </c>
      <c r="E29" s="14">
        <v>0</v>
      </c>
      <c r="F29" s="28">
        <f t="shared" si="65"/>
        <v>0</v>
      </c>
      <c r="G29" s="29">
        <f t="shared" si="66"/>
        <v>0</v>
      </c>
      <c r="H29" s="28">
        <f t="shared" si="67"/>
        <v>0</v>
      </c>
      <c r="I29" s="29">
        <f t="shared" si="68"/>
        <v>0</v>
      </c>
      <c r="K29" s="31">
        <v>0</v>
      </c>
      <c r="L29" s="28">
        <f t="shared" si="69"/>
        <v>0</v>
      </c>
      <c r="M29" s="14">
        <v>0</v>
      </c>
      <c r="N29" s="28">
        <f t="shared" si="70"/>
        <v>0</v>
      </c>
      <c r="O29" s="14">
        <v>0</v>
      </c>
      <c r="P29" s="31">
        <v>0</v>
      </c>
      <c r="Q29" s="31">
        <v>0</v>
      </c>
      <c r="R29" s="31">
        <v>0</v>
      </c>
      <c r="S29" s="28">
        <f t="shared" si="71"/>
        <v>0</v>
      </c>
      <c r="T29" s="28">
        <f t="shared" si="72"/>
        <v>0</v>
      </c>
      <c r="U29" s="28">
        <f t="shared" si="73"/>
        <v>0</v>
      </c>
      <c r="V29" s="28">
        <f t="shared" si="74"/>
        <v>0</v>
      </c>
      <c r="W29" s="29">
        <f t="shared" si="75"/>
        <v>0</v>
      </c>
      <c r="X29" s="28">
        <f t="shared" si="76"/>
        <v>0</v>
      </c>
      <c r="Y29" s="29">
        <f t="shared" si="77"/>
        <v>0</v>
      </c>
      <c r="AA29" s="31">
        <v>0</v>
      </c>
      <c r="AB29" s="28">
        <f t="shared" si="78"/>
        <v>0</v>
      </c>
      <c r="AC29" s="14">
        <v>0</v>
      </c>
      <c r="AD29" s="28">
        <f t="shared" si="79"/>
        <v>0</v>
      </c>
      <c r="AE29" s="14">
        <v>0</v>
      </c>
      <c r="AF29" s="31">
        <v>0</v>
      </c>
      <c r="AG29" s="31">
        <v>0</v>
      </c>
      <c r="AH29" s="31">
        <v>0</v>
      </c>
      <c r="AI29" s="28">
        <f t="shared" si="80"/>
        <v>0</v>
      </c>
      <c r="AJ29" s="28">
        <f t="shared" si="81"/>
        <v>0</v>
      </c>
      <c r="AK29" s="28">
        <f t="shared" si="82"/>
        <v>0</v>
      </c>
      <c r="AL29" s="28">
        <f t="shared" si="83"/>
        <v>0</v>
      </c>
      <c r="AM29" s="29">
        <f t="shared" si="84"/>
        <v>0</v>
      </c>
      <c r="AN29" s="28">
        <f t="shared" si="85"/>
        <v>0</v>
      </c>
      <c r="AO29" s="29">
        <f t="shared" si="86"/>
        <v>0</v>
      </c>
    </row>
    <row r="30" spans="2:41" ht="15.75" customHeight="1">
      <c r="B30" s="30" t="s">
        <v>100</v>
      </c>
      <c r="C30" s="31">
        <v>0</v>
      </c>
      <c r="D30" s="31">
        <v>0</v>
      </c>
      <c r="E30" s="14">
        <v>0</v>
      </c>
      <c r="F30" s="28">
        <f t="shared" si="65"/>
        <v>0</v>
      </c>
      <c r="G30" s="29">
        <f t="shared" si="66"/>
        <v>0</v>
      </c>
      <c r="H30" s="28">
        <f t="shared" si="67"/>
        <v>0</v>
      </c>
      <c r="I30" s="29">
        <f t="shared" si="68"/>
        <v>0</v>
      </c>
      <c r="K30" s="31">
        <v>0</v>
      </c>
      <c r="L30" s="28">
        <f t="shared" si="69"/>
        <v>0</v>
      </c>
      <c r="M30" s="14">
        <v>0</v>
      </c>
      <c r="N30" s="28">
        <f t="shared" si="70"/>
        <v>0</v>
      </c>
      <c r="O30" s="14">
        <v>0</v>
      </c>
      <c r="P30" s="31">
        <v>0</v>
      </c>
      <c r="Q30" s="31">
        <v>0</v>
      </c>
      <c r="R30" s="31">
        <v>0</v>
      </c>
      <c r="S30" s="28">
        <f t="shared" si="71"/>
        <v>0</v>
      </c>
      <c r="T30" s="28">
        <f t="shared" si="72"/>
        <v>0</v>
      </c>
      <c r="U30" s="28">
        <f t="shared" si="73"/>
        <v>0</v>
      </c>
      <c r="V30" s="28">
        <f t="shared" si="74"/>
        <v>0</v>
      </c>
      <c r="W30" s="29">
        <f t="shared" si="75"/>
        <v>0</v>
      </c>
      <c r="X30" s="28">
        <f t="shared" si="76"/>
        <v>0</v>
      </c>
      <c r="Y30" s="29">
        <f t="shared" si="77"/>
        <v>0</v>
      </c>
      <c r="AA30" s="31">
        <v>0</v>
      </c>
      <c r="AB30" s="28">
        <f t="shared" si="78"/>
        <v>0</v>
      </c>
      <c r="AC30" s="14">
        <v>0</v>
      </c>
      <c r="AD30" s="28">
        <f t="shared" si="79"/>
        <v>0</v>
      </c>
      <c r="AE30" s="14">
        <v>0</v>
      </c>
      <c r="AF30" s="31">
        <v>0</v>
      </c>
      <c r="AG30" s="31">
        <v>0</v>
      </c>
      <c r="AH30" s="31">
        <v>0</v>
      </c>
      <c r="AI30" s="28">
        <f t="shared" si="80"/>
        <v>0</v>
      </c>
      <c r="AJ30" s="28">
        <f t="shared" si="81"/>
        <v>0</v>
      </c>
      <c r="AK30" s="28">
        <f t="shared" si="82"/>
        <v>0</v>
      </c>
      <c r="AL30" s="28">
        <f t="shared" si="83"/>
        <v>0</v>
      </c>
      <c r="AM30" s="29">
        <f t="shared" si="84"/>
        <v>0</v>
      </c>
      <c r="AN30" s="28">
        <f t="shared" si="85"/>
        <v>0</v>
      </c>
      <c r="AO30" s="29">
        <f t="shared" si="86"/>
        <v>0</v>
      </c>
    </row>
    <row r="31" spans="2:41" ht="15.75" customHeight="1">
      <c r="B31" s="30" t="s">
        <v>100</v>
      </c>
      <c r="C31" s="31">
        <v>0</v>
      </c>
      <c r="D31" s="31">
        <v>0</v>
      </c>
      <c r="E31" s="14">
        <v>0</v>
      </c>
      <c r="F31" s="28">
        <f t="shared" si="65"/>
        <v>0</v>
      </c>
      <c r="G31" s="29">
        <f t="shared" si="66"/>
        <v>0</v>
      </c>
      <c r="H31" s="28">
        <f t="shared" si="67"/>
        <v>0</v>
      </c>
      <c r="I31" s="29">
        <f t="shared" si="68"/>
        <v>0</v>
      </c>
      <c r="K31" s="32">
        <v>0</v>
      </c>
      <c r="L31" s="28">
        <f t="shared" si="69"/>
        <v>0</v>
      </c>
      <c r="M31" s="14">
        <v>0</v>
      </c>
      <c r="N31" s="28">
        <f t="shared" si="70"/>
        <v>0</v>
      </c>
      <c r="O31" s="14">
        <v>0</v>
      </c>
      <c r="P31" s="31">
        <v>0</v>
      </c>
      <c r="Q31" s="31">
        <v>0</v>
      </c>
      <c r="R31" s="31">
        <v>0</v>
      </c>
      <c r="S31" s="28">
        <f t="shared" si="71"/>
        <v>0</v>
      </c>
      <c r="T31" s="28">
        <f t="shared" si="72"/>
        <v>0</v>
      </c>
      <c r="U31" s="28">
        <f t="shared" si="73"/>
        <v>0</v>
      </c>
      <c r="V31" s="28">
        <f t="shared" si="74"/>
        <v>0</v>
      </c>
      <c r="W31" s="29">
        <f t="shared" si="75"/>
        <v>0</v>
      </c>
      <c r="X31" s="28">
        <f t="shared" si="76"/>
        <v>0</v>
      </c>
      <c r="Y31" s="29">
        <f t="shared" si="77"/>
        <v>0</v>
      </c>
      <c r="AA31" s="32">
        <v>0</v>
      </c>
      <c r="AB31" s="28">
        <f t="shared" si="78"/>
        <v>0</v>
      </c>
      <c r="AC31" s="14">
        <v>0</v>
      </c>
      <c r="AD31" s="28">
        <f t="shared" si="79"/>
        <v>0</v>
      </c>
      <c r="AE31" s="14">
        <v>0</v>
      </c>
      <c r="AF31" s="31">
        <v>0</v>
      </c>
      <c r="AG31" s="31">
        <v>0</v>
      </c>
      <c r="AH31" s="31">
        <v>0</v>
      </c>
      <c r="AI31" s="28">
        <f t="shared" si="80"/>
        <v>0</v>
      </c>
      <c r="AJ31" s="28">
        <f t="shared" si="81"/>
        <v>0</v>
      </c>
      <c r="AK31" s="28">
        <f t="shared" si="82"/>
        <v>0</v>
      </c>
      <c r="AL31" s="28">
        <f t="shared" si="83"/>
        <v>0</v>
      </c>
      <c r="AM31" s="29">
        <f t="shared" si="84"/>
        <v>0</v>
      </c>
      <c r="AN31" s="28">
        <f t="shared" si="85"/>
        <v>0</v>
      </c>
      <c r="AO31" s="29">
        <f t="shared" si="86"/>
        <v>0</v>
      </c>
    </row>
    <row r="32" spans="2:41" ht="15.75" customHeight="1">
      <c r="B32" s="30" t="s">
        <v>100</v>
      </c>
      <c r="C32" s="31">
        <v>0</v>
      </c>
      <c r="D32" s="31">
        <v>0</v>
      </c>
      <c r="E32" s="14">
        <v>0</v>
      </c>
      <c r="F32" s="28">
        <f t="shared" si="65"/>
        <v>0</v>
      </c>
      <c r="G32" s="29">
        <f t="shared" si="66"/>
        <v>0</v>
      </c>
      <c r="H32" s="28">
        <f t="shared" si="67"/>
        <v>0</v>
      </c>
      <c r="I32" s="29">
        <f t="shared" si="68"/>
        <v>0</v>
      </c>
      <c r="K32" s="32">
        <v>0</v>
      </c>
      <c r="L32" s="28">
        <f t="shared" si="69"/>
        <v>0</v>
      </c>
      <c r="M32" s="14">
        <v>0</v>
      </c>
      <c r="N32" s="28">
        <f t="shared" si="70"/>
        <v>0</v>
      </c>
      <c r="O32" s="14">
        <v>0</v>
      </c>
      <c r="P32" s="31">
        <v>0</v>
      </c>
      <c r="Q32" s="31">
        <v>0</v>
      </c>
      <c r="R32" s="31">
        <v>0</v>
      </c>
      <c r="S32" s="28">
        <f t="shared" si="71"/>
        <v>0</v>
      </c>
      <c r="T32" s="28">
        <f t="shared" si="72"/>
        <v>0</v>
      </c>
      <c r="U32" s="28">
        <f t="shared" si="73"/>
        <v>0</v>
      </c>
      <c r="V32" s="28">
        <f t="shared" si="74"/>
        <v>0</v>
      </c>
      <c r="W32" s="29">
        <f t="shared" si="75"/>
        <v>0</v>
      </c>
      <c r="X32" s="28">
        <f t="shared" si="76"/>
        <v>0</v>
      </c>
      <c r="Y32" s="29">
        <f t="shared" si="77"/>
        <v>0</v>
      </c>
      <c r="AA32" s="32">
        <v>0</v>
      </c>
      <c r="AB32" s="28">
        <f t="shared" si="78"/>
        <v>0</v>
      </c>
      <c r="AC32" s="14">
        <v>0</v>
      </c>
      <c r="AD32" s="28">
        <f t="shared" si="79"/>
        <v>0</v>
      </c>
      <c r="AE32" s="14">
        <v>0</v>
      </c>
      <c r="AF32" s="31">
        <v>0</v>
      </c>
      <c r="AG32" s="31">
        <v>0</v>
      </c>
      <c r="AH32" s="31">
        <v>0</v>
      </c>
      <c r="AI32" s="28">
        <f t="shared" si="80"/>
        <v>0</v>
      </c>
      <c r="AJ32" s="28">
        <f t="shared" si="81"/>
        <v>0</v>
      </c>
      <c r="AK32" s="28">
        <f t="shared" si="82"/>
        <v>0</v>
      </c>
      <c r="AL32" s="28">
        <f t="shared" si="83"/>
        <v>0</v>
      </c>
      <c r="AM32" s="29">
        <f t="shared" si="84"/>
        <v>0</v>
      </c>
      <c r="AN32" s="28">
        <f t="shared" si="85"/>
        <v>0</v>
      </c>
      <c r="AO32" s="29">
        <f t="shared" si="86"/>
        <v>0</v>
      </c>
    </row>
    <row r="33" spans="2:41" ht="15.75" customHeight="1">
      <c r="C33" s="14"/>
      <c r="D33" s="14"/>
      <c r="E33" s="14"/>
      <c r="L33" s="14"/>
      <c r="M33" s="14"/>
      <c r="N33" s="14"/>
      <c r="O33" s="14"/>
      <c r="P33" s="14"/>
      <c r="Q33" s="14"/>
      <c r="R33" s="14"/>
      <c r="X33" s="14"/>
      <c r="AB33" s="14"/>
      <c r="AC33" s="14"/>
      <c r="AD33" s="14"/>
      <c r="AE33" s="14"/>
      <c r="AF33" s="14"/>
      <c r="AG33" s="14"/>
      <c r="AH33" s="14"/>
      <c r="AN33" s="14"/>
    </row>
    <row r="34" spans="2:41" ht="15.75" customHeight="1">
      <c r="B34" s="36" t="s">
        <v>101</v>
      </c>
      <c r="C34" s="37">
        <f t="shared" ref="C34:F34" si="87">SUM(C8:C33)</f>
        <v>0</v>
      </c>
      <c r="D34" s="37">
        <f t="shared" si="87"/>
        <v>0</v>
      </c>
      <c r="E34" s="37">
        <f t="shared" si="87"/>
        <v>0</v>
      </c>
      <c r="F34" s="37">
        <f t="shared" si="87"/>
        <v>0</v>
      </c>
      <c r="G34" s="38">
        <f>IFERROR(F34/F$34,0)</f>
        <v>0</v>
      </c>
      <c r="H34" s="37">
        <f>SUM(H8:H33)</f>
        <v>0</v>
      </c>
      <c r="I34" s="38">
        <f>IFERROR(H34/H$34,0)</f>
        <v>0</v>
      </c>
      <c r="K34" s="37">
        <f t="shared" ref="K34:P34" si="88">SUM(K8:K33)</f>
        <v>0</v>
      </c>
      <c r="L34" s="37">
        <f t="shared" si="88"/>
        <v>0</v>
      </c>
      <c r="M34" s="37">
        <f t="shared" si="88"/>
        <v>0</v>
      </c>
      <c r="N34" s="37">
        <f t="shared" si="88"/>
        <v>0</v>
      </c>
      <c r="O34" s="37">
        <f t="shared" si="88"/>
        <v>0</v>
      </c>
      <c r="P34" s="37">
        <f t="shared" si="88"/>
        <v>0</v>
      </c>
      <c r="Q34" s="37"/>
      <c r="R34" s="37"/>
      <c r="S34" s="37">
        <f t="shared" ref="S34:V34" si="89">SUM(S8:S33)</f>
        <v>0</v>
      </c>
      <c r="T34" s="37">
        <f t="shared" si="89"/>
        <v>0</v>
      </c>
      <c r="U34" s="37">
        <f t="shared" si="89"/>
        <v>0</v>
      </c>
      <c r="V34" s="37">
        <f t="shared" si="89"/>
        <v>0</v>
      </c>
      <c r="W34" s="38">
        <f>IFERROR(V34/V$34,0)</f>
        <v>0</v>
      </c>
      <c r="X34" s="37">
        <f>SUM(X8:X33)</f>
        <v>0</v>
      </c>
      <c r="Y34" s="38">
        <f>IFERROR(X34/X$34,0)</f>
        <v>0</v>
      </c>
      <c r="AA34" s="37">
        <f t="shared" ref="AA34:AF34" si="90">SUM(AA8:AA33)</f>
        <v>0</v>
      </c>
      <c r="AB34" s="37">
        <f t="shared" si="90"/>
        <v>0</v>
      </c>
      <c r="AC34" s="37">
        <f t="shared" si="90"/>
        <v>0</v>
      </c>
      <c r="AD34" s="37">
        <f t="shared" si="90"/>
        <v>0</v>
      </c>
      <c r="AE34" s="37">
        <f t="shared" si="90"/>
        <v>0</v>
      </c>
      <c r="AF34" s="37">
        <f t="shared" si="90"/>
        <v>0</v>
      </c>
      <c r="AG34" s="37"/>
      <c r="AH34" s="37"/>
      <c r="AI34" s="37">
        <f t="shared" ref="AI34:AL34" si="91">SUM(AI8:AI33)</f>
        <v>0</v>
      </c>
      <c r="AJ34" s="37">
        <f t="shared" si="91"/>
        <v>0</v>
      </c>
      <c r="AK34" s="37">
        <f t="shared" si="91"/>
        <v>0</v>
      </c>
      <c r="AL34" s="37">
        <f t="shared" si="91"/>
        <v>0</v>
      </c>
      <c r="AM34" s="38">
        <f>IFERROR(AL34/AL$34,0)</f>
        <v>0</v>
      </c>
      <c r="AN34" s="37">
        <f>SUM(AN8:AN33)</f>
        <v>0</v>
      </c>
      <c r="AO34" s="38">
        <f>IFERROR(AN34/AN$34,0)</f>
        <v>0</v>
      </c>
    </row>
    <row r="35" spans="2:41" ht="15.75" customHeight="1">
      <c r="L35" s="35"/>
      <c r="AB35" s="35"/>
    </row>
    <row r="36" spans="2:41" ht="15.75" customHeight="1">
      <c r="K36" s="32" t="s">
        <v>102</v>
      </c>
      <c r="L36" s="14"/>
      <c r="M36" s="14"/>
      <c r="N36" s="39"/>
      <c r="Q36" s="14"/>
      <c r="R36" s="14"/>
      <c r="S36" s="14"/>
      <c r="T36" s="14"/>
      <c r="U36" s="14"/>
      <c r="V36" s="14"/>
      <c r="AA36" s="32" t="s">
        <v>102</v>
      </c>
      <c r="AB36" s="14"/>
      <c r="AC36" s="14"/>
      <c r="AD36" s="39"/>
      <c r="AG36" s="14"/>
      <c r="AH36" s="14"/>
      <c r="AI36" s="14"/>
      <c r="AJ36" s="14"/>
      <c r="AK36" s="14"/>
      <c r="AL36" s="14"/>
    </row>
    <row r="37" spans="2:41" ht="15.75" customHeight="1">
      <c r="K37" s="40" t="s">
        <v>103</v>
      </c>
      <c r="L37" s="14"/>
      <c r="M37" s="14">
        <f>L34</f>
        <v>0</v>
      </c>
      <c r="N37" s="10" t="s">
        <v>104</v>
      </c>
      <c r="R37" s="14"/>
      <c r="S37" s="14"/>
      <c r="T37" s="14"/>
      <c r="U37" s="14"/>
      <c r="V37" s="14"/>
      <c r="W37" s="14"/>
      <c r="AA37" s="40" t="s">
        <v>103</v>
      </c>
      <c r="AB37" s="14"/>
      <c r="AC37" s="14">
        <f>AB34</f>
        <v>0</v>
      </c>
      <c r="AD37" s="10" t="s">
        <v>104</v>
      </c>
      <c r="AH37" s="14"/>
      <c r="AI37" s="14"/>
      <c r="AJ37" s="14"/>
      <c r="AK37" s="14"/>
      <c r="AL37" s="14"/>
      <c r="AM37" s="14"/>
    </row>
    <row r="38" spans="2:41" ht="15.75" customHeight="1">
      <c r="K38" s="40" t="s">
        <v>105</v>
      </c>
      <c r="L38" s="14"/>
      <c r="M38" s="32">
        <v>0</v>
      </c>
      <c r="N38" s="10" t="s">
        <v>106</v>
      </c>
      <c r="R38" s="14"/>
      <c r="S38" s="14"/>
      <c r="T38" s="14"/>
      <c r="U38" s="14"/>
      <c r="V38" s="14"/>
      <c r="W38" s="14"/>
      <c r="AA38" s="40" t="s">
        <v>105</v>
      </c>
      <c r="AB38" s="14"/>
      <c r="AC38" s="32">
        <v>0</v>
      </c>
      <c r="AD38" s="10" t="s">
        <v>106</v>
      </c>
      <c r="AH38" s="14"/>
      <c r="AI38" s="14"/>
      <c r="AJ38" s="14"/>
      <c r="AK38" s="14"/>
      <c r="AL38" s="14"/>
      <c r="AM38" s="14"/>
    </row>
    <row r="39" spans="2:41" ht="15.75" customHeight="1">
      <c r="K39" s="40" t="s">
        <v>107</v>
      </c>
      <c r="L39" s="14"/>
      <c r="M39" s="14">
        <f>M37+M38</f>
        <v>0</v>
      </c>
      <c r="N39" s="10" t="s">
        <v>108</v>
      </c>
      <c r="R39" s="14"/>
      <c r="S39" s="14"/>
      <c r="T39" s="14"/>
      <c r="U39" s="14"/>
      <c r="V39" s="14"/>
      <c r="W39" s="14"/>
      <c r="AA39" s="40" t="s">
        <v>107</v>
      </c>
      <c r="AB39" s="14"/>
      <c r="AC39" s="14">
        <f>AC37+AC38</f>
        <v>0</v>
      </c>
      <c r="AD39" s="10" t="s">
        <v>108</v>
      </c>
      <c r="AH39" s="14"/>
      <c r="AI39" s="14"/>
      <c r="AJ39" s="14"/>
      <c r="AK39" s="14"/>
      <c r="AL39" s="14"/>
      <c r="AM39" s="14"/>
    </row>
    <row r="40" spans="2:41" ht="15.75" customHeight="1">
      <c r="K40" s="40" t="s">
        <v>109</v>
      </c>
      <c r="L40" s="14"/>
      <c r="M40" s="14">
        <f>H34+MAX(0,SUMIFS(W$55:W$59,L$55:L$59,"postmoney SAFE"))+IF(M52="investor friendly",MAX(0,SUMIFS(W$55:W$59,L$55:L$59,"premoney SAFE"))+MAX(0,SUMIFS(W$55:W$59,L$55:L$59,"convertible note")),0)+IF(M64="investor friendly",M68,0)</f>
        <v>0</v>
      </c>
      <c r="N40" s="10" t="s">
        <v>110</v>
      </c>
      <c r="R40" s="14"/>
      <c r="S40" s="14"/>
      <c r="T40" s="14"/>
      <c r="U40" s="14"/>
      <c r="V40" s="14"/>
      <c r="W40" s="14"/>
      <c r="AA40" s="40" t="s">
        <v>109</v>
      </c>
      <c r="AB40" s="14"/>
      <c r="AC40" s="14">
        <f>X34+MAX(0,SUMIFS(AM$55:AM$59,AB$55:AB$59,"postmoney SAFE"))+IF(AC52="investor friendly",MAX(0,SUMIFS(AM$55:AM$59,AB$55:AB$59,"premoney SAFE"))+MAX(0,SUMIFS(AM$55:AM$59,AB$55:AB$59,"convertible note")),0)+IF(AC64="investor friendly",AC68,0)</f>
        <v>0</v>
      </c>
      <c r="AD40" s="10" t="s">
        <v>110</v>
      </c>
      <c r="AH40" s="14"/>
      <c r="AI40" s="14"/>
      <c r="AJ40" s="14"/>
      <c r="AK40" s="14"/>
      <c r="AL40" s="14"/>
      <c r="AM40" s="14"/>
    </row>
    <row r="41" spans="2:41" ht="15.75" customHeight="1">
      <c r="K41" s="40" t="s">
        <v>111</v>
      </c>
      <c r="L41" s="14"/>
      <c r="M41" s="41">
        <f>IFERROR(IF(ISNUMBER(M46),ROUND(M38/M40,M46),M38/M40),0)</f>
        <v>0</v>
      </c>
      <c r="N41" s="10" t="s">
        <v>112</v>
      </c>
      <c r="R41" s="14"/>
      <c r="S41" s="14"/>
      <c r="T41" s="14"/>
      <c r="U41" s="14"/>
      <c r="V41" s="14"/>
      <c r="W41" s="14"/>
      <c r="AA41" s="40" t="s">
        <v>111</v>
      </c>
      <c r="AB41" s="14"/>
      <c r="AC41" s="41">
        <f>IFERROR(IF(ISNUMBER(AC46),ROUND(AC38/AC40,AC46),AC38/AC40),0)</f>
        <v>0</v>
      </c>
      <c r="AD41" s="10" t="s">
        <v>112</v>
      </c>
      <c r="AH41" s="14"/>
      <c r="AI41" s="14"/>
      <c r="AJ41" s="14"/>
      <c r="AK41" s="14"/>
      <c r="AL41" s="14"/>
      <c r="AM41" s="14"/>
    </row>
    <row r="42" spans="2:41" ht="15.75" customHeight="1">
      <c r="K42" s="40" t="s">
        <v>113</v>
      </c>
      <c r="L42" s="14"/>
      <c r="M42" s="14">
        <f>IFERROR(M38-(M40-H34)*M41,0)</f>
        <v>0</v>
      </c>
      <c r="N42" s="10" t="s">
        <v>114</v>
      </c>
      <c r="R42" s="14"/>
      <c r="S42" s="14"/>
      <c r="T42" s="14"/>
      <c r="U42" s="14"/>
      <c r="V42" s="14"/>
      <c r="W42" s="14"/>
      <c r="AA42" s="40" t="s">
        <v>113</v>
      </c>
      <c r="AB42" s="14"/>
      <c r="AC42" s="14">
        <f>IFERROR(AC38-(AC40-X34)*AC41,0)</f>
        <v>0</v>
      </c>
      <c r="AD42" s="10" t="s">
        <v>114</v>
      </c>
      <c r="AH42" s="14"/>
      <c r="AI42" s="14"/>
      <c r="AJ42" s="14"/>
      <c r="AK42" s="14"/>
      <c r="AL42" s="14"/>
      <c r="AM42" s="14"/>
    </row>
    <row r="43" spans="2:41" ht="15.75" customHeight="1">
      <c r="K43" s="40"/>
      <c r="L43" s="14"/>
      <c r="M43" s="14"/>
      <c r="N43" s="10"/>
      <c r="R43" s="14"/>
      <c r="S43" s="14"/>
      <c r="T43" s="14"/>
      <c r="U43" s="14"/>
      <c r="V43" s="14"/>
      <c r="W43" s="14"/>
      <c r="AA43" s="40"/>
      <c r="AB43" s="14"/>
      <c r="AC43" s="14"/>
      <c r="AD43" s="10"/>
      <c r="AH43" s="14"/>
      <c r="AI43" s="14"/>
      <c r="AJ43" s="14"/>
      <c r="AK43" s="14"/>
      <c r="AL43" s="14"/>
      <c r="AM43" s="14"/>
    </row>
    <row r="44" spans="2:41" ht="15.75" customHeight="1">
      <c r="K44" s="42" t="s">
        <v>115</v>
      </c>
      <c r="L44" s="43"/>
      <c r="M44" s="43"/>
      <c r="N44" s="44"/>
      <c r="O44" s="44"/>
      <c r="P44" s="44"/>
      <c r="Q44" s="44"/>
      <c r="R44" s="43"/>
      <c r="S44" s="43"/>
      <c r="T44" s="43"/>
      <c r="U44" s="43"/>
      <c r="V44" s="43"/>
      <c r="W44" s="43"/>
      <c r="AA44" s="42" t="s">
        <v>115</v>
      </c>
      <c r="AB44" s="43"/>
      <c r="AC44" s="43"/>
      <c r="AD44" s="44"/>
      <c r="AE44" s="44"/>
      <c r="AF44" s="44"/>
      <c r="AG44" s="44"/>
      <c r="AH44" s="43"/>
      <c r="AI44" s="43"/>
      <c r="AJ44" s="43"/>
      <c r="AK44" s="43"/>
      <c r="AL44" s="43"/>
      <c r="AM44" s="43"/>
    </row>
    <row r="45" spans="2:41" ht="15.75" customHeight="1">
      <c r="K45" s="40" t="s">
        <v>116</v>
      </c>
      <c r="L45" s="14"/>
      <c r="M45" s="129" t="b">
        <v>0</v>
      </c>
      <c r="N45" s="10" t="s">
        <v>117</v>
      </c>
      <c r="R45" s="14"/>
      <c r="S45" s="14"/>
      <c r="T45" s="14"/>
      <c r="U45" s="14"/>
      <c r="V45" s="14"/>
      <c r="W45" s="14"/>
      <c r="AA45" s="40" t="s">
        <v>116</v>
      </c>
      <c r="AB45" s="14"/>
      <c r="AC45" s="45" t="b">
        <v>0</v>
      </c>
      <c r="AD45" s="10" t="s">
        <v>117</v>
      </c>
      <c r="AH45" s="14"/>
      <c r="AI45" s="14"/>
      <c r="AJ45" s="14"/>
      <c r="AK45" s="14"/>
      <c r="AL45" s="14"/>
      <c r="AM45" s="14"/>
    </row>
    <row r="46" spans="2:41" ht="15.75" customHeight="1">
      <c r="K46" s="40" t="str">
        <f>IF(ISNUMBER(M46),"Round share prices to "&amp;M46&amp;" significant digits","Do not round share prices")</f>
        <v>Round share prices to 4 significant digits</v>
      </c>
      <c r="L46" s="14"/>
      <c r="M46" s="45">
        <v>4</v>
      </c>
      <c r="N46" s="10" t="s">
        <v>118</v>
      </c>
      <c r="R46" s="14"/>
      <c r="S46" s="14"/>
      <c r="T46" s="14"/>
      <c r="U46" s="14"/>
      <c r="V46" s="14"/>
      <c r="W46" s="14"/>
      <c r="AA46" s="40" t="str">
        <f>IF(ISNUMBER(AC46),"Round share prices to "&amp;AC46&amp;" significant digits","Do not round share prices")</f>
        <v>Round share prices to 4 significant digits</v>
      </c>
      <c r="AB46" s="14"/>
      <c r="AC46" s="45">
        <v>4</v>
      </c>
      <c r="AD46" s="10" t="s">
        <v>118</v>
      </c>
      <c r="AH46" s="14"/>
      <c r="AI46" s="14"/>
      <c r="AJ46" s="14"/>
      <c r="AK46" s="14"/>
      <c r="AL46" s="14"/>
      <c r="AM46" s="14"/>
    </row>
    <row r="47" spans="2:41" ht="15.75" customHeight="1">
      <c r="K47" s="40" t="s">
        <v>119</v>
      </c>
      <c r="L47" s="14"/>
      <c r="M47" s="45" t="s">
        <v>120</v>
      </c>
      <c r="N47" s="10" t="s">
        <v>121</v>
      </c>
      <c r="R47" s="14"/>
      <c r="S47" s="14"/>
      <c r="T47" s="14"/>
      <c r="U47" s="14"/>
      <c r="V47" s="14"/>
      <c r="W47" s="14"/>
      <c r="AA47" s="40" t="s">
        <v>119</v>
      </c>
      <c r="AB47" s="14"/>
      <c r="AC47" s="45" t="s">
        <v>120</v>
      </c>
      <c r="AD47" s="10" t="s">
        <v>121</v>
      </c>
      <c r="AH47" s="14"/>
      <c r="AI47" s="14"/>
      <c r="AJ47" s="14"/>
      <c r="AK47" s="14"/>
      <c r="AL47" s="14"/>
      <c r="AM47" s="14"/>
    </row>
    <row r="48" spans="2:41" ht="15.75" customHeight="1">
      <c r="K48" s="40" t="s">
        <v>122</v>
      </c>
      <c r="L48" s="14"/>
      <c r="M48" s="46">
        <f ca="1">TODAY()</f>
        <v>45934</v>
      </c>
      <c r="N48" s="10" t="s">
        <v>123</v>
      </c>
      <c r="R48" s="14"/>
      <c r="S48" s="14"/>
      <c r="T48" s="14"/>
      <c r="U48" s="14"/>
      <c r="V48" s="14"/>
      <c r="W48" s="14"/>
      <c r="AA48" s="40" t="s">
        <v>122</v>
      </c>
      <c r="AB48" s="14"/>
      <c r="AC48" s="46">
        <f ca="1">TODAY()</f>
        <v>45934</v>
      </c>
      <c r="AD48" s="10" t="s">
        <v>123</v>
      </c>
      <c r="AH48" s="14"/>
      <c r="AI48" s="14"/>
      <c r="AJ48" s="14"/>
      <c r="AK48" s="14"/>
      <c r="AL48" s="14"/>
      <c r="AM48" s="14"/>
    </row>
    <row r="49" spans="11:39" ht="15.75" customHeight="1">
      <c r="K49" s="47"/>
      <c r="L49" s="14"/>
      <c r="R49" s="14"/>
      <c r="S49" s="14"/>
      <c r="T49" s="14"/>
      <c r="U49" s="14"/>
      <c r="V49" s="14"/>
      <c r="W49" s="14"/>
      <c r="AA49" s="47"/>
      <c r="AB49" s="14"/>
      <c r="AH49" s="14"/>
      <c r="AI49" s="14"/>
      <c r="AJ49" s="14"/>
      <c r="AK49" s="14"/>
      <c r="AL49" s="14"/>
      <c r="AM49" s="14"/>
    </row>
    <row r="50" spans="11:39" ht="15.75" customHeight="1">
      <c r="K50" s="48" t="s">
        <v>124</v>
      </c>
      <c r="L50" s="43"/>
      <c r="M50" s="44"/>
      <c r="N50" s="44"/>
      <c r="O50" s="44"/>
      <c r="P50" s="44"/>
      <c r="Q50" s="44"/>
      <c r="R50" s="43"/>
      <c r="S50" s="43"/>
      <c r="T50" s="43"/>
      <c r="U50" s="43"/>
      <c r="V50" s="43"/>
      <c r="W50" s="43"/>
      <c r="AA50" s="48" t="s">
        <v>124</v>
      </c>
      <c r="AB50" s="43"/>
      <c r="AC50" s="44"/>
      <c r="AD50" s="44"/>
      <c r="AE50" s="44"/>
      <c r="AF50" s="44"/>
      <c r="AG50" s="44"/>
      <c r="AH50" s="43"/>
      <c r="AI50" s="43"/>
      <c r="AJ50" s="43"/>
      <c r="AK50" s="43"/>
      <c r="AL50" s="43"/>
      <c r="AM50" s="43"/>
    </row>
    <row r="51" spans="11:39" ht="15.75" customHeight="1">
      <c r="K51" s="10" t="s">
        <v>125</v>
      </c>
      <c r="L51" s="10"/>
      <c r="M51" s="10"/>
      <c r="N51" s="10"/>
      <c r="R51" s="14"/>
      <c r="S51" s="14"/>
      <c r="T51" s="14"/>
      <c r="U51" s="14"/>
      <c r="V51" s="14"/>
      <c r="W51" s="14"/>
      <c r="AA51" s="10" t="s">
        <v>125</v>
      </c>
      <c r="AB51" s="10"/>
      <c r="AC51" s="10"/>
      <c r="AD51" s="10"/>
      <c r="AH51" s="14"/>
      <c r="AI51" s="14"/>
      <c r="AJ51" s="14"/>
      <c r="AK51" s="14"/>
      <c r="AL51" s="14"/>
      <c r="AM51" s="14"/>
    </row>
    <row r="52" spans="11:39">
      <c r="K52" s="49" t="s">
        <v>126</v>
      </c>
      <c r="L52" s="50"/>
      <c r="M52" s="51" t="s">
        <v>127</v>
      </c>
      <c r="N52" s="10" t="s">
        <v>128</v>
      </c>
      <c r="O52" s="52"/>
      <c r="P52" s="52"/>
      <c r="Q52" s="52"/>
      <c r="R52" s="52"/>
      <c r="S52" s="52"/>
      <c r="T52" s="52"/>
      <c r="U52" s="52"/>
      <c r="V52" s="52"/>
      <c r="W52" s="53"/>
      <c r="AA52" s="49" t="s">
        <v>126</v>
      </c>
      <c r="AB52" s="50"/>
      <c r="AC52" s="51" t="s">
        <v>127</v>
      </c>
      <c r="AD52" s="10" t="s">
        <v>128</v>
      </c>
      <c r="AE52" s="52"/>
      <c r="AF52" s="52"/>
      <c r="AG52" s="52"/>
      <c r="AH52" s="52"/>
      <c r="AI52" s="52"/>
      <c r="AJ52" s="52"/>
      <c r="AK52" s="52"/>
      <c r="AL52" s="52"/>
      <c r="AM52" s="53"/>
    </row>
    <row r="53" spans="11:39" ht="15.75" customHeight="1">
      <c r="K53" s="21" t="s">
        <v>100</v>
      </c>
      <c r="L53" s="21" t="s">
        <v>129</v>
      </c>
      <c r="M53" s="22" t="s">
        <v>84</v>
      </c>
      <c r="N53" s="22" t="s">
        <v>130</v>
      </c>
      <c r="O53" s="22" t="s">
        <v>131</v>
      </c>
      <c r="P53" s="22" t="s">
        <v>132</v>
      </c>
      <c r="Q53" s="22" t="s">
        <v>133</v>
      </c>
      <c r="R53" s="22" t="s">
        <v>134</v>
      </c>
      <c r="S53" s="22" t="s">
        <v>135</v>
      </c>
      <c r="T53" s="22" t="s">
        <v>109</v>
      </c>
      <c r="U53" s="22" t="s">
        <v>111</v>
      </c>
      <c r="V53" s="22" t="s">
        <v>136</v>
      </c>
      <c r="W53" s="23" t="s">
        <v>86</v>
      </c>
      <c r="AA53" s="21" t="s">
        <v>100</v>
      </c>
      <c r="AB53" s="21" t="s">
        <v>129</v>
      </c>
      <c r="AC53" s="22" t="s">
        <v>84</v>
      </c>
      <c r="AD53" s="22" t="s">
        <v>130</v>
      </c>
      <c r="AE53" s="22" t="s">
        <v>131</v>
      </c>
      <c r="AF53" s="22" t="s">
        <v>132</v>
      </c>
      <c r="AG53" s="22" t="s">
        <v>133</v>
      </c>
      <c r="AH53" s="22" t="s">
        <v>134</v>
      </c>
      <c r="AI53" s="22" t="s">
        <v>135</v>
      </c>
      <c r="AJ53" s="22" t="s">
        <v>109</v>
      </c>
      <c r="AK53" s="22" t="s">
        <v>111</v>
      </c>
      <c r="AL53" s="22" t="s">
        <v>136</v>
      </c>
      <c r="AM53" s="23" t="s">
        <v>86</v>
      </c>
    </row>
    <row r="54" spans="11:39" ht="13">
      <c r="K54" s="26" t="s">
        <v>137</v>
      </c>
      <c r="N54" s="25" t="s">
        <v>138</v>
      </c>
      <c r="O54" s="25" t="s">
        <v>139</v>
      </c>
      <c r="P54" s="25" t="s">
        <v>140</v>
      </c>
      <c r="Q54" s="25" t="s">
        <v>141</v>
      </c>
      <c r="R54" s="25" t="s">
        <v>142</v>
      </c>
      <c r="S54" s="25" t="s">
        <v>143</v>
      </c>
      <c r="T54" s="25" t="s">
        <v>144</v>
      </c>
      <c r="U54" s="25" t="s">
        <v>145</v>
      </c>
      <c r="V54" s="25" t="s">
        <v>146</v>
      </c>
      <c r="W54" s="25" t="s">
        <v>90</v>
      </c>
      <c r="AA54" s="26" t="s">
        <v>137</v>
      </c>
      <c r="AD54" s="25" t="s">
        <v>138</v>
      </c>
      <c r="AE54" s="25" t="s">
        <v>139</v>
      </c>
      <c r="AF54" s="25" t="s">
        <v>140</v>
      </c>
      <c r="AG54" s="25" t="s">
        <v>141</v>
      </c>
      <c r="AH54" s="25" t="s">
        <v>142</v>
      </c>
      <c r="AI54" s="25" t="s">
        <v>143</v>
      </c>
      <c r="AJ54" s="25" t="s">
        <v>144</v>
      </c>
      <c r="AK54" s="25" t="s">
        <v>145</v>
      </c>
      <c r="AL54" s="25" t="s">
        <v>146</v>
      </c>
      <c r="AM54" s="25" t="s">
        <v>90</v>
      </c>
    </row>
    <row r="55" spans="11:39" ht="13">
      <c r="K55" s="30" t="s">
        <v>100</v>
      </c>
      <c r="L55" s="30" t="s">
        <v>147</v>
      </c>
      <c r="M55" s="31">
        <v>0</v>
      </c>
      <c r="N55" s="54">
        <v>0</v>
      </c>
      <c r="O55" s="31">
        <v>0</v>
      </c>
      <c r="P55" s="54">
        <v>0</v>
      </c>
      <c r="Q55" s="54">
        <v>0</v>
      </c>
      <c r="R55" s="46">
        <f t="shared" ref="R55:R58" ca="1" si="92">TODAY()-365</f>
        <v>45569</v>
      </c>
      <c r="S55" s="28">
        <f t="shared" ref="S55:S58" ca="1" si="93">IFERROR(Q55/365*(M$48-R55)*M55,0)</f>
        <v>0</v>
      </c>
      <c r="T55" s="31">
        <f t="shared" ref="T55:T58" si="94">IF(L55="postmoney SAFE",H$34+MAX(0,SUM(W$55:W$59)),H$34+IF(M$64="investor friendly",M$68,0))</f>
        <v>0</v>
      </c>
      <c r="U55" s="55">
        <f t="shared" ref="U55:U58" si="95">IFERROR(IF(ISNUMBER(M$46),ROUND(IF(AND(P55&lt;&gt;0,L55="postmoney SAFE"),(M55/P55)/T55,IF(O55&lt;&gt;0, MIN(O55/T55,M$41*(1-N55)),M$41*(1-N55))),M$46),IF(AND(P55&lt;&gt;0,L55="postmoney SAFE"),(M55/P55)/T55,IF(O55&lt;&gt;0, MIN(O55/T55,M$41*(1-N55)),M$41*(1-N55)))),0)</f>
        <v>0</v>
      </c>
      <c r="V55" s="56">
        <f t="shared" ref="V55:V58" ca="1" si="96">IFERROR(((S55+M55)/U55-W55)*U55,0)</f>
        <v>0</v>
      </c>
      <c r="W55" s="28">
        <f t="shared" ref="W55:W58" si="97">IF(M$45=TRUE, IFERROR(IF(M$47="rounddown",ROUNDDOWN((S55+M55)/U55,0),IF(M$47="roundup",ROUNDUP((S55+M55)/U55,0),IF(M$47="round",ROUND((S55+M55)/U55,0),(S55+M55)/U55))),0),0)</f>
        <v>0</v>
      </c>
      <c r="AA55" s="30" t="s">
        <v>100</v>
      </c>
      <c r="AB55" s="30" t="s">
        <v>147</v>
      </c>
      <c r="AC55" s="31">
        <v>0</v>
      </c>
      <c r="AD55" s="54">
        <v>0</v>
      </c>
      <c r="AE55" s="31">
        <v>0</v>
      </c>
      <c r="AF55" s="54">
        <v>0</v>
      </c>
      <c r="AG55" s="54">
        <v>0</v>
      </c>
      <c r="AH55" s="46">
        <f t="shared" ref="AH55:AH58" ca="1" si="98">TODAY()-365</f>
        <v>45569</v>
      </c>
      <c r="AI55" s="28">
        <f t="shared" ref="AI55:AI58" ca="1" si="99">IFERROR(AG55/365*(AC$48-AH55)*AC55,0)</f>
        <v>0</v>
      </c>
      <c r="AJ55" s="31">
        <f t="shared" ref="AJ55:AJ58" si="100">IF(AB55="postmoney SAFE",X$34+MAX(0,SUM(AM$55:AM$59)),X$34+IF(AC$64="investor friendly",AC$68,0))</f>
        <v>0</v>
      </c>
      <c r="AK55" s="55">
        <f t="shared" ref="AK55:AK58" si="101">IFERROR(IF(ISNUMBER(AC$46),ROUND(IF(AND(AF55&lt;&gt;0,AB55="postmoney SAFE"),(AC55/AF55)/AJ55,IF(AE55&lt;&gt;0, MIN(AE55/AJ55,AC$41*(1-AD55)),AC$41*(1-AD55))),AC$46),IF(AND(AF55&lt;&gt;0,AB55="postmoney SAFE"),(AC55/AF55)/AJ55,IF(AE55&lt;&gt;0, MIN(AE55/AJ55,AC$41*(1-AD55)),AC$41*(1-AD55)))),0)</f>
        <v>0</v>
      </c>
      <c r="AL55" s="56">
        <f t="shared" ref="AL55:AL58" ca="1" si="102">IFERROR(((AI55+AC55)/AK55-AM55)*AK55,0)</f>
        <v>0</v>
      </c>
      <c r="AM55" s="28">
        <f t="shared" ref="AM55:AM58" si="103">IF(AC$45=TRUE, IFERROR(IF(AC$47="rounddown",ROUNDDOWN((AI55+AC55)/AK55,0),IF(AC$47="roundup",ROUNDUP((AI55+AC55)/AK55,0),IF(AC$47="round",ROUND((AI55+AC55)/AK55,0),(AI55+AC55)/AK55))),0),0)</f>
        <v>0</v>
      </c>
    </row>
    <row r="56" spans="11:39" ht="13">
      <c r="K56" s="30" t="s">
        <v>100</v>
      </c>
      <c r="L56" s="30" t="s">
        <v>148</v>
      </c>
      <c r="M56" s="31">
        <v>0</v>
      </c>
      <c r="N56" s="54">
        <v>0</v>
      </c>
      <c r="O56" s="31">
        <v>0</v>
      </c>
      <c r="P56" s="54">
        <v>0</v>
      </c>
      <c r="Q56" s="54">
        <v>0</v>
      </c>
      <c r="R56" s="46">
        <f t="shared" ca="1" si="92"/>
        <v>45569</v>
      </c>
      <c r="S56" s="28">
        <f t="shared" ca="1" si="93"/>
        <v>0</v>
      </c>
      <c r="T56" s="31">
        <f t="shared" si="94"/>
        <v>0</v>
      </c>
      <c r="U56" s="55">
        <f t="shared" si="95"/>
        <v>0</v>
      </c>
      <c r="V56" s="56">
        <f t="shared" ca="1" si="96"/>
        <v>0</v>
      </c>
      <c r="W56" s="28">
        <f t="shared" si="97"/>
        <v>0</v>
      </c>
      <c r="AA56" s="30" t="s">
        <v>100</v>
      </c>
      <c r="AB56" s="30" t="s">
        <v>148</v>
      </c>
      <c r="AC56" s="31">
        <v>0</v>
      </c>
      <c r="AD56" s="54">
        <v>0</v>
      </c>
      <c r="AE56" s="31">
        <v>0</v>
      </c>
      <c r="AF56" s="54">
        <v>0</v>
      </c>
      <c r="AG56" s="54">
        <v>0</v>
      </c>
      <c r="AH56" s="46">
        <f t="shared" ca="1" si="98"/>
        <v>45569</v>
      </c>
      <c r="AI56" s="28">
        <f t="shared" ca="1" si="99"/>
        <v>0</v>
      </c>
      <c r="AJ56" s="31">
        <f t="shared" si="100"/>
        <v>0</v>
      </c>
      <c r="AK56" s="55">
        <f t="shared" si="101"/>
        <v>0</v>
      </c>
      <c r="AL56" s="56">
        <f t="shared" ca="1" si="102"/>
        <v>0</v>
      </c>
      <c r="AM56" s="28">
        <f t="shared" si="103"/>
        <v>0</v>
      </c>
    </row>
    <row r="57" spans="11:39" ht="13">
      <c r="K57" s="30" t="s">
        <v>100</v>
      </c>
      <c r="L57" s="30" t="s">
        <v>149</v>
      </c>
      <c r="M57" s="31">
        <v>0</v>
      </c>
      <c r="N57" s="57">
        <v>0</v>
      </c>
      <c r="O57" s="31">
        <v>0</v>
      </c>
      <c r="P57" s="57">
        <v>0</v>
      </c>
      <c r="Q57" s="57">
        <v>0</v>
      </c>
      <c r="R57" s="46">
        <f t="shared" ca="1" si="92"/>
        <v>45569</v>
      </c>
      <c r="S57" s="28">
        <f t="shared" ca="1" si="93"/>
        <v>0</v>
      </c>
      <c r="T57" s="31">
        <f t="shared" si="94"/>
        <v>0</v>
      </c>
      <c r="U57" s="55">
        <f t="shared" si="95"/>
        <v>0</v>
      </c>
      <c r="V57" s="56">
        <f t="shared" ca="1" si="96"/>
        <v>0</v>
      </c>
      <c r="W57" s="28">
        <f t="shared" si="97"/>
        <v>0</v>
      </c>
      <c r="AA57" s="30" t="s">
        <v>100</v>
      </c>
      <c r="AB57" s="30" t="s">
        <v>149</v>
      </c>
      <c r="AC57" s="31">
        <v>0</v>
      </c>
      <c r="AD57" s="57">
        <v>0</v>
      </c>
      <c r="AE57" s="31">
        <v>0</v>
      </c>
      <c r="AF57" s="57">
        <v>0</v>
      </c>
      <c r="AG57" s="57">
        <v>0</v>
      </c>
      <c r="AH57" s="46">
        <f t="shared" ca="1" si="98"/>
        <v>45569</v>
      </c>
      <c r="AI57" s="28">
        <f t="shared" ca="1" si="99"/>
        <v>0</v>
      </c>
      <c r="AJ57" s="31">
        <f t="shared" si="100"/>
        <v>0</v>
      </c>
      <c r="AK57" s="55">
        <f t="shared" si="101"/>
        <v>0</v>
      </c>
      <c r="AL57" s="56">
        <f t="shared" ca="1" si="102"/>
        <v>0</v>
      </c>
      <c r="AM57" s="28">
        <f t="shared" si="103"/>
        <v>0</v>
      </c>
    </row>
    <row r="58" spans="11:39" ht="13">
      <c r="K58" s="30" t="s">
        <v>100</v>
      </c>
      <c r="L58" s="30" t="s">
        <v>147</v>
      </c>
      <c r="M58" s="31">
        <v>0</v>
      </c>
      <c r="N58" s="57">
        <v>0</v>
      </c>
      <c r="O58" s="31">
        <v>0</v>
      </c>
      <c r="P58" s="57">
        <v>0</v>
      </c>
      <c r="Q58" s="57">
        <v>0</v>
      </c>
      <c r="R58" s="46">
        <f t="shared" ca="1" si="92"/>
        <v>45569</v>
      </c>
      <c r="S58" s="28">
        <f t="shared" ca="1" si="93"/>
        <v>0</v>
      </c>
      <c r="T58" s="31">
        <f t="shared" si="94"/>
        <v>0</v>
      </c>
      <c r="U58" s="55">
        <f t="shared" si="95"/>
        <v>0</v>
      </c>
      <c r="V58" s="56">
        <f t="shared" ca="1" si="96"/>
        <v>0</v>
      </c>
      <c r="W58" s="28">
        <f t="shared" si="97"/>
        <v>0</v>
      </c>
      <c r="AA58" s="30" t="s">
        <v>100</v>
      </c>
      <c r="AB58" s="30" t="s">
        <v>147</v>
      </c>
      <c r="AC58" s="31">
        <v>0</v>
      </c>
      <c r="AD58" s="57">
        <v>0</v>
      </c>
      <c r="AE58" s="31">
        <v>0</v>
      </c>
      <c r="AF58" s="57">
        <v>0</v>
      </c>
      <c r="AG58" s="57">
        <v>0</v>
      </c>
      <c r="AH58" s="46">
        <f t="shared" ca="1" si="98"/>
        <v>45569</v>
      </c>
      <c r="AI58" s="28">
        <f t="shared" ca="1" si="99"/>
        <v>0</v>
      </c>
      <c r="AJ58" s="31">
        <f t="shared" si="100"/>
        <v>0</v>
      </c>
      <c r="AK58" s="55">
        <f t="shared" si="101"/>
        <v>0</v>
      </c>
      <c r="AL58" s="56">
        <f t="shared" ca="1" si="102"/>
        <v>0</v>
      </c>
      <c r="AM58" s="28">
        <f t="shared" si="103"/>
        <v>0</v>
      </c>
    </row>
    <row r="59" spans="11:39" ht="13">
      <c r="L59" s="10"/>
      <c r="N59" s="10"/>
      <c r="R59" s="14"/>
      <c r="S59" s="14"/>
      <c r="T59" s="14"/>
      <c r="U59" s="14"/>
      <c r="V59" s="14"/>
      <c r="W59" s="14"/>
      <c r="AB59" s="10"/>
      <c r="AD59" s="10"/>
      <c r="AH59" s="14"/>
      <c r="AI59" s="14"/>
      <c r="AJ59" s="14"/>
      <c r="AK59" s="14"/>
      <c r="AL59" s="14"/>
      <c r="AM59" s="14"/>
    </row>
    <row r="60" spans="11:39" ht="13">
      <c r="K60" s="36" t="s">
        <v>101</v>
      </c>
      <c r="L60" s="36"/>
      <c r="M60" s="58">
        <f>SUM(M55:M58)</f>
        <v>0</v>
      </c>
      <c r="N60" s="36"/>
      <c r="O60" s="36"/>
      <c r="P60" s="36"/>
      <c r="Q60" s="36"/>
      <c r="R60" s="58"/>
      <c r="S60" s="58">
        <f ca="1">SUM(S55:S58)</f>
        <v>0</v>
      </c>
      <c r="T60" s="58"/>
      <c r="U60" s="59">
        <f ca="1">IFERROR((S60+M60)/W60,0)</f>
        <v>0</v>
      </c>
      <c r="V60" s="60">
        <f t="shared" ref="V60:W60" ca="1" si="104">SUM(V55:V58)</f>
        <v>0</v>
      </c>
      <c r="W60" s="58">
        <f t="shared" si="104"/>
        <v>0</v>
      </c>
      <c r="AA60" s="36" t="s">
        <v>101</v>
      </c>
      <c r="AB60" s="36"/>
      <c r="AC60" s="58">
        <f>SUM(AC55:AC58)</f>
        <v>0</v>
      </c>
      <c r="AD60" s="36"/>
      <c r="AE60" s="36"/>
      <c r="AF60" s="36"/>
      <c r="AG60" s="36"/>
      <c r="AH60" s="58"/>
      <c r="AI60" s="58">
        <f ca="1">SUM(AI55:AI58)</f>
        <v>0</v>
      </c>
      <c r="AJ60" s="58"/>
      <c r="AK60" s="59">
        <f ca="1">IFERROR((AI60+AC60)/AM60,0)</f>
        <v>0</v>
      </c>
      <c r="AL60" s="60">
        <f t="shared" ref="AL60:AM60" ca="1" si="105">SUM(AL55:AL58)</f>
        <v>0</v>
      </c>
      <c r="AM60" s="58">
        <f t="shared" si="105"/>
        <v>0</v>
      </c>
    </row>
    <row r="61" spans="11:39" ht="13">
      <c r="K61" s="47"/>
      <c r="M61" s="14"/>
      <c r="N61" s="10"/>
      <c r="R61" s="14"/>
      <c r="S61" s="14"/>
      <c r="T61" s="14"/>
      <c r="U61" s="14"/>
      <c r="V61" s="14"/>
      <c r="AA61" s="47"/>
      <c r="AC61" s="14"/>
      <c r="AD61" s="10"/>
      <c r="AH61" s="14"/>
      <c r="AI61" s="14"/>
      <c r="AJ61" s="14"/>
      <c r="AK61" s="14"/>
      <c r="AL61" s="14"/>
    </row>
    <row r="62" spans="11:39" ht="14">
      <c r="K62" s="61" t="s">
        <v>150</v>
      </c>
      <c r="L62" s="62"/>
      <c r="M62" s="63"/>
      <c r="N62" s="44"/>
      <c r="O62" s="44"/>
      <c r="P62" s="44"/>
      <c r="Q62" s="44"/>
      <c r="R62" s="43"/>
      <c r="S62" s="43"/>
      <c r="T62" s="43"/>
      <c r="U62" s="43"/>
      <c r="V62" s="43"/>
      <c r="W62" s="43"/>
      <c r="AA62" s="61" t="s">
        <v>150</v>
      </c>
      <c r="AB62" s="62"/>
      <c r="AC62" s="63"/>
      <c r="AD62" s="44"/>
      <c r="AE62" s="44"/>
      <c r="AF62" s="44"/>
      <c r="AG62" s="44"/>
      <c r="AH62" s="43"/>
      <c r="AI62" s="43"/>
      <c r="AJ62" s="43"/>
      <c r="AK62" s="43"/>
      <c r="AL62" s="43"/>
      <c r="AM62" s="43"/>
    </row>
    <row r="63" spans="11:39" ht="14">
      <c r="K63" s="49" t="s">
        <v>151</v>
      </c>
      <c r="L63" s="50"/>
      <c r="M63" s="64" t="s">
        <v>152</v>
      </c>
      <c r="N63" s="10" t="s">
        <v>153</v>
      </c>
      <c r="R63" s="14"/>
      <c r="S63" s="14"/>
      <c r="T63" s="14"/>
      <c r="U63" s="14"/>
      <c r="V63" s="14"/>
      <c r="W63" s="14"/>
      <c r="AA63" s="49" t="s">
        <v>151</v>
      </c>
      <c r="AB63" s="50"/>
      <c r="AC63" s="64" t="s">
        <v>152</v>
      </c>
      <c r="AD63" s="10" t="s">
        <v>153</v>
      </c>
      <c r="AH63" s="14"/>
      <c r="AI63" s="14"/>
      <c r="AJ63" s="14"/>
      <c r="AK63" s="14"/>
      <c r="AL63" s="14"/>
      <c r="AM63" s="14"/>
    </row>
    <row r="64" spans="11:39" ht="14">
      <c r="K64" s="49" t="s">
        <v>154</v>
      </c>
      <c r="L64" s="50"/>
      <c r="M64" s="30" t="s">
        <v>127</v>
      </c>
      <c r="N64" s="10" t="s">
        <v>155</v>
      </c>
      <c r="R64" s="14"/>
      <c r="S64" s="14"/>
      <c r="T64" s="14"/>
      <c r="U64" s="14"/>
      <c r="V64" s="14"/>
      <c r="W64" s="14"/>
      <c r="AA64" s="49" t="s">
        <v>154</v>
      </c>
      <c r="AB64" s="50"/>
      <c r="AC64" s="30" t="s">
        <v>127</v>
      </c>
      <c r="AD64" s="10" t="s">
        <v>155</v>
      </c>
      <c r="AH64" s="14"/>
      <c r="AI64" s="14"/>
      <c r="AJ64" s="14"/>
      <c r="AK64" s="14"/>
      <c r="AL64" s="14"/>
      <c r="AM64" s="14"/>
    </row>
    <row r="65" spans="11:39" ht="14">
      <c r="K65" s="49" t="s">
        <v>156</v>
      </c>
      <c r="L65" s="50"/>
      <c r="M65" s="28">
        <f>IF(M45=TRUE, IFERROR(ROUND(X34*M63,0),0),0)</f>
        <v>0</v>
      </c>
      <c r="N65" s="10" t="s">
        <v>157</v>
      </c>
      <c r="R65" s="14"/>
      <c r="S65" s="14"/>
      <c r="T65" s="14"/>
      <c r="U65" s="14"/>
      <c r="V65" s="14"/>
      <c r="W65" s="14"/>
      <c r="AA65" s="49" t="s">
        <v>156</v>
      </c>
      <c r="AB65" s="50"/>
      <c r="AC65" s="28">
        <f>IF(AC45=TRUE, IFERROR(ROUND(AN34*AC63,0),0),0)</f>
        <v>0</v>
      </c>
      <c r="AD65" s="10" t="s">
        <v>157</v>
      </c>
      <c r="AH65" s="14"/>
      <c r="AI65" s="14"/>
      <c r="AJ65" s="14"/>
      <c r="AK65" s="14"/>
      <c r="AL65" s="14"/>
      <c r="AM65" s="14"/>
    </row>
    <row r="66" spans="11:39" ht="14">
      <c r="K66" s="49" t="s">
        <v>158</v>
      </c>
      <c r="L66" s="50"/>
      <c r="M66" s="31">
        <v>0</v>
      </c>
      <c r="N66" s="10" t="s">
        <v>159</v>
      </c>
      <c r="R66" s="14"/>
      <c r="S66" s="14"/>
      <c r="T66" s="14"/>
      <c r="U66" s="14"/>
      <c r="V66" s="14"/>
      <c r="W66" s="14"/>
      <c r="AA66" s="49" t="s">
        <v>158</v>
      </c>
      <c r="AB66" s="50"/>
      <c r="AC66" s="31">
        <v>0</v>
      </c>
      <c r="AD66" s="10" t="s">
        <v>159</v>
      </c>
      <c r="AH66" s="14"/>
      <c r="AI66" s="14"/>
      <c r="AJ66" s="14"/>
      <c r="AK66" s="14"/>
      <c r="AL66" s="14"/>
      <c r="AM66" s="14"/>
    </row>
    <row r="67" spans="11:39" ht="14">
      <c r="K67" s="49" t="s">
        <v>160</v>
      </c>
      <c r="L67" s="50"/>
      <c r="M67" s="28">
        <f>MAX(0,E18+E19-ABS(M66))</f>
        <v>0</v>
      </c>
      <c r="N67" s="10" t="s">
        <v>161</v>
      </c>
      <c r="R67" s="14"/>
      <c r="S67" s="14"/>
      <c r="T67" s="14"/>
      <c r="U67" s="14"/>
      <c r="V67" s="14"/>
      <c r="W67" s="14"/>
      <c r="AA67" s="49" t="s">
        <v>160</v>
      </c>
      <c r="AB67" s="50"/>
      <c r="AC67" s="28">
        <f>MAX(0,U18+U19-ABS(AC66))</f>
        <v>0</v>
      </c>
      <c r="AD67" s="10" t="s">
        <v>161</v>
      </c>
      <c r="AH67" s="14"/>
      <c r="AI67" s="14"/>
      <c r="AJ67" s="14"/>
      <c r="AK67" s="14"/>
      <c r="AL67" s="14"/>
      <c r="AM67" s="14"/>
    </row>
    <row r="68" spans="11:39" ht="14">
      <c r="K68" s="65" t="s">
        <v>162</v>
      </c>
      <c r="L68" s="50"/>
      <c r="M68" s="28">
        <f>MAX(0,M65-M67)</f>
        <v>0</v>
      </c>
      <c r="N68" s="10" t="s">
        <v>163</v>
      </c>
      <c r="R68" s="14"/>
      <c r="S68" s="14"/>
      <c r="T68" s="14"/>
      <c r="U68" s="14"/>
      <c r="V68" s="14"/>
      <c r="W68" s="14"/>
      <c r="AA68" s="65" t="s">
        <v>162</v>
      </c>
      <c r="AB68" s="50"/>
      <c r="AC68" s="28">
        <f>MAX(0,AC65-AC67)</f>
        <v>0</v>
      </c>
      <c r="AD68" s="10" t="s">
        <v>163</v>
      </c>
      <c r="AH68" s="14"/>
      <c r="AI68" s="14"/>
      <c r="AJ68" s="14"/>
      <c r="AK68" s="14"/>
      <c r="AL68" s="14"/>
      <c r="AM68" s="14"/>
    </row>
    <row r="69" spans="11:39" ht="14">
      <c r="K69" s="65" t="s">
        <v>164</v>
      </c>
      <c r="L69" s="50"/>
      <c r="M69" s="29">
        <f>Y18+Y19</f>
        <v>0</v>
      </c>
      <c r="N69" s="10" t="s">
        <v>165</v>
      </c>
      <c r="R69" s="14"/>
      <c r="S69" s="14"/>
      <c r="T69" s="14"/>
      <c r="U69" s="14"/>
      <c r="V69" s="14"/>
      <c r="W69" s="14"/>
      <c r="AA69" s="65" t="s">
        <v>164</v>
      </c>
      <c r="AB69" s="50"/>
      <c r="AC69" s="29">
        <f>AO18+AO19</f>
        <v>0</v>
      </c>
      <c r="AD69" s="10" t="s">
        <v>165</v>
      </c>
      <c r="AH69" s="14"/>
      <c r="AI69" s="14"/>
      <c r="AJ69" s="14"/>
      <c r="AK69" s="14"/>
      <c r="AL69" s="14"/>
      <c r="AM69" s="14"/>
    </row>
    <row r="70" spans="11:39" ht="13">
      <c r="K70" s="10"/>
      <c r="L70" s="14"/>
      <c r="R70" s="14"/>
      <c r="S70" s="14"/>
      <c r="T70" s="14"/>
      <c r="U70" s="14"/>
      <c r="V70" s="14"/>
      <c r="W70" s="14"/>
      <c r="AA70" s="10"/>
      <c r="AB70" s="14"/>
      <c r="AH70" s="14"/>
      <c r="AI70" s="14"/>
      <c r="AJ70" s="14"/>
      <c r="AK70" s="14"/>
      <c r="AL70" s="14"/>
      <c r="AM70" s="14"/>
    </row>
    <row r="71" spans="11:39" ht="13">
      <c r="K71" s="10"/>
      <c r="L71" s="14"/>
      <c r="R71" s="14"/>
      <c r="S71" s="14"/>
      <c r="T71" s="14"/>
      <c r="U71" s="14"/>
      <c r="V71" s="14"/>
      <c r="W71" s="14"/>
      <c r="AA71" s="10"/>
      <c r="AB71" s="14"/>
      <c r="AH71" s="14"/>
      <c r="AI71" s="14"/>
      <c r="AJ71" s="14"/>
      <c r="AK71" s="14"/>
      <c r="AL71" s="14"/>
      <c r="AM71" s="14"/>
    </row>
  </sheetData>
  <dataValidations count="3">
    <dataValidation type="list" allowBlank="1" sqref="L55:L58 AB55:AB58" xr:uid="{00000000-0002-0000-0200-000000000000}">
      <formula1>"postmoney SAFE,premoney SAFE,convertible note"</formula1>
    </dataValidation>
    <dataValidation type="list" allowBlank="1" sqref="M47 AC47" xr:uid="{00000000-0002-0000-0200-000001000000}">
      <formula1>"none,round,roundup,rounddown"</formula1>
    </dataValidation>
    <dataValidation type="list" allowBlank="1" sqref="M52 AC52 M64 AC64" xr:uid="{00000000-0002-0000-0200-000002000000}">
      <formula1>"investor friendly,founder friendly"</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270"/>
  <sheetViews>
    <sheetView showGridLines="0" topLeftCell="A3" workbookViewId="0">
      <selection activeCell="J3" sqref="J3"/>
    </sheetView>
  </sheetViews>
  <sheetFormatPr baseColWidth="10" defaultColWidth="12.6640625" defaultRowHeight="15.75" customHeight="1" outlineLevelRow="1"/>
  <cols>
    <col min="1" max="1" width="6.5" customWidth="1"/>
    <col min="2" max="2" width="23.6640625" customWidth="1"/>
    <col min="3" max="3" width="6" customWidth="1"/>
    <col min="4" max="6" width="13.6640625" customWidth="1"/>
    <col min="7" max="9" width="13.5" customWidth="1"/>
    <col min="10" max="10" width="14.83203125" customWidth="1"/>
    <col min="11" max="11" width="4.6640625" customWidth="1"/>
    <col min="12" max="12" width="13" customWidth="1"/>
    <col min="13" max="13" width="12.83203125" customWidth="1"/>
    <col min="14" max="14" width="5.5" customWidth="1"/>
    <col min="15" max="15" width="21.83203125" customWidth="1"/>
    <col min="16" max="17" width="13.5" customWidth="1"/>
    <col min="18" max="18" width="5.6640625" customWidth="1"/>
    <col min="19" max="19" width="13.1640625" customWidth="1"/>
    <col min="20" max="22" width="13.5" customWidth="1"/>
    <col min="23" max="23" width="13.1640625" customWidth="1"/>
    <col min="24" max="27" width="13.5" customWidth="1"/>
  </cols>
  <sheetData>
    <row r="1" spans="1:27" ht="13">
      <c r="B1" s="66"/>
    </row>
    <row r="2" spans="1:27" ht="18">
      <c r="B2" s="67" t="s">
        <v>166</v>
      </c>
      <c r="H2" s="15" t="s">
        <v>72</v>
      </c>
    </row>
    <row r="3" spans="1:27" ht="13">
      <c r="B3" s="68" t="s">
        <v>167</v>
      </c>
      <c r="H3" s="40" t="s">
        <v>116</v>
      </c>
      <c r="I3" s="14"/>
      <c r="J3" s="129" t="b">
        <v>0</v>
      </c>
      <c r="K3" s="10" t="s">
        <v>168</v>
      </c>
    </row>
    <row r="4" spans="1:27" ht="13" collapsed="1">
      <c r="B4" s="66"/>
      <c r="T4" s="10"/>
      <c r="U4" s="10"/>
    </row>
    <row r="5" spans="1:27" ht="13" hidden="1" outlineLevel="1">
      <c r="A5" s="10"/>
      <c r="B5" s="69" t="s">
        <v>169</v>
      </c>
      <c r="C5" s="24"/>
      <c r="D5" s="10"/>
      <c r="E5" s="10"/>
      <c r="F5" s="70"/>
      <c r="G5" s="70"/>
      <c r="H5" s="70"/>
      <c r="I5" s="70"/>
      <c r="P5" s="10"/>
      <c r="Q5" s="10"/>
      <c r="R5" s="10"/>
      <c r="S5" s="10"/>
      <c r="T5" s="10"/>
      <c r="U5" s="10"/>
      <c r="V5" s="10"/>
      <c r="W5" s="10"/>
      <c r="X5" s="10"/>
      <c r="Y5" s="10"/>
      <c r="Z5" s="10"/>
      <c r="AA5" s="10"/>
    </row>
    <row r="6" spans="1:27" ht="13" hidden="1" outlineLevel="1">
      <c r="A6" s="10"/>
      <c r="B6" s="71" t="s">
        <v>170</v>
      </c>
      <c r="C6" s="24"/>
      <c r="D6" s="10"/>
      <c r="E6" s="10"/>
      <c r="F6" s="70"/>
      <c r="G6" s="70"/>
      <c r="H6" s="70"/>
      <c r="I6" s="70"/>
      <c r="P6" s="10"/>
      <c r="Q6" s="10"/>
      <c r="R6" s="10"/>
      <c r="S6" s="10"/>
      <c r="T6" s="10"/>
      <c r="U6" s="10"/>
      <c r="V6" s="10"/>
      <c r="W6" s="10"/>
      <c r="X6" s="10"/>
      <c r="Y6" s="10"/>
      <c r="Z6" s="10"/>
      <c r="AA6" s="10"/>
    </row>
    <row r="7" spans="1:27" ht="13" hidden="1" outlineLevel="1">
      <c r="A7" s="10"/>
      <c r="B7" s="71" t="s">
        <v>171</v>
      </c>
      <c r="C7" s="24"/>
      <c r="D7" s="10"/>
      <c r="E7" s="10"/>
      <c r="F7" s="70"/>
      <c r="G7" s="70"/>
      <c r="H7" s="70"/>
      <c r="I7" s="70"/>
      <c r="P7" s="10"/>
      <c r="Q7" s="10"/>
      <c r="R7" s="10"/>
      <c r="S7" s="10"/>
      <c r="T7" s="10"/>
      <c r="U7" s="10"/>
      <c r="V7" s="10"/>
      <c r="W7" s="10"/>
      <c r="X7" s="10"/>
      <c r="Y7" s="10"/>
      <c r="Z7" s="10"/>
      <c r="AA7" s="10"/>
    </row>
    <row r="8" spans="1:27" ht="13" hidden="1" outlineLevel="1">
      <c r="A8" s="10"/>
      <c r="B8" s="71" t="s">
        <v>172</v>
      </c>
      <c r="C8" s="24"/>
      <c r="D8" s="10"/>
      <c r="E8" s="10"/>
      <c r="F8" s="70"/>
      <c r="G8" s="70"/>
      <c r="H8" s="70"/>
      <c r="I8" s="70"/>
      <c r="P8" s="10"/>
      <c r="Q8" s="10"/>
      <c r="R8" s="10"/>
      <c r="S8" s="10"/>
      <c r="T8" s="10"/>
      <c r="U8" s="10"/>
      <c r="V8" s="10"/>
      <c r="W8" s="10"/>
      <c r="X8" s="10"/>
      <c r="Y8" s="10"/>
      <c r="Z8" s="10"/>
      <c r="AA8" s="10"/>
    </row>
    <row r="9" spans="1:27" ht="13" hidden="1" outlineLevel="1">
      <c r="A9" s="10"/>
      <c r="B9" s="71" t="s">
        <v>173</v>
      </c>
      <c r="C9" s="24"/>
      <c r="D9" s="10"/>
      <c r="E9" s="10"/>
      <c r="F9" s="70"/>
      <c r="G9" s="70"/>
      <c r="H9" s="70"/>
      <c r="I9" s="70"/>
      <c r="P9" s="10"/>
      <c r="Q9" s="10"/>
      <c r="R9" s="10"/>
      <c r="S9" s="10"/>
      <c r="T9" s="10"/>
      <c r="U9" s="10"/>
      <c r="V9" s="10"/>
      <c r="W9" s="10"/>
      <c r="X9" s="10"/>
      <c r="Y9" s="10"/>
      <c r="Z9" s="10"/>
      <c r="AA9" s="10"/>
    </row>
    <row r="10" spans="1:27" ht="13" hidden="1" outlineLevel="1">
      <c r="A10" s="10"/>
      <c r="B10" s="71" t="s">
        <v>174</v>
      </c>
      <c r="C10" s="24"/>
      <c r="D10" s="10"/>
      <c r="E10" s="10"/>
      <c r="F10" s="70"/>
      <c r="G10" s="70"/>
      <c r="H10" s="70"/>
      <c r="I10" s="70"/>
      <c r="P10" s="10"/>
      <c r="Q10" s="10"/>
      <c r="R10" s="10"/>
      <c r="S10" s="10"/>
      <c r="T10" s="10"/>
      <c r="U10" s="10"/>
      <c r="V10" s="10"/>
      <c r="W10" s="10"/>
      <c r="X10" s="10"/>
      <c r="Y10" s="10"/>
      <c r="Z10" s="10"/>
      <c r="AA10" s="10"/>
    </row>
    <row r="11" spans="1:27" ht="13" hidden="1" outlineLevel="1">
      <c r="A11" s="10"/>
      <c r="B11" s="71" t="s">
        <v>175</v>
      </c>
      <c r="C11" s="24"/>
      <c r="D11" s="10"/>
      <c r="E11" s="10"/>
      <c r="F11" s="70"/>
      <c r="G11" s="70"/>
      <c r="H11" s="70"/>
      <c r="I11" s="70"/>
      <c r="P11" s="10"/>
      <c r="Q11" s="10"/>
      <c r="R11" s="10"/>
      <c r="S11" s="10"/>
      <c r="T11" s="10"/>
      <c r="U11" s="10"/>
      <c r="V11" s="10"/>
      <c r="W11" s="10"/>
      <c r="X11" s="10"/>
      <c r="Y11" s="10"/>
      <c r="Z11" s="10"/>
      <c r="AA11" s="10"/>
    </row>
    <row r="12" spans="1:27" ht="13" hidden="1" outlineLevel="1">
      <c r="A12" s="10"/>
      <c r="B12" s="71" t="s">
        <v>176</v>
      </c>
      <c r="C12" s="24"/>
      <c r="D12" s="10"/>
      <c r="E12" s="10"/>
      <c r="F12" s="70"/>
      <c r="G12" s="70"/>
      <c r="H12" s="70"/>
      <c r="I12" s="70"/>
      <c r="P12" s="10"/>
      <c r="Q12" s="10"/>
      <c r="R12" s="10"/>
      <c r="S12" s="10"/>
      <c r="T12" s="10"/>
      <c r="U12" s="10"/>
      <c r="V12" s="10"/>
      <c r="W12" s="10"/>
      <c r="X12" s="10"/>
      <c r="Y12" s="10"/>
      <c r="Z12" s="10"/>
      <c r="AA12" s="10"/>
    </row>
    <row r="13" spans="1:27" ht="13" hidden="1" outlineLevel="1">
      <c r="A13" s="10"/>
      <c r="B13" s="71" t="s">
        <v>177</v>
      </c>
      <c r="C13" s="24"/>
      <c r="D13" s="10"/>
      <c r="E13" s="10"/>
      <c r="F13" s="70"/>
      <c r="G13" s="70"/>
      <c r="H13" s="70"/>
      <c r="I13" s="70"/>
      <c r="P13" s="10"/>
      <c r="Q13" s="10"/>
      <c r="R13" s="10"/>
      <c r="S13" s="10"/>
      <c r="T13" s="10"/>
      <c r="U13" s="10"/>
      <c r="V13" s="10"/>
      <c r="W13" s="10"/>
      <c r="X13" s="10"/>
      <c r="Y13" s="10"/>
      <c r="Z13" s="10"/>
      <c r="AA13" s="10"/>
    </row>
    <row r="14" spans="1:27" ht="13" hidden="1" outlineLevel="1">
      <c r="A14" s="10"/>
      <c r="B14" s="71" t="s">
        <v>178</v>
      </c>
      <c r="C14" s="24"/>
      <c r="D14" s="10"/>
      <c r="E14" s="10"/>
      <c r="F14" s="70"/>
      <c r="G14" s="70"/>
      <c r="H14" s="70"/>
      <c r="I14" s="70"/>
      <c r="P14" s="10"/>
      <c r="Q14" s="10"/>
      <c r="R14" s="10"/>
      <c r="S14" s="10"/>
      <c r="T14" s="10"/>
      <c r="U14" s="10"/>
      <c r="V14" s="10"/>
      <c r="W14" s="10"/>
      <c r="X14" s="10"/>
      <c r="Y14" s="10"/>
      <c r="Z14" s="10"/>
      <c r="AA14" s="10"/>
    </row>
    <row r="15" spans="1:27" ht="13" hidden="1" outlineLevel="1">
      <c r="A15" s="10"/>
      <c r="B15" s="71" t="s">
        <v>179</v>
      </c>
      <c r="C15" s="24"/>
      <c r="D15" s="10"/>
      <c r="E15" s="10"/>
      <c r="F15" s="70"/>
      <c r="G15" s="70"/>
      <c r="H15" s="70"/>
      <c r="I15" s="70"/>
      <c r="P15" s="10"/>
      <c r="Q15" s="10"/>
      <c r="R15" s="10"/>
      <c r="S15" s="10"/>
      <c r="T15" s="10"/>
      <c r="U15" s="10"/>
      <c r="V15" s="10"/>
      <c r="W15" s="10"/>
      <c r="X15" s="10"/>
      <c r="Y15" s="10"/>
      <c r="Z15" s="10"/>
      <c r="AA15" s="10"/>
    </row>
    <row r="16" spans="1:27" ht="13" hidden="1" outlineLevel="1">
      <c r="A16" s="10"/>
      <c r="B16" s="71"/>
      <c r="C16" s="24"/>
      <c r="D16" s="10"/>
      <c r="E16" s="10"/>
      <c r="F16" s="70"/>
      <c r="G16" s="70"/>
      <c r="H16" s="70"/>
      <c r="I16" s="70"/>
      <c r="P16" s="10"/>
      <c r="Q16" s="10"/>
      <c r="R16" s="10"/>
      <c r="S16" s="10"/>
      <c r="T16" s="10"/>
      <c r="U16" s="10"/>
      <c r="V16" s="10"/>
      <c r="W16" s="10"/>
      <c r="X16" s="10"/>
      <c r="Y16" s="10"/>
      <c r="Z16" s="10"/>
      <c r="AA16" s="10"/>
    </row>
    <row r="17" spans="1:27" ht="13" hidden="1" outlineLevel="1">
      <c r="A17" s="10"/>
      <c r="B17" s="69" t="s">
        <v>180</v>
      </c>
      <c r="C17" s="24"/>
      <c r="D17" s="10"/>
      <c r="E17" s="10"/>
      <c r="F17" s="70"/>
      <c r="G17" s="70"/>
      <c r="H17" s="70"/>
      <c r="I17" s="70"/>
      <c r="J17" s="70"/>
      <c r="P17" s="10"/>
      <c r="Q17" s="10"/>
      <c r="R17" s="10"/>
      <c r="S17" s="10"/>
      <c r="T17" s="10"/>
      <c r="U17" s="10"/>
      <c r="V17" s="10"/>
      <c r="W17" s="10"/>
      <c r="X17" s="10"/>
      <c r="Y17" s="10"/>
      <c r="Z17" s="10"/>
      <c r="AA17" s="10"/>
    </row>
    <row r="18" spans="1:27" ht="13" hidden="1" outlineLevel="1">
      <c r="A18" s="10"/>
      <c r="B18" s="71" t="s">
        <v>181</v>
      </c>
      <c r="C18" s="24"/>
      <c r="D18" s="10"/>
      <c r="E18" s="10"/>
      <c r="F18" s="70"/>
      <c r="G18" s="70"/>
      <c r="H18" s="70"/>
      <c r="I18" s="70"/>
      <c r="J18" s="70"/>
      <c r="P18" s="10"/>
      <c r="Q18" s="10"/>
      <c r="R18" s="10"/>
      <c r="S18" s="10"/>
      <c r="T18" s="10"/>
      <c r="U18" s="10"/>
      <c r="V18" s="10"/>
      <c r="W18" s="10"/>
      <c r="X18" s="10"/>
      <c r="Y18" s="10"/>
      <c r="Z18" s="10"/>
      <c r="AA18" s="10"/>
    </row>
    <row r="19" spans="1:27" ht="13" hidden="1" outlineLevel="1">
      <c r="A19" s="10"/>
      <c r="B19" s="69" t="s">
        <v>182</v>
      </c>
      <c r="C19" s="24"/>
      <c r="D19" s="10"/>
      <c r="E19" s="10"/>
      <c r="F19" s="70"/>
      <c r="G19" s="70"/>
      <c r="H19" s="70"/>
      <c r="I19" s="70"/>
      <c r="J19" s="70"/>
      <c r="P19" s="10"/>
      <c r="Q19" s="10"/>
      <c r="R19" s="10"/>
      <c r="S19" s="10"/>
      <c r="T19" s="10"/>
      <c r="U19" s="10"/>
      <c r="V19" s="10"/>
      <c r="W19" s="10"/>
      <c r="X19" s="10"/>
      <c r="Y19" s="10"/>
      <c r="Z19" s="10"/>
      <c r="AA19" s="10"/>
    </row>
    <row r="20" spans="1:27" ht="13" hidden="1" outlineLevel="1">
      <c r="A20" s="10"/>
      <c r="B20" s="71"/>
      <c r="C20" s="24"/>
      <c r="D20" s="10"/>
      <c r="E20" s="10"/>
      <c r="F20" s="70"/>
      <c r="G20" s="70"/>
      <c r="H20" s="70"/>
      <c r="I20" s="70"/>
      <c r="J20" s="70"/>
      <c r="P20" s="10"/>
      <c r="Q20" s="10"/>
      <c r="R20" s="10"/>
      <c r="S20" s="10"/>
      <c r="T20" s="10"/>
      <c r="U20" s="10"/>
      <c r="V20" s="10"/>
      <c r="W20" s="10"/>
      <c r="X20" s="10"/>
      <c r="Y20" s="10"/>
      <c r="Z20" s="10"/>
      <c r="AA20" s="10"/>
    </row>
    <row r="21" spans="1:27" ht="28">
      <c r="B21" s="72" t="s">
        <v>183</v>
      </c>
      <c r="C21" s="73"/>
      <c r="D21" s="74" t="s">
        <v>184</v>
      </c>
      <c r="E21" s="74" t="s">
        <v>185</v>
      </c>
      <c r="F21" s="75" t="s">
        <v>186</v>
      </c>
      <c r="G21" s="75" t="s">
        <v>187</v>
      </c>
      <c r="H21" s="75" t="s">
        <v>188</v>
      </c>
      <c r="I21" s="75" t="s">
        <v>189</v>
      </c>
      <c r="J21" s="75" t="s">
        <v>190</v>
      </c>
      <c r="K21" s="76"/>
      <c r="L21" s="76" t="s">
        <v>191</v>
      </c>
      <c r="M21" s="76" t="s">
        <v>192</v>
      </c>
      <c r="N21" s="76"/>
      <c r="O21" s="77" t="s">
        <v>193</v>
      </c>
      <c r="P21" s="75" t="s">
        <v>194</v>
      </c>
      <c r="Q21" s="75" t="s">
        <v>195</v>
      </c>
      <c r="R21" s="76"/>
      <c r="S21" s="22" t="s">
        <v>196</v>
      </c>
      <c r="T21" s="22" t="s">
        <v>197</v>
      </c>
      <c r="U21" s="22" t="s">
        <v>198</v>
      </c>
      <c r="V21" s="22" t="s">
        <v>199</v>
      </c>
      <c r="W21" s="22" t="s">
        <v>200</v>
      </c>
    </row>
    <row r="22" spans="1:27" ht="13">
      <c r="B22" s="66"/>
      <c r="G22" s="78" t="s">
        <v>201</v>
      </c>
      <c r="H22" s="78" t="s">
        <v>202</v>
      </c>
      <c r="I22" s="78" t="s">
        <v>203</v>
      </c>
      <c r="J22" s="78" t="s">
        <v>204</v>
      </c>
      <c r="L22" s="78" t="s">
        <v>205</v>
      </c>
      <c r="M22" s="78" t="s">
        <v>206</v>
      </c>
      <c r="O22" s="78" t="s">
        <v>207</v>
      </c>
      <c r="P22" s="78" t="s">
        <v>208</v>
      </c>
      <c r="Q22" s="78" t="s">
        <v>209</v>
      </c>
      <c r="S22" s="79" t="s">
        <v>210</v>
      </c>
      <c r="T22" s="79" t="s">
        <v>211</v>
      </c>
      <c r="U22" s="79" t="s">
        <v>212</v>
      </c>
      <c r="V22" s="78" t="s">
        <v>213</v>
      </c>
      <c r="W22" s="78" t="s">
        <v>214</v>
      </c>
    </row>
    <row r="23" spans="1:27" ht="13">
      <c r="B23" s="80" t="s">
        <v>215</v>
      </c>
      <c r="D23" s="80" t="s">
        <v>216</v>
      </c>
      <c r="E23" s="80" t="str">
        <f t="shared" ref="E23:E37" si="0">B23</f>
        <v>Series J</v>
      </c>
      <c r="F23" s="81">
        <v>0</v>
      </c>
      <c r="G23" s="81">
        <f t="shared" ref="G23:G33" si="1">IFERROR(F23/J23,0)</f>
        <v>0</v>
      </c>
      <c r="H23" s="82">
        <v>1</v>
      </c>
      <c r="I23" s="83">
        <f t="shared" ref="I23:I37" si="2">IFERROR(G23/G$39,0)</f>
        <v>0</v>
      </c>
      <c r="J23" s="84">
        <v>0</v>
      </c>
      <c r="L23" s="82">
        <v>1</v>
      </c>
      <c r="M23" s="81">
        <f t="shared" ref="M23:M37" si="3">F23 * L23 + U23</f>
        <v>0</v>
      </c>
      <c r="N23" s="10"/>
      <c r="O23" s="85" t="s">
        <v>217</v>
      </c>
      <c r="P23" s="82">
        <v>0</v>
      </c>
      <c r="Q23" s="14">
        <f t="shared" ref="Q23:Q37" si="4">IF(O23="participating preferred with cap",P23 * F23, 0 )</f>
        <v>0</v>
      </c>
      <c r="S23" s="86" t="s">
        <v>218</v>
      </c>
      <c r="T23" s="87">
        <v>0.05</v>
      </c>
      <c r="U23" s="14">
        <f t="shared" ref="U23:U37" si="5">IF($S23="not declared",0,IF($S23="non cumulative",$F23*$T23,IFERROR($T23/365*($V23-$W23)*$F23,0)))</f>
        <v>0</v>
      </c>
      <c r="V23" s="88">
        <f t="shared" ref="V23:V37" ca="1" si="6">EDATE(TODAY(),0)</f>
        <v>45934</v>
      </c>
      <c r="W23" s="88">
        <f t="shared" ref="W23:W37" ca="1" si="7">EDATE(TODAY(),-12*4)</f>
        <v>44473</v>
      </c>
    </row>
    <row r="24" spans="1:27" ht="13">
      <c r="B24" s="80" t="s">
        <v>219</v>
      </c>
      <c r="D24" s="80" t="s">
        <v>216</v>
      </c>
      <c r="E24" s="80" t="str">
        <f t="shared" si="0"/>
        <v>Series I</v>
      </c>
      <c r="F24" s="81">
        <v>0</v>
      </c>
      <c r="G24" s="81">
        <f t="shared" si="1"/>
        <v>0</v>
      </c>
      <c r="H24" s="82">
        <v>1</v>
      </c>
      <c r="I24" s="83">
        <f t="shared" si="2"/>
        <v>0</v>
      </c>
      <c r="J24" s="84">
        <v>0</v>
      </c>
      <c r="L24" s="82">
        <v>1</v>
      </c>
      <c r="M24" s="81">
        <f t="shared" si="3"/>
        <v>0</v>
      </c>
      <c r="N24" s="10"/>
      <c r="O24" s="85" t="s">
        <v>217</v>
      </c>
      <c r="P24" s="82">
        <v>0</v>
      </c>
      <c r="Q24" s="14">
        <f t="shared" si="4"/>
        <v>0</v>
      </c>
      <c r="S24" s="86" t="s">
        <v>218</v>
      </c>
      <c r="T24" s="87">
        <v>0.05</v>
      </c>
      <c r="U24" s="14">
        <f t="shared" si="5"/>
        <v>0</v>
      </c>
      <c r="V24" s="88">
        <f t="shared" ca="1" si="6"/>
        <v>45934</v>
      </c>
      <c r="W24" s="88">
        <f t="shared" ca="1" si="7"/>
        <v>44473</v>
      </c>
    </row>
    <row r="25" spans="1:27" ht="13">
      <c r="B25" s="80" t="s">
        <v>220</v>
      </c>
      <c r="D25" s="80" t="s">
        <v>216</v>
      </c>
      <c r="E25" s="80" t="str">
        <f t="shared" si="0"/>
        <v>Series H</v>
      </c>
      <c r="F25" s="81">
        <v>0</v>
      </c>
      <c r="G25" s="81">
        <f t="shared" si="1"/>
        <v>0</v>
      </c>
      <c r="H25" s="82">
        <v>1</v>
      </c>
      <c r="I25" s="83">
        <f t="shared" si="2"/>
        <v>0</v>
      </c>
      <c r="J25" s="84">
        <v>0</v>
      </c>
      <c r="L25" s="82">
        <v>1</v>
      </c>
      <c r="M25" s="81">
        <f t="shared" si="3"/>
        <v>0</v>
      </c>
      <c r="N25" s="10"/>
      <c r="O25" s="85" t="s">
        <v>217</v>
      </c>
      <c r="P25" s="82">
        <v>0</v>
      </c>
      <c r="Q25" s="14">
        <f t="shared" si="4"/>
        <v>0</v>
      </c>
      <c r="S25" s="86" t="s">
        <v>218</v>
      </c>
      <c r="T25" s="87">
        <v>0.05</v>
      </c>
      <c r="U25" s="14">
        <f t="shared" si="5"/>
        <v>0</v>
      </c>
      <c r="V25" s="88">
        <f t="shared" ca="1" si="6"/>
        <v>45934</v>
      </c>
      <c r="W25" s="88">
        <f t="shared" ca="1" si="7"/>
        <v>44473</v>
      </c>
    </row>
    <row r="26" spans="1:27" ht="13">
      <c r="B26" s="80" t="s">
        <v>221</v>
      </c>
      <c r="D26" s="80" t="s">
        <v>216</v>
      </c>
      <c r="E26" s="80" t="str">
        <f t="shared" si="0"/>
        <v>Series G</v>
      </c>
      <c r="F26" s="81">
        <v>0</v>
      </c>
      <c r="G26" s="81">
        <f t="shared" si="1"/>
        <v>0</v>
      </c>
      <c r="H26" s="82">
        <v>1</v>
      </c>
      <c r="I26" s="83">
        <f t="shared" si="2"/>
        <v>0</v>
      </c>
      <c r="J26" s="84">
        <v>0</v>
      </c>
      <c r="L26" s="82">
        <v>1</v>
      </c>
      <c r="M26" s="81">
        <f t="shared" si="3"/>
        <v>0</v>
      </c>
      <c r="N26" s="10"/>
      <c r="O26" s="85" t="s">
        <v>217</v>
      </c>
      <c r="P26" s="82">
        <v>0</v>
      </c>
      <c r="Q26" s="14">
        <f t="shared" si="4"/>
        <v>0</v>
      </c>
      <c r="S26" s="86" t="s">
        <v>218</v>
      </c>
      <c r="T26" s="87">
        <v>0.05</v>
      </c>
      <c r="U26" s="14">
        <f t="shared" si="5"/>
        <v>0</v>
      </c>
      <c r="V26" s="88">
        <f t="shared" ca="1" si="6"/>
        <v>45934</v>
      </c>
      <c r="W26" s="88">
        <f t="shared" ca="1" si="7"/>
        <v>44473</v>
      </c>
    </row>
    <row r="27" spans="1:27" ht="13">
      <c r="B27" s="80" t="s">
        <v>222</v>
      </c>
      <c r="D27" s="80" t="s">
        <v>216</v>
      </c>
      <c r="E27" s="80" t="str">
        <f t="shared" si="0"/>
        <v>Series F</v>
      </c>
      <c r="F27" s="81">
        <v>0</v>
      </c>
      <c r="G27" s="81">
        <f t="shared" si="1"/>
        <v>0</v>
      </c>
      <c r="H27" s="82">
        <v>1</v>
      </c>
      <c r="I27" s="83">
        <f t="shared" si="2"/>
        <v>0</v>
      </c>
      <c r="J27" s="84">
        <v>0</v>
      </c>
      <c r="L27" s="82">
        <v>1</v>
      </c>
      <c r="M27" s="81">
        <f t="shared" si="3"/>
        <v>0</v>
      </c>
      <c r="N27" s="10"/>
      <c r="O27" s="85" t="s">
        <v>217</v>
      </c>
      <c r="P27" s="82">
        <v>0</v>
      </c>
      <c r="Q27" s="14">
        <f t="shared" si="4"/>
        <v>0</v>
      </c>
      <c r="S27" s="86" t="s">
        <v>218</v>
      </c>
      <c r="T27" s="87">
        <v>0.05</v>
      </c>
      <c r="U27" s="14">
        <f t="shared" si="5"/>
        <v>0</v>
      </c>
      <c r="V27" s="88">
        <f t="shared" ca="1" si="6"/>
        <v>45934</v>
      </c>
      <c r="W27" s="88">
        <f t="shared" ca="1" si="7"/>
        <v>44473</v>
      </c>
    </row>
    <row r="28" spans="1:27" ht="13">
      <c r="B28" s="80" t="s">
        <v>223</v>
      </c>
      <c r="D28" s="80" t="s">
        <v>216</v>
      </c>
      <c r="E28" s="80" t="str">
        <f t="shared" si="0"/>
        <v>Series E</v>
      </c>
      <c r="F28" s="81">
        <v>0</v>
      </c>
      <c r="G28" s="81">
        <f t="shared" si="1"/>
        <v>0</v>
      </c>
      <c r="H28" s="82">
        <v>1</v>
      </c>
      <c r="I28" s="83">
        <f t="shared" si="2"/>
        <v>0</v>
      </c>
      <c r="J28" s="84">
        <v>0</v>
      </c>
      <c r="L28" s="82">
        <v>1</v>
      </c>
      <c r="M28" s="81">
        <f t="shared" si="3"/>
        <v>0</v>
      </c>
      <c r="N28" s="10"/>
      <c r="O28" s="85" t="s">
        <v>217</v>
      </c>
      <c r="P28" s="82">
        <v>0</v>
      </c>
      <c r="Q28" s="14">
        <f t="shared" si="4"/>
        <v>0</v>
      </c>
      <c r="S28" s="86" t="s">
        <v>218</v>
      </c>
      <c r="T28" s="87">
        <v>0.05</v>
      </c>
      <c r="U28" s="14">
        <f t="shared" si="5"/>
        <v>0</v>
      </c>
      <c r="V28" s="88">
        <f t="shared" ca="1" si="6"/>
        <v>45934</v>
      </c>
      <c r="W28" s="88">
        <f t="shared" ca="1" si="7"/>
        <v>44473</v>
      </c>
    </row>
    <row r="29" spans="1:27" ht="13">
      <c r="B29" s="80" t="s">
        <v>224</v>
      </c>
      <c r="D29" s="80" t="s">
        <v>216</v>
      </c>
      <c r="E29" s="80" t="str">
        <f t="shared" si="0"/>
        <v>Series D</v>
      </c>
      <c r="F29" s="81">
        <v>0</v>
      </c>
      <c r="G29" s="81">
        <f t="shared" si="1"/>
        <v>0</v>
      </c>
      <c r="H29" s="82">
        <v>1</v>
      </c>
      <c r="I29" s="83">
        <f t="shared" si="2"/>
        <v>0</v>
      </c>
      <c r="J29" s="84">
        <v>0</v>
      </c>
      <c r="L29" s="82">
        <v>1</v>
      </c>
      <c r="M29" s="81">
        <f t="shared" si="3"/>
        <v>0</v>
      </c>
      <c r="N29" s="10"/>
      <c r="O29" s="85" t="s">
        <v>217</v>
      </c>
      <c r="P29" s="82">
        <v>0</v>
      </c>
      <c r="Q29" s="14">
        <f t="shared" si="4"/>
        <v>0</v>
      </c>
      <c r="S29" s="86" t="s">
        <v>218</v>
      </c>
      <c r="T29" s="87">
        <v>0.05</v>
      </c>
      <c r="U29" s="14">
        <f t="shared" si="5"/>
        <v>0</v>
      </c>
      <c r="V29" s="88">
        <f t="shared" ca="1" si="6"/>
        <v>45934</v>
      </c>
      <c r="W29" s="88">
        <f t="shared" ca="1" si="7"/>
        <v>44473</v>
      </c>
    </row>
    <row r="30" spans="1:27" ht="13">
      <c r="B30" s="80" t="s">
        <v>225</v>
      </c>
      <c r="D30" s="80" t="s">
        <v>216</v>
      </c>
      <c r="E30" s="80" t="str">
        <f t="shared" si="0"/>
        <v>Series C</v>
      </c>
      <c r="F30" s="81">
        <v>0</v>
      </c>
      <c r="G30" s="81">
        <f t="shared" si="1"/>
        <v>0</v>
      </c>
      <c r="H30" s="82">
        <v>1</v>
      </c>
      <c r="I30" s="83">
        <f t="shared" si="2"/>
        <v>0</v>
      </c>
      <c r="J30" s="84">
        <v>0</v>
      </c>
      <c r="L30" s="82">
        <v>1</v>
      </c>
      <c r="M30" s="81">
        <f t="shared" si="3"/>
        <v>0</v>
      </c>
      <c r="N30" s="10"/>
      <c r="O30" s="85" t="s">
        <v>217</v>
      </c>
      <c r="P30" s="82">
        <v>0</v>
      </c>
      <c r="Q30" s="14">
        <f t="shared" si="4"/>
        <v>0</v>
      </c>
      <c r="S30" s="86" t="s">
        <v>218</v>
      </c>
      <c r="T30" s="87">
        <v>0.05</v>
      </c>
      <c r="U30" s="14">
        <f t="shared" si="5"/>
        <v>0</v>
      </c>
      <c r="V30" s="88">
        <f t="shared" ca="1" si="6"/>
        <v>45934</v>
      </c>
      <c r="W30" s="88">
        <f t="shared" ca="1" si="7"/>
        <v>44473</v>
      </c>
    </row>
    <row r="31" spans="1:27" ht="13">
      <c r="B31" s="80" t="s">
        <v>226</v>
      </c>
      <c r="D31" s="80" t="s">
        <v>216</v>
      </c>
      <c r="E31" s="80" t="str">
        <f t="shared" si="0"/>
        <v>Series B</v>
      </c>
      <c r="F31" s="81">
        <f t="shared" ref="F31:F32" si="8">F32*2</f>
        <v>2000000</v>
      </c>
      <c r="G31" s="81">
        <f t="shared" si="1"/>
        <v>2000000</v>
      </c>
      <c r="H31" s="82">
        <v>1</v>
      </c>
      <c r="I31" s="83">
        <f t="shared" si="2"/>
        <v>0.10526315789473684</v>
      </c>
      <c r="J31" s="84">
        <v>1</v>
      </c>
      <c r="L31" s="82">
        <v>1</v>
      </c>
      <c r="M31" s="81">
        <f t="shared" si="3"/>
        <v>2000000</v>
      </c>
      <c r="N31" s="10"/>
      <c r="O31" s="85" t="s">
        <v>217</v>
      </c>
      <c r="P31" s="82">
        <v>0</v>
      </c>
      <c r="Q31" s="14">
        <f t="shared" si="4"/>
        <v>0</v>
      </c>
      <c r="S31" s="86" t="s">
        <v>218</v>
      </c>
      <c r="T31" s="87">
        <v>0.05</v>
      </c>
      <c r="U31" s="14">
        <f t="shared" si="5"/>
        <v>0</v>
      </c>
      <c r="V31" s="88">
        <f t="shared" ca="1" si="6"/>
        <v>45934</v>
      </c>
      <c r="W31" s="88">
        <f t="shared" ca="1" si="7"/>
        <v>44473</v>
      </c>
    </row>
    <row r="32" spans="1:27" ht="13">
      <c r="B32" s="80" t="s">
        <v>227</v>
      </c>
      <c r="D32" s="80" t="s">
        <v>216</v>
      </c>
      <c r="E32" s="80" t="str">
        <f t="shared" si="0"/>
        <v>Series A</v>
      </c>
      <c r="F32" s="81">
        <f t="shared" si="8"/>
        <v>1000000</v>
      </c>
      <c r="G32" s="81">
        <f t="shared" si="1"/>
        <v>2000000</v>
      </c>
      <c r="H32" s="82">
        <v>1</v>
      </c>
      <c r="I32" s="83">
        <f t="shared" si="2"/>
        <v>0.10526315789473684</v>
      </c>
      <c r="J32" s="84">
        <v>0.5</v>
      </c>
      <c r="L32" s="82">
        <v>1</v>
      </c>
      <c r="M32" s="81">
        <f t="shared" si="3"/>
        <v>1000000</v>
      </c>
      <c r="N32" s="10"/>
      <c r="O32" s="85" t="s">
        <v>217</v>
      </c>
      <c r="P32" s="82">
        <v>0</v>
      </c>
      <c r="Q32" s="14">
        <f t="shared" si="4"/>
        <v>0</v>
      </c>
      <c r="S32" s="86" t="s">
        <v>218</v>
      </c>
      <c r="T32" s="87">
        <v>0.05</v>
      </c>
      <c r="U32" s="14">
        <f t="shared" si="5"/>
        <v>0</v>
      </c>
      <c r="V32" s="88">
        <f t="shared" ca="1" si="6"/>
        <v>45934</v>
      </c>
      <c r="W32" s="88">
        <f t="shared" ca="1" si="7"/>
        <v>44473</v>
      </c>
    </row>
    <row r="33" spans="2:23" ht="13">
      <c r="B33" s="80" t="s">
        <v>228</v>
      </c>
      <c r="D33" s="80" t="s">
        <v>216</v>
      </c>
      <c r="E33" s="80" t="str">
        <f t="shared" si="0"/>
        <v>Seed</v>
      </c>
      <c r="F33" s="81">
        <v>500000</v>
      </c>
      <c r="G33" s="81">
        <f t="shared" si="1"/>
        <v>5000000</v>
      </c>
      <c r="H33" s="82">
        <v>1</v>
      </c>
      <c r="I33" s="83">
        <f t="shared" si="2"/>
        <v>0.26315789473684209</v>
      </c>
      <c r="J33" s="84">
        <v>0.1</v>
      </c>
      <c r="L33" s="82">
        <v>1</v>
      </c>
      <c r="M33" s="81">
        <f t="shared" si="3"/>
        <v>500000</v>
      </c>
      <c r="N33" s="10"/>
      <c r="O33" s="85" t="s">
        <v>217</v>
      </c>
      <c r="P33" s="82">
        <v>0</v>
      </c>
      <c r="Q33" s="14">
        <f t="shared" si="4"/>
        <v>0</v>
      </c>
      <c r="S33" s="86" t="s">
        <v>218</v>
      </c>
      <c r="T33" s="87">
        <v>0.05</v>
      </c>
      <c r="U33" s="14">
        <f t="shared" si="5"/>
        <v>0</v>
      </c>
      <c r="V33" s="88">
        <f t="shared" ca="1" si="6"/>
        <v>45934</v>
      </c>
      <c r="W33" s="88">
        <f t="shared" ca="1" si="7"/>
        <v>44473</v>
      </c>
    </row>
    <row r="34" spans="2:23" ht="13">
      <c r="B34" s="80" t="s">
        <v>94</v>
      </c>
      <c r="D34" s="80" t="s">
        <v>94</v>
      </c>
      <c r="E34" s="80" t="str">
        <f t="shared" si="0"/>
        <v>Common</v>
      </c>
      <c r="F34" s="81">
        <v>0</v>
      </c>
      <c r="G34" s="81">
        <v>10000000</v>
      </c>
      <c r="H34" s="82">
        <v>1</v>
      </c>
      <c r="I34" s="83">
        <f t="shared" si="2"/>
        <v>0.52631578947368418</v>
      </c>
      <c r="J34" s="84">
        <v>0</v>
      </c>
      <c r="L34" s="82">
        <v>1</v>
      </c>
      <c r="M34" s="81">
        <f t="shared" si="3"/>
        <v>0</v>
      </c>
      <c r="N34" s="10"/>
      <c r="O34" s="85" t="s">
        <v>217</v>
      </c>
      <c r="P34" s="82">
        <v>0</v>
      </c>
      <c r="Q34" s="14">
        <f t="shared" si="4"/>
        <v>0</v>
      </c>
      <c r="S34" s="86" t="s">
        <v>218</v>
      </c>
      <c r="T34" s="87">
        <v>0.05</v>
      </c>
      <c r="U34" s="14">
        <f t="shared" si="5"/>
        <v>0</v>
      </c>
      <c r="V34" s="88">
        <f t="shared" ca="1" si="6"/>
        <v>45934</v>
      </c>
      <c r="W34" s="88">
        <f t="shared" ca="1" si="7"/>
        <v>44473</v>
      </c>
    </row>
    <row r="35" spans="2:23" ht="13">
      <c r="B35" s="80" t="s">
        <v>79</v>
      </c>
      <c r="D35" s="80" t="s">
        <v>79</v>
      </c>
      <c r="E35" s="80" t="str">
        <f t="shared" si="0"/>
        <v>Options</v>
      </c>
      <c r="F35" s="81">
        <v>0</v>
      </c>
      <c r="G35" s="81">
        <v>0</v>
      </c>
      <c r="H35" s="82">
        <v>1</v>
      </c>
      <c r="I35" s="83">
        <f t="shared" si="2"/>
        <v>0</v>
      </c>
      <c r="J35" s="84">
        <v>0</v>
      </c>
      <c r="L35" s="82">
        <v>1</v>
      </c>
      <c r="M35" s="81">
        <f t="shared" si="3"/>
        <v>0</v>
      </c>
      <c r="N35" s="10"/>
      <c r="O35" s="85" t="s">
        <v>217</v>
      </c>
      <c r="P35" s="82">
        <v>0</v>
      </c>
      <c r="Q35" s="14">
        <f t="shared" si="4"/>
        <v>0</v>
      </c>
      <c r="S35" s="86" t="s">
        <v>218</v>
      </c>
      <c r="T35" s="87">
        <v>0.05</v>
      </c>
      <c r="U35" s="14">
        <f t="shared" si="5"/>
        <v>0</v>
      </c>
      <c r="V35" s="88">
        <f t="shared" ca="1" si="6"/>
        <v>45934</v>
      </c>
      <c r="W35" s="88">
        <f t="shared" ca="1" si="7"/>
        <v>44473</v>
      </c>
    </row>
    <row r="36" spans="2:23" ht="13">
      <c r="B36" s="80" t="s">
        <v>79</v>
      </c>
      <c r="D36" s="80" t="s">
        <v>79</v>
      </c>
      <c r="E36" s="80" t="str">
        <f t="shared" si="0"/>
        <v>Options</v>
      </c>
      <c r="F36" s="81">
        <v>0</v>
      </c>
      <c r="G36" s="81">
        <v>0</v>
      </c>
      <c r="H36" s="82">
        <v>1</v>
      </c>
      <c r="I36" s="83">
        <f t="shared" si="2"/>
        <v>0</v>
      </c>
      <c r="J36" s="84">
        <v>0</v>
      </c>
      <c r="L36" s="82">
        <v>1</v>
      </c>
      <c r="M36" s="81">
        <f t="shared" si="3"/>
        <v>0</v>
      </c>
      <c r="N36" s="10"/>
      <c r="O36" s="85" t="s">
        <v>217</v>
      </c>
      <c r="P36" s="82">
        <v>0</v>
      </c>
      <c r="Q36" s="14">
        <f t="shared" si="4"/>
        <v>0</v>
      </c>
      <c r="S36" s="86" t="s">
        <v>218</v>
      </c>
      <c r="T36" s="87">
        <v>0.05</v>
      </c>
      <c r="U36" s="14">
        <f t="shared" si="5"/>
        <v>0</v>
      </c>
      <c r="V36" s="88">
        <f t="shared" ca="1" si="6"/>
        <v>45934</v>
      </c>
      <c r="W36" s="88">
        <f t="shared" ca="1" si="7"/>
        <v>44473</v>
      </c>
    </row>
    <row r="37" spans="2:23" ht="13">
      <c r="B37" s="80" t="s">
        <v>229</v>
      </c>
      <c r="D37" s="80" t="s">
        <v>229</v>
      </c>
      <c r="E37" s="80" t="str">
        <f t="shared" si="0"/>
        <v>Warrants</v>
      </c>
      <c r="F37" s="81">
        <v>0</v>
      </c>
      <c r="G37" s="81">
        <v>0</v>
      </c>
      <c r="H37" s="82">
        <v>1</v>
      </c>
      <c r="I37" s="83">
        <f t="shared" si="2"/>
        <v>0</v>
      </c>
      <c r="J37" s="84">
        <v>0</v>
      </c>
      <c r="L37" s="82">
        <v>1</v>
      </c>
      <c r="M37" s="81">
        <f t="shared" si="3"/>
        <v>0</v>
      </c>
      <c r="N37" s="10"/>
      <c r="O37" s="85" t="s">
        <v>217</v>
      </c>
      <c r="P37" s="82">
        <v>0</v>
      </c>
      <c r="Q37" s="14">
        <f t="shared" si="4"/>
        <v>0</v>
      </c>
      <c r="S37" s="86" t="s">
        <v>218</v>
      </c>
      <c r="T37" s="87">
        <v>0.05</v>
      </c>
      <c r="U37" s="14">
        <f t="shared" si="5"/>
        <v>0</v>
      </c>
      <c r="V37" s="88">
        <f t="shared" ca="1" si="6"/>
        <v>45934</v>
      </c>
      <c r="W37" s="88">
        <f t="shared" ca="1" si="7"/>
        <v>44473</v>
      </c>
    </row>
    <row r="38" spans="2:23" ht="13">
      <c r="B38" s="66"/>
    </row>
    <row r="39" spans="2:23" ht="13">
      <c r="B39" s="89" t="s">
        <v>101</v>
      </c>
      <c r="C39" s="36"/>
      <c r="D39" s="36"/>
      <c r="E39" s="36"/>
      <c r="F39" s="90">
        <f t="shared" ref="F39:G39" si="9">SUM(F22:F38)</f>
        <v>3500000</v>
      </c>
      <c r="G39" s="90">
        <f t="shared" si="9"/>
        <v>19000000</v>
      </c>
      <c r="H39" s="36"/>
      <c r="I39" s="91">
        <f>IFERROR(G39/G$39,0)</f>
        <v>1</v>
      </c>
      <c r="J39" s="36"/>
      <c r="K39" s="90"/>
      <c r="L39" s="90"/>
      <c r="M39" s="90">
        <f>SUM(M22:M38)</f>
        <v>3500000</v>
      </c>
      <c r="N39" s="90"/>
      <c r="O39" s="90"/>
      <c r="P39" s="90"/>
      <c r="Q39" s="90"/>
      <c r="R39" s="90"/>
      <c r="S39" s="90"/>
      <c r="T39" s="90"/>
      <c r="U39" s="90"/>
      <c r="V39" s="90"/>
      <c r="W39" s="90"/>
    </row>
    <row r="40" spans="2:23" ht="13">
      <c r="B40" s="66"/>
    </row>
    <row r="41" spans="2:23" ht="13">
      <c r="B41" s="92" t="s">
        <v>230</v>
      </c>
    </row>
    <row r="42" spans="2:23" ht="13">
      <c r="B42" s="92" t="s">
        <v>231</v>
      </c>
      <c r="D42" s="93">
        <f>ROUNDDOWN(LARGE($M23:$M37,D47)/500000,0)*500000</f>
        <v>2000000</v>
      </c>
      <c r="E42" s="93">
        <f t="shared" ref="E42:J42" si="10">MAX(D42+1000000,IF(LARGE($M23:$M37,E47)&gt;0,ROUNDDOWN(LARGE($M23:$M37,E47)/500000,0)*500000+D42,D42*2))</f>
        <v>3000000</v>
      </c>
      <c r="F42" s="93">
        <f t="shared" si="10"/>
        <v>4000000</v>
      </c>
      <c r="G42" s="93">
        <f t="shared" si="10"/>
        <v>8000000</v>
      </c>
      <c r="H42" s="93">
        <f t="shared" si="10"/>
        <v>16000000</v>
      </c>
      <c r="I42" s="93">
        <f t="shared" si="10"/>
        <v>32000000</v>
      </c>
      <c r="J42" s="93">
        <f t="shared" si="10"/>
        <v>64000000</v>
      </c>
    </row>
    <row r="43" spans="2:23" ht="13">
      <c r="B43" s="92" t="s">
        <v>232</v>
      </c>
      <c r="D43" s="93">
        <v>0</v>
      </c>
      <c r="E43" s="93">
        <v>0</v>
      </c>
      <c r="F43" s="93">
        <v>0</v>
      </c>
      <c r="G43" s="93">
        <v>0</v>
      </c>
      <c r="H43" s="93">
        <v>0</v>
      </c>
      <c r="I43" s="93">
        <v>0</v>
      </c>
      <c r="J43" s="93">
        <v>0</v>
      </c>
    </row>
    <row r="44" spans="2:23" ht="13">
      <c r="B44" s="92" t="s">
        <v>233</v>
      </c>
      <c r="D44" s="93">
        <v>0</v>
      </c>
      <c r="E44" s="93">
        <v>0</v>
      </c>
      <c r="F44" s="93">
        <v>0</v>
      </c>
      <c r="G44" s="93">
        <v>0</v>
      </c>
      <c r="H44" s="93">
        <v>0</v>
      </c>
      <c r="I44" s="93">
        <v>0</v>
      </c>
      <c r="J44" s="93">
        <v>0</v>
      </c>
      <c r="K44" s="94"/>
      <c r="L44" s="94"/>
      <c r="M44" s="94"/>
    </row>
    <row r="45" spans="2:23" ht="13">
      <c r="B45" s="92" t="s">
        <v>234</v>
      </c>
      <c r="D45" s="94">
        <f t="shared" ref="D45:J45" si="11">SUMPRODUCT( --($D23:$D37="options"), $J23:$J37, D86:D100 )</f>
        <v>0</v>
      </c>
      <c r="E45" s="94">
        <f t="shared" si="11"/>
        <v>0</v>
      </c>
      <c r="F45" s="94">
        <f t="shared" si="11"/>
        <v>0</v>
      </c>
      <c r="G45" s="94">
        <f t="shared" si="11"/>
        <v>0</v>
      </c>
      <c r="H45" s="94">
        <f t="shared" si="11"/>
        <v>0</v>
      </c>
      <c r="I45" s="94">
        <f t="shared" si="11"/>
        <v>0</v>
      </c>
      <c r="J45" s="94">
        <f t="shared" si="11"/>
        <v>0</v>
      </c>
      <c r="K45" s="94"/>
      <c r="L45" s="94"/>
      <c r="M45" s="94"/>
    </row>
    <row r="46" spans="2:23" ht="13">
      <c r="B46" s="92" t="s">
        <v>230</v>
      </c>
      <c r="D46" s="95">
        <f t="shared" ref="D46:J46" si="12">SUM(D42,ABS(D43)*-1,ABS(D44)*-1,D45)</f>
        <v>2000000</v>
      </c>
      <c r="E46" s="95">
        <f t="shared" si="12"/>
        <v>3000000</v>
      </c>
      <c r="F46" s="95">
        <f t="shared" si="12"/>
        <v>4000000</v>
      </c>
      <c r="G46" s="95">
        <f t="shared" si="12"/>
        <v>8000000</v>
      </c>
      <c r="H46" s="95">
        <f t="shared" si="12"/>
        <v>16000000</v>
      </c>
      <c r="I46" s="95">
        <f t="shared" si="12"/>
        <v>32000000</v>
      </c>
      <c r="J46" s="95">
        <f t="shared" si="12"/>
        <v>64000000</v>
      </c>
      <c r="K46" s="94"/>
      <c r="L46" s="94"/>
      <c r="M46" s="94"/>
    </row>
    <row r="47" spans="2:23" ht="13">
      <c r="B47" s="66" t="s">
        <v>235</v>
      </c>
      <c r="D47" s="14">
        <v>1</v>
      </c>
      <c r="E47" s="14">
        <f t="shared" ref="E47:J47" si="13">D47+1</f>
        <v>2</v>
      </c>
      <c r="F47" s="14">
        <f t="shared" si="13"/>
        <v>3</v>
      </c>
      <c r="G47" s="14">
        <f t="shared" si="13"/>
        <v>4</v>
      </c>
      <c r="H47" s="14">
        <f t="shared" si="13"/>
        <v>5</v>
      </c>
      <c r="I47" s="14">
        <f t="shared" si="13"/>
        <v>6</v>
      </c>
      <c r="J47" s="14">
        <f t="shared" si="13"/>
        <v>7</v>
      </c>
    </row>
    <row r="48" spans="2:23" ht="13">
      <c r="B48" s="66"/>
      <c r="K48" s="94"/>
      <c r="L48" s="94"/>
      <c r="M48" s="94"/>
    </row>
    <row r="49" spans="2:10" ht="13">
      <c r="B49" s="96" t="s">
        <v>236</v>
      </c>
    </row>
    <row r="50" spans="2:10" ht="13">
      <c r="B50" s="66" t="str">
        <f t="shared" ref="B50:B64" si="14">E23</f>
        <v>Series J</v>
      </c>
      <c r="D50" s="94">
        <f t="shared" ref="D50:J50" si="15">MAX(0,MIN(SUMPRODUCT($M$23:$M$37,--($E$23:$E$37=$B104)),D$46-SUM(D$49:D49)))</f>
        <v>0</v>
      </c>
      <c r="E50" s="94">
        <f t="shared" si="15"/>
        <v>0</v>
      </c>
      <c r="F50" s="94">
        <f t="shared" si="15"/>
        <v>0</v>
      </c>
      <c r="G50" s="94">
        <f t="shared" si="15"/>
        <v>0</v>
      </c>
      <c r="H50" s="94">
        <f t="shared" si="15"/>
        <v>0</v>
      </c>
      <c r="I50" s="94">
        <f t="shared" si="15"/>
        <v>0</v>
      </c>
      <c r="J50" s="94">
        <f t="shared" si="15"/>
        <v>0</v>
      </c>
    </row>
    <row r="51" spans="2:10" ht="13">
      <c r="B51" s="66" t="str">
        <f t="shared" si="14"/>
        <v>Series I</v>
      </c>
      <c r="D51" s="94">
        <f t="shared" ref="D51:J51" si="16">MAX(0,MIN(SUMPRODUCT($M$23:$M$37,--($E$23:$E$37=$B105)),D$46-SUM(D$49:D50)))</f>
        <v>0</v>
      </c>
      <c r="E51" s="94">
        <f t="shared" si="16"/>
        <v>0</v>
      </c>
      <c r="F51" s="94">
        <f t="shared" si="16"/>
        <v>0</v>
      </c>
      <c r="G51" s="94">
        <f t="shared" si="16"/>
        <v>0</v>
      </c>
      <c r="H51" s="94">
        <f t="shared" si="16"/>
        <v>0</v>
      </c>
      <c r="I51" s="94">
        <f t="shared" si="16"/>
        <v>0</v>
      </c>
      <c r="J51" s="94">
        <f t="shared" si="16"/>
        <v>0</v>
      </c>
    </row>
    <row r="52" spans="2:10" ht="13">
      <c r="B52" s="66" t="str">
        <f t="shared" si="14"/>
        <v>Series H</v>
      </c>
      <c r="D52" s="94">
        <f t="shared" ref="D52:J52" si="17">MAX(0,MIN(SUMPRODUCT($M$23:$M$37,--($E$23:$E$37=$B106)),D$46-SUM(D$49:D51)))</f>
        <v>0</v>
      </c>
      <c r="E52" s="94">
        <f t="shared" si="17"/>
        <v>0</v>
      </c>
      <c r="F52" s="94">
        <f t="shared" si="17"/>
        <v>0</v>
      </c>
      <c r="G52" s="94">
        <f t="shared" si="17"/>
        <v>0</v>
      </c>
      <c r="H52" s="94">
        <f t="shared" si="17"/>
        <v>0</v>
      </c>
      <c r="I52" s="94">
        <f t="shared" si="17"/>
        <v>0</v>
      </c>
      <c r="J52" s="94">
        <f t="shared" si="17"/>
        <v>0</v>
      </c>
    </row>
    <row r="53" spans="2:10" ht="13">
      <c r="B53" s="66" t="str">
        <f t="shared" si="14"/>
        <v>Series G</v>
      </c>
      <c r="D53" s="94">
        <f t="shared" ref="D53:J53" si="18">MAX(0,MIN(SUMPRODUCT($M$23:$M$37,--($E$23:$E$37=$B107)),D$46-SUM(D$49:D52)))</f>
        <v>0</v>
      </c>
      <c r="E53" s="94">
        <f t="shared" si="18"/>
        <v>0</v>
      </c>
      <c r="F53" s="94">
        <f t="shared" si="18"/>
        <v>0</v>
      </c>
      <c r="G53" s="94">
        <f t="shared" si="18"/>
        <v>0</v>
      </c>
      <c r="H53" s="94">
        <f t="shared" si="18"/>
        <v>0</v>
      </c>
      <c r="I53" s="94">
        <f t="shared" si="18"/>
        <v>0</v>
      </c>
      <c r="J53" s="94">
        <f t="shared" si="18"/>
        <v>0</v>
      </c>
    </row>
    <row r="54" spans="2:10" ht="13">
      <c r="B54" s="66" t="str">
        <f t="shared" si="14"/>
        <v>Series F</v>
      </c>
      <c r="D54" s="94">
        <f t="shared" ref="D54:J54" si="19">MAX(0,MIN(SUMPRODUCT($M$23:$M$37,--($E$23:$E$37=$B108)),D$46-SUM(D$49:D53)))</f>
        <v>0</v>
      </c>
      <c r="E54" s="94">
        <f t="shared" si="19"/>
        <v>0</v>
      </c>
      <c r="F54" s="94">
        <f t="shared" si="19"/>
        <v>0</v>
      </c>
      <c r="G54" s="94">
        <f t="shared" si="19"/>
        <v>0</v>
      </c>
      <c r="H54" s="94">
        <f t="shared" si="19"/>
        <v>0</v>
      </c>
      <c r="I54" s="94">
        <f t="shared" si="19"/>
        <v>0</v>
      </c>
      <c r="J54" s="94">
        <f t="shared" si="19"/>
        <v>0</v>
      </c>
    </row>
    <row r="55" spans="2:10" ht="13">
      <c r="B55" s="66" t="str">
        <f t="shared" si="14"/>
        <v>Series E</v>
      </c>
      <c r="D55" s="94">
        <f t="shared" ref="D55:J55" si="20">MAX(0,MIN(SUMPRODUCT($M$23:$M$37,--($E$23:$E$37=$B109)),D$46-SUM(D$49:D54)))</f>
        <v>0</v>
      </c>
      <c r="E55" s="94">
        <f t="shared" si="20"/>
        <v>0</v>
      </c>
      <c r="F55" s="94">
        <f t="shared" si="20"/>
        <v>0</v>
      </c>
      <c r="G55" s="94">
        <f t="shared" si="20"/>
        <v>0</v>
      </c>
      <c r="H55" s="94">
        <f t="shared" si="20"/>
        <v>0</v>
      </c>
      <c r="I55" s="94">
        <f t="shared" si="20"/>
        <v>0</v>
      </c>
      <c r="J55" s="94">
        <f t="shared" si="20"/>
        <v>0</v>
      </c>
    </row>
    <row r="56" spans="2:10" ht="13">
      <c r="B56" s="66" t="str">
        <f t="shared" si="14"/>
        <v>Series D</v>
      </c>
      <c r="D56" s="94">
        <f t="shared" ref="D56:J56" si="21">MAX(0,MIN(SUMPRODUCT($M$23:$M$37,--($E$23:$E$37=$B110)),D$46-SUM(D$49:D55)))</f>
        <v>0</v>
      </c>
      <c r="E56" s="94">
        <f t="shared" si="21"/>
        <v>0</v>
      </c>
      <c r="F56" s="94">
        <f t="shared" si="21"/>
        <v>0</v>
      </c>
      <c r="G56" s="94">
        <f t="shared" si="21"/>
        <v>0</v>
      </c>
      <c r="H56" s="94">
        <f t="shared" si="21"/>
        <v>0</v>
      </c>
      <c r="I56" s="94">
        <f t="shared" si="21"/>
        <v>0</v>
      </c>
      <c r="J56" s="94">
        <f t="shared" si="21"/>
        <v>0</v>
      </c>
    </row>
    <row r="57" spans="2:10" ht="13">
      <c r="B57" s="66" t="str">
        <f t="shared" si="14"/>
        <v>Series C</v>
      </c>
      <c r="D57" s="94">
        <f t="shared" ref="D57:J57" si="22">MAX(0,MIN(SUMPRODUCT($M$23:$M$37,--($E$23:$E$37=$B111)),D$46-SUM(D$49:D56)))</f>
        <v>0</v>
      </c>
      <c r="E57" s="94">
        <f t="shared" si="22"/>
        <v>0</v>
      </c>
      <c r="F57" s="94">
        <f t="shared" si="22"/>
        <v>0</v>
      </c>
      <c r="G57" s="94">
        <f t="shared" si="22"/>
        <v>0</v>
      </c>
      <c r="H57" s="94">
        <f t="shared" si="22"/>
        <v>0</v>
      </c>
      <c r="I57" s="94">
        <f t="shared" si="22"/>
        <v>0</v>
      </c>
      <c r="J57" s="94">
        <f t="shared" si="22"/>
        <v>0</v>
      </c>
    </row>
    <row r="58" spans="2:10" ht="13">
      <c r="B58" s="66" t="str">
        <f t="shared" si="14"/>
        <v>Series B</v>
      </c>
      <c r="D58" s="94">
        <f t="shared" ref="D58:J58" si="23">MAX(0,MIN(SUMPRODUCT($M$23:$M$37,--($E$23:$E$37=$B112)),D$46-SUM(D$49:D57)))</f>
        <v>2000000</v>
      </c>
      <c r="E58" s="94">
        <f t="shared" si="23"/>
        <v>2000000</v>
      </c>
      <c r="F58" s="94">
        <f t="shared" si="23"/>
        <v>2000000</v>
      </c>
      <c r="G58" s="94">
        <f t="shared" si="23"/>
        <v>2000000</v>
      </c>
      <c r="H58" s="94">
        <f t="shared" si="23"/>
        <v>2000000</v>
      </c>
      <c r="I58" s="94">
        <f t="shared" si="23"/>
        <v>2000000</v>
      </c>
      <c r="J58" s="94">
        <f t="shared" si="23"/>
        <v>2000000</v>
      </c>
    </row>
    <row r="59" spans="2:10" ht="13">
      <c r="B59" s="66" t="str">
        <f t="shared" si="14"/>
        <v>Series A</v>
      </c>
      <c r="D59" s="94">
        <f t="shared" ref="D59:J59" si="24">MAX(0,MIN(SUMPRODUCT($M$23:$M$37,--($E$23:$E$37=$B113)),D$46-SUM(D$49:D58)))</f>
        <v>0</v>
      </c>
      <c r="E59" s="94">
        <f t="shared" si="24"/>
        <v>1000000</v>
      </c>
      <c r="F59" s="94">
        <f t="shared" si="24"/>
        <v>1000000</v>
      </c>
      <c r="G59" s="94">
        <f t="shared" si="24"/>
        <v>1000000</v>
      </c>
      <c r="H59" s="94">
        <f t="shared" si="24"/>
        <v>1000000</v>
      </c>
      <c r="I59" s="94">
        <f t="shared" si="24"/>
        <v>1000000</v>
      </c>
      <c r="J59" s="94">
        <f t="shared" si="24"/>
        <v>1000000</v>
      </c>
    </row>
    <row r="60" spans="2:10" ht="13">
      <c r="B60" s="66" t="str">
        <f t="shared" si="14"/>
        <v>Seed</v>
      </c>
      <c r="D60" s="94">
        <f t="shared" ref="D60:J60" si="25">MAX(0,MIN(SUMPRODUCT($M$23:$M$37,--($E$23:$E$37=$B114)),D$46-SUM(D$49:D59)))</f>
        <v>0</v>
      </c>
      <c r="E60" s="94">
        <f t="shared" si="25"/>
        <v>0</v>
      </c>
      <c r="F60" s="94">
        <f t="shared" si="25"/>
        <v>500000</v>
      </c>
      <c r="G60" s="94">
        <f t="shared" si="25"/>
        <v>500000</v>
      </c>
      <c r="H60" s="94">
        <f t="shared" si="25"/>
        <v>500000</v>
      </c>
      <c r="I60" s="94">
        <f t="shared" si="25"/>
        <v>500000</v>
      </c>
      <c r="J60" s="94">
        <f t="shared" si="25"/>
        <v>500000</v>
      </c>
    </row>
    <row r="61" spans="2:10" ht="13">
      <c r="B61" s="66" t="str">
        <f t="shared" si="14"/>
        <v>Common</v>
      </c>
      <c r="D61" s="94">
        <f t="shared" ref="D61:J61" si="26">MAX(0,MIN(SUMPRODUCT($M$23:$M$37,--($E$23:$E$37=$B115)),D$46-SUM(D$49:D60)))</f>
        <v>0</v>
      </c>
      <c r="E61" s="94">
        <f t="shared" si="26"/>
        <v>0</v>
      </c>
      <c r="F61" s="94">
        <f t="shared" si="26"/>
        <v>0</v>
      </c>
      <c r="G61" s="94">
        <f t="shared" si="26"/>
        <v>0</v>
      </c>
      <c r="H61" s="94">
        <f t="shared" si="26"/>
        <v>0</v>
      </c>
      <c r="I61" s="94">
        <f t="shared" si="26"/>
        <v>0</v>
      </c>
      <c r="J61" s="94">
        <f t="shared" si="26"/>
        <v>0</v>
      </c>
    </row>
    <row r="62" spans="2:10" ht="13">
      <c r="B62" s="66" t="str">
        <f t="shared" si="14"/>
        <v>Options</v>
      </c>
      <c r="D62" s="94">
        <f t="shared" ref="D62:J62" si="27">MAX(0,MIN(SUMPRODUCT($M$23:$M$37,--($E$23:$E$37=$B116)),D$46-SUM(D$49:D61)))</f>
        <v>0</v>
      </c>
      <c r="E62" s="94">
        <f t="shared" si="27"/>
        <v>0</v>
      </c>
      <c r="F62" s="94">
        <f t="shared" si="27"/>
        <v>0</v>
      </c>
      <c r="G62" s="94">
        <f t="shared" si="27"/>
        <v>0</v>
      </c>
      <c r="H62" s="94">
        <f t="shared" si="27"/>
        <v>0</v>
      </c>
      <c r="I62" s="94">
        <f t="shared" si="27"/>
        <v>0</v>
      </c>
      <c r="J62" s="94">
        <f t="shared" si="27"/>
        <v>0</v>
      </c>
    </row>
    <row r="63" spans="2:10" ht="13">
      <c r="B63" s="66" t="str">
        <f t="shared" si="14"/>
        <v>Options</v>
      </c>
      <c r="D63" s="94">
        <f t="shared" ref="D63:J63" si="28">MAX(0,MIN(SUMPRODUCT($M$23:$M$37,--($E$23:$E$37=$B117)),D$46-SUM(D$49:D62)))</f>
        <v>0</v>
      </c>
      <c r="E63" s="94">
        <f t="shared" si="28"/>
        <v>0</v>
      </c>
      <c r="F63" s="94">
        <f t="shared" si="28"/>
        <v>0</v>
      </c>
      <c r="G63" s="94">
        <f t="shared" si="28"/>
        <v>0</v>
      </c>
      <c r="H63" s="94">
        <f t="shared" si="28"/>
        <v>0</v>
      </c>
      <c r="I63" s="94">
        <f t="shared" si="28"/>
        <v>0</v>
      </c>
      <c r="J63" s="94">
        <f t="shared" si="28"/>
        <v>0</v>
      </c>
    </row>
    <row r="64" spans="2:10" ht="13">
      <c r="B64" s="66" t="str">
        <f t="shared" si="14"/>
        <v>Warrants</v>
      </c>
      <c r="D64" s="94">
        <f t="shared" ref="D64:J64" si="29">MAX(0,MIN(SUMPRODUCT($M$23:$M$37,--($E$23:$E$37=$B118)),D$46-SUM(D$49:D63)))</f>
        <v>0</v>
      </c>
      <c r="E64" s="94">
        <f t="shared" si="29"/>
        <v>0</v>
      </c>
      <c r="F64" s="94">
        <f t="shared" si="29"/>
        <v>0</v>
      </c>
      <c r="G64" s="94">
        <f t="shared" si="29"/>
        <v>0</v>
      </c>
      <c r="H64" s="94">
        <f t="shared" si="29"/>
        <v>0</v>
      </c>
      <c r="I64" s="94">
        <f t="shared" si="29"/>
        <v>0</v>
      </c>
      <c r="J64" s="94">
        <f t="shared" si="29"/>
        <v>0</v>
      </c>
    </row>
    <row r="65" spans="1:27" ht="13">
      <c r="B65" s="66" t="s">
        <v>101</v>
      </c>
      <c r="D65" s="90">
        <f t="shared" ref="D65:J65" si="30">SUM(D50:D64)</f>
        <v>2000000</v>
      </c>
      <c r="E65" s="90">
        <f t="shared" si="30"/>
        <v>3000000</v>
      </c>
      <c r="F65" s="90">
        <f t="shared" si="30"/>
        <v>3500000</v>
      </c>
      <c r="G65" s="90">
        <f t="shared" si="30"/>
        <v>3500000</v>
      </c>
      <c r="H65" s="90">
        <f t="shared" si="30"/>
        <v>3500000</v>
      </c>
      <c r="I65" s="90">
        <f t="shared" si="30"/>
        <v>3500000</v>
      </c>
      <c r="J65" s="90">
        <f t="shared" si="30"/>
        <v>3500000</v>
      </c>
    </row>
    <row r="66" spans="1:27" ht="13" collapsed="1">
      <c r="D66" s="94"/>
      <c r="E66" s="94"/>
      <c r="F66" s="94"/>
      <c r="G66" s="94"/>
      <c r="H66" s="94"/>
      <c r="I66" s="94"/>
      <c r="J66" s="94"/>
    </row>
    <row r="67" spans="1:27" ht="13" hidden="1" outlineLevel="1">
      <c r="A67" s="10"/>
      <c r="B67" s="97" t="s">
        <v>237</v>
      </c>
      <c r="C67" s="10"/>
      <c r="D67" s="98"/>
      <c r="E67" s="98"/>
      <c r="F67" s="98"/>
      <c r="G67" s="98"/>
      <c r="H67" s="98"/>
      <c r="I67" s="98"/>
      <c r="J67" s="98"/>
      <c r="K67" s="10"/>
      <c r="L67" s="99" t="s">
        <v>238</v>
      </c>
      <c r="M67" s="10"/>
      <c r="N67" s="10"/>
      <c r="O67" s="10"/>
      <c r="P67" s="10"/>
      <c r="Q67" s="10"/>
      <c r="R67" s="10"/>
      <c r="S67" s="10"/>
      <c r="T67" s="10"/>
      <c r="U67" s="10"/>
      <c r="V67" s="10"/>
      <c r="W67" s="10"/>
      <c r="X67" s="10"/>
      <c r="Y67" s="10"/>
      <c r="Z67" s="10"/>
      <c r="AA67" s="10"/>
    </row>
    <row r="68" spans="1:27" ht="13" hidden="1" outlineLevel="1">
      <c r="A68" s="10"/>
      <c r="B68" s="66" t="str">
        <f t="shared" ref="B68:B82" si="31">B23</f>
        <v>Series J</v>
      </c>
      <c r="C68" s="10"/>
      <c r="D68" s="98">
        <f t="shared" ref="D68:J68" si="32">IF(OR($G23 = 0,D$65=D$46), 0,  IF($O23="participating preferred with cap", IF(D104 = 0, $G23, MIN($G23, IFERROR( ( $Q23 - $M23 ) / D$138, 0 ) ) ), 0 ) )</f>
        <v>0</v>
      </c>
      <c r="E68" s="98">
        <f t="shared" si="32"/>
        <v>0</v>
      </c>
      <c r="F68" s="98">
        <f t="shared" si="32"/>
        <v>0</v>
      </c>
      <c r="G68" s="98">
        <f t="shared" si="32"/>
        <v>0</v>
      </c>
      <c r="H68" s="98">
        <f t="shared" si="32"/>
        <v>0</v>
      </c>
      <c r="I68" s="98">
        <f t="shared" si="32"/>
        <v>0</v>
      </c>
      <c r="J68" s="98">
        <f t="shared" si="32"/>
        <v>0</v>
      </c>
      <c r="K68" s="10"/>
      <c r="L68" s="10"/>
      <c r="M68" s="10"/>
      <c r="N68" s="10"/>
      <c r="O68" s="10"/>
      <c r="P68" s="10"/>
      <c r="Q68" s="10"/>
      <c r="R68" s="10"/>
      <c r="S68" s="10"/>
      <c r="T68" s="10"/>
      <c r="U68" s="10"/>
      <c r="V68" s="10"/>
      <c r="W68" s="10"/>
      <c r="X68" s="10"/>
      <c r="Y68" s="10"/>
      <c r="Z68" s="10"/>
      <c r="AA68" s="10"/>
    </row>
    <row r="69" spans="1:27" ht="13" hidden="1" outlineLevel="1">
      <c r="A69" s="10"/>
      <c r="B69" s="66" t="str">
        <f t="shared" si="31"/>
        <v>Series I</v>
      </c>
      <c r="C69" s="10"/>
      <c r="D69" s="98">
        <f t="shared" ref="D69:J69" si="33">IF(OR($G24 = 0,D$65=D$46), 0,  IF($O24="participating preferred with cap", IF(D105 = 0, $G24, MIN($G24, IFERROR( ( $Q24 - $M24 ) / D$138, 0 ) ) ), 0 ) )</f>
        <v>0</v>
      </c>
      <c r="E69" s="98">
        <f t="shared" si="33"/>
        <v>0</v>
      </c>
      <c r="F69" s="98">
        <f t="shared" si="33"/>
        <v>0</v>
      </c>
      <c r="G69" s="98">
        <f t="shared" si="33"/>
        <v>0</v>
      </c>
      <c r="H69" s="98">
        <f t="shared" si="33"/>
        <v>0</v>
      </c>
      <c r="I69" s="98">
        <f t="shared" si="33"/>
        <v>0</v>
      </c>
      <c r="J69" s="98">
        <f t="shared" si="33"/>
        <v>0</v>
      </c>
      <c r="K69" s="10"/>
      <c r="L69" s="10"/>
      <c r="M69" s="10"/>
      <c r="N69" s="10"/>
      <c r="O69" s="10"/>
      <c r="P69" s="10"/>
      <c r="Q69" s="10"/>
      <c r="R69" s="10"/>
      <c r="S69" s="10"/>
      <c r="T69" s="10"/>
      <c r="U69" s="10"/>
      <c r="V69" s="10"/>
      <c r="W69" s="10"/>
      <c r="X69" s="10"/>
      <c r="Y69" s="10"/>
      <c r="Z69" s="10"/>
      <c r="AA69" s="10"/>
    </row>
    <row r="70" spans="1:27" ht="13" hidden="1" outlineLevel="1">
      <c r="A70" s="10"/>
      <c r="B70" s="66" t="str">
        <f t="shared" si="31"/>
        <v>Series H</v>
      </c>
      <c r="C70" s="10"/>
      <c r="D70" s="98">
        <f t="shared" ref="D70:J70" si="34">IF(OR($G25 = 0,D$65=D$46), 0,  IF($O25="participating preferred with cap", IF(D106 = 0, $G25, MIN($G25, IFERROR( ( $Q25 - $M25 ) / D$138, 0 ) ) ), 0 ) )</f>
        <v>0</v>
      </c>
      <c r="E70" s="98">
        <f t="shared" si="34"/>
        <v>0</v>
      </c>
      <c r="F70" s="98">
        <f t="shared" si="34"/>
        <v>0</v>
      </c>
      <c r="G70" s="98">
        <f t="shared" si="34"/>
        <v>0</v>
      </c>
      <c r="H70" s="98">
        <f t="shared" si="34"/>
        <v>0</v>
      </c>
      <c r="I70" s="98">
        <f t="shared" si="34"/>
        <v>0</v>
      </c>
      <c r="J70" s="98">
        <f t="shared" si="34"/>
        <v>0</v>
      </c>
      <c r="K70" s="10"/>
      <c r="L70" s="10"/>
      <c r="M70" s="10"/>
      <c r="N70" s="10"/>
      <c r="O70" s="10"/>
      <c r="P70" s="10"/>
      <c r="Q70" s="10"/>
      <c r="R70" s="10"/>
      <c r="S70" s="10"/>
      <c r="T70" s="10"/>
      <c r="U70" s="10"/>
      <c r="V70" s="10"/>
      <c r="W70" s="10"/>
      <c r="X70" s="10"/>
      <c r="Y70" s="10"/>
      <c r="Z70" s="10"/>
      <c r="AA70" s="10"/>
    </row>
    <row r="71" spans="1:27" ht="13" hidden="1" outlineLevel="1">
      <c r="A71" s="10"/>
      <c r="B71" s="66" t="str">
        <f t="shared" si="31"/>
        <v>Series G</v>
      </c>
      <c r="C71" s="10"/>
      <c r="D71" s="98">
        <f t="shared" ref="D71:J71" si="35">IF(OR($G26 = 0,D$65=D$46), 0,  IF($O26="participating preferred with cap", IF(D107 = 0, $G26, MIN($G26, IFERROR( ( $Q26 - $M26 ) / D$138, 0 ) ) ), 0 ) )</f>
        <v>0</v>
      </c>
      <c r="E71" s="98">
        <f t="shared" si="35"/>
        <v>0</v>
      </c>
      <c r="F71" s="98">
        <f t="shared" si="35"/>
        <v>0</v>
      </c>
      <c r="G71" s="98">
        <f t="shared" si="35"/>
        <v>0</v>
      </c>
      <c r="H71" s="98">
        <f t="shared" si="35"/>
        <v>0</v>
      </c>
      <c r="I71" s="98">
        <f t="shared" si="35"/>
        <v>0</v>
      </c>
      <c r="J71" s="98">
        <f t="shared" si="35"/>
        <v>0</v>
      </c>
      <c r="K71" s="10"/>
      <c r="L71" s="10"/>
      <c r="M71" s="10"/>
      <c r="N71" s="10"/>
      <c r="O71" s="10"/>
      <c r="P71" s="10"/>
      <c r="Q71" s="10"/>
      <c r="R71" s="10"/>
      <c r="S71" s="10"/>
      <c r="T71" s="10"/>
      <c r="U71" s="10"/>
      <c r="V71" s="10"/>
      <c r="W71" s="10"/>
      <c r="X71" s="10"/>
      <c r="Y71" s="10"/>
      <c r="Z71" s="10"/>
      <c r="AA71" s="10"/>
    </row>
    <row r="72" spans="1:27" ht="13" hidden="1" outlineLevel="1">
      <c r="A72" s="10"/>
      <c r="B72" s="66" t="str">
        <f t="shared" si="31"/>
        <v>Series F</v>
      </c>
      <c r="C72" s="10"/>
      <c r="D72" s="98">
        <f t="shared" ref="D72:J72" si="36">IF(OR($G27 = 0,D$65=D$46), 0,  IF($O27="participating preferred with cap", IF(D108 = 0, $G27, MIN($G27, IFERROR( ( $Q27 - $M27 ) / D$138, 0 ) ) ), 0 ) )</f>
        <v>0</v>
      </c>
      <c r="E72" s="98">
        <f t="shared" si="36"/>
        <v>0</v>
      </c>
      <c r="F72" s="98">
        <f t="shared" si="36"/>
        <v>0</v>
      </c>
      <c r="G72" s="98">
        <f t="shared" si="36"/>
        <v>0</v>
      </c>
      <c r="H72" s="98">
        <f t="shared" si="36"/>
        <v>0</v>
      </c>
      <c r="I72" s="98">
        <f t="shared" si="36"/>
        <v>0</v>
      </c>
      <c r="J72" s="98">
        <f t="shared" si="36"/>
        <v>0</v>
      </c>
      <c r="K72" s="10"/>
      <c r="L72" s="10"/>
      <c r="M72" s="10"/>
      <c r="N72" s="10"/>
      <c r="O72" s="10"/>
      <c r="P72" s="10"/>
      <c r="Q72" s="10"/>
      <c r="R72" s="10"/>
      <c r="S72" s="10"/>
      <c r="T72" s="10"/>
      <c r="U72" s="10"/>
      <c r="V72" s="10"/>
      <c r="W72" s="10"/>
      <c r="X72" s="10"/>
      <c r="Y72" s="10"/>
      <c r="Z72" s="10"/>
      <c r="AA72" s="10"/>
    </row>
    <row r="73" spans="1:27" ht="13" hidden="1" outlineLevel="1">
      <c r="A73" s="10"/>
      <c r="B73" s="66" t="str">
        <f t="shared" si="31"/>
        <v>Series E</v>
      </c>
      <c r="C73" s="10"/>
      <c r="D73" s="98">
        <f t="shared" ref="D73:J73" si="37">IF(OR($G28 = 0,D$65=D$46), 0,  IF($O28="participating preferred with cap", IF(D109 = 0, $G28, MIN($G28, IFERROR( ( $Q28 - $M28 ) / D$138, 0 ) ) ), 0 ) )</f>
        <v>0</v>
      </c>
      <c r="E73" s="98">
        <f t="shared" si="37"/>
        <v>0</v>
      </c>
      <c r="F73" s="98">
        <f t="shared" si="37"/>
        <v>0</v>
      </c>
      <c r="G73" s="98">
        <f t="shared" si="37"/>
        <v>0</v>
      </c>
      <c r="H73" s="98">
        <f t="shared" si="37"/>
        <v>0</v>
      </c>
      <c r="I73" s="98">
        <f t="shared" si="37"/>
        <v>0</v>
      </c>
      <c r="J73" s="98">
        <f t="shared" si="37"/>
        <v>0</v>
      </c>
      <c r="K73" s="10"/>
      <c r="L73" s="10"/>
      <c r="M73" s="10"/>
      <c r="N73" s="10"/>
      <c r="O73" s="10"/>
      <c r="P73" s="10"/>
      <c r="Q73" s="10"/>
      <c r="R73" s="10"/>
      <c r="S73" s="10"/>
      <c r="T73" s="10"/>
      <c r="U73" s="10"/>
      <c r="V73" s="10"/>
      <c r="W73" s="10"/>
      <c r="X73" s="10"/>
      <c r="Y73" s="10"/>
      <c r="Z73" s="10"/>
      <c r="AA73" s="10"/>
    </row>
    <row r="74" spans="1:27" ht="13" hidden="1" outlineLevel="1">
      <c r="A74" s="10"/>
      <c r="B74" s="66" t="str">
        <f t="shared" si="31"/>
        <v>Series D</v>
      </c>
      <c r="C74" s="10"/>
      <c r="D74" s="98">
        <f t="shared" ref="D74:J74" si="38">IF(OR($G29 = 0,D$65=D$46), 0,  IF($O29="participating preferred with cap", IF(D110 = 0, $G29, MIN($G29, IFERROR( ( $Q29 - $M29 ) / D$138, 0 ) ) ), 0 ) )</f>
        <v>0</v>
      </c>
      <c r="E74" s="98">
        <f t="shared" si="38"/>
        <v>0</v>
      </c>
      <c r="F74" s="98">
        <f t="shared" si="38"/>
        <v>0</v>
      </c>
      <c r="G74" s="98">
        <f t="shared" si="38"/>
        <v>0</v>
      </c>
      <c r="H74" s="98">
        <f t="shared" si="38"/>
        <v>0</v>
      </c>
      <c r="I74" s="98">
        <f t="shared" si="38"/>
        <v>0</v>
      </c>
      <c r="J74" s="98">
        <f t="shared" si="38"/>
        <v>0</v>
      </c>
      <c r="K74" s="10"/>
      <c r="L74" s="10"/>
      <c r="M74" s="10"/>
      <c r="N74" s="10"/>
      <c r="O74" s="10"/>
      <c r="P74" s="10"/>
      <c r="Q74" s="10"/>
      <c r="R74" s="10"/>
      <c r="S74" s="10"/>
      <c r="T74" s="10"/>
      <c r="U74" s="10"/>
      <c r="V74" s="10"/>
      <c r="W74" s="10"/>
      <c r="X74" s="10"/>
      <c r="Y74" s="10"/>
      <c r="Z74" s="10"/>
      <c r="AA74" s="10"/>
    </row>
    <row r="75" spans="1:27" ht="13" hidden="1" outlineLevel="1">
      <c r="A75" s="10"/>
      <c r="B75" s="66" t="str">
        <f t="shared" si="31"/>
        <v>Series C</v>
      </c>
      <c r="C75" s="10"/>
      <c r="D75" s="98">
        <f t="shared" ref="D75:J75" si="39">IF(OR($G30 = 0,D$65=D$46), 0,  IF($O30="participating preferred with cap", IF(D111 = 0, $G30, MIN($G30, IFERROR( ( $Q30 - $M30 ) / D$138, 0 ) ) ), 0 ) )</f>
        <v>0</v>
      </c>
      <c r="E75" s="98">
        <f t="shared" si="39"/>
        <v>0</v>
      </c>
      <c r="F75" s="98">
        <f t="shared" si="39"/>
        <v>0</v>
      </c>
      <c r="G75" s="98">
        <f t="shared" si="39"/>
        <v>0</v>
      </c>
      <c r="H75" s="98">
        <f t="shared" si="39"/>
        <v>0</v>
      </c>
      <c r="I75" s="98">
        <f t="shared" si="39"/>
        <v>0</v>
      </c>
      <c r="J75" s="98">
        <f t="shared" si="39"/>
        <v>0</v>
      </c>
      <c r="K75" s="10"/>
      <c r="L75" s="10"/>
      <c r="M75" s="10"/>
      <c r="N75" s="10"/>
      <c r="O75" s="10"/>
      <c r="P75" s="10"/>
      <c r="Q75" s="10"/>
      <c r="R75" s="10"/>
      <c r="S75" s="10"/>
      <c r="T75" s="10"/>
      <c r="U75" s="10"/>
      <c r="V75" s="10"/>
      <c r="W75" s="10"/>
      <c r="X75" s="10"/>
      <c r="Y75" s="10"/>
      <c r="Z75" s="10"/>
      <c r="AA75" s="10"/>
    </row>
    <row r="76" spans="1:27" ht="13" hidden="1" outlineLevel="1">
      <c r="A76" s="10"/>
      <c r="B76" s="66" t="str">
        <f t="shared" si="31"/>
        <v>Series B</v>
      </c>
      <c r="C76" s="10"/>
      <c r="D76" s="98">
        <f t="shared" ref="D76:J76" si="40">IF(OR($G31 = 0,D$65=D$46), 0,  IF($O31="participating preferred with cap", IF(D112 = 0, $G31, MIN($G31, IFERROR( ( $Q31 - $M31 ) / D$138, 0 ) ) ), 0 ) )</f>
        <v>0</v>
      </c>
      <c r="E76" s="98">
        <f t="shared" si="40"/>
        <v>0</v>
      </c>
      <c r="F76" s="98">
        <f t="shared" si="40"/>
        <v>0</v>
      </c>
      <c r="G76" s="98">
        <f t="shared" si="40"/>
        <v>0</v>
      </c>
      <c r="H76" s="98">
        <f t="shared" si="40"/>
        <v>0</v>
      </c>
      <c r="I76" s="98">
        <f t="shared" si="40"/>
        <v>0</v>
      </c>
      <c r="J76" s="98">
        <f t="shared" si="40"/>
        <v>0</v>
      </c>
      <c r="K76" s="10"/>
      <c r="L76" s="10"/>
      <c r="M76" s="10"/>
      <c r="N76" s="10"/>
      <c r="O76" s="10"/>
      <c r="P76" s="10"/>
      <c r="Q76" s="10"/>
      <c r="R76" s="10"/>
      <c r="S76" s="10"/>
      <c r="T76" s="10"/>
      <c r="U76" s="10"/>
      <c r="V76" s="10"/>
      <c r="W76" s="10"/>
      <c r="X76" s="10"/>
      <c r="Y76" s="10"/>
      <c r="Z76" s="10"/>
      <c r="AA76" s="10"/>
    </row>
    <row r="77" spans="1:27" ht="13" hidden="1" outlineLevel="1">
      <c r="A77" s="10"/>
      <c r="B77" s="66" t="str">
        <f t="shared" si="31"/>
        <v>Series A</v>
      </c>
      <c r="C77" s="10"/>
      <c r="D77" s="98">
        <f t="shared" ref="D77:J77" si="41">IF(OR($G32 = 0,D$65=D$46), 0,  IF($O32="participating preferred with cap", IF(D113 = 0, $G32, MIN($G32, IFERROR( ( $Q32 - $M32 ) / D$138, 0 ) ) ), 0 ) )</f>
        <v>0</v>
      </c>
      <c r="E77" s="98">
        <f t="shared" si="41"/>
        <v>0</v>
      </c>
      <c r="F77" s="98">
        <f t="shared" si="41"/>
        <v>0</v>
      </c>
      <c r="G77" s="98">
        <f t="shared" si="41"/>
        <v>0</v>
      </c>
      <c r="H77" s="98">
        <f t="shared" si="41"/>
        <v>0</v>
      </c>
      <c r="I77" s="98">
        <f t="shared" si="41"/>
        <v>0</v>
      </c>
      <c r="J77" s="98">
        <f t="shared" si="41"/>
        <v>0</v>
      </c>
      <c r="K77" s="10"/>
      <c r="L77" s="10"/>
      <c r="M77" s="10"/>
      <c r="N77" s="10"/>
      <c r="O77" s="10"/>
      <c r="P77" s="10"/>
      <c r="Q77" s="10"/>
      <c r="R77" s="10"/>
      <c r="S77" s="10"/>
      <c r="T77" s="10"/>
      <c r="U77" s="10"/>
      <c r="V77" s="10"/>
      <c r="W77" s="10"/>
      <c r="X77" s="10"/>
      <c r="Y77" s="10"/>
      <c r="Z77" s="10"/>
      <c r="AA77" s="10"/>
    </row>
    <row r="78" spans="1:27" ht="13" hidden="1" outlineLevel="1">
      <c r="A78" s="10"/>
      <c r="B78" s="66" t="str">
        <f t="shared" si="31"/>
        <v>Seed</v>
      </c>
      <c r="C78" s="10"/>
      <c r="D78" s="98">
        <f t="shared" ref="D78:J78" si="42">IF(OR($G33 = 0,D$65=D$46), 0,  IF($O33="participating preferred with cap", IF(D114 = 0, $G33, MIN($G33, IFERROR( ( $Q33 - $M33 ) / D$138, 0 ) ) ), 0 ) )</f>
        <v>0</v>
      </c>
      <c r="E78" s="98">
        <f t="shared" si="42"/>
        <v>0</v>
      </c>
      <c r="F78" s="98">
        <f t="shared" si="42"/>
        <v>0</v>
      </c>
      <c r="G78" s="98">
        <f t="shared" si="42"/>
        <v>0</v>
      </c>
      <c r="H78" s="98">
        <f t="shared" si="42"/>
        <v>0</v>
      </c>
      <c r="I78" s="98">
        <f t="shared" si="42"/>
        <v>0</v>
      </c>
      <c r="J78" s="98">
        <f t="shared" si="42"/>
        <v>0</v>
      </c>
      <c r="K78" s="10"/>
      <c r="L78" s="10"/>
      <c r="M78" s="10"/>
      <c r="N78" s="10"/>
      <c r="O78" s="10"/>
      <c r="P78" s="10"/>
      <c r="Q78" s="10"/>
      <c r="R78" s="10"/>
      <c r="S78" s="10"/>
      <c r="T78" s="10"/>
      <c r="U78" s="10"/>
      <c r="V78" s="10"/>
      <c r="W78" s="10"/>
      <c r="X78" s="10"/>
      <c r="Y78" s="10"/>
      <c r="Z78" s="10"/>
      <c r="AA78" s="10"/>
    </row>
    <row r="79" spans="1:27" ht="13" hidden="1" outlineLevel="1">
      <c r="A79" s="10"/>
      <c r="B79" s="66" t="str">
        <f t="shared" si="31"/>
        <v>Common</v>
      </c>
      <c r="C79" s="10"/>
      <c r="D79" s="98">
        <f t="shared" ref="D79:J79" si="43">IF(OR($G34 = 0,D$65=D$46), 0,  IF($O34="participating preferred with cap", IF(D115 = 0, $G34, MIN($G34, IFERROR( ( $Q34 - $M34 ) / D$138, 0 ) ) ), 0 ) )</f>
        <v>0</v>
      </c>
      <c r="E79" s="98">
        <f t="shared" si="43"/>
        <v>0</v>
      </c>
      <c r="F79" s="98">
        <f t="shared" si="43"/>
        <v>0</v>
      </c>
      <c r="G79" s="98">
        <f t="shared" si="43"/>
        <v>0</v>
      </c>
      <c r="H79" s="98">
        <f t="shared" si="43"/>
        <v>0</v>
      </c>
      <c r="I79" s="98">
        <f t="shared" si="43"/>
        <v>0</v>
      </c>
      <c r="J79" s="98">
        <f t="shared" si="43"/>
        <v>0</v>
      </c>
      <c r="K79" s="10"/>
      <c r="L79" s="10"/>
      <c r="M79" s="10"/>
      <c r="N79" s="10"/>
      <c r="O79" s="10"/>
      <c r="P79" s="10"/>
      <c r="Q79" s="10"/>
      <c r="R79" s="10"/>
      <c r="S79" s="10"/>
      <c r="T79" s="10"/>
      <c r="U79" s="10"/>
      <c r="V79" s="10"/>
      <c r="W79" s="10"/>
      <c r="X79" s="10"/>
      <c r="Y79" s="10"/>
      <c r="Z79" s="10"/>
      <c r="AA79" s="10"/>
    </row>
    <row r="80" spans="1:27" ht="13" hidden="1" outlineLevel="1">
      <c r="A80" s="10"/>
      <c r="B80" s="66" t="str">
        <f t="shared" si="31"/>
        <v>Options</v>
      </c>
      <c r="C80" s="10"/>
      <c r="D80" s="98">
        <f t="shared" ref="D80:J80" si="44">IF(OR($G35 = 0,D$65=D$46), 0,  IF($O35="participating preferred with cap", IF(D116 = 0, $G35, MIN($G35, IFERROR( ( $Q35 - $M35 ) / D$138, 0 ) ) ), 0 ) )</f>
        <v>0</v>
      </c>
      <c r="E80" s="98">
        <f t="shared" si="44"/>
        <v>0</v>
      </c>
      <c r="F80" s="98">
        <f t="shared" si="44"/>
        <v>0</v>
      </c>
      <c r="G80" s="98">
        <f t="shared" si="44"/>
        <v>0</v>
      </c>
      <c r="H80" s="98">
        <f t="shared" si="44"/>
        <v>0</v>
      </c>
      <c r="I80" s="98">
        <f t="shared" si="44"/>
        <v>0</v>
      </c>
      <c r="J80" s="98">
        <f t="shared" si="44"/>
        <v>0</v>
      </c>
      <c r="K80" s="10"/>
      <c r="L80" s="10"/>
      <c r="M80" s="10"/>
      <c r="N80" s="10"/>
      <c r="O80" s="10"/>
      <c r="P80" s="10"/>
      <c r="Q80" s="10"/>
      <c r="R80" s="10"/>
      <c r="S80" s="10"/>
      <c r="T80" s="10"/>
      <c r="U80" s="10"/>
      <c r="V80" s="10"/>
      <c r="W80" s="10"/>
      <c r="X80" s="10"/>
      <c r="Y80" s="10"/>
      <c r="Z80" s="10"/>
      <c r="AA80" s="10"/>
    </row>
    <row r="81" spans="1:27" ht="13" hidden="1" outlineLevel="1">
      <c r="A81" s="10"/>
      <c r="B81" s="66" t="str">
        <f t="shared" si="31"/>
        <v>Options</v>
      </c>
      <c r="C81" s="10"/>
      <c r="D81" s="98">
        <f t="shared" ref="D81:J81" si="45">IF(OR($G36 = 0,D$65=D$46), 0,  IF($O36="participating preferred with cap", IF(D117 = 0, $G36, MIN($G36, IFERROR( ( $Q36 - $M36 ) / D$138, 0 ) ) ), 0 ) )</f>
        <v>0</v>
      </c>
      <c r="E81" s="98">
        <f t="shared" si="45"/>
        <v>0</v>
      </c>
      <c r="F81" s="98">
        <f t="shared" si="45"/>
        <v>0</v>
      </c>
      <c r="G81" s="98">
        <f t="shared" si="45"/>
        <v>0</v>
      </c>
      <c r="H81" s="98">
        <f t="shared" si="45"/>
        <v>0</v>
      </c>
      <c r="I81" s="98">
        <f t="shared" si="45"/>
        <v>0</v>
      </c>
      <c r="J81" s="98">
        <f t="shared" si="45"/>
        <v>0</v>
      </c>
      <c r="K81" s="10"/>
      <c r="L81" s="10"/>
      <c r="M81" s="10"/>
      <c r="N81" s="10"/>
      <c r="O81" s="10"/>
      <c r="P81" s="10"/>
      <c r="Q81" s="10"/>
      <c r="R81" s="10"/>
      <c r="S81" s="10"/>
      <c r="T81" s="10"/>
      <c r="U81" s="10"/>
      <c r="V81" s="10"/>
      <c r="W81" s="10"/>
      <c r="X81" s="10"/>
      <c r="Y81" s="10"/>
      <c r="Z81" s="10"/>
      <c r="AA81" s="10"/>
    </row>
    <row r="82" spans="1:27" ht="13" hidden="1" outlineLevel="1">
      <c r="A82" s="10"/>
      <c r="B82" s="66" t="str">
        <f t="shared" si="31"/>
        <v>Warrants</v>
      </c>
      <c r="C82" s="10"/>
      <c r="D82" s="98">
        <f t="shared" ref="D82:J82" si="46">IF(OR($G37 = 0,D$65=D$46), 0,  IF($O37="participating preferred with cap", IF(D118 = 0, $G37, MIN($G37, IFERROR( ( $Q37 - $M37 ) / D$138, 0 ) ) ), 0 ) )</f>
        <v>0</v>
      </c>
      <c r="E82" s="98">
        <f t="shared" si="46"/>
        <v>0</v>
      </c>
      <c r="F82" s="98">
        <f t="shared" si="46"/>
        <v>0</v>
      </c>
      <c r="G82" s="98">
        <f t="shared" si="46"/>
        <v>0</v>
      </c>
      <c r="H82" s="98">
        <f t="shared" si="46"/>
        <v>0</v>
      </c>
      <c r="I82" s="98">
        <f t="shared" si="46"/>
        <v>0</v>
      </c>
      <c r="J82" s="98">
        <f t="shared" si="46"/>
        <v>0</v>
      </c>
      <c r="K82" s="10"/>
      <c r="L82" s="10"/>
      <c r="M82" s="10"/>
      <c r="N82" s="10"/>
      <c r="O82" s="10"/>
      <c r="P82" s="10"/>
      <c r="Q82" s="10"/>
      <c r="R82" s="10"/>
      <c r="S82" s="10"/>
      <c r="T82" s="10"/>
      <c r="U82" s="10"/>
      <c r="V82" s="10"/>
      <c r="W82" s="10"/>
      <c r="X82" s="10"/>
      <c r="Y82" s="10"/>
      <c r="Z82" s="10"/>
      <c r="AA82" s="10"/>
    </row>
    <row r="83" spans="1:27" ht="13" hidden="1" outlineLevel="1">
      <c r="A83" s="10"/>
      <c r="B83" s="66" t="s">
        <v>101</v>
      </c>
      <c r="C83" s="10"/>
      <c r="D83" s="90">
        <f t="shared" ref="D83:J83" si="47">SUM(D68:D82)</f>
        <v>0</v>
      </c>
      <c r="E83" s="90">
        <f t="shared" si="47"/>
        <v>0</v>
      </c>
      <c r="F83" s="90">
        <f t="shared" si="47"/>
        <v>0</v>
      </c>
      <c r="G83" s="90">
        <f t="shared" si="47"/>
        <v>0</v>
      </c>
      <c r="H83" s="90">
        <f t="shared" si="47"/>
        <v>0</v>
      </c>
      <c r="I83" s="90">
        <f t="shared" si="47"/>
        <v>0</v>
      </c>
      <c r="J83" s="90">
        <f t="shared" si="47"/>
        <v>0</v>
      </c>
      <c r="K83" s="10"/>
      <c r="L83" s="10"/>
      <c r="M83" s="10"/>
      <c r="N83" s="10"/>
      <c r="O83" s="10"/>
      <c r="P83" s="10"/>
      <c r="Q83" s="10"/>
      <c r="R83" s="10"/>
      <c r="S83" s="10"/>
      <c r="T83" s="10"/>
      <c r="U83" s="10"/>
      <c r="V83" s="10"/>
      <c r="W83" s="10"/>
      <c r="X83" s="10"/>
      <c r="Y83" s="10"/>
      <c r="Z83" s="10"/>
      <c r="AA83" s="10"/>
    </row>
    <row r="84" spans="1:27" ht="13" hidden="1" outlineLevel="1">
      <c r="A84" s="10"/>
      <c r="B84" s="96"/>
      <c r="C84" s="10"/>
      <c r="D84" s="98"/>
      <c r="E84" s="98"/>
      <c r="F84" s="98"/>
      <c r="G84" s="98"/>
      <c r="H84" s="98"/>
      <c r="I84" s="98"/>
      <c r="J84" s="98"/>
      <c r="K84" s="10"/>
      <c r="L84" s="10"/>
      <c r="M84" s="10"/>
      <c r="N84" s="10"/>
      <c r="O84" s="10"/>
      <c r="P84" s="10"/>
      <c r="Q84" s="10"/>
      <c r="R84" s="10"/>
      <c r="S84" s="10"/>
      <c r="T84" s="10"/>
      <c r="U84" s="10"/>
      <c r="V84" s="10"/>
      <c r="W84" s="10"/>
      <c r="X84" s="10"/>
      <c r="Y84" s="10"/>
      <c r="Z84" s="10"/>
      <c r="AA84" s="10"/>
    </row>
    <row r="85" spans="1:27" ht="13">
      <c r="A85" s="10"/>
      <c r="B85" s="96" t="s">
        <v>187</v>
      </c>
      <c r="C85" s="10"/>
      <c r="D85" s="98"/>
      <c r="E85" s="98"/>
      <c r="G85" s="98"/>
      <c r="H85" s="98"/>
      <c r="I85" s="98"/>
      <c r="J85" s="98"/>
      <c r="K85" s="10"/>
      <c r="L85" s="10"/>
      <c r="M85" s="10"/>
      <c r="N85" s="10"/>
      <c r="O85" s="10"/>
      <c r="P85" s="10"/>
      <c r="Q85" s="10"/>
      <c r="R85" s="10"/>
      <c r="S85" s="10"/>
      <c r="T85" s="10"/>
      <c r="U85" s="10"/>
      <c r="V85" s="10"/>
      <c r="W85" s="10"/>
      <c r="X85" s="10"/>
      <c r="Y85" s="10"/>
      <c r="Z85" s="10"/>
      <c r="AA85" s="10"/>
    </row>
    <row r="86" spans="1:27" ht="13">
      <c r="B86" s="66" t="str">
        <f t="shared" ref="B86:B100" si="48">B23</f>
        <v>Series J</v>
      </c>
      <c r="D86" s="100">
        <f t="shared" ref="D86:J86" si="49">IF($G23 = 0, 0,  IF( $J$3 = FALSE, 0, IF( OR($D23="options", $D23 = "warrants"), IF(AND($J23 &lt; D$138,$G23&gt;0), $G23 * $H23  * IFERROR(IF($D23 = "warrants", (D$138 - $J23) / D$138, 1 ),0), 0), IF(AND($O23="full participating",D$119&lt;&gt;D$46), $G23 * $H23, IF($O23="participating preferred with cap", D68, IF($D23="preferred", IF( $G23 * $H23 * D$138 &gt; ( SUMPRODUCT(D$50:D$64,--($E$23:$E$37=$E23)) * $M23 / SUMPRODUCT($M$23:$M$37,--($E$23:$E$37=$E23)) ), $G23 * $H23, 0), $G23 * $H23) ) ) ) ) )</f>
        <v>0</v>
      </c>
      <c r="E86" s="100">
        <f t="shared" si="49"/>
        <v>0</v>
      </c>
      <c r="F86" s="100">
        <f t="shared" si="49"/>
        <v>0</v>
      </c>
      <c r="G86" s="100">
        <f t="shared" si="49"/>
        <v>0</v>
      </c>
      <c r="H86" s="100">
        <f t="shared" si="49"/>
        <v>0</v>
      </c>
      <c r="I86" s="100">
        <f t="shared" si="49"/>
        <v>0</v>
      </c>
      <c r="J86" s="100">
        <f t="shared" si="49"/>
        <v>0</v>
      </c>
    </row>
    <row r="87" spans="1:27" ht="13">
      <c r="B87" s="66" t="str">
        <f t="shared" si="48"/>
        <v>Series I</v>
      </c>
      <c r="D87" s="100">
        <f t="shared" ref="D87:J87" si="50">IF($G24 = 0, 0,  IF( $J$3 = FALSE, 0, IF( OR($D24="options", $D24 = "warrants"), IF(AND($J24 &lt; D$138,$G24&gt;0), $G24 * $H24  * IFERROR(IF($D24 = "warrants", (D$138 - $J24) / D$138, 1 ),0), 0), IF(AND($O24="full participating",D$119&lt;&gt;D$46), $G24 * $H24, IF($O24="participating preferred with cap", D69, IF($D24="preferred", IF( $G24 * $H24 * D$138 &gt; ( SUMPRODUCT(D$50:D$64,--($E$23:$E$37=$E24)) * $M24 / SUMPRODUCT($M$23:$M$37,--($E$23:$E$37=$E24)) ), $G24 * $H24, 0), $G24 * $H24) ) ) ) ) )</f>
        <v>0</v>
      </c>
      <c r="E87" s="100">
        <f t="shared" si="50"/>
        <v>0</v>
      </c>
      <c r="F87" s="100">
        <f t="shared" si="50"/>
        <v>0</v>
      </c>
      <c r="G87" s="100">
        <f t="shared" si="50"/>
        <v>0</v>
      </c>
      <c r="H87" s="100">
        <f t="shared" si="50"/>
        <v>0</v>
      </c>
      <c r="I87" s="100">
        <f t="shared" si="50"/>
        <v>0</v>
      </c>
      <c r="J87" s="100">
        <f t="shared" si="50"/>
        <v>0</v>
      </c>
    </row>
    <row r="88" spans="1:27" ht="13">
      <c r="B88" s="66" t="str">
        <f t="shared" si="48"/>
        <v>Series H</v>
      </c>
      <c r="D88" s="100">
        <f t="shared" ref="D88:J88" si="51">IF($G25 = 0, 0,  IF( $J$3 = FALSE, 0, IF( OR($D25="options", $D25 = "warrants"), IF(AND($J25 &lt; D$138,$G25&gt;0), $G25 * $H25  * IFERROR(IF($D25 = "warrants", (D$138 - $J25) / D$138, 1 ),0), 0), IF(AND($O25="full participating",D$119&lt;&gt;D$46), $G25 * $H25, IF($O25="participating preferred with cap", D70, IF($D25="preferred", IF( $G25 * $H25 * D$138 &gt; ( SUMPRODUCT(D$50:D$64,--($E$23:$E$37=$E25)) * $M25 / SUMPRODUCT($M$23:$M$37,--($E$23:$E$37=$E25)) ), $G25 * $H25, 0), $G25 * $H25) ) ) ) ) )</f>
        <v>0</v>
      </c>
      <c r="E88" s="100">
        <f t="shared" si="51"/>
        <v>0</v>
      </c>
      <c r="F88" s="100">
        <f t="shared" si="51"/>
        <v>0</v>
      </c>
      <c r="G88" s="100">
        <f t="shared" si="51"/>
        <v>0</v>
      </c>
      <c r="H88" s="100">
        <f t="shared" si="51"/>
        <v>0</v>
      </c>
      <c r="I88" s="100">
        <f t="shared" si="51"/>
        <v>0</v>
      </c>
      <c r="J88" s="100">
        <f t="shared" si="51"/>
        <v>0</v>
      </c>
    </row>
    <row r="89" spans="1:27" ht="13">
      <c r="B89" s="66" t="str">
        <f t="shared" si="48"/>
        <v>Series G</v>
      </c>
      <c r="D89" s="100">
        <f t="shared" ref="D89:J89" si="52">IF($G26 = 0, 0,  IF( $J$3 = FALSE, 0, IF( OR($D26="options", $D26 = "warrants"), IF(AND($J26 &lt; D$138,$G26&gt;0), $G26 * $H26  * IFERROR(IF($D26 = "warrants", (D$138 - $J26) / D$138, 1 ),0), 0), IF(AND($O26="full participating",D$119&lt;&gt;D$46), $G26 * $H26, IF($O26="participating preferred with cap", D71, IF($D26="preferred", IF( $G26 * $H26 * D$138 &gt; ( SUMPRODUCT(D$50:D$64,--($E$23:$E$37=$E26)) * $M26 / SUMPRODUCT($M$23:$M$37,--($E$23:$E$37=$E26)) ), $G26 * $H26, 0), $G26 * $H26) ) ) ) ) )</f>
        <v>0</v>
      </c>
      <c r="E89" s="100">
        <f t="shared" si="52"/>
        <v>0</v>
      </c>
      <c r="F89" s="100">
        <f t="shared" si="52"/>
        <v>0</v>
      </c>
      <c r="G89" s="100">
        <f t="shared" si="52"/>
        <v>0</v>
      </c>
      <c r="H89" s="100">
        <f t="shared" si="52"/>
        <v>0</v>
      </c>
      <c r="I89" s="100">
        <f t="shared" si="52"/>
        <v>0</v>
      </c>
      <c r="J89" s="100">
        <f t="shared" si="52"/>
        <v>0</v>
      </c>
    </row>
    <row r="90" spans="1:27" ht="13">
      <c r="B90" s="66" t="str">
        <f t="shared" si="48"/>
        <v>Series F</v>
      </c>
      <c r="D90" s="100">
        <f t="shared" ref="D90:J90" si="53">IF($G27 = 0, 0,  IF( $J$3 = FALSE, 0, IF( OR($D27="options", $D27 = "warrants"), IF(AND($J27 &lt; D$138,$G27&gt;0), $G27 * $H27  * IFERROR(IF($D27 = "warrants", (D$138 - $J27) / D$138, 1 ),0), 0), IF(AND($O27="full participating",D$119&lt;&gt;D$46), $G27 * $H27, IF($O27="participating preferred with cap", D72, IF($D27="preferred", IF( $G27 * $H27 * D$138 &gt; ( SUMPRODUCT(D$50:D$64,--($E$23:$E$37=$E27)) * $M27 / SUMPRODUCT($M$23:$M$37,--($E$23:$E$37=$E27)) ), $G27 * $H27, 0), $G27 * $H27) ) ) ) ) )</f>
        <v>0</v>
      </c>
      <c r="E90" s="100">
        <f t="shared" si="53"/>
        <v>0</v>
      </c>
      <c r="F90" s="100">
        <f t="shared" si="53"/>
        <v>0</v>
      </c>
      <c r="G90" s="100">
        <f t="shared" si="53"/>
        <v>0</v>
      </c>
      <c r="H90" s="100">
        <f t="shared" si="53"/>
        <v>0</v>
      </c>
      <c r="I90" s="100">
        <f t="shared" si="53"/>
        <v>0</v>
      </c>
      <c r="J90" s="100">
        <f t="shared" si="53"/>
        <v>0</v>
      </c>
    </row>
    <row r="91" spans="1:27" ht="13">
      <c r="B91" s="66" t="str">
        <f t="shared" si="48"/>
        <v>Series E</v>
      </c>
      <c r="D91" s="100">
        <f t="shared" ref="D91:J91" si="54">IF($G28 = 0, 0,  IF( $J$3 = FALSE, 0, IF( OR($D28="options", $D28 = "warrants"), IF(AND($J28 &lt; D$138,$G28&gt;0), $G28 * $H28  * IFERROR(IF($D28 = "warrants", (D$138 - $J28) / D$138, 1 ),0), 0), IF(AND($O28="full participating",D$119&lt;&gt;D$46), $G28 * $H28, IF($O28="participating preferred with cap", D73, IF($D28="preferred", IF( $G28 * $H28 * D$138 &gt; ( SUMPRODUCT(D$50:D$64,--($E$23:$E$37=$E28)) * $M28 / SUMPRODUCT($M$23:$M$37,--($E$23:$E$37=$E28)) ), $G28 * $H28, 0), $G28 * $H28) ) ) ) ) )</f>
        <v>0</v>
      </c>
      <c r="E91" s="100">
        <f t="shared" si="54"/>
        <v>0</v>
      </c>
      <c r="F91" s="100">
        <f t="shared" si="54"/>
        <v>0</v>
      </c>
      <c r="G91" s="100">
        <f t="shared" si="54"/>
        <v>0</v>
      </c>
      <c r="H91" s="100">
        <f t="shared" si="54"/>
        <v>0</v>
      </c>
      <c r="I91" s="100">
        <f t="shared" si="54"/>
        <v>0</v>
      </c>
      <c r="J91" s="100">
        <f t="shared" si="54"/>
        <v>0</v>
      </c>
    </row>
    <row r="92" spans="1:27" ht="13">
      <c r="B92" s="66" t="str">
        <f t="shared" si="48"/>
        <v>Series D</v>
      </c>
      <c r="D92" s="100">
        <f t="shared" ref="D92:J92" si="55">IF($G29 = 0, 0,  IF( $J$3 = FALSE, 0, IF( OR($D29="options", $D29 = "warrants"), IF(AND($J29 &lt; D$138,$G29&gt;0), $G29 * $H29  * IFERROR(IF($D29 = "warrants", (D$138 - $J29) / D$138, 1 ),0), 0), IF(AND($O29="full participating",D$119&lt;&gt;D$46), $G29 * $H29, IF($O29="participating preferred with cap", D74, IF($D29="preferred", IF( $G29 * $H29 * D$138 &gt; ( SUMPRODUCT(D$50:D$64,--($E$23:$E$37=$E29)) * $M29 / SUMPRODUCT($M$23:$M$37,--($E$23:$E$37=$E29)) ), $G29 * $H29, 0), $G29 * $H29) ) ) ) ) )</f>
        <v>0</v>
      </c>
      <c r="E92" s="100">
        <f t="shared" si="55"/>
        <v>0</v>
      </c>
      <c r="F92" s="100">
        <f t="shared" si="55"/>
        <v>0</v>
      </c>
      <c r="G92" s="100">
        <f t="shared" si="55"/>
        <v>0</v>
      </c>
      <c r="H92" s="100">
        <f t="shared" si="55"/>
        <v>0</v>
      </c>
      <c r="I92" s="100">
        <f t="shared" si="55"/>
        <v>0</v>
      </c>
      <c r="J92" s="100">
        <f t="shared" si="55"/>
        <v>0</v>
      </c>
    </row>
    <row r="93" spans="1:27" ht="13">
      <c r="B93" s="66" t="str">
        <f t="shared" si="48"/>
        <v>Series C</v>
      </c>
      <c r="D93" s="100">
        <f t="shared" ref="D93:J93" si="56">IF($G30 = 0, 0,  IF( $J$3 = FALSE, 0, IF( OR($D30="options", $D30 = "warrants"), IF(AND($J30 &lt; D$138,$G30&gt;0), $G30 * $H30  * IFERROR(IF($D30 = "warrants", (D$138 - $J30) / D$138, 1 ),0), 0), IF(AND($O30="full participating",D$119&lt;&gt;D$46), $G30 * $H30, IF($O30="participating preferred with cap", D75, IF($D30="preferred", IF( $G30 * $H30 * D$138 &gt; ( SUMPRODUCT(D$50:D$64,--($E$23:$E$37=$E30)) * $M30 / SUMPRODUCT($M$23:$M$37,--($E$23:$E$37=$E30)) ), $G30 * $H30, 0), $G30 * $H30) ) ) ) ) )</f>
        <v>0</v>
      </c>
      <c r="E93" s="100">
        <f t="shared" si="56"/>
        <v>0</v>
      </c>
      <c r="F93" s="100">
        <f t="shared" si="56"/>
        <v>0</v>
      </c>
      <c r="G93" s="100">
        <f t="shared" si="56"/>
        <v>0</v>
      </c>
      <c r="H93" s="100">
        <f t="shared" si="56"/>
        <v>0</v>
      </c>
      <c r="I93" s="100">
        <f t="shared" si="56"/>
        <v>0</v>
      </c>
      <c r="J93" s="100">
        <f t="shared" si="56"/>
        <v>0</v>
      </c>
    </row>
    <row r="94" spans="1:27" ht="13">
      <c r="B94" s="66" t="str">
        <f t="shared" si="48"/>
        <v>Series B</v>
      </c>
      <c r="D94" s="100">
        <f t="shared" ref="D94:J94" si="57">IF($G31 = 0, 0,  IF( $J$3 = FALSE, 0, IF( OR($D31="options", $D31 = "warrants"), IF(AND($J31 &lt; D$138,$G31&gt;0), $G31 * $H31  * IFERROR(IF($D31 = "warrants", (D$138 - $J31) / D$138, 1 ),0), 0), IF(AND($O31="full participating",D$119&lt;&gt;D$46), $G31 * $H31, IF($O31="participating preferred with cap", D76, IF($D31="preferred", IF( $G31 * $H31 * D$138 &gt; ( SUMPRODUCT(D$50:D$64,--($E$23:$E$37=$E31)) * $M31 / SUMPRODUCT($M$23:$M$37,--($E$23:$E$37=$E31)) ), $G31 * $H31, 0), $G31 * $H31) ) ) ) ) )</f>
        <v>0</v>
      </c>
      <c r="E94" s="100">
        <f t="shared" si="57"/>
        <v>0</v>
      </c>
      <c r="F94" s="100">
        <f t="shared" si="57"/>
        <v>0</v>
      </c>
      <c r="G94" s="100">
        <f t="shared" si="57"/>
        <v>0</v>
      </c>
      <c r="H94" s="100">
        <f t="shared" si="57"/>
        <v>0</v>
      </c>
      <c r="I94" s="100">
        <f t="shared" si="57"/>
        <v>0</v>
      </c>
      <c r="J94" s="100">
        <f t="shared" si="57"/>
        <v>0</v>
      </c>
    </row>
    <row r="95" spans="1:27" ht="13">
      <c r="B95" s="66" t="str">
        <f t="shared" si="48"/>
        <v>Series A</v>
      </c>
      <c r="D95" s="100">
        <f t="shared" ref="D95:J95" si="58">IF($G32 = 0, 0,  IF( $J$3 = FALSE, 0, IF( OR($D32="options", $D32 = "warrants"), IF(AND($J32 &lt; D$138,$G32&gt;0), $G32 * $H32  * IFERROR(IF($D32 = "warrants", (D$138 - $J32) / D$138, 1 ),0), 0), IF(AND($O32="full participating",D$119&lt;&gt;D$46), $G32 * $H32, IF($O32="participating preferred with cap", D77, IF($D32="preferred", IF( $G32 * $H32 * D$138 &gt; ( SUMPRODUCT(D$50:D$64,--($E$23:$E$37=$E32)) * $M32 / SUMPRODUCT($M$23:$M$37,--($E$23:$E$37=$E32)) ), $G32 * $H32, 0), $G32 * $H32) ) ) ) ) )</f>
        <v>0</v>
      </c>
      <c r="E95" s="100">
        <f t="shared" si="58"/>
        <v>0</v>
      </c>
      <c r="F95" s="100">
        <f t="shared" si="58"/>
        <v>0</v>
      </c>
      <c r="G95" s="100">
        <f t="shared" si="58"/>
        <v>0</v>
      </c>
      <c r="H95" s="100">
        <f t="shared" si="58"/>
        <v>0</v>
      </c>
      <c r="I95" s="100">
        <f t="shared" si="58"/>
        <v>0</v>
      </c>
      <c r="J95" s="100">
        <f t="shared" si="58"/>
        <v>0</v>
      </c>
    </row>
    <row r="96" spans="1:27" ht="13">
      <c r="B96" s="66" t="str">
        <f t="shared" si="48"/>
        <v>Seed</v>
      </c>
      <c r="D96" s="100">
        <f t="shared" ref="D96:J96" si="59">IF($G33 = 0, 0,  IF( $J$3 = FALSE, 0, IF( OR($D33="options", $D33 = "warrants"), IF(AND($J33 &lt; D$138,$G33&gt;0), $G33 * $H33  * IFERROR(IF($D33 = "warrants", (D$138 - $J33) / D$138, 1 ),0), 0), IF(AND($O33="full participating",D$119&lt;&gt;D$46), $G33 * $H33, IF($O33="participating preferred with cap", D78, IF($D33="preferred", IF( $G33 * $H33 * D$138 &gt; ( SUMPRODUCT(D$50:D$64,--($E$23:$E$37=$E33)) * $M33 / SUMPRODUCT($M$23:$M$37,--($E$23:$E$37=$E33)) ), $G33 * $H33, 0), $G33 * $H33) ) ) ) ) )</f>
        <v>0</v>
      </c>
      <c r="E96" s="100">
        <f t="shared" si="59"/>
        <v>0</v>
      </c>
      <c r="F96" s="100">
        <f t="shared" si="59"/>
        <v>0</v>
      </c>
      <c r="G96" s="100">
        <f t="shared" si="59"/>
        <v>0</v>
      </c>
      <c r="H96" s="100">
        <f t="shared" si="59"/>
        <v>0</v>
      </c>
      <c r="I96" s="100">
        <f t="shared" si="59"/>
        <v>0</v>
      </c>
      <c r="J96" s="100">
        <f t="shared" si="59"/>
        <v>0</v>
      </c>
    </row>
    <row r="97" spans="1:27" ht="13">
      <c r="B97" s="66" t="str">
        <f t="shared" si="48"/>
        <v>Common</v>
      </c>
      <c r="D97" s="100">
        <f t="shared" ref="D97:J97" si="60">IF($G34 = 0, 0,  IF( $J$3 = FALSE, 0, IF( OR($D34="options", $D34 = "warrants"), IF(AND($J34 &lt; D$138,$G34&gt;0), $G34 * $H34  * IFERROR(IF($D34 = "warrants", (D$138 - $J34) / D$138, 1 ),0), 0), IF(AND($O34="full participating",D$119&lt;&gt;D$46), $G34 * $H34, IF($O34="participating preferred with cap", D79, IF($D34="preferred", IF( $G34 * $H34 * D$138 &gt; ( SUMPRODUCT(D$50:D$64,--($E$23:$E$37=$E34)) * $M34 / SUMPRODUCT($M$23:$M$37,--($E$23:$E$37=$E34)) ), $G34 * $H34, 0), $G34 * $H34) ) ) ) ) )</f>
        <v>0</v>
      </c>
      <c r="E97" s="100">
        <f t="shared" si="60"/>
        <v>0</v>
      </c>
      <c r="F97" s="100">
        <f t="shared" si="60"/>
        <v>0</v>
      </c>
      <c r="G97" s="100">
        <f t="shared" si="60"/>
        <v>0</v>
      </c>
      <c r="H97" s="100">
        <f t="shared" si="60"/>
        <v>0</v>
      </c>
      <c r="I97" s="100">
        <f t="shared" si="60"/>
        <v>0</v>
      </c>
      <c r="J97" s="100">
        <f t="shared" si="60"/>
        <v>0</v>
      </c>
    </row>
    <row r="98" spans="1:27" ht="13">
      <c r="B98" s="66" t="str">
        <f t="shared" si="48"/>
        <v>Options</v>
      </c>
      <c r="D98" s="100">
        <f t="shared" ref="D98:J98" si="61">IF($G35 = 0, 0,  IF( $J$3 = FALSE, 0, IF( OR($D35="options", $D35 = "warrants"), IF(AND($J35 &lt; D$138,$G35&gt;0), $G35 * $H35  * IFERROR(IF($D35 = "warrants", (D$138 - $J35) / D$138, 1 ),0), 0), IF(AND($O35="full participating",D$119&lt;&gt;D$46), $G35 * $H35, IF($O35="participating preferred with cap", D80, IF($D35="preferred", IF( $G35 * $H35 * D$138 &gt; ( SUMPRODUCT(D$50:D$64,--($E$23:$E$37=$E35)) * $M35 / SUMPRODUCT($M$23:$M$37,--($E$23:$E$37=$E35)) ), $G35 * $H35, 0), $G35 * $H35) ) ) ) ) )</f>
        <v>0</v>
      </c>
      <c r="E98" s="100">
        <f t="shared" si="61"/>
        <v>0</v>
      </c>
      <c r="F98" s="100">
        <f t="shared" si="61"/>
        <v>0</v>
      </c>
      <c r="G98" s="100">
        <f t="shared" si="61"/>
        <v>0</v>
      </c>
      <c r="H98" s="100">
        <f t="shared" si="61"/>
        <v>0</v>
      </c>
      <c r="I98" s="100">
        <f t="shared" si="61"/>
        <v>0</v>
      </c>
      <c r="J98" s="100">
        <f t="shared" si="61"/>
        <v>0</v>
      </c>
    </row>
    <row r="99" spans="1:27" ht="13">
      <c r="B99" s="66" t="str">
        <f t="shared" si="48"/>
        <v>Options</v>
      </c>
      <c r="D99" s="100">
        <f t="shared" ref="D99:J99" si="62">IF($G36 = 0, 0,  IF( $J$3 = FALSE, 0, IF( OR($D36="options", $D36 = "warrants"), IF(AND($J36 &lt; D$138,$G36&gt;0), $G36 * $H36  * IFERROR(IF($D36 = "warrants", (D$138 - $J36) / D$138, 1 ),0), 0), IF(AND($O36="full participating",D$119&lt;&gt;D$46), $G36 * $H36, IF($O36="participating preferred with cap", D81, IF($D36="preferred", IF( $G36 * $H36 * D$138 &gt; ( SUMPRODUCT(D$50:D$64,--($E$23:$E$37=$E36)) * $M36 / SUMPRODUCT($M$23:$M$37,--($E$23:$E$37=$E36)) ), $G36 * $H36, 0), $G36 * $H36) ) ) ) ) )</f>
        <v>0</v>
      </c>
      <c r="E99" s="100">
        <f t="shared" si="62"/>
        <v>0</v>
      </c>
      <c r="F99" s="100">
        <f t="shared" si="62"/>
        <v>0</v>
      </c>
      <c r="G99" s="100">
        <f t="shared" si="62"/>
        <v>0</v>
      </c>
      <c r="H99" s="100">
        <f t="shared" si="62"/>
        <v>0</v>
      </c>
      <c r="I99" s="100">
        <f t="shared" si="62"/>
        <v>0</v>
      </c>
      <c r="J99" s="100">
        <f t="shared" si="62"/>
        <v>0</v>
      </c>
    </row>
    <row r="100" spans="1:27" ht="13">
      <c r="B100" s="66" t="str">
        <f t="shared" si="48"/>
        <v>Warrants</v>
      </c>
      <c r="D100" s="100">
        <f t="shared" ref="D100:J100" si="63">IF($G37 = 0, 0,  IF( $J$3 = FALSE, 0, IF( OR($D37="options", $D37 = "warrants"), IF(AND($J37 &lt; D$138,$G37&gt;0), $G37 * $H37  * IFERROR(IF($D37 = "warrants", (D$138 - $J37) / D$138, 1 ),0), 0), IF(AND($O37="full participating",D$119&lt;&gt;D$46), $G37 * $H37, IF($O37="participating preferred with cap", D82, IF($D37="preferred", IF( $G37 * $H37 * D$138 &gt; ( SUMPRODUCT(D$50:D$64,--($E$23:$E$37=$E37)) * $M37 / SUMPRODUCT($M$23:$M$37,--($E$23:$E$37=$E37)) ), $G37 * $H37, 0), $G37 * $H37) ) ) ) ) )</f>
        <v>0</v>
      </c>
      <c r="E100" s="100">
        <f t="shared" si="63"/>
        <v>0</v>
      </c>
      <c r="F100" s="100">
        <f t="shared" si="63"/>
        <v>0</v>
      </c>
      <c r="G100" s="100">
        <f t="shared" si="63"/>
        <v>0</v>
      </c>
      <c r="H100" s="100">
        <f t="shared" si="63"/>
        <v>0</v>
      </c>
      <c r="I100" s="100">
        <f t="shared" si="63"/>
        <v>0</v>
      </c>
      <c r="J100" s="100">
        <f t="shared" si="63"/>
        <v>0</v>
      </c>
    </row>
    <row r="101" spans="1:27" ht="13">
      <c r="B101" s="66" t="s">
        <v>101</v>
      </c>
      <c r="D101" s="90">
        <f t="shared" ref="D101:J101" si="64">SUM(D86:D100)</f>
        <v>0</v>
      </c>
      <c r="E101" s="90">
        <f t="shared" si="64"/>
        <v>0</v>
      </c>
      <c r="F101" s="90">
        <f t="shared" si="64"/>
        <v>0</v>
      </c>
      <c r="G101" s="90">
        <f t="shared" si="64"/>
        <v>0</v>
      </c>
      <c r="H101" s="90">
        <f t="shared" si="64"/>
        <v>0</v>
      </c>
      <c r="I101" s="90">
        <f t="shared" si="64"/>
        <v>0</v>
      </c>
      <c r="J101" s="90">
        <f t="shared" si="64"/>
        <v>0</v>
      </c>
    </row>
    <row r="102" spans="1:27" ht="13">
      <c r="B102" s="66"/>
      <c r="D102" s="94"/>
      <c r="E102" s="94"/>
      <c r="F102" s="94"/>
      <c r="G102" s="94"/>
      <c r="H102" s="94"/>
      <c r="I102" s="94"/>
      <c r="J102" s="94"/>
    </row>
    <row r="103" spans="1:27" ht="13">
      <c r="A103" s="98"/>
      <c r="B103" s="98" t="s">
        <v>239</v>
      </c>
      <c r="C103" s="98"/>
      <c r="D103" s="98"/>
      <c r="E103" s="98"/>
      <c r="F103" s="98"/>
      <c r="G103" s="98"/>
      <c r="H103" s="98"/>
      <c r="I103" s="98"/>
      <c r="J103" s="98"/>
      <c r="K103" s="98"/>
      <c r="L103" s="98"/>
      <c r="M103" s="98"/>
      <c r="N103" s="98"/>
      <c r="O103" s="98"/>
      <c r="P103" s="98"/>
      <c r="Q103" s="98"/>
      <c r="R103" s="98"/>
      <c r="S103" s="98"/>
      <c r="T103" s="98"/>
      <c r="U103" s="98"/>
      <c r="V103" s="98"/>
      <c r="W103" s="98"/>
      <c r="X103" s="98"/>
      <c r="Y103" s="98"/>
      <c r="Z103" s="98"/>
      <c r="AA103" s="98"/>
    </row>
    <row r="104" spans="1:27" ht="13">
      <c r="B104" s="66" t="str">
        <f t="shared" ref="B104:B118" si="65">B23</f>
        <v>Series J</v>
      </c>
      <c r="D104" s="94">
        <f t="shared" ref="D104:J104" si="66">IF($O23="participating preferred with cap", IF( ($G23 * D$138) &lt; $Q23, MIN( $M23, SUMPRODUCT(D$50:D$64,--($E$23:$E$37=$E23)) * $M23 / SUMPRODUCT($M$23:$M$37,--($E$23:$E$37=$E23)) ), 0 ), IF($O23="full participating", IFERROR( MIN( $M23, SUMPRODUCT(D$50:D$64,--($E$23:$E$37=$E23)) * $M23 / SUMPRODUCT($M$23:$M$37,--($E$23:$E$37=$E23)) ),0), IF(D86 &gt; 0, 0, IFERROR( MIN( $M23, SUMPRODUCT(D$50:D$64,--($E$23:$E$37=$E23)) * $M23 / SUMPRODUCT($M$23:$M$37,--($E$23:$E$37=$E23)) ),0) ) ) )</f>
        <v>0</v>
      </c>
      <c r="E104" s="94">
        <f t="shared" si="66"/>
        <v>0</v>
      </c>
      <c r="F104" s="94">
        <f t="shared" si="66"/>
        <v>0</v>
      </c>
      <c r="G104" s="94">
        <f t="shared" si="66"/>
        <v>0</v>
      </c>
      <c r="H104" s="94">
        <f t="shared" si="66"/>
        <v>0</v>
      </c>
      <c r="I104" s="94">
        <f t="shared" si="66"/>
        <v>0</v>
      </c>
      <c r="J104" s="94">
        <f t="shared" si="66"/>
        <v>0</v>
      </c>
    </row>
    <row r="105" spans="1:27" ht="13">
      <c r="B105" s="66" t="str">
        <f t="shared" si="65"/>
        <v>Series I</v>
      </c>
      <c r="D105" s="94">
        <f t="shared" ref="D105:J105" si="67">IF($O24="participating preferred with cap", IF( ($G24 * D$138) &lt; $Q24, MIN( $M24, SUMPRODUCT(D$50:D$64,--($E$23:$E$37=$E24)) * $M24 / SUMPRODUCT($M$23:$M$37,--($E$23:$E$37=$E24)) ), 0 ), IF($O24="full participating", IFERROR( MIN( $M24, SUMPRODUCT(D$50:D$64,--($E$23:$E$37=$E24)) * $M24 / SUMPRODUCT($M$23:$M$37,--($E$23:$E$37=$E24)) ),0), IF(D87 &gt; 0, 0, IFERROR( MIN( $M24, SUMPRODUCT(D$50:D$64,--($E$23:$E$37=$E24)) * $M24 / SUMPRODUCT($M$23:$M$37,--($E$23:$E$37=$E24)) ),0) ) ) )</f>
        <v>0</v>
      </c>
      <c r="E105" s="94">
        <f t="shared" si="67"/>
        <v>0</v>
      </c>
      <c r="F105" s="94">
        <f t="shared" si="67"/>
        <v>0</v>
      </c>
      <c r="G105" s="94">
        <f t="shared" si="67"/>
        <v>0</v>
      </c>
      <c r="H105" s="94">
        <f t="shared" si="67"/>
        <v>0</v>
      </c>
      <c r="I105" s="94">
        <f t="shared" si="67"/>
        <v>0</v>
      </c>
      <c r="J105" s="94">
        <f t="shared" si="67"/>
        <v>0</v>
      </c>
    </row>
    <row r="106" spans="1:27" ht="13">
      <c r="B106" s="66" t="str">
        <f t="shared" si="65"/>
        <v>Series H</v>
      </c>
      <c r="D106" s="94">
        <f t="shared" ref="D106:J106" si="68">IF($O25="participating preferred with cap", IF( ($G25 * D$138) &lt; $Q25, MIN( $M25, SUMPRODUCT(D$50:D$64,--($E$23:$E$37=$E25)) * $M25 / SUMPRODUCT($M$23:$M$37,--($E$23:$E$37=$E25)) ), 0 ), IF($O25="full participating", IFERROR( MIN( $M25, SUMPRODUCT(D$50:D$64,--($E$23:$E$37=$E25)) * $M25 / SUMPRODUCT($M$23:$M$37,--($E$23:$E$37=$E25)) ),0), IF(D88 &gt; 0, 0, IFERROR( MIN( $M25, SUMPRODUCT(D$50:D$64,--($E$23:$E$37=$E25)) * $M25 / SUMPRODUCT($M$23:$M$37,--($E$23:$E$37=$E25)) ),0) ) ) )</f>
        <v>0</v>
      </c>
      <c r="E106" s="94">
        <f t="shared" si="68"/>
        <v>0</v>
      </c>
      <c r="F106" s="94">
        <f t="shared" si="68"/>
        <v>0</v>
      </c>
      <c r="G106" s="94">
        <f t="shared" si="68"/>
        <v>0</v>
      </c>
      <c r="H106" s="94">
        <f t="shared" si="68"/>
        <v>0</v>
      </c>
      <c r="I106" s="94">
        <f t="shared" si="68"/>
        <v>0</v>
      </c>
      <c r="J106" s="94">
        <f t="shared" si="68"/>
        <v>0</v>
      </c>
    </row>
    <row r="107" spans="1:27" ht="13">
      <c r="B107" s="66" t="str">
        <f t="shared" si="65"/>
        <v>Series G</v>
      </c>
      <c r="D107" s="94">
        <f t="shared" ref="D107:J107" si="69">IF($O26="participating preferred with cap", IF( ($G26 * D$138) &lt; $Q26, MIN( $M26, SUMPRODUCT(D$50:D$64,--($E$23:$E$37=$E26)) * $M26 / SUMPRODUCT($M$23:$M$37,--($E$23:$E$37=$E26)) ), 0 ), IF($O26="full participating", IFERROR( MIN( $M26, SUMPRODUCT(D$50:D$64,--($E$23:$E$37=$E26)) * $M26 / SUMPRODUCT($M$23:$M$37,--($E$23:$E$37=$E26)) ),0), IF(D89 &gt; 0, 0, IFERROR( MIN( $M26, SUMPRODUCT(D$50:D$64,--($E$23:$E$37=$E26)) * $M26 / SUMPRODUCT($M$23:$M$37,--($E$23:$E$37=$E26)) ),0) ) ) )</f>
        <v>0</v>
      </c>
      <c r="E107" s="94">
        <f t="shared" si="69"/>
        <v>0</v>
      </c>
      <c r="F107" s="94">
        <f t="shared" si="69"/>
        <v>0</v>
      </c>
      <c r="G107" s="94">
        <f t="shared" si="69"/>
        <v>0</v>
      </c>
      <c r="H107" s="94">
        <f t="shared" si="69"/>
        <v>0</v>
      </c>
      <c r="I107" s="94">
        <f t="shared" si="69"/>
        <v>0</v>
      </c>
      <c r="J107" s="94">
        <f t="shared" si="69"/>
        <v>0</v>
      </c>
    </row>
    <row r="108" spans="1:27" ht="13">
      <c r="B108" s="66" t="str">
        <f t="shared" si="65"/>
        <v>Series F</v>
      </c>
      <c r="D108" s="94">
        <f t="shared" ref="D108:J108" si="70">IF($O27="participating preferred with cap", IF( ($G27 * D$138) &lt; $Q27, MIN( $M27, SUMPRODUCT(D$50:D$64,--($E$23:$E$37=$E27)) * $M27 / SUMPRODUCT($M$23:$M$37,--($E$23:$E$37=$E27)) ), 0 ), IF($O27="full participating", IFERROR( MIN( $M27, SUMPRODUCT(D$50:D$64,--($E$23:$E$37=$E27)) * $M27 / SUMPRODUCT($M$23:$M$37,--($E$23:$E$37=$E27)) ),0), IF(D90 &gt; 0, 0, IFERROR( MIN( $M27, SUMPRODUCT(D$50:D$64,--($E$23:$E$37=$E27)) * $M27 / SUMPRODUCT($M$23:$M$37,--($E$23:$E$37=$E27)) ),0) ) ) )</f>
        <v>0</v>
      </c>
      <c r="E108" s="94">
        <f t="shared" si="70"/>
        <v>0</v>
      </c>
      <c r="F108" s="94">
        <f t="shared" si="70"/>
        <v>0</v>
      </c>
      <c r="G108" s="94">
        <f t="shared" si="70"/>
        <v>0</v>
      </c>
      <c r="H108" s="94">
        <f t="shared" si="70"/>
        <v>0</v>
      </c>
      <c r="I108" s="94">
        <f t="shared" si="70"/>
        <v>0</v>
      </c>
      <c r="J108" s="94">
        <f t="shared" si="70"/>
        <v>0</v>
      </c>
    </row>
    <row r="109" spans="1:27" ht="13">
      <c r="B109" s="66" t="str">
        <f t="shared" si="65"/>
        <v>Series E</v>
      </c>
      <c r="D109" s="94">
        <f t="shared" ref="D109:J109" si="71">IF($O28="participating preferred with cap", IF( ($G28 * D$138) &lt; $Q28, MIN( $M28, SUMPRODUCT(D$50:D$64,--($E$23:$E$37=$E28)) * $M28 / SUMPRODUCT($M$23:$M$37,--($E$23:$E$37=$E28)) ), 0 ), IF($O28="full participating", IFERROR( MIN( $M28, SUMPRODUCT(D$50:D$64,--($E$23:$E$37=$E28)) * $M28 / SUMPRODUCT($M$23:$M$37,--($E$23:$E$37=$E28)) ),0), IF(D91 &gt; 0, 0, IFERROR( MIN( $M28, SUMPRODUCT(D$50:D$64,--($E$23:$E$37=$E28)) * $M28 / SUMPRODUCT($M$23:$M$37,--($E$23:$E$37=$E28)) ),0) ) ) )</f>
        <v>0</v>
      </c>
      <c r="E109" s="94">
        <f t="shared" si="71"/>
        <v>0</v>
      </c>
      <c r="F109" s="94">
        <f t="shared" si="71"/>
        <v>0</v>
      </c>
      <c r="G109" s="94">
        <f t="shared" si="71"/>
        <v>0</v>
      </c>
      <c r="H109" s="94">
        <f t="shared" si="71"/>
        <v>0</v>
      </c>
      <c r="I109" s="94">
        <f t="shared" si="71"/>
        <v>0</v>
      </c>
      <c r="J109" s="94">
        <f t="shared" si="71"/>
        <v>0</v>
      </c>
    </row>
    <row r="110" spans="1:27" ht="13">
      <c r="B110" s="66" t="str">
        <f t="shared" si="65"/>
        <v>Series D</v>
      </c>
      <c r="D110" s="94">
        <f t="shared" ref="D110:J110" si="72">IF($O29="participating preferred with cap", IF( ($G29 * D$138) &lt; $Q29, MIN( $M29, SUMPRODUCT(D$50:D$64,--($E$23:$E$37=$E29)) * $M29 / SUMPRODUCT($M$23:$M$37,--($E$23:$E$37=$E29)) ), 0 ), IF($O29="full participating", IFERROR( MIN( $M29, SUMPRODUCT(D$50:D$64,--($E$23:$E$37=$E29)) * $M29 / SUMPRODUCT($M$23:$M$37,--($E$23:$E$37=$E29)) ),0), IF(D92 &gt; 0, 0, IFERROR( MIN( $M29, SUMPRODUCT(D$50:D$64,--($E$23:$E$37=$E29)) * $M29 / SUMPRODUCT($M$23:$M$37,--($E$23:$E$37=$E29)) ),0) ) ) )</f>
        <v>0</v>
      </c>
      <c r="E110" s="94">
        <f t="shared" si="72"/>
        <v>0</v>
      </c>
      <c r="F110" s="94">
        <f t="shared" si="72"/>
        <v>0</v>
      </c>
      <c r="G110" s="94">
        <f t="shared" si="72"/>
        <v>0</v>
      </c>
      <c r="H110" s="94">
        <f t="shared" si="72"/>
        <v>0</v>
      </c>
      <c r="I110" s="94">
        <f t="shared" si="72"/>
        <v>0</v>
      </c>
      <c r="J110" s="94">
        <f t="shared" si="72"/>
        <v>0</v>
      </c>
    </row>
    <row r="111" spans="1:27" ht="13">
      <c r="B111" s="66" t="str">
        <f t="shared" si="65"/>
        <v>Series C</v>
      </c>
      <c r="D111" s="94">
        <f t="shared" ref="D111:J111" si="73">IF($O30="participating preferred with cap", IF( ($G30 * D$138) &lt; $Q30, MIN( $M30, SUMPRODUCT(D$50:D$64,--($E$23:$E$37=$E30)) * $M30 / SUMPRODUCT($M$23:$M$37,--($E$23:$E$37=$E30)) ), 0 ), IF($O30="full participating", IFERROR( MIN( $M30, SUMPRODUCT(D$50:D$64,--($E$23:$E$37=$E30)) * $M30 / SUMPRODUCT($M$23:$M$37,--($E$23:$E$37=$E30)) ),0), IF(D93 &gt; 0, 0, IFERROR( MIN( $M30, SUMPRODUCT(D$50:D$64,--($E$23:$E$37=$E30)) * $M30 / SUMPRODUCT($M$23:$M$37,--($E$23:$E$37=$E30)) ),0) ) ) )</f>
        <v>0</v>
      </c>
      <c r="E111" s="94">
        <f t="shared" si="73"/>
        <v>0</v>
      </c>
      <c r="F111" s="94">
        <f t="shared" si="73"/>
        <v>0</v>
      </c>
      <c r="G111" s="94">
        <f t="shared" si="73"/>
        <v>0</v>
      </c>
      <c r="H111" s="94">
        <f t="shared" si="73"/>
        <v>0</v>
      </c>
      <c r="I111" s="94">
        <f t="shared" si="73"/>
        <v>0</v>
      </c>
      <c r="J111" s="94">
        <f t="shared" si="73"/>
        <v>0</v>
      </c>
    </row>
    <row r="112" spans="1:27" ht="13">
      <c r="B112" s="66" t="str">
        <f t="shared" si="65"/>
        <v>Series B</v>
      </c>
      <c r="D112" s="94">
        <f t="shared" ref="D112:J112" si="74">IF($O31="participating preferred with cap", IF( ($G31 * D$138) &lt; $Q31, MIN( $M31, SUMPRODUCT(D$50:D$64,--($E$23:$E$37=$E31)) * $M31 / SUMPRODUCT($M$23:$M$37,--($E$23:$E$37=$E31)) ), 0 ), IF($O31="full participating", IFERROR( MIN( $M31, SUMPRODUCT(D$50:D$64,--($E$23:$E$37=$E31)) * $M31 / SUMPRODUCT($M$23:$M$37,--($E$23:$E$37=$E31)) ),0), IF(D94 &gt; 0, 0, IFERROR( MIN( $M31, SUMPRODUCT(D$50:D$64,--($E$23:$E$37=$E31)) * $M31 / SUMPRODUCT($M$23:$M$37,--($E$23:$E$37=$E31)) ),0) ) ) )</f>
        <v>2000000</v>
      </c>
      <c r="E112" s="94">
        <f t="shared" si="74"/>
        <v>2000000</v>
      </c>
      <c r="F112" s="94">
        <f t="shared" si="74"/>
        <v>2000000</v>
      </c>
      <c r="G112" s="94">
        <f t="shared" si="74"/>
        <v>2000000</v>
      </c>
      <c r="H112" s="94">
        <f t="shared" si="74"/>
        <v>2000000</v>
      </c>
      <c r="I112" s="94">
        <f t="shared" si="74"/>
        <v>2000000</v>
      </c>
      <c r="J112" s="94">
        <f t="shared" si="74"/>
        <v>2000000</v>
      </c>
    </row>
    <row r="113" spans="2:10" ht="13">
      <c r="B113" s="66" t="str">
        <f t="shared" si="65"/>
        <v>Series A</v>
      </c>
      <c r="D113" s="94">
        <f t="shared" ref="D113:J113" si="75">IF($O32="participating preferred with cap", IF( ($G32 * D$138) &lt; $Q32, MIN( $M32, SUMPRODUCT(D$50:D$64,--($E$23:$E$37=$E32)) * $M32 / SUMPRODUCT($M$23:$M$37,--($E$23:$E$37=$E32)) ), 0 ), IF($O32="full participating", IFERROR( MIN( $M32, SUMPRODUCT(D$50:D$64,--($E$23:$E$37=$E32)) * $M32 / SUMPRODUCT($M$23:$M$37,--($E$23:$E$37=$E32)) ),0), IF(D95 &gt; 0, 0, IFERROR( MIN( $M32, SUMPRODUCT(D$50:D$64,--($E$23:$E$37=$E32)) * $M32 / SUMPRODUCT($M$23:$M$37,--($E$23:$E$37=$E32)) ),0) ) ) )</f>
        <v>0</v>
      </c>
      <c r="E113" s="94">
        <f t="shared" si="75"/>
        <v>1000000</v>
      </c>
      <c r="F113" s="94">
        <f t="shared" si="75"/>
        <v>1000000</v>
      </c>
      <c r="G113" s="94">
        <f t="shared" si="75"/>
        <v>1000000</v>
      </c>
      <c r="H113" s="94">
        <f t="shared" si="75"/>
        <v>1000000</v>
      </c>
      <c r="I113" s="94">
        <f t="shared" si="75"/>
        <v>1000000</v>
      </c>
      <c r="J113" s="94">
        <f t="shared" si="75"/>
        <v>1000000</v>
      </c>
    </row>
    <row r="114" spans="2:10" ht="13">
      <c r="B114" s="66" t="str">
        <f t="shared" si="65"/>
        <v>Seed</v>
      </c>
      <c r="D114" s="94">
        <f t="shared" ref="D114:J114" si="76">IF($O33="participating preferred with cap", IF( ($G33 * D$138) &lt; $Q33, MIN( $M33, SUMPRODUCT(D$50:D$64,--($E$23:$E$37=$E33)) * $M33 / SUMPRODUCT($M$23:$M$37,--($E$23:$E$37=$E33)) ), 0 ), IF($O33="full participating", IFERROR( MIN( $M33, SUMPRODUCT(D$50:D$64,--($E$23:$E$37=$E33)) * $M33 / SUMPRODUCT($M$23:$M$37,--($E$23:$E$37=$E33)) ),0), IF(D96 &gt; 0, 0, IFERROR( MIN( $M33, SUMPRODUCT(D$50:D$64,--($E$23:$E$37=$E33)) * $M33 / SUMPRODUCT($M$23:$M$37,--($E$23:$E$37=$E33)) ),0) ) ) )</f>
        <v>0</v>
      </c>
      <c r="E114" s="94">
        <f t="shared" si="76"/>
        <v>0</v>
      </c>
      <c r="F114" s="94">
        <f t="shared" si="76"/>
        <v>500000</v>
      </c>
      <c r="G114" s="94">
        <f t="shared" si="76"/>
        <v>500000</v>
      </c>
      <c r="H114" s="94">
        <f t="shared" si="76"/>
        <v>500000</v>
      </c>
      <c r="I114" s="94">
        <f t="shared" si="76"/>
        <v>500000</v>
      </c>
      <c r="J114" s="94">
        <f t="shared" si="76"/>
        <v>500000</v>
      </c>
    </row>
    <row r="115" spans="2:10" ht="13">
      <c r="B115" s="66" t="str">
        <f t="shared" si="65"/>
        <v>Common</v>
      </c>
      <c r="D115" s="94">
        <f t="shared" ref="D115:J115" si="77">IF($O34="participating preferred with cap", IF( ($G34 * D$138) &lt; $Q34, MIN( $M34, SUMPRODUCT(D$50:D$64,--($E$23:$E$37=$E34)) * $M34 / SUMPRODUCT($M$23:$M$37,--($E$23:$E$37=$E34)) ), 0 ), IF($O34="full participating", IFERROR( MIN( $M34, SUMPRODUCT(D$50:D$64,--($E$23:$E$37=$E34)) * $M34 / SUMPRODUCT($M$23:$M$37,--($E$23:$E$37=$E34)) ),0), IF(D97 &gt; 0, 0, IFERROR( MIN( $M34, SUMPRODUCT(D$50:D$64,--($E$23:$E$37=$E34)) * $M34 / SUMPRODUCT($M$23:$M$37,--($E$23:$E$37=$E34)) ),0) ) ) )</f>
        <v>0</v>
      </c>
      <c r="E115" s="94">
        <f t="shared" si="77"/>
        <v>0</v>
      </c>
      <c r="F115" s="94">
        <f t="shared" si="77"/>
        <v>0</v>
      </c>
      <c r="G115" s="94">
        <f t="shared" si="77"/>
        <v>0</v>
      </c>
      <c r="H115" s="94">
        <f t="shared" si="77"/>
        <v>0</v>
      </c>
      <c r="I115" s="94">
        <f t="shared" si="77"/>
        <v>0</v>
      </c>
      <c r="J115" s="94">
        <f t="shared" si="77"/>
        <v>0</v>
      </c>
    </row>
    <row r="116" spans="2:10" ht="13">
      <c r="B116" s="66" t="str">
        <f t="shared" si="65"/>
        <v>Options</v>
      </c>
      <c r="D116" s="94">
        <f t="shared" ref="D116:J116" si="78">IF($O35="participating preferred with cap", IF( ($G35 * D$138) &lt; $Q35, MIN( $M35, SUMPRODUCT(D$50:D$64,--($E$23:$E$37=$E35)) * $M35 / SUMPRODUCT($M$23:$M$37,--($E$23:$E$37=$E35)) ), 0 ), IF($O35="full participating", IFERROR( MIN( $M35, SUMPRODUCT(D$50:D$64,--($E$23:$E$37=$E35)) * $M35 / SUMPRODUCT($M$23:$M$37,--($E$23:$E$37=$E35)) ),0), IF(D98 &gt; 0, 0, IFERROR( MIN( $M35, SUMPRODUCT(D$50:D$64,--($E$23:$E$37=$E35)) * $M35 / SUMPRODUCT($M$23:$M$37,--($E$23:$E$37=$E35)) ),0) ) ) )</f>
        <v>0</v>
      </c>
      <c r="E116" s="94">
        <f t="shared" si="78"/>
        <v>0</v>
      </c>
      <c r="F116" s="94">
        <f t="shared" si="78"/>
        <v>0</v>
      </c>
      <c r="G116" s="94">
        <f t="shared" si="78"/>
        <v>0</v>
      </c>
      <c r="H116" s="94">
        <f t="shared" si="78"/>
        <v>0</v>
      </c>
      <c r="I116" s="94">
        <f t="shared" si="78"/>
        <v>0</v>
      </c>
      <c r="J116" s="94">
        <f t="shared" si="78"/>
        <v>0</v>
      </c>
    </row>
    <row r="117" spans="2:10" ht="13">
      <c r="B117" s="66" t="str">
        <f t="shared" si="65"/>
        <v>Options</v>
      </c>
      <c r="D117" s="94">
        <f t="shared" ref="D117:J117" si="79">IF($O36="participating preferred with cap", IF( ($G36 * D$138) &lt; $Q36, MIN( $M36, SUMPRODUCT(D$50:D$64,--($E$23:$E$37=$E36)) * $M36 / SUMPRODUCT($M$23:$M$37,--($E$23:$E$37=$E36)) ), 0 ), IF($O36="full participating", IFERROR( MIN( $M36, SUMPRODUCT(D$50:D$64,--($E$23:$E$37=$E36)) * $M36 / SUMPRODUCT($M$23:$M$37,--($E$23:$E$37=$E36)) ),0), IF(D99 &gt; 0, 0, IFERROR( MIN( $M36, SUMPRODUCT(D$50:D$64,--($E$23:$E$37=$E36)) * $M36 / SUMPRODUCT($M$23:$M$37,--($E$23:$E$37=$E36)) ),0) ) ) )</f>
        <v>0</v>
      </c>
      <c r="E117" s="94">
        <f t="shared" si="79"/>
        <v>0</v>
      </c>
      <c r="F117" s="94">
        <f t="shared" si="79"/>
        <v>0</v>
      </c>
      <c r="G117" s="94">
        <f t="shared" si="79"/>
        <v>0</v>
      </c>
      <c r="H117" s="94">
        <f t="shared" si="79"/>
        <v>0</v>
      </c>
      <c r="I117" s="94">
        <f t="shared" si="79"/>
        <v>0</v>
      </c>
      <c r="J117" s="94">
        <f t="shared" si="79"/>
        <v>0</v>
      </c>
    </row>
    <row r="118" spans="2:10" ht="13">
      <c r="B118" s="66" t="str">
        <f t="shared" si="65"/>
        <v>Warrants</v>
      </c>
      <c r="D118" s="94">
        <f t="shared" ref="D118:J118" si="80">IF($O37="participating preferred with cap", IF( ($G37 * D$138) &lt; $Q37, MIN( $M37, SUMPRODUCT(D$50:D$64,--($E$23:$E$37=$E37)) * $M37 / SUMPRODUCT($M$23:$M$37,--($E$23:$E$37=$E37)) ), 0 ), IF($O37="full participating", IFERROR( MIN( $M37, SUMPRODUCT(D$50:D$64,--($E$23:$E$37=$E37)) * $M37 / SUMPRODUCT($M$23:$M$37,--($E$23:$E$37=$E37)) ),0), IF(D100 &gt; 0, 0, IFERROR( MIN( $M37, SUMPRODUCT(D$50:D$64,--($E$23:$E$37=$E37)) * $M37 / SUMPRODUCT($M$23:$M$37,--($E$23:$E$37=$E37)) ),0) ) ) )</f>
        <v>0</v>
      </c>
      <c r="E118" s="94">
        <f t="shared" si="80"/>
        <v>0</v>
      </c>
      <c r="F118" s="94">
        <f t="shared" si="80"/>
        <v>0</v>
      </c>
      <c r="G118" s="94">
        <f t="shared" si="80"/>
        <v>0</v>
      </c>
      <c r="H118" s="94">
        <f t="shared" si="80"/>
        <v>0</v>
      </c>
      <c r="I118" s="94">
        <f t="shared" si="80"/>
        <v>0</v>
      </c>
      <c r="J118" s="94">
        <f t="shared" si="80"/>
        <v>0</v>
      </c>
    </row>
    <row r="119" spans="2:10" ht="13">
      <c r="B119" s="66" t="s">
        <v>101</v>
      </c>
      <c r="C119" s="101" t="str">
        <f>B103</f>
        <v>Distributions to Liquidation Preferences</v>
      </c>
      <c r="D119" s="90">
        <f t="shared" ref="D119:J119" si="81">SUM(D104:D118)</f>
        <v>2000000</v>
      </c>
      <c r="E119" s="90">
        <f t="shared" si="81"/>
        <v>3000000</v>
      </c>
      <c r="F119" s="90">
        <f t="shared" si="81"/>
        <v>3500000</v>
      </c>
      <c r="G119" s="90">
        <f t="shared" si="81"/>
        <v>3500000</v>
      </c>
      <c r="H119" s="90">
        <f t="shared" si="81"/>
        <v>3500000</v>
      </c>
      <c r="I119" s="90">
        <f t="shared" si="81"/>
        <v>3500000</v>
      </c>
      <c r="J119" s="90">
        <f t="shared" si="81"/>
        <v>3500000</v>
      </c>
    </row>
    <row r="120" spans="2:10" ht="13">
      <c r="B120" s="66"/>
      <c r="D120" s="94"/>
      <c r="E120" s="94"/>
      <c r="F120" s="94"/>
      <c r="G120" s="94"/>
      <c r="H120" s="94"/>
      <c r="I120" s="94"/>
      <c r="J120" s="94"/>
    </row>
    <row r="121" spans="2:10" ht="13">
      <c r="B121" s="96" t="s">
        <v>240</v>
      </c>
      <c r="D121" s="94"/>
      <c r="E121" s="94"/>
      <c r="F121" s="94"/>
      <c r="G121" s="94"/>
      <c r="H121" s="94"/>
      <c r="I121" s="94"/>
      <c r="J121" s="94"/>
    </row>
    <row r="122" spans="2:10" ht="13">
      <c r="B122" s="66" t="str">
        <f t="shared" ref="B122:B136" si="82">B23</f>
        <v>Series J</v>
      </c>
      <c r="D122" s="94">
        <f t="shared" ref="D122:J122" si="83">IFERROR( MAX( 0, D86 / D$101 * D$137 ), 0 )</f>
        <v>0</v>
      </c>
      <c r="E122" s="94">
        <f t="shared" si="83"/>
        <v>0</v>
      </c>
      <c r="F122" s="94">
        <f t="shared" si="83"/>
        <v>0</v>
      </c>
      <c r="G122" s="94">
        <f t="shared" si="83"/>
        <v>0</v>
      </c>
      <c r="H122" s="94">
        <f t="shared" si="83"/>
        <v>0</v>
      </c>
      <c r="I122" s="94">
        <f t="shared" si="83"/>
        <v>0</v>
      </c>
      <c r="J122" s="94">
        <f t="shared" si="83"/>
        <v>0</v>
      </c>
    </row>
    <row r="123" spans="2:10" ht="13">
      <c r="B123" s="66" t="str">
        <f t="shared" si="82"/>
        <v>Series I</v>
      </c>
      <c r="D123" s="94">
        <f t="shared" ref="D123:J123" si="84">IFERROR( MAX( 0, D87 / D$101 * D$137 ), 0 )</f>
        <v>0</v>
      </c>
      <c r="E123" s="94">
        <f t="shared" si="84"/>
        <v>0</v>
      </c>
      <c r="F123" s="94">
        <f t="shared" si="84"/>
        <v>0</v>
      </c>
      <c r="G123" s="94">
        <f t="shared" si="84"/>
        <v>0</v>
      </c>
      <c r="H123" s="94">
        <f t="shared" si="84"/>
        <v>0</v>
      </c>
      <c r="I123" s="94">
        <f t="shared" si="84"/>
        <v>0</v>
      </c>
      <c r="J123" s="94">
        <f t="shared" si="84"/>
        <v>0</v>
      </c>
    </row>
    <row r="124" spans="2:10" ht="13">
      <c r="B124" s="66" t="str">
        <f t="shared" si="82"/>
        <v>Series H</v>
      </c>
      <c r="D124" s="94">
        <f t="shared" ref="D124:J124" si="85">IFERROR( MAX( 0, D88 / D$101 * D$137 ), 0 )</f>
        <v>0</v>
      </c>
      <c r="E124" s="94">
        <f t="shared" si="85"/>
        <v>0</v>
      </c>
      <c r="F124" s="94">
        <f t="shared" si="85"/>
        <v>0</v>
      </c>
      <c r="G124" s="94">
        <f t="shared" si="85"/>
        <v>0</v>
      </c>
      <c r="H124" s="94">
        <f t="shared" si="85"/>
        <v>0</v>
      </c>
      <c r="I124" s="94">
        <f t="shared" si="85"/>
        <v>0</v>
      </c>
      <c r="J124" s="94">
        <f t="shared" si="85"/>
        <v>0</v>
      </c>
    </row>
    <row r="125" spans="2:10" ht="13">
      <c r="B125" s="66" t="str">
        <f t="shared" si="82"/>
        <v>Series G</v>
      </c>
      <c r="D125" s="94">
        <f t="shared" ref="D125:J125" si="86">IFERROR( MAX( 0, D89 / D$101 * D$137 ), 0 )</f>
        <v>0</v>
      </c>
      <c r="E125" s="94">
        <f t="shared" si="86"/>
        <v>0</v>
      </c>
      <c r="F125" s="94">
        <f t="shared" si="86"/>
        <v>0</v>
      </c>
      <c r="G125" s="94">
        <f t="shared" si="86"/>
        <v>0</v>
      </c>
      <c r="H125" s="94">
        <f t="shared" si="86"/>
        <v>0</v>
      </c>
      <c r="I125" s="94">
        <f t="shared" si="86"/>
        <v>0</v>
      </c>
      <c r="J125" s="94">
        <f t="shared" si="86"/>
        <v>0</v>
      </c>
    </row>
    <row r="126" spans="2:10" ht="13">
      <c r="B126" s="66" t="str">
        <f t="shared" si="82"/>
        <v>Series F</v>
      </c>
      <c r="D126" s="94">
        <f t="shared" ref="D126:J126" si="87">IFERROR( MAX( 0, D90 / D$101 * D$137 ), 0 )</f>
        <v>0</v>
      </c>
      <c r="E126" s="94">
        <f t="shared" si="87"/>
        <v>0</v>
      </c>
      <c r="F126" s="94">
        <f t="shared" si="87"/>
        <v>0</v>
      </c>
      <c r="G126" s="94">
        <f t="shared" si="87"/>
        <v>0</v>
      </c>
      <c r="H126" s="94">
        <f t="shared" si="87"/>
        <v>0</v>
      </c>
      <c r="I126" s="94">
        <f t="shared" si="87"/>
        <v>0</v>
      </c>
      <c r="J126" s="94">
        <f t="shared" si="87"/>
        <v>0</v>
      </c>
    </row>
    <row r="127" spans="2:10" ht="13">
      <c r="B127" s="66" t="str">
        <f t="shared" si="82"/>
        <v>Series E</v>
      </c>
      <c r="D127" s="94">
        <f t="shared" ref="D127:J127" si="88">IFERROR( MAX( 0, D91 / D$101 * D$137 ), 0 )</f>
        <v>0</v>
      </c>
      <c r="E127" s="94">
        <f t="shared" si="88"/>
        <v>0</v>
      </c>
      <c r="F127" s="94">
        <f t="shared" si="88"/>
        <v>0</v>
      </c>
      <c r="G127" s="94">
        <f t="shared" si="88"/>
        <v>0</v>
      </c>
      <c r="H127" s="94">
        <f t="shared" si="88"/>
        <v>0</v>
      </c>
      <c r="I127" s="94">
        <f t="shared" si="88"/>
        <v>0</v>
      </c>
      <c r="J127" s="94">
        <f t="shared" si="88"/>
        <v>0</v>
      </c>
    </row>
    <row r="128" spans="2:10" ht="13">
      <c r="B128" s="66" t="str">
        <f t="shared" si="82"/>
        <v>Series D</v>
      </c>
      <c r="D128" s="94">
        <f t="shared" ref="D128:J128" si="89">IFERROR( MAX( 0, D92 / D$101 * D$137 ), 0 )</f>
        <v>0</v>
      </c>
      <c r="E128" s="94">
        <f t="shared" si="89"/>
        <v>0</v>
      </c>
      <c r="F128" s="94">
        <f t="shared" si="89"/>
        <v>0</v>
      </c>
      <c r="G128" s="94">
        <f t="shared" si="89"/>
        <v>0</v>
      </c>
      <c r="H128" s="94">
        <f t="shared" si="89"/>
        <v>0</v>
      </c>
      <c r="I128" s="94">
        <f t="shared" si="89"/>
        <v>0</v>
      </c>
      <c r="J128" s="94">
        <f t="shared" si="89"/>
        <v>0</v>
      </c>
    </row>
    <row r="129" spans="2:10" ht="13">
      <c r="B129" s="66" t="str">
        <f t="shared" si="82"/>
        <v>Series C</v>
      </c>
      <c r="D129" s="94">
        <f t="shared" ref="D129:J129" si="90">IFERROR( MAX( 0, D93 / D$101 * D$137 ), 0 )</f>
        <v>0</v>
      </c>
      <c r="E129" s="94">
        <f t="shared" si="90"/>
        <v>0</v>
      </c>
      <c r="F129" s="94">
        <f t="shared" si="90"/>
        <v>0</v>
      </c>
      <c r="G129" s="94">
        <f t="shared" si="90"/>
        <v>0</v>
      </c>
      <c r="H129" s="94">
        <f t="shared" si="90"/>
        <v>0</v>
      </c>
      <c r="I129" s="94">
        <f t="shared" si="90"/>
        <v>0</v>
      </c>
      <c r="J129" s="94">
        <f t="shared" si="90"/>
        <v>0</v>
      </c>
    </row>
    <row r="130" spans="2:10" ht="13">
      <c r="B130" s="66" t="str">
        <f t="shared" si="82"/>
        <v>Series B</v>
      </c>
      <c r="D130" s="94">
        <f t="shared" ref="D130:J130" si="91">IFERROR( MAX( 0, D94 / D$101 * D$137 ), 0 )</f>
        <v>0</v>
      </c>
      <c r="E130" s="94">
        <f t="shared" si="91"/>
        <v>0</v>
      </c>
      <c r="F130" s="94">
        <f t="shared" si="91"/>
        <v>0</v>
      </c>
      <c r="G130" s="94">
        <f t="shared" si="91"/>
        <v>0</v>
      </c>
      <c r="H130" s="94">
        <f t="shared" si="91"/>
        <v>0</v>
      </c>
      <c r="I130" s="94">
        <f t="shared" si="91"/>
        <v>0</v>
      </c>
      <c r="J130" s="94">
        <f t="shared" si="91"/>
        <v>0</v>
      </c>
    </row>
    <row r="131" spans="2:10" ht="13">
      <c r="B131" s="66" t="str">
        <f t="shared" si="82"/>
        <v>Series A</v>
      </c>
      <c r="D131" s="94">
        <f t="shared" ref="D131:J131" si="92">IFERROR( MAX( 0, D95 / D$101 * D$137 ), 0 )</f>
        <v>0</v>
      </c>
      <c r="E131" s="94">
        <f t="shared" si="92"/>
        <v>0</v>
      </c>
      <c r="F131" s="94">
        <f t="shared" si="92"/>
        <v>0</v>
      </c>
      <c r="G131" s="94">
        <f t="shared" si="92"/>
        <v>0</v>
      </c>
      <c r="H131" s="94">
        <f t="shared" si="92"/>
        <v>0</v>
      </c>
      <c r="I131" s="94">
        <f t="shared" si="92"/>
        <v>0</v>
      </c>
      <c r="J131" s="94">
        <f t="shared" si="92"/>
        <v>0</v>
      </c>
    </row>
    <row r="132" spans="2:10" ht="13">
      <c r="B132" s="66" t="str">
        <f t="shared" si="82"/>
        <v>Seed</v>
      </c>
      <c r="D132" s="94">
        <f t="shared" ref="D132:J132" si="93">IFERROR( MAX( 0, D96 / D$101 * D$137 ), 0 )</f>
        <v>0</v>
      </c>
      <c r="E132" s="94">
        <f t="shared" si="93"/>
        <v>0</v>
      </c>
      <c r="F132" s="94">
        <f t="shared" si="93"/>
        <v>0</v>
      </c>
      <c r="G132" s="94">
        <f t="shared" si="93"/>
        <v>0</v>
      </c>
      <c r="H132" s="94">
        <f t="shared" si="93"/>
        <v>0</v>
      </c>
      <c r="I132" s="94">
        <f t="shared" si="93"/>
        <v>0</v>
      </c>
      <c r="J132" s="94">
        <f t="shared" si="93"/>
        <v>0</v>
      </c>
    </row>
    <row r="133" spans="2:10" ht="13">
      <c r="B133" s="66" t="str">
        <f t="shared" si="82"/>
        <v>Common</v>
      </c>
      <c r="D133" s="94">
        <f t="shared" ref="D133:J133" si="94">IFERROR( MAX( 0, D97 / D$101 * D$137 ), 0 )</f>
        <v>0</v>
      </c>
      <c r="E133" s="94">
        <f t="shared" si="94"/>
        <v>0</v>
      </c>
      <c r="F133" s="94">
        <f t="shared" si="94"/>
        <v>0</v>
      </c>
      <c r="G133" s="94">
        <f t="shared" si="94"/>
        <v>0</v>
      </c>
      <c r="H133" s="94">
        <f t="shared" si="94"/>
        <v>0</v>
      </c>
      <c r="I133" s="94">
        <f t="shared" si="94"/>
        <v>0</v>
      </c>
      <c r="J133" s="94">
        <f t="shared" si="94"/>
        <v>0</v>
      </c>
    </row>
    <row r="134" spans="2:10" ht="13">
      <c r="B134" s="66" t="str">
        <f t="shared" si="82"/>
        <v>Options</v>
      </c>
      <c r="D134" s="94">
        <f t="shared" ref="D134:J134" si="95">IFERROR( MAX( 0, D98 / D$101 * D$137 ), 0 )</f>
        <v>0</v>
      </c>
      <c r="E134" s="94">
        <f t="shared" si="95"/>
        <v>0</v>
      </c>
      <c r="F134" s="94">
        <f t="shared" si="95"/>
        <v>0</v>
      </c>
      <c r="G134" s="94">
        <f t="shared" si="95"/>
        <v>0</v>
      </c>
      <c r="H134" s="94">
        <f t="shared" si="95"/>
        <v>0</v>
      </c>
      <c r="I134" s="94">
        <f t="shared" si="95"/>
        <v>0</v>
      </c>
      <c r="J134" s="94">
        <f t="shared" si="95"/>
        <v>0</v>
      </c>
    </row>
    <row r="135" spans="2:10" ht="13">
      <c r="B135" s="66" t="str">
        <f t="shared" si="82"/>
        <v>Options</v>
      </c>
      <c r="D135" s="94">
        <f t="shared" ref="D135:J135" si="96">IFERROR( MAX( 0, D99 / D$101 * D$137 ), 0 )</f>
        <v>0</v>
      </c>
      <c r="E135" s="94">
        <f t="shared" si="96"/>
        <v>0</v>
      </c>
      <c r="F135" s="94">
        <f t="shared" si="96"/>
        <v>0</v>
      </c>
      <c r="G135" s="94">
        <f t="shared" si="96"/>
        <v>0</v>
      </c>
      <c r="H135" s="94">
        <f t="shared" si="96"/>
        <v>0</v>
      </c>
      <c r="I135" s="94">
        <f t="shared" si="96"/>
        <v>0</v>
      </c>
      <c r="J135" s="94">
        <f t="shared" si="96"/>
        <v>0</v>
      </c>
    </row>
    <row r="136" spans="2:10" ht="13">
      <c r="B136" s="66" t="str">
        <f t="shared" si="82"/>
        <v>Warrants</v>
      </c>
      <c r="D136" s="94">
        <f t="shared" ref="D136:J136" si="97">IFERROR( MAX( 0, D100 / D$101 * D$137 ), 0 )</f>
        <v>0</v>
      </c>
      <c r="E136" s="94">
        <f t="shared" si="97"/>
        <v>0</v>
      </c>
      <c r="F136" s="94">
        <f t="shared" si="97"/>
        <v>0</v>
      </c>
      <c r="G136" s="94">
        <f t="shared" si="97"/>
        <v>0</v>
      </c>
      <c r="H136" s="94">
        <f t="shared" si="97"/>
        <v>0</v>
      </c>
      <c r="I136" s="94">
        <f t="shared" si="97"/>
        <v>0</v>
      </c>
      <c r="J136" s="94">
        <f t="shared" si="97"/>
        <v>0</v>
      </c>
    </row>
    <row r="137" spans="2:10" ht="13">
      <c r="B137" s="66" t="s">
        <v>101</v>
      </c>
      <c r="C137" s="102" t="str">
        <f>B121</f>
        <v>Distributions to Common</v>
      </c>
      <c r="D137" s="90">
        <f t="shared" ref="D137:J137" si="98">IFERROR(MAX(0,D46-D119),0)</f>
        <v>0</v>
      </c>
      <c r="E137" s="90">
        <f t="shared" si="98"/>
        <v>0</v>
      </c>
      <c r="F137" s="90">
        <f t="shared" si="98"/>
        <v>500000</v>
      </c>
      <c r="G137" s="90">
        <f t="shared" si="98"/>
        <v>4500000</v>
      </c>
      <c r="H137" s="90">
        <f t="shared" si="98"/>
        <v>12500000</v>
      </c>
      <c r="I137" s="90">
        <f t="shared" si="98"/>
        <v>28500000</v>
      </c>
      <c r="J137" s="90">
        <f t="shared" si="98"/>
        <v>60500000</v>
      </c>
    </row>
    <row r="138" spans="2:10" ht="13">
      <c r="B138" s="66" t="s">
        <v>241</v>
      </c>
      <c r="D138" s="103">
        <f t="shared" ref="D138:J138" si="99">IFERROR( D137/D101, 0)</f>
        <v>0</v>
      </c>
      <c r="E138" s="103">
        <f t="shared" si="99"/>
        <v>0</v>
      </c>
      <c r="F138" s="103">
        <f t="shared" si="99"/>
        <v>0</v>
      </c>
      <c r="G138" s="103">
        <f t="shared" si="99"/>
        <v>0</v>
      </c>
      <c r="H138" s="103">
        <f t="shared" si="99"/>
        <v>0</v>
      </c>
      <c r="I138" s="103">
        <f t="shared" si="99"/>
        <v>0</v>
      </c>
      <c r="J138" s="103">
        <f t="shared" si="99"/>
        <v>0</v>
      </c>
    </row>
    <row r="139" spans="2:10" ht="13">
      <c r="B139" s="66"/>
      <c r="D139" s="94"/>
      <c r="E139" s="94"/>
      <c r="F139" s="94"/>
      <c r="G139" s="94"/>
      <c r="H139" s="94"/>
      <c r="I139" s="94"/>
      <c r="J139" s="94"/>
    </row>
    <row r="140" spans="2:10" ht="13">
      <c r="B140" s="96" t="s">
        <v>242</v>
      </c>
      <c r="D140" s="104">
        <f t="shared" ref="D140:J140" si="100">SUM(D141:D155)</f>
        <v>2000000</v>
      </c>
      <c r="E140" s="104">
        <f t="shared" si="100"/>
        <v>3000000</v>
      </c>
      <c r="F140" s="104">
        <f t="shared" si="100"/>
        <v>3500000</v>
      </c>
      <c r="G140" s="104">
        <f t="shared" si="100"/>
        <v>3500000</v>
      </c>
      <c r="H140" s="104">
        <f t="shared" si="100"/>
        <v>3500000</v>
      </c>
      <c r="I140" s="104">
        <f t="shared" si="100"/>
        <v>3500000</v>
      </c>
      <c r="J140" s="104">
        <f t="shared" si="100"/>
        <v>3500000</v>
      </c>
    </row>
    <row r="141" spans="2:10" ht="13">
      <c r="B141" s="66" t="str">
        <f t="shared" ref="B141:B155" si="101">B23</f>
        <v>Series J</v>
      </c>
      <c r="D141" s="100">
        <f t="shared" ref="D141:J141" si="102">D104+D122</f>
        <v>0</v>
      </c>
      <c r="E141" s="100">
        <f t="shared" si="102"/>
        <v>0</v>
      </c>
      <c r="F141" s="100">
        <f t="shared" si="102"/>
        <v>0</v>
      </c>
      <c r="G141" s="100">
        <f t="shared" si="102"/>
        <v>0</v>
      </c>
      <c r="H141" s="100">
        <f t="shared" si="102"/>
        <v>0</v>
      </c>
      <c r="I141" s="100">
        <f t="shared" si="102"/>
        <v>0</v>
      </c>
      <c r="J141" s="100">
        <f t="shared" si="102"/>
        <v>0</v>
      </c>
    </row>
    <row r="142" spans="2:10" ht="13">
      <c r="B142" s="66" t="str">
        <f t="shared" si="101"/>
        <v>Series I</v>
      </c>
      <c r="D142" s="100">
        <f t="shared" ref="D142:J142" si="103">D105+D123</f>
        <v>0</v>
      </c>
      <c r="E142" s="100">
        <f t="shared" si="103"/>
        <v>0</v>
      </c>
      <c r="F142" s="100">
        <f t="shared" si="103"/>
        <v>0</v>
      </c>
      <c r="G142" s="100">
        <f t="shared" si="103"/>
        <v>0</v>
      </c>
      <c r="H142" s="100">
        <f t="shared" si="103"/>
        <v>0</v>
      </c>
      <c r="I142" s="100">
        <f t="shared" si="103"/>
        <v>0</v>
      </c>
      <c r="J142" s="100">
        <f t="shared" si="103"/>
        <v>0</v>
      </c>
    </row>
    <row r="143" spans="2:10" ht="13">
      <c r="B143" s="66" t="str">
        <f t="shared" si="101"/>
        <v>Series H</v>
      </c>
      <c r="D143" s="100">
        <f t="shared" ref="D143:J143" si="104">D106+D124</f>
        <v>0</v>
      </c>
      <c r="E143" s="100">
        <f t="shared" si="104"/>
        <v>0</v>
      </c>
      <c r="F143" s="100">
        <f t="shared" si="104"/>
        <v>0</v>
      </c>
      <c r="G143" s="100">
        <f t="shared" si="104"/>
        <v>0</v>
      </c>
      <c r="H143" s="100">
        <f t="shared" si="104"/>
        <v>0</v>
      </c>
      <c r="I143" s="100">
        <f t="shared" si="104"/>
        <v>0</v>
      </c>
      <c r="J143" s="100">
        <f t="shared" si="104"/>
        <v>0</v>
      </c>
    </row>
    <row r="144" spans="2:10" ht="13">
      <c r="B144" s="66" t="str">
        <f t="shared" si="101"/>
        <v>Series G</v>
      </c>
      <c r="D144" s="100">
        <f t="shared" ref="D144:J144" si="105">D107+D125</f>
        <v>0</v>
      </c>
      <c r="E144" s="100">
        <f t="shared" si="105"/>
        <v>0</v>
      </c>
      <c r="F144" s="100">
        <f t="shared" si="105"/>
        <v>0</v>
      </c>
      <c r="G144" s="100">
        <f t="shared" si="105"/>
        <v>0</v>
      </c>
      <c r="H144" s="100">
        <f t="shared" si="105"/>
        <v>0</v>
      </c>
      <c r="I144" s="100">
        <f t="shared" si="105"/>
        <v>0</v>
      </c>
      <c r="J144" s="100">
        <f t="shared" si="105"/>
        <v>0</v>
      </c>
    </row>
    <row r="145" spans="2:10" ht="13">
      <c r="B145" s="66" t="str">
        <f t="shared" si="101"/>
        <v>Series F</v>
      </c>
      <c r="D145" s="100">
        <f t="shared" ref="D145:J145" si="106">D108+D126</f>
        <v>0</v>
      </c>
      <c r="E145" s="100">
        <f t="shared" si="106"/>
        <v>0</v>
      </c>
      <c r="F145" s="100">
        <f t="shared" si="106"/>
        <v>0</v>
      </c>
      <c r="G145" s="100">
        <f t="shared" si="106"/>
        <v>0</v>
      </c>
      <c r="H145" s="100">
        <f t="shared" si="106"/>
        <v>0</v>
      </c>
      <c r="I145" s="100">
        <f t="shared" si="106"/>
        <v>0</v>
      </c>
      <c r="J145" s="100">
        <f t="shared" si="106"/>
        <v>0</v>
      </c>
    </row>
    <row r="146" spans="2:10" ht="13">
      <c r="B146" s="66" t="str">
        <f t="shared" si="101"/>
        <v>Series E</v>
      </c>
      <c r="D146" s="100">
        <f t="shared" ref="D146:J146" si="107">D109+D127</f>
        <v>0</v>
      </c>
      <c r="E146" s="100">
        <f t="shared" si="107"/>
        <v>0</v>
      </c>
      <c r="F146" s="100">
        <f t="shared" si="107"/>
        <v>0</v>
      </c>
      <c r="G146" s="100">
        <f t="shared" si="107"/>
        <v>0</v>
      </c>
      <c r="H146" s="100">
        <f t="shared" si="107"/>
        <v>0</v>
      </c>
      <c r="I146" s="100">
        <f t="shared" si="107"/>
        <v>0</v>
      </c>
      <c r="J146" s="100">
        <f t="shared" si="107"/>
        <v>0</v>
      </c>
    </row>
    <row r="147" spans="2:10" ht="13">
      <c r="B147" s="66" t="str">
        <f t="shared" si="101"/>
        <v>Series D</v>
      </c>
      <c r="D147" s="100">
        <f t="shared" ref="D147:J147" si="108">D110+D128</f>
        <v>0</v>
      </c>
      <c r="E147" s="100">
        <f t="shared" si="108"/>
        <v>0</v>
      </c>
      <c r="F147" s="100">
        <f t="shared" si="108"/>
        <v>0</v>
      </c>
      <c r="G147" s="100">
        <f t="shared" si="108"/>
        <v>0</v>
      </c>
      <c r="H147" s="100">
        <f t="shared" si="108"/>
        <v>0</v>
      </c>
      <c r="I147" s="100">
        <f t="shared" si="108"/>
        <v>0</v>
      </c>
      <c r="J147" s="100">
        <f t="shared" si="108"/>
        <v>0</v>
      </c>
    </row>
    <row r="148" spans="2:10" ht="13">
      <c r="B148" s="66" t="str">
        <f t="shared" si="101"/>
        <v>Series C</v>
      </c>
      <c r="D148" s="100">
        <f t="shared" ref="D148:J148" si="109">D111+D129</f>
        <v>0</v>
      </c>
      <c r="E148" s="100">
        <f t="shared" si="109"/>
        <v>0</v>
      </c>
      <c r="F148" s="100">
        <f t="shared" si="109"/>
        <v>0</v>
      </c>
      <c r="G148" s="100">
        <f t="shared" si="109"/>
        <v>0</v>
      </c>
      <c r="H148" s="100">
        <f t="shared" si="109"/>
        <v>0</v>
      </c>
      <c r="I148" s="100">
        <f t="shared" si="109"/>
        <v>0</v>
      </c>
      <c r="J148" s="100">
        <f t="shared" si="109"/>
        <v>0</v>
      </c>
    </row>
    <row r="149" spans="2:10" ht="13">
      <c r="B149" s="66" t="str">
        <f t="shared" si="101"/>
        <v>Series B</v>
      </c>
      <c r="D149" s="100">
        <f t="shared" ref="D149:J149" si="110">D112+D130</f>
        <v>2000000</v>
      </c>
      <c r="E149" s="100">
        <f t="shared" si="110"/>
        <v>2000000</v>
      </c>
      <c r="F149" s="100">
        <f t="shared" si="110"/>
        <v>2000000</v>
      </c>
      <c r="G149" s="100">
        <f t="shared" si="110"/>
        <v>2000000</v>
      </c>
      <c r="H149" s="100">
        <f t="shared" si="110"/>
        <v>2000000</v>
      </c>
      <c r="I149" s="100">
        <f t="shared" si="110"/>
        <v>2000000</v>
      </c>
      <c r="J149" s="100">
        <f t="shared" si="110"/>
        <v>2000000</v>
      </c>
    </row>
    <row r="150" spans="2:10" ht="13">
      <c r="B150" s="66" t="str">
        <f t="shared" si="101"/>
        <v>Series A</v>
      </c>
      <c r="D150" s="100">
        <f t="shared" ref="D150:J150" si="111">D113+D131</f>
        <v>0</v>
      </c>
      <c r="E150" s="100">
        <f t="shared" si="111"/>
        <v>1000000</v>
      </c>
      <c r="F150" s="100">
        <f t="shared" si="111"/>
        <v>1000000</v>
      </c>
      <c r="G150" s="100">
        <f t="shared" si="111"/>
        <v>1000000</v>
      </c>
      <c r="H150" s="100">
        <f t="shared" si="111"/>
        <v>1000000</v>
      </c>
      <c r="I150" s="100">
        <f t="shared" si="111"/>
        <v>1000000</v>
      </c>
      <c r="J150" s="100">
        <f t="shared" si="111"/>
        <v>1000000</v>
      </c>
    </row>
    <row r="151" spans="2:10" ht="13">
      <c r="B151" s="66" t="str">
        <f t="shared" si="101"/>
        <v>Seed</v>
      </c>
      <c r="D151" s="100">
        <f t="shared" ref="D151:J151" si="112">D114+D132</f>
        <v>0</v>
      </c>
      <c r="E151" s="100">
        <f t="shared" si="112"/>
        <v>0</v>
      </c>
      <c r="F151" s="100">
        <f t="shared" si="112"/>
        <v>500000</v>
      </c>
      <c r="G151" s="100">
        <f t="shared" si="112"/>
        <v>500000</v>
      </c>
      <c r="H151" s="100">
        <f t="shared" si="112"/>
        <v>500000</v>
      </c>
      <c r="I151" s="100">
        <f t="shared" si="112"/>
        <v>500000</v>
      </c>
      <c r="J151" s="100">
        <f t="shared" si="112"/>
        <v>500000</v>
      </c>
    </row>
    <row r="152" spans="2:10" ht="13">
      <c r="B152" s="66" t="str">
        <f t="shared" si="101"/>
        <v>Common</v>
      </c>
      <c r="D152" s="100">
        <f t="shared" ref="D152:J152" si="113">D115+D133</f>
        <v>0</v>
      </c>
      <c r="E152" s="100">
        <f t="shared" si="113"/>
        <v>0</v>
      </c>
      <c r="F152" s="100">
        <f t="shared" si="113"/>
        <v>0</v>
      </c>
      <c r="G152" s="100">
        <f t="shared" si="113"/>
        <v>0</v>
      </c>
      <c r="H152" s="100">
        <f t="shared" si="113"/>
        <v>0</v>
      </c>
      <c r="I152" s="100">
        <f t="shared" si="113"/>
        <v>0</v>
      </c>
      <c r="J152" s="100">
        <f t="shared" si="113"/>
        <v>0</v>
      </c>
    </row>
    <row r="153" spans="2:10" ht="13">
      <c r="B153" s="66" t="str">
        <f t="shared" si="101"/>
        <v>Options</v>
      </c>
      <c r="D153" s="100">
        <f t="shared" ref="D153:J153" si="114">D116+D134</f>
        <v>0</v>
      </c>
      <c r="E153" s="100">
        <f t="shared" si="114"/>
        <v>0</v>
      </c>
      <c r="F153" s="100">
        <f t="shared" si="114"/>
        <v>0</v>
      </c>
      <c r="G153" s="100">
        <f t="shared" si="114"/>
        <v>0</v>
      </c>
      <c r="H153" s="100">
        <f t="shared" si="114"/>
        <v>0</v>
      </c>
      <c r="I153" s="100">
        <f t="shared" si="114"/>
        <v>0</v>
      </c>
      <c r="J153" s="100">
        <f t="shared" si="114"/>
        <v>0</v>
      </c>
    </row>
    <row r="154" spans="2:10" ht="13">
      <c r="B154" s="66" t="str">
        <f t="shared" si="101"/>
        <v>Options</v>
      </c>
      <c r="D154" s="100">
        <f t="shared" ref="D154:J154" si="115">D117+D135</f>
        <v>0</v>
      </c>
      <c r="E154" s="100">
        <f t="shared" si="115"/>
        <v>0</v>
      </c>
      <c r="F154" s="100">
        <f t="shared" si="115"/>
        <v>0</v>
      </c>
      <c r="G154" s="100">
        <f t="shared" si="115"/>
        <v>0</v>
      </c>
      <c r="H154" s="100">
        <f t="shared" si="115"/>
        <v>0</v>
      </c>
      <c r="I154" s="100">
        <f t="shared" si="115"/>
        <v>0</v>
      </c>
      <c r="J154" s="100">
        <f t="shared" si="115"/>
        <v>0</v>
      </c>
    </row>
    <row r="155" spans="2:10" ht="13">
      <c r="B155" s="66" t="str">
        <f t="shared" si="101"/>
        <v>Warrants</v>
      </c>
      <c r="D155" s="100">
        <f t="shared" ref="D155:J155" si="116">D118+D136</f>
        <v>0</v>
      </c>
      <c r="E155" s="100">
        <f t="shared" si="116"/>
        <v>0</v>
      </c>
      <c r="F155" s="100">
        <f t="shared" si="116"/>
        <v>0</v>
      </c>
      <c r="G155" s="100">
        <f t="shared" si="116"/>
        <v>0</v>
      </c>
      <c r="H155" s="100">
        <f t="shared" si="116"/>
        <v>0</v>
      </c>
      <c r="I155" s="100">
        <f t="shared" si="116"/>
        <v>0</v>
      </c>
      <c r="J155" s="100">
        <f t="shared" si="116"/>
        <v>0</v>
      </c>
    </row>
    <row r="156" spans="2:10" ht="13">
      <c r="B156" s="66" t="s">
        <v>101</v>
      </c>
      <c r="D156" s="90">
        <f t="shared" ref="D156:J156" si="117">SUM(D141:D155)</f>
        <v>2000000</v>
      </c>
      <c r="E156" s="90">
        <f t="shared" si="117"/>
        <v>3000000</v>
      </c>
      <c r="F156" s="90">
        <f t="shared" si="117"/>
        <v>3500000</v>
      </c>
      <c r="G156" s="90">
        <f t="shared" si="117"/>
        <v>3500000</v>
      </c>
      <c r="H156" s="90">
        <f t="shared" si="117"/>
        <v>3500000</v>
      </c>
      <c r="I156" s="90">
        <f t="shared" si="117"/>
        <v>3500000</v>
      </c>
      <c r="J156" s="90">
        <f t="shared" si="117"/>
        <v>3500000</v>
      </c>
    </row>
    <row r="157" spans="2:10" ht="13">
      <c r="B157" s="96" t="s">
        <v>243</v>
      </c>
      <c r="D157" s="94">
        <f t="shared" ref="D157:J157" si="118">D156-D46</f>
        <v>0</v>
      </c>
      <c r="E157" s="94">
        <f t="shared" si="118"/>
        <v>0</v>
      </c>
      <c r="F157" s="94">
        <f t="shared" si="118"/>
        <v>-500000</v>
      </c>
      <c r="G157" s="94">
        <f t="shared" si="118"/>
        <v>-4500000</v>
      </c>
      <c r="H157" s="94">
        <f t="shared" si="118"/>
        <v>-12500000</v>
      </c>
      <c r="I157" s="94">
        <f t="shared" si="118"/>
        <v>-28500000</v>
      </c>
      <c r="J157" s="94">
        <f t="shared" si="118"/>
        <v>-60500000</v>
      </c>
    </row>
    <row r="158" spans="2:10" ht="13">
      <c r="B158" s="96"/>
      <c r="D158" s="94"/>
      <c r="E158" s="94"/>
      <c r="F158" s="94"/>
      <c r="G158" s="94"/>
      <c r="H158" s="94"/>
      <c r="I158" s="94"/>
      <c r="J158" s="94"/>
    </row>
    <row r="159" spans="2:10" ht="13">
      <c r="B159" s="96" t="s">
        <v>244</v>
      </c>
      <c r="D159" s="94"/>
      <c r="E159" s="94"/>
      <c r="F159" s="94"/>
      <c r="G159" s="94"/>
      <c r="H159" s="94"/>
      <c r="I159" s="94"/>
      <c r="J159" s="94"/>
    </row>
    <row r="160" spans="2:10" ht="13">
      <c r="B160" s="66" t="str">
        <f t="shared" ref="B160:B174" si="119">B23</f>
        <v>Series J</v>
      </c>
      <c r="D160" s="103">
        <f t="shared" ref="D160:J160" si="120">IFERROR(SUM(D122,D104) /  IF( OR($D23="options", $D23 = "warrants"), D86, $G23 ),0)</f>
        <v>0</v>
      </c>
      <c r="E160" s="103">
        <f t="shared" si="120"/>
        <v>0</v>
      </c>
      <c r="F160" s="103">
        <f t="shared" si="120"/>
        <v>0</v>
      </c>
      <c r="G160" s="103">
        <f t="shared" si="120"/>
        <v>0</v>
      </c>
      <c r="H160" s="103">
        <f t="shared" si="120"/>
        <v>0</v>
      </c>
      <c r="I160" s="103">
        <f t="shared" si="120"/>
        <v>0</v>
      </c>
      <c r="J160" s="103">
        <f t="shared" si="120"/>
        <v>0</v>
      </c>
    </row>
    <row r="161" spans="2:12" ht="13">
      <c r="B161" s="66" t="str">
        <f t="shared" si="119"/>
        <v>Series I</v>
      </c>
      <c r="D161" s="103">
        <f t="shared" ref="D161:J161" si="121">IFERROR(SUM(D123,D105) /  IF( OR($D24="options", $D24 = "warrants"), D87, $G24 ),0)</f>
        <v>0</v>
      </c>
      <c r="E161" s="103">
        <f t="shared" si="121"/>
        <v>0</v>
      </c>
      <c r="F161" s="103">
        <f t="shared" si="121"/>
        <v>0</v>
      </c>
      <c r="G161" s="103">
        <f t="shared" si="121"/>
        <v>0</v>
      </c>
      <c r="H161" s="103">
        <f t="shared" si="121"/>
        <v>0</v>
      </c>
      <c r="I161" s="103">
        <f t="shared" si="121"/>
        <v>0</v>
      </c>
      <c r="J161" s="103">
        <f t="shared" si="121"/>
        <v>0</v>
      </c>
    </row>
    <row r="162" spans="2:12" ht="13">
      <c r="B162" s="66" t="str">
        <f t="shared" si="119"/>
        <v>Series H</v>
      </c>
      <c r="D162" s="103">
        <f t="shared" ref="D162:J162" si="122">IFERROR(SUM(D124,D106) /  IF( OR($D25="options", $D25 = "warrants"), D88, $G25 ),0)</f>
        <v>0</v>
      </c>
      <c r="E162" s="103">
        <f t="shared" si="122"/>
        <v>0</v>
      </c>
      <c r="F162" s="103">
        <f t="shared" si="122"/>
        <v>0</v>
      </c>
      <c r="G162" s="103">
        <f t="shared" si="122"/>
        <v>0</v>
      </c>
      <c r="H162" s="103">
        <f t="shared" si="122"/>
        <v>0</v>
      </c>
      <c r="I162" s="103">
        <f t="shared" si="122"/>
        <v>0</v>
      </c>
      <c r="J162" s="103">
        <f t="shared" si="122"/>
        <v>0</v>
      </c>
    </row>
    <row r="163" spans="2:12" ht="13">
      <c r="B163" s="66" t="str">
        <f t="shared" si="119"/>
        <v>Series G</v>
      </c>
      <c r="D163" s="103">
        <f t="shared" ref="D163:J163" si="123">IFERROR(SUM(D125,D107) /  IF( OR($D26="options", $D26 = "warrants"), D89, $G26 ),0)</f>
        <v>0</v>
      </c>
      <c r="E163" s="103">
        <f t="shared" si="123"/>
        <v>0</v>
      </c>
      <c r="F163" s="103">
        <f t="shared" si="123"/>
        <v>0</v>
      </c>
      <c r="G163" s="103">
        <f t="shared" si="123"/>
        <v>0</v>
      </c>
      <c r="H163" s="103">
        <f t="shared" si="123"/>
        <v>0</v>
      </c>
      <c r="I163" s="103">
        <f t="shared" si="123"/>
        <v>0</v>
      </c>
      <c r="J163" s="103">
        <f t="shared" si="123"/>
        <v>0</v>
      </c>
    </row>
    <row r="164" spans="2:12" ht="13">
      <c r="B164" s="66" t="str">
        <f t="shared" si="119"/>
        <v>Series F</v>
      </c>
      <c r="D164" s="103">
        <f t="shared" ref="D164:J164" si="124">IFERROR(SUM(D126,D108) /  IF( OR($D27="options", $D27 = "warrants"), D90, $G27 ),0)</f>
        <v>0</v>
      </c>
      <c r="E164" s="103">
        <f t="shared" si="124"/>
        <v>0</v>
      </c>
      <c r="F164" s="103">
        <f t="shared" si="124"/>
        <v>0</v>
      </c>
      <c r="G164" s="103">
        <f t="shared" si="124"/>
        <v>0</v>
      </c>
      <c r="H164" s="103">
        <f t="shared" si="124"/>
        <v>0</v>
      </c>
      <c r="I164" s="103">
        <f t="shared" si="124"/>
        <v>0</v>
      </c>
      <c r="J164" s="103">
        <f t="shared" si="124"/>
        <v>0</v>
      </c>
    </row>
    <row r="165" spans="2:12" ht="13">
      <c r="B165" s="66" t="str">
        <f t="shared" si="119"/>
        <v>Series E</v>
      </c>
      <c r="D165" s="103">
        <f t="shared" ref="D165:J165" si="125">IFERROR(SUM(D127,D109) /  IF( OR($D28="options", $D28 = "warrants"), D91, $G28 ),0)</f>
        <v>0</v>
      </c>
      <c r="E165" s="103">
        <f t="shared" si="125"/>
        <v>0</v>
      </c>
      <c r="F165" s="103">
        <f t="shared" si="125"/>
        <v>0</v>
      </c>
      <c r="G165" s="103">
        <f t="shared" si="125"/>
        <v>0</v>
      </c>
      <c r="H165" s="103">
        <f t="shared" si="125"/>
        <v>0</v>
      </c>
      <c r="I165" s="103">
        <f t="shared" si="125"/>
        <v>0</v>
      </c>
      <c r="J165" s="103">
        <f t="shared" si="125"/>
        <v>0</v>
      </c>
    </row>
    <row r="166" spans="2:12" ht="13">
      <c r="B166" s="66" t="str">
        <f t="shared" si="119"/>
        <v>Series D</v>
      </c>
      <c r="D166" s="103">
        <f t="shared" ref="D166:J166" si="126">IFERROR(SUM(D128,D110) /  IF( OR($D29="options", $D29 = "warrants"), D92, $G29 ),0)</f>
        <v>0</v>
      </c>
      <c r="E166" s="103">
        <f t="shared" si="126"/>
        <v>0</v>
      </c>
      <c r="F166" s="103">
        <f t="shared" si="126"/>
        <v>0</v>
      </c>
      <c r="G166" s="103">
        <f t="shared" si="126"/>
        <v>0</v>
      </c>
      <c r="H166" s="103">
        <f t="shared" si="126"/>
        <v>0</v>
      </c>
      <c r="I166" s="103">
        <f t="shared" si="126"/>
        <v>0</v>
      </c>
      <c r="J166" s="103">
        <f t="shared" si="126"/>
        <v>0</v>
      </c>
    </row>
    <row r="167" spans="2:12" ht="13">
      <c r="B167" s="66" t="str">
        <f t="shared" si="119"/>
        <v>Series C</v>
      </c>
      <c r="D167" s="103">
        <f t="shared" ref="D167:J167" si="127">IFERROR(SUM(D129,D111) /  IF( OR($D30="options", $D30 = "warrants"), D93, $G30 ),0)</f>
        <v>0</v>
      </c>
      <c r="E167" s="103">
        <f t="shared" si="127"/>
        <v>0</v>
      </c>
      <c r="F167" s="103">
        <f t="shared" si="127"/>
        <v>0</v>
      </c>
      <c r="G167" s="103">
        <f t="shared" si="127"/>
        <v>0</v>
      </c>
      <c r="H167" s="103">
        <f t="shared" si="127"/>
        <v>0</v>
      </c>
      <c r="I167" s="103">
        <f t="shared" si="127"/>
        <v>0</v>
      </c>
      <c r="J167" s="103">
        <f t="shared" si="127"/>
        <v>0</v>
      </c>
    </row>
    <row r="168" spans="2:12" ht="13">
      <c r="B168" s="66" t="str">
        <f t="shared" si="119"/>
        <v>Series B</v>
      </c>
      <c r="D168" s="103">
        <f t="shared" ref="D168:J168" si="128">IFERROR(SUM(D130,D112) /  IF( OR($D31="options", $D31 = "warrants"), D94, $G31 ),0)</f>
        <v>1</v>
      </c>
      <c r="E168" s="103">
        <f t="shared" si="128"/>
        <v>1</v>
      </c>
      <c r="F168" s="103">
        <f t="shared" si="128"/>
        <v>1</v>
      </c>
      <c r="G168" s="103">
        <f t="shared" si="128"/>
        <v>1</v>
      </c>
      <c r="H168" s="103">
        <f t="shared" si="128"/>
        <v>1</v>
      </c>
      <c r="I168" s="103">
        <f t="shared" si="128"/>
        <v>1</v>
      </c>
      <c r="J168" s="103">
        <f t="shared" si="128"/>
        <v>1</v>
      </c>
    </row>
    <row r="169" spans="2:12" ht="13">
      <c r="B169" s="66" t="str">
        <f t="shared" si="119"/>
        <v>Series A</v>
      </c>
      <c r="D169" s="103">
        <f t="shared" ref="D169:J169" si="129">IFERROR(SUM(D131,D113) /  IF( OR($D32="options", $D32 = "warrants"), D95, $G32 ),0)</f>
        <v>0</v>
      </c>
      <c r="E169" s="103">
        <f t="shared" si="129"/>
        <v>0.5</v>
      </c>
      <c r="F169" s="103">
        <f t="shared" si="129"/>
        <v>0.5</v>
      </c>
      <c r="G169" s="103">
        <f t="shared" si="129"/>
        <v>0.5</v>
      </c>
      <c r="H169" s="103">
        <f t="shared" si="129"/>
        <v>0.5</v>
      </c>
      <c r="I169" s="103">
        <f t="shared" si="129"/>
        <v>0.5</v>
      </c>
      <c r="J169" s="103">
        <f t="shared" si="129"/>
        <v>0.5</v>
      </c>
    </row>
    <row r="170" spans="2:12" ht="13">
      <c r="B170" s="66" t="str">
        <f t="shared" si="119"/>
        <v>Seed</v>
      </c>
      <c r="D170" s="103">
        <f t="shared" ref="D170:J170" si="130">IFERROR(SUM(D132,D114) /  IF( OR($D33="options", $D33 = "warrants"), D96, $G33 ),0)</f>
        <v>0</v>
      </c>
      <c r="E170" s="103">
        <f t="shared" si="130"/>
        <v>0</v>
      </c>
      <c r="F170" s="103">
        <f t="shared" si="130"/>
        <v>0.1</v>
      </c>
      <c r="G170" s="103">
        <f t="shared" si="130"/>
        <v>0.1</v>
      </c>
      <c r="H170" s="103">
        <f t="shared" si="130"/>
        <v>0.1</v>
      </c>
      <c r="I170" s="103">
        <f t="shared" si="130"/>
        <v>0.1</v>
      </c>
      <c r="J170" s="103">
        <f t="shared" si="130"/>
        <v>0.1</v>
      </c>
    </row>
    <row r="171" spans="2:12" ht="13">
      <c r="B171" s="66" t="str">
        <f t="shared" si="119"/>
        <v>Common</v>
      </c>
      <c r="D171" s="103">
        <f t="shared" ref="D171:J171" si="131">IFERROR(SUM(D133,D115) /  IF( OR($D34="options", $D34 = "warrants"), D97, $G34 ),0)</f>
        <v>0</v>
      </c>
      <c r="E171" s="103">
        <f t="shared" si="131"/>
        <v>0</v>
      </c>
      <c r="F171" s="103">
        <f t="shared" si="131"/>
        <v>0</v>
      </c>
      <c r="G171" s="103">
        <f t="shared" si="131"/>
        <v>0</v>
      </c>
      <c r="H171" s="103">
        <f t="shared" si="131"/>
        <v>0</v>
      </c>
      <c r="I171" s="103">
        <f t="shared" si="131"/>
        <v>0</v>
      </c>
      <c r="J171" s="103">
        <f t="shared" si="131"/>
        <v>0</v>
      </c>
    </row>
    <row r="172" spans="2:12" ht="13">
      <c r="B172" s="66" t="str">
        <f t="shared" si="119"/>
        <v>Options</v>
      </c>
      <c r="D172" s="103">
        <f t="shared" ref="D172:J172" si="132">IFERROR(SUM(D134,D116) /  IF( OR($D35="options", $D35 = "warrants"), D98, $G35 ),0)</f>
        <v>0</v>
      </c>
      <c r="E172" s="103">
        <f t="shared" si="132"/>
        <v>0</v>
      </c>
      <c r="F172" s="103">
        <f t="shared" si="132"/>
        <v>0</v>
      </c>
      <c r="G172" s="103">
        <f t="shared" si="132"/>
        <v>0</v>
      </c>
      <c r="H172" s="103">
        <f t="shared" si="132"/>
        <v>0</v>
      </c>
      <c r="I172" s="103">
        <f t="shared" si="132"/>
        <v>0</v>
      </c>
      <c r="J172" s="103">
        <f t="shared" si="132"/>
        <v>0</v>
      </c>
    </row>
    <row r="173" spans="2:12" ht="13">
      <c r="B173" s="66" t="str">
        <f t="shared" si="119"/>
        <v>Options</v>
      </c>
      <c r="D173" s="103">
        <f t="shared" ref="D173:J173" si="133">IFERROR(SUM(D135,D117) /  IF( OR($D36="options", $D36 = "warrants"), D99, $G36 ),0)</f>
        <v>0</v>
      </c>
      <c r="E173" s="103">
        <f t="shared" si="133"/>
        <v>0</v>
      </c>
      <c r="F173" s="103">
        <f t="shared" si="133"/>
        <v>0</v>
      </c>
      <c r="G173" s="103">
        <f t="shared" si="133"/>
        <v>0</v>
      </c>
      <c r="H173" s="103">
        <f t="shared" si="133"/>
        <v>0</v>
      </c>
      <c r="I173" s="103">
        <f t="shared" si="133"/>
        <v>0</v>
      </c>
      <c r="J173" s="103">
        <f t="shared" si="133"/>
        <v>0</v>
      </c>
    </row>
    <row r="174" spans="2:12" ht="13">
      <c r="B174" s="66" t="str">
        <f t="shared" si="119"/>
        <v>Warrants</v>
      </c>
      <c r="D174" s="103">
        <f t="shared" ref="D174:J174" si="134">IFERROR(SUM(D136,D118) /  IF( OR($D37="options", $D37 = "warrants"), D100, $G37 ),0)</f>
        <v>0</v>
      </c>
      <c r="E174" s="103">
        <f t="shared" si="134"/>
        <v>0</v>
      </c>
      <c r="F174" s="103">
        <f t="shared" si="134"/>
        <v>0</v>
      </c>
      <c r="G174" s="103">
        <f t="shared" si="134"/>
        <v>0</v>
      </c>
      <c r="H174" s="103">
        <f t="shared" si="134"/>
        <v>0</v>
      </c>
      <c r="I174" s="103">
        <f t="shared" si="134"/>
        <v>0</v>
      </c>
      <c r="J174" s="103">
        <f t="shared" si="134"/>
        <v>0</v>
      </c>
    </row>
    <row r="175" spans="2:12" ht="13">
      <c r="B175" s="66"/>
      <c r="D175" s="94"/>
      <c r="E175" s="94"/>
      <c r="F175" s="94"/>
      <c r="G175" s="94"/>
      <c r="H175" s="94"/>
      <c r="I175" s="94"/>
      <c r="J175" s="94"/>
    </row>
    <row r="176" spans="2:12" ht="13">
      <c r="B176" s="96" t="s">
        <v>245</v>
      </c>
      <c r="D176" s="105">
        <v>1</v>
      </c>
      <c r="E176" s="105">
        <v>1</v>
      </c>
      <c r="F176" s="105">
        <v>1</v>
      </c>
      <c r="G176" s="105">
        <v>1</v>
      </c>
      <c r="H176" s="105">
        <v>1</v>
      </c>
      <c r="I176" s="105">
        <v>1</v>
      </c>
      <c r="J176" s="105">
        <v>1</v>
      </c>
      <c r="L176" s="10" t="s">
        <v>246</v>
      </c>
    </row>
    <row r="177" spans="2:10" ht="13">
      <c r="B177" s="66" t="str">
        <f t="shared" ref="B177:B191" si="135">B50</f>
        <v>Series J</v>
      </c>
      <c r="D177" s="100">
        <f t="shared" ref="D177:J177" si="136">D$176*D141</f>
        <v>0</v>
      </c>
      <c r="E177" s="100">
        <f t="shared" si="136"/>
        <v>0</v>
      </c>
      <c r="F177" s="100">
        <f t="shared" si="136"/>
        <v>0</v>
      </c>
      <c r="G177" s="100">
        <f t="shared" si="136"/>
        <v>0</v>
      </c>
      <c r="H177" s="100">
        <f t="shared" si="136"/>
        <v>0</v>
      </c>
      <c r="I177" s="100">
        <f t="shared" si="136"/>
        <v>0</v>
      </c>
      <c r="J177" s="100">
        <f t="shared" si="136"/>
        <v>0</v>
      </c>
    </row>
    <row r="178" spans="2:10" ht="13">
      <c r="B178" s="66" t="str">
        <f t="shared" si="135"/>
        <v>Series I</v>
      </c>
      <c r="D178" s="100">
        <f t="shared" ref="D178:J178" si="137">D$176*D142</f>
        <v>0</v>
      </c>
      <c r="E178" s="100">
        <f t="shared" si="137"/>
        <v>0</v>
      </c>
      <c r="F178" s="100">
        <f t="shared" si="137"/>
        <v>0</v>
      </c>
      <c r="G178" s="100">
        <f t="shared" si="137"/>
        <v>0</v>
      </c>
      <c r="H178" s="100">
        <f t="shared" si="137"/>
        <v>0</v>
      </c>
      <c r="I178" s="100">
        <f t="shared" si="137"/>
        <v>0</v>
      </c>
      <c r="J178" s="100">
        <f t="shared" si="137"/>
        <v>0</v>
      </c>
    </row>
    <row r="179" spans="2:10" ht="13">
      <c r="B179" s="66" t="str">
        <f t="shared" si="135"/>
        <v>Series H</v>
      </c>
      <c r="D179" s="100">
        <f t="shared" ref="D179:J179" si="138">D$176*D143</f>
        <v>0</v>
      </c>
      <c r="E179" s="100">
        <f t="shared" si="138"/>
        <v>0</v>
      </c>
      <c r="F179" s="100">
        <f t="shared" si="138"/>
        <v>0</v>
      </c>
      <c r="G179" s="100">
        <f t="shared" si="138"/>
        <v>0</v>
      </c>
      <c r="H179" s="100">
        <f t="shared" si="138"/>
        <v>0</v>
      </c>
      <c r="I179" s="100">
        <f t="shared" si="138"/>
        <v>0</v>
      </c>
      <c r="J179" s="100">
        <f t="shared" si="138"/>
        <v>0</v>
      </c>
    </row>
    <row r="180" spans="2:10" ht="13">
      <c r="B180" s="66" t="str">
        <f t="shared" si="135"/>
        <v>Series G</v>
      </c>
      <c r="D180" s="100">
        <f t="shared" ref="D180:J180" si="139">D$176*D144</f>
        <v>0</v>
      </c>
      <c r="E180" s="100">
        <f t="shared" si="139"/>
        <v>0</v>
      </c>
      <c r="F180" s="100">
        <f t="shared" si="139"/>
        <v>0</v>
      </c>
      <c r="G180" s="100">
        <f t="shared" si="139"/>
        <v>0</v>
      </c>
      <c r="H180" s="100">
        <f t="shared" si="139"/>
        <v>0</v>
      </c>
      <c r="I180" s="100">
        <f t="shared" si="139"/>
        <v>0</v>
      </c>
      <c r="J180" s="100">
        <f t="shared" si="139"/>
        <v>0</v>
      </c>
    </row>
    <row r="181" spans="2:10" ht="13">
      <c r="B181" s="66" t="str">
        <f t="shared" si="135"/>
        <v>Series F</v>
      </c>
      <c r="D181" s="100">
        <f t="shared" ref="D181:J181" si="140">D$176*D145</f>
        <v>0</v>
      </c>
      <c r="E181" s="100">
        <f t="shared" si="140"/>
        <v>0</v>
      </c>
      <c r="F181" s="100">
        <f t="shared" si="140"/>
        <v>0</v>
      </c>
      <c r="G181" s="100">
        <f t="shared" si="140"/>
        <v>0</v>
      </c>
      <c r="H181" s="100">
        <f t="shared" si="140"/>
        <v>0</v>
      </c>
      <c r="I181" s="100">
        <f t="shared" si="140"/>
        <v>0</v>
      </c>
      <c r="J181" s="100">
        <f t="shared" si="140"/>
        <v>0</v>
      </c>
    </row>
    <row r="182" spans="2:10" ht="13">
      <c r="B182" s="66" t="str">
        <f t="shared" si="135"/>
        <v>Series E</v>
      </c>
      <c r="D182" s="100">
        <f t="shared" ref="D182:J182" si="141">D$176*D146</f>
        <v>0</v>
      </c>
      <c r="E182" s="100">
        <f t="shared" si="141"/>
        <v>0</v>
      </c>
      <c r="F182" s="100">
        <f t="shared" si="141"/>
        <v>0</v>
      </c>
      <c r="G182" s="100">
        <f t="shared" si="141"/>
        <v>0</v>
      </c>
      <c r="H182" s="100">
        <f t="shared" si="141"/>
        <v>0</v>
      </c>
      <c r="I182" s="100">
        <f t="shared" si="141"/>
        <v>0</v>
      </c>
      <c r="J182" s="100">
        <f t="shared" si="141"/>
        <v>0</v>
      </c>
    </row>
    <row r="183" spans="2:10" ht="13">
      <c r="B183" s="66" t="str">
        <f t="shared" si="135"/>
        <v>Series D</v>
      </c>
      <c r="D183" s="100">
        <f t="shared" ref="D183:J183" si="142">D$176*D147</f>
        <v>0</v>
      </c>
      <c r="E183" s="100">
        <f t="shared" si="142"/>
        <v>0</v>
      </c>
      <c r="F183" s="100">
        <f t="shared" si="142"/>
        <v>0</v>
      </c>
      <c r="G183" s="100">
        <f t="shared" si="142"/>
        <v>0</v>
      </c>
      <c r="H183" s="100">
        <f t="shared" si="142"/>
        <v>0</v>
      </c>
      <c r="I183" s="100">
        <f t="shared" si="142"/>
        <v>0</v>
      </c>
      <c r="J183" s="100">
        <f t="shared" si="142"/>
        <v>0</v>
      </c>
    </row>
    <row r="184" spans="2:10" ht="13">
      <c r="B184" s="66" t="str">
        <f t="shared" si="135"/>
        <v>Series C</v>
      </c>
      <c r="D184" s="100">
        <f t="shared" ref="D184:J184" si="143">D$176*D148</f>
        <v>0</v>
      </c>
      <c r="E184" s="100">
        <f t="shared" si="143"/>
        <v>0</v>
      </c>
      <c r="F184" s="100">
        <f t="shared" si="143"/>
        <v>0</v>
      </c>
      <c r="G184" s="100">
        <f t="shared" si="143"/>
        <v>0</v>
      </c>
      <c r="H184" s="100">
        <f t="shared" si="143"/>
        <v>0</v>
      </c>
      <c r="I184" s="100">
        <f t="shared" si="143"/>
        <v>0</v>
      </c>
      <c r="J184" s="100">
        <f t="shared" si="143"/>
        <v>0</v>
      </c>
    </row>
    <row r="185" spans="2:10" ht="13">
      <c r="B185" s="66" t="str">
        <f t="shared" si="135"/>
        <v>Series B</v>
      </c>
      <c r="D185" s="100">
        <f t="shared" ref="D185:J185" si="144">D$176*D149</f>
        <v>2000000</v>
      </c>
      <c r="E185" s="100">
        <f t="shared" si="144"/>
        <v>2000000</v>
      </c>
      <c r="F185" s="100">
        <f t="shared" si="144"/>
        <v>2000000</v>
      </c>
      <c r="G185" s="100">
        <f t="shared" si="144"/>
        <v>2000000</v>
      </c>
      <c r="H185" s="100">
        <f t="shared" si="144"/>
        <v>2000000</v>
      </c>
      <c r="I185" s="100">
        <f t="shared" si="144"/>
        <v>2000000</v>
      </c>
      <c r="J185" s="100">
        <f t="shared" si="144"/>
        <v>2000000</v>
      </c>
    </row>
    <row r="186" spans="2:10" ht="13">
      <c r="B186" s="66" t="str">
        <f t="shared" si="135"/>
        <v>Series A</v>
      </c>
      <c r="D186" s="100">
        <f t="shared" ref="D186:J186" si="145">D$176*D150</f>
        <v>0</v>
      </c>
      <c r="E186" s="100">
        <f t="shared" si="145"/>
        <v>1000000</v>
      </c>
      <c r="F186" s="100">
        <f t="shared" si="145"/>
        <v>1000000</v>
      </c>
      <c r="G186" s="100">
        <f t="shared" si="145"/>
        <v>1000000</v>
      </c>
      <c r="H186" s="100">
        <f t="shared" si="145"/>
        <v>1000000</v>
      </c>
      <c r="I186" s="100">
        <f t="shared" si="145"/>
        <v>1000000</v>
      </c>
      <c r="J186" s="100">
        <f t="shared" si="145"/>
        <v>1000000</v>
      </c>
    </row>
    <row r="187" spans="2:10" ht="13">
      <c r="B187" s="66" t="str">
        <f t="shared" si="135"/>
        <v>Seed</v>
      </c>
      <c r="D187" s="100">
        <f t="shared" ref="D187:J187" si="146">D$176*D151</f>
        <v>0</v>
      </c>
      <c r="E187" s="100">
        <f t="shared" si="146"/>
        <v>0</v>
      </c>
      <c r="F187" s="100">
        <f t="shared" si="146"/>
        <v>500000</v>
      </c>
      <c r="G187" s="100">
        <f t="shared" si="146"/>
        <v>500000</v>
      </c>
      <c r="H187" s="100">
        <f t="shared" si="146"/>
        <v>500000</v>
      </c>
      <c r="I187" s="100">
        <f t="shared" si="146"/>
        <v>500000</v>
      </c>
      <c r="J187" s="100">
        <f t="shared" si="146"/>
        <v>500000</v>
      </c>
    </row>
    <row r="188" spans="2:10" ht="13">
      <c r="B188" s="66" t="str">
        <f t="shared" si="135"/>
        <v>Common</v>
      </c>
      <c r="D188" s="100">
        <f t="shared" ref="D188:J188" si="147">D$176*D152</f>
        <v>0</v>
      </c>
      <c r="E188" s="100">
        <f t="shared" si="147"/>
        <v>0</v>
      </c>
      <c r="F188" s="100">
        <f t="shared" si="147"/>
        <v>0</v>
      </c>
      <c r="G188" s="100">
        <f t="shared" si="147"/>
        <v>0</v>
      </c>
      <c r="H188" s="100">
        <f t="shared" si="147"/>
        <v>0</v>
      </c>
      <c r="I188" s="100">
        <f t="shared" si="147"/>
        <v>0</v>
      </c>
      <c r="J188" s="100">
        <f t="shared" si="147"/>
        <v>0</v>
      </c>
    </row>
    <row r="189" spans="2:10" ht="13">
      <c r="B189" s="66" t="str">
        <f t="shared" si="135"/>
        <v>Options</v>
      </c>
      <c r="D189" s="100">
        <f t="shared" ref="D189:J189" si="148">D$176*D153</f>
        <v>0</v>
      </c>
      <c r="E189" s="100">
        <f t="shared" si="148"/>
        <v>0</v>
      </c>
      <c r="F189" s="100">
        <f t="shared" si="148"/>
        <v>0</v>
      </c>
      <c r="G189" s="100">
        <f t="shared" si="148"/>
        <v>0</v>
      </c>
      <c r="H189" s="100">
        <f t="shared" si="148"/>
        <v>0</v>
      </c>
      <c r="I189" s="100">
        <f t="shared" si="148"/>
        <v>0</v>
      </c>
      <c r="J189" s="100">
        <f t="shared" si="148"/>
        <v>0</v>
      </c>
    </row>
    <row r="190" spans="2:10" ht="13">
      <c r="B190" s="66" t="str">
        <f t="shared" si="135"/>
        <v>Options</v>
      </c>
      <c r="D190" s="100">
        <f t="shared" ref="D190:J190" si="149">D$176*D154</f>
        <v>0</v>
      </c>
      <c r="E190" s="100">
        <f t="shared" si="149"/>
        <v>0</v>
      </c>
      <c r="F190" s="100">
        <f t="shared" si="149"/>
        <v>0</v>
      </c>
      <c r="G190" s="100">
        <f t="shared" si="149"/>
        <v>0</v>
      </c>
      <c r="H190" s="100">
        <f t="shared" si="149"/>
        <v>0</v>
      </c>
      <c r="I190" s="100">
        <f t="shared" si="149"/>
        <v>0</v>
      </c>
      <c r="J190" s="100">
        <f t="shared" si="149"/>
        <v>0</v>
      </c>
    </row>
    <row r="191" spans="2:10" ht="13">
      <c r="B191" s="66" t="str">
        <f t="shared" si="135"/>
        <v>Warrants</v>
      </c>
      <c r="D191" s="100">
        <f t="shared" ref="D191:J191" si="150">D$176*D155</f>
        <v>0</v>
      </c>
      <c r="E191" s="100">
        <f t="shared" si="150"/>
        <v>0</v>
      </c>
      <c r="F191" s="100">
        <f t="shared" si="150"/>
        <v>0</v>
      </c>
      <c r="G191" s="100">
        <f t="shared" si="150"/>
        <v>0</v>
      </c>
      <c r="H191" s="100">
        <f t="shared" si="150"/>
        <v>0</v>
      </c>
      <c r="I191" s="100">
        <f t="shared" si="150"/>
        <v>0</v>
      </c>
      <c r="J191" s="100">
        <f t="shared" si="150"/>
        <v>0</v>
      </c>
    </row>
    <row r="192" spans="2:10" ht="13">
      <c r="B192" s="66"/>
      <c r="D192" s="94"/>
      <c r="E192" s="94"/>
      <c r="F192" s="94"/>
      <c r="G192" s="94"/>
      <c r="H192" s="94"/>
      <c r="I192" s="94"/>
      <c r="J192" s="94"/>
    </row>
    <row r="193" spans="2:12" ht="13">
      <c r="B193" s="66" t="s">
        <v>247</v>
      </c>
      <c r="D193" s="93">
        <v>0</v>
      </c>
      <c r="E193" s="93">
        <v>0</v>
      </c>
      <c r="F193" s="93">
        <v>0</v>
      </c>
      <c r="G193" s="93">
        <v>0</v>
      </c>
      <c r="H193" s="93">
        <v>0</v>
      </c>
      <c r="I193" s="93">
        <v>0</v>
      </c>
      <c r="J193" s="93">
        <v>0</v>
      </c>
      <c r="L193" s="10" t="s">
        <v>248</v>
      </c>
    </row>
    <row r="194" spans="2:12" ht="13">
      <c r="B194" s="66" t="str">
        <f t="shared" ref="B194:B208" si="151">B50</f>
        <v>Series J</v>
      </c>
      <c r="D194" s="94">
        <f t="shared" ref="D194:J194" si="152">IFERROR( (D141-D177) / D$193,0)</f>
        <v>0</v>
      </c>
      <c r="E194" s="94">
        <f t="shared" si="152"/>
        <v>0</v>
      </c>
      <c r="F194" s="94">
        <f t="shared" si="152"/>
        <v>0</v>
      </c>
      <c r="G194" s="94">
        <f t="shared" si="152"/>
        <v>0</v>
      </c>
      <c r="H194" s="94">
        <f t="shared" si="152"/>
        <v>0</v>
      </c>
      <c r="I194" s="94">
        <f t="shared" si="152"/>
        <v>0</v>
      </c>
      <c r="J194" s="94">
        <f t="shared" si="152"/>
        <v>0</v>
      </c>
    </row>
    <row r="195" spans="2:12" ht="13">
      <c r="B195" s="66" t="str">
        <f t="shared" si="151"/>
        <v>Series I</v>
      </c>
      <c r="D195" s="94">
        <f t="shared" ref="D195:J195" si="153">IFERROR( (D142-D178) / D$193,0)</f>
        <v>0</v>
      </c>
      <c r="E195" s="94">
        <f t="shared" si="153"/>
        <v>0</v>
      </c>
      <c r="F195" s="94">
        <f t="shared" si="153"/>
        <v>0</v>
      </c>
      <c r="G195" s="94">
        <f t="shared" si="153"/>
        <v>0</v>
      </c>
      <c r="H195" s="94">
        <f t="shared" si="153"/>
        <v>0</v>
      </c>
      <c r="I195" s="94">
        <f t="shared" si="153"/>
        <v>0</v>
      </c>
      <c r="J195" s="94">
        <f t="shared" si="153"/>
        <v>0</v>
      </c>
    </row>
    <row r="196" spans="2:12" ht="13">
      <c r="B196" s="66" t="str">
        <f t="shared" si="151"/>
        <v>Series H</v>
      </c>
      <c r="D196" s="94">
        <f t="shared" ref="D196:J196" si="154">IFERROR( (D143-D179) / D$193,0)</f>
        <v>0</v>
      </c>
      <c r="E196" s="94">
        <f t="shared" si="154"/>
        <v>0</v>
      </c>
      <c r="F196" s="94">
        <f t="shared" si="154"/>
        <v>0</v>
      </c>
      <c r="G196" s="94">
        <f t="shared" si="154"/>
        <v>0</v>
      </c>
      <c r="H196" s="94">
        <f t="shared" si="154"/>
        <v>0</v>
      </c>
      <c r="I196" s="94">
        <f t="shared" si="154"/>
        <v>0</v>
      </c>
      <c r="J196" s="94">
        <f t="shared" si="154"/>
        <v>0</v>
      </c>
    </row>
    <row r="197" spans="2:12" ht="13">
      <c r="B197" s="66" t="str">
        <f t="shared" si="151"/>
        <v>Series G</v>
      </c>
      <c r="D197" s="94">
        <f t="shared" ref="D197:J197" si="155">IFERROR( (D144-D180) / D$193,0)</f>
        <v>0</v>
      </c>
      <c r="E197" s="94">
        <f t="shared" si="155"/>
        <v>0</v>
      </c>
      <c r="F197" s="94">
        <f t="shared" si="155"/>
        <v>0</v>
      </c>
      <c r="G197" s="94">
        <f t="shared" si="155"/>
        <v>0</v>
      </c>
      <c r="H197" s="94">
        <f t="shared" si="155"/>
        <v>0</v>
      </c>
      <c r="I197" s="94">
        <f t="shared" si="155"/>
        <v>0</v>
      </c>
      <c r="J197" s="94">
        <f t="shared" si="155"/>
        <v>0</v>
      </c>
    </row>
    <row r="198" spans="2:12" ht="13">
      <c r="B198" s="66" t="str">
        <f t="shared" si="151"/>
        <v>Series F</v>
      </c>
      <c r="D198" s="94">
        <f t="shared" ref="D198:J198" si="156">IFERROR( (D145-D181) / D$193,0)</f>
        <v>0</v>
      </c>
      <c r="E198" s="94">
        <f t="shared" si="156"/>
        <v>0</v>
      </c>
      <c r="F198" s="94">
        <f t="shared" si="156"/>
        <v>0</v>
      </c>
      <c r="G198" s="94">
        <f t="shared" si="156"/>
        <v>0</v>
      </c>
      <c r="H198" s="94">
        <f t="shared" si="156"/>
        <v>0</v>
      </c>
      <c r="I198" s="94">
        <f t="shared" si="156"/>
        <v>0</v>
      </c>
      <c r="J198" s="94">
        <f t="shared" si="156"/>
        <v>0</v>
      </c>
    </row>
    <row r="199" spans="2:12" ht="13">
      <c r="B199" s="66" t="str">
        <f t="shared" si="151"/>
        <v>Series E</v>
      </c>
      <c r="D199" s="94">
        <f t="shared" ref="D199:J199" si="157">IFERROR( (D146-D182) / D$193,0)</f>
        <v>0</v>
      </c>
      <c r="E199" s="94">
        <f t="shared" si="157"/>
        <v>0</v>
      </c>
      <c r="F199" s="94">
        <f t="shared" si="157"/>
        <v>0</v>
      </c>
      <c r="G199" s="94">
        <f t="shared" si="157"/>
        <v>0</v>
      </c>
      <c r="H199" s="94">
        <f t="shared" si="157"/>
        <v>0</v>
      </c>
      <c r="I199" s="94">
        <f t="shared" si="157"/>
        <v>0</v>
      </c>
      <c r="J199" s="94">
        <f t="shared" si="157"/>
        <v>0</v>
      </c>
    </row>
    <row r="200" spans="2:12" ht="13">
      <c r="B200" s="66" t="str">
        <f t="shared" si="151"/>
        <v>Series D</v>
      </c>
      <c r="D200" s="94">
        <f t="shared" ref="D200:J200" si="158">IFERROR( (D147-D183) / D$193,0)</f>
        <v>0</v>
      </c>
      <c r="E200" s="94">
        <f t="shared" si="158"/>
        <v>0</v>
      </c>
      <c r="F200" s="94">
        <f t="shared" si="158"/>
        <v>0</v>
      </c>
      <c r="G200" s="94">
        <f t="shared" si="158"/>
        <v>0</v>
      </c>
      <c r="H200" s="94">
        <f t="shared" si="158"/>
        <v>0</v>
      </c>
      <c r="I200" s="94">
        <f t="shared" si="158"/>
        <v>0</v>
      </c>
      <c r="J200" s="94">
        <f t="shared" si="158"/>
        <v>0</v>
      </c>
    </row>
    <row r="201" spans="2:12" ht="13">
      <c r="B201" s="66" t="str">
        <f t="shared" si="151"/>
        <v>Series C</v>
      </c>
      <c r="D201" s="94">
        <f t="shared" ref="D201:J201" si="159">IFERROR( (D148-D184) / D$193,0)</f>
        <v>0</v>
      </c>
      <c r="E201" s="94">
        <f t="shared" si="159"/>
        <v>0</v>
      </c>
      <c r="F201" s="94">
        <f t="shared" si="159"/>
        <v>0</v>
      </c>
      <c r="G201" s="94">
        <f t="shared" si="159"/>
        <v>0</v>
      </c>
      <c r="H201" s="94">
        <f t="shared" si="159"/>
        <v>0</v>
      </c>
      <c r="I201" s="94">
        <f t="shared" si="159"/>
        <v>0</v>
      </c>
      <c r="J201" s="94">
        <f t="shared" si="159"/>
        <v>0</v>
      </c>
    </row>
    <row r="202" spans="2:12" ht="13">
      <c r="B202" s="66" t="str">
        <f t="shared" si="151"/>
        <v>Series B</v>
      </c>
      <c r="D202" s="94">
        <f t="shared" ref="D202:J202" si="160">IFERROR( (D149-D185) / D$193,0)</f>
        <v>0</v>
      </c>
      <c r="E202" s="94">
        <f t="shared" si="160"/>
        <v>0</v>
      </c>
      <c r="F202" s="94">
        <f t="shared" si="160"/>
        <v>0</v>
      </c>
      <c r="G202" s="94">
        <f t="shared" si="160"/>
        <v>0</v>
      </c>
      <c r="H202" s="94">
        <f t="shared" si="160"/>
        <v>0</v>
      </c>
      <c r="I202" s="94">
        <f t="shared" si="160"/>
        <v>0</v>
      </c>
      <c r="J202" s="94">
        <f t="shared" si="160"/>
        <v>0</v>
      </c>
    </row>
    <row r="203" spans="2:12" ht="13">
      <c r="B203" s="66" t="str">
        <f t="shared" si="151"/>
        <v>Series A</v>
      </c>
      <c r="D203" s="94">
        <f t="shared" ref="D203:J203" si="161">IFERROR( (D150-D186) / D$193,0)</f>
        <v>0</v>
      </c>
      <c r="E203" s="94">
        <f t="shared" si="161"/>
        <v>0</v>
      </c>
      <c r="F203" s="94">
        <f t="shared" si="161"/>
        <v>0</v>
      </c>
      <c r="G203" s="94">
        <f t="shared" si="161"/>
        <v>0</v>
      </c>
      <c r="H203" s="94">
        <f t="shared" si="161"/>
        <v>0</v>
      </c>
      <c r="I203" s="94">
        <f t="shared" si="161"/>
        <v>0</v>
      </c>
      <c r="J203" s="94">
        <f t="shared" si="161"/>
        <v>0</v>
      </c>
    </row>
    <row r="204" spans="2:12" ht="13">
      <c r="B204" s="66" t="str">
        <f t="shared" si="151"/>
        <v>Seed</v>
      </c>
      <c r="D204" s="94">
        <f t="shared" ref="D204:J204" si="162">IFERROR( (D151-D187) / D$193,0)</f>
        <v>0</v>
      </c>
      <c r="E204" s="94">
        <f t="shared" si="162"/>
        <v>0</v>
      </c>
      <c r="F204" s="94">
        <f t="shared" si="162"/>
        <v>0</v>
      </c>
      <c r="G204" s="94">
        <f t="shared" si="162"/>
        <v>0</v>
      </c>
      <c r="H204" s="94">
        <f t="shared" si="162"/>
        <v>0</v>
      </c>
      <c r="I204" s="94">
        <f t="shared" si="162"/>
        <v>0</v>
      </c>
      <c r="J204" s="94">
        <f t="shared" si="162"/>
        <v>0</v>
      </c>
    </row>
    <row r="205" spans="2:12" ht="13">
      <c r="B205" s="66" t="str">
        <f t="shared" si="151"/>
        <v>Common</v>
      </c>
      <c r="D205" s="94">
        <f t="shared" ref="D205:J205" si="163">IFERROR( (D152-D188) / D$193,0)</f>
        <v>0</v>
      </c>
      <c r="E205" s="94">
        <f t="shared" si="163"/>
        <v>0</v>
      </c>
      <c r="F205" s="94">
        <f t="shared" si="163"/>
        <v>0</v>
      </c>
      <c r="G205" s="94">
        <f t="shared" si="163"/>
        <v>0</v>
      </c>
      <c r="H205" s="94">
        <f t="shared" si="163"/>
        <v>0</v>
      </c>
      <c r="I205" s="94">
        <f t="shared" si="163"/>
        <v>0</v>
      </c>
      <c r="J205" s="94">
        <f t="shared" si="163"/>
        <v>0</v>
      </c>
    </row>
    <row r="206" spans="2:12" ht="13">
      <c r="B206" s="66" t="str">
        <f t="shared" si="151"/>
        <v>Options</v>
      </c>
      <c r="D206" s="94">
        <f t="shared" ref="D206:J206" si="164">IFERROR( (D153-D189) / D$193,0)</f>
        <v>0</v>
      </c>
      <c r="E206" s="94">
        <f t="shared" si="164"/>
        <v>0</v>
      </c>
      <c r="F206" s="94">
        <f t="shared" si="164"/>
        <v>0</v>
      </c>
      <c r="G206" s="94">
        <f t="shared" si="164"/>
        <v>0</v>
      </c>
      <c r="H206" s="94">
        <f t="shared" si="164"/>
        <v>0</v>
      </c>
      <c r="I206" s="94">
        <f t="shared" si="164"/>
        <v>0</v>
      </c>
      <c r="J206" s="94">
        <f t="shared" si="164"/>
        <v>0</v>
      </c>
    </row>
    <row r="207" spans="2:12" ht="13">
      <c r="B207" s="66" t="str">
        <f t="shared" si="151"/>
        <v>Options</v>
      </c>
      <c r="D207" s="94">
        <f t="shared" ref="D207:J207" si="165">IFERROR( (D154-D190) / D$193,0)</f>
        <v>0</v>
      </c>
      <c r="E207" s="94">
        <f t="shared" si="165"/>
        <v>0</v>
      </c>
      <c r="F207" s="94">
        <f t="shared" si="165"/>
        <v>0</v>
      </c>
      <c r="G207" s="94">
        <f t="shared" si="165"/>
        <v>0</v>
      </c>
      <c r="H207" s="94">
        <f t="shared" si="165"/>
        <v>0</v>
      </c>
      <c r="I207" s="94">
        <f t="shared" si="165"/>
        <v>0</v>
      </c>
      <c r="J207" s="94">
        <f t="shared" si="165"/>
        <v>0</v>
      </c>
    </row>
    <row r="208" spans="2:12" ht="13">
      <c r="B208" s="66" t="str">
        <f t="shared" si="151"/>
        <v>Warrants</v>
      </c>
      <c r="D208" s="94">
        <f t="shared" ref="D208:J208" si="166">IFERROR( (D155-D191) / D$193,0)</f>
        <v>0</v>
      </c>
      <c r="E208" s="94">
        <f t="shared" si="166"/>
        <v>0</v>
      </c>
      <c r="F208" s="94">
        <f t="shared" si="166"/>
        <v>0</v>
      </c>
      <c r="G208" s="94">
        <f t="shared" si="166"/>
        <v>0</v>
      </c>
      <c r="H208" s="94">
        <f t="shared" si="166"/>
        <v>0</v>
      </c>
      <c r="I208" s="94">
        <f t="shared" si="166"/>
        <v>0</v>
      </c>
      <c r="J208" s="94">
        <f t="shared" si="166"/>
        <v>0</v>
      </c>
    </row>
    <row r="209" spans="2:10" ht="13">
      <c r="B209" s="66"/>
      <c r="D209" s="94"/>
      <c r="E209" s="94"/>
      <c r="F209" s="94"/>
      <c r="G209" s="94"/>
      <c r="H209" s="94"/>
      <c r="I209" s="94"/>
      <c r="J209" s="94"/>
    </row>
    <row r="210" spans="2:10" ht="13">
      <c r="B210" s="106" t="s">
        <v>249</v>
      </c>
      <c r="D210" s="94"/>
      <c r="E210" s="94"/>
      <c r="F210" s="94"/>
      <c r="G210" s="94"/>
      <c r="H210" s="94"/>
      <c r="I210" s="94"/>
      <c r="J210" s="94"/>
    </row>
    <row r="211" spans="2:10" ht="13">
      <c r="B211" s="66" t="s">
        <v>250</v>
      </c>
      <c r="D211" s="105">
        <f t="shared" ref="D211:I211" si="167">1/COUNT($D42:$J42)</f>
        <v>0.14285714285714285</v>
      </c>
      <c r="E211" s="105">
        <f t="shared" si="167"/>
        <v>0.14285714285714285</v>
      </c>
      <c r="F211" s="105">
        <f t="shared" si="167"/>
        <v>0.14285714285714285</v>
      </c>
      <c r="G211" s="105">
        <f t="shared" si="167"/>
        <v>0.14285714285714285</v>
      </c>
      <c r="H211" s="105">
        <f t="shared" si="167"/>
        <v>0.14285714285714285</v>
      </c>
      <c r="I211" s="105">
        <f t="shared" si="167"/>
        <v>0.14285714285714285</v>
      </c>
      <c r="J211" s="107">
        <f>1-SUM(D211:I211)</f>
        <v>0.14285714285714302</v>
      </c>
    </row>
    <row r="212" spans="2:10" ht="13">
      <c r="B212" s="66"/>
      <c r="D212" s="94"/>
      <c r="E212" s="94"/>
      <c r="F212" s="94"/>
      <c r="G212" s="94"/>
      <c r="H212" s="94"/>
      <c r="I212" s="94"/>
      <c r="J212" s="94"/>
    </row>
    <row r="213" spans="2:10" ht="14">
      <c r="B213" s="66" t="s">
        <v>251</v>
      </c>
      <c r="D213" s="108" t="s">
        <v>252</v>
      </c>
      <c r="E213" s="108" t="s">
        <v>253</v>
      </c>
      <c r="F213" s="108" t="s">
        <v>254</v>
      </c>
      <c r="G213" s="109" t="s">
        <v>255</v>
      </c>
      <c r="H213" s="108"/>
      <c r="I213" s="108"/>
      <c r="J213" s="108"/>
    </row>
    <row r="214" spans="2:10" ht="13">
      <c r="B214" s="66" t="str">
        <f t="shared" ref="B214:B228" si="168">B23</f>
        <v>Series J</v>
      </c>
      <c r="D214" s="94">
        <f t="shared" ref="D214:D228" si="169">SUMPRODUCT(D$211:J$211,D160:J160)*G23</f>
        <v>0</v>
      </c>
      <c r="E214" s="94">
        <f t="shared" ref="E214:E228" si="170">D214-F23-IF(D23="options",SUMPRODUCT(D$211:J$211,D86:J86)*J23,0)</f>
        <v>0</v>
      </c>
      <c r="F214" s="103">
        <f t="shared" ref="F214:F228" si="171">IFERROR(D214/F23,0)</f>
        <v>0</v>
      </c>
      <c r="G214" s="83">
        <f t="shared" ref="G214:G228" si="172">IF(OR(D23="options",D23="common",D23="warrants"),0, IFERROR(E214/D214,0))</f>
        <v>0</v>
      </c>
      <c r="H214" s="94"/>
      <c r="I214" s="94"/>
      <c r="J214" s="94"/>
    </row>
    <row r="215" spans="2:10" ht="13">
      <c r="B215" s="66" t="str">
        <f t="shared" si="168"/>
        <v>Series I</v>
      </c>
      <c r="D215" s="94">
        <f t="shared" si="169"/>
        <v>0</v>
      </c>
      <c r="E215" s="94">
        <f t="shared" si="170"/>
        <v>0</v>
      </c>
      <c r="F215" s="103">
        <f t="shared" si="171"/>
        <v>0</v>
      </c>
      <c r="G215" s="83">
        <f t="shared" si="172"/>
        <v>0</v>
      </c>
      <c r="H215" s="94"/>
      <c r="I215" s="94"/>
      <c r="J215" s="94"/>
    </row>
    <row r="216" spans="2:10" ht="13">
      <c r="B216" s="66" t="str">
        <f t="shared" si="168"/>
        <v>Series H</v>
      </c>
      <c r="D216" s="94">
        <f t="shared" si="169"/>
        <v>0</v>
      </c>
      <c r="E216" s="94">
        <f t="shared" si="170"/>
        <v>0</v>
      </c>
      <c r="F216" s="103">
        <f t="shared" si="171"/>
        <v>0</v>
      </c>
      <c r="G216" s="83">
        <f t="shared" si="172"/>
        <v>0</v>
      </c>
      <c r="H216" s="94"/>
      <c r="I216" s="94"/>
      <c r="J216" s="94"/>
    </row>
    <row r="217" spans="2:10" ht="13">
      <c r="B217" s="66" t="str">
        <f t="shared" si="168"/>
        <v>Series G</v>
      </c>
      <c r="D217" s="94">
        <f t="shared" si="169"/>
        <v>0</v>
      </c>
      <c r="E217" s="94">
        <f t="shared" si="170"/>
        <v>0</v>
      </c>
      <c r="F217" s="103">
        <f t="shared" si="171"/>
        <v>0</v>
      </c>
      <c r="G217" s="83">
        <f t="shared" si="172"/>
        <v>0</v>
      </c>
      <c r="H217" s="94"/>
      <c r="I217" s="94"/>
      <c r="J217" s="94"/>
    </row>
    <row r="218" spans="2:10" ht="13">
      <c r="B218" s="66" t="str">
        <f t="shared" si="168"/>
        <v>Series F</v>
      </c>
      <c r="D218" s="94">
        <f t="shared" si="169"/>
        <v>0</v>
      </c>
      <c r="E218" s="94">
        <f t="shared" si="170"/>
        <v>0</v>
      </c>
      <c r="F218" s="103">
        <f t="shared" si="171"/>
        <v>0</v>
      </c>
      <c r="G218" s="83">
        <f t="shared" si="172"/>
        <v>0</v>
      </c>
      <c r="H218" s="94"/>
      <c r="I218" s="94"/>
      <c r="J218" s="94"/>
    </row>
    <row r="219" spans="2:10" ht="13">
      <c r="B219" s="66" t="str">
        <f t="shared" si="168"/>
        <v>Series E</v>
      </c>
      <c r="D219" s="94">
        <f t="shared" si="169"/>
        <v>0</v>
      </c>
      <c r="E219" s="94">
        <f t="shared" si="170"/>
        <v>0</v>
      </c>
      <c r="F219" s="103">
        <f t="shared" si="171"/>
        <v>0</v>
      </c>
      <c r="G219" s="83">
        <f t="shared" si="172"/>
        <v>0</v>
      </c>
      <c r="H219" s="94"/>
      <c r="I219" s="94"/>
      <c r="J219" s="94"/>
    </row>
    <row r="220" spans="2:10" ht="13">
      <c r="B220" s="66" t="str">
        <f t="shared" si="168"/>
        <v>Series D</v>
      </c>
      <c r="D220" s="94">
        <f t="shared" si="169"/>
        <v>0</v>
      </c>
      <c r="E220" s="94">
        <f t="shared" si="170"/>
        <v>0</v>
      </c>
      <c r="F220" s="103">
        <f t="shared" si="171"/>
        <v>0</v>
      </c>
      <c r="G220" s="83">
        <f t="shared" si="172"/>
        <v>0</v>
      </c>
      <c r="H220" s="94"/>
      <c r="I220" s="94"/>
      <c r="J220" s="94"/>
    </row>
    <row r="221" spans="2:10" ht="13">
      <c r="B221" s="66" t="str">
        <f t="shared" si="168"/>
        <v>Series C</v>
      </c>
      <c r="D221" s="94">
        <f t="shared" si="169"/>
        <v>0</v>
      </c>
      <c r="E221" s="94">
        <f t="shared" si="170"/>
        <v>0</v>
      </c>
      <c r="F221" s="103">
        <f t="shared" si="171"/>
        <v>0</v>
      </c>
      <c r="G221" s="83">
        <f t="shared" si="172"/>
        <v>0</v>
      </c>
      <c r="H221" s="94"/>
      <c r="I221" s="94"/>
      <c r="J221" s="94"/>
    </row>
    <row r="222" spans="2:10" ht="13">
      <c r="B222" s="66" t="str">
        <f t="shared" si="168"/>
        <v>Series B</v>
      </c>
      <c r="D222" s="94">
        <f t="shared" si="169"/>
        <v>2000000</v>
      </c>
      <c r="E222" s="94">
        <f t="shared" si="170"/>
        <v>0</v>
      </c>
      <c r="F222" s="103">
        <f t="shared" si="171"/>
        <v>1</v>
      </c>
      <c r="G222" s="83">
        <f t="shared" si="172"/>
        <v>0</v>
      </c>
      <c r="H222" s="94"/>
      <c r="I222" s="94"/>
      <c r="J222" s="94"/>
    </row>
    <row r="223" spans="2:10" ht="13">
      <c r="B223" s="66" t="str">
        <f t="shared" si="168"/>
        <v>Series A</v>
      </c>
      <c r="D223" s="94">
        <f t="shared" si="169"/>
        <v>857142.85714285716</v>
      </c>
      <c r="E223" s="94">
        <f t="shared" si="170"/>
        <v>-142857.14285714284</v>
      </c>
      <c r="F223" s="103">
        <f t="shared" si="171"/>
        <v>0.85714285714285721</v>
      </c>
      <c r="G223" s="83">
        <f t="shared" si="172"/>
        <v>-0.16666666666666666</v>
      </c>
      <c r="H223" s="94"/>
      <c r="I223" s="94"/>
      <c r="J223" s="94"/>
    </row>
    <row r="224" spans="2:10" ht="13">
      <c r="B224" s="66" t="str">
        <f t="shared" si="168"/>
        <v>Seed</v>
      </c>
      <c r="D224" s="94">
        <f t="shared" si="169"/>
        <v>357142.85714285722</v>
      </c>
      <c r="E224" s="94">
        <f t="shared" si="170"/>
        <v>-142857.14285714278</v>
      </c>
      <c r="F224" s="103">
        <f t="shared" si="171"/>
        <v>0.71428571428571441</v>
      </c>
      <c r="G224" s="83">
        <f t="shared" si="172"/>
        <v>-0.39999999999999969</v>
      </c>
      <c r="H224" s="94"/>
      <c r="I224" s="94"/>
      <c r="J224" s="94"/>
    </row>
    <row r="225" spans="2:10" ht="13">
      <c r="B225" s="66" t="str">
        <f t="shared" si="168"/>
        <v>Common</v>
      </c>
      <c r="D225" s="94">
        <f t="shared" si="169"/>
        <v>0</v>
      </c>
      <c r="E225" s="94">
        <f t="shared" si="170"/>
        <v>0</v>
      </c>
      <c r="F225" s="103">
        <f t="shared" si="171"/>
        <v>0</v>
      </c>
      <c r="G225" s="83">
        <f t="shared" si="172"/>
        <v>0</v>
      </c>
      <c r="H225" s="94"/>
      <c r="I225" s="94"/>
      <c r="J225" s="94"/>
    </row>
    <row r="226" spans="2:10" ht="13">
      <c r="B226" s="66" t="str">
        <f t="shared" si="168"/>
        <v>Options</v>
      </c>
      <c r="D226" s="94">
        <f t="shared" si="169"/>
        <v>0</v>
      </c>
      <c r="E226" s="94">
        <f t="shared" si="170"/>
        <v>0</v>
      </c>
      <c r="F226" s="103">
        <f t="shared" si="171"/>
        <v>0</v>
      </c>
      <c r="G226" s="83">
        <f t="shared" si="172"/>
        <v>0</v>
      </c>
      <c r="H226" s="94"/>
      <c r="I226" s="94"/>
      <c r="J226" s="94"/>
    </row>
    <row r="227" spans="2:10" ht="13">
      <c r="B227" s="66" t="str">
        <f t="shared" si="168"/>
        <v>Options</v>
      </c>
      <c r="D227" s="94">
        <f t="shared" si="169"/>
        <v>0</v>
      </c>
      <c r="E227" s="94">
        <f t="shared" si="170"/>
        <v>0</v>
      </c>
      <c r="F227" s="103">
        <f t="shared" si="171"/>
        <v>0</v>
      </c>
      <c r="G227" s="83">
        <f t="shared" si="172"/>
        <v>0</v>
      </c>
      <c r="H227" s="94"/>
      <c r="I227" s="94"/>
      <c r="J227" s="94"/>
    </row>
    <row r="228" spans="2:10" ht="13">
      <c r="B228" s="66" t="str">
        <f t="shared" si="168"/>
        <v>Warrants</v>
      </c>
      <c r="D228" s="94">
        <f t="shared" si="169"/>
        <v>0</v>
      </c>
      <c r="E228" s="94">
        <f t="shared" si="170"/>
        <v>0</v>
      </c>
      <c r="F228" s="103">
        <f t="shared" si="171"/>
        <v>0</v>
      </c>
      <c r="G228" s="83">
        <f t="shared" si="172"/>
        <v>0</v>
      </c>
      <c r="H228" s="94"/>
      <c r="I228" s="94"/>
      <c r="J228" s="94"/>
    </row>
    <row r="229" spans="2:10" ht="13">
      <c r="B229" s="66"/>
      <c r="D229" s="94"/>
      <c r="E229" s="94"/>
      <c r="F229" s="94"/>
      <c r="G229" s="94"/>
      <c r="H229" s="94"/>
      <c r="I229" s="94"/>
      <c r="J229" s="94"/>
    </row>
    <row r="230" spans="2:10" ht="13">
      <c r="B230" s="66"/>
    </row>
    <row r="231" spans="2:10" ht="13">
      <c r="B231" s="66"/>
    </row>
    <row r="232" spans="2:10" ht="13">
      <c r="B232" s="66"/>
    </row>
    <row r="233" spans="2:10" ht="13">
      <c r="B233" s="66"/>
    </row>
    <row r="234" spans="2:10" ht="13">
      <c r="B234" s="66"/>
    </row>
    <row r="235" spans="2:10" ht="13">
      <c r="B235" s="66"/>
    </row>
    <row r="236" spans="2:10" ht="13">
      <c r="B236" s="66"/>
    </row>
    <row r="237" spans="2:10" ht="13">
      <c r="B237" s="66"/>
    </row>
    <row r="238" spans="2:10" ht="13">
      <c r="B238" s="66"/>
    </row>
    <row r="239" spans="2:10" ht="13">
      <c r="B239" s="66"/>
    </row>
    <row r="240" spans="2:10" ht="13">
      <c r="B240" s="66"/>
    </row>
    <row r="241" spans="2:2" ht="13">
      <c r="B241" s="66"/>
    </row>
    <row r="242" spans="2:2" ht="13">
      <c r="B242" s="66"/>
    </row>
    <row r="243" spans="2:2" ht="13">
      <c r="B243" s="66"/>
    </row>
    <row r="244" spans="2:2" ht="13">
      <c r="B244" s="66"/>
    </row>
    <row r="245" spans="2:2" ht="13">
      <c r="B245" s="66"/>
    </row>
    <row r="246" spans="2:2" ht="13">
      <c r="B246" s="66"/>
    </row>
    <row r="247" spans="2:2" ht="13">
      <c r="B247" s="66"/>
    </row>
    <row r="248" spans="2:2" ht="13">
      <c r="B248" s="66"/>
    </row>
    <row r="249" spans="2:2" ht="13">
      <c r="B249" s="66"/>
    </row>
    <row r="250" spans="2:2" ht="13">
      <c r="B250" s="66"/>
    </row>
    <row r="251" spans="2:2" ht="13">
      <c r="B251" s="66"/>
    </row>
    <row r="252" spans="2:2" ht="13">
      <c r="B252" s="66"/>
    </row>
    <row r="253" spans="2:2" ht="13">
      <c r="B253" s="66"/>
    </row>
    <row r="254" spans="2:2" ht="13">
      <c r="B254" s="66"/>
    </row>
    <row r="255" spans="2:2" ht="13">
      <c r="B255" s="66"/>
    </row>
    <row r="256" spans="2:2" ht="13">
      <c r="B256" s="66"/>
    </row>
    <row r="257" spans="2:2" ht="13">
      <c r="B257" s="66"/>
    </row>
    <row r="258" spans="2:2" ht="13">
      <c r="B258" s="66"/>
    </row>
    <row r="259" spans="2:2" ht="13">
      <c r="B259" s="66"/>
    </row>
    <row r="260" spans="2:2" ht="13">
      <c r="B260" s="66"/>
    </row>
    <row r="261" spans="2:2" ht="13">
      <c r="B261" s="66"/>
    </row>
    <row r="262" spans="2:2" ht="13">
      <c r="B262" s="66"/>
    </row>
    <row r="263" spans="2:2" ht="13">
      <c r="B263" s="66"/>
    </row>
    <row r="264" spans="2:2" ht="13">
      <c r="B264" s="66"/>
    </row>
    <row r="265" spans="2:2" ht="13">
      <c r="B265" s="66"/>
    </row>
    <row r="266" spans="2:2" ht="13">
      <c r="B266" s="66"/>
    </row>
    <row r="267" spans="2:2" ht="13">
      <c r="B267" s="66"/>
    </row>
    <row r="268" spans="2:2" ht="13">
      <c r="B268" s="66"/>
    </row>
    <row r="269" spans="2:2" ht="13">
      <c r="B269" s="66"/>
    </row>
    <row r="270" spans="2:2" ht="13">
      <c r="B270" s="66"/>
    </row>
  </sheetData>
  <dataValidations count="4">
    <dataValidation type="list" allowBlank="1" showErrorMessage="1" sqref="O23:O37" xr:uid="{00000000-0002-0000-0300-000000000000}">
      <formula1>"Non Participating,Full Participating,Participating Preferred with Cap"</formula1>
    </dataValidation>
    <dataValidation type="list" allowBlank="1" showErrorMessage="1" sqref="D23:D37" xr:uid="{00000000-0002-0000-0300-000001000000}">
      <formula1>"Common,Preferred,Options,Warrants"</formula1>
    </dataValidation>
    <dataValidation type="list" allowBlank="1" showErrorMessage="1" sqref="E23:E37" xr:uid="{00000000-0002-0000-0300-000002000000}">
      <formula1>B23:B$37</formula1>
    </dataValidation>
    <dataValidation type="list" allowBlank="1" showErrorMessage="1" sqref="S23:S37" xr:uid="{00000000-0002-0000-0300-000003000000}">
      <formula1>"Non cumulative,Cumulative,Not declared"</formula1>
    </dataValidation>
  </dataValidations>
  <hyperlinks>
    <hyperlink ref="L67" r:id="rId1" xr:uid="{00000000-0004-0000-0300-000000000000}"/>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C305"/>
  <sheetViews>
    <sheetView showGridLines="0" workbookViewId="0">
      <selection activeCell="S33" sqref="I33:S33"/>
    </sheetView>
  </sheetViews>
  <sheetFormatPr baseColWidth="10" defaultColWidth="12.6640625" defaultRowHeight="15.75" customHeight="1" outlineLevelRow="1"/>
  <cols>
    <col min="1" max="1" width="6.5" customWidth="1"/>
    <col min="2" max="2" width="23.6640625" customWidth="1"/>
    <col min="3" max="3" width="6" customWidth="1"/>
    <col min="4" max="6" width="13.6640625" customWidth="1"/>
    <col min="7" max="9" width="13.5" customWidth="1"/>
    <col min="10" max="10" width="14.83203125" customWidth="1"/>
    <col min="11" max="11" width="4.6640625" customWidth="1"/>
    <col min="12" max="12" width="13" customWidth="1"/>
    <col min="13" max="13" width="12.83203125" customWidth="1"/>
    <col min="14" max="14" width="5.5" customWidth="1"/>
    <col min="15" max="15" width="21.83203125" customWidth="1"/>
    <col min="16" max="17" width="13.5" customWidth="1"/>
    <col min="18" max="18" width="5.6640625" customWidth="1"/>
    <col min="19" max="19" width="13.1640625" customWidth="1"/>
    <col min="20" max="22" width="13.5" customWidth="1"/>
    <col min="23" max="23" width="13.1640625" customWidth="1"/>
    <col min="24" max="24" width="7.1640625" customWidth="1"/>
    <col min="25" max="29" width="13.5" customWidth="1"/>
  </cols>
  <sheetData>
    <row r="1" spans="1:29" ht="13">
      <c r="B1" s="66"/>
    </row>
    <row r="2" spans="1:29" ht="18">
      <c r="B2" s="67" t="s">
        <v>166</v>
      </c>
      <c r="H2" s="15" t="s">
        <v>72</v>
      </c>
    </row>
    <row r="3" spans="1:29" ht="13">
      <c r="B3" s="68" t="s">
        <v>167</v>
      </c>
      <c r="H3" s="40" t="s">
        <v>116</v>
      </c>
      <c r="I3" s="14"/>
      <c r="J3" s="129" t="b">
        <v>0</v>
      </c>
      <c r="K3" s="10" t="s">
        <v>168</v>
      </c>
    </row>
    <row r="4" spans="1:29" ht="13" collapsed="1">
      <c r="B4" s="66"/>
      <c r="T4" s="10"/>
      <c r="U4" s="10"/>
    </row>
    <row r="5" spans="1:29" ht="13" hidden="1" outlineLevel="1">
      <c r="A5" s="10"/>
      <c r="B5" s="69" t="s">
        <v>169</v>
      </c>
      <c r="C5" s="24"/>
      <c r="D5" s="10"/>
      <c r="E5" s="10"/>
      <c r="F5" s="70"/>
      <c r="G5" s="70"/>
      <c r="H5" s="70"/>
      <c r="I5" s="70"/>
      <c r="P5" s="10"/>
      <c r="Q5" s="10"/>
      <c r="R5" s="10"/>
      <c r="S5" s="10"/>
      <c r="T5" s="10"/>
      <c r="U5" s="10"/>
      <c r="V5" s="10"/>
      <c r="W5" s="10"/>
      <c r="X5" s="10"/>
      <c r="Y5" s="10"/>
      <c r="Z5" s="10"/>
      <c r="AA5" s="10"/>
      <c r="AB5" s="10"/>
      <c r="AC5" s="10"/>
    </row>
    <row r="6" spans="1:29" ht="13" hidden="1" outlineLevel="1">
      <c r="A6" s="10"/>
      <c r="B6" s="71" t="s">
        <v>170</v>
      </c>
      <c r="C6" s="24"/>
      <c r="D6" s="10"/>
      <c r="E6" s="10"/>
      <c r="F6" s="70"/>
      <c r="G6" s="70"/>
      <c r="H6" s="70"/>
      <c r="I6" s="70"/>
      <c r="P6" s="10"/>
      <c r="Q6" s="10"/>
      <c r="R6" s="10"/>
      <c r="S6" s="10"/>
      <c r="T6" s="10"/>
      <c r="U6" s="10"/>
      <c r="V6" s="10"/>
      <c r="W6" s="10"/>
      <c r="X6" s="10"/>
      <c r="Y6" s="10"/>
      <c r="Z6" s="10"/>
      <c r="AA6" s="10"/>
      <c r="AB6" s="10"/>
      <c r="AC6" s="10"/>
    </row>
    <row r="7" spans="1:29" ht="13" hidden="1" outlineLevel="1">
      <c r="A7" s="10"/>
      <c r="B7" s="71" t="s">
        <v>171</v>
      </c>
      <c r="C7" s="24"/>
      <c r="D7" s="10"/>
      <c r="E7" s="10"/>
      <c r="F7" s="70"/>
      <c r="G7" s="70"/>
      <c r="H7" s="70"/>
      <c r="I7" s="70"/>
      <c r="P7" s="10"/>
      <c r="Q7" s="10"/>
      <c r="R7" s="10"/>
      <c r="S7" s="10"/>
      <c r="T7" s="10"/>
      <c r="U7" s="10"/>
      <c r="V7" s="10"/>
      <c r="W7" s="10"/>
      <c r="X7" s="10"/>
      <c r="Y7" s="10"/>
      <c r="Z7" s="10"/>
      <c r="AA7" s="10"/>
      <c r="AB7" s="10"/>
      <c r="AC7" s="10"/>
    </row>
    <row r="8" spans="1:29" ht="13" hidden="1" outlineLevel="1">
      <c r="A8" s="10"/>
      <c r="B8" s="71" t="s">
        <v>172</v>
      </c>
      <c r="C8" s="24"/>
      <c r="D8" s="10"/>
      <c r="E8" s="10"/>
      <c r="F8" s="70"/>
      <c r="G8" s="70"/>
      <c r="H8" s="70"/>
      <c r="I8" s="70"/>
      <c r="P8" s="10"/>
      <c r="Q8" s="10"/>
      <c r="R8" s="10"/>
      <c r="S8" s="10"/>
      <c r="T8" s="10"/>
      <c r="U8" s="10"/>
      <c r="V8" s="10"/>
      <c r="W8" s="10"/>
      <c r="X8" s="10"/>
      <c r="Y8" s="10"/>
      <c r="Z8" s="10"/>
      <c r="AA8" s="10"/>
      <c r="AB8" s="10"/>
      <c r="AC8" s="10"/>
    </row>
    <row r="9" spans="1:29" ht="13" hidden="1" outlineLevel="1">
      <c r="A9" s="10"/>
      <c r="B9" s="71" t="s">
        <v>173</v>
      </c>
      <c r="C9" s="24"/>
      <c r="D9" s="10"/>
      <c r="E9" s="10"/>
      <c r="F9" s="70"/>
      <c r="G9" s="70"/>
      <c r="H9" s="70"/>
      <c r="I9" s="70"/>
      <c r="P9" s="10"/>
      <c r="Q9" s="10"/>
      <c r="R9" s="10"/>
      <c r="S9" s="10"/>
      <c r="T9" s="10"/>
      <c r="U9" s="10"/>
      <c r="V9" s="10"/>
      <c r="W9" s="10"/>
      <c r="X9" s="10"/>
      <c r="Y9" s="10"/>
      <c r="Z9" s="10"/>
      <c r="AA9" s="10"/>
      <c r="AB9" s="10"/>
      <c r="AC9" s="10"/>
    </row>
    <row r="10" spans="1:29" ht="13" hidden="1" outlineLevel="1">
      <c r="A10" s="10"/>
      <c r="B10" s="71" t="s">
        <v>174</v>
      </c>
      <c r="C10" s="24"/>
      <c r="D10" s="10"/>
      <c r="E10" s="10"/>
      <c r="F10" s="70"/>
      <c r="G10" s="70"/>
      <c r="H10" s="70"/>
      <c r="I10" s="70"/>
      <c r="P10" s="10"/>
      <c r="Q10" s="10"/>
      <c r="R10" s="10"/>
      <c r="S10" s="10"/>
      <c r="T10" s="10"/>
      <c r="U10" s="10"/>
      <c r="V10" s="10"/>
      <c r="W10" s="10"/>
      <c r="X10" s="10"/>
      <c r="Y10" s="10"/>
      <c r="Z10" s="10"/>
      <c r="AA10" s="10"/>
      <c r="AB10" s="10"/>
      <c r="AC10" s="10"/>
    </row>
    <row r="11" spans="1:29" ht="13" hidden="1" outlineLevel="1">
      <c r="A11" s="10"/>
      <c r="B11" s="71" t="s">
        <v>175</v>
      </c>
      <c r="C11" s="24"/>
      <c r="D11" s="10"/>
      <c r="E11" s="10"/>
      <c r="F11" s="70"/>
      <c r="G11" s="70"/>
      <c r="H11" s="70"/>
      <c r="I11" s="70"/>
      <c r="P11" s="10"/>
      <c r="Q11" s="10"/>
      <c r="R11" s="10"/>
      <c r="S11" s="10"/>
      <c r="T11" s="10"/>
      <c r="U11" s="10"/>
      <c r="V11" s="10"/>
      <c r="W11" s="10"/>
      <c r="X11" s="10"/>
      <c r="Y11" s="10"/>
      <c r="Z11" s="10"/>
      <c r="AA11" s="10"/>
      <c r="AB11" s="10"/>
      <c r="AC11" s="10"/>
    </row>
    <row r="12" spans="1:29" ht="13" hidden="1" outlineLevel="1">
      <c r="A12" s="10"/>
      <c r="B12" s="71" t="s">
        <v>176</v>
      </c>
      <c r="C12" s="24"/>
      <c r="D12" s="10"/>
      <c r="E12" s="10"/>
      <c r="F12" s="70"/>
      <c r="G12" s="70"/>
      <c r="H12" s="70"/>
      <c r="I12" s="70"/>
      <c r="P12" s="10"/>
      <c r="Q12" s="10"/>
      <c r="R12" s="10"/>
      <c r="S12" s="10"/>
      <c r="T12" s="10"/>
      <c r="U12" s="10"/>
      <c r="V12" s="10"/>
      <c r="W12" s="10"/>
      <c r="X12" s="10"/>
      <c r="Y12" s="10"/>
      <c r="Z12" s="10"/>
      <c r="AA12" s="10"/>
      <c r="AB12" s="10"/>
      <c r="AC12" s="10"/>
    </row>
    <row r="13" spans="1:29" ht="13" hidden="1" outlineLevel="1">
      <c r="A13" s="10"/>
      <c r="B13" s="71" t="s">
        <v>177</v>
      </c>
      <c r="C13" s="24"/>
      <c r="D13" s="10"/>
      <c r="E13" s="10"/>
      <c r="F13" s="70"/>
      <c r="G13" s="70"/>
      <c r="H13" s="70"/>
      <c r="I13" s="70"/>
      <c r="P13" s="10"/>
      <c r="Q13" s="10"/>
      <c r="R13" s="10"/>
      <c r="S13" s="10"/>
      <c r="T13" s="10"/>
      <c r="U13" s="10"/>
      <c r="V13" s="10"/>
      <c r="W13" s="10"/>
      <c r="X13" s="10"/>
      <c r="Y13" s="10"/>
      <c r="Z13" s="10"/>
      <c r="AA13" s="10"/>
      <c r="AB13" s="10"/>
      <c r="AC13" s="10"/>
    </row>
    <row r="14" spans="1:29" ht="13" hidden="1" outlineLevel="1">
      <c r="A14" s="10"/>
      <c r="B14" s="71" t="s">
        <v>178</v>
      </c>
      <c r="C14" s="24"/>
      <c r="D14" s="10"/>
      <c r="E14" s="10"/>
      <c r="F14" s="70"/>
      <c r="G14" s="70"/>
      <c r="H14" s="70"/>
      <c r="I14" s="70"/>
      <c r="P14" s="10"/>
      <c r="Q14" s="10"/>
      <c r="R14" s="10"/>
      <c r="S14" s="10"/>
      <c r="T14" s="10"/>
      <c r="U14" s="10"/>
      <c r="V14" s="10"/>
      <c r="W14" s="10"/>
      <c r="X14" s="10"/>
      <c r="Y14" s="10"/>
      <c r="Z14" s="10"/>
      <c r="AA14" s="10"/>
      <c r="AB14" s="10"/>
      <c r="AC14" s="10"/>
    </row>
    <row r="15" spans="1:29" ht="13" hidden="1" outlineLevel="1">
      <c r="A15" s="10"/>
      <c r="B15" s="71" t="s">
        <v>179</v>
      </c>
      <c r="C15" s="24"/>
      <c r="D15" s="10"/>
      <c r="E15" s="10"/>
      <c r="F15" s="70"/>
      <c r="G15" s="70"/>
      <c r="H15" s="70"/>
      <c r="I15" s="70"/>
      <c r="P15" s="10"/>
      <c r="Q15" s="10"/>
      <c r="R15" s="10"/>
      <c r="S15" s="10"/>
      <c r="T15" s="10"/>
      <c r="U15" s="10"/>
      <c r="V15" s="10"/>
      <c r="W15" s="10"/>
      <c r="X15" s="10"/>
      <c r="Y15" s="10"/>
      <c r="Z15" s="10"/>
      <c r="AA15" s="10"/>
      <c r="AB15" s="10"/>
      <c r="AC15" s="10"/>
    </row>
    <row r="16" spans="1:29" ht="13" hidden="1" outlineLevel="1">
      <c r="A16" s="10"/>
      <c r="B16" s="71"/>
      <c r="C16" s="24"/>
      <c r="D16" s="10"/>
      <c r="E16" s="10"/>
      <c r="F16" s="70"/>
      <c r="G16" s="70"/>
      <c r="H16" s="70"/>
      <c r="I16" s="70"/>
      <c r="P16" s="10"/>
      <c r="Q16" s="10"/>
      <c r="R16" s="10"/>
      <c r="S16" s="10"/>
      <c r="T16" s="10"/>
      <c r="U16" s="10"/>
      <c r="V16" s="10"/>
      <c r="W16" s="10"/>
      <c r="X16" s="10"/>
      <c r="Y16" s="10"/>
      <c r="Z16" s="10"/>
      <c r="AA16" s="10"/>
      <c r="AB16" s="10"/>
      <c r="AC16" s="10"/>
    </row>
    <row r="17" spans="1:29" ht="13" hidden="1" outlineLevel="1">
      <c r="A17" s="10"/>
      <c r="B17" s="69" t="s">
        <v>180</v>
      </c>
      <c r="C17" s="24"/>
      <c r="D17" s="10"/>
      <c r="E17" s="10"/>
      <c r="F17" s="70"/>
      <c r="G17" s="70"/>
      <c r="H17" s="70"/>
      <c r="I17" s="70"/>
      <c r="J17" s="70"/>
      <c r="P17" s="10"/>
      <c r="Q17" s="10"/>
      <c r="R17" s="10"/>
      <c r="S17" s="10"/>
      <c r="T17" s="10"/>
      <c r="U17" s="10"/>
      <c r="V17" s="10"/>
      <c r="W17" s="10"/>
      <c r="X17" s="10"/>
      <c r="Y17" s="10"/>
      <c r="Z17" s="10"/>
      <c r="AA17" s="10"/>
      <c r="AB17" s="10"/>
      <c r="AC17" s="10"/>
    </row>
    <row r="18" spans="1:29" ht="13" hidden="1" outlineLevel="1">
      <c r="A18" s="10"/>
      <c r="B18" s="71" t="s">
        <v>181</v>
      </c>
      <c r="C18" s="24"/>
      <c r="D18" s="10"/>
      <c r="E18" s="10"/>
      <c r="F18" s="70"/>
      <c r="G18" s="70"/>
      <c r="H18" s="70"/>
      <c r="I18" s="70"/>
      <c r="J18" s="70"/>
      <c r="P18" s="10"/>
      <c r="Q18" s="10"/>
      <c r="R18" s="10"/>
      <c r="S18" s="10"/>
      <c r="T18" s="10"/>
      <c r="U18" s="10"/>
      <c r="V18" s="10"/>
      <c r="W18" s="10"/>
      <c r="X18" s="10"/>
      <c r="Y18" s="10"/>
      <c r="Z18" s="10"/>
      <c r="AA18" s="10"/>
      <c r="AB18" s="10"/>
      <c r="AC18" s="10"/>
    </row>
    <row r="19" spans="1:29" ht="13" hidden="1" outlineLevel="1">
      <c r="A19" s="10"/>
      <c r="B19" s="69" t="s">
        <v>182</v>
      </c>
      <c r="C19" s="24"/>
      <c r="D19" s="10"/>
      <c r="E19" s="10"/>
      <c r="F19" s="70"/>
      <c r="G19" s="70"/>
      <c r="H19" s="70"/>
      <c r="I19" s="70"/>
      <c r="J19" s="70"/>
      <c r="P19" s="10"/>
      <c r="Q19" s="10"/>
      <c r="R19" s="10"/>
      <c r="S19" s="10"/>
      <c r="T19" s="10"/>
      <c r="U19" s="10"/>
      <c r="V19" s="10"/>
      <c r="W19" s="10"/>
      <c r="X19" s="10"/>
      <c r="Y19" s="10"/>
      <c r="Z19" s="10"/>
      <c r="AA19" s="10"/>
      <c r="AB19" s="10"/>
      <c r="AC19" s="10"/>
    </row>
    <row r="20" spans="1:29" ht="13" hidden="1" outlineLevel="1">
      <c r="A20" s="10"/>
      <c r="B20" s="71"/>
      <c r="C20" s="24"/>
      <c r="D20" s="10"/>
      <c r="E20" s="10"/>
      <c r="F20" s="70"/>
      <c r="G20" s="70"/>
      <c r="H20" s="70"/>
      <c r="I20" s="70"/>
      <c r="J20" s="70"/>
      <c r="P20" s="10"/>
      <c r="Q20" s="10"/>
      <c r="R20" s="10"/>
      <c r="S20" s="10"/>
      <c r="T20" s="10"/>
      <c r="U20" s="10"/>
      <c r="V20" s="10"/>
      <c r="W20" s="10"/>
      <c r="X20" s="10"/>
      <c r="Y20" s="10"/>
      <c r="Z20" s="10"/>
      <c r="AA20" s="10"/>
      <c r="AB20" s="10"/>
      <c r="AC20" s="10"/>
    </row>
    <row r="21" spans="1:29" ht="28">
      <c r="B21" s="72" t="s">
        <v>183</v>
      </c>
      <c r="C21" s="73"/>
      <c r="D21" s="74" t="s">
        <v>184</v>
      </c>
      <c r="E21" s="74" t="s">
        <v>185</v>
      </c>
      <c r="F21" s="75" t="s">
        <v>186</v>
      </c>
      <c r="G21" s="75" t="s">
        <v>187</v>
      </c>
      <c r="H21" s="75" t="s">
        <v>188</v>
      </c>
      <c r="I21" s="75" t="s">
        <v>189</v>
      </c>
      <c r="J21" s="75" t="s">
        <v>190</v>
      </c>
      <c r="K21" s="76"/>
      <c r="L21" s="76" t="s">
        <v>191</v>
      </c>
      <c r="M21" s="76" t="s">
        <v>192</v>
      </c>
      <c r="N21" s="76"/>
      <c r="O21" s="77" t="s">
        <v>193</v>
      </c>
      <c r="P21" s="75" t="s">
        <v>194</v>
      </c>
      <c r="Q21" s="75" t="s">
        <v>195</v>
      </c>
      <c r="R21" s="76"/>
      <c r="S21" s="22" t="s">
        <v>196</v>
      </c>
      <c r="T21" s="22" t="s">
        <v>197</v>
      </c>
      <c r="U21" s="22" t="s">
        <v>198</v>
      </c>
      <c r="V21" s="22" t="s">
        <v>199</v>
      </c>
      <c r="W21" s="22" t="s">
        <v>200</v>
      </c>
      <c r="Y21" s="22" t="s">
        <v>256</v>
      </c>
      <c r="Z21" s="22" t="s">
        <v>130</v>
      </c>
      <c r="AA21" s="22" t="s">
        <v>257</v>
      </c>
      <c r="AB21" s="22" t="s">
        <v>258</v>
      </c>
      <c r="AC21" s="52"/>
    </row>
    <row r="22" spans="1:29" ht="13">
      <c r="B22" s="66"/>
      <c r="G22" s="78" t="s">
        <v>201</v>
      </c>
      <c r="H22" s="78" t="s">
        <v>202</v>
      </c>
      <c r="I22" s="78" t="s">
        <v>203</v>
      </c>
      <c r="J22" s="78" t="s">
        <v>204</v>
      </c>
      <c r="L22" s="78" t="s">
        <v>205</v>
      </c>
      <c r="M22" s="78" t="s">
        <v>206</v>
      </c>
      <c r="O22" s="78" t="s">
        <v>207</v>
      </c>
      <c r="P22" s="78" t="s">
        <v>208</v>
      </c>
      <c r="Q22" s="78" t="s">
        <v>209</v>
      </c>
      <c r="S22" s="79" t="s">
        <v>210</v>
      </c>
      <c r="T22" s="79" t="s">
        <v>211</v>
      </c>
      <c r="U22" s="79" t="s">
        <v>212</v>
      </c>
      <c r="V22" s="78" t="s">
        <v>213</v>
      </c>
      <c r="W22" s="78" t="s">
        <v>214</v>
      </c>
      <c r="X22" s="78"/>
      <c r="Y22" s="78" t="s">
        <v>259</v>
      </c>
      <c r="AB22" s="78" t="s">
        <v>260</v>
      </c>
    </row>
    <row r="23" spans="1:29" ht="13">
      <c r="B23" s="80" t="s">
        <v>215</v>
      </c>
      <c r="D23" s="80" t="s">
        <v>216</v>
      </c>
      <c r="E23" s="80" t="str">
        <f t="shared" ref="E23:E37" si="0">B23</f>
        <v>Series J</v>
      </c>
      <c r="F23" s="81">
        <v>0</v>
      </c>
      <c r="G23" s="81">
        <f t="shared" ref="G23:G33" si="1">IFERROR(F23/J23,0)</f>
        <v>0</v>
      </c>
      <c r="H23" s="82">
        <v>1</v>
      </c>
      <c r="I23" s="83">
        <f t="shared" ref="I23:I37" si="2">IFERROR(G23/G$39,0)</f>
        <v>0</v>
      </c>
      <c r="J23" s="84">
        <v>0</v>
      </c>
      <c r="L23" s="82">
        <v>1</v>
      </c>
      <c r="M23" s="81">
        <f t="shared" ref="M23:M37" si="3">F23 * L23 + U23</f>
        <v>0</v>
      </c>
      <c r="O23" s="85" t="s">
        <v>217</v>
      </c>
      <c r="P23" s="82">
        <v>0</v>
      </c>
      <c r="Q23" s="14">
        <f t="shared" ref="Q23:Q37" si="4">IF(O23="participating preferred with cap",P23 * F23, 0 )</f>
        <v>0</v>
      </c>
      <c r="S23" s="86" t="s">
        <v>218</v>
      </c>
      <c r="T23" s="87">
        <v>0.05</v>
      </c>
      <c r="U23" s="14">
        <f t="shared" ref="U23:U37" si="5">IF($S23="not declared",0,IF($S23="non cumulative",$F23*$T23,IFERROR($T23/365*($V23-$W23)*$F23,0)))</f>
        <v>0</v>
      </c>
      <c r="V23" s="88">
        <f t="shared" ref="V23:V37" ca="1" si="6">EDATE(TODAY(),0)</f>
        <v>45934</v>
      </c>
      <c r="W23" s="88">
        <f t="shared" ref="W23:W37" ca="1" si="7">EDATE(TODAY(),-12*4)</f>
        <v>44473</v>
      </c>
      <c r="Y23" s="129" t="b">
        <v>0</v>
      </c>
      <c r="Z23" s="87">
        <v>0.2</v>
      </c>
      <c r="AA23" s="93">
        <v>0</v>
      </c>
      <c r="AB23" s="30" t="s">
        <v>261</v>
      </c>
    </row>
    <row r="24" spans="1:29" ht="13">
      <c r="B24" s="80" t="s">
        <v>219</v>
      </c>
      <c r="D24" s="80" t="s">
        <v>216</v>
      </c>
      <c r="E24" s="80" t="str">
        <f t="shared" si="0"/>
        <v>Series I</v>
      </c>
      <c r="F24" s="81">
        <v>0</v>
      </c>
      <c r="G24" s="81">
        <f t="shared" si="1"/>
        <v>0</v>
      </c>
      <c r="H24" s="82">
        <v>1</v>
      </c>
      <c r="I24" s="83">
        <f t="shared" si="2"/>
        <v>0</v>
      </c>
      <c r="J24" s="84">
        <v>0</v>
      </c>
      <c r="L24" s="82">
        <v>1</v>
      </c>
      <c r="M24" s="81">
        <f t="shared" si="3"/>
        <v>0</v>
      </c>
      <c r="O24" s="85" t="s">
        <v>217</v>
      </c>
      <c r="P24" s="82">
        <v>0</v>
      </c>
      <c r="Q24" s="14">
        <f t="shared" si="4"/>
        <v>0</v>
      </c>
      <c r="S24" s="86" t="s">
        <v>218</v>
      </c>
      <c r="T24" s="87">
        <v>0.05</v>
      </c>
      <c r="U24" s="14">
        <f t="shared" si="5"/>
        <v>0</v>
      </c>
      <c r="V24" s="88">
        <f t="shared" ca="1" si="6"/>
        <v>45934</v>
      </c>
      <c r="W24" s="88">
        <f t="shared" ca="1" si="7"/>
        <v>44473</v>
      </c>
      <c r="Y24" s="129" t="b">
        <v>0</v>
      </c>
      <c r="Z24" s="87">
        <v>0.2</v>
      </c>
      <c r="AA24" s="93">
        <v>0</v>
      </c>
      <c r="AB24" s="30" t="s">
        <v>261</v>
      </c>
    </row>
    <row r="25" spans="1:29" ht="13">
      <c r="B25" s="80" t="s">
        <v>220</v>
      </c>
      <c r="D25" s="80" t="s">
        <v>216</v>
      </c>
      <c r="E25" s="80" t="str">
        <f t="shared" si="0"/>
        <v>Series H</v>
      </c>
      <c r="F25" s="81">
        <v>0</v>
      </c>
      <c r="G25" s="81">
        <f t="shared" si="1"/>
        <v>0</v>
      </c>
      <c r="H25" s="82">
        <v>1</v>
      </c>
      <c r="I25" s="83">
        <f t="shared" si="2"/>
        <v>0</v>
      </c>
      <c r="J25" s="84">
        <v>0</v>
      </c>
      <c r="L25" s="82">
        <v>1</v>
      </c>
      <c r="M25" s="81">
        <f t="shared" si="3"/>
        <v>0</v>
      </c>
      <c r="O25" s="85" t="s">
        <v>217</v>
      </c>
      <c r="P25" s="82">
        <v>0</v>
      </c>
      <c r="Q25" s="14">
        <f t="shared" si="4"/>
        <v>0</v>
      </c>
      <c r="S25" s="86" t="s">
        <v>218</v>
      </c>
      <c r="T25" s="87">
        <v>0.05</v>
      </c>
      <c r="U25" s="14">
        <f t="shared" si="5"/>
        <v>0</v>
      </c>
      <c r="V25" s="88">
        <f t="shared" ca="1" si="6"/>
        <v>45934</v>
      </c>
      <c r="W25" s="88">
        <f t="shared" ca="1" si="7"/>
        <v>44473</v>
      </c>
      <c r="Y25" s="129" t="b">
        <v>0</v>
      </c>
      <c r="Z25" s="87">
        <v>0.2</v>
      </c>
      <c r="AA25" s="93">
        <v>0</v>
      </c>
      <c r="AB25" s="30" t="s">
        <v>261</v>
      </c>
    </row>
    <row r="26" spans="1:29" ht="13">
      <c r="B26" s="80" t="s">
        <v>221</v>
      </c>
      <c r="D26" s="80" t="s">
        <v>216</v>
      </c>
      <c r="E26" s="80" t="str">
        <f t="shared" si="0"/>
        <v>Series G</v>
      </c>
      <c r="F26" s="81">
        <v>0</v>
      </c>
      <c r="G26" s="81">
        <f t="shared" si="1"/>
        <v>0</v>
      </c>
      <c r="H26" s="82">
        <v>1</v>
      </c>
      <c r="I26" s="83">
        <f t="shared" si="2"/>
        <v>0</v>
      </c>
      <c r="J26" s="84">
        <v>0</v>
      </c>
      <c r="L26" s="82">
        <v>1</v>
      </c>
      <c r="M26" s="81">
        <f t="shared" si="3"/>
        <v>0</v>
      </c>
      <c r="O26" s="85" t="s">
        <v>217</v>
      </c>
      <c r="P26" s="82">
        <v>0</v>
      </c>
      <c r="Q26" s="14">
        <f t="shared" si="4"/>
        <v>0</v>
      </c>
      <c r="S26" s="86" t="s">
        <v>218</v>
      </c>
      <c r="T26" s="87">
        <v>0.05</v>
      </c>
      <c r="U26" s="14">
        <f t="shared" si="5"/>
        <v>0</v>
      </c>
      <c r="V26" s="88">
        <f t="shared" ca="1" si="6"/>
        <v>45934</v>
      </c>
      <c r="W26" s="88">
        <f t="shared" ca="1" si="7"/>
        <v>44473</v>
      </c>
      <c r="Y26" s="129" t="b">
        <v>0</v>
      </c>
      <c r="Z26" s="87">
        <v>0.2</v>
      </c>
      <c r="AA26" s="93">
        <v>0</v>
      </c>
      <c r="AB26" s="30" t="s">
        <v>261</v>
      </c>
    </row>
    <row r="27" spans="1:29" ht="13">
      <c r="B27" s="80" t="s">
        <v>222</v>
      </c>
      <c r="D27" s="80" t="s">
        <v>216</v>
      </c>
      <c r="E27" s="80" t="str">
        <f t="shared" si="0"/>
        <v>Series F</v>
      </c>
      <c r="F27" s="81">
        <v>0</v>
      </c>
      <c r="G27" s="81">
        <f t="shared" si="1"/>
        <v>0</v>
      </c>
      <c r="H27" s="82">
        <v>1</v>
      </c>
      <c r="I27" s="83">
        <f t="shared" si="2"/>
        <v>0</v>
      </c>
      <c r="J27" s="84">
        <v>0</v>
      </c>
      <c r="L27" s="82">
        <v>1</v>
      </c>
      <c r="M27" s="81">
        <f t="shared" si="3"/>
        <v>0</v>
      </c>
      <c r="O27" s="85" t="s">
        <v>217</v>
      </c>
      <c r="P27" s="82">
        <v>0</v>
      </c>
      <c r="Q27" s="14">
        <f t="shared" si="4"/>
        <v>0</v>
      </c>
      <c r="S27" s="86" t="s">
        <v>218</v>
      </c>
      <c r="T27" s="87">
        <v>0.05</v>
      </c>
      <c r="U27" s="14">
        <f t="shared" si="5"/>
        <v>0</v>
      </c>
      <c r="V27" s="88">
        <f t="shared" ca="1" si="6"/>
        <v>45934</v>
      </c>
      <c r="W27" s="88">
        <f t="shared" ca="1" si="7"/>
        <v>44473</v>
      </c>
      <c r="Y27" s="129" t="b">
        <v>0</v>
      </c>
      <c r="Z27" s="87">
        <v>0.2</v>
      </c>
      <c r="AA27" s="93">
        <v>0</v>
      </c>
      <c r="AB27" s="30" t="s">
        <v>261</v>
      </c>
    </row>
    <row r="28" spans="1:29" ht="13">
      <c r="B28" s="80" t="s">
        <v>223</v>
      </c>
      <c r="D28" s="80" t="s">
        <v>216</v>
      </c>
      <c r="E28" s="80" t="str">
        <f t="shared" si="0"/>
        <v>Series E</v>
      </c>
      <c r="F28" s="81">
        <v>0</v>
      </c>
      <c r="G28" s="81">
        <f t="shared" si="1"/>
        <v>0</v>
      </c>
      <c r="H28" s="82">
        <v>1</v>
      </c>
      <c r="I28" s="83">
        <f t="shared" si="2"/>
        <v>0</v>
      </c>
      <c r="J28" s="84">
        <v>0</v>
      </c>
      <c r="L28" s="82">
        <v>1</v>
      </c>
      <c r="M28" s="81">
        <f t="shared" si="3"/>
        <v>0</v>
      </c>
      <c r="O28" s="85" t="s">
        <v>217</v>
      </c>
      <c r="P28" s="82">
        <v>0</v>
      </c>
      <c r="Q28" s="14">
        <f t="shared" si="4"/>
        <v>0</v>
      </c>
      <c r="S28" s="86" t="s">
        <v>218</v>
      </c>
      <c r="T28" s="87">
        <v>0.05</v>
      </c>
      <c r="U28" s="14">
        <f t="shared" si="5"/>
        <v>0</v>
      </c>
      <c r="V28" s="88">
        <f t="shared" ca="1" si="6"/>
        <v>45934</v>
      </c>
      <c r="W28" s="88">
        <f t="shared" ca="1" si="7"/>
        <v>44473</v>
      </c>
      <c r="Y28" s="129" t="b">
        <v>0</v>
      </c>
      <c r="Z28" s="87">
        <v>0.2</v>
      </c>
      <c r="AA28" s="93">
        <v>0</v>
      </c>
      <c r="AB28" s="30" t="s">
        <v>261</v>
      </c>
    </row>
    <row r="29" spans="1:29" ht="13">
      <c r="B29" s="80" t="s">
        <v>224</v>
      </c>
      <c r="D29" s="80" t="s">
        <v>216</v>
      </c>
      <c r="E29" s="80" t="str">
        <f t="shared" si="0"/>
        <v>Series D</v>
      </c>
      <c r="F29" s="81">
        <v>0</v>
      </c>
      <c r="G29" s="81">
        <f t="shared" si="1"/>
        <v>0</v>
      </c>
      <c r="H29" s="82">
        <v>1</v>
      </c>
      <c r="I29" s="83">
        <f t="shared" si="2"/>
        <v>0</v>
      </c>
      <c r="J29" s="84">
        <v>0</v>
      </c>
      <c r="L29" s="82">
        <v>1</v>
      </c>
      <c r="M29" s="81">
        <f t="shared" si="3"/>
        <v>0</v>
      </c>
      <c r="O29" s="85" t="s">
        <v>217</v>
      </c>
      <c r="P29" s="82">
        <v>0</v>
      </c>
      <c r="Q29" s="14">
        <f t="shared" si="4"/>
        <v>0</v>
      </c>
      <c r="S29" s="86" t="s">
        <v>218</v>
      </c>
      <c r="T29" s="87">
        <v>0.05</v>
      </c>
      <c r="U29" s="14">
        <f t="shared" si="5"/>
        <v>0</v>
      </c>
      <c r="V29" s="88">
        <f t="shared" ca="1" si="6"/>
        <v>45934</v>
      </c>
      <c r="W29" s="88">
        <f t="shared" ca="1" si="7"/>
        <v>44473</v>
      </c>
      <c r="Y29" s="129" t="b">
        <v>0</v>
      </c>
      <c r="Z29" s="87">
        <v>0.2</v>
      </c>
      <c r="AA29" s="93">
        <v>0</v>
      </c>
      <c r="AB29" s="30" t="s">
        <v>261</v>
      </c>
    </row>
    <row r="30" spans="1:29" ht="13">
      <c r="B30" s="80" t="s">
        <v>225</v>
      </c>
      <c r="D30" s="80" t="s">
        <v>216</v>
      </c>
      <c r="E30" s="80" t="str">
        <f t="shared" si="0"/>
        <v>Series C</v>
      </c>
      <c r="F30" s="81">
        <v>0</v>
      </c>
      <c r="G30" s="81">
        <f t="shared" si="1"/>
        <v>0</v>
      </c>
      <c r="H30" s="82">
        <v>1</v>
      </c>
      <c r="I30" s="83">
        <f t="shared" si="2"/>
        <v>0</v>
      </c>
      <c r="J30" s="84">
        <v>0</v>
      </c>
      <c r="L30" s="82">
        <v>1</v>
      </c>
      <c r="M30" s="81">
        <f t="shared" si="3"/>
        <v>0</v>
      </c>
      <c r="O30" s="85" t="s">
        <v>217</v>
      </c>
      <c r="P30" s="82">
        <v>0</v>
      </c>
      <c r="Q30" s="14">
        <f t="shared" si="4"/>
        <v>0</v>
      </c>
      <c r="S30" s="86" t="s">
        <v>218</v>
      </c>
      <c r="T30" s="87">
        <v>0.05</v>
      </c>
      <c r="U30" s="14">
        <f t="shared" si="5"/>
        <v>0</v>
      </c>
      <c r="V30" s="88">
        <f t="shared" ca="1" si="6"/>
        <v>45934</v>
      </c>
      <c r="W30" s="88">
        <f t="shared" ca="1" si="7"/>
        <v>44473</v>
      </c>
      <c r="Y30" s="129" t="b">
        <v>0</v>
      </c>
      <c r="Z30" s="87">
        <v>0.2</v>
      </c>
      <c r="AA30" s="93">
        <v>8000000</v>
      </c>
      <c r="AB30" s="30" t="s">
        <v>261</v>
      </c>
    </row>
    <row r="31" spans="1:29" ht="13">
      <c r="B31" s="80" t="s">
        <v>226</v>
      </c>
      <c r="D31" s="80" t="s">
        <v>216</v>
      </c>
      <c r="E31" s="80" t="str">
        <f t="shared" si="0"/>
        <v>Series B</v>
      </c>
      <c r="F31" s="81">
        <f t="shared" ref="F31:F32" si="8">F32*2</f>
        <v>2000000</v>
      </c>
      <c r="G31" s="81">
        <f t="shared" si="1"/>
        <v>2000000</v>
      </c>
      <c r="H31" s="82">
        <v>1</v>
      </c>
      <c r="I31" s="83">
        <f t="shared" si="2"/>
        <v>0.10526315789473684</v>
      </c>
      <c r="J31" s="84">
        <v>1</v>
      </c>
      <c r="L31" s="82">
        <v>1</v>
      </c>
      <c r="M31" s="81">
        <f t="shared" si="3"/>
        <v>2000000</v>
      </c>
      <c r="O31" s="85" t="s">
        <v>217</v>
      </c>
      <c r="P31" s="82">
        <v>0</v>
      </c>
      <c r="Q31" s="14">
        <f t="shared" si="4"/>
        <v>0</v>
      </c>
      <c r="S31" s="86" t="s">
        <v>218</v>
      </c>
      <c r="T31" s="87">
        <v>0.05</v>
      </c>
      <c r="U31" s="14">
        <f t="shared" si="5"/>
        <v>0</v>
      </c>
      <c r="V31" s="88">
        <f t="shared" ca="1" si="6"/>
        <v>45934</v>
      </c>
      <c r="W31" s="88">
        <f t="shared" ca="1" si="7"/>
        <v>44473</v>
      </c>
      <c r="Y31" s="129" t="b">
        <v>0</v>
      </c>
      <c r="Z31" s="87">
        <v>0.2</v>
      </c>
      <c r="AA31" s="93">
        <v>0</v>
      </c>
      <c r="AB31" s="30" t="s">
        <v>261</v>
      </c>
    </row>
    <row r="32" spans="1:29" ht="13">
      <c r="B32" s="80" t="s">
        <v>227</v>
      </c>
      <c r="D32" s="80" t="s">
        <v>216</v>
      </c>
      <c r="E32" s="80" t="str">
        <f t="shared" si="0"/>
        <v>Series A</v>
      </c>
      <c r="F32" s="81">
        <f t="shared" si="8"/>
        <v>1000000</v>
      </c>
      <c r="G32" s="81">
        <f t="shared" si="1"/>
        <v>2000000</v>
      </c>
      <c r="H32" s="82">
        <v>1</v>
      </c>
      <c r="I32" s="83">
        <f t="shared" si="2"/>
        <v>0.10526315789473684</v>
      </c>
      <c r="J32" s="84">
        <v>0.5</v>
      </c>
      <c r="L32" s="82">
        <v>1</v>
      </c>
      <c r="M32" s="81">
        <f t="shared" si="3"/>
        <v>1000000</v>
      </c>
      <c r="O32" s="85" t="s">
        <v>217</v>
      </c>
      <c r="P32" s="82">
        <v>0</v>
      </c>
      <c r="Q32" s="14">
        <f t="shared" si="4"/>
        <v>0</v>
      </c>
      <c r="S32" s="86" t="s">
        <v>218</v>
      </c>
      <c r="T32" s="87">
        <v>0.05</v>
      </c>
      <c r="U32" s="14">
        <f t="shared" si="5"/>
        <v>0</v>
      </c>
      <c r="V32" s="88">
        <f t="shared" ca="1" si="6"/>
        <v>45934</v>
      </c>
      <c r="W32" s="88">
        <f t="shared" ca="1" si="7"/>
        <v>44473</v>
      </c>
      <c r="Y32" s="129" t="b">
        <v>0</v>
      </c>
      <c r="Z32" s="87">
        <v>0.2</v>
      </c>
      <c r="AA32" s="93">
        <v>0</v>
      </c>
      <c r="AB32" s="30" t="s">
        <v>261</v>
      </c>
    </row>
    <row r="33" spans="2:28" ht="13">
      <c r="B33" s="80" t="s">
        <v>228</v>
      </c>
      <c r="D33" s="80" t="s">
        <v>216</v>
      </c>
      <c r="E33" s="80" t="str">
        <f t="shared" si="0"/>
        <v>Seed</v>
      </c>
      <c r="F33" s="81">
        <v>500000</v>
      </c>
      <c r="G33" s="81">
        <f t="shared" si="1"/>
        <v>5000000</v>
      </c>
      <c r="H33" s="82">
        <v>1</v>
      </c>
      <c r="I33" s="83">
        <f t="shared" si="2"/>
        <v>0.26315789473684209</v>
      </c>
      <c r="J33" s="84">
        <v>0.1</v>
      </c>
      <c r="L33" s="82">
        <v>1</v>
      </c>
      <c r="M33" s="81">
        <f t="shared" si="3"/>
        <v>500000</v>
      </c>
      <c r="O33" s="85" t="s">
        <v>217</v>
      </c>
      <c r="P33" s="82">
        <v>0</v>
      </c>
      <c r="Q33" s="14">
        <f t="shared" si="4"/>
        <v>0</v>
      </c>
      <c r="S33" s="86" t="s">
        <v>218</v>
      </c>
      <c r="T33" s="87">
        <v>0.05</v>
      </c>
      <c r="U33" s="14">
        <f t="shared" si="5"/>
        <v>0</v>
      </c>
      <c r="V33" s="88">
        <f t="shared" ca="1" si="6"/>
        <v>45934</v>
      </c>
      <c r="W33" s="88">
        <f t="shared" ca="1" si="7"/>
        <v>44473</v>
      </c>
      <c r="Y33" s="129" t="b">
        <v>0</v>
      </c>
      <c r="Z33" s="87">
        <v>0.2</v>
      </c>
      <c r="AA33" s="93">
        <v>0</v>
      </c>
      <c r="AB33" s="30" t="s">
        <v>261</v>
      </c>
    </row>
    <row r="34" spans="2:28" ht="13">
      <c r="B34" s="80" t="s">
        <v>94</v>
      </c>
      <c r="D34" s="80" t="s">
        <v>94</v>
      </c>
      <c r="E34" s="80" t="str">
        <f t="shared" si="0"/>
        <v>Common</v>
      </c>
      <c r="F34" s="81">
        <v>0</v>
      </c>
      <c r="G34" s="81">
        <v>10000000</v>
      </c>
      <c r="H34" s="82">
        <v>1</v>
      </c>
      <c r="I34" s="83">
        <f t="shared" si="2"/>
        <v>0.52631578947368418</v>
      </c>
      <c r="J34" s="84">
        <v>0</v>
      </c>
      <c r="L34" s="82">
        <v>1</v>
      </c>
      <c r="M34" s="81">
        <f t="shared" si="3"/>
        <v>0</v>
      </c>
      <c r="O34" s="85" t="s">
        <v>217</v>
      </c>
      <c r="P34" s="82">
        <v>0</v>
      </c>
      <c r="Q34" s="14">
        <f t="shared" si="4"/>
        <v>0</v>
      </c>
      <c r="S34" s="86" t="s">
        <v>218</v>
      </c>
      <c r="T34" s="87">
        <v>0.05</v>
      </c>
      <c r="U34" s="14">
        <f t="shared" si="5"/>
        <v>0</v>
      </c>
      <c r="V34" s="88">
        <f t="shared" ca="1" si="6"/>
        <v>45934</v>
      </c>
      <c r="W34" s="88">
        <f t="shared" ca="1" si="7"/>
        <v>44473</v>
      </c>
      <c r="Y34" s="129" t="b">
        <v>0</v>
      </c>
      <c r="Z34" s="87">
        <v>0.2</v>
      </c>
      <c r="AA34" s="93">
        <v>0</v>
      </c>
      <c r="AB34" s="30" t="s">
        <v>261</v>
      </c>
    </row>
    <row r="35" spans="2:28" ht="13">
      <c r="B35" s="80" t="s">
        <v>79</v>
      </c>
      <c r="D35" s="80" t="s">
        <v>79</v>
      </c>
      <c r="E35" s="80" t="str">
        <f t="shared" si="0"/>
        <v>Options</v>
      </c>
      <c r="F35" s="81">
        <v>0</v>
      </c>
      <c r="G35" s="81">
        <v>0</v>
      </c>
      <c r="H35" s="82">
        <v>1</v>
      </c>
      <c r="I35" s="83">
        <f t="shared" si="2"/>
        <v>0</v>
      </c>
      <c r="J35" s="84">
        <v>0</v>
      </c>
      <c r="L35" s="82">
        <v>1</v>
      </c>
      <c r="M35" s="81">
        <f t="shared" si="3"/>
        <v>0</v>
      </c>
      <c r="O35" s="85" t="s">
        <v>217</v>
      </c>
      <c r="P35" s="82">
        <v>0</v>
      </c>
      <c r="Q35" s="14">
        <f t="shared" si="4"/>
        <v>0</v>
      </c>
      <c r="S35" s="86" t="s">
        <v>218</v>
      </c>
      <c r="T35" s="87">
        <v>0.05</v>
      </c>
      <c r="U35" s="14">
        <f t="shared" si="5"/>
        <v>0</v>
      </c>
      <c r="V35" s="88">
        <f t="shared" ca="1" si="6"/>
        <v>45934</v>
      </c>
      <c r="W35" s="88">
        <f t="shared" ca="1" si="7"/>
        <v>44473</v>
      </c>
      <c r="Y35" s="129" t="b">
        <v>0</v>
      </c>
      <c r="Z35" s="87">
        <v>0.2</v>
      </c>
      <c r="AA35" s="93">
        <v>0</v>
      </c>
      <c r="AB35" s="30" t="s">
        <v>261</v>
      </c>
    </row>
    <row r="36" spans="2:28" ht="13">
      <c r="B36" s="80" t="s">
        <v>79</v>
      </c>
      <c r="D36" s="80" t="s">
        <v>79</v>
      </c>
      <c r="E36" s="80" t="str">
        <f t="shared" si="0"/>
        <v>Options</v>
      </c>
      <c r="F36" s="81">
        <v>0</v>
      </c>
      <c r="G36" s="81">
        <v>0</v>
      </c>
      <c r="H36" s="82">
        <v>1</v>
      </c>
      <c r="I36" s="83">
        <f t="shared" si="2"/>
        <v>0</v>
      </c>
      <c r="J36" s="84">
        <v>0</v>
      </c>
      <c r="L36" s="82">
        <v>1</v>
      </c>
      <c r="M36" s="81">
        <f t="shared" si="3"/>
        <v>0</v>
      </c>
      <c r="O36" s="85" t="s">
        <v>217</v>
      </c>
      <c r="P36" s="82">
        <v>0</v>
      </c>
      <c r="Q36" s="14">
        <f t="shared" si="4"/>
        <v>0</v>
      </c>
      <c r="S36" s="86" t="s">
        <v>218</v>
      </c>
      <c r="T36" s="87">
        <v>0.05</v>
      </c>
      <c r="U36" s="14">
        <f t="shared" si="5"/>
        <v>0</v>
      </c>
      <c r="V36" s="88">
        <f t="shared" ca="1" si="6"/>
        <v>45934</v>
      </c>
      <c r="W36" s="88">
        <f t="shared" ca="1" si="7"/>
        <v>44473</v>
      </c>
      <c r="Y36" s="129" t="b">
        <v>0</v>
      </c>
      <c r="Z36" s="87">
        <v>0.2</v>
      </c>
      <c r="AA36" s="93">
        <v>0</v>
      </c>
      <c r="AB36" s="30" t="s">
        <v>261</v>
      </c>
    </row>
    <row r="37" spans="2:28" ht="13">
      <c r="B37" s="80" t="s">
        <v>229</v>
      </c>
      <c r="D37" s="80" t="s">
        <v>229</v>
      </c>
      <c r="E37" s="80" t="str">
        <f t="shared" si="0"/>
        <v>Warrants</v>
      </c>
      <c r="F37" s="81">
        <v>0</v>
      </c>
      <c r="G37" s="81">
        <v>0</v>
      </c>
      <c r="H37" s="82">
        <v>1</v>
      </c>
      <c r="I37" s="83">
        <f t="shared" si="2"/>
        <v>0</v>
      </c>
      <c r="J37" s="84">
        <v>0</v>
      </c>
      <c r="L37" s="82">
        <v>1</v>
      </c>
      <c r="M37" s="81">
        <f t="shared" si="3"/>
        <v>0</v>
      </c>
      <c r="O37" s="85" t="s">
        <v>217</v>
      </c>
      <c r="P37" s="82">
        <v>0</v>
      </c>
      <c r="Q37" s="14">
        <f t="shared" si="4"/>
        <v>0</v>
      </c>
      <c r="S37" s="86" t="s">
        <v>218</v>
      </c>
      <c r="T37" s="87">
        <v>0.05</v>
      </c>
      <c r="U37" s="14">
        <f t="shared" si="5"/>
        <v>0</v>
      </c>
      <c r="V37" s="88">
        <f t="shared" ca="1" si="6"/>
        <v>45934</v>
      </c>
      <c r="W37" s="88">
        <f t="shared" ca="1" si="7"/>
        <v>44473</v>
      </c>
      <c r="Y37" s="129" t="b">
        <v>0</v>
      </c>
      <c r="Z37" s="87">
        <v>0.2</v>
      </c>
      <c r="AA37" s="93">
        <v>0</v>
      </c>
      <c r="AB37" s="30" t="s">
        <v>261</v>
      </c>
    </row>
    <row r="38" spans="2:28" ht="13">
      <c r="B38" s="66"/>
    </row>
    <row r="39" spans="2:28" ht="13">
      <c r="B39" s="89" t="s">
        <v>101</v>
      </c>
      <c r="C39" s="36"/>
      <c r="D39" s="36"/>
      <c r="E39" s="36"/>
      <c r="F39" s="90">
        <f t="shared" ref="F39:G39" si="9">SUM(F22:F38)</f>
        <v>3500000</v>
      </c>
      <c r="G39" s="90">
        <f t="shared" si="9"/>
        <v>19000000</v>
      </c>
      <c r="H39" s="36"/>
      <c r="I39" s="91">
        <f>IFERROR(G39/G$39,0)</f>
        <v>1</v>
      </c>
      <c r="J39" s="36"/>
      <c r="K39" s="90"/>
      <c r="L39" s="90"/>
      <c r="M39" s="90">
        <f>SUM(M22:M38)</f>
        <v>3500000</v>
      </c>
      <c r="N39" s="90"/>
      <c r="O39" s="90"/>
      <c r="P39" s="90"/>
      <c r="Q39" s="90"/>
      <c r="R39" s="90"/>
      <c r="S39" s="90"/>
      <c r="T39" s="90"/>
      <c r="U39" s="90"/>
      <c r="V39" s="90"/>
      <c r="W39" s="90"/>
      <c r="Y39" s="90"/>
      <c r="Z39" s="90"/>
      <c r="AA39" s="90"/>
      <c r="AB39" s="90"/>
    </row>
    <row r="40" spans="2:28" ht="13">
      <c r="B40" s="66"/>
    </row>
    <row r="41" spans="2:28" ht="13">
      <c r="B41" s="92" t="s">
        <v>230</v>
      </c>
    </row>
    <row r="42" spans="2:28" ht="13">
      <c r="B42" s="92" t="s">
        <v>231</v>
      </c>
      <c r="D42" s="93">
        <f>ROUNDDOWN(LARGE($M23:$M37,D47)/500000,0)*500000</f>
        <v>2000000</v>
      </c>
      <c r="E42" s="93">
        <f t="shared" ref="E42:J42" si="10">MAX(D42+1000000,IF(LARGE($M23:$M37,E47)&gt;0,ROUNDDOWN(LARGE($M23:$M37,E47)/500000,0)*500000+D42,D42*2))</f>
        <v>3000000</v>
      </c>
      <c r="F42" s="93">
        <f t="shared" si="10"/>
        <v>4000000</v>
      </c>
      <c r="G42" s="93">
        <f t="shared" si="10"/>
        <v>8000000</v>
      </c>
      <c r="H42" s="93">
        <f t="shared" si="10"/>
        <v>16000000</v>
      </c>
      <c r="I42" s="93">
        <f t="shared" si="10"/>
        <v>32000000</v>
      </c>
      <c r="J42" s="93">
        <f t="shared" si="10"/>
        <v>64000000</v>
      </c>
    </row>
    <row r="43" spans="2:28" ht="13">
      <c r="B43" s="92" t="s">
        <v>232</v>
      </c>
      <c r="D43" s="93">
        <v>0</v>
      </c>
      <c r="E43" s="93">
        <v>0</v>
      </c>
      <c r="F43" s="93">
        <v>0</v>
      </c>
      <c r="G43" s="93">
        <v>0</v>
      </c>
      <c r="H43" s="93">
        <v>0</v>
      </c>
      <c r="I43" s="93">
        <v>0</v>
      </c>
      <c r="J43" s="93">
        <v>0</v>
      </c>
    </row>
    <row r="44" spans="2:28" ht="13">
      <c r="B44" s="92" t="s">
        <v>233</v>
      </c>
      <c r="D44" s="93">
        <v>0</v>
      </c>
      <c r="E44" s="93">
        <v>0</v>
      </c>
      <c r="F44" s="93">
        <v>0</v>
      </c>
      <c r="G44" s="93">
        <v>0</v>
      </c>
      <c r="H44" s="93">
        <v>0</v>
      </c>
      <c r="I44" s="93">
        <v>0</v>
      </c>
      <c r="J44" s="93">
        <v>0</v>
      </c>
      <c r="K44" s="94"/>
      <c r="L44" s="94"/>
      <c r="M44" s="94"/>
    </row>
    <row r="45" spans="2:28" ht="13">
      <c r="B45" s="92" t="s">
        <v>234</v>
      </c>
      <c r="D45" s="94">
        <f t="shared" ref="D45:J45" si="11">SUMPRODUCT( --($D23:$D37="options"), $J23:$J37, D121:D135 )</f>
        <v>0</v>
      </c>
      <c r="E45" s="94">
        <f t="shared" si="11"/>
        <v>0</v>
      </c>
      <c r="F45" s="94">
        <f t="shared" si="11"/>
        <v>0</v>
      </c>
      <c r="G45" s="94">
        <f t="shared" si="11"/>
        <v>0</v>
      </c>
      <c r="H45" s="94">
        <f t="shared" si="11"/>
        <v>0</v>
      </c>
      <c r="I45" s="94">
        <f t="shared" si="11"/>
        <v>0</v>
      </c>
      <c r="J45" s="94">
        <f t="shared" si="11"/>
        <v>0</v>
      </c>
      <c r="K45" s="94"/>
      <c r="L45" s="94"/>
      <c r="M45" s="94"/>
    </row>
    <row r="46" spans="2:28" ht="13">
      <c r="B46" s="92" t="s">
        <v>230</v>
      </c>
      <c r="D46" s="95">
        <f t="shared" ref="D46:J46" si="12">SUM(D42,ABS(D43)*-1,ABS(D44)*-1,D45)</f>
        <v>2000000</v>
      </c>
      <c r="E46" s="95">
        <f t="shared" si="12"/>
        <v>3000000</v>
      </c>
      <c r="F46" s="95">
        <f t="shared" si="12"/>
        <v>4000000</v>
      </c>
      <c r="G46" s="95">
        <f t="shared" si="12"/>
        <v>8000000</v>
      </c>
      <c r="H46" s="95">
        <f t="shared" si="12"/>
        <v>16000000</v>
      </c>
      <c r="I46" s="95">
        <f t="shared" si="12"/>
        <v>32000000</v>
      </c>
      <c r="J46" s="95">
        <f t="shared" si="12"/>
        <v>64000000</v>
      </c>
      <c r="K46" s="94"/>
      <c r="L46" s="94"/>
      <c r="M46" s="94"/>
    </row>
    <row r="47" spans="2:28" ht="13">
      <c r="B47" s="66" t="s">
        <v>235</v>
      </c>
      <c r="D47" s="14">
        <v>1</v>
      </c>
      <c r="E47" s="14">
        <f t="shared" ref="E47:J47" si="13">D47+1</f>
        <v>2</v>
      </c>
      <c r="F47" s="14">
        <f t="shared" si="13"/>
        <v>3</v>
      </c>
      <c r="G47" s="14">
        <f t="shared" si="13"/>
        <v>4</v>
      </c>
      <c r="H47" s="14">
        <f t="shared" si="13"/>
        <v>5</v>
      </c>
      <c r="I47" s="14">
        <f t="shared" si="13"/>
        <v>6</v>
      </c>
      <c r="J47" s="14">
        <f t="shared" si="13"/>
        <v>7</v>
      </c>
    </row>
    <row r="48" spans="2:28" ht="13">
      <c r="B48" s="66"/>
      <c r="K48" s="94"/>
      <c r="L48" s="94"/>
      <c r="M48" s="94"/>
    </row>
    <row r="49" spans="2:10" ht="13">
      <c r="B49" s="96" t="s">
        <v>236</v>
      </c>
    </row>
    <row r="50" spans="2:10" ht="13">
      <c r="B50" s="66" t="str">
        <f t="shared" ref="B50:B64" si="14">E23</f>
        <v>Series J</v>
      </c>
      <c r="D50" s="94">
        <f t="shared" ref="D50:J50" si="15">MAX(0,MIN(SUMPRODUCT($M$23:$M$37,--($E$23:$E$37=$B139)),D$46-SUM(D$49:D49)))</f>
        <v>0</v>
      </c>
      <c r="E50" s="94">
        <f t="shared" si="15"/>
        <v>0</v>
      </c>
      <c r="F50" s="94">
        <f t="shared" si="15"/>
        <v>0</v>
      </c>
      <c r="G50" s="94">
        <f t="shared" si="15"/>
        <v>0</v>
      </c>
      <c r="H50" s="94">
        <f t="shared" si="15"/>
        <v>0</v>
      </c>
      <c r="I50" s="94">
        <f t="shared" si="15"/>
        <v>0</v>
      </c>
      <c r="J50" s="94">
        <f t="shared" si="15"/>
        <v>0</v>
      </c>
    </row>
    <row r="51" spans="2:10" ht="13">
      <c r="B51" s="66" t="str">
        <f t="shared" si="14"/>
        <v>Series I</v>
      </c>
      <c r="D51" s="94">
        <f t="shared" ref="D51:J51" si="16">MAX(0,MIN(SUMPRODUCT($M$23:$M$37,--($E$23:$E$37=$B140)),D$46-SUM(D$49:D50)))</f>
        <v>0</v>
      </c>
      <c r="E51" s="94">
        <f t="shared" si="16"/>
        <v>0</v>
      </c>
      <c r="F51" s="94">
        <f t="shared" si="16"/>
        <v>0</v>
      </c>
      <c r="G51" s="94">
        <f t="shared" si="16"/>
        <v>0</v>
      </c>
      <c r="H51" s="94">
        <f t="shared" si="16"/>
        <v>0</v>
      </c>
      <c r="I51" s="94">
        <f t="shared" si="16"/>
        <v>0</v>
      </c>
      <c r="J51" s="94">
        <f t="shared" si="16"/>
        <v>0</v>
      </c>
    </row>
    <row r="52" spans="2:10" ht="13">
      <c r="B52" s="66" t="str">
        <f t="shared" si="14"/>
        <v>Series H</v>
      </c>
      <c r="D52" s="94">
        <f t="shared" ref="D52:J52" si="17">MAX(0,MIN(SUMPRODUCT($M$23:$M$37,--($E$23:$E$37=$B141)),D$46-SUM(D$49:D51)))</f>
        <v>0</v>
      </c>
      <c r="E52" s="94">
        <f t="shared" si="17"/>
        <v>0</v>
      </c>
      <c r="F52" s="94">
        <f t="shared" si="17"/>
        <v>0</v>
      </c>
      <c r="G52" s="94">
        <f t="shared" si="17"/>
        <v>0</v>
      </c>
      <c r="H52" s="94">
        <f t="shared" si="17"/>
        <v>0</v>
      </c>
      <c r="I52" s="94">
        <f t="shared" si="17"/>
        <v>0</v>
      </c>
      <c r="J52" s="94">
        <f t="shared" si="17"/>
        <v>0</v>
      </c>
    </row>
    <row r="53" spans="2:10" ht="13">
      <c r="B53" s="66" t="str">
        <f t="shared" si="14"/>
        <v>Series G</v>
      </c>
      <c r="D53" s="94">
        <f t="shared" ref="D53:J53" si="18">MAX(0,MIN(SUMPRODUCT($M$23:$M$37,--($E$23:$E$37=$B142)),D$46-SUM(D$49:D52)))</f>
        <v>0</v>
      </c>
      <c r="E53" s="94">
        <f t="shared" si="18"/>
        <v>0</v>
      </c>
      <c r="F53" s="94">
        <f t="shared" si="18"/>
        <v>0</v>
      </c>
      <c r="G53" s="94">
        <f t="shared" si="18"/>
        <v>0</v>
      </c>
      <c r="H53" s="94">
        <f t="shared" si="18"/>
        <v>0</v>
      </c>
      <c r="I53" s="94">
        <f t="shared" si="18"/>
        <v>0</v>
      </c>
      <c r="J53" s="94">
        <f t="shared" si="18"/>
        <v>0</v>
      </c>
    </row>
    <row r="54" spans="2:10" ht="13">
      <c r="B54" s="66" t="str">
        <f t="shared" si="14"/>
        <v>Series F</v>
      </c>
      <c r="D54" s="94">
        <f t="shared" ref="D54:J54" si="19">MAX(0,MIN(SUMPRODUCT($M$23:$M$37,--($E$23:$E$37=$B143)),D$46-SUM(D$49:D53)))</f>
        <v>0</v>
      </c>
      <c r="E54" s="94">
        <f t="shared" si="19"/>
        <v>0</v>
      </c>
      <c r="F54" s="94">
        <f t="shared" si="19"/>
        <v>0</v>
      </c>
      <c r="G54" s="94">
        <f t="shared" si="19"/>
        <v>0</v>
      </c>
      <c r="H54" s="94">
        <f t="shared" si="19"/>
        <v>0</v>
      </c>
      <c r="I54" s="94">
        <f t="shared" si="19"/>
        <v>0</v>
      </c>
      <c r="J54" s="94">
        <f t="shared" si="19"/>
        <v>0</v>
      </c>
    </row>
    <row r="55" spans="2:10" ht="13">
      <c r="B55" s="66" t="str">
        <f t="shared" si="14"/>
        <v>Series E</v>
      </c>
      <c r="D55" s="94">
        <f t="shared" ref="D55:J55" si="20">MAX(0,MIN(SUMPRODUCT($M$23:$M$37,--($E$23:$E$37=$B144)),D$46-SUM(D$49:D54)))</f>
        <v>0</v>
      </c>
      <c r="E55" s="94">
        <f t="shared" si="20"/>
        <v>0</v>
      </c>
      <c r="F55" s="94">
        <f t="shared" si="20"/>
        <v>0</v>
      </c>
      <c r="G55" s="94">
        <f t="shared" si="20"/>
        <v>0</v>
      </c>
      <c r="H55" s="94">
        <f t="shared" si="20"/>
        <v>0</v>
      </c>
      <c r="I55" s="94">
        <f t="shared" si="20"/>
        <v>0</v>
      </c>
      <c r="J55" s="94">
        <f t="shared" si="20"/>
        <v>0</v>
      </c>
    </row>
    <row r="56" spans="2:10" ht="13">
      <c r="B56" s="66" t="str">
        <f t="shared" si="14"/>
        <v>Series D</v>
      </c>
      <c r="D56" s="94">
        <f t="shared" ref="D56:J56" si="21">MAX(0,MIN(SUMPRODUCT($M$23:$M$37,--($E$23:$E$37=$B145)),D$46-SUM(D$49:D55)))</f>
        <v>0</v>
      </c>
      <c r="E56" s="94">
        <f t="shared" si="21"/>
        <v>0</v>
      </c>
      <c r="F56" s="94">
        <f t="shared" si="21"/>
        <v>0</v>
      </c>
      <c r="G56" s="94">
        <f t="shared" si="21"/>
        <v>0</v>
      </c>
      <c r="H56" s="94">
        <f t="shared" si="21"/>
        <v>0</v>
      </c>
      <c r="I56" s="94">
        <f t="shared" si="21"/>
        <v>0</v>
      </c>
      <c r="J56" s="94">
        <f t="shared" si="21"/>
        <v>0</v>
      </c>
    </row>
    <row r="57" spans="2:10" ht="13">
      <c r="B57" s="66" t="str">
        <f t="shared" si="14"/>
        <v>Series C</v>
      </c>
      <c r="D57" s="94">
        <f t="shared" ref="D57:J57" si="22">MAX(0,MIN(SUMPRODUCT($M$23:$M$37,--($E$23:$E$37=$B146)),D$46-SUM(D$49:D56)))</f>
        <v>0</v>
      </c>
      <c r="E57" s="94">
        <f t="shared" si="22"/>
        <v>0</v>
      </c>
      <c r="F57" s="94">
        <f t="shared" si="22"/>
        <v>0</v>
      </c>
      <c r="G57" s="94">
        <f t="shared" si="22"/>
        <v>0</v>
      </c>
      <c r="H57" s="94">
        <f t="shared" si="22"/>
        <v>0</v>
      </c>
      <c r="I57" s="94">
        <f t="shared" si="22"/>
        <v>0</v>
      </c>
      <c r="J57" s="94">
        <f t="shared" si="22"/>
        <v>0</v>
      </c>
    </row>
    <row r="58" spans="2:10" ht="13">
      <c r="B58" s="66" t="str">
        <f t="shared" si="14"/>
        <v>Series B</v>
      </c>
      <c r="D58" s="94">
        <f t="shared" ref="D58:J58" si="23">MAX(0,MIN(SUMPRODUCT($M$23:$M$37,--($E$23:$E$37=$B147)),D$46-SUM(D$49:D57)))</f>
        <v>2000000</v>
      </c>
      <c r="E58" s="94">
        <f t="shared" si="23"/>
        <v>2000000</v>
      </c>
      <c r="F58" s="94">
        <f t="shared" si="23"/>
        <v>2000000</v>
      </c>
      <c r="G58" s="94">
        <f t="shared" si="23"/>
        <v>2000000</v>
      </c>
      <c r="H58" s="94">
        <f t="shared" si="23"/>
        <v>2000000</v>
      </c>
      <c r="I58" s="94">
        <f t="shared" si="23"/>
        <v>2000000</v>
      </c>
      <c r="J58" s="94">
        <f t="shared" si="23"/>
        <v>2000000</v>
      </c>
    </row>
    <row r="59" spans="2:10" ht="13">
      <c r="B59" s="66" t="str">
        <f t="shared" si="14"/>
        <v>Series A</v>
      </c>
      <c r="D59" s="94">
        <f t="shared" ref="D59:J59" si="24">MAX(0,MIN(SUMPRODUCT($M$23:$M$37,--($E$23:$E$37=$B148)),D$46-SUM(D$49:D58)))</f>
        <v>0</v>
      </c>
      <c r="E59" s="94">
        <f t="shared" si="24"/>
        <v>1000000</v>
      </c>
      <c r="F59" s="94">
        <f t="shared" si="24"/>
        <v>1000000</v>
      </c>
      <c r="G59" s="94">
        <f t="shared" si="24"/>
        <v>1000000</v>
      </c>
      <c r="H59" s="94">
        <f t="shared" si="24"/>
        <v>1000000</v>
      </c>
      <c r="I59" s="94">
        <f t="shared" si="24"/>
        <v>1000000</v>
      </c>
      <c r="J59" s="94">
        <f t="shared" si="24"/>
        <v>1000000</v>
      </c>
    </row>
    <row r="60" spans="2:10" ht="13">
      <c r="B60" s="66" t="str">
        <f t="shared" si="14"/>
        <v>Seed</v>
      </c>
      <c r="D60" s="94">
        <f t="shared" ref="D60:J60" si="25">MAX(0,MIN(SUMPRODUCT($M$23:$M$37,--($E$23:$E$37=$B149)),D$46-SUM(D$49:D59)))</f>
        <v>0</v>
      </c>
      <c r="E60" s="94">
        <f t="shared" si="25"/>
        <v>0</v>
      </c>
      <c r="F60" s="94">
        <f t="shared" si="25"/>
        <v>500000</v>
      </c>
      <c r="G60" s="94">
        <f t="shared" si="25"/>
        <v>500000</v>
      </c>
      <c r="H60" s="94">
        <f t="shared" si="25"/>
        <v>500000</v>
      </c>
      <c r="I60" s="94">
        <f t="shared" si="25"/>
        <v>500000</v>
      </c>
      <c r="J60" s="94">
        <f t="shared" si="25"/>
        <v>500000</v>
      </c>
    </row>
    <row r="61" spans="2:10" ht="13">
      <c r="B61" s="66" t="str">
        <f t="shared" si="14"/>
        <v>Common</v>
      </c>
      <c r="D61" s="94">
        <f t="shared" ref="D61:J61" si="26">MAX(0,MIN(SUMPRODUCT($M$23:$M$37,--($E$23:$E$37=$B150)),D$46-SUM(D$49:D60)))</f>
        <v>0</v>
      </c>
      <c r="E61" s="94">
        <f t="shared" si="26"/>
        <v>0</v>
      </c>
      <c r="F61" s="94">
        <f t="shared" si="26"/>
        <v>0</v>
      </c>
      <c r="G61" s="94">
        <f t="shared" si="26"/>
        <v>0</v>
      </c>
      <c r="H61" s="94">
        <f t="shared" si="26"/>
        <v>0</v>
      </c>
      <c r="I61" s="94">
        <f t="shared" si="26"/>
        <v>0</v>
      </c>
      <c r="J61" s="94">
        <f t="shared" si="26"/>
        <v>0</v>
      </c>
    </row>
    <row r="62" spans="2:10" ht="13">
      <c r="B62" s="66" t="str">
        <f t="shared" si="14"/>
        <v>Options</v>
      </c>
      <c r="D62" s="94">
        <f t="shared" ref="D62:J62" si="27">MAX(0,MIN(SUMPRODUCT($M$23:$M$37,--($E$23:$E$37=$B151)),D$46-SUM(D$49:D61)))</f>
        <v>0</v>
      </c>
      <c r="E62" s="94">
        <f t="shared" si="27"/>
        <v>0</v>
      </c>
      <c r="F62" s="94">
        <f t="shared" si="27"/>
        <v>0</v>
      </c>
      <c r="G62" s="94">
        <f t="shared" si="27"/>
        <v>0</v>
      </c>
      <c r="H62" s="94">
        <f t="shared" si="27"/>
        <v>0</v>
      </c>
      <c r="I62" s="94">
        <f t="shared" si="27"/>
        <v>0</v>
      </c>
      <c r="J62" s="94">
        <f t="shared" si="27"/>
        <v>0</v>
      </c>
    </row>
    <row r="63" spans="2:10" ht="13">
      <c r="B63" s="66" t="str">
        <f t="shared" si="14"/>
        <v>Options</v>
      </c>
      <c r="D63" s="94">
        <f t="shared" ref="D63:J63" si="28">MAX(0,MIN(SUMPRODUCT($M$23:$M$37,--($E$23:$E$37=$B152)),D$46-SUM(D$49:D62)))</f>
        <v>0</v>
      </c>
      <c r="E63" s="94">
        <f t="shared" si="28"/>
        <v>0</v>
      </c>
      <c r="F63" s="94">
        <f t="shared" si="28"/>
        <v>0</v>
      </c>
      <c r="G63" s="94">
        <f t="shared" si="28"/>
        <v>0</v>
      </c>
      <c r="H63" s="94">
        <f t="shared" si="28"/>
        <v>0</v>
      </c>
      <c r="I63" s="94">
        <f t="shared" si="28"/>
        <v>0</v>
      </c>
      <c r="J63" s="94">
        <f t="shared" si="28"/>
        <v>0</v>
      </c>
    </row>
    <row r="64" spans="2:10" ht="13">
      <c r="B64" s="66" t="str">
        <f t="shared" si="14"/>
        <v>Warrants</v>
      </c>
      <c r="D64" s="94">
        <f t="shared" ref="D64:J64" si="29">MAX(0,MIN(SUMPRODUCT($M$23:$M$37,--($E$23:$E$37=$B153)),D$46-SUM(D$49:D63)))</f>
        <v>0</v>
      </c>
      <c r="E64" s="94">
        <f t="shared" si="29"/>
        <v>0</v>
      </c>
      <c r="F64" s="94">
        <f t="shared" si="29"/>
        <v>0</v>
      </c>
      <c r="G64" s="94">
        <f t="shared" si="29"/>
        <v>0</v>
      </c>
      <c r="H64" s="94">
        <f t="shared" si="29"/>
        <v>0</v>
      </c>
      <c r="I64" s="94">
        <f t="shared" si="29"/>
        <v>0</v>
      </c>
      <c r="J64" s="94">
        <f t="shared" si="29"/>
        <v>0</v>
      </c>
    </row>
    <row r="65" spans="1:29" ht="13">
      <c r="B65" s="66" t="s">
        <v>101</v>
      </c>
      <c r="D65" s="90">
        <f t="shared" ref="D65:J65" si="30">SUM(D50:D64)</f>
        <v>2000000</v>
      </c>
      <c r="E65" s="90">
        <f t="shared" si="30"/>
        <v>3000000</v>
      </c>
      <c r="F65" s="90">
        <f t="shared" si="30"/>
        <v>3500000</v>
      </c>
      <c r="G65" s="90">
        <f t="shared" si="30"/>
        <v>3500000</v>
      </c>
      <c r="H65" s="90">
        <f t="shared" si="30"/>
        <v>3500000</v>
      </c>
      <c r="I65" s="90">
        <f t="shared" si="30"/>
        <v>3500000</v>
      </c>
      <c r="J65" s="90">
        <f t="shared" si="30"/>
        <v>3500000</v>
      </c>
    </row>
    <row r="66" spans="1:29" ht="13">
      <c r="D66" s="94"/>
      <c r="E66" s="94"/>
      <c r="F66" s="94"/>
      <c r="G66" s="94"/>
      <c r="H66" s="94"/>
      <c r="I66" s="94"/>
      <c r="J66" s="94"/>
    </row>
    <row r="67" spans="1:29" ht="13" outlineLevel="1">
      <c r="A67" s="10"/>
      <c r="B67" s="97" t="s">
        <v>262</v>
      </c>
      <c r="C67" s="10"/>
      <c r="D67" s="98"/>
      <c r="E67" s="98"/>
      <c r="F67" s="98"/>
      <c r="G67" s="98"/>
      <c r="H67" s="98"/>
      <c r="I67" s="98"/>
      <c r="J67" s="98"/>
      <c r="K67" s="10"/>
      <c r="L67" s="10" t="s">
        <v>263</v>
      </c>
      <c r="M67" s="10"/>
      <c r="N67" s="10"/>
      <c r="O67" s="10"/>
      <c r="P67" s="10"/>
      <c r="Q67" s="10"/>
      <c r="R67" s="10"/>
      <c r="S67" s="10"/>
      <c r="T67" s="10"/>
      <c r="U67" s="10"/>
      <c r="V67" s="10"/>
      <c r="W67" s="10"/>
      <c r="X67" s="10"/>
      <c r="Y67" s="10"/>
      <c r="Z67" s="10"/>
      <c r="AA67" s="10"/>
      <c r="AB67" s="10"/>
      <c r="AC67" s="10"/>
    </row>
    <row r="68" spans="1:29" ht="13" outlineLevel="1">
      <c r="A68" s="10"/>
      <c r="B68" s="66" t="str">
        <f t="shared" ref="B68:B82" si="31">B50</f>
        <v>Series J</v>
      </c>
      <c r="C68" s="10"/>
      <c r="D68" s="98">
        <f t="shared" ref="D68:J68" si="32">IF($Y23 = FALSE, 0, IF(OR($AB23 = "postmoney SAFE",$AB23 = "carta premoney SAFE"), D$136, SUMPRODUCT(D$121:D$135,--($Y$23:$Y$37 = FALSE)) ) )</f>
        <v>0</v>
      </c>
      <c r="E68" s="98">
        <f t="shared" si="32"/>
        <v>0</v>
      </c>
      <c r="F68" s="98">
        <f t="shared" si="32"/>
        <v>0</v>
      </c>
      <c r="G68" s="98">
        <f t="shared" si="32"/>
        <v>0</v>
      </c>
      <c r="H68" s="98">
        <f t="shared" si="32"/>
        <v>0</v>
      </c>
      <c r="I68" s="98">
        <f t="shared" si="32"/>
        <v>0</v>
      </c>
      <c r="J68" s="98">
        <f t="shared" si="32"/>
        <v>0</v>
      </c>
      <c r="K68" s="10"/>
      <c r="L68" s="10"/>
      <c r="M68" s="10"/>
      <c r="N68" s="10"/>
      <c r="O68" s="10"/>
      <c r="P68" s="10"/>
      <c r="Q68" s="10"/>
      <c r="R68" s="10"/>
      <c r="S68" s="10"/>
      <c r="T68" s="10"/>
      <c r="U68" s="10"/>
      <c r="V68" s="10"/>
      <c r="W68" s="10"/>
      <c r="X68" s="10"/>
      <c r="Y68" s="10"/>
      <c r="Z68" s="10"/>
      <c r="AA68" s="10"/>
      <c r="AB68" s="10"/>
      <c r="AC68" s="10"/>
    </row>
    <row r="69" spans="1:29" ht="13" outlineLevel="1">
      <c r="A69" s="10"/>
      <c r="B69" s="66" t="str">
        <f t="shared" si="31"/>
        <v>Series I</v>
      </c>
      <c r="C69" s="10"/>
      <c r="D69" s="98">
        <f t="shared" ref="D69:J69" si="33">IF($Y24 = FALSE, 0, IF(OR($AB24 = "postmoney SAFE",$AB24 = "carta premoney SAFE"), D$136, SUMPRODUCT(D$121:D$135,--($Y$23:$Y$37 = FALSE)) ) )</f>
        <v>0</v>
      </c>
      <c r="E69" s="98">
        <f t="shared" si="33"/>
        <v>0</v>
      </c>
      <c r="F69" s="98">
        <f t="shared" si="33"/>
        <v>0</v>
      </c>
      <c r="G69" s="98">
        <f t="shared" si="33"/>
        <v>0</v>
      </c>
      <c r="H69" s="98">
        <f t="shared" si="33"/>
        <v>0</v>
      </c>
      <c r="I69" s="98">
        <f t="shared" si="33"/>
        <v>0</v>
      </c>
      <c r="J69" s="98">
        <f t="shared" si="33"/>
        <v>0</v>
      </c>
      <c r="K69" s="10"/>
      <c r="L69" s="10"/>
      <c r="M69" s="10"/>
      <c r="N69" s="10"/>
      <c r="O69" s="10"/>
      <c r="P69" s="10"/>
      <c r="Q69" s="10"/>
      <c r="R69" s="10"/>
      <c r="S69" s="10"/>
      <c r="T69" s="10"/>
      <c r="U69" s="10"/>
      <c r="V69" s="10"/>
      <c r="W69" s="10"/>
      <c r="X69" s="10"/>
      <c r="Y69" s="10"/>
      <c r="Z69" s="10"/>
      <c r="AA69" s="10"/>
      <c r="AB69" s="10"/>
      <c r="AC69" s="10"/>
    </row>
    <row r="70" spans="1:29" ht="13" outlineLevel="1">
      <c r="A70" s="10"/>
      <c r="B70" s="66" t="str">
        <f t="shared" si="31"/>
        <v>Series H</v>
      </c>
      <c r="C70" s="10"/>
      <c r="D70" s="98">
        <f t="shared" ref="D70:J70" si="34">IF($Y25 = FALSE, 0, IF(OR($AB25 = "postmoney SAFE",$AB25 = "carta premoney SAFE"), D$136, SUMPRODUCT(D$121:D$135,--($Y$23:$Y$37 = FALSE)) ) )</f>
        <v>0</v>
      </c>
      <c r="E70" s="98">
        <f t="shared" si="34"/>
        <v>0</v>
      </c>
      <c r="F70" s="98">
        <f t="shared" si="34"/>
        <v>0</v>
      </c>
      <c r="G70" s="98">
        <f t="shared" si="34"/>
        <v>0</v>
      </c>
      <c r="H70" s="98">
        <f t="shared" si="34"/>
        <v>0</v>
      </c>
      <c r="I70" s="98">
        <f t="shared" si="34"/>
        <v>0</v>
      </c>
      <c r="J70" s="98">
        <f t="shared" si="34"/>
        <v>0</v>
      </c>
      <c r="K70" s="10"/>
      <c r="L70" s="10"/>
      <c r="M70" s="10"/>
      <c r="N70" s="10"/>
      <c r="O70" s="10"/>
      <c r="P70" s="10"/>
      <c r="Q70" s="10"/>
      <c r="R70" s="10"/>
      <c r="S70" s="10"/>
      <c r="T70" s="10"/>
      <c r="U70" s="10"/>
      <c r="V70" s="10"/>
      <c r="W70" s="10"/>
      <c r="X70" s="10"/>
      <c r="Y70" s="10"/>
      <c r="Z70" s="10"/>
      <c r="AA70" s="10"/>
      <c r="AB70" s="10"/>
      <c r="AC70" s="10"/>
    </row>
    <row r="71" spans="1:29" ht="13" outlineLevel="1">
      <c r="A71" s="10"/>
      <c r="B71" s="66" t="str">
        <f t="shared" si="31"/>
        <v>Series G</v>
      </c>
      <c r="C71" s="10"/>
      <c r="D71" s="98">
        <f t="shared" ref="D71:J71" si="35">IF($Y26 = FALSE, 0, IF(OR($AB26 = "postmoney SAFE",$AB26 = "carta premoney SAFE"), D$136, SUMPRODUCT(D$121:D$135,--($Y$23:$Y$37 = FALSE)) ) )</f>
        <v>0</v>
      </c>
      <c r="E71" s="98">
        <f t="shared" si="35"/>
        <v>0</v>
      </c>
      <c r="F71" s="98">
        <f t="shared" si="35"/>
        <v>0</v>
      </c>
      <c r="G71" s="98">
        <f t="shared" si="35"/>
        <v>0</v>
      </c>
      <c r="H71" s="98">
        <f t="shared" si="35"/>
        <v>0</v>
      </c>
      <c r="I71" s="98">
        <f t="shared" si="35"/>
        <v>0</v>
      </c>
      <c r="J71" s="98">
        <f t="shared" si="35"/>
        <v>0</v>
      </c>
      <c r="K71" s="10"/>
      <c r="L71" s="10"/>
      <c r="M71" s="10"/>
      <c r="N71" s="10"/>
      <c r="O71" s="10"/>
      <c r="P71" s="10"/>
      <c r="Q71" s="10"/>
      <c r="R71" s="10"/>
      <c r="S71" s="10"/>
      <c r="T71" s="10"/>
      <c r="U71" s="10"/>
      <c r="V71" s="10"/>
      <c r="W71" s="10"/>
      <c r="X71" s="10"/>
      <c r="Y71" s="10"/>
      <c r="Z71" s="10"/>
      <c r="AA71" s="10"/>
      <c r="AB71" s="10"/>
      <c r="AC71" s="10"/>
    </row>
    <row r="72" spans="1:29" ht="13" outlineLevel="1">
      <c r="A72" s="10"/>
      <c r="B72" s="66" t="str">
        <f t="shared" si="31"/>
        <v>Series F</v>
      </c>
      <c r="C72" s="10"/>
      <c r="D72" s="98">
        <f t="shared" ref="D72:J72" si="36">IF($Y27 = FALSE, 0, IF(OR($AB27 = "postmoney SAFE",$AB27 = "carta premoney SAFE"), D$136, SUMPRODUCT(D$121:D$135,--($Y$23:$Y$37 = FALSE)) ) )</f>
        <v>0</v>
      </c>
      <c r="E72" s="98">
        <f t="shared" si="36"/>
        <v>0</v>
      </c>
      <c r="F72" s="98">
        <f t="shared" si="36"/>
        <v>0</v>
      </c>
      <c r="G72" s="98">
        <f t="shared" si="36"/>
        <v>0</v>
      </c>
      <c r="H72" s="98">
        <f t="shared" si="36"/>
        <v>0</v>
      </c>
      <c r="I72" s="98">
        <f t="shared" si="36"/>
        <v>0</v>
      </c>
      <c r="J72" s="98">
        <f t="shared" si="36"/>
        <v>0</v>
      </c>
      <c r="K72" s="10"/>
      <c r="L72" s="10"/>
      <c r="M72" s="10"/>
      <c r="N72" s="10"/>
      <c r="O72" s="10"/>
      <c r="P72" s="10"/>
      <c r="Q72" s="10"/>
      <c r="R72" s="10"/>
      <c r="S72" s="10"/>
      <c r="T72" s="10"/>
      <c r="U72" s="10"/>
      <c r="V72" s="10"/>
      <c r="W72" s="10"/>
      <c r="X72" s="10"/>
      <c r="Y72" s="10"/>
      <c r="Z72" s="10"/>
      <c r="AA72" s="10"/>
      <c r="AB72" s="10"/>
      <c r="AC72" s="10"/>
    </row>
    <row r="73" spans="1:29" ht="13" outlineLevel="1">
      <c r="A73" s="10"/>
      <c r="B73" s="66" t="str">
        <f t="shared" si="31"/>
        <v>Series E</v>
      </c>
      <c r="C73" s="10"/>
      <c r="D73" s="98">
        <f t="shared" ref="D73:J73" si="37">IF($Y28 = FALSE, 0, IF(OR($AB28 = "postmoney SAFE",$AB28 = "carta premoney SAFE"), D$136, SUMPRODUCT(D$121:D$135,--($Y$23:$Y$37 = FALSE)) ) )</f>
        <v>0</v>
      </c>
      <c r="E73" s="98">
        <f t="shared" si="37"/>
        <v>0</v>
      </c>
      <c r="F73" s="98">
        <f t="shared" si="37"/>
        <v>0</v>
      </c>
      <c r="G73" s="98">
        <f t="shared" si="37"/>
        <v>0</v>
      </c>
      <c r="H73" s="98">
        <f t="shared" si="37"/>
        <v>0</v>
      </c>
      <c r="I73" s="98">
        <f t="shared" si="37"/>
        <v>0</v>
      </c>
      <c r="J73" s="98">
        <f t="shared" si="37"/>
        <v>0</v>
      </c>
      <c r="K73" s="10"/>
      <c r="L73" s="10"/>
      <c r="M73" s="10"/>
      <c r="N73" s="10"/>
      <c r="O73" s="10"/>
      <c r="P73" s="10"/>
      <c r="Q73" s="10"/>
      <c r="R73" s="10"/>
      <c r="S73" s="10"/>
      <c r="T73" s="10"/>
      <c r="U73" s="10"/>
      <c r="V73" s="10"/>
      <c r="W73" s="10"/>
      <c r="X73" s="10"/>
      <c r="Y73" s="10"/>
      <c r="Z73" s="10"/>
      <c r="AA73" s="10"/>
      <c r="AB73" s="10"/>
      <c r="AC73" s="10"/>
    </row>
    <row r="74" spans="1:29" ht="13" outlineLevel="1">
      <c r="A74" s="10"/>
      <c r="B74" s="66" t="str">
        <f t="shared" si="31"/>
        <v>Series D</v>
      </c>
      <c r="C74" s="10"/>
      <c r="D74" s="98">
        <f t="shared" ref="D74:J74" si="38">IF($Y29 = FALSE, 0, IF(OR($AB29 = "postmoney SAFE",$AB29 = "carta premoney SAFE"), D$136, SUMPRODUCT(D$121:D$135,--($Y$23:$Y$37 = FALSE)) ) )</f>
        <v>0</v>
      </c>
      <c r="E74" s="98">
        <f t="shared" si="38"/>
        <v>0</v>
      </c>
      <c r="F74" s="98">
        <f t="shared" si="38"/>
        <v>0</v>
      </c>
      <c r="G74" s="98">
        <f t="shared" si="38"/>
        <v>0</v>
      </c>
      <c r="H74" s="98">
        <f t="shared" si="38"/>
        <v>0</v>
      </c>
      <c r="I74" s="98">
        <f t="shared" si="38"/>
        <v>0</v>
      </c>
      <c r="J74" s="98">
        <f t="shared" si="38"/>
        <v>0</v>
      </c>
      <c r="K74" s="10"/>
      <c r="L74" s="10"/>
      <c r="M74" s="10"/>
      <c r="N74" s="10"/>
      <c r="O74" s="10"/>
      <c r="P74" s="10"/>
      <c r="Q74" s="10"/>
      <c r="R74" s="10"/>
      <c r="S74" s="10"/>
      <c r="T74" s="10"/>
      <c r="U74" s="10"/>
      <c r="V74" s="10"/>
      <c r="W74" s="10"/>
      <c r="X74" s="10"/>
      <c r="Y74" s="10"/>
      <c r="Z74" s="10"/>
      <c r="AA74" s="10"/>
      <c r="AB74" s="10"/>
      <c r="AC74" s="10"/>
    </row>
    <row r="75" spans="1:29" ht="13" outlineLevel="1">
      <c r="A75" s="10"/>
      <c r="B75" s="66" t="str">
        <f t="shared" si="31"/>
        <v>Series C</v>
      </c>
      <c r="C75" s="10"/>
      <c r="D75" s="98">
        <f t="shared" ref="D75:J75" si="39">IF($Y30 = FALSE, 0, IF(OR($AB30 = "postmoney SAFE",$AB30 = "carta premoney SAFE"), D$136, SUMPRODUCT(D$121:D$135,--($Y$23:$Y$37 = FALSE)) ) )</f>
        <v>0</v>
      </c>
      <c r="E75" s="98">
        <f t="shared" si="39"/>
        <v>0</v>
      </c>
      <c r="F75" s="98">
        <f t="shared" si="39"/>
        <v>0</v>
      </c>
      <c r="G75" s="98">
        <f t="shared" si="39"/>
        <v>0</v>
      </c>
      <c r="H75" s="98">
        <f t="shared" si="39"/>
        <v>0</v>
      </c>
      <c r="I75" s="98">
        <f t="shared" si="39"/>
        <v>0</v>
      </c>
      <c r="J75" s="98">
        <f t="shared" si="39"/>
        <v>0</v>
      </c>
      <c r="K75" s="10"/>
      <c r="L75" s="10"/>
      <c r="M75" s="10"/>
      <c r="N75" s="10"/>
      <c r="O75" s="10"/>
      <c r="P75" s="10"/>
      <c r="Q75" s="10"/>
      <c r="R75" s="10"/>
      <c r="S75" s="10"/>
      <c r="T75" s="10"/>
      <c r="U75" s="10"/>
      <c r="V75" s="10"/>
      <c r="W75" s="10"/>
      <c r="X75" s="10"/>
      <c r="Y75" s="10"/>
      <c r="Z75" s="10"/>
      <c r="AA75" s="10"/>
      <c r="AB75" s="10"/>
      <c r="AC75" s="10"/>
    </row>
    <row r="76" spans="1:29" ht="13" outlineLevel="1">
      <c r="A76" s="10"/>
      <c r="B76" s="66" t="str">
        <f t="shared" si="31"/>
        <v>Series B</v>
      </c>
      <c r="C76" s="10"/>
      <c r="D76" s="98">
        <f t="shared" ref="D76:J76" si="40">IF($Y31 = FALSE, 0, IF(OR($AB31 = "postmoney SAFE",$AB31 = "carta premoney SAFE"), D$136, SUMPRODUCT(D$121:D$135,--($Y$23:$Y$37 = FALSE)) ) )</f>
        <v>0</v>
      </c>
      <c r="E76" s="98">
        <f t="shared" si="40"/>
        <v>0</v>
      </c>
      <c r="F76" s="98">
        <f t="shared" si="40"/>
        <v>0</v>
      </c>
      <c r="G76" s="98">
        <f t="shared" si="40"/>
        <v>0</v>
      </c>
      <c r="H76" s="98">
        <f t="shared" si="40"/>
        <v>0</v>
      </c>
      <c r="I76" s="98">
        <f t="shared" si="40"/>
        <v>0</v>
      </c>
      <c r="J76" s="98">
        <f t="shared" si="40"/>
        <v>0</v>
      </c>
      <c r="K76" s="10"/>
      <c r="L76" s="10"/>
      <c r="M76" s="10"/>
      <c r="N76" s="10"/>
      <c r="O76" s="10"/>
      <c r="P76" s="10"/>
      <c r="Q76" s="10"/>
      <c r="R76" s="10"/>
      <c r="S76" s="10"/>
      <c r="T76" s="10"/>
      <c r="U76" s="10"/>
      <c r="V76" s="10"/>
      <c r="W76" s="10"/>
      <c r="X76" s="10"/>
      <c r="Y76" s="10"/>
      <c r="Z76" s="10"/>
      <c r="AA76" s="10"/>
      <c r="AB76" s="10"/>
      <c r="AC76" s="10"/>
    </row>
    <row r="77" spans="1:29" ht="13" outlineLevel="1">
      <c r="A77" s="10"/>
      <c r="B77" s="66" t="str">
        <f t="shared" si="31"/>
        <v>Series A</v>
      </c>
      <c r="C77" s="10"/>
      <c r="D77" s="98">
        <f t="shared" ref="D77:J77" si="41">IF($Y32 = FALSE, 0, IF(OR($AB32 = "postmoney SAFE",$AB32 = "carta premoney SAFE"), D$136, SUMPRODUCT(D$121:D$135,--($Y$23:$Y$37 = FALSE)) ) )</f>
        <v>0</v>
      </c>
      <c r="E77" s="98">
        <f t="shared" si="41"/>
        <v>0</v>
      </c>
      <c r="F77" s="98">
        <f t="shared" si="41"/>
        <v>0</v>
      </c>
      <c r="G77" s="98">
        <f t="shared" si="41"/>
        <v>0</v>
      </c>
      <c r="H77" s="98">
        <f t="shared" si="41"/>
        <v>0</v>
      </c>
      <c r="I77" s="98">
        <f t="shared" si="41"/>
        <v>0</v>
      </c>
      <c r="J77" s="98">
        <f t="shared" si="41"/>
        <v>0</v>
      </c>
      <c r="K77" s="10"/>
      <c r="L77" s="10"/>
      <c r="M77" s="10"/>
      <c r="N77" s="10"/>
      <c r="O77" s="10"/>
      <c r="P77" s="10"/>
      <c r="Q77" s="10"/>
      <c r="R77" s="10"/>
      <c r="S77" s="10"/>
      <c r="T77" s="10"/>
      <c r="U77" s="10"/>
      <c r="V77" s="10"/>
      <c r="W77" s="10"/>
      <c r="X77" s="10"/>
      <c r="Y77" s="10"/>
      <c r="Z77" s="10"/>
      <c r="AA77" s="10"/>
      <c r="AB77" s="10"/>
      <c r="AC77" s="10"/>
    </row>
    <row r="78" spans="1:29" ht="13" outlineLevel="1">
      <c r="A78" s="10"/>
      <c r="B78" s="66" t="str">
        <f t="shared" si="31"/>
        <v>Seed</v>
      </c>
      <c r="C78" s="10"/>
      <c r="D78" s="98">
        <f t="shared" ref="D78:J78" si="42">IF($Y33 = FALSE, 0, IF(OR($AB33 = "postmoney SAFE",$AB33 = "carta premoney SAFE"), D$136, SUMPRODUCT(D$121:D$135,--($Y$23:$Y$37 = FALSE)) ) )</f>
        <v>0</v>
      </c>
      <c r="E78" s="98">
        <f t="shared" si="42"/>
        <v>0</v>
      </c>
      <c r="F78" s="98">
        <f t="shared" si="42"/>
        <v>0</v>
      </c>
      <c r="G78" s="98">
        <f t="shared" si="42"/>
        <v>0</v>
      </c>
      <c r="H78" s="98">
        <f t="shared" si="42"/>
        <v>0</v>
      </c>
      <c r="I78" s="98">
        <f t="shared" si="42"/>
        <v>0</v>
      </c>
      <c r="J78" s="98">
        <f t="shared" si="42"/>
        <v>0</v>
      </c>
      <c r="K78" s="10"/>
      <c r="L78" s="10"/>
      <c r="M78" s="10"/>
      <c r="N78" s="10"/>
      <c r="O78" s="10"/>
      <c r="P78" s="10"/>
      <c r="Q78" s="10"/>
      <c r="R78" s="10"/>
      <c r="S78" s="10"/>
      <c r="T78" s="10"/>
      <c r="U78" s="10"/>
      <c r="V78" s="10"/>
      <c r="W78" s="10"/>
      <c r="X78" s="10"/>
      <c r="Y78" s="10"/>
      <c r="Z78" s="10"/>
      <c r="AA78" s="10"/>
      <c r="AB78" s="10"/>
      <c r="AC78" s="10"/>
    </row>
    <row r="79" spans="1:29" ht="13" outlineLevel="1">
      <c r="A79" s="10"/>
      <c r="B79" s="66" t="str">
        <f t="shared" si="31"/>
        <v>Common</v>
      </c>
      <c r="C79" s="10"/>
      <c r="D79" s="98">
        <f t="shared" ref="D79:J79" si="43">IF($Y34 = FALSE, 0, IF(OR($AB34 = "postmoney SAFE",$AB34 = "carta premoney SAFE"), D$136, SUMPRODUCT(D$121:D$135,--($Y$23:$Y$37 = FALSE)) ) )</f>
        <v>0</v>
      </c>
      <c r="E79" s="98">
        <f t="shared" si="43"/>
        <v>0</v>
      </c>
      <c r="F79" s="98">
        <f t="shared" si="43"/>
        <v>0</v>
      </c>
      <c r="G79" s="98">
        <f t="shared" si="43"/>
        <v>0</v>
      </c>
      <c r="H79" s="98">
        <f t="shared" si="43"/>
        <v>0</v>
      </c>
      <c r="I79" s="98">
        <f t="shared" si="43"/>
        <v>0</v>
      </c>
      <c r="J79" s="98">
        <f t="shared" si="43"/>
        <v>0</v>
      </c>
      <c r="K79" s="10"/>
      <c r="L79" s="10"/>
      <c r="M79" s="10"/>
      <c r="N79" s="10"/>
      <c r="O79" s="10"/>
      <c r="P79" s="10"/>
      <c r="Q79" s="10"/>
      <c r="R79" s="10"/>
      <c r="S79" s="10"/>
      <c r="T79" s="10"/>
      <c r="U79" s="10"/>
      <c r="V79" s="10"/>
      <c r="W79" s="10"/>
      <c r="X79" s="10"/>
      <c r="Y79" s="10"/>
      <c r="Z79" s="10"/>
      <c r="AA79" s="10"/>
      <c r="AB79" s="10"/>
      <c r="AC79" s="10"/>
    </row>
    <row r="80" spans="1:29" ht="13" outlineLevel="1">
      <c r="A80" s="10"/>
      <c r="B80" s="66" t="str">
        <f t="shared" si="31"/>
        <v>Options</v>
      </c>
      <c r="C80" s="10"/>
      <c r="D80" s="98">
        <f t="shared" ref="D80:J80" si="44">IF($Y35 = FALSE, 0, IF(OR($AB35 = "postmoney SAFE",$AB35 = "carta premoney SAFE"), D$136, SUMPRODUCT(D$121:D$135,--($Y$23:$Y$37 = FALSE)) ) )</f>
        <v>0</v>
      </c>
      <c r="E80" s="98">
        <f t="shared" si="44"/>
        <v>0</v>
      </c>
      <c r="F80" s="98">
        <f t="shared" si="44"/>
        <v>0</v>
      </c>
      <c r="G80" s="98">
        <f t="shared" si="44"/>
        <v>0</v>
      </c>
      <c r="H80" s="98">
        <f t="shared" si="44"/>
        <v>0</v>
      </c>
      <c r="I80" s="98">
        <f t="shared" si="44"/>
        <v>0</v>
      </c>
      <c r="J80" s="98">
        <f t="shared" si="44"/>
        <v>0</v>
      </c>
      <c r="K80" s="10"/>
      <c r="L80" s="10"/>
      <c r="M80" s="10"/>
      <c r="N80" s="10"/>
      <c r="O80" s="10"/>
      <c r="P80" s="10"/>
      <c r="Q80" s="10"/>
      <c r="R80" s="10"/>
      <c r="S80" s="10"/>
      <c r="T80" s="10"/>
      <c r="U80" s="10"/>
      <c r="V80" s="10"/>
      <c r="W80" s="10"/>
      <c r="X80" s="10"/>
      <c r="Y80" s="10"/>
      <c r="Z80" s="10"/>
      <c r="AA80" s="10"/>
      <c r="AB80" s="10"/>
      <c r="AC80" s="10"/>
    </row>
    <row r="81" spans="1:29" ht="13" outlineLevel="1">
      <c r="A81" s="10"/>
      <c r="B81" s="66" t="str">
        <f t="shared" si="31"/>
        <v>Options</v>
      </c>
      <c r="C81" s="10"/>
      <c r="D81" s="98">
        <f t="shared" ref="D81:J81" si="45">IF($Y36 = FALSE, 0, IF(OR($AB36 = "postmoney SAFE",$AB36 = "carta premoney SAFE"), D$136, SUMPRODUCT(D$121:D$135,--($Y$23:$Y$37 = FALSE)) ) )</f>
        <v>0</v>
      </c>
      <c r="E81" s="98">
        <f t="shared" si="45"/>
        <v>0</v>
      </c>
      <c r="F81" s="98">
        <f t="shared" si="45"/>
        <v>0</v>
      </c>
      <c r="G81" s="98">
        <f t="shared" si="45"/>
        <v>0</v>
      </c>
      <c r="H81" s="98">
        <f t="shared" si="45"/>
        <v>0</v>
      </c>
      <c r="I81" s="98">
        <f t="shared" si="45"/>
        <v>0</v>
      </c>
      <c r="J81" s="98">
        <f t="shared" si="45"/>
        <v>0</v>
      </c>
      <c r="K81" s="10"/>
      <c r="L81" s="10"/>
      <c r="M81" s="10"/>
      <c r="N81" s="10"/>
      <c r="O81" s="10"/>
      <c r="P81" s="10"/>
      <c r="Q81" s="10"/>
      <c r="R81" s="10"/>
      <c r="S81" s="10"/>
      <c r="T81" s="10"/>
      <c r="U81" s="10"/>
      <c r="V81" s="10"/>
      <c r="W81" s="10"/>
      <c r="X81" s="10"/>
      <c r="Y81" s="10"/>
      <c r="Z81" s="10"/>
      <c r="AA81" s="10"/>
      <c r="AB81" s="10"/>
      <c r="AC81" s="10"/>
    </row>
    <row r="82" spans="1:29" ht="13" outlineLevel="1">
      <c r="A82" s="10"/>
      <c r="B82" s="66" t="str">
        <f t="shared" si="31"/>
        <v>Warrants</v>
      </c>
      <c r="C82" s="10"/>
      <c r="D82" s="98">
        <f t="shared" ref="D82:J82" si="46">IF($Y37 = FALSE, 0, IF(OR($AB37 = "postmoney SAFE",$AB37 = "carta premoney SAFE"), D$136, SUMPRODUCT(D$121:D$135,--($Y$23:$Y$37 = FALSE)) ) )</f>
        <v>0</v>
      </c>
      <c r="E82" s="98">
        <f t="shared" si="46"/>
        <v>0</v>
      </c>
      <c r="F82" s="98">
        <f t="shared" si="46"/>
        <v>0</v>
      </c>
      <c r="G82" s="98">
        <f t="shared" si="46"/>
        <v>0</v>
      </c>
      <c r="H82" s="98">
        <f t="shared" si="46"/>
        <v>0</v>
      </c>
      <c r="I82" s="98">
        <f t="shared" si="46"/>
        <v>0</v>
      </c>
      <c r="J82" s="98">
        <f t="shared" si="46"/>
        <v>0</v>
      </c>
      <c r="K82" s="10"/>
      <c r="L82" s="10"/>
      <c r="M82" s="10"/>
      <c r="N82" s="10"/>
      <c r="O82" s="10"/>
      <c r="P82" s="10"/>
      <c r="Q82" s="10"/>
      <c r="R82" s="10"/>
      <c r="S82" s="10"/>
      <c r="T82" s="10"/>
      <c r="U82" s="10"/>
      <c r="V82" s="10"/>
      <c r="W82" s="10"/>
      <c r="X82" s="10"/>
      <c r="Y82" s="10"/>
      <c r="Z82" s="10"/>
      <c r="AA82" s="10"/>
      <c r="AB82" s="10"/>
      <c r="AC82" s="10"/>
    </row>
    <row r="83" spans="1:29" ht="13" outlineLevel="1">
      <c r="A83" s="10"/>
      <c r="B83" s="97"/>
      <c r="C83" s="10"/>
      <c r="D83" s="98"/>
      <c r="E83" s="98"/>
      <c r="F83" s="98"/>
      <c r="G83" s="98"/>
      <c r="H83" s="98"/>
      <c r="I83" s="98"/>
      <c r="J83" s="98"/>
      <c r="K83" s="10"/>
      <c r="L83" s="10"/>
      <c r="M83" s="10"/>
      <c r="N83" s="10"/>
      <c r="O83" s="10"/>
      <c r="P83" s="10"/>
      <c r="Q83" s="10"/>
      <c r="R83" s="10"/>
      <c r="S83" s="10"/>
      <c r="T83" s="10"/>
      <c r="U83" s="10"/>
      <c r="V83" s="10"/>
      <c r="W83" s="10"/>
      <c r="X83" s="10"/>
      <c r="Y83" s="10"/>
      <c r="Z83" s="10"/>
      <c r="AA83" s="10"/>
      <c r="AB83" s="10"/>
      <c r="AC83" s="10"/>
    </row>
    <row r="84" spans="1:29" ht="13" outlineLevel="1">
      <c r="A84" s="10"/>
      <c r="B84" s="97" t="s">
        <v>264</v>
      </c>
      <c r="C84" s="10"/>
      <c r="D84" s="98"/>
      <c r="E84" s="98"/>
      <c r="F84" s="98"/>
      <c r="G84" s="98"/>
      <c r="H84" s="98"/>
      <c r="I84" s="98"/>
      <c r="J84" s="98"/>
      <c r="K84" s="10"/>
      <c r="L84" s="10" t="s">
        <v>265</v>
      </c>
      <c r="M84" s="10"/>
      <c r="N84" s="10"/>
      <c r="O84" s="10"/>
      <c r="P84" s="10"/>
      <c r="Q84" s="10"/>
      <c r="R84" s="10"/>
      <c r="S84" s="10"/>
      <c r="T84" s="10"/>
      <c r="U84" s="10"/>
      <c r="V84" s="10"/>
      <c r="W84" s="10"/>
      <c r="X84" s="10"/>
      <c r="Y84" s="10"/>
      <c r="Z84" s="10"/>
      <c r="AA84" s="10"/>
      <c r="AB84" s="10"/>
      <c r="AC84" s="10"/>
    </row>
    <row r="85" spans="1:29" ht="13" outlineLevel="1">
      <c r="A85" s="10"/>
      <c r="B85" s="66" t="str">
        <f t="shared" ref="B85:B99" si="47">B23</f>
        <v>Series J</v>
      </c>
      <c r="C85" s="10"/>
      <c r="D85" s="94">
        <f t="shared" ref="D85:J85" si="48">IF( AND($J$3 = TRUE, $Y23 = TRUE), IFERROR( $F23 / IF($AA23&lt;&gt;0, MIN(D$173*(1-$Z23),$AA23 / D68), D$173*(1-$Z23)) * $H23, 0 ), 0 )</f>
        <v>0</v>
      </c>
      <c r="E85" s="94">
        <f t="shared" si="48"/>
        <v>0</v>
      </c>
      <c r="F85" s="94">
        <f t="shared" si="48"/>
        <v>0</v>
      </c>
      <c r="G85" s="94">
        <f t="shared" si="48"/>
        <v>0</v>
      </c>
      <c r="H85" s="94">
        <f t="shared" si="48"/>
        <v>0</v>
      </c>
      <c r="I85" s="94">
        <f t="shared" si="48"/>
        <v>0</v>
      </c>
      <c r="J85" s="94">
        <f t="shared" si="48"/>
        <v>0</v>
      </c>
      <c r="K85" s="10"/>
      <c r="L85" s="10"/>
      <c r="M85" s="10"/>
      <c r="N85" s="10"/>
      <c r="O85" s="10"/>
      <c r="P85" s="10"/>
      <c r="Q85" s="10"/>
      <c r="R85" s="10"/>
      <c r="S85" s="10"/>
      <c r="T85" s="10"/>
      <c r="U85" s="10"/>
      <c r="V85" s="10"/>
      <c r="W85" s="10"/>
      <c r="X85" s="10"/>
      <c r="Y85" s="10"/>
      <c r="Z85" s="10"/>
      <c r="AA85" s="10"/>
      <c r="AB85" s="10"/>
      <c r="AC85" s="10"/>
    </row>
    <row r="86" spans="1:29" ht="13" outlineLevel="1">
      <c r="A86" s="10"/>
      <c r="B86" s="66" t="str">
        <f t="shared" si="47"/>
        <v>Series I</v>
      </c>
      <c r="C86" s="10"/>
      <c r="D86" s="94">
        <f t="shared" ref="D86:J86" si="49">IF( AND($J$3 = TRUE, $Y24 = TRUE), IFERROR( $F24 / IF($AA24&lt;&gt;0, MIN(D$173*(1-$Z24),$AA24 / D69), D$173*(1-$Z24)) * $H24, 0 ), 0 )</f>
        <v>0</v>
      </c>
      <c r="E86" s="94">
        <f t="shared" si="49"/>
        <v>0</v>
      </c>
      <c r="F86" s="94">
        <f t="shared" si="49"/>
        <v>0</v>
      </c>
      <c r="G86" s="94">
        <f t="shared" si="49"/>
        <v>0</v>
      </c>
      <c r="H86" s="94">
        <f t="shared" si="49"/>
        <v>0</v>
      </c>
      <c r="I86" s="94">
        <f t="shared" si="49"/>
        <v>0</v>
      </c>
      <c r="J86" s="94">
        <f t="shared" si="49"/>
        <v>0</v>
      </c>
      <c r="K86" s="10"/>
      <c r="L86" s="10"/>
      <c r="M86" s="10"/>
      <c r="N86" s="10"/>
      <c r="O86" s="10"/>
      <c r="P86" s="10"/>
      <c r="Q86" s="10"/>
      <c r="R86" s="10"/>
      <c r="S86" s="10"/>
      <c r="T86" s="10"/>
      <c r="U86" s="10"/>
      <c r="V86" s="10"/>
      <c r="W86" s="10"/>
      <c r="X86" s="10"/>
      <c r="Y86" s="10"/>
      <c r="Z86" s="10"/>
      <c r="AA86" s="10"/>
      <c r="AB86" s="10"/>
      <c r="AC86" s="10"/>
    </row>
    <row r="87" spans="1:29" ht="13" outlineLevel="1">
      <c r="A87" s="10"/>
      <c r="B87" s="66" t="str">
        <f t="shared" si="47"/>
        <v>Series H</v>
      </c>
      <c r="C87" s="10"/>
      <c r="D87" s="94">
        <f t="shared" ref="D87:J87" si="50">IF( AND($J$3 = TRUE, $Y25 = TRUE), IFERROR( $F25 / IF($AA25&lt;&gt;0, MIN(D$173*(1-$Z25),$AA25 / D70), D$173*(1-$Z25)) * $H25, 0 ), 0 )</f>
        <v>0</v>
      </c>
      <c r="E87" s="94">
        <f t="shared" si="50"/>
        <v>0</v>
      </c>
      <c r="F87" s="94">
        <f t="shared" si="50"/>
        <v>0</v>
      </c>
      <c r="G87" s="94">
        <f t="shared" si="50"/>
        <v>0</v>
      </c>
      <c r="H87" s="94">
        <f t="shared" si="50"/>
        <v>0</v>
      </c>
      <c r="I87" s="94">
        <f t="shared" si="50"/>
        <v>0</v>
      </c>
      <c r="J87" s="94">
        <f t="shared" si="50"/>
        <v>0</v>
      </c>
      <c r="K87" s="10"/>
      <c r="L87" s="10"/>
      <c r="M87" s="10"/>
      <c r="N87" s="10"/>
      <c r="O87" s="10"/>
      <c r="P87" s="10"/>
      <c r="Q87" s="10"/>
      <c r="R87" s="10"/>
      <c r="S87" s="10"/>
      <c r="T87" s="10"/>
      <c r="U87" s="10"/>
      <c r="V87" s="10"/>
      <c r="W87" s="10"/>
      <c r="X87" s="10"/>
      <c r="Y87" s="10"/>
      <c r="Z87" s="10"/>
      <c r="AA87" s="10"/>
      <c r="AB87" s="10"/>
      <c r="AC87" s="10"/>
    </row>
    <row r="88" spans="1:29" ht="13" outlineLevel="1">
      <c r="A88" s="10"/>
      <c r="B88" s="66" t="str">
        <f t="shared" si="47"/>
        <v>Series G</v>
      </c>
      <c r="C88" s="10"/>
      <c r="D88" s="94">
        <f t="shared" ref="D88:J88" si="51">IF( AND($J$3 = TRUE, $Y26 = TRUE), IFERROR( $F26 / IF($AA26&lt;&gt;0, MIN(D$173*(1-$Z26),$AA26 / D71), D$173*(1-$Z26)) * $H26, 0 ), 0 )</f>
        <v>0</v>
      </c>
      <c r="E88" s="94">
        <f t="shared" si="51"/>
        <v>0</v>
      </c>
      <c r="F88" s="94">
        <f t="shared" si="51"/>
        <v>0</v>
      </c>
      <c r="G88" s="94">
        <f t="shared" si="51"/>
        <v>0</v>
      </c>
      <c r="H88" s="94">
        <f t="shared" si="51"/>
        <v>0</v>
      </c>
      <c r="I88" s="94">
        <f t="shared" si="51"/>
        <v>0</v>
      </c>
      <c r="J88" s="94">
        <f t="shared" si="51"/>
        <v>0</v>
      </c>
      <c r="K88" s="10"/>
      <c r="L88" s="10"/>
      <c r="M88" s="10"/>
      <c r="N88" s="10"/>
      <c r="O88" s="10"/>
      <c r="P88" s="10"/>
      <c r="Q88" s="10"/>
      <c r="R88" s="10"/>
      <c r="S88" s="10"/>
      <c r="T88" s="10"/>
      <c r="U88" s="10"/>
      <c r="V88" s="10"/>
      <c r="W88" s="10"/>
      <c r="X88" s="10"/>
      <c r="Y88" s="10"/>
      <c r="Z88" s="10"/>
      <c r="AA88" s="10"/>
      <c r="AB88" s="10"/>
      <c r="AC88" s="10"/>
    </row>
    <row r="89" spans="1:29" ht="13" outlineLevel="1">
      <c r="A89" s="10"/>
      <c r="B89" s="66" t="str">
        <f t="shared" si="47"/>
        <v>Series F</v>
      </c>
      <c r="C89" s="10"/>
      <c r="D89" s="94">
        <f t="shared" ref="D89:J89" si="52">IF( AND($J$3 = TRUE, $Y27 = TRUE), IFERROR( $F27 / IF($AA27&lt;&gt;0, MIN(D$173*(1-$Z27),$AA27 / D72), D$173*(1-$Z27)) * $H27, 0 ), 0 )</f>
        <v>0</v>
      </c>
      <c r="E89" s="94">
        <f t="shared" si="52"/>
        <v>0</v>
      </c>
      <c r="F89" s="94">
        <f t="shared" si="52"/>
        <v>0</v>
      </c>
      <c r="G89" s="94">
        <f t="shared" si="52"/>
        <v>0</v>
      </c>
      <c r="H89" s="94">
        <f t="shared" si="52"/>
        <v>0</v>
      </c>
      <c r="I89" s="94">
        <f t="shared" si="52"/>
        <v>0</v>
      </c>
      <c r="J89" s="94">
        <f t="shared" si="52"/>
        <v>0</v>
      </c>
      <c r="K89" s="10"/>
      <c r="L89" s="10"/>
      <c r="M89" s="10"/>
      <c r="N89" s="10"/>
      <c r="O89" s="10"/>
      <c r="P89" s="10"/>
      <c r="Q89" s="10"/>
      <c r="R89" s="10"/>
      <c r="S89" s="10"/>
      <c r="T89" s="10"/>
      <c r="U89" s="10"/>
      <c r="V89" s="10"/>
      <c r="W89" s="10"/>
      <c r="X89" s="10"/>
      <c r="Y89" s="10"/>
      <c r="Z89" s="10"/>
      <c r="AA89" s="10"/>
      <c r="AB89" s="10"/>
      <c r="AC89" s="10"/>
    </row>
    <row r="90" spans="1:29" ht="13" outlineLevel="1">
      <c r="A90" s="10"/>
      <c r="B90" s="66" t="str">
        <f t="shared" si="47"/>
        <v>Series E</v>
      </c>
      <c r="C90" s="10"/>
      <c r="D90" s="94">
        <f t="shared" ref="D90:J90" si="53">IF( AND($J$3 = TRUE, $Y28 = TRUE), IFERROR( $F28 / IF($AA28&lt;&gt;0, MIN(D$173*(1-$Z28),$AA28 / D73), D$173*(1-$Z28)) * $H28, 0 ), 0 )</f>
        <v>0</v>
      </c>
      <c r="E90" s="94">
        <f t="shared" si="53"/>
        <v>0</v>
      </c>
      <c r="F90" s="94">
        <f t="shared" si="53"/>
        <v>0</v>
      </c>
      <c r="G90" s="94">
        <f t="shared" si="53"/>
        <v>0</v>
      </c>
      <c r="H90" s="94">
        <f t="shared" si="53"/>
        <v>0</v>
      </c>
      <c r="I90" s="94">
        <f t="shared" si="53"/>
        <v>0</v>
      </c>
      <c r="J90" s="94">
        <f t="shared" si="53"/>
        <v>0</v>
      </c>
      <c r="K90" s="10"/>
      <c r="L90" s="10"/>
      <c r="M90" s="10"/>
      <c r="N90" s="10"/>
      <c r="O90" s="10"/>
      <c r="P90" s="10"/>
      <c r="Q90" s="10"/>
      <c r="R90" s="10"/>
      <c r="S90" s="10"/>
      <c r="T90" s="10"/>
      <c r="U90" s="10"/>
      <c r="V90" s="10"/>
      <c r="W90" s="10"/>
      <c r="X90" s="10"/>
      <c r="Y90" s="10"/>
      <c r="Z90" s="10"/>
      <c r="AA90" s="10"/>
      <c r="AB90" s="10"/>
      <c r="AC90" s="10"/>
    </row>
    <row r="91" spans="1:29" ht="13" outlineLevel="1">
      <c r="A91" s="10"/>
      <c r="B91" s="66" t="str">
        <f t="shared" si="47"/>
        <v>Series D</v>
      </c>
      <c r="C91" s="10"/>
      <c r="D91" s="94">
        <f t="shared" ref="D91:J91" si="54">IF( AND($J$3 = TRUE, $Y29 = TRUE), IFERROR( $F29 / IF($AA29&lt;&gt;0, MIN(D$173*(1-$Z29),$AA29 / D74), D$173*(1-$Z29)) * $H29, 0 ), 0 )</f>
        <v>0</v>
      </c>
      <c r="E91" s="94">
        <f t="shared" si="54"/>
        <v>0</v>
      </c>
      <c r="F91" s="94">
        <f t="shared" si="54"/>
        <v>0</v>
      </c>
      <c r="G91" s="94">
        <f t="shared" si="54"/>
        <v>0</v>
      </c>
      <c r="H91" s="94">
        <f t="shared" si="54"/>
        <v>0</v>
      </c>
      <c r="I91" s="94">
        <f t="shared" si="54"/>
        <v>0</v>
      </c>
      <c r="J91" s="94">
        <f t="shared" si="54"/>
        <v>0</v>
      </c>
      <c r="K91" s="10"/>
      <c r="L91" s="10"/>
      <c r="M91" s="10"/>
      <c r="N91" s="10"/>
      <c r="O91" s="10"/>
      <c r="P91" s="10"/>
      <c r="Q91" s="10"/>
      <c r="R91" s="10"/>
      <c r="S91" s="10"/>
      <c r="T91" s="10"/>
      <c r="U91" s="10"/>
      <c r="V91" s="10"/>
      <c r="W91" s="10"/>
      <c r="X91" s="10"/>
      <c r="Y91" s="10"/>
      <c r="Z91" s="10"/>
      <c r="AA91" s="10"/>
      <c r="AB91" s="10"/>
      <c r="AC91" s="10"/>
    </row>
    <row r="92" spans="1:29" ht="13" outlineLevel="1">
      <c r="A92" s="10"/>
      <c r="B92" s="66" t="str">
        <f t="shared" si="47"/>
        <v>Series C</v>
      </c>
      <c r="C92" s="10"/>
      <c r="D92" s="94">
        <f t="shared" ref="D92:J92" si="55">IF( AND($J$3 = TRUE, $Y30 = TRUE), IFERROR( $F30 / IF($AA30&lt;&gt;0, MIN(D$173*(1-$Z30),$AA30 / D75), D$173*(1-$Z30)) * $H30, 0 ), 0 )</f>
        <v>0</v>
      </c>
      <c r="E92" s="94">
        <f t="shared" si="55"/>
        <v>0</v>
      </c>
      <c r="F92" s="94">
        <f t="shared" si="55"/>
        <v>0</v>
      </c>
      <c r="G92" s="94">
        <f t="shared" si="55"/>
        <v>0</v>
      </c>
      <c r="H92" s="94">
        <f t="shared" si="55"/>
        <v>0</v>
      </c>
      <c r="I92" s="94">
        <f t="shared" si="55"/>
        <v>0</v>
      </c>
      <c r="J92" s="94">
        <f t="shared" si="55"/>
        <v>0</v>
      </c>
      <c r="K92" s="10"/>
      <c r="L92" s="10"/>
      <c r="M92" s="10"/>
      <c r="N92" s="10"/>
      <c r="O92" s="10"/>
      <c r="P92" s="10"/>
      <c r="Q92" s="10"/>
      <c r="R92" s="10"/>
      <c r="S92" s="10"/>
      <c r="T92" s="10"/>
      <c r="U92" s="10"/>
      <c r="V92" s="10"/>
      <c r="W92" s="10"/>
      <c r="X92" s="10"/>
      <c r="Y92" s="10"/>
      <c r="Z92" s="10"/>
      <c r="AA92" s="10"/>
      <c r="AB92" s="10"/>
      <c r="AC92" s="10"/>
    </row>
    <row r="93" spans="1:29" ht="13" outlineLevel="1">
      <c r="A93" s="10"/>
      <c r="B93" s="66" t="str">
        <f t="shared" si="47"/>
        <v>Series B</v>
      </c>
      <c r="C93" s="10"/>
      <c r="D93" s="94">
        <f t="shared" ref="D93:J93" si="56">IF( AND($J$3 = TRUE, $Y31 = TRUE), IFERROR( $F31 / IF($AA31&lt;&gt;0, MIN(D$173*(1-$Z31),$AA31 / D76), D$173*(1-$Z31)) * $H31, 0 ), 0 )</f>
        <v>0</v>
      </c>
      <c r="E93" s="94">
        <f t="shared" si="56"/>
        <v>0</v>
      </c>
      <c r="F93" s="94">
        <f t="shared" si="56"/>
        <v>0</v>
      </c>
      <c r="G93" s="94">
        <f t="shared" si="56"/>
        <v>0</v>
      </c>
      <c r="H93" s="94">
        <f t="shared" si="56"/>
        <v>0</v>
      </c>
      <c r="I93" s="94">
        <f t="shared" si="56"/>
        <v>0</v>
      </c>
      <c r="J93" s="94">
        <f t="shared" si="56"/>
        <v>0</v>
      </c>
      <c r="K93" s="10"/>
      <c r="L93" s="10"/>
      <c r="M93" s="10"/>
      <c r="N93" s="10"/>
      <c r="O93" s="10"/>
      <c r="P93" s="10"/>
      <c r="Q93" s="10"/>
      <c r="R93" s="10"/>
      <c r="S93" s="10"/>
      <c r="T93" s="10"/>
      <c r="U93" s="10"/>
      <c r="V93" s="10"/>
      <c r="W93" s="10"/>
      <c r="X93" s="10"/>
      <c r="Y93" s="10"/>
      <c r="Z93" s="10"/>
      <c r="AA93" s="10"/>
      <c r="AB93" s="10"/>
      <c r="AC93" s="10"/>
    </row>
    <row r="94" spans="1:29" ht="13" outlineLevel="1">
      <c r="A94" s="10"/>
      <c r="B94" s="66" t="str">
        <f t="shared" si="47"/>
        <v>Series A</v>
      </c>
      <c r="C94" s="10"/>
      <c r="D94" s="94">
        <f t="shared" ref="D94:J94" si="57">IF( AND($J$3 = TRUE, $Y32 = TRUE), IFERROR( $F32 / IF($AA32&lt;&gt;0, MIN(D$173*(1-$Z32),$AA32 / D77), D$173*(1-$Z32)) * $H32, 0 ), 0 )</f>
        <v>0</v>
      </c>
      <c r="E94" s="94">
        <f t="shared" si="57"/>
        <v>0</v>
      </c>
      <c r="F94" s="94">
        <f t="shared" si="57"/>
        <v>0</v>
      </c>
      <c r="G94" s="94">
        <f t="shared" si="57"/>
        <v>0</v>
      </c>
      <c r="H94" s="94">
        <f t="shared" si="57"/>
        <v>0</v>
      </c>
      <c r="I94" s="94">
        <f t="shared" si="57"/>
        <v>0</v>
      </c>
      <c r="J94" s="94">
        <f t="shared" si="57"/>
        <v>0</v>
      </c>
      <c r="K94" s="10"/>
      <c r="L94" s="10"/>
      <c r="M94" s="10"/>
      <c r="N94" s="10"/>
      <c r="O94" s="10"/>
      <c r="P94" s="10"/>
      <c r="Q94" s="10"/>
      <c r="R94" s="10"/>
      <c r="S94" s="10"/>
      <c r="T94" s="10"/>
      <c r="U94" s="10"/>
      <c r="V94" s="10"/>
      <c r="W94" s="10"/>
      <c r="X94" s="10"/>
      <c r="Y94" s="10"/>
      <c r="Z94" s="10"/>
      <c r="AA94" s="10"/>
      <c r="AB94" s="10"/>
      <c r="AC94" s="10"/>
    </row>
    <row r="95" spans="1:29" ht="13" outlineLevel="1">
      <c r="A95" s="10"/>
      <c r="B95" s="66" t="str">
        <f t="shared" si="47"/>
        <v>Seed</v>
      </c>
      <c r="C95" s="10"/>
      <c r="D95" s="94">
        <f t="shared" ref="D95:J95" si="58">IF( AND($J$3 = TRUE, $Y33 = TRUE), IFERROR( $F33 / IF($AA33&lt;&gt;0, MIN(D$173*(1-$Z33),$AA33 / D78), D$173*(1-$Z33)) * $H33, 0 ), 0 )</f>
        <v>0</v>
      </c>
      <c r="E95" s="94">
        <f t="shared" si="58"/>
        <v>0</v>
      </c>
      <c r="F95" s="94">
        <f t="shared" si="58"/>
        <v>0</v>
      </c>
      <c r="G95" s="94">
        <f t="shared" si="58"/>
        <v>0</v>
      </c>
      <c r="H95" s="94">
        <f t="shared" si="58"/>
        <v>0</v>
      </c>
      <c r="I95" s="94">
        <f t="shared" si="58"/>
        <v>0</v>
      </c>
      <c r="J95" s="94">
        <f t="shared" si="58"/>
        <v>0</v>
      </c>
      <c r="K95" s="10"/>
      <c r="L95" s="10"/>
      <c r="M95" s="10"/>
      <c r="N95" s="10"/>
      <c r="O95" s="10"/>
      <c r="P95" s="10"/>
      <c r="Q95" s="10"/>
      <c r="R95" s="10"/>
      <c r="S95" s="10"/>
      <c r="T95" s="10"/>
      <c r="U95" s="10"/>
      <c r="V95" s="10"/>
      <c r="W95" s="10"/>
      <c r="X95" s="10"/>
      <c r="Y95" s="10"/>
      <c r="Z95" s="10"/>
      <c r="AA95" s="10"/>
      <c r="AB95" s="10"/>
      <c r="AC95" s="10"/>
    </row>
    <row r="96" spans="1:29" ht="13" outlineLevel="1">
      <c r="A96" s="10"/>
      <c r="B96" s="66" t="str">
        <f t="shared" si="47"/>
        <v>Common</v>
      </c>
      <c r="C96" s="10"/>
      <c r="D96" s="94">
        <f t="shared" ref="D96:J96" si="59">IF( AND($J$3 = TRUE, $Y34 = TRUE), IFERROR( $F34 / IF($AA34&lt;&gt;0, MIN(D$173*(1-$Z34),$AA34 / D79), D$173*(1-$Z34)) * $H34, 0 ), 0 )</f>
        <v>0</v>
      </c>
      <c r="E96" s="94">
        <f t="shared" si="59"/>
        <v>0</v>
      </c>
      <c r="F96" s="94">
        <f t="shared" si="59"/>
        <v>0</v>
      </c>
      <c r="G96" s="94">
        <f t="shared" si="59"/>
        <v>0</v>
      </c>
      <c r="H96" s="94">
        <f t="shared" si="59"/>
        <v>0</v>
      </c>
      <c r="I96" s="94">
        <f t="shared" si="59"/>
        <v>0</v>
      </c>
      <c r="J96" s="94">
        <f t="shared" si="59"/>
        <v>0</v>
      </c>
      <c r="K96" s="10"/>
      <c r="L96" s="10"/>
      <c r="M96" s="10"/>
      <c r="N96" s="10"/>
      <c r="O96" s="10"/>
      <c r="P96" s="10"/>
      <c r="Q96" s="10"/>
      <c r="R96" s="10"/>
      <c r="S96" s="10"/>
      <c r="T96" s="10"/>
      <c r="U96" s="10"/>
      <c r="V96" s="10"/>
      <c r="W96" s="10"/>
      <c r="X96" s="10"/>
      <c r="Y96" s="10"/>
      <c r="Z96" s="10"/>
      <c r="AA96" s="10"/>
      <c r="AB96" s="10"/>
      <c r="AC96" s="10"/>
    </row>
    <row r="97" spans="1:29" ht="13" outlineLevel="1">
      <c r="A97" s="10"/>
      <c r="B97" s="66" t="str">
        <f t="shared" si="47"/>
        <v>Options</v>
      </c>
      <c r="C97" s="10"/>
      <c r="D97" s="94">
        <f t="shared" ref="D97:J97" si="60">IF( AND($J$3 = TRUE, $Y35 = TRUE), IFERROR( $F35 / IF($AA35&lt;&gt;0, MIN(D$173*(1-$Z35),$AA35 / D80), D$173*(1-$Z35)) * $H35, 0 ), 0 )</f>
        <v>0</v>
      </c>
      <c r="E97" s="94">
        <f t="shared" si="60"/>
        <v>0</v>
      </c>
      <c r="F97" s="94">
        <f t="shared" si="60"/>
        <v>0</v>
      </c>
      <c r="G97" s="94">
        <f t="shared" si="60"/>
        <v>0</v>
      </c>
      <c r="H97" s="94">
        <f t="shared" si="60"/>
        <v>0</v>
      </c>
      <c r="I97" s="94">
        <f t="shared" si="60"/>
        <v>0</v>
      </c>
      <c r="J97" s="94">
        <f t="shared" si="60"/>
        <v>0</v>
      </c>
      <c r="K97" s="10"/>
      <c r="L97" s="10"/>
      <c r="M97" s="10"/>
      <c r="N97" s="10"/>
      <c r="O97" s="10"/>
      <c r="P97" s="10"/>
      <c r="Q97" s="10"/>
      <c r="R97" s="10"/>
      <c r="S97" s="10"/>
      <c r="T97" s="10"/>
      <c r="U97" s="10"/>
      <c r="V97" s="10"/>
      <c r="W97" s="10"/>
      <c r="X97" s="10"/>
      <c r="Y97" s="10"/>
      <c r="Z97" s="10"/>
      <c r="AA97" s="10"/>
      <c r="AB97" s="10"/>
      <c r="AC97" s="10"/>
    </row>
    <row r="98" spans="1:29" ht="13" outlineLevel="1">
      <c r="A98" s="10"/>
      <c r="B98" s="66" t="str">
        <f t="shared" si="47"/>
        <v>Options</v>
      </c>
      <c r="C98" s="10"/>
      <c r="D98" s="94">
        <f t="shared" ref="D98:J98" si="61">IF( AND($J$3 = TRUE, $Y36 = TRUE), IFERROR( $F36 / IF($AA36&lt;&gt;0, MIN(D$173*(1-$Z36),$AA36 / D81), D$173*(1-$Z36)) * $H36, 0 ), 0 )</f>
        <v>0</v>
      </c>
      <c r="E98" s="94">
        <f t="shared" si="61"/>
        <v>0</v>
      </c>
      <c r="F98" s="94">
        <f t="shared" si="61"/>
        <v>0</v>
      </c>
      <c r="G98" s="94">
        <f t="shared" si="61"/>
        <v>0</v>
      </c>
      <c r="H98" s="94">
        <f t="shared" si="61"/>
        <v>0</v>
      </c>
      <c r="I98" s="94">
        <f t="shared" si="61"/>
        <v>0</v>
      </c>
      <c r="J98" s="94">
        <f t="shared" si="61"/>
        <v>0</v>
      </c>
      <c r="K98" s="10"/>
      <c r="L98" s="10"/>
      <c r="M98" s="10"/>
      <c r="N98" s="10"/>
      <c r="O98" s="10"/>
      <c r="P98" s="10"/>
      <c r="Q98" s="10"/>
      <c r="R98" s="10"/>
      <c r="S98" s="10"/>
      <c r="T98" s="10"/>
      <c r="U98" s="10"/>
      <c r="V98" s="10"/>
      <c r="W98" s="10"/>
      <c r="X98" s="10"/>
      <c r="Y98" s="10"/>
      <c r="Z98" s="10"/>
      <c r="AA98" s="10"/>
      <c r="AB98" s="10"/>
      <c r="AC98" s="10"/>
    </row>
    <row r="99" spans="1:29" ht="13" outlineLevel="1">
      <c r="A99" s="10"/>
      <c r="B99" s="66" t="str">
        <f t="shared" si="47"/>
        <v>Warrants</v>
      </c>
      <c r="C99" s="10"/>
      <c r="D99" s="94">
        <f t="shared" ref="D99:J99" si="62">IF( AND($J$3 = TRUE, $Y37 = TRUE), IFERROR( $F37 / IF($AA37&lt;&gt;0, MIN(D$173*(1-$Z37),$AA37 / D82), D$173*(1-$Z37)) * $H37, 0 ), 0 )</f>
        <v>0</v>
      </c>
      <c r="E99" s="94">
        <f t="shared" si="62"/>
        <v>0</v>
      </c>
      <c r="F99" s="94">
        <f t="shared" si="62"/>
        <v>0</v>
      </c>
      <c r="G99" s="94">
        <f t="shared" si="62"/>
        <v>0</v>
      </c>
      <c r="H99" s="94">
        <f t="shared" si="62"/>
        <v>0</v>
      </c>
      <c r="I99" s="94">
        <f t="shared" si="62"/>
        <v>0</v>
      </c>
      <c r="J99" s="94">
        <f t="shared" si="62"/>
        <v>0</v>
      </c>
      <c r="K99" s="10"/>
      <c r="L99" s="10"/>
      <c r="M99" s="10"/>
      <c r="N99" s="10"/>
      <c r="O99" s="10"/>
      <c r="P99" s="10"/>
      <c r="Q99" s="10"/>
      <c r="R99" s="10"/>
      <c r="S99" s="10"/>
      <c r="T99" s="10"/>
      <c r="U99" s="10"/>
      <c r="V99" s="10"/>
      <c r="W99" s="10"/>
      <c r="X99" s="10"/>
      <c r="Y99" s="10"/>
      <c r="Z99" s="10"/>
      <c r="AA99" s="10"/>
      <c r="AB99" s="10"/>
      <c r="AC99" s="10"/>
    </row>
    <row r="100" spans="1:29" ht="13" outlineLevel="1">
      <c r="A100" s="10"/>
      <c r="B100" s="66" t="s">
        <v>101</v>
      </c>
      <c r="C100" s="10"/>
      <c r="D100" s="90">
        <f t="shared" ref="D100:J100" si="63">SUM(D85:D99)</f>
        <v>0</v>
      </c>
      <c r="E100" s="90">
        <f t="shared" si="63"/>
        <v>0</v>
      </c>
      <c r="F100" s="90">
        <f t="shared" si="63"/>
        <v>0</v>
      </c>
      <c r="G100" s="90">
        <f t="shared" si="63"/>
        <v>0</v>
      </c>
      <c r="H100" s="90">
        <f t="shared" si="63"/>
        <v>0</v>
      </c>
      <c r="I100" s="90">
        <f t="shared" si="63"/>
        <v>0</v>
      </c>
      <c r="J100" s="90">
        <f t="shared" si="63"/>
        <v>0</v>
      </c>
      <c r="K100" s="10"/>
      <c r="L100" s="10"/>
      <c r="M100" s="10"/>
      <c r="N100" s="10"/>
      <c r="O100" s="10"/>
      <c r="P100" s="10"/>
      <c r="Q100" s="10"/>
      <c r="R100" s="10"/>
      <c r="S100" s="10"/>
      <c r="T100" s="10"/>
      <c r="U100" s="10"/>
      <c r="V100" s="10"/>
      <c r="W100" s="10"/>
      <c r="X100" s="10"/>
      <c r="Y100" s="10"/>
      <c r="Z100" s="10"/>
      <c r="AA100" s="10"/>
      <c r="AB100" s="10"/>
      <c r="AC100" s="10"/>
    </row>
    <row r="101" spans="1:29" ht="13" outlineLevel="1">
      <c r="A101" s="10"/>
      <c r="B101" s="97"/>
      <c r="C101" s="10"/>
      <c r="D101" s="98"/>
      <c r="E101" s="98"/>
      <c r="F101" s="98"/>
      <c r="G101" s="98"/>
      <c r="H101" s="98"/>
      <c r="I101" s="98"/>
      <c r="J101" s="98"/>
      <c r="K101" s="10"/>
      <c r="L101" s="10"/>
      <c r="M101" s="10"/>
      <c r="N101" s="10"/>
      <c r="O101" s="10"/>
      <c r="P101" s="10"/>
      <c r="Q101" s="10"/>
      <c r="R101" s="10"/>
      <c r="S101" s="10"/>
      <c r="T101" s="10"/>
      <c r="U101" s="10"/>
      <c r="V101" s="10"/>
      <c r="W101" s="10"/>
      <c r="X101" s="10"/>
      <c r="Y101" s="10"/>
      <c r="Z101" s="10"/>
      <c r="AA101" s="10"/>
      <c r="AB101" s="10"/>
      <c r="AC101" s="10"/>
    </row>
    <row r="102" spans="1:29" ht="13" outlineLevel="1">
      <c r="A102" s="10"/>
      <c r="B102" s="97" t="s">
        <v>266</v>
      </c>
      <c r="C102" s="10"/>
      <c r="D102" s="98"/>
      <c r="E102" s="98"/>
      <c r="F102" s="98"/>
      <c r="G102" s="98"/>
      <c r="H102" s="98"/>
      <c r="I102" s="98"/>
      <c r="J102" s="98"/>
      <c r="K102" s="10"/>
      <c r="L102" s="99" t="s">
        <v>267</v>
      </c>
      <c r="M102" s="10"/>
      <c r="N102" s="10"/>
      <c r="O102" s="10"/>
      <c r="P102" s="10"/>
      <c r="Q102" s="10"/>
      <c r="R102" s="10"/>
      <c r="S102" s="10"/>
      <c r="T102" s="10"/>
      <c r="U102" s="10"/>
      <c r="V102" s="10"/>
      <c r="W102" s="10"/>
      <c r="X102" s="10"/>
      <c r="Y102" s="10"/>
      <c r="Z102" s="10"/>
      <c r="AA102" s="10"/>
      <c r="AB102" s="10"/>
      <c r="AC102" s="10"/>
    </row>
    <row r="103" spans="1:29" ht="13" outlineLevel="1">
      <c r="A103" s="10"/>
      <c r="B103" s="66" t="str">
        <f t="shared" ref="B103:B117" si="64">B23</f>
        <v>Series J</v>
      </c>
      <c r="C103" s="10"/>
      <c r="D103" s="98">
        <f t="shared" ref="D103:J103" si="65">IF(OR($G23 = 0,D$65=D$46), 0,  IF($O23="participating preferred with cap", IF(D139 = 0, $G23, MIN($G23, IFERROR( ( $Q23 - $M23 ) / D$173, 0 ) ) ), 0 ) )</f>
        <v>0</v>
      </c>
      <c r="E103" s="98">
        <f t="shared" si="65"/>
        <v>0</v>
      </c>
      <c r="F103" s="98">
        <f t="shared" si="65"/>
        <v>0</v>
      </c>
      <c r="G103" s="98">
        <f t="shared" si="65"/>
        <v>0</v>
      </c>
      <c r="H103" s="98">
        <f t="shared" si="65"/>
        <v>0</v>
      </c>
      <c r="I103" s="98">
        <f t="shared" si="65"/>
        <v>0</v>
      </c>
      <c r="J103" s="98">
        <f t="shared" si="65"/>
        <v>0</v>
      </c>
      <c r="K103" s="10"/>
      <c r="L103" s="10"/>
      <c r="M103" s="10"/>
      <c r="N103" s="10"/>
      <c r="O103" s="10"/>
      <c r="P103" s="10"/>
      <c r="Q103" s="10"/>
      <c r="R103" s="10"/>
      <c r="S103" s="10"/>
      <c r="T103" s="10"/>
      <c r="U103" s="10"/>
      <c r="V103" s="10"/>
      <c r="W103" s="10"/>
      <c r="X103" s="10"/>
      <c r="Y103" s="10"/>
      <c r="Z103" s="10"/>
      <c r="AA103" s="10"/>
      <c r="AB103" s="10"/>
      <c r="AC103" s="10"/>
    </row>
    <row r="104" spans="1:29" ht="13" outlineLevel="1">
      <c r="A104" s="10"/>
      <c r="B104" s="66" t="str">
        <f t="shared" si="64"/>
        <v>Series I</v>
      </c>
      <c r="C104" s="10"/>
      <c r="D104" s="98">
        <f t="shared" ref="D104:J104" si="66">IF(OR($G24 = 0,D$65=D$46), 0,  IF($O24="participating preferred with cap", IF(D140 = 0, $G24, MIN($G24, IFERROR( ( $Q24 - $M24 ) / D$173, 0 ) ) ), 0 ) )</f>
        <v>0</v>
      </c>
      <c r="E104" s="98">
        <f t="shared" si="66"/>
        <v>0</v>
      </c>
      <c r="F104" s="98">
        <f t="shared" si="66"/>
        <v>0</v>
      </c>
      <c r="G104" s="98">
        <f t="shared" si="66"/>
        <v>0</v>
      </c>
      <c r="H104" s="98">
        <f t="shared" si="66"/>
        <v>0</v>
      </c>
      <c r="I104" s="98">
        <f t="shared" si="66"/>
        <v>0</v>
      </c>
      <c r="J104" s="98">
        <f t="shared" si="66"/>
        <v>0</v>
      </c>
      <c r="K104" s="10"/>
      <c r="L104" s="10"/>
      <c r="M104" s="10"/>
      <c r="N104" s="10"/>
      <c r="O104" s="10"/>
      <c r="P104" s="10"/>
      <c r="Q104" s="10"/>
      <c r="R104" s="10"/>
      <c r="S104" s="10"/>
      <c r="T104" s="10"/>
      <c r="U104" s="10"/>
      <c r="V104" s="10"/>
      <c r="W104" s="10"/>
      <c r="X104" s="10"/>
      <c r="Y104" s="10"/>
      <c r="Z104" s="10"/>
      <c r="AA104" s="10"/>
      <c r="AB104" s="10"/>
      <c r="AC104" s="10"/>
    </row>
    <row r="105" spans="1:29" ht="13" outlineLevel="1">
      <c r="A105" s="10"/>
      <c r="B105" s="66" t="str">
        <f t="shared" si="64"/>
        <v>Series H</v>
      </c>
      <c r="C105" s="10"/>
      <c r="D105" s="98">
        <f t="shared" ref="D105:J105" si="67">IF(OR($G25 = 0,D$65=D$46), 0,  IF($O25="participating preferred with cap", IF(D141 = 0, $G25, MIN($G25, IFERROR( ( $Q25 - $M25 ) / D$173, 0 ) ) ), 0 ) )</f>
        <v>0</v>
      </c>
      <c r="E105" s="98">
        <f t="shared" si="67"/>
        <v>0</v>
      </c>
      <c r="F105" s="98">
        <f t="shared" si="67"/>
        <v>0</v>
      </c>
      <c r="G105" s="98">
        <f t="shared" si="67"/>
        <v>0</v>
      </c>
      <c r="H105" s="98">
        <f t="shared" si="67"/>
        <v>0</v>
      </c>
      <c r="I105" s="98">
        <f t="shared" si="67"/>
        <v>0</v>
      </c>
      <c r="J105" s="98">
        <f t="shared" si="67"/>
        <v>0</v>
      </c>
      <c r="K105" s="10"/>
      <c r="L105" s="10"/>
      <c r="M105" s="10"/>
      <c r="N105" s="10"/>
      <c r="O105" s="10"/>
      <c r="P105" s="10"/>
      <c r="Q105" s="10"/>
      <c r="R105" s="10"/>
      <c r="S105" s="10"/>
      <c r="T105" s="10"/>
      <c r="U105" s="10"/>
      <c r="V105" s="10"/>
      <c r="W105" s="10"/>
      <c r="X105" s="10"/>
      <c r="Y105" s="10"/>
      <c r="Z105" s="10"/>
      <c r="AA105" s="10"/>
      <c r="AB105" s="10"/>
      <c r="AC105" s="10"/>
    </row>
    <row r="106" spans="1:29" ht="13" outlineLevel="1">
      <c r="A106" s="10"/>
      <c r="B106" s="66" t="str">
        <f t="shared" si="64"/>
        <v>Series G</v>
      </c>
      <c r="C106" s="10"/>
      <c r="D106" s="98">
        <f t="shared" ref="D106:J106" si="68">IF(OR($G26 = 0,D$65=D$46), 0,  IF($O26="participating preferred with cap", IF(D142 = 0, $G26, MIN($G26, IFERROR( ( $Q26 - $M26 ) / D$173, 0 ) ) ), 0 ) )</f>
        <v>0</v>
      </c>
      <c r="E106" s="98">
        <f t="shared" si="68"/>
        <v>0</v>
      </c>
      <c r="F106" s="98">
        <f t="shared" si="68"/>
        <v>0</v>
      </c>
      <c r="G106" s="98">
        <f t="shared" si="68"/>
        <v>0</v>
      </c>
      <c r="H106" s="98">
        <f t="shared" si="68"/>
        <v>0</v>
      </c>
      <c r="I106" s="98">
        <f t="shared" si="68"/>
        <v>0</v>
      </c>
      <c r="J106" s="98">
        <f t="shared" si="68"/>
        <v>0</v>
      </c>
      <c r="K106" s="10"/>
      <c r="L106" s="10"/>
      <c r="M106" s="10"/>
      <c r="N106" s="10"/>
      <c r="O106" s="10"/>
      <c r="P106" s="10"/>
      <c r="Q106" s="10"/>
      <c r="R106" s="10"/>
      <c r="S106" s="10"/>
      <c r="T106" s="10"/>
      <c r="U106" s="10"/>
      <c r="V106" s="10"/>
      <c r="W106" s="10"/>
      <c r="X106" s="10"/>
      <c r="Y106" s="10"/>
      <c r="Z106" s="10"/>
      <c r="AA106" s="10"/>
      <c r="AB106" s="10"/>
      <c r="AC106" s="10"/>
    </row>
    <row r="107" spans="1:29" ht="13" outlineLevel="1">
      <c r="A107" s="10"/>
      <c r="B107" s="66" t="str">
        <f t="shared" si="64"/>
        <v>Series F</v>
      </c>
      <c r="C107" s="10"/>
      <c r="D107" s="98">
        <f t="shared" ref="D107:J107" si="69">IF(OR($G27 = 0,D$65=D$46), 0,  IF($O27="participating preferred with cap", IF(D143 = 0, $G27, MIN($G27, IFERROR( ( $Q27 - $M27 ) / D$173, 0 ) ) ), 0 ) )</f>
        <v>0</v>
      </c>
      <c r="E107" s="98">
        <f t="shared" si="69"/>
        <v>0</v>
      </c>
      <c r="F107" s="98">
        <f t="shared" si="69"/>
        <v>0</v>
      </c>
      <c r="G107" s="98">
        <f t="shared" si="69"/>
        <v>0</v>
      </c>
      <c r="H107" s="98">
        <f t="shared" si="69"/>
        <v>0</v>
      </c>
      <c r="I107" s="98">
        <f t="shared" si="69"/>
        <v>0</v>
      </c>
      <c r="J107" s="98">
        <f t="shared" si="69"/>
        <v>0</v>
      </c>
      <c r="K107" s="10"/>
      <c r="L107" s="10"/>
      <c r="M107" s="10"/>
      <c r="N107" s="10"/>
      <c r="O107" s="10"/>
      <c r="P107" s="10"/>
      <c r="Q107" s="10"/>
      <c r="R107" s="10"/>
      <c r="S107" s="10"/>
      <c r="T107" s="10"/>
      <c r="U107" s="10"/>
      <c r="V107" s="10"/>
      <c r="W107" s="10"/>
      <c r="X107" s="10"/>
      <c r="Y107" s="10"/>
      <c r="Z107" s="10"/>
      <c r="AA107" s="10"/>
      <c r="AB107" s="10"/>
      <c r="AC107" s="10"/>
    </row>
    <row r="108" spans="1:29" ht="13" outlineLevel="1">
      <c r="A108" s="10"/>
      <c r="B108" s="66" t="str">
        <f t="shared" si="64"/>
        <v>Series E</v>
      </c>
      <c r="C108" s="10"/>
      <c r="D108" s="98">
        <f t="shared" ref="D108:J108" si="70">IF(OR($G28 = 0,D$65=D$46), 0,  IF($O28="participating preferred with cap", IF(D144 = 0, $G28, MIN($G28, IFERROR( ( $Q28 - $M28 ) / D$173, 0 ) ) ), 0 ) )</f>
        <v>0</v>
      </c>
      <c r="E108" s="98">
        <f t="shared" si="70"/>
        <v>0</v>
      </c>
      <c r="F108" s="98">
        <f t="shared" si="70"/>
        <v>0</v>
      </c>
      <c r="G108" s="98">
        <f t="shared" si="70"/>
        <v>0</v>
      </c>
      <c r="H108" s="98">
        <f t="shared" si="70"/>
        <v>0</v>
      </c>
      <c r="I108" s="98">
        <f t="shared" si="70"/>
        <v>0</v>
      </c>
      <c r="J108" s="98">
        <f t="shared" si="70"/>
        <v>0</v>
      </c>
      <c r="K108" s="10"/>
      <c r="L108" s="10"/>
      <c r="M108" s="10"/>
      <c r="N108" s="10"/>
      <c r="O108" s="10"/>
      <c r="P108" s="10"/>
      <c r="Q108" s="10"/>
      <c r="R108" s="10"/>
      <c r="S108" s="10"/>
      <c r="T108" s="10"/>
      <c r="U108" s="10"/>
      <c r="V108" s="10"/>
      <c r="W108" s="10"/>
      <c r="X108" s="10"/>
      <c r="Y108" s="10"/>
      <c r="Z108" s="10"/>
      <c r="AA108" s="10"/>
      <c r="AB108" s="10"/>
      <c r="AC108" s="10"/>
    </row>
    <row r="109" spans="1:29" ht="13" outlineLevel="1">
      <c r="A109" s="10"/>
      <c r="B109" s="66" t="str">
        <f t="shared" si="64"/>
        <v>Series D</v>
      </c>
      <c r="C109" s="10"/>
      <c r="D109" s="98">
        <f t="shared" ref="D109:J109" si="71">IF(OR($G29 = 0,D$65=D$46), 0,  IF($O29="participating preferred with cap", IF(D145 = 0, $G29, MIN($G29, IFERROR( ( $Q29 - $M29 ) / D$173, 0 ) ) ), 0 ) )</f>
        <v>0</v>
      </c>
      <c r="E109" s="98">
        <f t="shared" si="71"/>
        <v>0</v>
      </c>
      <c r="F109" s="98">
        <f t="shared" si="71"/>
        <v>0</v>
      </c>
      <c r="G109" s="98">
        <f t="shared" si="71"/>
        <v>0</v>
      </c>
      <c r="H109" s="98">
        <f t="shared" si="71"/>
        <v>0</v>
      </c>
      <c r="I109" s="98">
        <f t="shared" si="71"/>
        <v>0</v>
      </c>
      <c r="J109" s="98">
        <f t="shared" si="71"/>
        <v>0</v>
      </c>
      <c r="K109" s="10"/>
      <c r="L109" s="10"/>
      <c r="M109" s="10"/>
      <c r="N109" s="10"/>
      <c r="O109" s="10"/>
      <c r="P109" s="10"/>
      <c r="Q109" s="10"/>
      <c r="R109" s="10"/>
      <c r="S109" s="10"/>
      <c r="T109" s="10"/>
      <c r="U109" s="10"/>
      <c r="V109" s="10"/>
      <c r="W109" s="10"/>
      <c r="X109" s="10"/>
      <c r="Y109" s="10"/>
      <c r="Z109" s="10"/>
      <c r="AA109" s="10"/>
      <c r="AB109" s="10"/>
      <c r="AC109" s="10"/>
    </row>
    <row r="110" spans="1:29" ht="13" outlineLevel="1">
      <c r="A110" s="10"/>
      <c r="B110" s="66" t="str">
        <f t="shared" si="64"/>
        <v>Series C</v>
      </c>
      <c r="C110" s="10"/>
      <c r="D110" s="98">
        <f t="shared" ref="D110:J110" si="72">IF(OR($G30 = 0,D$65=D$46), 0,  IF($O30="participating preferred with cap", IF(D146 = 0, $G30, MIN($G30, IFERROR( ( $Q30 - $M30 ) / D$173, 0 ) ) ), 0 ) )</f>
        <v>0</v>
      </c>
      <c r="E110" s="98">
        <f t="shared" si="72"/>
        <v>0</v>
      </c>
      <c r="F110" s="98">
        <f t="shared" si="72"/>
        <v>0</v>
      </c>
      <c r="G110" s="98">
        <f t="shared" si="72"/>
        <v>0</v>
      </c>
      <c r="H110" s="98">
        <f t="shared" si="72"/>
        <v>0</v>
      </c>
      <c r="I110" s="98">
        <f t="shared" si="72"/>
        <v>0</v>
      </c>
      <c r="J110" s="98">
        <f t="shared" si="72"/>
        <v>0</v>
      </c>
      <c r="K110" s="10"/>
      <c r="L110" s="10"/>
      <c r="M110" s="10"/>
      <c r="N110" s="10"/>
      <c r="O110" s="10"/>
      <c r="P110" s="10"/>
      <c r="Q110" s="10"/>
      <c r="R110" s="10"/>
      <c r="S110" s="10"/>
      <c r="T110" s="10"/>
      <c r="U110" s="10"/>
      <c r="V110" s="10"/>
      <c r="W110" s="10"/>
      <c r="X110" s="10"/>
      <c r="Y110" s="10"/>
      <c r="Z110" s="10"/>
      <c r="AA110" s="10"/>
      <c r="AB110" s="10"/>
      <c r="AC110" s="10"/>
    </row>
    <row r="111" spans="1:29" ht="13" outlineLevel="1">
      <c r="A111" s="10"/>
      <c r="B111" s="66" t="str">
        <f t="shared" si="64"/>
        <v>Series B</v>
      </c>
      <c r="C111" s="10"/>
      <c r="D111" s="98">
        <f t="shared" ref="D111:J111" si="73">IF(OR($G31 = 0,D$65=D$46), 0,  IF($O31="participating preferred with cap", IF(D147 = 0, $G31, MIN($G31, IFERROR( ( $Q31 - $M31 ) / D$173, 0 ) ) ), 0 ) )</f>
        <v>0</v>
      </c>
      <c r="E111" s="98">
        <f t="shared" si="73"/>
        <v>0</v>
      </c>
      <c r="F111" s="98">
        <f t="shared" si="73"/>
        <v>0</v>
      </c>
      <c r="G111" s="98">
        <f t="shared" si="73"/>
        <v>0</v>
      </c>
      <c r="H111" s="98">
        <f t="shared" si="73"/>
        <v>0</v>
      </c>
      <c r="I111" s="98">
        <f t="shared" si="73"/>
        <v>0</v>
      </c>
      <c r="J111" s="98">
        <f t="shared" si="73"/>
        <v>0</v>
      </c>
      <c r="K111" s="10"/>
      <c r="L111" s="10"/>
      <c r="M111" s="10"/>
      <c r="N111" s="10"/>
      <c r="O111" s="10"/>
      <c r="P111" s="10"/>
      <c r="Q111" s="10"/>
      <c r="R111" s="10"/>
      <c r="S111" s="10"/>
      <c r="T111" s="10"/>
      <c r="U111" s="10"/>
      <c r="V111" s="10"/>
      <c r="W111" s="10"/>
      <c r="X111" s="10"/>
      <c r="Y111" s="10"/>
      <c r="Z111" s="10"/>
      <c r="AA111" s="10"/>
      <c r="AB111" s="10"/>
      <c r="AC111" s="10"/>
    </row>
    <row r="112" spans="1:29" ht="13" outlineLevel="1">
      <c r="A112" s="10"/>
      <c r="B112" s="66" t="str">
        <f t="shared" si="64"/>
        <v>Series A</v>
      </c>
      <c r="C112" s="10"/>
      <c r="D112" s="98">
        <f t="shared" ref="D112:J112" si="74">IF(OR($G32 = 0,D$65=D$46), 0,  IF($O32="participating preferred with cap", IF(D148 = 0, $G32, MIN($G32, IFERROR( ( $Q32 - $M32 ) / D$173, 0 ) ) ), 0 ) )</f>
        <v>0</v>
      </c>
      <c r="E112" s="98">
        <f t="shared" si="74"/>
        <v>0</v>
      </c>
      <c r="F112" s="98">
        <f t="shared" si="74"/>
        <v>0</v>
      </c>
      <c r="G112" s="98">
        <f t="shared" si="74"/>
        <v>0</v>
      </c>
      <c r="H112" s="98">
        <f t="shared" si="74"/>
        <v>0</v>
      </c>
      <c r="I112" s="98">
        <f t="shared" si="74"/>
        <v>0</v>
      </c>
      <c r="J112" s="98">
        <f t="shared" si="74"/>
        <v>0</v>
      </c>
      <c r="K112" s="10"/>
      <c r="L112" s="10"/>
      <c r="M112" s="10"/>
      <c r="N112" s="10"/>
      <c r="O112" s="10"/>
      <c r="P112" s="10"/>
      <c r="Q112" s="10"/>
      <c r="R112" s="10"/>
      <c r="S112" s="10"/>
      <c r="T112" s="10"/>
      <c r="U112" s="10"/>
      <c r="V112" s="10"/>
      <c r="W112" s="10"/>
      <c r="X112" s="10"/>
      <c r="Y112" s="10"/>
      <c r="Z112" s="10"/>
      <c r="AA112" s="10"/>
      <c r="AB112" s="10"/>
      <c r="AC112" s="10"/>
    </row>
    <row r="113" spans="1:29" ht="13" outlineLevel="1">
      <c r="A113" s="10"/>
      <c r="B113" s="66" t="str">
        <f t="shared" si="64"/>
        <v>Seed</v>
      </c>
      <c r="C113" s="10"/>
      <c r="D113" s="98">
        <f t="shared" ref="D113:J113" si="75">IF(OR($G33 = 0,D$65=D$46), 0,  IF($O33="participating preferred with cap", IF(D149 = 0, $G33, MIN($G33, IFERROR( ( $Q33 - $M33 ) / D$173, 0 ) ) ), 0 ) )</f>
        <v>0</v>
      </c>
      <c r="E113" s="98">
        <f t="shared" si="75"/>
        <v>0</v>
      </c>
      <c r="F113" s="98">
        <f t="shared" si="75"/>
        <v>0</v>
      </c>
      <c r="G113" s="98">
        <f t="shared" si="75"/>
        <v>0</v>
      </c>
      <c r="H113" s="98">
        <f t="shared" si="75"/>
        <v>0</v>
      </c>
      <c r="I113" s="98">
        <f t="shared" si="75"/>
        <v>0</v>
      </c>
      <c r="J113" s="98">
        <f t="shared" si="75"/>
        <v>0</v>
      </c>
      <c r="K113" s="10"/>
      <c r="L113" s="10"/>
      <c r="M113" s="10"/>
      <c r="N113" s="10"/>
      <c r="O113" s="10"/>
      <c r="P113" s="10"/>
      <c r="Q113" s="10"/>
      <c r="R113" s="10"/>
      <c r="S113" s="10"/>
      <c r="T113" s="10"/>
      <c r="U113" s="10"/>
      <c r="V113" s="10"/>
      <c r="W113" s="10"/>
      <c r="X113" s="10"/>
      <c r="Y113" s="10"/>
      <c r="Z113" s="10"/>
      <c r="AA113" s="10"/>
      <c r="AB113" s="10"/>
      <c r="AC113" s="10"/>
    </row>
    <row r="114" spans="1:29" ht="13" outlineLevel="1">
      <c r="A114" s="10"/>
      <c r="B114" s="66" t="str">
        <f t="shared" si="64"/>
        <v>Common</v>
      </c>
      <c r="C114" s="10"/>
      <c r="D114" s="98">
        <f t="shared" ref="D114:J114" si="76">IF(OR($G34 = 0,D$65=D$46), 0,  IF($O34="participating preferred with cap", IF(D150 = 0, $G34, MIN($G34, IFERROR( ( $Q34 - $M34 ) / D$173, 0 ) ) ), 0 ) )</f>
        <v>0</v>
      </c>
      <c r="E114" s="98">
        <f t="shared" si="76"/>
        <v>0</v>
      </c>
      <c r="F114" s="98">
        <f t="shared" si="76"/>
        <v>0</v>
      </c>
      <c r="G114" s="98">
        <f t="shared" si="76"/>
        <v>0</v>
      </c>
      <c r="H114" s="98">
        <f t="shared" si="76"/>
        <v>0</v>
      </c>
      <c r="I114" s="98">
        <f t="shared" si="76"/>
        <v>0</v>
      </c>
      <c r="J114" s="98">
        <f t="shared" si="76"/>
        <v>0</v>
      </c>
      <c r="K114" s="10"/>
      <c r="L114" s="10"/>
      <c r="M114" s="10"/>
      <c r="N114" s="10"/>
      <c r="O114" s="10"/>
      <c r="P114" s="10"/>
      <c r="Q114" s="10"/>
      <c r="R114" s="10"/>
      <c r="S114" s="10"/>
      <c r="T114" s="10"/>
      <c r="U114" s="10"/>
      <c r="V114" s="10"/>
      <c r="W114" s="10"/>
      <c r="X114" s="10"/>
      <c r="Y114" s="10"/>
      <c r="Z114" s="10"/>
      <c r="AA114" s="10"/>
      <c r="AB114" s="10"/>
      <c r="AC114" s="10"/>
    </row>
    <row r="115" spans="1:29" ht="13" outlineLevel="1">
      <c r="A115" s="10"/>
      <c r="B115" s="66" t="str">
        <f t="shared" si="64"/>
        <v>Options</v>
      </c>
      <c r="C115" s="10"/>
      <c r="D115" s="98">
        <f t="shared" ref="D115:J115" si="77">IF(OR($G35 = 0,D$65=D$46), 0,  IF($O35="participating preferred with cap", IF(D151 = 0, $G35, MIN($G35, IFERROR( ( $Q35 - $M35 ) / D$173, 0 ) ) ), 0 ) )</f>
        <v>0</v>
      </c>
      <c r="E115" s="98">
        <f t="shared" si="77"/>
        <v>0</v>
      </c>
      <c r="F115" s="98">
        <f t="shared" si="77"/>
        <v>0</v>
      </c>
      <c r="G115" s="98">
        <f t="shared" si="77"/>
        <v>0</v>
      </c>
      <c r="H115" s="98">
        <f t="shared" si="77"/>
        <v>0</v>
      </c>
      <c r="I115" s="98">
        <f t="shared" si="77"/>
        <v>0</v>
      </c>
      <c r="J115" s="98">
        <f t="shared" si="77"/>
        <v>0</v>
      </c>
      <c r="K115" s="10"/>
      <c r="L115" s="10"/>
      <c r="M115" s="10"/>
      <c r="N115" s="10"/>
      <c r="O115" s="10"/>
      <c r="P115" s="10"/>
      <c r="Q115" s="10"/>
      <c r="R115" s="10"/>
      <c r="S115" s="10"/>
      <c r="T115" s="10"/>
      <c r="U115" s="10"/>
      <c r="V115" s="10"/>
      <c r="W115" s="10"/>
      <c r="X115" s="10"/>
      <c r="Y115" s="10"/>
      <c r="Z115" s="10"/>
      <c r="AA115" s="10"/>
      <c r="AB115" s="10"/>
      <c r="AC115" s="10"/>
    </row>
    <row r="116" spans="1:29" ht="13" outlineLevel="1">
      <c r="A116" s="10"/>
      <c r="B116" s="66" t="str">
        <f t="shared" si="64"/>
        <v>Options</v>
      </c>
      <c r="C116" s="10"/>
      <c r="D116" s="98">
        <f t="shared" ref="D116:J116" si="78">IF(OR($G36 = 0,D$65=D$46), 0,  IF($O36="participating preferred with cap", IF(D152 = 0, $G36, MIN($G36, IFERROR( ( $Q36 - $M36 ) / D$173, 0 ) ) ), 0 ) )</f>
        <v>0</v>
      </c>
      <c r="E116" s="98">
        <f t="shared" si="78"/>
        <v>0</v>
      </c>
      <c r="F116" s="98">
        <f t="shared" si="78"/>
        <v>0</v>
      </c>
      <c r="G116" s="98">
        <f t="shared" si="78"/>
        <v>0</v>
      </c>
      <c r="H116" s="98">
        <f t="shared" si="78"/>
        <v>0</v>
      </c>
      <c r="I116" s="98">
        <f t="shared" si="78"/>
        <v>0</v>
      </c>
      <c r="J116" s="98">
        <f t="shared" si="78"/>
        <v>0</v>
      </c>
      <c r="K116" s="10"/>
      <c r="L116" s="10"/>
      <c r="M116" s="10"/>
      <c r="N116" s="10"/>
      <c r="O116" s="10"/>
      <c r="P116" s="10"/>
      <c r="Q116" s="10"/>
      <c r="R116" s="10"/>
      <c r="S116" s="10"/>
      <c r="T116" s="10"/>
      <c r="U116" s="10"/>
      <c r="V116" s="10"/>
      <c r="W116" s="10"/>
      <c r="X116" s="10"/>
      <c r="Y116" s="10"/>
      <c r="Z116" s="10"/>
      <c r="AA116" s="10"/>
      <c r="AB116" s="10"/>
      <c r="AC116" s="10"/>
    </row>
    <row r="117" spans="1:29" ht="13" outlineLevel="1">
      <c r="A117" s="10"/>
      <c r="B117" s="66" t="str">
        <f t="shared" si="64"/>
        <v>Warrants</v>
      </c>
      <c r="C117" s="10"/>
      <c r="D117" s="98">
        <f t="shared" ref="D117:J117" si="79">IF(OR($G37 = 0,D$65=D$46), 0,  IF($O37="participating preferred with cap", IF(D153 = 0, $G37, MIN($G37, IFERROR( ( $Q37 - $M37 ) / D$173, 0 ) ) ), 0 ) )</f>
        <v>0</v>
      </c>
      <c r="E117" s="98">
        <f t="shared" si="79"/>
        <v>0</v>
      </c>
      <c r="F117" s="98">
        <f t="shared" si="79"/>
        <v>0</v>
      </c>
      <c r="G117" s="98">
        <f t="shared" si="79"/>
        <v>0</v>
      </c>
      <c r="H117" s="98">
        <f t="shared" si="79"/>
        <v>0</v>
      </c>
      <c r="I117" s="98">
        <f t="shared" si="79"/>
        <v>0</v>
      </c>
      <c r="J117" s="98">
        <f t="shared" si="79"/>
        <v>0</v>
      </c>
      <c r="K117" s="10"/>
      <c r="L117" s="10"/>
      <c r="M117" s="10"/>
      <c r="N117" s="10"/>
      <c r="O117" s="10"/>
      <c r="P117" s="10"/>
      <c r="Q117" s="10"/>
      <c r="R117" s="10"/>
      <c r="S117" s="10"/>
      <c r="T117" s="10"/>
      <c r="U117" s="10"/>
      <c r="V117" s="10"/>
      <c r="W117" s="10"/>
      <c r="X117" s="10"/>
      <c r="Y117" s="10"/>
      <c r="Z117" s="10"/>
      <c r="AA117" s="10"/>
      <c r="AB117" s="10"/>
      <c r="AC117" s="10"/>
    </row>
    <row r="118" spans="1:29" ht="13" outlineLevel="1">
      <c r="A118" s="10"/>
      <c r="B118" s="66" t="s">
        <v>101</v>
      </c>
      <c r="C118" s="10"/>
      <c r="D118" s="90">
        <f t="shared" ref="D118:J118" si="80">SUM(D103:D117)</f>
        <v>0</v>
      </c>
      <c r="E118" s="90">
        <f t="shared" si="80"/>
        <v>0</v>
      </c>
      <c r="F118" s="90">
        <f t="shared" si="80"/>
        <v>0</v>
      </c>
      <c r="G118" s="90">
        <f t="shared" si="80"/>
        <v>0</v>
      </c>
      <c r="H118" s="90">
        <f t="shared" si="80"/>
        <v>0</v>
      </c>
      <c r="I118" s="90">
        <f t="shared" si="80"/>
        <v>0</v>
      </c>
      <c r="J118" s="90">
        <f t="shared" si="80"/>
        <v>0</v>
      </c>
      <c r="K118" s="10"/>
      <c r="L118" s="10"/>
      <c r="M118" s="10"/>
      <c r="N118" s="10"/>
      <c r="O118" s="10"/>
      <c r="P118" s="10"/>
      <c r="Q118" s="10"/>
      <c r="R118" s="10"/>
      <c r="S118" s="10"/>
      <c r="T118" s="10"/>
      <c r="U118" s="10"/>
      <c r="V118" s="10"/>
      <c r="W118" s="10"/>
      <c r="X118" s="10"/>
      <c r="Y118" s="10"/>
      <c r="Z118" s="10"/>
      <c r="AA118" s="10"/>
      <c r="AB118" s="10"/>
      <c r="AC118" s="10"/>
    </row>
    <row r="119" spans="1:29" ht="13" outlineLevel="1">
      <c r="A119" s="10"/>
      <c r="B119" s="96"/>
      <c r="C119" s="10"/>
      <c r="D119" s="98"/>
      <c r="E119" s="98"/>
      <c r="F119" s="98"/>
      <c r="G119" s="98"/>
      <c r="H119" s="98"/>
      <c r="I119" s="98"/>
      <c r="J119" s="98"/>
      <c r="K119" s="10"/>
      <c r="L119" s="10"/>
      <c r="M119" s="10"/>
      <c r="N119" s="10"/>
      <c r="O119" s="10"/>
      <c r="P119" s="10"/>
      <c r="Q119" s="10"/>
      <c r="R119" s="10"/>
      <c r="S119" s="10"/>
      <c r="T119" s="10"/>
      <c r="U119" s="10"/>
      <c r="V119" s="10"/>
      <c r="W119" s="10"/>
      <c r="X119" s="10"/>
      <c r="Y119" s="10"/>
      <c r="Z119" s="10"/>
      <c r="AA119" s="10"/>
      <c r="AB119" s="10"/>
      <c r="AC119" s="10"/>
    </row>
    <row r="120" spans="1:29" ht="13">
      <c r="A120" s="10"/>
      <c r="B120" s="96" t="s">
        <v>187</v>
      </c>
      <c r="C120" s="10"/>
      <c r="D120" s="98"/>
      <c r="E120" s="98"/>
      <c r="G120" s="98"/>
      <c r="H120" s="98"/>
      <c r="I120" s="98"/>
      <c r="J120" s="98"/>
      <c r="K120" s="10"/>
      <c r="L120" s="10"/>
      <c r="M120" s="10"/>
      <c r="N120" s="10"/>
      <c r="O120" s="10"/>
      <c r="P120" s="10"/>
      <c r="Q120" s="10"/>
      <c r="R120" s="10"/>
      <c r="S120" s="10"/>
      <c r="T120" s="10"/>
      <c r="U120" s="10"/>
      <c r="V120" s="10"/>
      <c r="W120" s="10"/>
      <c r="X120" s="10"/>
      <c r="Y120" s="10"/>
      <c r="Z120" s="10"/>
      <c r="AA120" s="10"/>
      <c r="AB120" s="10"/>
      <c r="AC120" s="10"/>
    </row>
    <row r="121" spans="1:29" ht="13">
      <c r="B121" s="66" t="str">
        <f t="shared" ref="B121:B135" si="81">B23</f>
        <v>Series J</v>
      </c>
      <c r="D121" s="100">
        <f t="shared" ref="D121:J121" si="82">IF( $J$3 = FALSE, 0, IF( $Y23 = TRUE, IF(D85 * D$173 = $M23, 0, D85), IF($G23 = 0, 0, IF( OR($D23="options", $D23 = "warrants"), IF(AND($J23 &lt; D$173,$G23&gt;0), $G23 * $H23  * IFERROR(IF($D23 = "warrants", (D$173 - $J23) / D$173, 1 ),0), 0), IF(AND($O23="full participating",D$154&lt;&gt;D$46), $G23 * $H23, IF($O23="participating preferred with cap", D103, IF($D23="preferred", IF( $G23 * $H23 * D$173 &gt; ( SUMPRODUCT(D$50:D$64,--($E$23:$E$37=$E23)) * $M23 / SUMPRODUCT($M$23:$M$37,--($E$23:$E$37=$E23)) ), $G23 * $H23, 0), $G23 * $H23) ) ) ) ) ) )</f>
        <v>0</v>
      </c>
      <c r="E121" s="100">
        <f t="shared" si="82"/>
        <v>0</v>
      </c>
      <c r="F121" s="100">
        <f t="shared" si="82"/>
        <v>0</v>
      </c>
      <c r="G121" s="100">
        <f t="shared" si="82"/>
        <v>0</v>
      </c>
      <c r="H121" s="100">
        <f t="shared" si="82"/>
        <v>0</v>
      </c>
      <c r="I121" s="100">
        <f t="shared" si="82"/>
        <v>0</v>
      </c>
      <c r="J121" s="100">
        <f t="shared" si="82"/>
        <v>0</v>
      </c>
    </row>
    <row r="122" spans="1:29" ht="13">
      <c r="B122" s="66" t="str">
        <f t="shared" si="81"/>
        <v>Series I</v>
      </c>
      <c r="D122" s="100">
        <f t="shared" ref="D122:J122" si="83">IF( $J$3 = FALSE, 0, IF( $Y24 = TRUE, IF(D86 * D$173 = $M24, 0, D86), IF($G24 = 0, 0, IF( OR($D24="options", $D24 = "warrants"), IF(AND($J24 &lt; D$173,$G24&gt;0), $G24 * $H24  * IFERROR(IF($D24 = "warrants", (D$173 - $J24) / D$173, 1 ),0), 0), IF(AND($O24="full participating",D$154&lt;&gt;D$46), $G24 * $H24, IF($O24="participating preferred with cap", D104, IF($D24="preferred", IF( $G24 * $H24 * D$173 &gt; ( SUMPRODUCT(D$50:D$64,--($E$23:$E$37=$E24)) * $M24 / SUMPRODUCT($M$23:$M$37,--($E$23:$E$37=$E24)) ), $G24 * $H24, 0), $G24 * $H24) ) ) ) ) ) )</f>
        <v>0</v>
      </c>
      <c r="E122" s="100">
        <f t="shared" si="83"/>
        <v>0</v>
      </c>
      <c r="F122" s="100">
        <f t="shared" si="83"/>
        <v>0</v>
      </c>
      <c r="G122" s="100">
        <f t="shared" si="83"/>
        <v>0</v>
      </c>
      <c r="H122" s="100">
        <f t="shared" si="83"/>
        <v>0</v>
      </c>
      <c r="I122" s="100">
        <f t="shared" si="83"/>
        <v>0</v>
      </c>
      <c r="J122" s="100">
        <f t="shared" si="83"/>
        <v>0</v>
      </c>
    </row>
    <row r="123" spans="1:29" ht="13">
      <c r="B123" s="66" t="str">
        <f t="shared" si="81"/>
        <v>Series H</v>
      </c>
      <c r="D123" s="100">
        <f t="shared" ref="D123:J123" si="84">IF( $J$3 = FALSE, 0, IF( $Y25 = TRUE, IF(D87 * D$173 = $M25, 0, D87), IF($G25 = 0, 0, IF( OR($D25="options", $D25 = "warrants"), IF(AND($J25 &lt; D$173,$G25&gt;0), $G25 * $H25  * IFERROR(IF($D25 = "warrants", (D$173 - $J25) / D$173, 1 ),0), 0), IF(AND($O25="full participating",D$154&lt;&gt;D$46), $G25 * $H25, IF($O25="participating preferred with cap", D105, IF($D25="preferred", IF( $G25 * $H25 * D$173 &gt; ( SUMPRODUCT(D$50:D$64,--($E$23:$E$37=$E25)) * $M25 / SUMPRODUCT($M$23:$M$37,--($E$23:$E$37=$E25)) ), $G25 * $H25, 0), $G25 * $H25) ) ) ) ) ) )</f>
        <v>0</v>
      </c>
      <c r="E123" s="100">
        <f t="shared" si="84"/>
        <v>0</v>
      </c>
      <c r="F123" s="100">
        <f t="shared" si="84"/>
        <v>0</v>
      </c>
      <c r="G123" s="100">
        <f t="shared" si="84"/>
        <v>0</v>
      </c>
      <c r="H123" s="100">
        <f t="shared" si="84"/>
        <v>0</v>
      </c>
      <c r="I123" s="100">
        <f t="shared" si="84"/>
        <v>0</v>
      </c>
      <c r="J123" s="100">
        <f t="shared" si="84"/>
        <v>0</v>
      </c>
    </row>
    <row r="124" spans="1:29" ht="13">
      <c r="B124" s="66" t="str">
        <f t="shared" si="81"/>
        <v>Series G</v>
      </c>
      <c r="D124" s="100">
        <f t="shared" ref="D124:J124" si="85">IF( $J$3 = FALSE, 0, IF( $Y26 = TRUE, IF(D88 * D$173 = $M26, 0, D88), IF($G26 = 0, 0, IF( OR($D26="options", $D26 = "warrants"), IF(AND($J26 &lt; D$173,$G26&gt;0), $G26 * $H26  * IFERROR(IF($D26 = "warrants", (D$173 - $J26) / D$173, 1 ),0), 0), IF(AND($O26="full participating",D$154&lt;&gt;D$46), $G26 * $H26, IF($O26="participating preferred with cap", D106, IF($D26="preferred", IF( $G26 * $H26 * D$173 &gt; ( SUMPRODUCT(D$50:D$64,--($E$23:$E$37=$E26)) * $M26 / SUMPRODUCT($M$23:$M$37,--($E$23:$E$37=$E26)) ), $G26 * $H26, 0), $G26 * $H26) ) ) ) ) ) )</f>
        <v>0</v>
      </c>
      <c r="E124" s="100">
        <f t="shared" si="85"/>
        <v>0</v>
      </c>
      <c r="F124" s="100">
        <f t="shared" si="85"/>
        <v>0</v>
      </c>
      <c r="G124" s="100">
        <f t="shared" si="85"/>
        <v>0</v>
      </c>
      <c r="H124" s="100">
        <f t="shared" si="85"/>
        <v>0</v>
      </c>
      <c r="I124" s="100">
        <f t="shared" si="85"/>
        <v>0</v>
      </c>
      <c r="J124" s="100">
        <f t="shared" si="85"/>
        <v>0</v>
      </c>
    </row>
    <row r="125" spans="1:29" ht="13">
      <c r="B125" s="66" t="str">
        <f t="shared" si="81"/>
        <v>Series F</v>
      </c>
      <c r="D125" s="100">
        <f t="shared" ref="D125:J125" si="86">IF( $J$3 = FALSE, 0, IF( $Y27 = TRUE, IF(D89 * D$173 = $M27, 0, D89), IF($G27 = 0, 0, IF( OR($D27="options", $D27 = "warrants"), IF(AND($J27 &lt; D$173,$G27&gt;0), $G27 * $H27  * IFERROR(IF($D27 = "warrants", (D$173 - $J27) / D$173, 1 ),0), 0), IF(AND($O27="full participating",D$154&lt;&gt;D$46), $G27 * $H27, IF($O27="participating preferred with cap", D107, IF($D27="preferred", IF( $G27 * $H27 * D$173 &gt; ( SUMPRODUCT(D$50:D$64,--($E$23:$E$37=$E27)) * $M27 / SUMPRODUCT($M$23:$M$37,--($E$23:$E$37=$E27)) ), $G27 * $H27, 0), $G27 * $H27) ) ) ) ) ) )</f>
        <v>0</v>
      </c>
      <c r="E125" s="100">
        <f t="shared" si="86"/>
        <v>0</v>
      </c>
      <c r="F125" s="100">
        <f t="shared" si="86"/>
        <v>0</v>
      </c>
      <c r="G125" s="100">
        <f t="shared" si="86"/>
        <v>0</v>
      </c>
      <c r="H125" s="100">
        <f t="shared" si="86"/>
        <v>0</v>
      </c>
      <c r="I125" s="100">
        <f t="shared" si="86"/>
        <v>0</v>
      </c>
      <c r="J125" s="100">
        <f t="shared" si="86"/>
        <v>0</v>
      </c>
    </row>
    <row r="126" spans="1:29" ht="13">
      <c r="B126" s="66" t="str">
        <f t="shared" si="81"/>
        <v>Series E</v>
      </c>
      <c r="D126" s="100">
        <f t="shared" ref="D126:J126" si="87">IF( $J$3 = FALSE, 0, IF( $Y28 = TRUE, IF(D90 * D$173 = $M28, 0, D90), IF($G28 = 0, 0, IF( OR($D28="options", $D28 = "warrants"), IF(AND($J28 &lt; D$173,$G28&gt;0), $G28 * $H28  * IFERROR(IF($D28 = "warrants", (D$173 - $J28) / D$173, 1 ),0), 0), IF(AND($O28="full participating",D$154&lt;&gt;D$46), $G28 * $H28, IF($O28="participating preferred with cap", D108, IF($D28="preferred", IF( $G28 * $H28 * D$173 &gt; ( SUMPRODUCT(D$50:D$64,--($E$23:$E$37=$E28)) * $M28 / SUMPRODUCT($M$23:$M$37,--($E$23:$E$37=$E28)) ), $G28 * $H28, 0), $G28 * $H28) ) ) ) ) ) )</f>
        <v>0</v>
      </c>
      <c r="E126" s="100">
        <f t="shared" si="87"/>
        <v>0</v>
      </c>
      <c r="F126" s="100">
        <f t="shared" si="87"/>
        <v>0</v>
      </c>
      <c r="G126" s="100">
        <f t="shared" si="87"/>
        <v>0</v>
      </c>
      <c r="H126" s="100">
        <f t="shared" si="87"/>
        <v>0</v>
      </c>
      <c r="I126" s="100">
        <f t="shared" si="87"/>
        <v>0</v>
      </c>
      <c r="J126" s="100">
        <f t="shared" si="87"/>
        <v>0</v>
      </c>
    </row>
    <row r="127" spans="1:29" ht="13">
      <c r="B127" s="66" t="str">
        <f t="shared" si="81"/>
        <v>Series D</v>
      </c>
      <c r="D127" s="100">
        <f t="shared" ref="D127:J127" si="88">IF( $J$3 = FALSE, 0, IF( $Y29 = TRUE, IF(D91 * D$173 = $M29, 0, D91), IF($G29 = 0, 0, IF( OR($D29="options", $D29 = "warrants"), IF(AND($J29 &lt; D$173,$G29&gt;0), $G29 * $H29  * IFERROR(IF($D29 = "warrants", (D$173 - $J29) / D$173, 1 ),0), 0), IF(AND($O29="full participating",D$154&lt;&gt;D$46), $G29 * $H29, IF($O29="participating preferred with cap", D109, IF($D29="preferred", IF( $G29 * $H29 * D$173 &gt; ( SUMPRODUCT(D$50:D$64,--($E$23:$E$37=$E29)) * $M29 / SUMPRODUCT($M$23:$M$37,--($E$23:$E$37=$E29)) ), $G29 * $H29, 0), $G29 * $H29) ) ) ) ) ) )</f>
        <v>0</v>
      </c>
      <c r="E127" s="100">
        <f t="shared" si="88"/>
        <v>0</v>
      </c>
      <c r="F127" s="100">
        <f t="shared" si="88"/>
        <v>0</v>
      </c>
      <c r="G127" s="100">
        <f t="shared" si="88"/>
        <v>0</v>
      </c>
      <c r="H127" s="100">
        <f t="shared" si="88"/>
        <v>0</v>
      </c>
      <c r="I127" s="100">
        <f t="shared" si="88"/>
        <v>0</v>
      </c>
      <c r="J127" s="100">
        <f t="shared" si="88"/>
        <v>0</v>
      </c>
    </row>
    <row r="128" spans="1:29" ht="13">
      <c r="B128" s="66" t="str">
        <f t="shared" si="81"/>
        <v>Series C</v>
      </c>
      <c r="D128" s="100">
        <f t="shared" ref="D128:J128" si="89">IF( $J$3 = FALSE, 0, IF( $Y30 = TRUE, IF(D92 * D$173 = $M30, 0, D92), IF($G30 = 0, 0, IF( OR($D30="options", $D30 = "warrants"), IF(AND($J30 &lt; D$173,$G30&gt;0), $G30 * $H30  * IFERROR(IF($D30 = "warrants", (D$173 - $J30) / D$173, 1 ),0), 0), IF(AND($O30="full participating",D$154&lt;&gt;D$46), $G30 * $H30, IF($O30="participating preferred with cap", D110, IF($D30="preferred", IF( $G30 * $H30 * D$173 &gt; ( SUMPRODUCT(D$50:D$64,--($E$23:$E$37=$E30)) * $M30 / SUMPRODUCT($M$23:$M$37,--($E$23:$E$37=$E30)) ), $G30 * $H30, 0), $G30 * $H30) ) ) ) ) ) )</f>
        <v>0</v>
      </c>
      <c r="E128" s="100">
        <f t="shared" si="89"/>
        <v>0</v>
      </c>
      <c r="F128" s="100">
        <f t="shared" si="89"/>
        <v>0</v>
      </c>
      <c r="G128" s="100">
        <f t="shared" si="89"/>
        <v>0</v>
      </c>
      <c r="H128" s="100">
        <f t="shared" si="89"/>
        <v>0</v>
      </c>
      <c r="I128" s="100">
        <f t="shared" si="89"/>
        <v>0</v>
      </c>
      <c r="J128" s="100">
        <f t="shared" si="89"/>
        <v>0</v>
      </c>
    </row>
    <row r="129" spans="1:29" ht="13">
      <c r="B129" s="66" t="str">
        <f t="shared" si="81"/>
        <v>Series B</v>
      </c>
      <c r="D129" s="100">
        <f t="shared" ref="D129:J129" si="90">IF( $J$3 = FALSE, 0, IF( $Y31 = TRUE, IF(D93 * D$173 = $M31, 0, D93), IF($G31 = 0, 0, IF( OR($D31="options", $D31 = "warrants"), IF(AND($J31 &lt; D$173,$G31&gt;0), $G31 * $H31  * IFERROR(IF($D31 = "warrants", (D$173 - $J31) / D$173, 1 ),0), 0), IF(AND($O31="full participating",D$154&lt;&gt;D$46), $G31 * $H31, IF($O31="participating preferred with cap", D111, IF($D31="preferred", IF( $G31 * $H31 * D$173 &gt; ( SUMPRODUCT(D$50:D$64,--($E$23:$E$37=$E31)) * $M31 / SUMPRODUCT($M$23:$M$37,--($E$23:$E$37=$E31)) ), $G31 * $H31, 0), $G31 * $H31) ) ) ) ) ) )</f>
        <v>0</v>
      </c>
      <c r="E129" s="100">
        <f t="shared" si="90"/>
        <v>0</v>
      </c>
      <c r="F129" s="100">
        <f t="shared" si="90"/>
        <v>0</v>
      </c>
      <c r="G129" s="100">
        <f t="shared" si="90"/>
        <v>0</v>
      </c>
      <c r="H129" s="100">
        <f t="shared" si="90"/>
        <v>0</v>
      </c>
      <c r="I129" s="100">
        <f t="shared" si="90"/>
        <v>0</v>
      </c>
      <c r="J129" s="100">
        <f t="shared" si="90"/>
        <v>0</v>
      </c>
    </row>
    <row r="130" spans="1:29" ht="13">
      <c r="B130" s="66" t="str">
        <f t="shared" si="81"/>
        <v>Series A</v>
      </c>
      <c r="D130" s="100">
        <f t="shared" ref="D130:J130" si="91">IF( $J$3 = FALSE, 0, IF( $Y32 = TRUE, IF(D94 * D$173 = $M32, 0, D94), IF($G32 = 0, 0, IF( OR($D32="options", $D32 = "warrants"), IF(AND($J32 &lt; D$173,$G32&gt;0), $G32 * $H32  * IFERROR(IF($D32 = "warrants", (D$173 - $J32) / D$173, 1 ),0), 0), IF(AND($O32="full participating",D$154&lt;&gt;D$46), $G32 * $H32, IF($O32="participating preferred with cap", D112, IF($D32="preferred", IF( $G32 * $H32 * D$173 &gt; ( SUMPRODUCT(D$50:D$64,--($E$23:$E$37=$E32)) * $M32 / SUMPRODUCT($M$23:$M$37,--($E$23:$E$37=$E32)) ), $G32 * $H32, 0), $G32 * $H32) ) ) ) ) ) )</f>
        <v>0</v>
      </c>
      <c r="E130" s="100">
        <f t="shared" si="91"/>
        <v>0</v>
      </c>
      <c r="F130" s="100">
        <f t="shared" si="91"/>
        <v>0</v>
      </c>
      <c r="G130" s="100">
        <f t="shared" si="91"/>
        <v>0</v>
      </c>
      <c r="H130" s="100">
        <f t="shared" si="91"/>
        <v>0</v>
      </c>
      <c r="I130" s="100">
        <f t="shared" si="91"/>
        <v>0</v>
      </c>
      <c r="J130" s="100">
        <f t="shared" si="91"/>
        <v>0</v>
      </c>
    </row>
    <row r="131" spans="1:29" ht="13">
      <c r="B131" s="66" t="str">
        <f t="shared" si="81"/>
        <v>Seed</v>
      </c>
      <c r="D131" s="100">
        <f t="shared" ref="D131:J131" si="92">IF( $J$3 = FALSE, 0, IF( $Y33 = TRUE, IF(D95 * D$173 = $M33, 0, D95), IF($G33 = 0, 0, IF( OR($D33="options", $D33 = "warrants"), IF(AND($J33 &lt; D$173,$G33&gt;0), $G33 * $H33  * IFERROR(IF($D33 = "warrants", (D$173 - $J33) / D$173, 1 ),0), 0), IF(AND($O33="full participating",D$154&lt;&gt;D$46), $G33 * $H33, IF($O33="participating preferred with cap", D113, IF($D33="preferred", IF( $G33 * $H33 * D$173 &gt; ( SUMPRODUCT(D$50:D$64,--($E$23:$E$37=$E33)) * $M33 / SUMPRODUCT($M$23:$M$37,--($E$23:$E$37=$E33)) ), $G33 * $H33, 0), $G33 * $H33) ) ) ) ) ) )</f>
        <v>0</v>
      </c>
      <c r="E131" s="100">
        <f t="shared" si="92"/>
        <v>0</v>
      </c>
      <c r="F131" s="100">
        <f t="shared" si="92"/>
        <v>0</v>
      </c>
      <c r="G131" s="100">
        <f t="shared" si="92"/>
        <v>0</v>
      </c>
      <c r="H131" s="100">
        <f t="shared" si="92"/>
        <v>0</v>
      </c>
      <c r="I131" s="100">
        <f t="shared" si="92"/>
        <v>0</v>
      </c>
      <c r="J131" s="100">
        <f t="shared" si="92"/>
        <v>0</v>
      </c>
    </row>
    <row r="132" spans="1:29" ht="13">
      <c r="B132" s="66" t="str">
        <f t="shared" si="81"/>
        <v>Common</v>
      </c>
      <c r="D132" s="100">
        <f t="shared" ref="D132:J132" si="93">IF( $J$3 = FALSE, 0, IF( $Y34 = TRUE, IF(D96 * D$173 = $M34, 0, D96), IF($G34 = 0, 0, IF( OR($D34="options", $D34 = "warrants"), IF(AND($J34 &lt; D$173,$G34&gt;0), $G34 * $H34  * IFERROR(IF($D34 = "warrants", (D$173 - $J34) / D$173, 1 ),0), 0), IF(AND($O34="full participating",D$154&lt;&gt;D$46), $G34 * $H34, IF($O34="participating preferred with cap", D114, IF($D34="preferred", IF( $G34 * $H34 * D$173 &gt; ( SUMPRODUCT(D$50:D$64,--($E$23:$E$37=$E34)) * $M34 / SUMPRODUCT($M$23:$M$37,--($E$23:$E$37=$E34)) ), $G34 * $H34, 0), $G34 * $H34) ) ) ) ) ) )</f>
        <v>0</v>
      </c>
      <c r="E132" s="100">
        <f t="shared" si="93"/>
        <v>0</v>
      </c>
      <c r="F132" s="100">
        <f t="shared" si="93"/>
        <v>0</v>
      </c>
      <c r="G132" s="100">
        <f t="shared" si="93"/>
        <v>0</v>
      </c>
      <c r="H132" s="100">
        <f t="shared" si="93"/>
        <v>0</v>
      </c>
      <c r="I132" s="100">
        <f t="shared" si="93"/>
        <v>0</v>
      </c>
      <c r="J132" s="100">
        <f t="shared" si="93"/>
        <v>0</v>
      </c>
    </row>
    <row r="133" spans="1:29" ht="13">
      <c r="B133" s="66" t="str">
        <f t="shared" si="81"/>
        <v>Options</v>
      </c>
      <c r="D133" s="100">
        <f t="shared" ref="D133:J133" si="94">IF( $J$3 = FALSE, 0, IF( $Y35 = TRUE, IF(D97 * D$173 = $M35, 0, D97), IF($G35 = 0, 0, IF( OR($D35="options", $D35 = "warrants"), IF(AND($J35 &lt; D$173,$G35&gt;0), $G35 * $H35  * IFERROR(IF($D35 = "warrants", (D$173 - $J35) / D$173, 1 ),0), 0), IF(AND($O35="full participating",D$154&lt;&gt;D$46), $G35 * $H35, IF($O35="participating preferred with cap", D115, IF($D35="preferred", IF( $G35 * $H35 * D$173 &gt; ( SUMPRODUCT(D$50:D$64,--($E$23:$E$37=$E35)) * $M35 / SUMPRODUCT($M$23:$M$37,--($E$23:$E$37=$E35)) ), $G35 * $H35, 0), $G35 * $H35) ) ) ) ) ) )</f>
        <v>0</v>
      </c>
      <c r="E133" s="100">
        <f t="shared" si="94"/>
        <v>0</v>
      </c>
      <c r="F133" s="100">
        <f t="shared" si="94"/>
        <v>0</v>
      </c>
      <c r="G133" s="100">
        <f t="shared" si="94"/>
        <v>0</v>
      </c>
      <c r="H133" s="100">
        <f t="shared" si="94"/>
        <v>0</v>
      </c>
      <c r="I133" s="100">
        <f t="shared" si="94"/>
        <v>0</v>
      </c>
      <c r="J133" s="100">
        <f t="shared" si="94"/>
        <v>0</v>
      </c>
    </row>
    <row r="134" spans="1:29" ht="13">
      <c r="B134" s="66" t="str">
        <f t="shared" si="81"/>
        <v>Options</v>
      </c>
      <c r="D134" s="100">
        <f t="shared" ref="D134:J134" si="95">IF( $J$3 = FALSE, 0, IF( $Y36 = TRUE, IF(D98 * D$173 = $M36, 0, D98), IF($G36 = 0, 0, IF( OR($D36="options", $D36 = "warrants"), IF(AND($J36 &lt; D$173,$G36&gt;0), $G36 * $H36  * IFERROR(IF($D36 = "warrants", (D$173 - $J36) / D$173, 1 ),0), 0), IF(AND($O36="full participating",D$154&lt;&gt;D$46), $G36 * $H36, IF($O36="participating preferred with cap", D116, IF($D36="preferred", IF( $G36 * $H36 * D$173 &gt; ( SUMPRODUCT(D$50:D$64,--($E$23:$E$37=$E36)) * $M36 / SUMPRODUCT($M$23:$M$37,--($E$23:$E$37=$E36)) ), $G36 * $H36, 0), $G36 * $H36) ) ) ) ) ) )</f>
        <v>0</v>
      </c>
      <c r="E134" s="100">
        <f t="shared" si="95"/>
        <v>0</v>
      </c>
      <c r="F134" s="100">
        <f t="shared" si="95"/>
        <v>0</v>
      </c>
      <c r="G134" s="100">
        <f t="shared" si="95"/>
        <v>0</v>
      </c>
      <c r="H134" s="100">
        <f t="shared" si="95"/>
        <v>0</v>
      </c>
      <c r="I134" s="100">
        <f t="shared" si="95"/>
        <v>0</v>
      </c>
      <c r="J134" s="100">
        <f t="shared" si="95"/>
        <v>0</v>
      </c>
    </row>
    <row r="135" spans="1:29" ht="13">
      <c r="B135" s="66" t="str">
        <f t="shared" si="81"/>
        <v>Warrants</v>
      </c>
      <c r="D135" s="100">
        <f t="shared" ref="D135:J135" si="96">IF( $J$3 = FALSE, 0, IF( $Y37 = TRUE, IF(D99 * D$173 = $M37, 0, D99), IF($G37 = 0, 0, IF( OR($D37="options", $D37 = "warrants"), IF(AND($J37 &lt; D$173,$G37&gt;0), $G37 * $H37  * IFERROR(IF($D37 = "warrants", (D$173 - $J37) / D$173, 1 ),0), 0), IF(AND($O37="full participating",D$154&lt;&gt;D$46), $G37 * $H37, IF($O37="participating preferred with cap", D117, IF($D37="preferred", IF( $G37 * $H37 * D$173 &gt; ( SUMPRODUCT(D$50:D$64,--($E$23:$E$37=$E37)) * $M37 / SUMPRODUCT($M$23:$M$37,--($E$23:$E$37=$E37)) ), $G37 * $H37, 0), $G37 * $H37) ) ) ) ) ) )</f>
        <v>0</v>
      </c>
      <c r="E135" s="100">
        <f t="shared" si="96"/>
        <v>0</v>
      </c>
      <c r="F135" s="100">
        <f t="shared" si="96"/>
        <v>0</v>
      </c>
      <c r="G135" s="100">
        <f t="shared" si="96"/>
        <v>0</v>
      </c>
      <c r="H135" s="100">
        <f t="shared" si="96"/>
        <v>0</v>
      </c>
      <c r="I135" s="100">
        <f t="shared" si="96"/>
        <v>0</v>
      </c>
      <c r="J135" s="100">
        <f t="shared" si="96"/>
        <v>0</v>
      </c>
    </row>
    <row r="136" spans="1:29" ht="13">
      <c r="B136" s="66" t="s">
        <v>101</v>
      </c>
      <c r="D136" s="90">
        <f t="shared" ref="D136:J136" si="97">SUM(D121:D135)</f>
        <v>0</v>
      </c>
      <c r="E136" s="90">
        <f t="shared" si="97"/>
        <v>0</v>
      </c>
      <c r="F136" s="90">
        <f t="shared" si="97"/>
        <v>0</v>
      </c>
      <c r="G136" s="90">
        <f t="shared" si="97"/>
        <v>0</v>
      </c>
      <c r="H136" s="90">
        <f t="shared" si="97"/>
        <v>0</v>
      </c>
      <c r="I136" s="90">
        <f t="shared" si="97"/>
        <v>0</v>
      </c>
      <c r="J136" s="90">
        <f t="shared" si="97"/>
        <v>0</v>
      </c>
    </row>
    <row r="137" spans="1:29" ht="13">
      <c r="B137" s="66"/>
      <c r="D137" s="94"/>
      <c r="E137" s="94"/>
      <c r="F137" s="94"/>
      <c r="G137" s="94"/>
      <c r="H137" s="94"/>
      <c r="I137" s="94"/>
      <c r="J137" s="94"/>
    </row>
    <row r="138" spans="1:29" ht="13">
      <c r="A138" s="98"/>
      <c r="B138" s="98" t="s">
        <v>239</v>
      </c>
      <c r="C138" s="98"/>
      <c r="D138" s="98"/>
      <c r="E138" s="98"/>
      <c r="F138" s="98"/>
      <c r="G138" s="98"/>
      <c r="H138" s="98"/>
      <c r="I138" s="98"/>
      <c r="J138" s="98"/>
      <c r="K138" s="98"/>
      <c r="L138" s="98"/>
      <c r="M138" s="98"/>
      <c r="N138" s="98"/>
      <c r="O138" s="98"/>
      <c r="P138" s="98"/>
      <c r="Q138" s="98"/>
      <c r="R138" s="98"/>
      <c r="S138" s="98"/>
      <c r="T138" s="98"/>
      <c r="U138" s="98"/>
      <c r="V138" s="98"/>
      <c r="W138" s="98"/>
      <c r="X138" s="98"/>
      <c r="Y138" s="98"/>
      <c r="Z138" s="98"/>
      <c r="AA138" s="98"/>
      <c r="AB138" s="98"/>
      <c r="AC138" s="98"/>
    </row>
    <row r="139" spans="1:29" ht="13">
      <c r="B139" s="66" t="str">
        <f t="shared" ref="B139:B153" si="98">B23</f>
        <v>Series J</v>
      </c>
      <c r="D139" s="94">
        <f t="shared" ref="D139:J139" si="99">IF($O23="participating preferred with cap", IF( ($G23 * D$173) &lt; $Q23, MIN( $M23, SUMPRODUCT(D$50:D$64,--($E$23:$E$37=$E23)) * $M23 / SUMPRODUCT($M$23:$M$37,--($E$23:$E$37=$E23)) ), 0 ), IF($O23="full participating", IFERROR( MIN( $M23, SUMPRODUCT(D$50:D$64,--($E$23:$E$37=$E23)) * $M23 / SUMPRODUCT($M$23:$M$37,--($E$23:$E$37=$E23)) ),0), IF(D121 &gt; 0, 0, IFERROR( MIN( $M23, SUMPRODUCT(D$50:D$64,--($E$23:$E$37=$E23)) * $M23 / SUMPRODUCT($M$23:$M$37,--($E$23:$E$37=$E23)) ),0) ) ) )</f>
        <v>0</v>
      </c>
      <c r="E139" s="94">
        <f t="shared" si="99"/>
        <v>0</v>
      </c>
      <c r="F139" s="94">
        <f t="shared" si="99"/>
        <v>0</v>
      </c>
      <c r="G139" s="94">
        <f t="shared" si="99"/>
        <v>0</v>
      </c>
      <c r="H139" s="94">
        <f t="shared" si="99"/>
        <v>0</v>
      </c>
      <c r="I139" s="94">
        <f t="shared" si="99"/>
        <v>0</v>
      </c>
      <c r="J139" s="94">
        <f t="shared" si="99"/>
        <v>0</v>
      </c>
    </row>
    <row r="140" spans="1:29" ht="13">
      <c r="B140" s="66" t="str">
        <f t="shared" si="98"/>
        <v>Series I</v>
      </c>
      <c r="D140" s="94">
        <f t="shared" ref="D140:J140" si="100">IF($O24="participating preferred with cap", IF( ($G24 * D$173) &lt; $Q24, MIN( $M24, SUMPRODUCT(D$50:D$64,--($E$23:$E$37=$E24)) * $M24 / SUMPRODUCT($M$23:$M$37,--($E$23:$E$37=$E24)) ), 0 ), IF($O24="full participating", IFERROR( MIN( $M24, SUMPRODUCT(D$50:D$64,--($E$23:$E$37=$E24)) * $M24 / SUMPRODUCT($M$23:$M$37,--($E$23:$E$37=$E24)) ),0), IF(D122 &gt; 0, 0, IFERROR( MIN( $M24, SUMPRODUCT(D$50:D$64,--($E$23:$E$37=$E24)) * $M24 / SUMPRODUCT($M$23:$M$37,--($E$23:$E$37=$E24)) ),0) ) ) )</f>
        <v>0</v>
      </c>
      <c r="E140" s="94">
        <f t="shared" si="100"/>
        <v>0</v>
      </c>
      <c r="F140" s="94">
        <f t="shared" si="100"/>
        <v>0</v>
      </c>
      <c r="G140" s="94">
        <f t="shared" si="100"/>
        <v>0</v>
      </c>
      <c r="H140" s="94">
        <f t="shared" si="100"/>
        <v>0</v>
      </c>
      <c r="I140" s="94">
        <f t="shared" si="100"/>
        <v>0</v>
      </c>
      <c r="J140" s="94">
        <f t="shared" si="100"/>
        <v>0</v>
      </c>
    </row>
    <row r="141" spans="1:29" ht="13">
      <c r="B141" s="66" t="str">
        <f t="shared" si="98"/>
        <v>Series H</v>
      </c>
      <c r="D141" s="94">
        <f t="shared" ref="D141:J141" si="101">IF($O25="participating preferred with cap", IF( ($G25 * D$173) &lt; $Q25, MIN( $M25, SUMPRODUCT(D$50:D$64,--($E$23:$E$37=$E25)) * $M25 / SUMPRODUCT($M$23:$M$37,--($E$23:$E$37=$E25)) ), 0 ), IF($O25="full participating", IFERROR( MIN( $M25, SUMPRODUCT(D$50:D$64,--($E$23:$E$37=$E25)) * $M25 / SUMPRODUCT($M$23:$M$37,--($E$23:$E$37=$E25)) ),0), IF(D123 &gt; 0, 0, IFERROR( MIN( $M25, SUMPRODUCT(D$50:D$64,--($E$23:$E$37=$E25)) * $M25 / SUMPRODUCT($M$23:$M$37,--($E$23:$E$37=$E25)) ),0) ) ) )</f>
        <v>0</v>
      </c>
      <c r="E141" s="94">
        <f t="shared" si="101"/>
        <v>0</v>
      </c>
      <c r="F141" s="94">
        <f t="shared" si="101"/>
        <v>0</v>
      </c>
      <c r="G141" s="94">
        <f t="shared" si="101"/>
        <v>0</v>
      </c>
      <c r="H141" s="94">
        <f t="shared" si="101"/>
        <v>0</v>
      </c>
      <c r="I141" s="94">
        <f t="shared" si="101"/>
        <v>0</v>
      </c>
      <c r="J141" s="94">
        <f t="shared" si="101"/>
        <v>0</v>
      </c>
    </row>
    <row r="142" spans="1:29" ht="13">
      <c r="B142" s="66" t="str">
        <f t="shared" si="98"/>
        <v>Series G</v>
      </c>
      <c r="D142" s="94">
        <f t="shared" ref="D142:J142" si="102">IF($O26="participating preferred with cap", IF( ($G26 * D$173) &lt; $Q26, MIN( $M26, SUMPRODUCT(D$50:D$64,--($E$23:$E$37=$E26)) * $M26 / SUMPRODUCT($M$23:$M$37,--($E$23:$E$37=$E26)) ), 0 ), IF($O26="full participating", IFERROR( MIN( $M26, SUMPRODUCT(D$50:D$64,--($E$23:$E$37=$E26)) * $M26 / SUMPRODUCT($M$23:$M$37,--($E$23:$E$37=$E26)) ),0), IF(D124 &gt; 0, 0, IFERROR( MIN( $M26, SUMPRODUCT(D$50:D$64,--($E$23:$E$37=$E26)) * $M26 / SUMPRODUCT($M$23:$M$37,--($E$23:$E$37=$E26)) ),0) ) ) )</f>
        <v>0</v>
      </c>
      <c r="E142" s="94">
        <f t="shared" si="102"/>
        <v>0</v>
      </c>
      <c r="F142" s="94">
        <f t="shared" si="102"/>
        <v>0</v>
      </c>
      <c r="G142" s="94">
        <f t="shared" si="102"/>
        <v>0</v>
      </c>
      <c r="H142" s="94">
        <f t="shared" si="102"/>
        <v>0</v>
      </c>
      <c r="I142" s="94">
        <f t="shared" si="102"/>
        <v>0</v>
      </c>
      <c r="J142" s="94">
        <f t="shared" si="102"/>
        <v>0</v>
      </c>
    </row>
    <row r="143" spans="1:29" ht="13">
      <c r="B143" s="66" t="str">
        <f t="shared" si="98"/>
        <v>Series F</v>
      </c>
      <c r="D143" s="94">
        <f t="shared" ref="D143:J143" si="103">IF($O27="participating preferred with cap", IF( ($G27 * D$173) &lt; $Q27, MIN( $M27, SUMPRODUCT(D$50:D$64,--($E$23:$E$37=$E27)) * $M27 / SUMPRODUCT($M$23:$M$37,--($E$23:$E$37=$E27)) ), 0 ), IF($O27="full participating", IFERROR( MIN( $M27, SUMPRODUCT(D$50:D$64,--($E$23:$E$37=$E27)) * $M27 / SUMPRODUCT($M$23:$M$37,--($E$23:$E$37=$E27)) ),0), IF(D125 &gt; 0, 0, IFERROR( MIN( $M27, SUMPRODUCT(D$50:D$64,--($E$23:$E$37=$E27)) * $M27 / SUMPRODUCT($M$23:$M$37,--($E$23:$E$37=$E27)) ),0) ) ) )</f>
        <v>0</v>
      </c>
      <c r="E143" s="94">
        <f t="shared" si="103"/>
        <v>0</v>
      </c>
      <c r="F143" s="94">
        <f t="shared" si="103"/>
        <v>0</v>
      </c>
      <c r="G143" s="94">
        <f t="shared" si="103"/>
        <v>0</v>
      </c>
      <c r="H143" s="94">
        <f t="shared" si="103"/>
        <v>0</v>
      </c>
      <c r="I143" s="94">
        <f t="shared" si="103"/>
        <v>0</v>
      </c>
      <c r="J143" s="94">
        <f t="shared" si="103"/>
        <v>0</v>
      </c>
    </row>
    <row r="144" spans="1:29" ht="13">
      <c r="B144" s="66" t="str">
        <f t="shared" si="98"/>
        <v>Series E</v>
      </c>
      <c r="D144" s="94">
        <f t="shared" ref="D144:J144" si="104">IF($O28="participating preferred with cap", IF( ($G28 * D$173) &lt; $Q28, MIN( $M28, SUMPRODUCT(D$50:D$64,--($E$23:$E$37=$E28)) * $M28 / SUMPRODUCT($M$23:$M$37,--($E$23:$E$37=$E28)) ), 0 ), IF($O28="full participating", IFERROR( MIN( $M28, SUMPRODUCT(D$50:D$64,--($E$23:$E$37=$E28)) * $M28 / SUMPRODUCT($M$23:$M$37,--($E$23:$E$37=$E28)) ),0), IF(D126 &gt; 0, 0, IFERROR( MIN( $M28, SUMPRODUCT(D$50:D$64,--($E$23:$E$37=$E28)) * $M28 / SUMPRODUCT($M$23:$M$37,--($E$23:$E$37=$E28)) ),0) ) ) )</f>
        <v>0</v>
      </c>
      <c r="E144" s="94">
        <f t="shared" si="104"/>
        <v>0</v>
      </c>
      <c r="F144" s="94">
        <f t="shared" si="104"/>
        <v>0</v>
      </c>
      <c r="G144" s="94">
        <f t="shared" si="104"/>
        <v>0</v>
      </c>
      <c r="H144" s="94">
        <f t="shared" si="104"/>
        <v>0</v>
      </c>
      <c r="I144" s="94">
        <f t="shared" si="104"/>
        <v>0</v>
      </c>
      <c r="J144" s="94">
        <f t="shared" si="104"/>
        <v>0</v>
      </c>
    </row>
    <row r="145" spans="2:10" ht="13">
      <c r="B145" s="66" t="str">
        <f t="shared" si="98"/>
        <v>Series D</v>
      </c>
      <c r="D145" s="94">
        <f t="shared" ref="D145:J145" si="105">IF($O29="participating preferred with cap", IF( ($G29 * D$173) &lt; $Q29, MIN( $M29, SUMPRODUCT(D$50:D$64,--($E$23:$E$37=$E29)) * $M29 / SUMPRODUCT($M$23:$M$37,--($E$23:$E$37=$E29)) ), 0 ), IF($O29="full participating", IFERROR( MIN( $M29, SUMPRODUCT(D$50:D$64,--($E$23:$E$37=$E29)) * $M29 / SUMPRODUCT($M$23:$M$37,--($E$23:$E$37=$E29)) ),0), IF(D127 &gt; 0, 0, IFERROR( MIN( $M29, SUMPRODUCT(D$50:D$64,--($E$23:$E$37=$E29)) * $M29 / SUMPRODUCT($M$23:$M$37,--($E$23:$E$37=$E29)) ),0) ) ) )</f>
        <v>0</v>
      </c>
      <c r="E145" s="94">
        <f t="shared" si="105"/>
        <v>0</v>
      </c>
      <c r="F145" s="94">
        <f t="shared" si="105"/>
        <v>0</v>
      </c>
      <c r="G145" s="94">
        <f t="shared" si="105"/>
        <v>0</v>
      </c>
      <c r="H145" s="94">
        <f t="shared" si="105"/>
        <v>0</v>
      </c>
      <c r="I145" s="94">
        <f t="shared" si="105"/>
        <v>0</v>
      </c>
      <c r="J145" s="94">
        <f t="shared" si="105"/>
        <v>0</v>
      </c>
    </row>
    <row r="146" spans="2:10" ht="13">
      <c r="B146" s="66" t="str">
        <f t="shared" si="98"/>
        <v>Series C</v>
      </c>
      <c r="D146" s="94">
        <f t="shared" ref="D146:J146" si="106">IF($O30="participating preferred with cap", IF( ($G30 * D$173) &lt; $Q30, MIN( $M30, SUMPRODUCT(D$50:D$64,--($E$23:$E$37=$E30)) * $M30 / SUMPRODUCT($M$23:$M$37,--($E$23:$E$37=$E30)) ), 0 ), IF($O30="full participating", IFERROR( MIN( $M30, SUMPRODUCT(D$50:D$64,--($E$23:$E$37=$E30)) * $M30 / SUMPRODUCT($M$23:$M$37,--($E$23:$E$37=$E30)) ),0), IF(D128 &gt; 0, 0, IFERROR( MIN( $M30, SUMPRODUCT(D$50:D$64,--($E$23:$E$37=$E30)) * $M30 / SUMPRODUCT($M$23:$M$37,--($E$23:$E$37=$E30)) ),0) ) ) )</f>
        <v>0</v>
      </c>
      <c r="E146" s="94">
        <f t="shared" si="106"/>
        <v>0</v>
      </c>
      <c r="F146" s="94">
        <f t="shared" si="106"/>
        <v>0</v>
      </c>
      <c r="G146" s="94">
        <f t="shared" si="106"/>
        <v>0</v>
      </c>
      <c r="H146" s="94">
        <f t="shared" si="106"/>
        <v>0</v>
      </c>
      <c r="I146" s="94">
        <f t="shared" si="106"/>
        <v>0</v>
      </c>
      <c r="J146" s="94">
        <f t="shared" si="106"/>
        <v>0</v>
      </c>
    </row>
    <row r="147" spans="2:10" ht="13">
      <c r="B147" s="66" t="str">
        <f t="shared" si="98"/>
        <v>Series B</v>
      </c>
      <c r="D147" s="94">
        <f t="shared" ref="D147:J147" si="107">IF($O31="participating preferred with cap", IF( ($G31 * D$173) &lt; $Q31, MIN( $M31, SUMPRODUCT(D$50:D$64,--($E$23:$E$37=$E31)) * $M31 / SUMPRODUCT($M$23:$M$37,--($E$23:$E$37=$E31)) ), 0 ), IF($O31="full participating", IFERROR( MIN( $M31, SUMPRODUCT(D$50:D$64,--($E$23:$E$37=$E31)) * $M31 / SUMPRODUCT($M$23:$M$37,--($E$23:$E$37=$E31)) ),0), IF(D129 &gt; 0, 0, IFERROR( MIN( $M31, SUMPRODUCT(D$50:D$64,--($E$23:$E$37=$E31)) * $M31 / SUMPRODUCT($M$23:$M$37,--($E$23:$E$37=$E31)) ),0) ) ) )</f>
        <v>2000000</v>
      </c>
      <c r="E147" s="94">
        <f t="shared" si="107"/>
        <v>2000000</v>
      </c>
      <c r="F147" s="94">
        <f t="shared" si="107"/>
        <v>2000000</v>
      </c>
      <c r="G147" s="94">
        <f t="shared" si="107"/>
        <v>2000000</v>
      </c>
      <c r="H147" s="94">
        <f t="shared" si="107"/>
        <v>2000000</v>
      </c>
      <c r="I147" s="94">
        <f t="shared" si="107"/>
        <v>2000000</v>
      </c>
      <c r="J147" s="94">
        <f t="shared" si="107"/>
        <v>2000000</v>
      </c>
    </row>
    <row r="148" spans="2:10" ht="13">
      <c r="B148" s="66" t="str">
        <f t="shared" si="98"/>
        <v>Series A</v>
      </c>
      <c r="D148" s="94">
        <f t="shared" ref="D148:J148" si="108">IF($O32="participating preferred with cap", IF( ($G32 * D$173) &lt; $Q32, MIN( $M32, SUMPRODUCT(D$50:D$64,--($E$23:$E$37=$E32)) * $M32 / SUMPRODUCT($M$23:$M$37,--($E$23:$E$37=$E32)) ), 0 ), IF($O32="full participating", IFERROR( MIN( $M32, SUMPRODUCT(D$50:D$64,--($E$23:$E$37=$E32)) * $M32 / SUMPRODUCT($M$23:$M$37,--($E$23:$E$37=$E32)) ),0), IF(D130 &gt; 0, 0, IFERROR( MIN( $M32, SUMPRODUCT(D$50:D$64,--($E$23:$E$37=$E32)) * $M32 / SUMPRODUCT($M$23:$M$37,--($E$23:$E$37=$E32)) ),0) ) ) )</f>
        <v>0</v>
      </c>
      <c r="E148" s="94">
        <f t="shared" si="108"/>
        <v>1000000</v>
      </c>
      <c r="F148" s="94">
        <f t="shared" si="108"/>
        <v>1000000</v>
      </c>
      <c r="G148" s="94">
        <f t="shared" si="108"/>
        <v>1000000</v>
      </c>
      <c r="H148" s="94">
        <f t="shared" si="108"/>
        <v>1000000</v>
      </c>
      <c r="I148" s="94">
        <f t="shared" si="108"/>
        <v>1000000</v>
      </c>
      <c r="J148" s="94">
        <f t="shared" si="108"/>
        <v>1000000</v>
      </c>
    </row>
    <row r="149" spans="2:10" ht="13">
      <c r="B149" s="66" t="str">
        <f t="shared" si="98"/>
        <v>Seed</v>
      </c>
      <c r="D149" s="94">
        <f t="shared" ref="D149:J149" si="109">IF($O33="participating preferred with cap", IF( ($G33 * D$173) &lt; $Q33, MIN( $M33, SUMPRODUCT(D$50:D$64,--($E$23:$E$37=$E33)) * $M33 / SUMPRODUCT($M$23:$M$37,--($E$23:$E$37=$E33)) ), 0 ), IF($O33="full participating", IFERROR( MIN( $M33, SUMPRODUCT(D$50:D$64,--($E$23:$E$37=$E33)) * $M33 / SUMPRODUCT($M$23:$M$37,--($E$23:$E$37=$E33)) ),0), IF(D131 &gt; 0, 0, IFERROR( MIN( $M33, SUMPRODUCT(D$50:D$64,--($E$23:$E$37=$E33)) * $M33 / SUMPRODUCT($M$23:$M$37,--($E$23:$E$37=$E33)) ),0) ) ) )</f>
        <v>0</v>
      </c>
      <c r="E149" s="94">
        <f t="shared" si="109"/>
        <v>0</v>
      </c>
      <c r="F149" s="94">
        <f t="shared" si="109"/>
        <v>500000</v>
      </c>
      <c r="G149" s="94">
        <f t="shared" si="109"/>
        <v>500000</v>
      </c>
      <c r="H149" s="94">
        <f t="shared" si="109"/>
        <v>500000</v>
      </c>
      <c r="I149" s="94">
        <f t="shared" si="109"/>
        <v>500000</v>
      </c>
      <c r="J149" s="94">
        <f t="shared" si="109"/>
        <v>500000</v>
      </c>
    </row>
    <row r="150" spans="2:10" ht="13">
      <c r="B150" s="66" t="str">
        <f t="shared" si="98"/>
        <v>Common</v>
      </c>
      <c r="D150" s="94">
        <f t="shared" ref="D150:J150" si="110">IF($O34="participating preferred with cap", IF( ($G34 * D$173) &lt; $Q34, MIN( $M34, SUMPRODUCT(D$50:D$64,--($E$23:$E$37=$E34)) * $M34 / SUMPRODUCT($M$23:$M$37,--($E$23:$E$37=$E34)) ), 0 ), IF($O34="full participating", IFERROR( MIN( $M34, SUMPRODUCT(D$50:D$64,--($E$23:$E$37=$E34)) * $M34 / SUMPRODUCT($M$23:$M$37,--($E$23:$E$37=$E34)) ),0), IF(D132 &gt; 0, 0, IFERROR( MIN( $M34, SUMPRODUCT(D$50:D$64,--($E$23:$E$37=$E34)) * $M34 / SUMPRODUCT($M$23:$M$37,--($E$23:$E$37=$E34)) ),0) ) ) )</f>
        <v>0</v>
      </c>
      <c r="E150" s="94">
        <f t="shared" si="110"/>
        <v>0</v>
      </c>
      <c r="F150" s="94">
        <f t="shared" si="110"/>
        <v>0</v>
      </c>
      <c r="G150" s="94">
        <f t="shared" si="110"/>
        <v>0</v>
      </c>
      <c r="H150" s="94">
        <f t="shared" si="110"/>
        <v>0</v>
      </c>
      <c r="I150" s="94">
        <f t="shared" si="110"/>
        <v>0</v>
      </c>
      <c r="J150" s="94">
        <f t="shared" si="110"/>
        <v>0</v>
      </c>
    </row>
    <row r="151" spans="2:10" ht="13">
      <c r="B151" s="66" t="str">
        <f t="shared" si="98"/>
        <v>Options</v>
      </c>
      <c r="D151" s="94">
        <f t="shared" ref="D151:J151" si="111">IF($O35="participating preferred with cap", IF( ($G35 * D$173) &lt; $Q35, MIN( $M35, SUMPRODUCT(D$50:D$64,--($E$23:$E$37=$E35)) * $M35 / SUMPRODUCT($M$23:$M$37,--($E$23:$E$37=$E35)) ), 0 ), IF($O35="full participating", IFERROR( MIN( $M35, SUMPRODUCT(D$50:D$64,--($E$23:$E$37=$E35)) * $M35 / SUMPRODUCT($M$23:$M$37,--($E$23:$E$37=$E35)) ),0), IF(D133 &gt; 0, 0, IFERROR( MIN( $M35, SUMPRODUCT(D$50:D$64,--($E$23:$E$37=$E35)) * $M35 / SUMPRODUCT($M$23:$M$37,--($E$23:$E$37=$E35)) ),0) ) ) )</f>
        <v>0</v>
      </c>
      <c r="E151" s="94">
        <f t="shared" si="111"/>
        <v>0</v>
      </c>
      <c r="F151" s="94">
        <f t="shared" si="111"/>
        <v>0</v>
      </c>
      <c r="G151" s="94">
        <f t="shared" si="111"/>
        <v>0</v>
      </c>
      <c r="H151" s="94">
        <f t="shared" si="111"/>
        <v>0</v>
      </c>
      <c r="I151" s="94">
        <f t="shared" si="111"/>
        <v>0</v>
      </c>
      <c r="J151" s="94">
        <f t="shared" si="111"/>
        <v>0</v>
      </c>
    </row>
    <row r="152" spans="2:10" ht="13">
      <c r="B152" s="66" t="str">
        <f t="shared" si="98"/>
        <v>Options</v>
      </c>
      <c r="D152" s="94">
        <f t="shared" ref="D152:J152" si="112">IF($O36="participating preferred with cap", IF( ($G36 * D$173) &lt; $Q36, MIN( $M36, SUMPRODUCT(D$50:D$64,--($E$23:$E$37=$E36)) * $M36 / SUMPRODUCT($M$23:$M$37,--($E$23:$E$37=$E36)) ), 0 ), IF($O36="full participating", IFERROR( MIN( $M36, SUMPRODUCT(D$50:D$64,--($E$23:$E$37=$E36)) * $M36 / SUMPRODUCT($M$23:$M$37,--($E$23:$E$37=$E36)) ),0), IF(D134 &gt; 0, 0, IFERROR( MIN( $M36, SUMPRODUCT(D$50:D$64,--($E$23:$E$37=$E36)) * $M36 / SUMPRODUCT($M$23:$M$37,--($E$23:$E$37=$E36)) ),0) ) ) )</f>
        <v>0</v>
      </c>
      <c r="E152" s="94">
        <f t="shared" si="112"/>
        <v>0</v>
      </c>
      <c r="F152" s="94">
        <f t="shared" si="112"/>
        <v>0</v>
      </c>
      <c r="G152" s="94">
        <f t="shared" si="112"/>
        <v>0</v>
      </c>
      <c r="H152" s="94">
        <f t="shared" si="112"/>
        <v>0</v>
      </c>
      <c r="I152" s="94">
        <f t="shared" si="112"/>
        <v>0</v>
      </c>
      <c r="J152" s="94">
        <f t="shared" si="112"/>
        <v>0</v>
      </c>
    </row>
    <row r="153" spans="2:10" ht="13">
      <c r="B153" s="66" t="str">
        <f t="shared" si="98"/>
        <v>Warrants</v>
      </c>
      <c r="D153" s="94">
        <f t="shared" ref="D153:J153" si="113">IF($O37="participating preferred with cap", IF( ($G37 * D$173) &lt; $Q37, MIN( $M37, SUMPRODUCT(D$50:D$64,--($E$23:$E$37=$E37)) * $M37 / SUMPRODUCT($M$23:$M$37,--($E$23:$E$37=$E37)) ), 0 ), IF($O37="full participating", IFERROR( MIN( $M37, SUMPRODUCT(D$50:D$64,--($E$23:$E$37=$E37)) * $M37 / SUMPRODUCT($M$23:$M$37,--($E$23:$E$37=$E37)) ),0), IF(D135 &gt; 0, 0, IFERROR( MIN( $M37, SUMPRODUCT(D$50:D$64,--($E$23:$E$37=$E37)) * $M37 / SUMPRODUCT($M$23:$M$37,--($E$23:$E$37=$E37)) ),0) ) ) )</f>
        <v>0</v>
      </c>
      <c r="E153" s="94">
        <f t="shared" si="113"/>
        <v>0</v>
      </c>
      <c r="F153" s="94">
        <f t="shared" si="113"/>
        <v>0</v>
      </c>
      <c r="G153" s="94">
        <f t="shared" si="113"/>
        <v>0</v>
      </c>
      <c r="H153" s="94">
        <f t="shared" si="113"/>
        <v>0</v>
      </c>
      <c r="I153" s="94">
        <f t="shared" si="113"/>
        <v>0</v>
      </c>
      <c r="J153" s="94">
        <f t="shared" si="113"/>
        <v>0</v>
      </c>
    </row>
    <row r="154" spans="2:10" ht="13">
      <c r="B154" s="66" t="s">
        <v>101</v>
      </c>
      <c r="C154" s="101" t="str">
        <f>B138</f>
        <v>Distributions to Liquidation Preferences</v>
      </c>
      <c r="D154" s="90">
        <f t="shared" ref="D154:J154" si="114">SUM(D139:D153)</f>
        <v>2000000</v>
      </c>
      <c r="E154" s="90">
        <f t="shared" si="114"/>
        <v>3000000</v>
      </c>
      <c r="F154" s="90">
        <f t="shared" si="114"/>
        <v>3500000</v>
      </c>
      <c r="G154" s="90">
        <f t="shared" si="114"/>
        <v>3500000</v>
      </c>
      <c r="H154" s="90">
        <f t="shared" si="114"/>
        <v>3500000</v>
      </c>
      <c r="I154" s="90">
        <f t="shared" si="114"/>
        <v>3500000</v>
      </c>
      <c r="J154" s="90">
        <f t="shared" si="114"/>
        <v>3500000</v>
      </c>
    </row>
    <row r="155" spans="2:10" ht="13">
      <c r="B155" s="66"/>
      <c r="D155" s="94"/>
      <c r="E155" s="94"/>
      <c r="F155" s="94"/>
      <c r="G155" s="94"/>
      <c r="H155" s="94"/>
      <c r="I155" s="94"/>
      <c r="J155" s="94"/>
    </row>
    <row r="156" spans="2:10" ht="13">
      <c r="B156" s="96" t="s">
        <v>240</v>
      </c>
      <c r="D156" s="94"/>
      <c r="E156" s="94"/>
      <c r="F156" s="94"/>
      <c r="G156" s="94"/>
      <c r="H156" s="94"/>
      <c r="I156" s="94"/>
      <c r="J156" s="94"/>
    </row>
    <row r="157" spans="2:10" ht="13">
      <c r="B157" s="66" t="str">
        <f t="shared" ref="B157:B171" si="115">B23</f>
        <v>Series J</v>
      </c>
      <c r="D157" s="94">
        <f t="shared" ref="D157:J157" si="116">IFERROR( MAX( 0, D121 / D$136 * D$172 ), 0 )</f>
        <v>0</v>
      </c>
      <c r="E157" s="94">
        <f t="shared" si="116"/>
        <v>0</v>
      </c>
      <c r="F157" s="94">
        <f t="shared" si="116"/>
        <v>0</v>
      </c>
      <c r="G157" s="94">
        <f t="shared" si="116"/>
        <v>0</v>
      </c>
      <c r="H157" s="94">
        <f t="shared" si="116"/>
        <v>0</v>
      </c>
      <c r="I157" s="94">
        <f t="shared" si="116"/>
        <v>0</v>
      </c>
      <c r="J157" s="94">
        <f t="shared" si="116"/>
        <v>0</v>
      </c>
    </row>
    <row r="158" spans="2:10" ht="13">
      <c r="B158" s="66" t="str">
        <f t="shared" si="115"/>
        <v>Series I</v>
      </c>
      <c r="D158" s="94">
        <f t="shared" ref="D158:J158" si="117">IFERROR( MAX( 0, D122 / D$136 * D$172 ), 0 )</f>
        <v>0</v>
      </c>
      <c r="E158" s="94">
        <f t="shared" si="117"/>
        <v>0</v>
      </c>
      <c r="F158" s="94">
        <f t="shared" si="117"/>
        <v>0</v>
      </c>
      <c r="G158" s="94">
        <f t="shared" si="117"/>
        <v>0</v>
      </c>
      <c r="H158" s="94">
        <f t="shared" si="117"/>
        <v>0</v>
      </c>
      <c r="I158" s="94">
        <f t="shared" si="117"/>
        <v>0</v>
      </c>
      <c r="J158" s="94">
        <f t="shared" si="117"/>
        <v>0</v>
      </c>
    </row>
    <row r="159" spans="2:10" ht="13">
      <c r="B159" s="66" t="str">
        <f t="shared" si="115"/>
        <v>Series H</v>
      </c>
      <c r="D159" s="94">
        <f t="shared" ref="D159:J159" si="118">IFERROR( MAX( 0, D123 / D$136 * D$172 ), 0 )</f>
        <v>0</v>
      </c>
      <c r="E159" s="94">
        <f t="shared" si="118"/>
        <v>0</v>
      </c>
      <c r="F159" s="94">
        <f t="shared" si="118"/>
        <v>0</v>
      </c>
      <c r="G159" s="94">
        <f t="shared" si="118"/>
        <v>0</v>
      </c>
      <c r="H159" s="94">
        <f t="shared" si="118"/>
        <v>0</v>
      </c>
      <c r="I159" s="94">
        <f t="shared" si="118"/>
        <v>0</v>
      </c>
      <c r="J159" s="94">
        <f t="shared" si="118"/>
        <v>0</v>
      </c>
    </row>
    <row r="160" spans="2:10" ht="13">
      <c r="B160" s="66" t="str">
        <f t="shared" si="115"/>
        <v>Series G</v>
      </c>
      <c r="D160" s="94">
        <f t="shared" ref="D160:J160" si="119">IFERROR( MAX( 0, D124 / D$136 * D$172 ), 0 )</f>
        <v>0</v>
      </c>
      <c r="E160" s="94">
        <f t="shared" si="119"/>
        <v>0</v>
      </c>
      <c r="F160" s="94">
        <f t="shared" si="119"/>
        <v>0</v>
      </c>
      <c r="G160" s="94">
        <f t="shared" si="119"/>
        <v>0</v>
      </c>
      <c r="H160" s="94">
        <f t="shared" si="119"/>
        <v>0</v>
      </c>
      <c r="I160" s="94">
        <f t="shared" si="119"/>
        <v>0</v>
      </c>
      <c r="J160" s="94">
        <f t="shared" si="119"/>
        <v>0</v>
      </c>
    </row>
    <row r="161" spans="2:10" ht="13">
      <c r="B161" s="66" t="str">
        <f t="shared" si="115"/>
        <v>Series F</v>
      </c>
      <c r="D161" s="94">
        <f t="shared" ref="D161:J161" si="120">IFERROR( MAX( 0, D125 / D$136 * D$172 ), 0 )</f>
        <v>0</v>
      </c>
      <c r="E161" s="94">
        <f t="shared" si="120"/>
        <v>0</v>
      </c>
      <c r="F161" s="94">
        <f t="shared" si="120"/>
        <v>0</v>
      </c>
      <c r="G161" s="94">
        <f t="shared" si="120"/>
        <v>0</v>
      </c>
      <c r="H161" s="94">
        <f t="shared" si="120"/>
        <v>0</v>
      </c>
      <c r="I161" s="94">
        <f t="shared" si="120"/>
        <v>0</v>
      </c>
      <c r="J161" s="94">
        <f t="shared" si="120"/>
        <v>0</v>
      </c>
    </row>
    <row r="162" spans="2:10" ht="13">
      <c r="B162" s="66" t="str">
        <f t="shared" si="115"/>
        <v>Series E</v>
      </c>
      <c r="D162" s="94">
        <f t="shared" ref="D162:J162" si="121">IFERROR( MAX( 0, D126 / D$136 * D$172 ), 0 )</f>
        <v>0</v>
      </c>
      <c r="E162" s="94">
        <f t="shared" si="121"/>
        <v>0</v>
      </c>
      <c r="F162" s="94">
        <f t="shared" si="121"/>
        <v>0</v>
      </c>
      <c r="G162" s="94">
        <f t="shared" si="121"/>
        <v>0</v>
      </c>
      <c r="H162" s="94">
        <f t="shared" si="121"/>
        <v>0</v>
      </c>
      <c r="I162" s="94">
        <f t="shared" si="121"/>
        <v>0</v>
      </c>
      <c r="J162" s="94">
        <f t="shared" si="121"/>
        <v>0</v>
      </c>
    </row>
    <row r="163" spans="2:10" ht="13">
      <c r="B163" s="66" t="str">
        <f t="shared" si="115"/>
        <v>Series D</v>
      </c>
      <c r="D163" s="94">
        <f t="shared" ref="D163:J163" si="122">IFERROR( MAX( 0, D127 / D$136 * D$172 ), 0 )</f>
        <v>0</v>
      </c>
      <c r="E163" s="94">
        <f t="shared" si="122"/>
        <v>0</v>
      </c>
      <c r="F163" s="94">
        <f t="shared" si="122"/>
        <v>0</v>
      </c>
      <c r="G163" s="94">
        <f t="shared" si="122"/>
        <v>0</v>
      </c>
      <c r="H163" s="94">
        <f t="shared" si="122"/>
        <v>0</v>
      </c>
      <c r="I163" s="94">
        <f t="shared" si="122"/>
        <v>0</v>
      </c>
      <c r="J163" s="94">
        <f t="shared" si="122"/>
        <v>0</v>
      </c>
    </row>
    <row r="164" spans="2:10" ht="13">
      <c r="B164" s="66" t="str">
        <f t="shared" si="115"/>
        <v>Series C</v>
      </c>
      <c r="D164" s="94">
        <f t="shared" ref="D164:J164" si="123">IFERROR( MAX( 0, D128 / D$136 * D$172 ), 0 )</f>
        <v>0</v>
      </c>
      <c r="E164" s="94">
        <f t="shared" si="123"/>
        <v>0</v>
      </c>
      <c r="F164" s="94">
        <f t="shared" si="123"/>
        <v>0</v>
      </c>
      <c r="G164" s="94">
        <f t="shared" si="123"/>
        <v>0</v>
      </c>
      <c r="H164" s="94">
        <f t="shared" si="123"/>
        <v>0</v>
      </c>
      <c r="I164" s="94">
        <f t="shared" si="123"/>
        <v>0</v>
      </c>
      <c r="J164" s="94">
        <f t="shared" si="123"/>
        <v>0</v>
      </c>
    </row>
    <row r="165" spans="2:10" ht="13">
      <c r="B165" s="66" t="str">
        <f t="shared" si="115"/>
        <v>Series B</v>
      </c>
      <c r="D165" s="94">
        <f t="shared" ref="D165:J165" si="124">IFERROR( MAX( 0, D129 / D$136 * D$172 ), 0 )</f>
        <v>0</v>
      </c>
      <c r="E165" s="94">
        <f t="shared" si="124"/>
        <v>0</v>
      </c>
      <c r="F165" s="94">
        <f t="shared" si="124"/>
        <v>0</v>
      </c>
      <c r="G165" s="94">
        <f t="shared" si="124"/>
        <v>0</v>
      </c>
      <c r="H165" s="94">
        <f t="shared" si="124"/>
        <v>0</v>
      </c>
      <c r="I165" s="94">
        <f t="shared" si="124"/>
        <v>0</v>
      </c>
      <c r="J165" s="94">
        <f t="shared" si="124"/>
        <v>0</v>
      </c>
    </row>
    <row r="166" spans="2:10" ht="13">
      <c r="B166" s="66" t="str">
        <f t="shared" si="115"/>
        <v>Series A</v>
      </c>
      <c r="D166" s="94">
        <f t="shared" ref="D166:J166" si="125">IFERROR( MAX( 0, D130 / D$136 * D$172 ), 0 )</f>
        <v>0</v>
      </c>
      <c r="E166" s="94">
        <f t="shared" si="125"/>
        <v>0</v>
      </c>
      <c r="F166" s="94">
        <f t="shared" si="125"/>
        <v>0</v>
      </c>
      <c r="G166" s="94">
        <f t="shared" si="125"/>
        <v>0</v>
      </c>
      <c r="H166" s="94">
        <f t="shared" si="125"/>
        <v>0</v>
      </c>
      <c r="I166" s="94">
        <f t="shared" si="125"/>
        <v>0</v>
      </c>
      <c r="J166" s="94">
        <f t="shared" si="125"/>
        <v>0</v>
      </c>
    </row>
    <row r="167" spans="2:10" ht="13">
      <c r="B167" s="66" t="str">
        <f t="shared" si="115"/>
        <v>Seed</v>
      </c>
      <c r="D167" s="94">
        <f t="shared" ref="D167:J167" si="126">IFERROR( MAX( 0, D131 / D$136 * D$172 ), 0 )</f>
        <v>0</v>
      </c>
      <c r="E167" s="94">
        <f t="shared" si="126"/>
        <v>0</v>
      </c>
      <c r="F167" s="94">
        <f t="shared" si="126"/>
        <v>0</v>
      </c>
      <c r="G167" s="94">
        <f t="shared" si="126"/>
        <v>0</v>
      </c>
      <c r="H167" s="94">
        <f t="shared" si="126"/>
        <v>0</v>
      </c>
      <c r="I167" s="94">
        <f t="shared" si="126"/>
        <v>0</v>
      </c>
      <c r="J167" s="94">
        <f t="shared" si="126"/>
        <v>0</v>
      </c>
    </row>
    <row r="168" spans="2:10" ht="13">
      <c r="B168" s="66" t="str">
        <f t="shared" si="115"/>
        <v>Common</v>
      </c>
      <c r="D168" s="94">
        <f t="shared" ref="D168:J168" si="127">IFERROR( MAX( 0, D132 / D$136 * D$172 ), 0 )</f>
        <v>0</v>
      </c>
      <c r="E168" s="94">
        <f t="shared" si="127"/>
        <v>0</v>
      </c>
      <c r="F168" s="94">
        <f t="shared" si="127"/>
        <v>0</v>
      </c>
      <c r="G168" s="94">
        <f t="shared" si="127"/>
        <v>0</v>
      </c>
      <c r="H168" s="94">
        <f t="shared" si="127"/>
        <v>0</v>
      </c>
      <c r="I168" s="94">
        <f t="shared" si="127"/>
        <v>0</v>
      </c>
      <c r="J168" s="94">
        <f t="shared" si="127"/>
        <v>0</v>
      </c>
    </row>
    <row r="169" spans="2:10" ht="13">
      <c r="B169" s="66" t="str">
        <f t="shared" si="115"/>
        <v>Options</v>
      </c>
      <c r="D169" s="94">
        <f t="shared" ref="D169:J169" si="128">IFERROR( MAX( 0, D133 / D$136 * D$172 ), 0 )</f>
        <v>0</v>
      </c>
      <c r="E169" s="94">
        <f t="shared" si="128"/>
        <v>0</v>
      </c>
      <c r="F169" s="94">
        <f t="shared" si="128"/>
        <v>0</v>
      </c>
      <c r="G169" s="94">
        <f t="shared" si="128"/>
        <v>0</v>
      </c>
      <c r="H169" s="94">
        <f t="shared" si="128"/>
        <v>0</v>
      </c>
      <c r="I169" s="94">
        <f t="shared" si="128"/>
        <v>0</v>
      </c>
      <c r="J169" s="94">
        <f t="shared" si="128"/>
        <v>0</v>
      </c>
    </row>
    <row r="170" spans="2:10" ht="13">
      <c r="B170" s="66" t="str">
        <f t="shared" si="115"/>
        <v>Options</v>
      </c>
      <c r="D170" s="94">
        <f t="shared" ref="D170:J170" si="129">IFERROR( MAX( 0, D134 / D$136 * D$172 ), 0 )</f>
        <v>0</v>
      </c>
      <c r="E170" s="94">
        <f t="shared" si="129"/>
        <v>0</v>
      </c>
      <c r="F170" s="94">
        <f t="shared" si="129"/>
        <v>0</v>
      </c>
      <c r="G170" s="94">
        <f t="shared" si="129"/>
        <v>0</v>
      </c>
      <c r="H170" s="94">
        <f t="shared" si="129"/>
        <v>0</v>
      </c>
      <c r="I170" s="94">
        <f t="shared" si="129"/>
        <v>0</v>
      </c>
      <c r="J170" s="94">
        <f t="shared" si="129"/>
        <v>0</v>
      </c>
    </row>
    <row r="171" spans="2:10" ht="13">
      <c r="B171" s="66" t="str">
        <f t="shared" si="115"/>
        <v>Warrants</v>
      </c>
      <c r="D171" s="94">
        <f t="shared" ref="D171:J171" si="130">IFERROR( MAX( 0, D135 / D$136 * D$172 ), 0 )</f>
        <v>0</v>
      </c>
      <c r="E171" s="94">
        <f t="shared" si="130"/>
        <v>0</v>
      </c>
      <c r="F171" s="94">
        <f t="shared" si="130"/>
        <v>0</v>
      </c>
      <c r="G171" s="94">
        <f t="shared" si="130"/>
        <v>0</v>
      </c>
      <c r="H171" s="94">
        <f t="shared" si="130"/>
        <v>0</v>
      </c>
      <c r="I171" s="94">
        <f t="shared" si="130"/>
        <v>0</v>
      </c>
      <c r="J171" s="94">
        <f t="shared" si="130"/>
        <v>0</v>
      </c>
    </row>
    <row r="172" spans="2:10" ht="13">
      <c r="B172" s="66" t="s">
        <v>101</v>
      </c>
      <c r="C172" s="102" t="str">
        <f>B156</f>
        <v>Distributions to Common</v>
      </c>
      <c r="D172" s="90">
        <f t="shared" ref="D172:J172" si="131">IFERROR(MAX(0,D46-D154),0)</f>
        <v>0</v>
      </c>
      <c r="E172" s="90">
        <f t="shared" si="131"/>
        <v>0</v>
      </c>
      <c r="F172" s="90">
        <f t="shared" si="131"/>
        <v>500000</v>
      </c>
      <c r="G172" s="90">
        <f t="shared" si="131"/>
        <v>4500000</v>
      </c>
      <c r="H172" s="90">
        <f t="shared" si="131"/>
        <v>12500000</v>
      </c>
      <c r="I172" s="90">
        <f t="shared" si="131"/>
        <v>28500000</v>
      </c>
      <c r="J172" s="90">
        <f t="shared" si="131"/>
        <v>60500000</v>
      </c>
    </row>
    <row r="173" spans="2:10" ht="13">
      <c r="B173" s="66" t="s">
        <v>241</v>
      </c>
      <c r="D173" s="103">
        <f t="shared" ref="D173:J173" si="132">IFERROR( D172/D136, 0)</f>
        <v>0</v>
      </c>
      <c r="E173" s="103">
        <f t="shared" si="132"/>
        <v>0</v>
      </c>
      <c r="F173" s="103">
        <f t="shared" si="132"/>
        <v>0</v>
      </c>
      <c r="G173" s="103">
        <f t="shared" si="132"/>
        <v>0</v>
      </c>
      <c r="H173" s="103">
        <f t="shared" si="132"/>
        <v>0</v>
      </c>
      <c r="I173" s="103">
        <f t="shared" si="132"/>
        <v>0</v>
      </c>
      <c r="J173" s="103">
        <f t="shared" si="132"/>
        <v>0</v>
      </c>
    </row>
    <row r="174" spans="2:10" ht="13">
      <c r="B174" s="66"/>
      <c r="D174" s="94"/>
      <c r="E174" s="94"/>
      <c r="F174" s="94"/>
      <c r="G174" s="94"/>
      <c r="H174" s="94"/>
      <c r="I174" s="94"/>
      <c r="J174" s="94"/>
    </row>
    <row r="175" spans="2:10" ht="13">
      <c r="B175" s="96" t="s">
        <v>242</v>
      </c>
      <c r="D175" s="104">
        <f t="shared" ref="D175:J175" si="133">SUM(D176:D190)</f>
        <v>2000000</v>
      </c>
      <c r="E175" s="104">
        <f t="shared" si="133"/>
        <v>3000000</v>
      </c>
      <c r="F175" s="104">
        <f t="shared" si="133"/>
        <v>3500000</v>
      </c>
      <c r="G175" s="104">
        <f t="shared" si="133"/>
        <v>3500000</v>
      </c>
      <c r="H175" s="104">
        <f t="shared" si="133"/>
        <v>3500000</v>
      </c>
      <c r="I175" s="104">
        <f t="shared" si="133"/>
        <v>3500000</v>
      </c>
      <c r="J175" s="104">
        <f t="shared" si="133"/>
        <v>3500000</v>
      </c>
    </row>
    <row r="176" spans="2:10" ht="13">
      <c r="B176" s="66" t="str">
        <f t="shared" ref="B176:B190" si="134">B23</f>
        <v>Series J</v>
      </c>
      <c r="D176" s="100">
        <f t="shared" ref="D176:J176" si="135">D139+D157</f>
        <v>0</v>
      </c>
      <c r="E176" s="100">
        <f t="shared" si="135"/>
        <v>0</v>
      </c>
      <c r="F176" s="100">
        <f t="shared" si="135"/>
        <v>0</v>
      </c>
      <c r="G176" s="100">
        <f t="shared" si="135"/>
        <v>0</v>
      </c>
      <c r="H176" s="100">
        <f t="shared" si="135"/>
        <v>0</v>
      </c>
      <c r="I176" s="100">
        <f t="shared" si="135"/>
        <v>0</v>
      </c>
      <c r="J176" s="100">
        <f t="shared" si="135"/>
        <v>0</v>
      </c>
    </row>
    <row r="177" spans="2:10" ht="13">
      <c r="B177" s="66" t="str">
        <f t="shared" si="134"/>
        <v>Series I</v>
      </c>
      <c r="D177" s="100">
        <f t="shared" ref="D177:J177" si="136">D140+D158</f>
        <v>0</v>
      </c>
      <c r="E177" s="100">
        <f t="shared" si="136"/>
        <v>0</v>
      </c>
      <c r="F177" s="100">
        <f t="shared" si="136"/>
        <v>0</v>
      </c>
      <c r="G177" s="100">
        <f t="shared" si="136"/>
        <v>0</v>
      </c>
      <c r="H177" s="100">
        <f t="shared" si="136"/>
        <v>0</v>
      </c>
      <c r="I177" s="100">
        <f t="shared" si="136"/>
        <v>0</v>
      </c>
      <c r="J177" s="100">
        <f t="shared" si="136"/>
        <v>0</v>
      </c>
    </row>
    <row r="178" spans="2:10" ht="13">
      <c r="B178" s="66" t="str">
        <f t="shared" si="134"/>
        <v>Series H</v>
      </c>
      <c r="D178" s="100">
        <f t="shared" ref="D178:J178" si="137">D141+D159</f>
        <v>0</v>
      </c>
      <c r="E178" s="100">
        <f t="shared" si="137"/>
        <v>0</v>
      </c>
      <c r="F178" s="100">
        <f t="shared" si="137"/>
        <v>0</v>
      </c>
      <c r="G178" s="100">
        <f t="shared" si="137"/>
        <v>0</v>
      </c>
      <c r="H178" s="100">
        <f t="shared" si="137"/>
        <v>0</v>
      </c>
      <c r="I178" s="100">
        <f t="shared" si="137"/>
        <v>0</v>
      </c>
      <c r="J178" s="100">
        <f t="shared" si="137"/>
        <v>0</v>
      </c>
    </row>
    <row r="179" spans="2:10" ht="13">
      <c r="B179" s="66" t="str">
        <f t="shared" si="134"/>
        <v>Series G</v>
      </c>
      <c r="D179" s="100">
        <f t="shared" ref="D179:J179" si="138">D142+D160</f>
        <v>0</v>
      </c>
      <c r="E179" s="100">
        <f t="shared" si="138"/>
        <v>0</v>
      </c>
      <c r="F179" s="100">
        <f t="shared" si="138"/>
        <v>0</v>
      </c>
      <c r="G179" s="100">
        <f t="shared" si="138"/>
        <v>0</v>
      </c>
      <c r="H179" s="100">
        <f t="shared" si="138"/>
        <v>0</v>
      </c>
      <c r="I179" s="100">
        <f t="shared" si="138"/>
        <v>0</v>
      </c>
      <c r="J179" s="100">
        <f t="shared" si="138"/>
        <v>0</v>
      </c>
    </row>
    <row r="180" spans="2:10" ht="13">
      <c r="B180" s="66" t="str">
        <f t="shared" si="134"/>
        <v>Series F</v>
      </c>
      <c r="D180" s="100">
        <f t="shared" ref="D180:J180" si="139">D143+D161</f>
        <v>0</v>
      </c>
      <c r="E180" s="100">
        <f t="shared" si="139"/>
        <v>0</v>
      </c>
      <c r="F180" s="100">
        <f t="shared" si="139"/>
        <v>0</v>
      </c>
      <c r="G180" s="100">
        <f t="shared" si="139"/>
        <v>0</v>
      </c>
      <c r="H180" s="100">
        <f t="shared" si="139"/>
        <v>0</v>
      </c>
      <c r="I180" s="100">
        <f t="shared" si="139"/>
        <v>0</v>
      </c>
      <c r="J180" s="100">
        <f t="shared" si="139"/>
        <v>0</v>
      </c>
    </row>
    <row r="181" spans="2:10" ht="13">
      <c r="B181" s="66" t="str">
        <f t="shared" si="134"/>
        <v>Series E</v>
      </c>
      <c r="D181" s="100">
        <f t="shared" ref="D181:J181" si="140">D144+D162</f>
        <v>0</v>
      </c>
      <c r="E181" s="100">
        <f t="shared" si="140"/>
        <v>0</v>
      </c>
      <c r="F181" s="100">
        <f t="shared" si="140"/>
        <v>0</v>
      </c>
      <c r="G181" s="100">
        <f t="shared" si="140"/>
        <v>0</v>
      </c>
      <c r="H181" s="100">
        <f t="shared" si="140"/>
        <v>0</v>
      </c>
      <c r="I181" s="100">
        <f t="shared" si="140"/>
        <v>0</v>
      </c>
      <c r="J181" s="100">
        <f t="shared" si="140"/>
        <v>0</v>
      </c>
    </row>
    <row r="182" spans="2:10" ht="13">
      <c r="B182" s="66" t="str">
        <f t="shared" si="134"/>
        <v>Series D</v>
      </c>
      <c r="D182" s="100">
        <f t="shared" ref="D182:J182" si="141">D145+D163</f>
        <v>0</v>
      </c>
      <c r="E182" s="100">
        <f t="shared" si="141"/>
        <v>0</v>
      </c>
      <c r="F182" s="100">
        <f t="shared" si="141"/>
        <v>0</v>
      </c>
      <c r="G182" s="100">
        <f t="shared" si="141"/>
        <v>0</v>
      </c>
      <c r="H182" s="100">
        <f t="shared" si="141"/>
        <v>0</v>
      </c>
      <c r="I182" s="100">
        <f t="shared" si="141"/>
        <v>0</v>
      </c>
      <c r="J182" s="100">
        <f t="shared" si="141"/>
        <v>0</v>
      </c>
    </row>
    <row r="183" spans="2:10" ht="13">
      <c r="B183" s="66" t="str">
        <f t="shared" si="134"/>
        <v>Series C</v>
      </c>
      <c r="D183" s="100">
        <f t="shared" ref="D183:J183" si="142">D146+D164</f>
        <v>0</v>
      </c>
      <c r="E183" s="100">
        <f t="shared" si="142"/>
        <v>0</v>
      </c>
      <c r="F183" s="100">
        <f t="shared" si="142"/>
        <v>0</v>
      </c>
      <c r="G183" s="100">
        <f t="shared" si="142"/>
        <v>0</v>
      </c>
      <c r="H183" s="100">
        <f t="shared" si="142"/>
        <v>0</v>
      </c>
      <c r="I183" s="100">
        <f t="shared" si="142"/>
        <v>0</v>
      </c>
      <c r="J183" s="100">
        <f t="shared" si="142"/>
        <v>0</v>
      </c>
    </row>
    <row r="184" spans="2:10" ht="13">
      <c r="B184" s="66" t="str">
        <f t="shared" si="134"/>
        <v>Series B</v>
      </c>
      <c r="D184" s="100">
        <f t="shared" ref="D184:J184" si="143">D147+D165</f>
        <v>2000000</v>
      </c>
      <c r="E184" s="100">
        <f t="shared" si="143"/>
        <v>2000000</v>
      </c>
      <c r="F184" s="100">
        <f t="shared" si="143"/>
        <v>2000000</v>
      </c>
      <c r="G184" s="100">
        <f t="shared" si="143"/>
        <v>2000000</v>
      </c>
      <c r="H184" s="100">
        <f t="shared" si="143"/>
        <v>2000000</v>
      </c>
      <c r="I184" s="100">
        <f t="shared" si="143"/>
        <v>2000000</v>
      </c>
      <c r="J184" s="100">
        <f t="shared" si="143"/>
        <v>2000000</v>
      </c>
    </row>
    <row r="185" spans="2:10" ht="13">
      <c r="B185" s="66" t="str">
        <f t="shared" si="134"/>
        <v>Series A</v>
      </c>
      <c r="D185" s="100">
        <f t="shared" ref="D185:J185" si="144">D148+D166</f>
        <v>0</v>
      </c>
      <c r="E185" s="100">
        <f t="shared" si="144"/>
        <v>1000000</v>
      </c>
      <c r="F185" s="100">
        <f t="shared" si="144"/>
        <v>1000000</v>
      </c>
      <c r="G185" s="100">
        <f t="shared" si="144"/>
        <v>1000000</v>
      </c>
      <c r="H185" s="100">
        <f t="shared" si="144"/>
        <v>1000000</v>
      </c>
      <c r="I185" s="100">
        <f t="shared" si="144"/>
        <v>1000000</v>
      </c>
      <c r="J185" s="100">
        <f t="shared" si="144"/>
        <v>1000000</v>
      </c>
    </row>
    <row r="186" spans="2:10" ht="13">
      <c r="B186" s="66" t="str">
        <f t="shared" si="134"/>
        <v>Seed</v>
      </c>
      <c r="D186" s="100">
        <f t="shared" ref="D186:J186" si="145">D149+D167</f>
        <v>0</v>
      </c>
      <c r="E186" s="100">
        <f t="shared" si="145"/>
        <v>0</v>
      </c>
      <c r="F186" s="100">
        <f t="shared" si="145"/>
        <v>500000</v>
      </c>
      <c r="G186" s="100">
        <f t="shared" si="145"/>
        <v>500000</v>
      </c>
      <c r="H186" s="100">
        <f t="shared" si="145"/>
        <v>500000</v>
      </c>
      <c r="I186" s="100">
        <f t="shared" si="145"/>
        <v>500000</v>
      </c>
      <c r="J186" s="100">
        <f t="shared" si="145"/>
        <v>500000</v>
      </c>
    </row>
    <row r="187" spans="2:10" ht="13">
      <c r="B187" s="66" t="str">
        <f t="shared" si="134"/>
        <v>Common</v>
      </c>
      <c r="D187" s="100">
        <f t="shared" ref="D187:J187" si="146">D150+D168</f>
        <v>0</v>
      </c>
      <c r="E187" s="100">
        <f t="shared" si="146"/>
        <v>0</v>
      </c>
      <c r="F187" s="100">
        <f t="shared" si="146"/>
        <v>0</v>
      </c>
      <c r="G187" s="100">
        <f t="shared" si="146"/>
        <v>0</v>
      </c>
      <c r="H187" s="100">
        <f t="shared" si="146"/>
        <v>0</v>
      </c>
      <c r="I187" s="100">
        <f t="shared" si="146"/>
        <v>0</v>
      </c>
      <c r="J187" s="100">
        <f t="shared" si="146"/>
        <v>0</v>
      </c>
    </row>
    <row r="188" spans="2:10" ht="13">
      <c r="B188" s="66" t="str">
        <f t="shared" si="134"/>
        <v>Options</v>
      </c>
      <c r="D188" s="100">
        <f t="shared" ref="D188:J188" si="147">D151+D169</f>
        <v>0</v>
      </c>
      <c r="E188" s="100">
        <f t="shared" si="147"/>
        <v>0</v>
      </c>
      <c r="F188" s="100">
        <f t="shared" si="147"/>
        <v>0</v>
      </c>
      <c r="G188" s="100">
        <f t="shared" si="147"/>
        <v>0</v>
      </c>
      <c r="H188" s="100">
        <f t="shared" si="147"/>
        <v>0</v>
      </c>
      <c r="I188" s="100">
        <f t="shared" si="147"/>
        <v>0</v>
      </c>
      <c r="J188" s="100">
        <f t="shared" si="147"/>
        <v>0</v>
      </c>
    </row>
    <row r="189" spans="2:10" ht="13">
      <c r="B189" s="66" t="str">
        <f t="shared" si="134"/>
        <v>Options</v>
      </c>
      <c r="D189" s="100">
        <f t="shared" ref="D189:J189" si="148">D152+D170</f>
        <v>0</v>
      </c>
      <c r="E189" s="100">
        <f t="shared" si="148"/>
        <v>0</v>
      </c>
      <c r="F189" s="100">
        <f t="shared" si="148"/>
        <v>0</v>
      </c>
      <c r="G189" s="100">
        <f t="shared" si="148"/>
        <v>0</v>
      </c>
      <c r="H189" s="100">
        <f t="shared" si="148"/>
        <v>0</v>
      </c>
      <c r="I189" s="100">
        <f t="shared" si="148"/>
        <v>0</v>
      </c>
      <c r="J189" s="100">
        <f t="shared" si="148"/>
        <v>0</v>
      </c>
    </row>
    <row r="190" spans="2:10" ht="13">
      <c r="B190" s="66" t="str">
        <f t="shared" si="134"/>
        <v>Warrants</v>
      </c>
      <c r="D190" s="100">
        <f t="shared" ref="D190:J190" si="149">D153+D171</f>
        <v>0</v>
      </c>
      <c r="E190" s="100">
        <f t="shared" si="149"/>
        <v>0</v>
      </c>
      <c r="F190" s="100">
        <f t="shared" si="149"/>
        <v>0</v>
      </c>
      <c r="G190" s="100">
        <f t="shared" si="149"/>
        <v>0</v>
      </c>
      <c r="H190" s="100">
        <f t="shared" si="149"/>
        <v>0</v>
      </c>
      <c r="I190" s="100">
        <f t="shared" si="149"/>
        <v>0</v>
      </c>
      <c r="J190" s="100">
        <f t="shared" si="149"/>
        <v>0</v>
      </c>
    </row>
    <row r="191" spans="2:10" ht="13">
      <c r="B191" s="66" t="s">
        <v>101</v>
      </c>
      <c r="D191" s="90">
        <f t="shared" ref="D191:J191" si="150">SUM(D176:D190)</f>
        <v>2000000</v>
      </c>
      <c r="E191" s="90">
        <f t="shared" si="150"/>
        <v>3000000</v>
      </c>
      <c r="F191" s="90">
        <f t="shared" si="150"/>
        <v>3500000</v>
      </c>
      <c r="G191" s="90">
        <f t="shared" si="150"/>
        <v>3500000</v>
      </c>
      <c r="H191" s="90">
        <f t="shared" si="150"/>
        <v>3500000</v>
      </c>
      <c r="I191" s="90">
        <f t="shared" si="150"/>
        <v>3500000</v>
      </c>
      <c r="J191" s="90">
        <f t="shared" si="150"/>
        <v>3500000</v>
      </c>
    </row>
    <row r="192" spans="2:10" ht="13">
      <c r="B192" s="96" t="s">
        <v>243</v>
      </c>
      <c r="D192" s="94">
        <f t="shared" ref="D192:J192" si="151">D191-D46</f>
        <v>0</v>
      </c>
      <c r="E192" s="94">
        <f t="shared" si="151"/>
        <v>0</v>
      </c>
      <c r="F192" s="94">
        <f t="shared" si="151"/>
        <v>-500000</v>
      </c>
      <c r="G192" s="94">
        <f t="shared" si="151"/>
        <v>-4500000</v>
      </c>
      <c r="H192" s="94">
        <f t="shared" si="151"/>
        <v>-12500000</v>
      </c>
      <c r="I192" s="94">
        <f t="shared" si="151"/>
        <v>-28500000</v>
      </c>
      <c r="J192" s="94">
        <f t="shared" si="151"/>
        <v>-60500000</v>
      </c>
    </row>
    <row r="193" spans="2:12" ht="13">
      <c r="B193" s="96"/>
      <c r="D193" s="94"/>
      <c r="E193" s="94"/>
      <c r="F193" s="94"/>
      <c r="G193" s="94"/>
      <c r="H193" s="94"/>
      <c r="I193" s="94"/>
      <c r="J193" s="94"/>
    </row>
    <row r="194" spans="2:12" ht="13">
      <c r="B194" s="96" t="s">
        <v>244</v>
      </c>
      <c r="D194" s="94"/>
      <c r="E194" s="94"/>
      <c r="F194" s="94"/>
      <c r="G194" s="94"/>
      <c r="H194" s="94"/>
      <c r="I194" s="94"/>
      <c r="J194" s="94"/>
      <c r="L194" s="10" t="s">
        <v>268</v>
      </c>
    </row>
    <row r="195" spans="2:12" ht="13">
      <c r="B195" s="66" t="str">
        <f t="shared" ref="B195:B209" si="152">B23</f>
        <v>Series J</v>
      </c>
      <c r="D195" s="103">
        <f t="shared" ref="D195:J195" si="153">IFERROR(SUM(D157,D139) /  IF( OR($D23="options", $D23 = "warrants"), D121, $G23 ),0)</f>
        <v>0</v>
      </c>
      <c r="E195" s="103">
        <f t="shared" si="153"/>
        <v>0</v>
      </c>
      <c r="F195" s="103">
        <f t="shared" si="153"/>
        <v>0</v>
      </c>
      <c r="G195" s="103">
        <f t="shared" si="153"/>
        <v>0</v>
      </c>
      <c r="H195" s="103">
        <f t="shared" si="153"/>
        <v>0</v>
      </c>
      <c r="I195" s="103">
        <f t="shared" si="153"/>
        <v>0</v>
      </c>
      <c r="J195" s="103">
        <f t="shared" si="153"/>
        <v>0</v>
      </c>
    </row>
    <row r="196" spans="2:12" ht="13">
      <c r="B196" s="66" t="str">
        <f t="shared" si="152"/>
        <v>Series I</v>
      </c>
      <c r="D196" s="103">
        <f t="shared" ref="D196:J196" si="154">IFERROR(SUM(D158,D140) /  IF( OR($D24="options", $D24 = "warrants"), D122, $G24 ),0)</f>
        <v>0</v>
      </c>
      <c r="E196" s="103">
        <f t="shared" si="154"/>
        <v>0</v>
      </c>
      <c r="F196" s="103">
        <f t="shared" si="154"/>
        <v>0</v>
      </c>
      <c r="G196" s="103">
        <f t="shared" si="154"/>
        <v>0</v>
      </c>
      <c r="H196" s="103">
        <f t="shared" si="154"/>
        <v>0</v>
      </c>
      <c r="I196" s="103">
        <f t="shared" si="154"/>
        <v>0</v>
      </c>
      <c r="J196" s="103">
        <f t="shared" si="154"/>
        <v>0</v>
      </c>
    </row>
    <row r="197" spans="2:12" ht="13">
      <c r="B197" s="66" t="str">
        <f t="shared" si="152"/>
        <v>Series H</v>
      </c>
      <c r="D197" s="103">
        <f t="shared" ref="D197:J197" si="155">IFERROR(SUM(D159,D141) /  IF( OR($D25="options", $D25 = "warrants"), D123, $G25 ),0)</f>
        <v>0</v>
      </c>
      <c r="E197" s="103">
        <f t="shared" si="155"/>
        <v>0</v>
      </c>
      <c r="F197" s="103">
        <f t="shared" si="155"/>
        <v>0</v>
      </c>
      <c r="G197" s="103">
        <f t="shared" si="155"/>
        <v>0</v>
      </c>
      <c r="H197" s="103">
        <f t="shared" si="155"/>
        <v>0</v>
      </c>
      <c r="I197" s="103">
        <f t="shared" si="155"/>
        <v>0</v>
      </c>
      <c r="J197" s="103">
        <f t="shared" si="155"/>
        <v>0</v>
      </c>
    </row>
    <row r="198" spans="2:12" ht="13">
      <c r="B198" s="66" t="str">
        <f t="shared" si="152"/>
        <v>Series G</v>
      </c>
      <c r="D198" s="103">
        <f t="shared" ref="D198:J198" si="156">IFERROR(SUM(D160,D142) /  IF( OR($D26="options", $D26 = "warrants"), D124, $G26 ),0)</f>
        <v>0</v>
      </c>
      <c r="E198" s="103">
        <f t="shared" si="156"/>
        <v>0</v>
      </c>
      <c r="F198" s="103">
        <f t="shared" si="156"/>
        <v>0</v>
      </c>
      <c r="G198" s="103">
        <f t="shared" si="156"/>
        <v>0</v>
      </c>
      <c r="H198" s="103">
        <f t="shared" si="156"/>
        <v>0</v>
      </c>
      <c r="I198" s="103">
        <f t="shared" si="156"/>
        <v>0</v>
      </c>
      <c r="J198" s="103">
        <f t="shared" si="156"/>
        <v>0</v>
      </c>
    </row>
    <row r="199" spans="2:12" ht="13">
      <c r="B199" s="66" t="str">
        <f t="shared" si="152"/>
        <v>Series F</v>
      </c>
      <c r="D199" s="103">
        <f t="shared" ref="D199:J199" si="157">IFERROR(SUM(D161,D143) /  IF( OR($D27="options", $D27 = "warrants"), D125, $G27 ),0)</f>
        <v>0</v>
      </c>
      <c r="E199" s="103">
        <f t="shared" si="157"/>
        <v>0</v>
      </c>
      <c r="F199" s="103">
        <f t="shared" si="157"/>
        <v>0</v>
      </c>
      <c r="G199" s="103">
        <f t="shared" si="157"/>
        <v>0</v>
      </c>
      <c r="H199" s="103">
        <f t="shared" si="157"/>
        <v>0</v>
      </c>
      <c r="I199" s="103">
        <f t="shared" si="157"/>
        <v>0</v>
      </c>
      <c r="J199" s="103">
        <f t="shared" si="157"/>
        <v>0</v>
      </c>
    </row>
    <row r="200" spans="2:12" ht="13">
      <c r="B200" s="66" t="str">
        <f t="shared" si="152"/>
        <v>Series E</v>
      </c>
      <c r="D200" s="103">
        <f t="shared" ref="D200:J200" si="158">IFERROR(SUM(D162,D144) /  IF( OR($D28="options", $D28 = "warrants"), D126, $G28 ),0)</f>
        <v>0</v>
      </c>
      <c r="E200" s="103">
        <f t="shared" si="158"/>
        <v>0</v>
      </c>
      <c r="F200" s="103">
        <f t="shared" si="158"/>
        <v>0</v>
      </c>
      <c r="G200" s="103">
        <f t="shared" si="158"/>
        <v>0</v>
      </c>
      <c r="H200" s="103">
        <f t="shared" si="158"/>
        <v>0</v>
      </c>
      <c r="I200" s="103">
        <f t="shared" si="158"/>
        <v>0</v>
      </c>
      <c r="J200" s="103">
        <f t="shared" si="158"/>
        <v>0</v>
      </c>
    </row>
    <row r="201" spans="2:12" ht="13">
      <c r="B201" s="66" t="str">
        <f t="shared" si="152"/>
        <v>Series D</v>
      </c>
      <c r="D201" s="103">
        <f t="shared" ref="D201:J201" si="159">IFERROR(SUM(D163,D145) /  IF( OR($D29="options", $D29 = "warrants"), D127, $G29 ),0)</f>
        <v>0</v>
      </c>
      <c r="E201" s="103">
        <f t="shared" si="159"/>
        <v>0</v>
      </c>
      <c r="F201" s="103">
        <f t="shared" si="159"/>
        <v>0</v>
      </c>
      <c r="G201" s="103">
        <f t="shared" si="159"/>
        <v>0</v>
      </c>
      <c r="H201" s="103">
        <f t="shared" si="159"/>
        <v>0</v>
      </c>
      <c r="I201" s="103">
        <f t="shared" si="159"/>
        <v>0</v>
      </c>
      <c r="J201" s="103">
        <f t="shared" si="159"/>
        <v>0</v>
      </c>
    </row>
    <row r="202" spans="2:12" ht="13">
      <c r="B202" s="66" t="str">
        <f t="shared" si="152"/>
        <v>Series C</v>
      </c>
      <c r="D202" s="103">
        <f t="shared" ref="D202:J202" si="160">IFERROR(SUM(D164,D146) /  IF( OR($D30="options", $D30 = "warrants", $Y30 = TRUE), D128, $G30 ),0)</f>
        <v>0</v>
      </c>
      <c r="E202" s="103">
        <f t="shared" si="160"/>
        <v>0</v>
      </c>
      <c r="F202" s="103">
        <f t="shared" si="160"/>
        <v>0</v>
      </c>
      <c r="G202" s="103">
        <f t="shared" si="160"/>
        <v>0</v>
      </c>
      <c r="H202" s="103">
        <f t="shared" si="160"/>
        <v>0</v>
      </c>
      <c r="I202" s="103">
        <f t="shared" si="160"/>
        <v>0</v>
      </c>
      <c r="J202" s="103">
        <f t="shared" si="160"/>
        <v>0</v>
      </c>
    </row>
    <row r="203" spans="2:12" ht="13">
      <c r="B203" s="66" t="str">
        <f t="shared" si="152"/>
        <v>Series B</v>
      </c>
      <c r="D203" s="103">
        <f t="shared" ref="D203:J203" si="161">IFERROR(SUM(D165,D147) /  IF( OR($D31="options", $D31 = "warrants"), D129, $G31 ),0)</f>
        <v>1</v>
      </c>
      <c r="E203" s="103">
        <f t="shared" si="161"/>
        <v>1</v>
      </c>
      <c r="F203" s="103">
        <f t="shared" si="161"/>
        <v>1</v>
      </c>
      <c r="G203" s="103">
        <f t="shared" si="161"/>
        <v>1</v>
      </c>
      <c r="H203" s="103">
        <f t="shared" si="161"/>
        <v>1</v>
      </c>
      <c r="I203" s="103">
        <f t="shared" si="161"/>
        <v>1</v>
      </c>
      <c r="J203" s="103">
        <f t="shared" si="161"/>
        <v>1</v>
      </c>
    </row>
    <row r="204" spans="2:12" ht="13">
      <c r="B204" s="66" t="str">
        <f t="shared" si="152"/>
        <v>Series A</v>
      </c>
      <c r="D204" s="103">
        <f t="shared" ref="D204:J204" si="162">IFERROR(SUM(D166,D148) /  IF( OR($D32="options", $D32 = "warrants"), D130, $G32 ),0)</f>
        <v>0</v>
      </c>
      <c r="E204" s="103">
        <f t="shared" si="162"/>
        <v>0.5</v>
      </c>
      <c r="F204" s="103">
        <f t="shared" si="162"/>
        <v>0.5</v>
      </c>
      <c r="G204" s="103">
        <f t="shared" si="162"/>
        <v>0.5</v>
      </c>
      <c r="H204" s="103">
        <f t="shared" si="162"/>
        <v>0.5</v>
      </c>
      <c r="I204" s="103">
        <f t="shared" si="162"/>
        <v>0.5</v>
      </c>
      <c r="J204" s="103">
        <f t="shared" si="162"/>
        <v>0.5</v>
      </c>
    </row>
    <row r="205" spans="2:12" ht="13">
      <c r="B205" s="66" t="str">
        <f t="shared" si="152"/>
        <v>Seed</v>
      </c>
      <c r="D205" s="103">
        <f t="shared" ref="D205:J205" si="163">IFERROR(SUM(D167,D149) /  IF( OR($D33="options", $D33 = "warrants"), D131, $G33 ),0)</f>
        <v>0</v>
      </c>
      <c r="E205" s="103">
        <f t="shared" si="163"/>
        <v>0</v>
      </c>
      <c r="F205" s="103">
        <f t="shared" si="163"/>
        <v>0.1</v>
      </c>
      <c r="G205" s="103">
        <f t="shared" si="163"/>
        <v>0.1</v>
      </c>
      <c r="H205" s="103">
        <f t="shared" si="163"/>
        <v>0.1</v>
      </c>
      <c r="I205" s="103">
        <f t="shared" si="163"/>
        <v>0.1</v>
      </c>
      <c r="J205" s="103">
        <f t="shared" si="163"/>
        <v>0.1</v>
      </c>
    </row>
    <row r="206" spans="2:12" ht="13">
      <c r="B206" s="66" t="str">
        <f t="shared" si="152"/>
        <v>Common</v>
      </c>
      <c r="D206" s="103">
        <f t="shared" ref="D206:J206" si="164">IFERROR(SUM(D168,D150) /  IF( OR($D34="options", $D34 = "warrants"), D132, $G34 ),0)</f>
        <v>0</v>
      </c>
      <c r="E206" s="103">
        <f t="shared" si="164"/>
        <v>0</v>
      </c>
      <c r="F206" s="103">
        <f t="shared" si="164"/>
        <v>0</v>
      </c>
      <c r="G206" s="103">
        <f t="shared" si="164"/>
        <v>0</v>
      </c>
      <c r="H206" s="103">
        <f t="shared" si="164"/>
        <v>0</v>
      </c>
      <c r="I206" s="103">
        <f t="shared" si="164"/>
        <v>0</v>
      </c>
      <c r="J206" s="103">
        <f t="shared" si="164"/>
        <v>0</v>
      </c>
    </row>
    <row r="207" spans="2:12" ht="13">
      <c r="B207" s="66" t="str">
        <f t="shared" si="152"/>
        <v>Options</v>
      </c>
      <c r="D207" s="103">
        <f t="shared" ref="D207:J207" si="165">IFERROR(SUM(D169,D151) /  IF( OR($D35="options", $D35 = "warrants"), D133, $G35 ),0)</f>
        <v>0</v>
      </c>
      <c r="E207" s="103">
        <f t="shared" si="165"/>
        <v>0</v>
      </c>
      <c r="F207" s="103">
        <f t="shared" si="165"/>
        <v>0</v>
      </c>
      <c r="G207" s="103">
        <f t="shared" si="165"/>
        <v>0</v>
      </c>
      <c r="H207" s="103">
        <f t="shared" si="165"/>
        <v>0</v>
      </c>
      <c r="I207" s="103">
        <f t="shared" si="165"/>
        <v>0</v>
      </c>
      <c r="J207" s="103">
        <f t="shared" si="165"/>
        <v>0</v>
      </c>
    </row>
    <row r="208" spans="2:12" ht="13">
      <c r="B208" s="66" t="str">
        <f t="shared" si="152"/>
        <v>Options</v>
      </c>
      <c r="D208" s="103">
        <f t="shared" ref="D208:J208" si="166">IFERROR(SUM(D170,D152) /  IF( OR($D36="options", $D36 = "warrants"), D134, $G36 ),0)</f>
        <v>0</v>
      </c>
      <c r="E208" s="103">
        <f t="shared" si="166"/>
        <v>0</v>
      </c>
      <c r="F208" s="103">
        <f t="shared" si="166"/>
        <v>0</v>
      </c>
      <c r="G208" s="103">
        <f t="shared" si="166"/>
        <v>0</v>
      </c>
      <c r="H208" s="103">
        <f t="shared" si="166"/>
        <v>0</v>
      </c>
      <c r="I208" s="103">
        <f t="shared" si="166"/>
        <v>0</v>
      </c>
      <c r="J208" s="103">
        <f t="shared" si="166"/>
        <v>0</v>
      </c>
    </row>
    <row r="209" spans="2:12" ht="13">
      <c r="B209" s="66" t="str">
        <f t="shared" si="152"/>
        <v>Warrants</v>
      </c>
      <c r="D209" s="103">
        <f t="shared" ref="D209:J209" si="167">IFERROR(SUM(D171,D153) /  IF( OR($D37="options", $D37 = "warrants"), D135, $G37 ),0)</f>
        <v>0</v>
      </c>
      <c r="E209" s="103">
        <f t="shared" si="167"/>
        <v>0</v>
      </c>
      <c r="F209" s="103">
        <f t="shared" si="167"/>
        <v>0</v>
      </c>
      <c r="G209" s="103">
        <f t="shared" si="167"/>
        <v>0</v>
      </c>
      <c r="H209" s="103">
        <f t="shared" si="167"/>
        <v>0</v>
      </c>
      <c r="I209" s="103">
        <f t="shared" si="167"/>
        <v>0</v>
      </c>
      <c r="J209" s="103">
        <f t="shared" si="167"/>
        <v>0</v>
      </c>
    </row>
    <row r="210" spans="2:12" ht="13">
      <c r="B210" s="66"/>
      <c r="D210" s="94"/>
      <c r="E210" s="94"/>
      <c r="F210" s="94"/>
      <c r="G210" s="94"/>
      <c r="H210" s="94"/>
      <c r="I210" s="94"/>
      <c r="J210" s="94"/>
    </row>
    <row r="211" spans="2:12" ht="13">
      <c r="B211" s="96" t="s">
        <v>245</v>
      </c>
      <c r="D211" s="105">
        <v>1</v>
      </c>
      <c r="E211" s="105">
        <v>1</v>
      </c>
      <c r="F211" s="105">
        <v>1</v>
      </c>
      <c r="G211" s="105">
        <v>1</v>
      </c>
      <c r="H211" s="105">
        <v>1</v>
      </c>
      <c r="I211" s="105">
        <v>1</v>
      </c>
      <c r="J211" s="105">
        <v>1</v>
      </c>
      <c r="L211" s="10" t="s">
        <v>246</v>
      </c>
    </row>
    <row r="212" spans="2:12" ht="13">
      <c r="B212" s="66" t="str">
        <f t="shared" ref="B212:B226" si="168">B23</f>
        <v>Series J</v>
      </c>
      <c r="D212" s="100">
        <f t="shared" ref="D212:J212" si="169">D$211*D176</f>
        <v>0</v>
      </c>
      <c r="E212" s="100">
        <f t="shared" si="169"/>
        <v>0</v>
      </c>
      <c r="F212" s="100">
        <f t="shared" si="169"/>
        <v>0</v>
      </c>
      <c r="G212" s="100">
        <f t="shared" si="169"/>
        <v>0</v>
      </c>
      <c r="H212" s="100">
        <f t="shared" si="169"/>
        <v>0</v>
      </c>
      <c r="I212" s="100">
        <f t="shared" si="169"/>
        <v>0</v>
      </c>
      <c r="J212" s="100">
        <f t="shared" si="169"/>
        <v>0</v>
      </c>
    </row>
    <row r="213" spans="2:12" ht="13">
      <c r="B213" s="66" t="str">
        <f t="shared" si="168"/>
        <v>Series I</v>
      </c>
      <c r="D213" s="100">
        <f t="shared" ref="D213:J213" si="170">D$211*D177</f>
        <v>0</v>
      </c>
      <c r="E213" s="100">
        <f t="shared" si="170"/>
        <v>0</v>
      </c>
      <c r="F213" s="100">
        <f t="shared" si="170"/>
        <v>0</v>
      </c>
      <c r="G213" s="100">
        <f t="shared" si="170"/>
        <v>0</v>
      </c>
      <c r="H213" s="100">
        <f t="shared" si="170"/>
        <v>0</v>
      </c>
      <c r="I213" s="100">
        <f t="shared" si="170"/>
        <v>0</v>
      </c>
      <c r="J213" s="100">
        <f t="shared" si="170"/>
        <v>0</v>
      </c>
    </row>
    <row r="214" spans="2:12" ht="13">
      <c r="B214" s="66" t="str">
        <f t="shared" si="168"/>
        <v>Series H</v>
      </c>
      <c r="D214" s="100">
        <f t="shared" ref="D214:J214" si="171">D$211*D178</f>
        <v>0</v>
      </c>
      <c r="E214" s="100">
        <f t="shared" si="171"/>
        <v>0</v>
      </c>
      <c r="F214" s="100">
        <f t="shared" si="171"/>
        <v>0</v>
      </c>
      <c r="G214" s="100">
        <f t="shared" si="171"/>
        <v>0</v>
      </c>
      <c r="H214" s="100">
        <f t="shared" si="171"/>
        <v>0</v>
      </c>
      <c r="I214" s="100">
        <f t="shared" si="171"/>
        <v>0</v>
      </c>
      <c r="J214" s="100">
        <f t="shared" si="171"/>
        <v>0</v>
      </c>
    </row>
    <row r="215" spans="2:12" ht="13">
      <c r="B215" s="66" t="str">
        <f t="shared" si="168"/>
        <v>Series G</v>
      </c>
      <c r="D215" s="100">
        <f t="shared" ref="D215:J215" si="172">D$211*D179</f>
        <v>0</v>
      </c>
      <c r="E215" s="100">
        <f t="shared" si="172"/>
        <v>0</v>
      </c>
      <c r="F215" s="100">
        <f t="shared" si="172"/>
        <v>0</v>
      </c>
      <c r="G215" s="100">
        <f t="shared" si="172"/>
        <v>0</v>
      </c>
      <c r="H215" s="100">
        <f t="shared" si="172"/>
        <v>0</v>
      </c>
      <c r="I215" s="100">
        <f t="shared" si="172"/>
        <v>0</v>
      </c>
      <c r="J215" s="100">
        <f t="shared" si="172"/>
        <v>0</v>
      </c>
    </row>
    <row r="216" spans="2:12" ht="13">
      <c r="B216" s="66" t="str">
        <f t="shared" si="168"/>
        <v>Series F</v>
      </c>
      <c r="D216" s="100">
        <f t="shared" ref="D216:J216" si="173">D$211*D180</f>
        <v>0</v>
      </c>
      <c r="E216" s="100">
        <f t="shared" si="173"/>
        <v>0</v>
      </c>
      <c r="F216" s="100">
        <f t="shared" si="173"/>
        <v>0</v>
      </c>
      <c r="G216" s="100">
        <f t="shared" si="173"/>
        <v>0</v>
      </c>
      <c r="H216" s="100">
        <f t="shared" si="173"/>
        <v>0</v>
      </c>
      <c r="I216" s="100">
        <f t="shared" si="173"/>
        <v>0</v>
      </c>
      <c r="J216" s="100">
        <f t="shared" si="173"/>
        <v>0</v>
      </c>
    </row>
    <row r="217" spans="2:12" ht="13">
      <c r="B217" s="66" t="str">
        <f t="shared" si="168"/>
        <v>Series E</v>
      </c>
      <c r="D217" s="100">
        <f t="shared" ref="D217:J217" si="174">D$211*D181</f>
        <v>0</v>
      </c>
      <c r="E217" s="100">
        <f t="shared" si="174"/>
        <v>0</v>
      </c>
      <c r="F217" s="100">
        <f t="shared" si="174"/>
        <v>0</v>
      </c>
      <c r="G217" s="100">
        <f t="shared" si="174"/>
        <v>0</v>
      </c>
      <c r="H217" s="100">
        <f t="shared" si="174"/>
        <v>0</v>
      </c>
      <c r="I217" s="100">
        <f t="shared" si="174"/>
        <v>0</v>
      </c>
      <c r="J217" s="100">
        <f t="shared" si="174"/>
        <v>0</v>
      </c>
    </row>
    <row r="218" spans="2:12" ht="13">
      <c r="B218" s="66" t="str">
        <f t="shared" si="168"/>
        <v>Series D</v>
      </c>
      <c r="D218" s="100">
        <f t="shared" ref="D218:J218" si="175">D$211*D182</f>
        <v>0</v>
      </c>
      <c r="E218" s="100">
        <f t="shared" si="175"/>
        <v>0</v>
      </c>
      <c r="F218" s="100">
        <f t="shared" si="175"/>
        <v>0</v>
      </c>
      <c r="G218" s="100">
        <f t="shared" si="175"/>
        <v>0</v>
      </c>
      <c r="H218" s="100">
        <f t="shared" si="175"/>
        <v>0</v>
      </c>
      <c r="I218" s="100">
        <f t="shared" si="175"/>
        <v>0</v>
      </c>
      <c r="J218" s="100">
        <f t="shared" si="175"/>
        <v>0</v>
      </c>
    </row>
    <row r="219" spans="2:12" ht="13">
      <c r="B219" s="66" t="str">
        <f t="shared" si="168"/>
        <v>Series C</v>
      </c>
      <c r="D219" s="100">
        <f t="shared" ref="D219:J219" si="176">D$211*D183</f>
        <v>0</v>
      </c>
      <c r="E219" s="100">
        <f t="shared" si="176"/>
        <v>0</v>
      </c>
      <c r="F219" s="100">
        <f t="shared" si="176"/>
        <v>0</v>
      </c>
      <c r="G219" s="100">
        <f t="shared" si="176"/>
        <v>0</v>
      </c>
      <c r="H219" s="100">
        <f t="shared" si="176"/>
        <v>0</v>
      </c>
      <c r="I219" s="100">
        <f t="shared" si="176"/>
        <v>0</v>
      </c>
      <c r="J219" s="100">
        <f t="shared" si="176"/>
        <v>0</v>
      </c>
    </row>
    <row r="220" spans="2:12" ht="13">
      <c r="B220" s="66" t="str">
        <f t="shared" si="168"/>
        <v>Series B</v>
      </c>
      <c r="D220" s="100">
        <f t="shared" ref="D220:J220" si="177">D$211*D184</f>
        <v>2000000</v>
      </c>
      <c r="E220" s="100">
        <f t="shared" si="177"/>
        <v>2000000</v>
      </c>
      <c r="F220" s="100">
        <f t="shared" si="177"/>
        <v>2000000</v>
      </c>
      <c r="G220" s="100">
        <f t="shared" si="177"/>
        <v>2000000</v>
      </c>
      <c r="H220" s="100">
        <f t="shared" si="177"/>
        <v>2000000</v>
      </c>
      <c r="I220" s="100">
        <f t="shared" si="177"/>
        <v>2000000</v>
      </c>
      <c r="J220" s="100">
        <f t="shared" si="177"/>
        <v>2000000</v>
      </c>
    </row>
    <row r="221" spans="2:12" ht="13">
      <c r="B221" s="66" t="str">
        <f t="shared" si="168"/>
        <v>Series A</v>
      </c>
      <c r="D221" s="100">
        <f t="shared" ref="D221:J221" si="178">D$211*D185</f>
        <v>0</v>
      </c>
      <c r="E221" s="100">
        <f t="shared" si="178"/>
        <v>1000000</v>
      </c>
      <c r="F221" s="100">
        <f t="shared" si="178"/>
        <v>1000000</v>
      </c>
      <c r="G221" s="100">
        <f t="shared" si="178"/>
        <v>1000000</v>
      </c>
      <c r="H221" s="100">
        <f t="shared" si="178"/>
        <v>1000000</v>
      </c>
      <c r="I221" s="100">
        <f t="shared" si="178"/>
        <v>1000000</v>
      </c>
      <c r="J221" s="100">
        <f t="shared" si="178"/>
        <v>1000000</v>
      </c>
    </row>
    <row r="222" spans="2:12" ht="13">
      <c r="B222" s="66" t="str">
        <f t="shared" si="168"/>
        <v>Seed</v>
      </c>
      <c r="D222" s="100">
        <f t="shared" ref="D222:J222" si="179">D$211*D186</f>
        <v>0</v>
      </c>
      <c r="E222" s="100">
        <f t="shared" si="179"/>
        <v>0</v>
      </c>
      <c r="F222" s="100">
        <f t="shared" si="179"/>
        <v>500000</v>
      </c>
      <c r="G222" s="100">
        <f t="shared" si="179"/>
        <v>500000</v>
      </c>
      <c r="H222" s="100">
        <f t="shared" si="179"/>
        <v>500000</v>
      </c>
      <c r="I222" s="100">
        <f t="shared" si="179"/>
        <v>500000</v>
      </c>
      <c r="J222" s="100">
        <f t="shared" si="179"/>
        <v>500000</v>
      </c>
    </row>
    <row r="223" spans="2:12" ht="13">
      <c r="B223" s="66" t="str">
        <f t="shared" si="168"/>
        <v>Common</v>
      </c>
      <c r="D223" s="100">
        <f t="shared" ref="D223:J223" si="180">D$211*D187</f>
        <v>0</v>
      </c>
      <c r="E223" s="100">
        <f t="shared" si="180"/>
        <v>0</v>
      </c>
      <c r="F223" s="100">
        <f t="shared" si="180"/>
        <v>0</v>
      </c>
      <c r="G223" s="100">
        <f t="shared" si="180"/>
        <v>0</v>
      </c>
      <c r="H223" s="100">
        <f t="shared" si="180"/>
        <v>0</v>
      </c>
      <c r="I223" s="100">
        <f t="shared" si="180"/>
        <v>0</v>
      </c>
      <c r="J223" s="100">
        <f t="shared" si="180"/>
        <v>0</v>
      </c>
    </row>
    <row r="224" spans="2:12" ht="13">
      <c r="B224" s="66" t="str">
        <f t="shared" si="168"/>
        <v>Options</v>
      </c>
      <c r="D224" s="100">
        <f t="shared" ref="D224:J224" si="181">D$211*D188</f>
        <v>0</v>
      </c>
      <c r="E224" s="100">
        <f t="shared" si="181"/>
        <v>0</v>
      </c>
      <c r="F224" s="100">
        <f t="shared" si="181"/>
        <v>0</v>
      </c>
      <c r="G224" s="100">
        <f t="shared" si="181"/>
        <v>0</v>
      </c>
      <c r="H224" s="100">
        <f t="shared" si="181"/>
        <v>0</v>
      </c>
      <c r="I224" s="100">
        <f t="shared" si="181"/>
        <v>0</v>
      </c>
      <c r="J224" s="100">
        <f t="shared" si="181"/>
        <v>0</v>
      </c>
    </row>
    <row r="225" spans="2:12" ht="13">
      <c r="B225" s="66" t="str">
        <f t="shared" si="168"/>
        <v>Options</v>
      </c>
      <c r="D225" s="100">
        <f t="shared" ref="D225:J225" si="182">D$211*D189</f>
        <v>0</v>
      </c>
      <c r="E225" s="100">
        <f t="shared" si="182"/>
        <v>0</v>
      </c>
      <c r="F225" s="100">
        <f t="shared" si="182"/>
        <v>0</v>
      </c>
      <c r="G225" s="100">
        <f t="shared" si="182"/>
        <v>0</v>
      </c>
      <c r="H225" s="100">
        <f t="shared" si="182"/>
        <v>0</v>
      </c>
      <c r="I225" s="100">
        <f t="shared" si="182"/>
        <v>0</v>
      </c>
      <c r="J225" s="100">
        <f t="shared" si="182"/>
        <v>0</v>
      </c>
    </row>
    <row r="226" spans="2:12" ht="13">
      <c r="B226" s="66" t="str">
        <f t="shared" si="168"/>
        <v>Warrants</v>
      </c>
      <c r="D226" s="100">
        <f t="shared" ref="D226:J226" si="183">D$211*D190</f>
        <v>0</v>
      </c>
      <c r="E226" s="100">
        <f t="shared" si="183"/>
        <v>0</v>
      </c>
      <c r="F226" s="100">
        <f t="shared" si="183"/>
        <v>0</v>
      </c>
      <c r="G226" s="100">
        <f t="shared" si="183"/>
        <v>0</v>
      </c>
      <c r="H226" s="100">
        <f t="shared" si="183"/>
        <v>0</v>
      </c>
      <c r="I226" s="100">
        <f t="shared" si="183"/>
        <v>0</v>
      </c>
      <c r="J226" s="100">
        <f t="shared" si="183"/>
        <v>0</v>
      </c>
    </row>
    <row r="227" spans="2:12" ht="13">
      <c r="B227" s="66"/>
      <c r="D227" s="94"/>
      <c r="E227" s="94"/>
      <c r="F227" s="94"/>
      <c r="G227" s="94"/>
      <c r="H227" s="94"/>
      <c r="I227" s="94"/>
      <c r="J227" s="94"/>
    </row>
    <row r="228" spans="2:12" ht="13">
      <c r="B228" s="66" t="s">
        <v>247</v>
      </c>
      <c r="D228" s="93">
        <v>0</v>
      </c>
      <c r="E228" s="93">
        <v>0</v>
      </c>
      <c r="F228" s="93">
        <v>0</v>
      </c>
      <c r="G228" s="93">
        <v>0</v>
      </c>
      <c r="H228" s="93">
        <v>0</v>
      </c>
      <c r="I228" s="93">
        <v>0</v>
      </c>
      <c r="J228" s="93">
        <v>0</v>
      </c>
      <c r="L228" s="10" t="s">
        <v>248</v>
      </c>
    </row>
    <row r="229" spans="2:12" ht="13">
      <c r="B229" s="66" t="str">
        <f t="shared" ref="B229:B243" si="184">B23</f>
        <v>Series J</v>
      </c>
      <c r="D229" s="94">
        <f t="shared" ref="D229:J229" si="185">IFERROR( (D176-D212) / D$228,0)</f>
        <v>0</v>
      </c>
      <c r="E229" s="94">
        <f t="shared" si="185"/>
        <v>0</v>
      </c>
      <c r="F229" s="94">
        <f t="shared" si="185"/>
        <v>0</v>
      </c>
      <c r="G229" s="94">
        <f t="shared" si="185"/>
        <v>0</v>
      </c>
      <c r="H229" s="94">
        <f t="shared" si="185"/>
        <v>0</v>
      </c>
      <c r="I229" s="94">
        <f t="shared" si="185"/>
        <v>0</v>
      </c>
      <c r="J229" s="94">
        <f t="shared" si="185"/>
        <v>0</v>
      </c>
    </row>
    <row r="230" spans="2:12" ht="13">
      <c r="B230" s="66" t="str">
        <f t="shared" si="184"/>
        <v>Series I</v>
      </c>
      <c r="D230" s="94">
        <f t="shared" ref="D230:J230" si="186">IFERROR( (D177-D213) / D$228,0)</f>
        <v>0</v>
      </c>
      <c r="E230" s="94">
        <f t="shared" si="186"/>
        <v>0</v>
      </c>
      <c r="F230" s="94">
        <f t="shared" si="186"/>
        <v>0</v>
      </c>
      <c r="G230" s="94">
        <f t="shared" si="186"/>
        <v>0</v>
      </c>
      <c r="H230" s="94">
        <f t="shared" si="186"/>
        <v>0</v>
      </c>
      <c r="I230" s="94">
        <f t="shared" si="186"/>
        <v>0</v>
      </c>
      <c r="J230" s="94">
        <f t="shared" si="186"/>
        <v>0</v>
      </c>
    </row>
    <row r="231" spans="2:12" ht="13">
      <c r="B231" s="66" t="str">
        <f t="shared" si="184"/>
        <v>Series H</v>
      </c>
      <c r="D231" s="94">
        <f t="shared" ref="D231:J231" si="187">IFERROR( (D178-D214) / D$228,0)</f>
        <v>0</v>
      </c>
      <c r="E231" s="94">
        <f t="shared" si="187"/>
        <v>0</v>
      </c>
      <c r="F231" s="94">
        <f t="shared" si="187"/>
        <v>0</v>
      </c>
      <c r="G231" s="94">
        <f t="shared" si="187"/>
        <v>0</v>
      </c>
      <c r="H231" s="94">
        <f t="shared" si="187"/>
        <v>0</v>
      </c>
      <c r="I231" s="94">
        <f t="shared" si="187"/>
        <v>0</v>
      </c>
      <c r="J231" s="94">
        <f t="shared" si="187"/>
        <v>0</v>
      </c>
    </row>
    <row r="232" spans="2:12" ht="13">
      <c r="B232" s="66" t="str">
        <f t="shared" si="184"/>
        <v>Series G</v>
      </c>
      <c r="D232" s="94">
        <f t="shared" ref="D232:J232" si="188">IFERROR( (D179-D215) / D$228,0)</f>
        <v>0</v>
      </c>
      <c r="E232" s="94">
        <f t="shared" si="188"/>
        <v>0</v>
      </c>
      <c r="F232" s="94">
        <f t="shared" si="188"/>
        <v>0</v>
      </c>
      <c r="G232" s="94">
        <f t="shared" si="188"/>
        <v>0</v>
      </c>
      <c r="H232" s="94">
        <f t="shared" si="188"/>
        <v>0</v>
      </c>
      <c r="I232" s="94">
        <f t="shared" si="188"/>
        <v>0</v>
      </c>
      <c r="J232" s="94">
        <f t="shared" si="188"/>
        <v>0</v>
      </c>
    </row>
    <row r="233" spans="2:12" ht="13">
      <c r="B233" s="66" t="str">
        <f t="shared" si="184"/>
        <v>Series F</v>
      </c>
      <c r="D233" s="94">
        <f t="shared" ref="D233:J233" si="189">IFERROR( (D180-D216) / D$228,0)</f>
        <v>0</v>
      </c>
      <c r="E233" s="94">
        <f t="shared" si="189"/>
        <v>0</v>
      </c>
      <c r="F233" s="94">
        <f t="shared" si="189"/>
        <v>0</v>
      </c>
      <c r="G233" s="94">
        <f t="shared" si="189"/>
        <v>0</v>
      </c>
      <c r="H233" s="94">
        <f t="shared" si="189"/>
        <v>0</v>
      </c>
      <c r="I233" s="94">
        <f t="shared" si="189"/>
        <v>0</v>
      </c>
      <c r="J233" s="94">
        <f t="shared" si="189"/>
        <v>0</v>
      </c>
    </row>
    <row r="234" spans="2:12" ht="13">
      <c r="B234" s="66" t="str">
        <f t="shared" si="184"/>
        <v>Series E</v>
      </c>
      <c r="D234" s="94">
        <f t="shared" ref="D234:J234" si="190">IFERROR( (D181-D217) / D$228,0)</f>
        <v>0</v>
      </c>
      <c r="E234" s="94">
        <f t="shared" si="190"/>
        <v>0</v>
      </c>
      <c r="F234" s="94">
        <f t="shared" si="190"/>
        <v>0</v>
      </c>
      <c r="G234" s="94">
        <f t="shared" si="190"/>
        <v>0</v>
      </c>
      <c r="H234" s="94">
        <f t="shared" si="190"/>
        <v>0</v>
      </c>
      <c r="I234" s="94">
        <f t="shared" si="190"/>
        <v>0</v>
      </c>
      <c r="J234" s="94">
        <f t="shared" si="190"/>
        <v>0</v>
      </c>
    </row>
    <row r="235" spans="2:12" ht="13">
      <c r="B235" s="66" t="str">
        <f t="shared" si="184"/>
        <v>Series D</v>
      </c>
      <c r="D235" s="94">
        <f t="shared" ref="D235:J235" si="191">IFERROR( (D182-D218) / D$228,0)</f>
        <v>0</v>
      </c>
      <c r="E235" s="94">
        <f t="shared" si="191"/>
        <v>0</v>
      </c>
      <c r="F235" s="94">
        <f t="shared" si="191"/>
        <v>0</v>
      </c>
      <c r="G235" s="94">
        <f t="shared" si="191"/>
        <v>0</v>
      </c>
      <c r="H235" s="94">
        <f t="shared" si="191"/>
        <v>0</v>
      </c>
      <c r="I235" s="94">
        <f t="shared" si="191"/>
        <v>0</v>
      </c>
      <c r="J235" s="94">
        <f t="shared" si="191"/>
        <v>0</v>
      </c>
    </row>
    <row r="236" spans="2:12" ht="13">
      <c r="B236" s="66" t="str">
        <f t="shared" si="184"/>
        <v>Series C</v>
      </c>
      <c r="D236" s="94">
        <f t="shared" ref="D236:J236" si="192">IFERROR( (D183-D219) / D$228,0)</f>
        <v>0</v>
      </c>
      <c r="E236" s="94">
        <f t="shared" si="192"/>
        <v>0</v>
      </c>
      <c r="F236" s="94">
        <f t="shared" si="192"/>
        <v>0</v>
      </c>
      <c r="G236" s="94">
        <f t="shared" si="192"/>
        <v>0</v>
      </c>
      <c r="H236" s="94">
        <f t="shared" si="192"/>
        <v>0</v>
      </c>
      <c r="I236" s="94">
        <f t="shared" si="192"/>
        <v>0</v>
      </c>
      <c r="J236" s="94">
        <f t="shared" si="192"/>
        <v>0</v>
      </c>
    </row>
    <row r="237" spans="2:12" ht="13">
      <c r="B237" s="66" t="str">
        <f t="shared" si="184"/>
        <v>Series B</v>
      </c>
      <c r="D237" s="94">
        <f t="shared" ref="D237:J237" si="193">IFERROR( (D184-D220) / D$228,0)</f>
        <v>0</v>
      </c>
      <c r="E237" s="94">
        <f t="shared" si="193"/>
        <v>0</v>
      </c>
      <c r="F237" s="94">
        <f t="shared" si="193"/>
        <v>0</v>
      </c>
      <c r="G237" s="94">
        <f t="shared" si="193"/>
        <v>0</v>
      </c>
      <c r="H237" s="94">
        <f t="shared" si="193"/>
        <v>0</v>
      </c>
      <c r="I237" s="94">
        <f t="shared" si="193"/>
        <v>0</v>
      </c>
      <c r="J237" s="94">
        <f t="shared" si="193"/>
        <v>0</v>
      </c>
    </row>
    <row r="238" spans="2:12" ht="13">
      <c r="B238" s="66" t="str">
        <f t="shared" si="184"/>
        <v>Series A</v>
      </c>
      <c r="D238" s="94">
        <f t="shared" ref="D238:J238" si="194">IFERROR( (D185-D221) / D$228,0)</f>
        <v>0</v>
      </c>
      <c r="E238" s="94">
        <f t="shared" si="194"/>
        <v>0</v>
      </c>
      <c r="F238" s="94">
        <f t="shared" si="194"/>
        <v>0</v>
      </c>
      <c r="G238" s="94">
        <f t="shared" si="194"/>
        <v>0</v>
      </c>
      <c r="H238" s="94">
        <f t="shared" si="194"/>
        <v>0</v>
      </c>
      <c r="I238" s="94">
        <f t="shared" si="194"/>
        <v>0</v>
      </c>
      <c r="J238" s="94">
        <f t="shared" si="194"/>
        <v>0</v>
      </c>
    </row>
    <row r="239" spans="2:12" ht="13">
      <c r="B239" s="66" t="str">
        <f t="shared" si="184"/>
        <v>Seed</v>
      </c>
      <c r="D239" s="94">
        <f t="shared" ref="D239:J239" si="195">IFERROR( (D186-D222) / D$228,0)</f>
        <v>0</v>
      </c>
      <c r="E239" s="94">
        <f t="shared" si="195"/>
        <v>0</v>
      </c>
      <c r="F239" s="94">
        <f t="shared" si="195"/>
        <v>0</v>
      </c>
      <c r="G239" s="94">
        <f t="shared" si="195"/>
        <v>0</v>
      </c>
      <c r="H239" s="94">
        <f t="shared" si="195"/>
        <v>0</v>
      </c>
      <c r="I239" s="94">
        <f t="shared" si="195"/>
        <v>0</v>
      </c>
      <c r="J239" s="94">
        <f t="shared" si="195"/>
        <v>0</v>
      </c>
    </row>
    <row r="240" spans="2:12" ht="13">
      <c r="B240" s="66" t="str">
        <f t="shared" si="184"/>
        <v>Common</v>
      </c>
      <c r="D240" s="94">
        <f t="shared" ref="D240:J240" si="196">IFERROR( (D187-D223) / D$228,0)</f>
        <v>0</v>
      </c>
      <c r="E240" s="94">
        <f t="shared" si="196"/>
        <v>0</v>
      </c>
      <c r="F240" s="94">
        <f t="shared" si="196"/>
        <v>0</v>
      </c>
      <c r="G240" s="94">
        <f t="shared" si="196"/>
        <v>0</v>
      </c>
      <c r="H240" s="94">
        <f t="shared" si="196"/>
        <v>0</v>
      </c>
      <c r="I240" s="94">
        <f t="shared" si="196"/>
        <v>0</v>
      </c>
      <c r="J240" s="94">
        <f t="shared" si="196"/>
        <v>0</v>
      </c>
    </row>
    <row r="241" spans="2:10" ht="13">
      <c r="B241" s="66" t="str">
        <f t="shared" si="184"/>
        <v>Options</v>
      </c>
      <c r="D241" s="94">
        <f t="shared" ref="D241:J241" si="197">IFERROR( (D188-D224) / D$228,0)</f>
        <v>0</v>
      </c>
      <c r="E241" s="94">
        <f t="shared" si="197"/>
        <v>0</v>
      </c>
      <c r="F241" s="94">
        <f t="shared" si="197"/>
        <v>0</v>
      </c>
      <c r="G241" s="94">
        <f t="shared" si="197"/>
        <v>0</v>
      </c>
      <c r="H241" s="94">
        <f t="shared" si="197"/>
        <v>0</v>
      </c>
      <c r="I241" s="94">
        <f t="shared" si="197"/>
        <v>0</v>
      </c>
      <c r="J241" s="94">
        <f t="shared" si="197"/>
        <v>0</v>
      </c>
    </row>
    <row r="242" spans="2:10" ht="13">
      <c r="B242" s="66" t="str">
        <f t="shared" si="184"/>
        <v>Options</v>
      </c>
      <c r="D242" s="94">
        <f t="shared" ref="D242:J242" si="198">IFERROR( (D189-D225) / D$228,0)</f>
        <v>0</v>
      </c>
      <c r="E242" s="94">
        <f t="shared" si="198"/>
        <v>0</v>
      </c>
      <c r="F242" s="94">
        <f t="shared" si="198"/>
        <v>0</v>
      </c>
      <c r="G242" s="94">
        <f t="shared" si="198"/>
        <v>0</v>
      </c>
      <c r="H242" s="94">
        <f t="shared" si="198"/>
        <v>0</v>
      </c>
      <c r="I242" s="94">
        <f t="shared" si="198"/>
        <v>0</v>
      </c>
      <c r="J242" s="94">
        <f t="shared" si="198"/>
        <v>0</v>
      </c>
    </row>
    <row r="243" spans="2:10" ht="13">
      <c r="B243" s="66" t="str">
        <f t="shared" si="184"/>
        <v>Warrants</v>
      </c>
      <c r="D243" s="94">
        <f t="shared" ref="D243:J243" si="199">IFERROR( (D190-D226) / D$228,0)</f>
        <v>0</v>
      </c>
      <c r="E243" s="94">
        <f t="shared" si="199"/>
        <v>0</v>
      </c>
      <c r="F243" s="94">
        <f t="shared" si="199"/>
        <v>0</v>
      </c>
      <c r="G243" s="94">
        <f t="shared" si="199"/>
        <v>0</v>
      </c>
      <c r="H243" s="94">
        <f t="shared" si="199"/>
        <v>0</v>
      </c>
      <c r="I243" s="94">
        <f t="shared" si="199"/>
        <v>0</v>
      </c>
      <c r="J243" s="94">
        <f t="shared" si="199"/>
        <v>0</v>
      </c>
    </row>
    <row r="244" spans="2:10" ht="13">
      <c r="B244" s="66"/>
      <c r="D244" s="94"/>
      <c r="E244" s="94"/>
      <c r="F244" s="94"/>
      <c r="G244" s="94"/>
      <c r="H244" s="94"/>
      <c r="I244" s="94"/>
      <c r="J244" s="94"/>
    </row>
    <row r="245" spans="2:10" ht="13">
      <c r="B245" s="106" t="s">
        <v>269</v>
      </c>
      <c r="D245" s="94"/>
      <c r="E245" s="94"/>
      <c r="F245" s="94"/>
      <c r="G245" s="94"/>
      <c r="H245" s="94"/>
      <c r="I245" s="94"/>
      <c r="J245" s="94"/>
    </row>
    <row r="246" spans="2:10" ht="13">
      <c r="B246" s="66" t="s">
        <v>250</v>
      </c>
      <c r="D246" s="105">
        <f t="shared" ref="D246:I246" si="200">1/COUNT($D42:$J42)</f>
        <v>0.14285714285714285</v>
      </c>
      <c r="E246" s="105">
        <f t="shared" si="200"/>
        <v>0.14285714285714285</v>
      </c>
      <c r="F246" s="105">
        <f t="shared" si="200"/>
        <v>0.14285714285714285</v>
      </c>
      <c r="G246" s="105">
        <f t="shared" si="200"/>
        <v>0.14285714285714285</v>
      </c>
      <c r="H246" s="105">
        <f t="shared" si="200"/>
        <v>0.14285714285714285</v>
      </c>
      <c r="I246" s="105">
        <f t="shared" si="200"/>
        <v>0.14285714285714285</v>
      </c>
      <c r="J246" s="107">
        <f>1-SUM(D246:I246)</f>
        <v>0.14285714285714302</v>
      </c>
    </row>
    <row r="247" spans="2:10" ht="13">
      <c r="B247" s="66"/>
      <c r="D247" s="94"/>
      <c r="E247" s="94"/>
      <c r="F247" s="94"/>
      <c r="G247" s="94"/>
      <c r="H247" s="94"/>
      <c r="I247" s="94"/>
      <c r="J247" s="94"/>
    </row>
    <row r="248" spans="2:10" ht="14">
      <c r="B248" s="66" t="s">
        <v>251</v>
      </c>
      <c r="D248" s="108" t="s">
        <v>252</v>
      </c>
      <c r="E248" s="108" t="s">
        <v>253</v>
      </c>
      <c r="F248" s="108" t="s">
        <v>254</v>
      </c>
      <c r="G248" s="109" t="s">
        <v>255</v>
      </c>
      <c r="H248" s="108"/>
      <c r="I248" s="108"/>
      <c r="J248" s="108"/>
    </row>
    <row r="249" spans="2:10" ht="13">
      <c r="B249" s="66" t="str">
        <f t="shared" ref="B249:B263" si="201">B23</f>
        <v>Series J</v>
      </c>
      <c r="D249" s="94">
        <f t="shared" ref="D249:D263" si="202">SUMPRODUCT(D$246:J$246,D176:J176)</f>
        <v>0</v>
      </c>
      <c r="E249" s="94">
        <f t="shared" ref="E249:E263" si="203">D249-F23-IF(D23="options",SUMPRODUCT(D$246:J$246,D121:J121)*J23,0)</f>
        <v>0</v>
      </c>
      <c r="F249" s="103">
        <f t="shared" ref="F249:F263" si="204">IFERROR(D249/F23,0)</f>
        <v>0</v>
      </c>
      <c r="G249" s="83">
        <f t="shared" ref="G249:G263" si="205">IF(OR(D23="options",D23="common",D23="warrants"),0, IFERROR(E249/D249,0))</f>
        <v>0</v>
      </c>
      <c r="H249" s="94"/>
      <c r="I249" s="94"/>
      <c r="J249" s="94"/>
    </row>
    <row r="250" spans="2:10" ht="13">
      <c r="B250" s="66" t="str">
        <f t="shared" si="201"/>
        <v>Series I</v>
      </c>
      <c r="D250" s="94">
        <f t="shared" si="202"/>
        <v>0</v>
      </c>
      <c r="E250" s="94">
        <f t="shared" si="203"/>
        <v>0</v>
      </c>
      <c r="F250" s="103">
        <f t="shared" si="204"/>
        <v>0</v>
      </c>
      <c r="G250" s="83">
        <f t="shared" si="205"/>
        <v>0</v>
      </c>
      <c r="H250" s="94"/>
      <c r="I250" s="94"/>
      <c r="J250" s="94"/>
    </row>
    <row r="251" spans="2:10" ht="13">
      <c r="B251" s="66" t="str">
        <f t="shared" si="201"/>
        <v>Series H</v>
      </c>
      <c r="D251" s="94">
        <f t="shared" si="202"/>
        <v>0</v>
      </c>
      <c r="E251" s="94">
        <f t="shared" si="203"/>
        <v>0</v>
      </c>
      <c r="F251" s="103">
        <f t="shared" si="204"/>
        <v>0</v>
      </c>
      <c r="G251" s="83">
        <f t="shared" si="205"/>
        <v>0</v>
      </c>
      <c r="H251" s="94"/>
      <c r="I251" s="94"/>
      <c r="J251" s="94"/>
    </row>
    <row r="252" spans="2:10" ht="13">
      <c r="B252" s="66" t="str">
        <f t="shared" si="201"/>
        <v>Series G</v>
      </c>
      <c r="D252" s="94">
        <f t="shared" si="202"/>
        <v>0</v>
      </c>
      <c r="E252" s="94">
        <f t="shared" si="203"/>
        <v>0</v>
      </c>
      <c r="F252" s="103">
        <f t="shared" si="204"/>
        <v>0</v>
      </c>
      <c r="G252" s="83">
        <f t="shared" si="205"/>
        <v>0</v>
      </c>
      <c r="H252" s="94"/>
      <c r="I252" s="94"/>
      <c r="J252" s="94"/>
    </row>
    <row r="253" spans="2:10" ht="13">
      <c r="B253" s="66" t="str">
        <f t="shared" si="201"/>
        <v>Series F</v>
      </c>
      <c r="D253" s="94">
        <f t="shared" si="202"/>
        <v>0</v>
      </c>
      <c r="E253" s="94">
        <f t="shared" si="203"/>
        <v>0</v>
      </c>
      <c r="F253" s="103">
        <f t="shared" si="204"/>
        <v>0</v>
      </c>
      <c r="G253" s="83">
        <f t="shared" si="205"/>
        <v>0</v>
      </c>
      <c r="H253" s="94"/>
      <c r="I253" s="94"/>
      <c r="J253" s="94"/>
    </row>
    <row r="254" spans="2:10" ht="13">
      <c r="B254" s="66" t="str">
        <f t="shared" si="201"/>
        <v>Series E</v>
      </c>
      <c r="D254" s="94">
        <f t="shared" si="202"/>
        <v>0</v>
      </c>
      <c r="E254" s="94">
        <f t="shared" si="203"/>
        <v>0</v>
      </c>
      <c r="F254" s="103">
        <f t="shared" si="204"/>
        <v>0</v>
      </c>
      <c r="G254" s="83">
        <f t="shared" si="205"/>
        <v>0</v>
      </c>
      <c r="H254" s="94"/>
      <c r="I254" s="94"/>
      <c r="J254" s="94"/>
    </row>
    <row r="255" spans="2:10" ht="13">
      <c r="B255" s="66" t="str">
        <f t="shared" si="201"/>
        <v>Series D</v>
      </c>
      <c r="D255" s="94">
        <f t="shared" si="202"/>
        <v>0</v>
      </c>
      <c r="E255" s="94">
        <f t="shared" si="203"/>
        <v>0</v>
      </c>
      <c r="F255" s="103">
        <f t="shared" si="204"/>
        <v>0</v>
      </c>
      <c r="G255" s="83">
        <f t="shared" si="205"/>
        <v>0</v>
      </c>
      <c r="H255" s="94"/>
      <c r="I255" s="94"/>
      <c r="J255" s="94"/>
    </row>
    <row r="256" spans="2:10" ht="13">
      <c r="B256" s="66" t="str">
        <f t="shared" si="201"/>
        <v>Series C</v>
      </c>
      <c r="D256" s="94">
        <f t="shared" si="202"/>
        <v>0</v>
      </c>
      <c r="E256" s="94">
        <f t="shared" si="203"/>
        <v>0</v>
      </c>
      <c r="F256" s="103">
        <f t="shared" si="204"/>
        <v>0</v>
      </c>
      <c r="G256" s="83">
        <f t="shared" si="205"/>
        <v>0</v>
      </c>
      <c r="H256" s="94"/>
      <c r="I256" s="94"/>
      <c r="J256" s="94"/>
    </row>
    <row r="257" spans="2:10" ht="13">
      <c r="B257" s="66" t="str">
        <f t="shared" si="201"/>
        <v>Series B</v>
      </c>
      <c r="D257" s="94">
        <f t="shared" si="202"/>
        <v>2000000</v>
      </c>
      <c r="E257" s="94">
        <f t="shared" si="203"/>
        <v>0</v>
      </c>
      <c r="F257" s="103">
        <f t="shared" si="204"/>
        <v>1</v>
      </c>
      <c r="G257" s="83">
        <f t="shared" si="205"/>
        <v>0</v>
      </c>
      <c r="H257" s="94"/>
      <c r="I257" s="94"/>
      <c r="J257" s="94"/>
    </row>
    <row r="258" spans="2:10" ht="13">
      <c r="B258" s="66" t="str">
        <f t="shared" si="201"/>
        <v>Series A</v>
      </c>
      <c r="D258" s="94">
        <f t="shared" si="202"/>
        <v>857142.85714285728</v>
      </c>
      <c r="E258" s="94">
        <f t="shared" si="203"/>
        <v>-142857.14285714272</v>
      </c>
      <c r="F258" s="103">
        <f t="shared" si="204"/>
        <v>0.85714285714285732</v>
      </c>
      <c r="G258" s="83">
        <f t="shared" si="205"/>
        <v>-0.16666666666666649</v>
      </c>
      <c r="H258" s="94"/>
      <c r="I258" s="94"/>
      <c r="J258" s="94"/>
    </row>
    <row r="259" spans="2:10" ht="13">
      <c r="B259" s="66" t="str">
        <f t="shared" si="201"/>
        <v>Seed</v>
      </c>
      <c r="D259" s="94">
        <f t="shared" si="202"/>
        <v>357142.85714285716</v>
      </c>
      <c r="E259" s="94">
        <f t="shared" si="203"/>
        <v>-142857.14285714284</v>
      </c>
      <c r="F259" s="103">
        <f t="shared" si="204"/>
        <v>0.7142857142857143</v>
      </c>
      <c r="G259" s="83">
        <f t="shared" si="205"/>
        <v>-0.39999999999999991</v>
      </c>
      <c r="H259" s="94"/>
      <c r="I259" s="94"/>
      <c r="J259" s="94"/>
    </row>
    <row r="260" spans="2:10" ht="13">
      <c r="B260" s="66" t="str">
        <f t="shared" si="201"/>
        <v>Common</v>
      </c>
      <c r="D260" s="94">
        <f t="shared" si="202"/>
        <v>0</v>
      </c>
      <c r="E260" s="94">
        <f t="shared" si="203"/>
        <v>0</v>
      </c>
      <c r="F260" s="103">
        <f t="shared" si="204"/>
        <v>0</v>
      </c>
      <c r="G260" s="83">
        <f t="shared" si="205"/>
        <v>0</v>
      </c>
      <c r="H260" s="94"/>
      <c r="I260" s="94"/>
      <c r="J260" s="94"/>
    </row>
    <row r="261" spans="2:10" ht="13">
      <c r="B261" s="66" t="str">
        <f t="shared" si="201"/>
        <v>Options</v>
      </c>
      <c r="D261" s="94">
        <f t="shared" si="202"/>
        <v>0</v>
      </c>
      <c r="E261" s="94">
        <f t="shared" si="203"/>
        <v>0</v>
      </c>
      <c r="F261" s="103">
        <f t="shared" si="204"/>
        <v>0</v>
      </c>
      <c r="G261" s="83">
        <f t="shared" si="205"/>
        <v>0</v>
      </c>
      <c r="H261" s="94"/>
      <c r="I261" s="94"/>
      <c r="J261" s="94"/>
    </row>
    <row r="262" spans="2:10" ht="13">
      <c r="B262" s="66" t="str">
        <f t="shared" si="201"/>
        <v>Options</v>
      </c>
      <c r="D262" s="94">
        <f t="shared" si="202"/>
        <v>0</v>
      </c>
      <c r="E262" s="94">
        <f t="shared" si="203"/>
        <v>0</v>
      </c>
      <c r="F262" s="103">
        <f t="shared" si="204"/>
        <v>0</v>
      </c>
      <c r="G262" s="83">
        <f t="shared" si="205"/>
        <v>0</v>
      </c>
      <c r="H262" s="94"/>
      <c r="I262" s="94"/>
      <c r="J262" s="94"/>
    </row>
    <row r="263" spans="2:10" ht="13">
      <c r="B263" s="66" t="str">
        <f t="shared" si="201"/>
        <v>Warrants</v>
      </c>
      <c r="D263" s="94">
        <f t="shared" si="202"/>
        <v>0</v>
      </c>
      <c r="E263" s="94">
        <f t="shared" si="203"/>
        <v>0</v>
      </c>
      <c r="F263" s="103">
        <f t="shared" si="204"/>
        <v>0</v>
      </c>
      <c r="G263" s="83">
        <f t="shared" si="205"/>
        <v>0</v>
      </c>
      <c r="H263" s="94"/>
      <c r="I263" s="94"/>
      <c r="J263" s="94"/>
    </row>
    <row r="264" spans="2:10" ht="13">
      <c r="B264" s="66"/>
      <c r="D264" s="94"/>
      <c r="E264" s="94"/>
      <c r="F264" s="94"/>
      <c r="G264" s="94"/>
      <c r="H264" s="94"/>
      <c r="I264" s="94"/>
      <c r="J264" s="94"/>
    </row>
    <row r="265" spans="2:10" ht="13">
      <c r="B265" s="66"/>
    </row>
    <row r="266" spans="2:10" ht="13">
      <c r="B266" s="66"/>
    </row>
    <row r="267" spans="2:10" ht="13">
      <c r="B267" s="66"/>
    </row>
    <row r="268" spans="2:10" ht="13">
      <c r="B268" s="66"/>
    </row>
    <row r="269" spans="2:10" ht="13">
      <c r="B269" s="66"/>
    </row>
    <row r="270" spans="2:10" ht="13">
      <c r="B270" s="66"/>
    </row>
    <row r="271" spans="2:10" ht="13">
      <c r="B271" s="66"/>
    </row>
    <row r="272" spans="2:10" ht="13">
      <c r="B272" s="66"/>
    </row>
    <row r="273" spans="2:2" ht="13">
      <c r="B273" s="66"/>
    </row>
    <row r="274" spans="2:2" ht="13">
      <c r="B274" s="66"/>
    </row>
    <row r="275" spans="2:2" ht="13">
      <c r="B275" s="66"/>
    </row>
    <row r="276" spans="2:2" ht="13">
      <c r="B276" s="66"/>
    </row>
    <row r="277" spans="2:2" ht="13">
      <c r="B277" s="66"/>
    </row>
    <row r="278" spans="2:2" ht="13">
      <c r="B278" s="66"/>
    </row>
    <row r="279" spans="2:2" ht="13">
      <c r="B279" s="66"/>
    </row>
    <row r="280" spans="2:2" ht="13">
      <c r="B280" s="66"/>
    </row>
    <row r="281" spans="2:2" ht="13">
      <c r="B281" s="66"/>
    </row>
    <row r="282" spans="2:2" ht="13">
      <c r="B282" s="66"/>
    </row>
    <row r="283" spans="2:2" ht="13">
      <c r="B283" s="66"/>
    </row>
    <row r="284" spans="2:2" ht="13">
      <c r="B284" s="66"/>
    </row>
    <row r="285" spans="2:2" ht="13">
      <c r="B285" s="66"/>
    </row>
    <row r="286" spans="2:2" ht="13">
      <c r="B286" s="66"/>
    </row>
    <row r="287" spans="2:2" ht="13">
      <c r="B287" s="66"/>
    </row>
    <row r="288" spans="2:2" ht="13">
      <c r="B288" s="66"/>
    </row>
    <row r="289" spans="2:2" ht="13">
      <c r="B289" s="66"/>
    </row>
    <row r="290" spans="2:2" ht="13">
      <c r="B290" s="66"/>
    </row>
    <row r="291" spans="2:2" ht="13">
      <c r="B291" s="66"/>
    </row>
    <row r="292" spans="2:2" ht="13">
      <c r="B292" s="66"/>
    </row>
    <row r="293" spans="2:2" ht="13">
      <c r="B293" s="66"/>
    </row>
    <row r="294" spans="2:2" ht="13">
      <c r="B294" s="66"/>
    </row>
    <row r="295" spans="2:2" ht="13">
      <c r="B295" s="66"/>
    </row>
    <row r="296" spans="2:2" ht="13">
      <c r="B296" s="66"/>
    </row>
    <row r="297" spans="2:2" ht="13">
      <c r="B297" s="66"/>
    </row>
    <row r="298" spans="2:2" ht="13">
      <c r="B298" s="66"/>
    </row>
    <row r="299" spans="2:2" ht="13">
      <c r="B299" s="66"/>
    </row>
    <row r="300" spans="2:2" ht="13">
      <c r="B300" s="66"/>
    </row>
    <row r="301" spans="2:2" ht="13">
      <c r="B301" s="66"/>
    </row>
    <row r="302" spans="2:2" ht="13">
      <c r="B302" s="66"/>
    </row>
    <row r="303" spans="2:2" ht="13">
      <c r="B303" s="66"/>
    </row>
    <row r="304" spans="2:2" ht="13">
      <c r="B304" s="66"/>
    </row>
    <row r="305" spans="2:2" ht="13">
      <c r="B305" s="66"/>
    </row>
  </sheetData>
  <dataValidations count="5">
    <dataValidation type="list" allowBlank="1" showErrorMessage="1" sqref="O23:O37" xr:uid="{00000000-0002-0000-0400-000000000000}">
      <formula1>"Non Participating,Full Participating,Participating Preferred with Cap"</formula1>
    </dataValidation>
    <dataValidation type="list" allowBlank="1" showErrorMessage="1" sqref="D23:D37" xr:uid="{00000000-0002-0000-0400-000001000000}">
      <formula1>"Common,Preferred,Options,Warrants"</formula1>
    </dataValidation>
    <dataValidation type="list" allowBlank="1" showErrorMessage="1" sqref="E23:E37" xr:uid="{00000000-0002-0000-0400-000002000000}">
      <formula1>B23:B$37</formula1>
    </dataValidation>
    <dataValidation type="list" allowBlank="1" sqref="AB23:AB37" xr:uid="{00000000-0002-0000-0400-000003000000}">
      <formula1>"postmoney SAFE,premoney SAFE,convertible note,carta premoney SAFE,not applicable"</formula1>
    </dataValidation>
    <dataValidation type="list" allowBlank="1" showErrorMessage="1" sqref="S23:S37" xr:uid="{00000000-0002-0000-0400-000004000000}">
      <formula1>"Non cumulative,Cumulative,Not declared"</formula1>
    </dataValidation>
  </dataValidations>
  <hyperlinks>
    <hyperlink ref="L102" r:id="rId1" xr:uid="{00000000-0004-0000-0400-000000000000}"/>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C85"/>
  <sheetViews>
    <sheetView showGridLines="0" workbookViewId="0">
      <pane xSplit="2" topLeftCell="C1" activePane="topRight" state="frozen"/>
      <selection pane="topRight" activeCell="M80" sqref="M80"/>
    </sheetView>
  </sheetViews>
  <sheetFormatPr baseColWidth="10" defaultColWidth="12.6640625" defaultRowHeight="15.75" customHeight="1"/>
  <cols>
    <col min="1" max="1" width="5.83203125" customWidth="1"/>
    <col min="2" max="2" width="37.83203125" customWidth="1"/>
    <col min="10" max="10" width="14.1640625" customWidth="1"/>
    <col min="11" max="11" width="10" customWidth="1"/>
    <col min="12" max="12" width="14.6640625" customWidth="1"/>
    <col min="13" max="13" width="16.83203125" customWidth="1"/>
    <col min="14" max="14" width="13.1640625" customWidth="1"/>
    <col min="15" max="16" width="13.6640625" customWidth="1"/>
    <col min="17" max="18" width="16" customWidth="1"/>
    <col min="19" max="19" width="13.5" customWidth="1"/>
    <col min="20" max="20" width="14.1640625" customWidth="1"/>
    <col min="21" max="21" width="13.1640625" customWidth="1"/>
    <col min="22" max="22" width="15.1640625" customWidth="1"/>
    <col min="23" max="23" width="14.5" customWidth="1"/>
    <col min="24" max="24" width="13.5" customWidth="1"/>
    <col min="25" max="29" width="13.1640625" customWidth="1"/>
  </cols>
  <sheetData>
    <row r="1" spans="1:29" ht="15.75" customHeight="1">
      <c r="M1" s="14"/>
      <c r="S1" s="14"/>
      <c r="T1" s="14"/>
      <c r="U1" s="14"/>
      <c r="V1" s="14"/>
      <c r="W1" s="14"/>
      <c r="X1" s="14"/>
      <c r="AC1" s="24"/>
    </row>
    <row r="2" spans="1:29">
      <c r="B2" s="1" t="s">
        <v>270</v>
      </c>
      <c r="M2" s="14"/>
      <c r="S2" s="14"/>
      <c r="T2" s="14"/>
      <c r="U2" s="14"/>
      <c r="V2" s="14"/>
      <c r="W2" s="14"/>
      <c r="X2" s="14"/>
      <c r="AC2" s="24"/>
    </row>
    <row r="3" spans="1:29" ht="15.75" customHeight="1">
      <c r="B3" s="16" t="s">
        <v>271</v>
      </c>
      <c r="M3" s="14"/>
      <c r="S3" s="14"/>
      <c r="T3" s="14"/>
      <c r="U3" s="14"/>
      <c r="V3" s="14"/>
      <c r="W3" s="14"/>
      <c r="X3" s="14"/>
      <c r="AC3" s="24"/>
    </row>
    <row r="4" spans="1:29" ht="15.75" customHeight="1">
      <c r="M4" s="14"/>
      <c r="S4" s="14"/>
      <c r="T4" s="14"/>
      <c r="U4" s="14"/>
      <c r="V4" s="14"/>
      <c r="W4" s="14"/>
      <c r="X4" s="14"/>
      <c r="AC4" s="24"/>
    </row>
    <row r="5" spans="1:29" ht="15.75" customHeight="1">
      <c r="B5" s="17" t="s">
        <v>74</v>
      </c>
      <c r="C5" s="18"/>
      <c r="D5" s="18"/>
      <c r="E5" s="18"/>
      <c r="F5" s="18"/>
      <c r="G5" s="18"/>
      <c r="H5" s="18"/>
      <c r="I5" s="18"/>
      <c r="J5" s="18"/>
      <c r="L5" s="17" t="s">
        <v>75</v>
      </c>
      <c r="M5" s="19"/>
      <c r="N5" s="18"/>
      <c r="O5" s="18"/>
      <c r="P5" s="18"/>
      <c r="Q5" s="19"/>
      <c r="R5" s="19"/>
      <c r="S5" s="19"/>
      <c r="T5" s="19"/>
      <c r="U5" s="19"/>
      <c r="V5" s="19"/>
      <c r="W5" s="18"/>
      <c r="X5" s="18"/>
      <c r="Y5" s="18"/>
      <c r="Z5" s="18"/>
      <c r="AA5" s="18"/>
      <c r="AC5" s="24"/>
    </row>
    <row r="6" spans="1:29" ht="15.75" customHeight="1">
      <c r="M6" s="14"/>
      <c r="Q6" s="14"/>
      <c r="R6" s="14"/>
      <c r="S6" s="14"/>
      <c r="T6" s="14"/>
      <c r="U6" s="14"/>
      <c r="V6" s="14"/>
      <c r="AC6" s="24"/>
    </row>
    <row r="7" spans="1:29" ht="15.75" customHeight="1">
      <c r="A7" s="20"/>
      <c r="B7" s="21" t="s">
        <v>76</v>
      </c>
      <c r="C7" s="22" t="s">
        <v>77</v>
      </c>
      <c r="D7" s="22" t="s">
        <v>78</v>
      </c>
      <c r="E7" s="22" t="s">
        <v>79</v>
      </c>
      <c r="F7" s="22" t="s">
        <v>80</v>
      </c>
      <c r="G7" s="22" t="s">
        <v>81</v>
      </c>
      <c r="H7" s="23" t="s">
        <v>188</v>
      </c>
      <c r="I7" s="22" t="s">
        <v>82</v>
      </c>
      <c r="J7" s="22" t="s">
        <v>83</v>
      </c>
      <c r="K7" s="20"/>
      <c r="L7" s="21" t="s">
        <v>84</v>
      </c>
      <c r="M7" s="23" t="s">
        <v>85</v>
      </c>
      <c r="N7" s="23" t="s">
        <v>86</v>
      </c>
      <c r="O7" s="23" t="s">
        <v>86</v>
      </c>
      <c r="P7" s="23" t="s">
        <v>87</v>
      </c>
      <c r="Q7" s="23" t="str">
        <f t="shared" ref="Q7:R7" si="0">C7&amp;" Issued or Transferred"</f>
        <v>Common Shares Issued or Transferred</v>
      </c>
      <c r="R7" s="23" t="str">
        <f t="shared" si="0"/>
        <v>Preferred Shares Issued or Transferred</v>
      </c>
      <c r="S7" s="23" t="str">
        <f>E7&amp;" Issued, Cancelled, or Recategorized"</f>
        <v>Options Issued, Cancelled, or Recategorized</v>
      </c>
      <c r="T7" s="22" t="str">
        <f t="shared" ref="T7:X7" si="1">C7</f>
        <v>Common Shares</v>
      </c>
      <c r="U7" s="22" t="str">
        <f t="shared" si="1"/>
        <v>Preferred Shares</v>
      </c>
      <c r="V7" s="22" t="str">
        <f t="shared" si="1"/>
        <v>Options</v>
      </c>
      <c r="W7" s="22" t="str">
        <f t="shared" si="1"/>
        <v>Issued and Outstanding</v>
      </c>
      <c r="X7" s="22" t="str">
        <f t="shared" si="1"/>
        <v>% Issued and Outstanding</v>
      </c>
      <c r="Y7" s="23" t="s">
        <v>188</v>
      </c>
      <c r="Z7" s="23" t="str">
        <f t="shared" ref="Z7:AA7" si="2">I7</f>
        <v>Fully Diluted Shares</v>
      </c>
      <c r="AA7" s="22" t="str">
        <f t="shared" si="2"/>
        <v>% Fully Diluted</v>
      </c>
      <c r="AC7" s="24"/>
    </row>
    <row r="8" spans="1:29" ht="15.75" customHeight="1">
      <c r="B8" s="24"/>
      <c r="D8" s="25" t="s">
        <v>88</v>
      </c>
      <c r="I8" s="26" t="s">
        <v>272</v>
      </c>
      <c r="M8" s="25" t="s">
        <v>89</v>
      </c>
      <c r="N8" s="25" t="s">
        <v>90</v>
      </c>
      <c r="O8" s="25" t="s">
        <v>91</v>
      </c>
      <c r="P8" s="25" t="s">
        <v>92</v>
      </c>
      <c r="Q8" s="26" t="s">
        <v>93</v>
      </c>
      <c r="R8" s="25"/>
      <c r="S8" s="25"/>
      <c r="Y8" s="14"/>
      <c r="Z8" s="26" t="str">
        <f t="shared" ref="Z8:AA8" si="3">I8</f>
        <v>on an as-converted basis</v>
      </c>
      <c r="AA8" s="26">
        <f t="shared" si="3"/>
        <v>0</v>
      </c>
      <c r="AC8" s="24"/>
    </row>
    <row r="9" spans="1:29" ht="15.75" customHeight="1">
      <c r="B9" s="27" t="s">
        <v>94</v>
      </c>
      <c r="C9" s="28"/>
      <c r="D9" s="28"/>
      <c r="E9" s="28"/>
      <c r="F9" s="28"/>
      <c r="G9" s="29"/>
      <c r="H9" s="28"/>
      <c r="I9" s="28"/>
      <c r="J9" s="29"/>
      <c r="M9" s="14"/>
      <c r="N9" s="28"/>
      <c r="O9" s="28"/>
      <c r="P9" s="28"/>
      <c r="Q9" s="28"/>
      <c r="R9" s="28"/>
      <c r="S9" s="28"/>
      <c r="T9" s="28"/>
      <c r="U9" s="28"/>
      <c r="V9" s="28"/>
      <c r="W9" s="28"/>
      <c r="X9" s="29"/>
      <c r="Y9" s="28"/>
      <c r="Z9" s="28"/>
      <c r="AA9" s="29"/>
      <c r="AC9" s="24"/>
    </row>
    <row r="10" spans="1:29" ht="15.75" customHeight="1">
      <c r="B10" s="30" t="s">
        <v>76</v>
      </c>
      <c r="C10" s="31">
        <v>0</v>
      </c>
      <c r="D10" s="31">
        <v>0</v>
      </c>
      <c r="E10" s="32">
        <v>0</v>
      </c>
      <c r="F10" s="28">
        <f t="shared" ref="F10:F14" si="4">D10+C10</f>
        <v>0</v>
      </c>
      <c r="G10" s="29">
        <f t="shared" ref="G10:G14" si="5">IFERROR(F10/F$35,0)</f>
        <v>0</v>
      </c>
      <c r="H10" s="56">
        <v>1</v>
      </c>
      <c r="I10" s="28">
        <f t="shared" ref="I10:I14" si="6">E10+D10*H10+C10</f>
        <v>0</v>
      </c>
      <c r="J10" s="29">
        <f t="shared" ref="J10:J14" si="7">IFERROR(I10/I$35,0)</f>
        <v>0</v>
      </c>
      <c r="L10" s="14">
        <v>0</v>
      </c>
      <c r="M10" s="14">
        <v>0</v>
      </c>
      <c r="N10" s="14">
        <v>0</v>
      </c>
      <c r="O10" s="14">
        <v>0</v>
      </c>
      <c r="P10" s="14">
        <v>0</v>
      </c>
      <c r="Q10" s="31">
        <v>0</v>
      </c>
      <c r="R10" s="31">
        <v>0</v>
      </c>
      <c r="S10" s="31">
        <v>0</v>
      </c>
      <c r="T10" s="28">
        <f t="shared" ref="T10:T14" si="8">C10+Q10</f>
        <v>0</v>
      </c>
      <c r="U10" s="28">
        <f t="shared" ref="U10:U14" si="9">O10+D10+N10+R10</f>
        <v>0</v>
      </c>
      <c r="V10" s="28">
        <f t="shared" ref="V10:V14" si="10">E10+P10+S10</f>
        <v>0</v>
      </c>
      <c r="W10" s="28">
        <f t="shared" ref="W10:W14" si="11">U10+T10</f>
        <v>0</v>
      </c>
      <c r="X10" s="29">
        <f t="shared" ref="X10:X14" si="12">IFERROR(W10/W$35,0)</f>
        <v>0</v>
      </c>
      <c r="Y10" s="110">
        <v>1</v>
      </c>
      <c r="Z10" s="28">
        <f t="shared" ref="Z10:Z14" si="13">T10+V10+ROUND((U10-N10-O10)*Y10,0)+N10+O10</f>
        <v>0</v>
      </c>
      <c r="AA10" s="29">
        <f t="shared" ref="AA10:AA14" si="14">IFERROR(Z10/Z$35,0)</f>
        <v>0</v>
      </c>
      <c r="AC10" s="24"/>
    </row>
    <row r="11" spans="1:29" ht="15.75" customHeight="1">
      <c r="B11" s="30" t="s">
        <v>76</v>
      </c>
      <c r="C11" s="31">
        <v>0</v>
      </c>
      <c r="D11" s="31">
        <v>0</v>
      </c>
      <c r="E11" s="32">
        <v>0</v>
      </c>
      <c r="F11" s="28">
        <f t="shared" si="4"/>
        <v>0</v>
      </c>
      <c r="G11" s="29">
        <f t="shared" si="5"/>
        <v>0</v>
      </c>
      <c r="H11" s="56">
        <v>1</v>
      </c>
      <c r="I11" s="28">
        <f t="shared" si="6"/>
        <v>0</v>
      </c>
      <c r="J11" s="29">
        <f t="shared" si="7"/>
        <v>0</v>
      </c>
      <c r="L11" s="14">
        <v>0</v>
      </c>
      <c r="M11" s="14">
        <v>0</v>
      </c>
      <c r="N11" s="14">
        <v>0</v>
      </c>
      <c r="O11" s="14">
        <v>0</v>
      </c>
      <c r="P11" s="14">
        <v>0</v>
      </c>
      <c r="Q11" s="31">
        <v>0</v>
      </c>
      <c r="R11" s="31">
        <v>0</v>
      </c>
      <c r="S11" s="31">
        <v>0</v>
      </c>
      <c r="T11" s="28">
        <f t="shared" si="8"/>
        <v>0</v>
      </c>
      <c r="U11" s="28">
        <f t="shared" si="9"/>
        <v>0</v>
      </c>
      <c r="V11" s="28">
        <f t="shared" si="10"/>
        <v>0</v>
      </c>
      <c r="W11" s="28">
        <f t="shared" si="11"/>
        <v>0</v>
      </c>
      <c r="X11" s="29">
        <f t="shared" si="12"/>
        <v>0</v>
      </c>
      <c r="Y11" s="110">
        <v>1</v>
      </c>
      <c r="Z11" s="28">
        <f t="shared" si="13"/>
        <v>0</v>
      </c>
      <c r="AA11" s="29">
        <f t="shared" si="14"/>
        <v>0</v>
      </c>
      <c r="AC11" s="24"/>
    </row>
    <row r="12" spans="1:29" ht="15.75" customHeight="1">
      <c r="B12" s="30" t="s">
        <v>76</v>
      </c>
      <c r="C12" s="31">
        <v>0</v>
      </c>
      <c r="D12" s="31">
        <v>0</v>
      </c>
      <c r="E12" s="32">
        <v>0</v>
      </c>
      <c r="F12" s="28">
        <f t="shared" si="4"/>
        <v>0</v>
      </c>
      <c r="G12" s="29">
        <f t="shared" si="5"/>
        <v>0</v>
      </c>
      <c r="H12" s="56">
        <v>1</v>
      </c>
      <c r="I12" s="28">
        <f t="shared" si="6"/>
        <v>0</v>
      </c>
      <c r="J12" s="29">
        <f t="shared" si="7"/>
        <v>0</v>
      </c>
      <c r="L12" s="14">
        <v>0</v>
      </c>
      <c r="M12" s="14">
        <v>0</v>
      </c>
      <c r="N12" s="14">
        <v>0</v>
      </c>
      <c r="O12" s="14">
        <v>0</v>
      </c>
      <c r="P12" s="14">
        <v>0</v>
      </c>
      <c r="Q12" s="31">
        <v>0</v>
      </c>
      <c r="R12" s="31">
        <v>0</v>
      </c>
      <c r="S12" s="31">
        <v>0</v>
      </c>
      <c r="T12" s="28">
        <f t="shared" si="8"/>
        <v>0</v>
      </c>
      <c r="U12" s="28">
        <f t="shared" si="9"/>
        <v>0</v>
      </c>
      <c r="V12" s="28">
        <f t="shared" si="10"/>
        <v>0</v>
      </c>
      <c r="W12" s="28">
        <f t="shared" si="11"/>
        <v>0</v>
      </c>
      <c r="X12" s="29">
        <f t="shared" si="12"/>
        <v>0</v>
      </c>
      <c r="Y12" s="110">
        <v>1</v>
      </c>
      <c r="Z12" s="28">
        <f t="shared" si="13"/>
        <v>0</v>
      </c>
      <c r="AA12" s="29">
        <f t="shared" si="14"/>
        <v>0</v>
      </c>
      <c r="AC12" s="24"/>
    </row>
    <row r="13" spans="1:29" ht="15.75" customHeight="1">
      <c r="B13" s="30" t="s">
        <v>76</v>
      </c>
      <c r="C13" s="31">
        <v>0</v>
      </c>
      <c r="D13" s="31">
        <v>0</v>
      </c>
      <c r="E13" s="32">
        <v>0</v>
      </c>
      <c r="F13" s="28">
        <f t="shared" si="4"/>
        <v>0</v>
      </c>
      <c r="G13" s="29">
        <f t="shared" si="5"/>
        <v>0</v>
      </c>
      <c r="H13" s="56">
        <v>1</v>
      </c>
      <c r="I13" s="28">
        <f t="shared" si="6"/>
        <v>0</v>
      </c>
      <c r="J13" s="29">
        <f t="shared" si="7"/>
        <v>0</v>
      </c>
      <c r="L13" s="14">
        <v>0</v>
      </c>
      <c r="M13" s="14">
        <v>0</v>
      </c>
      <c r="N13" s="14">
        <v>0</v>
      </c>
      <c r="O13" s="14">
        <v>0</v>
      </c>
      <c r="P13" s="14">
        <v>0</v>
      </c>
      <c r="Q13" s="31">
        <v>0</v>
      </c>
      <c r="R13" s="31">
        <v>0</v>
      </c>
      <c r="S13" s="31">
        <v>0</v>
      </c>
      <c r="T13" s="28">
        <f t="shared" si="8"/>
        <v>0</v>
      </c>
      <c r="U13" s="28">
        <f t="shared" si="9"/>
        <v>0</v>
      </c>
      <c r="V13" s="28">
        <f t="shared" si="10"/>
        <v>0</v>
      </c>
      <c r="W13" s="28">
        <f t="shared" si="11"/>
        <v>0</v>
      </c>
      <c r="X13" s="29">
        <f t="shared" si="12"/>
        <v>0</v>
      </c>
      <c r="Y13" s="110">
        <v>1</v>
      </c>
      <c r="Z13" s="28">
        <f t="shared" si="13"/>
        <v>0</v>
      </c>
      <c r="AA13" s="29">
        <f t="shared" si="14"/>
        <v>0</v>
      </c>
      <c r="AC13" s="24"/>
    </row>
    <row r="14" spans="1:29" ht="15.75" customHeight="1">
      <c r="B14" s="30" t="s">
        <v>76</v>
      </c>
      <c r="C14" s="31">
        <v>0</v>
      </c>
      <c r="D14" s="31">
        <v>0</v>
      </c>
      <c r="E14" s="32">
        <v>0</v>
      </c>
      <c r="F14" s="28">
        <f t="shared" si="4"/>
        <v>0</v>
      </c>
      <c r="G14" s="29">
        <f t="shared" si="5"/>
        <v>0</v>
      </c>
      <c r="H14" s="56">
        <v>1</v>
      </c>
      <c r="I14" s="28">
        <f t="shared" si="6"/>
        <v>0</v>
      </c>
      <c r="J14" s="29">
        <f t="shared" si="7"/>
        <v>0</v>
      </c>
      <c r="L14" s="14">
        <v>0</v>
      </c>
      <c r="M14" s="14">
        <v>0</v>
      </c>
      <c r="N14" s="14">
        <v>0</v>
      </c>
      <c r="O14" s="14">
        <v>0</v>
      </c>
      <c r="P14" s="14">
        <v>0</v>
      </c>
      <c r="Q14" s="31">
        <v>0</v>
      </c>
      <c r="R14" s="31">
        <v>0</v>
      </c>
      <c r="S14" s="31">
        <v>0</v>
      </c>
      <c r="T14" s="28">
        <f t="shared" si="8"/>
        <v>0</v>
      </c>
      <c r="U14" s="28">
        <f t="shared" si="9"/>
        <v>0</v>
      </c>
      <c r="V14" s="28">
        <f t="shared" si="10"/>
        <v>0</v>
      </c>
      <c r="W14" s="28">
        <f t="shared" si="11"/>
        <v>0</v>
      </c>
      <c r="X14" s="29">
        <f t="shared" si="12"/>
        <v>0</v>
      </c>
      <c r="Y14" s="110">
        <v>1</v>
      </c>
      <c r="Z14" s="28">
        <f t="shared" si="13"/>
        <v>0</v>
      </c>
      <c r="AA14" s="29">
        <f t="shared" si="14"/>
        <v>0</v>
      </c>
      <c r="AC14" s="24"/>
    </row>
    <row r="15" spans="1:29" ht="15.75" customHeight="1">
      <c r="B15" s="10"/>
      <c r="C15" s="14"/>
      <c r="D15" s="14"/>
      <c r="E15" s="14"/>
      <c r="F15" s="14"/>
      <c r="H15" s="14"/>
      <c r="I15" s="14"/>
      <c r="M15" s="14"/>
      <c r="N15" s="28"/>
      <c r="O15" s="28"/>
      <c r="P15" s="33"/>
      <c r="Q15" s="33"/>
      <c r="R15" s="33"/>
      <c r="S15" s="33"/>
      <c r="T15" s="33"/>
      <c r="U15" s="28"/>
      <c r="V15" s="28"/>
      <c r="Y15" s="28"/>
      <c r="Z15" s="28"/>
      <c r="AC15" s="24"/>
    </row>
    <row r="16" spans="1:29" ht="15.75" customHeight="1">
      <c r="B16" s="27" t="s">
        <v>95</v>
      </c>
      <c r="C16" s="14"/>
      <c r="D16" s="14"/>
      <c r="E16" s="14"/>
      <c r="F16" s="14"/>
      <c r="H16" s="14"/>
      <c r="I16" s="14"/>
      <c r="M16" s="14"/>
      <c r="N16" s="28"/>
      <c r="O16" s="28"/>
      <c r="P16" s="33"/>
      <c r="Q16" s="33"/>
      <c r="R16" s="33"/>
      <c r="S16" s="33"/>
      <c r="T16" s="33"/>
      <c r="U16" s="28"/>
      <c r="V16" s="28"/>
      <c r="Y16" s="28"/>
      <c r="Z16" s="28"/>
      <c r="AC16" s="24"/>
    </row>
    <row r="17" spans="2:29" ht="15.75" customHeight="1">
      <c r="B17" s="34" t="str">
        <f>B16&amp;" issued and outstanding"</f>
        <v>Options and RSUs issued and outstanding</v>
      </c>
      <c r="C17" s="31">
        <v>0</v>
      </c>
      <c r="D17" s="31">
        <v>0</v>
      </c>
      <c r="E17" s="32">
        <v>0</v>
      </c>
      <c r="F17" s="28">
        <f t="shared" ref="F17:F20" si="15">D17+C17</f>
        <v>0</v>
      </c>
      <c r="G17" s="29">
        <f t="shared" ref="G17:G20" si="16">IFERROR(F17/F$35,0)</f>
        <v>0</v>
      </c>
      <c r="H17" s="56">
        <v>1</v>
      </c>
      <c r="I17" s="28">
        <f t="shared" ref="I17:I20" si="17">E17+D17*H17+C17</f>
        <v>0</v>
      </c>
      <c r="J17" s="29">
        <f t="shared" ref="J17:J20" si="18">IFERROR(I17/I$35,0)</f>
        <v>0</v>
      </c>
      <c r="L17" s="14">
        <v>0</v>
      </c>
      <c r="M17" s="14">
        <v>0</v>
      </c>
      <c r="N17" s="14">
        <v>0</v>
      </c>
      <c r="O17" s="14">
        <v>0</v>
      </c>
      <c r="P17" s="14">
        <v>0</v>
      </c>
      <c r="Q17" s="31">
        <v>0</v>
      </c>
      <c r="R17" s="31">
        <v>0</v>
      </c>
      <c r="S17" s="31">
        <f>ABS(N67)</f>
        <v>0</v>
      </c>
      <c r="T17" s="28">
        <f t="shared" ref="T17:T20" si="19">C17+Q17</f>
        <v>0</v>
      </c>
      <c r="U17" s="28">
        <f t="shared" ref="U17:U20" si="20">O17+D17+N17+R17</f>
        <v>0</v>
      </c>
      <c r="V17" s="28">
        <f t="shared" ref="V17:V20" si="21">E17+P17+S17</f>
        <v>0</v>
      </c>
      <c r="W17" s="28">
        <f t="shared" ref="W17:W20" si="22">U17+T17</f>
        <v>0</v>
      </c>
      <c r="X17" s="29">
        <f t="shared" ref="X17:X20" si="23">IFERROR(W17/W$35,0)</f>
        <v>0</v>
      </c>
      <c r="Y17" s="56">
        <v>1</v>
      </c>
      <c r="Z17" s="28">
        <f t="shared" ref="Z17:Z20" si="24">T17+V17+ROUND((U17-N17-O17)*Y17,0)+N17+O17</f>
        <v>0</v>
      </c>
      <c r="AA17" s="29">
        <f t="shared" ref="AA17:AA20" si="25">IFERROR(Z17/Z$35,0)</f>
        <v>0</v>
      </c>
      <c r="AC17" s="24"/>
    </row>
    <row r="18" spans="2:29" ht="15.75" customHeight="1">
      <c r="B18" s="34" t="s">
        <v>96</v>
      </c>
      <c r="C18" s="31">
        <v>0</v>
      </c>
      <c r="D18" s="31">
        <v>0</v>
      </c>
      <c r="E18" s="32">
        <v>0</v>
      </c>
      <c r="F18" s="28">
        <f t="shared" si="15"/>
        <v>0</v>
      </c>
      <c r="G18" s="29">
        <f t="shared" si="16"/>
        <v>0</v>
      </c>
      <c r="H18" s="56">
        <v>1</v>
      </c>
      <c r="I18" s="28">
        <f t="shared" si="17"/>
        <v>0</v>
      </c>
      <c r="J18" s="29">
        <f t="shared" si="18"/>
        <v>0</v>
      </c>
      <c r="L18" s="14">
        <v>0</v>
      </c>
      <c r="M18" s="14">
        <v>0</v>
      </c>
      <c r="N18" s="14">
        <v>0</v>
      </c>
      <c r="O18" s="14">
        <v>0</v>
      </c>
      <c r="P18" s="14">
        <v>0</v>
      </c>
      <c r="Q18" s="31">
        <v>0</v>
      </c>
      <c r="R18" s="31">
        <v>0</v>
      </c>
      <c r="S18" s="31">
        <f>S19*-1+ABS(N67)*-1</f>
        <v>0</v>
      </c>
      <c r="T18" s="28">
        <f t="shared" si="19"/>
        <v>0</v>
      </c>
      <c r="U18" s="28">
        <f t="shared" si="20"/>
        <v>0</v>
      </c>
      <c r="V18" s="28">
        <f t="shared" si="21"/>
        <v>0</v>
      </c>
      <c r="W18" s="28">
        <f t="shared" si="22"/>
        <v>0</v>
      </c>
      <c r="X18" s="29">
        <f t="shared" si="23"/>
        <v>0</v>
      </c>
      <c r="Y18" s="56">
        <v>1</v>
      </c>
      <c r="Z18" s="28">
        <f t="shared" si="24"/>
        <v>0</v>
      </c>
      <c r="AA18" s="29">
        <f t="shared" si="25"/>
        <v>0</v>
      </c>
      <c r="AC18" s="24"/>
    </row>
    <row r="19" spans="2:29" ht="15.75" customHeight="1">
      <c r="B19" s="34" t="s">
        <v>97</v>
      </c>
      <c r="C19" s="14">
        <v>0</v>
      </c>
      <c r="D19" s="14">
        <v>0</v>
      </c>
      <c r="E19" s="14">
        <v>0</v>
      </c>
      <c r="F19" s="28">
        <f t="shared" si="15"/>
        <v>0</v>
      </c>
      <c r="G19" s="29">
        <f t="shared" si="16"/>
        <v>0</v>
      </c>
      <c r="H19" s="56">
        <v>1</v>
      </c>
      <c r="I19" s="28">
        <f t="shared" si="17"/>
        <v>0</v>
      </c>
      <c r="J19" s="29">
        <f t="shared" si="18"/>
        <v>0</v>
      </c>
      <c r="L19" s="14">
        <v>0</v>
      </c>
      <c r="M19" s="14">
        <v>0</v>
      </c>
      <c r="N19" s="14">
        <v>0</v>
      </c>
      <c r="O19" s="14">
        <v>0</v>
      </c>
      <c r="P19" s="28">
        <f>N69</f>
        <v>0</v>
      </c>
      <c r="Q19" s="31">
        <v>0</v>
      </c>
      <c r="R19" s="31">
        <v>0</v>
      </c>
      <c r="S19" s="31">
        <f>-1*E19</f>
        <v>0</v>
      </c>
      <c r="T19" s="28">
        <f t="shared" si="19"/>
        <v>0</v>
      </c>
      <c r="U19" s="28">
        <f t="shared" si="20"/>
        <v>0</v>
      </c>
      <c r="V19" s="28">
        <f t="shared" si="21"/>
        <v>0</v>
      </c>
      <c r="W19" s="28">
        <f t="shared" si="22"/>
        <v>0</v>
      </c>
      <c r="X19" s="29">
        <f t="shared" si="23"/>
        <v>0</v>
      </c>
      <c r="Y19" s="56">
        <v>1</v>
      </c>
      <c r="Z19" s="28">
        <f t="shared" si="24"/>
        <v>0</v>
      </c>
      <c r="AA19" s="29">
        <f t="shared" si="25"/>
        <v>0</v>
      </c>
      <c r="AC19" s="24"/>
    </row>
    <row r="20" spans="2:29" ht="15.75" customHeight="1">
      <c r="B20" s="34" t="s">
        <v>273</v>
      </c>
      <c r="C20" s="31">
        <v>0</v>
      </c>
      <c r="D20" s="31">
        <v>0</v>
      </c>
      <c r="E20" s="32">
        <v>0</v>
      </c>
      <c r="F20" s="28">
        <f t="shared" si="15"/>
        <v>0</v>
      </c>
      <c r="G20" s="29">
        <f t="shared" si="16"/>
        <v>0</v>
      </c>
      <c r="H20" s="56">
        <v>1</v>
      </c>
      <c r="I20" s="28">
        <f t="shared" si="17"/>
        <v>0</v>
      </c>
      <c r="J20" s="29">
        <f t="shared" si="18"/>
        <v>0</v>
      </c>
      <c r="L20" s="14">
        <v>0</v>
      </c>
      <c r="M20" s="14">
        <v>0</v>
      </c>
      <c r="N20" s="14">
        <v>0</v>
      </c>
      <c r="O20" s="14">
        <v>0</v>
      </c>
      <c r="P20" s="28">
        <v>0</v>
      </c>
      <c r="Q20" s="31">
        <v>0</v>
      </c>
      <c r="R20" s="31">
        <v>0</v>
      </c>
      <c r="S20" s="31">
        <v>0</v>
      </c>
      <c r="T20" s="28">
        <f t="shared" si="19"/>
        <v>0</v>
      </c>
      <c r="U20" s="28">
        <f t="shared" si="20"/>
        <v>0</v>
      </c>
      <c r="V20" s="28">
        <f t="shared" si="21"/>
        <v>0</v>
      </c>
      <c r="W20" s="28">
        <f t="shared" si="22"/>
        <v>0</v>
      </c>
      <c r="X20" s="29">
        <f t="shared" si="23"/>
        <v>0</v>
      </c>
      <c r="Y20" s="56">
        <v>1</v>
      </c>
      <c r="Z20" s="31">
        <f t="shared" si="24"/>
        <v>0</v>
      </c>
      <c r="AA20" s="29">
        <f t="shared" si="25"/>
        <v>0</v>
      </c>
      <c r="AC20" s="24"/>
    </row>
    <row r="21" spans="2:29" ht="15.75" customHeight="1">
      <c r="C21" s="14"/>
      <c r="D21" s="14"/>
      <c r="E21" s="14"/>
      <c r="F21" s="14"/>
      <c r="H21" s="14"/>
      <c r="I21" s="14"/>
      <c r="M21" s="14"/>
      <c r="N21" s="28"/>
      <c r="O21" s="28"/>
      <c r="P21" s="28"/>
      <c r="Q21" s="28"/>
      <c r="R21" s="28"/>
      <c r="S21" s="28"/>
      <c r="T21" s="28"/>
      <c r="U21" s="28"/>
      <c r="V21" s="28"/>
      <c r="Y21" s="14"/>
      <c r="Z21" s="14"/>
      <c r="AC21" s="24"/>
    </row>
    <row r="22" spans="2:29" ht="15.75" customHeight="1">
      <c r="B22" s="27" t="s">
        <v>274</v>
      </c>
      <c r="C22" s="14"/>
      <c r="D22" s="14"/>
      <c r="E22" s="14"/>
      <c r="F22" s="14"/>
      <c r="H22" s="14"/>
      <c r="I22" s="14"/>
      <c r="M22" s="14"/>
      <c r="N22" s="28"/>
      <c r="O22" s="28"/>
      <c r="P22" s="28"/>
      <c r="Q22" s="28"/>
      <c r="R22" s="28"/>
      <c r="S22" s="28"/>
      <c r="T22" s="28"/>
      <c r="U22" s="28"/>
      <c r="V22" s="28"/>
      <c r="Y22" s="14"/>
      <c r="Z22" s="14"/>
      <c r="AA22" s="35"/>
      <c r="AC22" s="24"/>
    </row>
    <row r="23" spans="2:29" ht="15.75" customHeight="1">
      <c r="B23" s="30" t="str">
        <f t="shared" ref="B23:B26" si="26">L56</f>
        <v>Investor</v>
      </c>
      <c r="C23" s="14">
        <v>0</v>
      </c>
      <c r="D23" s="14">
        <v>0</v>
      </c>
      <c r="E23" s="14">
        <v>0</v>
      </c>
      <c r="F23" s="28">
        <f t="shared" ref="F23:F26" si="27">D23+C23</f>
        <v>0</v>
      </c>
      <c r="G23" s="29">
        <f t="shared" ref="G23:G26" si="28">IFERROR(F23/F$35,0)</f>
        <v>0</v>
      </c>
      <c r="H23" s="110">
        <v>1</v>
      </c>
      <c r="I23" s="28">
        <f t="shared" ref="I23:I26" si="29">E23+D23*H23+C23</f>
        <v>0</v>
      </c>
      <c r="J23" s="29">
        <f t="shared" ref="J23:J26" si="30">IFERROR(I23/I$35,0)</f>
        <v>0</v>
      </c>
      <c r="L23" s="31">
        <v>0</v>
      </c>
      <c r="M23" s="28">
        <f t="shared" ref="M23:M26" si="31">IFERROR(N$42*O23,0)</f>
        <v>0</v>
      </c>
      <c r="N23" s="28">
        <f t="shared" ref="N23:N26" si="32">X56</f>
        <v>0</v>
      </c>
      <c r="O23" s="28">
        <f t="shared" ref="O23:O26" si="33">IFERROR(IF(N$48="rounddown",ROUNDDOWN(L23/N$42,0),IF(N$48="roundup",ROUNDUP(L23/N$42,0),IF(N$48="round",ROUND(L23/N$42,0),L23/N$42))),0)</f>
        <v>0</v>
      </c>
      <c r="P23" s="14">
        <v>0</v>
      </c>
      <c r="Q23" s="31">
        <v>0</v>
      </c>
      <c r="R23" s="31">
        <v>0</v>
      </c>
      <c r="S23" s="31">
        <v>0</v>
      </c>
      <c r="T23" s="28">
        <f t="shared" ref="T23:T26" si="34">C23+Q23</f>
        <v>0</v>
      </c>
      <c r="U23" s="28">
        <f t="shared" ref="U23:U26" si="35">O23+D23+N23+R23</f>
        <v>0</v>
      </c>
      <c r="V23" s="28">
        <f t="shared" ref="V23:V26" si="36">E23+P23+S23</f>
        <v>0</v>
      </c>
      <c r="W23" s="28">
        <f t="shared" ref="W23:W26" si="37">U23+T23</f>
        <v>0</v>
      </c>
      <c r="X23" s="29">
        <f t="shared" ref="X23:X26" si="38">IFERROR(W23/W$35,0)</f>
        <v>0</v>
      </c>
      <c r="Y23" s="110">
        <v>1</v>
      </c>
      <c r="Z23" s="28">
        <f t="shared" ref="Z23:Z26" si="39">T23+V23+ROUND((U23-N23-O23)*Y23,0)+N23+O23</f>
        <v>0</v>
      </c>
      <c r="AA23" s="29">
        <f t="shared" ref="AA23:AA26" si="40">IFERROR(Z23/Z$35,0)</f>
        <v>0</v>
      </c>
      <c r="AC23" s="24"/>
    </row>
    <row r="24" spans="2:29" ht="15.75" customHeight="1">
      <c r="B24" s="30" t="str">
        <f t="shared" si="26"/>
        <v>Investor</v>
      </c>
      <c r="C24" s="14">
        <v>0</v>
      </c>
      <c r="D24" s="14">
        <v>0</v>
      </c>
      <c r="E24" s="14">
        <v>0</v>
      </c>
      <c r="F24" s="28">
        <f t="shared" si="27"/>
        <v>0</v>
      </c>
      <c r="G24" s="29">
        <f t="shared" si="28"/>
        <v>0</v>
      </c>
      <c r="H24" s="110">
        <v>1</v>
      </c>
      <c r="I24" s="28">
        <f t="shared" si="29"/>
        <v>0</v>
      </c>
      <c r="J24" s="29">
        <f t="shared" si="30"/>
        <v>0</v>
      </c>
      <c r="L24" s="31">
        <v>0</v>
      </c>
      <c r="M24" s="28">
        <f t="shared" si="31"/>
        <v>0</v>
      </c>
      <c r="N24" s="28">
        <f t="shared" si="32"/>
        <v>0</v>
      </c>
      <c r="O24" s="28">
        <f t="shared" si="33"/>
        <v>0</v>
      </c>
      <c r="P24" s="14">
        <v>0</v>
      </c>
      <c r="Q24" s="31">
        <v>0</v>
      </c>
      <c r="R24" s="31">
        <v>0</v>
      </c>
      <c r="S24" s="31">
        <v>0</v>
      </c>
      <c r="T24" s="28">
        <f t="shared" si="34"/>
        <v>0</v>
      </c>
      <c r="U24" s="28">
        <f t="shared" si="35"/>
        <v>0</v>
      </c>
      <c r="V24" s="28">
        <f t="shared" si="36"/>
        <v>0</v>
      </c>
      <c r="W24" s="28">
        <f t="shared" si="37"/>
        <v>0</v>
      </c>
      <c r="X24" s="29">
        <f t="shared" si="38"/>
        <v>0</v>
      </c>
      <c r="Y24" s="110">
        <v>1</v>
      </c>
      <c r="Z24" s="28">
        <f t="shared" si="39"/>
        <v>0</v>
      </c>
      <c r="AA24" s="29">
        <f t="shared" si="40"/>
        <v>0</v>
      </c>
      <c r="AC24" s="24"/>
    </row>
    <row r="25" spans="2:29" ht="15.75" customHeight="1">
      <c r="B25" s="30" t="str">
        <f t="shared" si="26"/>
        <v>Investor</v>
      </c>
      <c r="C25" s="14">
        <v>0</v>
      </c>
      <c r="D25" s="14">
        <v>0</v>
      </c>
      <c r="E25" s="14">
        <v>0</v>
      </c>
      <c r="F25" s="28">
        <f t="shared" si="27"/>
        <v>0</v>
      </c>
      <c r="G25" s="29">
        <f t="shared" si="28"/>
        <v>0</v>
      </c>
      <c r="H25" s="110">
        <v>1</v>
      </c>
      <c r="I25" s="28">
        <f t="shared" si="29"/>
        <v>0</v>
      </c>
      <c r="J25" s="29">
        <f t="shared" si="30"/>
        <v>0</v>
      </c>
      <c r="L25" s="31">
        <v>0</v>
      </c>
      <c r="M25" s="28">
        <f t="shared" si="31"/>
        <v>0</v>
      </c>
      <c r="N25" s="28">
        <f t="shared" si="32"/>
        <v>0</v>
      </c>
      <c r="O25" s="28">
        <f t="shared" si="33"/>
        <v>0</v>
      </c>
      <c r="P25" s="14">
        <v>0</v>
      </c>
      <c r="Q25" s="31">
        <v>0</v>
      </c>
      <c r="R25" s="31">
        <v>0</v>
      </c>
      <c r="S25" s="31">
        <v>0</v>
      </c>
      <c r="T25" s="28">
        <f t="shared" si="34"/>
        <v>0</v>
      </c>
      <c r="U25" s="28">
        <f t="shared" si="35"/>
        <v>0</v>
      </c>
      <c r="V25" s="28">
        <f t="shared" si="36"/>
        <v>0</v>
      </c>
      <c r="W25" s="28">
        <f t="shared" si="37"/>
        <v>0</v>
      </c>
      <c r="X25" s="29">
        <f t="shared" si="38"/>
        <v>0</v>
      </c>
      <c r="Y25" s="110">
        <v>1</v>
      </c>
      <c r="Z25" s="28">
        <f t="shared" si="39"/>
        <v>0</v>
      </c>
      <c r="AA25" s="29">
        <f t="shared" si="40"/>
        <v>0</v>
      </c>
      <c r="AC25" s="24"/>
    </row>
    <row r="26" spans="2:29" ht="15.75" customHeight="1">
      <c r="B26" s="30" t="str">
        <f t="shared" si="26"/>
        <v>Investor</v>
      </c>
      <c r="C26" s="14">
        <v>0</v>
      </c>
      <c r="D26" s="14">
        <v>0</v>
      </c>
      <c r="E26" s="14">
        <v>0</v>
      </c>
      <c r="F26" s="28">
        <f t="shared" si="27"/>
        <v>0</v>
      </c>
      <c r="G26" s="29">
        <f t="shared" si="28"/>
        <v>0</v>
      </c>
      <c r="H26" s="110">
        <v>1</v>
      </c>
      <c r="I26" s="28">
        <f t="shared" si="29"/>
        <v>0</v>
      </c>
      <c r="J26" s="29">
        <f t="shared" si="30"/>
        <v>0</v>
      </c>
      <c r="L26" s="31">
        <v>0</v>
      </c>
      <c r="M26" s="28">
        <f t="shared" si="31"/>
        <v>0</v>
      </c>
      <c r="N26" s="28">
        <f t="shared" si="32"/>
        <v>0</v>
      </c>
      <c r="O26" s="28">
        <f t="shared" si="33"/>
        <v>0</v>
      </c>
      <c r="P26" s="14">
        <v>0</v>
      </c>
      <c r="Q26" s="31">
        <v>0</v>
      </c>
      <c r="R26" s="31">
        <v>0</v>
      </c>
      <c r="S26" s="31">
        <v>0</v>
      </c>
      <c r="T26" s="28">
        <f t="shared" si="34"/>
        <v>0</v>
      </c>
      <c r="U26" s="28">
        <f t="shared" si="35"/>
        <v>0</v>
      </c>
      <c r="V26" s="28">
        <f t="shared" si="36"/>
        <v>0</v>
      </c>
      <c r="W26" s="28">
        <f t="shared" si="37"/>
        <v>0</v>
      </c>
      <c r="X26" s="29">
        <f t="shared" si="38"/>
        <v>0</v>
      </c>
      <c r="Y26" s="110">
        <v>1</v>
      </c>
      <c r="Z26" s="28">
        <f t="shared" si="39"/>
        <v>0</v>
      </c>
      <c r="AA26" s="29">
        <f t="shared" si="40"/>
        <v>0</v>
      </c>
      <c r="AC26" s="24"/>
    </row>
    <row r="27" spans="2:29" ht="15.75" customHeight="1">
      <c r="C27" s="14"/>
      <c r="D27" s="14"/>
      <c r="E27" s="28"/>
      <c r="F27" s="28"/>
      <c r="G27" s="28"/>
      <c r="H27" s="28"/>
      <c r="I27" s="28"/>
      <c r="J27" s="28"/>
      <c r="K27" s="28"/>
      <c r="L27" s="28"/>
      <c r="M27" s="28"/>
      <c r="N27" s="28"/>
      <c r="O27" s="28"/>
      <c r="P27" s="28"/>
      <c r="Q27" s="28"/>
      <c r="R27" s="28"/>
      <c r="S27" s="28"/>
      <c r="T27" s="28"/>
      <c r="U27" s="28"/>
      <c r="V27" s="28"/>
      <c r="W27" s="28"/>
      <c r="X27" s="29"/>
      <c r="Y27" s="28"/>
      <c r="Z27" s="28"/>
      <c r="AA27" s="29"/>
      <c r="AC27" s="33"/>
    </row>
    <row r="28" spans="2:29" ht="15.75" customHeight="1">
      <c r="B28" s="27" t="s">
        <v>99</v>
      </c>
      <c r="C28" s="14"/>
      <c r="D28" s="14"/>
      <c r="E28" s="28"/>
      <c r="F28" s="28"/>
      <c r="G28" s="28"/>
      <c r="H28" s="28"/>
      <c r="I28" s="28"/>
      <c r="J28" s="28"/>
      <c r="K28" s="28"/>
      <c r="L28" s="28"/>
      <c r="M28" s="28"/>
      <c r="N28" s="28"/>
      <c r="O28" s="28"/>
      <c r="P28" s="28"/>
      <c r="Q28" s="28"/>
      <c r="R28" s="28"/>
      <c r="S28" s="28"/>
      <c r="T28" s="28"/>
      <c r="U28" s="28"/>
      <c r="V28" s="28"/>
      <c r="W28" s="28"/>
      <c r="X28" s="29"/>
      <c r="Y28" s="28"/>
      <c r="Z28" s="28"/>
      <c r="AA28" s="29"/>
      <c r="AC28" s="33"/>
    </row>
    <row r="29" spans="2:29" ht="15.75" customHeight="1">
      <c r="B29" s="30" t="s">
        <v>100</v>
      </c>
      <c r="C29" s="31">
        <v>0</v>
      </c>
      <c r="D29" s="31">
        <v>0</v>
      </c>
      <c r="E29" s="14">
        <v>0</v>
      </c>
      <c r="F29" s="28">
        <f t="shared" ref="F29:F33" si="41">D29+C29</f>
        <v>0</v>
      </c>
      <c r="G29" s="29">
        <f t="shared" ref="G29:G33" si="42">IFERROR(F29/F$35,0)</f>
        <v>0</v>
      </c>
      <c r="H29" s="110">
        <v>1</v>
      </c>
      <c r="I29" s="28">
        <f t="shared" ref="I29:I33" si="43">E29+D29+C29</f>
        <v>0</v>
      </c>
      <c r="J29" s="29">
        <f t="shared" ref="J29:J33" si="44">IFERROR(I29/I$35,0)</f>
        <v>0</v>
      </c>
      <c r="L29" s="31">
        <v>0</v>
      </c>
      <c r="M29" s="28">
        <f t="shared" ref="M29:M33" si="45">IFERROR(N$42*O29,0)</f>
        <v>0</v>
      </c>
      <c r="N29" s="14">
        <v>0</v>
      </c>
      <c r="O29" s="28">
        <f t="shared" ref="O29:O33" si="46">IFERROR(IF(N$48="rounddown",ROUNDDOWN(L29/N$42,0),IF(N$48="roundup",ROUNDUP(L29/N$42,0),IF(N$48="round",ROUND(L29/N$42,0),L29/N$42))),0)</f>
        <v>0</v>
      </c>
      <c r="P29" s="14">
        <v>0</v>
      </c>
      <c r="Q29" s="31">
        <v>0</v>
      </c>
      <c r="R29" s="31">
        <f t="shared" ref="R29:R33" si="47">IF(AND(M76=TRUE,P76="new shares"),Z76,0)</f>
        <v>0</v>
      </c>
      <c r="S29" s="31">
        <v>0</v>
      </c>
      <c r="T29" s="28">
        <f t="shared" ref="T29:T33" si="48">C29+Q29</f>
        <v>0</v>
      </c>
      <c r="U29" s="28">
        <f t="shared" ref="U29:U33" si="49">O29+D29+N29+R29</f>
        <v>0</v>
      </c>
      <c r="V29" s="28">
        <f t="shared" ref="V29:V33" si="50">E29+P29+S29</f>
        <v>0</v>
      </c>
      <c r="W29" s="28">
        <f t="shared" ref="W29:W33" si="51">U29+T29</f>
        <v>0</v>
      </c>
      <c r="X29" s="29">
        <f t="shared" ref="X29:X33" si="52">IFERROR(W29/W$35,0)</f>
        <v>0</v>
      </c>
      <c r="Y29" s="110">
        <f t="shared" ref="Y29:Y33" si="53">IF(AND(M76=TRUE,P76="conversion ratio",U29-N29-O29&gt;0),X76,1)</f>
        <v>1</v>
      </c>
      <c r="Z29" s="28">
        <f t="shared" ref="Z29:Z33" si="54">T29+V29+ROUND((U29-N29-O29)*Y29,0)+N29+O29</f>
        <v>0</v>
      </c>
      <c r="AA29" s="29">
        <f t="shared" ref="AA29:AA33" si="55">IFERROR(Z29/Z$35,0)</f>
        <v>0</v>
      </c>
      <c r="AC29" s="24"/>
    </row>
    <row r="30" spans="2:29" ht="15.75" customHeight="1">
      <c r="B30" s="30" t="s">
        <v>100</v>
      </c>
      <c r="C30" s="31">
        <v>0</v>
      </c>
      <c r="D30" s="31">
        <v>0</v>
      </c>
      <c r="E30" s="14">
        <v>0</v>
      </c>
      <c r="F30" s="28">
        <f t="shared" si="41"/>
        <v>0</v>
      </c>
      <c r="G30" s="29">
        <f t="shared" si="42"/>
        <v>0</v>
      </c>
      <c r="H30" s="110">
        <v>1</v>
      </c>
      <c r="I30" s="28">
        <f t="shared" si="43"/>
        <v>0</v>
      </c>
      <c r="J30" s="29">
        <f t="shared" si="44"/>
        <v>0</v>
      </c>
      <c r="L30" s="31">
        <v>0</v>
      </c>
      <c r="M30" s="28">
        <f t="shared" si="45"/>
        <v>0</v>
      </c>
      <c r="N30" s="14">
        <v>0</v>
      </c>
      <c r="O30" s="28">
        <f t="shared" si="46"/>
        <v>0</v>
      </c>
      <c r="P30" s="14">
        <v>0</v>
      </c>
      <c r="Q30" s="31">
        <v>0</v>
      </c>
      <c r="R30" s="31">
        <f t="shared" si="47"/>
        <v>0</v>
      </c>
      <c r="S30" s="31">
        <v>0</v>
      </c>
      <c r="T30" s="28">
        <f t="shared" si="48"/>
        <v>0</v>
      </c>
      <c r="U30" s="28">
        <f t="shared" si="49"/>
        <v>0</v>
      </c>
      <c r="V30" s="28">
        <f t="shared" si="50"/>
        <v>0</v>
      </c>
      <c r="W30" s="28">
        <f t="shared" si="51"/>
        <v>0</v>
      </c>
      <c r="X30" s="29">
        <f t="shared" si="52"/>
        <v>0</v>
      </c>
      <c r="Y30" s="110">
        <f t="shared" si="53"/>
        <v>1</v>
      </c>
      <c r="Z30" s="28">
        <f t="shared" si="54"/>
        <v>0</v>
      </c>
      <c r="AA30" s="29">
        <f t="shared" si="55"/>
        <v>0</v>
      </c>
      <c r="AC30" s="24"/>
    </row>
    <row r="31" spans="2:29" ht="15.75" customHeight="1">
      <c r="B31" s="30" t="s">
        <v>100</v>
      </c>
      <c r="C31" s="31">
        <v>0</v>
      </c>
      <c r="D31" s="31">
        <v>0</v>
      </c>
      <c r="E31" s="14">
        <v>0</v>
      </c>
      <c r="F31" s="28">
        <f t="shared" si="41"/>
        <v>0</v>
      </c>
      <c r="G31" s="29">
        <f t="shared" si="42"/>
        <v>0</v>
      </c>
      <c r="H31" s="110">
        <v>1</v>
      </c>
      <c r="I31" s="28">
        <f t="shared" si="43"/>
        <v>0</v>
      </c>
      <c r="J31" s="29">
        <f t="shared" si="44"/>
        <v>0</v>
      </c>
      <c r="L31" s="31">
        <v>0</v>
      </c>
      <c r="M31" s="28">
        <f t="shared" si="45"/>
        <v>0</v>
      </c>
      <c r="N31" s="14">
        <v>0</v>
      </c>
      <c r="O31" s="28">
        <f t="shared" si="46"/>
        <v>0</v>
      </c>
      <c r="P31" s="14">
        <v>0</v>
      </c>
      <c r="Q31" s="31">
        <v>0</v>
      </c>
      <c r="R31" s="31">
        <f t="shared" si="47"/>
        <v>0</v>
      </c>
      <c r="S31" s="31">
        <v>0</v>
      </c>
      <c r="T31" s="28">
        <f t="shared" si="48"/>
        <v>0</v>
      </c>
      <c r="U31" s="28">
        <f t="shared" si="49"/>
        <v>0</v>
      </c>
      <c r="V31" s="28">
        <f t="shared" si="50"/>
        <v>0</v>
      </c>
      <c r="W31" s="28">
        <f t="shared" si="51"/>
        <v>0</v>
      </c>
      <c r="X31" s="29">
        <f t="shared" si="52"/>
        <v>0</v>
      </c>
      <c r="Y31" s="110">
        <f t="shared" si="53"/>
        <v>1</v>
      </c>
      <c r="Z31" s="28">
        <f t="shared" si="54"/>
        <v>0</v>
      </c>
      <c r="AA31" s="29">
        <f t="shared" si="55"/>
        <v>0</v>
      </c>
      <c r="AC31" s="24"/>
    </row>
    <row r="32" spans="2:29" ht="15.75" customHeight="1">
      <c r="B32" s="30" t="s">
        <v>100</v>
      </c>
      <c r="C32" s="31">
        <v>0</v>
      </c>
      <c r="D32" s="31">
        <v>0</v>
      </c>
      <c r="E32" s="14">
        <v>0</v>
      </c>
      <c r="F32" s="28">
        <f t="shared" si="41"/>
        <v>0</v>
      </c>
      <c r="G32" s="29">
        <f t="shared" si="42"/>
        <v>0</v>
      </c>
      <c r="H32" s="110">
        <v>1</v>
      </c>
      <c r="I32" s="28">
        <f t="shared" si="43"/>
        <v>0</v>
      </c>
      <c r="J32" s="29">
        <f t="shared" si="44"/>
        <v>0</v>
      </c>
      <c r="L32" s="32">
        <v>0</v>
      </c>
      <c r="M32" s="28">
        <f t="shared" si="45"/>
        <v>0</v>
      </c>
      <c r="N32" s="14">
        <v>0</v>
      </c>
      <c r="O32" s="28">
        <f t="shared" si="46"/>
        <v>0</v>
      </c>
      <c r="P32" s="14">
        <v>0</v>
      </c>
      <c r="Q32" s="31">
        <v>0</v>
      </c>
      <c r="R32" s="31">
        <f t="shared" si="47"/>
        <v>0</v>
      </c>
      <c r="S32" s="31">
        <v>0</v>
      </c>
      <c r="T32" s="28">
        <f t="shared" si="48"/>
        <v>0</v>
      </c>
      <c r="U32" s="28">
        <f t="shared" si="49"/>
        <v>0</v>
      </c>
      <c r="V32" s="28">
        <f t="shared" si="50"/>
        <v>0</v>
      </c>
      <c r="W32" s="28">
        <f t="shared" si="51"/>
        <v>0</v>
      </c>
      <c r="X32" s="29">
        <f t="shared" si="52"/>
        <v>0</v>
      </c>
      <c r="Y32" s="110">
        <f t="shared" si="53"/>
        <v>1</v>
      </c>
      <c r="Z32" s="28">
        <f t="shared" si="54"/>
        <v>0</v>
      </c>
      <c r="AA32" s="29">
        <f t="shared" si="55"/>
        <v>0</v>
      </c>
      <c r="AC32" s="24"/>
    </row>
    <row r="33" spans="2:29" ht="15.75" customHeight="1">
      <c r="B33" s="30" t="s">
        <v>100</v>
      </c>
      <c r="C33" s="31">
        <v>0</v>
      </c>
      <c r="D33" s="31">
        <v>0</v>
      </c>
      <c r="E33" s="14">
        <v>0</v>
      </c>
      <c r="F33" s="28">
        <f t="shared" si="41"/>
        <v>0</v>
      </c>
      <c r="G33" s="29">
        <f t="shared" si="42"/>
        <v>0</v>
      </c>
      <c r="H33" s="110">
        <v>1</v>
      </c>
      <c r="I33" s="28">
        <f t="shared" si="43"/>
        <v>0</v>
      </c>
      <c r="J33" s="29">
        <f t="shared" si="44"/>
        <v>0</v>
      </c>
      <c r="L33" s="32">
        <v>0</v>
      </c>
      <c r="M33" s="28">
        <f t="shared" si="45"/>
        <v>0</v>
      </c>
      <c r="N33" s="14">
        <v>0</v>
      </c>
      <c r="O33" s="28">
        <f t="shared" si="46"/>
        <v>0</v>
      </c>
      <c r="P33" s="14">
        <v>0</v>
      </c>
      <c r="Q33" s="31">
        <v>0</v>
      </c>
      <c r="R33" s="31">
        <f t="shared" si="47"/>
        <v>0</v>
      </c>
      <c r="S33" s="31">
        <v>0</v>
      </c>
      <c r="T33" s="28">
        <f t="shared" si="48"/>
        <v>0</v>
      </c>
      <c r="U33" s="28">
        <f t="shared" si="49"/>
        <v>0</v>
      </c>
      <c r="V33" s="28">
        <f t="shared" si="50"/>
        <v>0</v>
      </c>
      <c r="W33" s="28">
        <f t="shared" si="51"/>
        <v>0</v>
      </c>
      <c r="X33" s="29">
        <f t="shared" si="52"/>
        <v>0</v>
      </c>
      <c r="Y33" s="110">
        <f t="shared" si="53"/>
        <v>1</v>
      </c>
      <c r="Z33" s="28">
        <f t="shared" si="54"/>
        <v>0</v>
      </c>
      <c r="AA33" s="29">
        <f t="shared" si="55"/>
        <v>0</v>
      </c>
      <c r="AC33" s="24"/>
    </row>
    <row r="34" spans="2:29" ht="15.75" customHeight="1">
      <c r="C34" s="14"/>
      <c r="D34" s="14"/>
      <c r="E34" s="14"/>
      <c r="M34" s="14"/>
      <c r="N34" s="14"/>
      <c r="O34" s="14"/>
      <c r="P34" s="14"/>
      <c r="Q34" s="14"/>
      <c r="R34" s="14"/>
      <c r="S34" s="14"/>
      <c r="Y34" s="14"/>
      <c r="Z34" s="14"/>
      <c r="AC34" s="24"/>
    </row>
    <row r="35" spans="2:29" ht="15.75" customHeight="1">
      <c r="B35" s="36" t="s">
        <v>101</v>
      </c>
      <c r="C35" s="37">
        <f t="shared" ref="C35:F35" si="56">SUM(C8:C34)</f>
        <v>0</v>
      </c>
      <c r="D35" s="37">
        <f t="shared" si="56"/>
        <v>0</v>
      </c>
      <c r="E35" s="37">
        <f t="shared" si="56"/>
        <v>0</v>
      </c>
      <c r="F35" s="37">
        <f t="shared" si="56"/>
        <v>0</v>
      </c>
      <c r="G35" s="38">
        <f>IFERROR(F35/F$35,0)</f>
        <v>0</v>
      </c>
      <c r="H35" s="37"/>
      <c r="I35" s="37">
        <f>SUM(I8:I34)</f>
        <v>0</v>
      </c>
      <c r="J35" s="38">
        <f>IFERROR(I35/I$35,0)</f>
        <v>0</v>
      </c>
      <c r="L35" s="37">
        <f t="shared" ref="L35:W35" si="57">SUM(L8:L34)</f>
        <v>0</v>
      </c>
      <c r="M35" s="37">
        <f t="shared" si="57"/>
        <v>0</v>
      </c>
      <c r="N35" s="37">
        <f t="shared" si="57"/>
        <v>0</v>
      </c>
      <c r="O35" s="37">
        <f t="shared" si="57"/>
        <v>0</v>
      </c>
      <c r="P35" s="37">
        <f t="shared" si="57"/>
        <v>0</v>
      </c>
      <c r="Q35" s="37">
        <f t="shared" si="57"/>
        <v>0</v>
      </c>
      <c r="R35" s="37">
        <f t="shared" si="57"/>
        <v>0</v>
      </c>
      <c r="S35" s="37">
        <f t="shared" si="57"/>
        <v>0</v>
      </c>
      <c r="T35" s="37">
        <f t="shared" si="57"/>
        <v>0</v>
      </c>
      <c r="U35" s="37">
        <f t="shared" si="57"/>
        <v>0</v>
      </c>
      <c r="V35" s="37">
        <f t="shared" si="57"/>
        <v>0</v>
      </c>
      <c r="W35" s="37">
        <f t="shared" si="57"/>
        <v>0</v>
      </c>
      <c r="X35" s="38">
        <f>IFERROR(W35/W$35,0)</f>
        <v>0</v>
      </c>
      <c r="Y35" s="111">
        <f>IFERROR(Z35/W35,0)</f>
        <v>0</v>
      </c>
      <c r="Z35" s="37">
        <f>SUM(Z8:Z34)</f>
        <v>0</v>
      </c>
      <c r="AA35" s="38">
        <f>IFERROR(Z35/Z$35,0)</f>
        <v>0</v>
      </c>
      <c r="AC35" s="24"/>
    </row>
    <row r="36" spans="2:29" ht="15.75" customHeight="1">
      <c r="M36" s="14"/>
      <c r="P36" s="28"/>
      <c r="AC36" s="24"/>
    </row>
    <row r="37" spans="2:29" ht="15.75" customHeight="1">
      <c r="L37" s="32" t="s">
        <v>102</v>
      </c>
      <c r="M37" s="14"/>
      <c r="N37" s="14"/>
      <c r="O37" s="39"/>
      <c r="P37" s="28"/>
      <c r="R37" s="14"/>
      <c r="S37" s="14"/>
      <c r="T37" s="14"/>
      <c r="U37" s="14"/>
      <c r="V37" s="14"/>
      <c r="W37" s="14"/>
      <c r="AC37" s="24"/>
    </row>
    <row r="38" spans="2:29" ht="15.75" customHeight="1">
      <c r="L38" s="40" t="s">
        <v>103</v>
      </c>
      <c r="M38" s="14"/>
      <c r="N38" s="14">
        <f>M35</f>
        <v>0</v>
      </c>
      <c r="O38" s="10" t="s">
        <v>104</v>
      </c>
      <c r="S38" s="14"/>
      <c r="T38" s="14"/>
      <c r="U38" s="14"/>
      <c r="V38" s="14"/>
      <c r="W38" s="14"/>
      <c r="AC38" s="24"/>
    </row>
    <row r="39" spans="2:29" ht="15.75" customHeight="1">
      <c r="L39" s="40" t="s">
        <v>105</v>
      </c>
      <c r="M39" s="14"/>
      <c r="N39" s="32">
        <v>0</v>
      </c>
      <c r="O39" s="10" t="s">
        <v>106</v>
      </c>
      <c r="S39" s="14"/>
      <c r="T39" s="14"/>
      <c r="U39" s="14"/>
      <c r="V39" s="14"/>
      <c r="W39" s="14"/>
      <c r="X39" s="14"/>
      <c r="AC39" s="24"/>
    </row>
    <row r="40" spans="2:29" ht="15.75" customHeight="1">
      <c r="L40" s="40" t="s">
        <v>107</v>
      </c>
      <c r="M40" s="14"/>
      <c r="N40" s="14">
        <f>N38+N39</f>
        <v>0</v>
      </c>
      <c r="O40" s="10" t="s">
        <v>108</v>
      </c>
      <c r="S40" s="14"/>
      <c r="T40" s="14"/>
      <c r="U40" s="14"/>
      <c r="V40" s="14"/>
      <c r="W40" s="14"/>
      <c r="X40" s="14"/>
      <c r="AC40" s="24"/>
    </row>
    <row r="41" spans="2:29" ht="15.75" customHeight="1">
      <c r="L41" s="40" t="s">
        <v>109</v>
      </c>
      <c r="M41" s="14"/>
      <c r="N41" s="14">
        <f>Q29+I35+IF(N46=TRUE,R35+Q35+SUMPRODUCT(--(M76:M81=TRUE),Y76:Y81),0)+MAX(0,SUMIFS(X$56:X$60,M$56:M$60,"postmoney SAFE"))+IF(N53="investor friendly",MAX(0,SUMIFS(X$56:X$60,M$56:M$60,"premoney SAFE"))+MAX(0,SUMIFS(X$56:X$60,M$56:M$60,"convertible note")),0)+IF(N65="investor friendly",N69,0)</f>
        <v>0</v>
      </c>
      <c r="O41" s="10" t="s">
        <v>110</v>
      </c>
      <c r="S41" s="14"/>
      <c r="T41" s="14"/>
      <c r="U41" s="14"/>
      <c r="V41" s="14"/>
      <c r="W41" s="14"/>
      <c r="X41" s="14"/>
      <c r="AC41" s="24"/>
    </row>
    <row r="42" spans="2:29" ht="15.75" customHeight="1">
      <c r="L42" s="40" t="s">
        <v>111</v>
      </c>
      <c r="M42" s="14"/>
      <c r="N42" s="41">
        <f>IFERROR(IF(ISNUMBER(N47),ROUND(N39/N41,N47),N39/N41),0)</f>
        <v>0</v>
      </c>
      <c r="O42" s="10" t="s">
        <v>112</v>
      </c>
      <c r="S42" s="14"/>
      <c r="T42" s="14"/>
      <c r="U42" s="14"/>
      <c r="V42" s="14"/>
      <c r="W42" s="14"/>
      <c r="X42" s="14"/>
      <c r="AC42" s="24"/>
    </row>
    <row r="43" spans="2:29" ht="15.75" customHeight="1">
      <c r="L43" s="40" t="s">
        <v>113</v>
      </c>
      <c r="M43" s="14"/>
      <c r="N43" s="14">
        <f>IFERROR(N39-(N41-I35)*N42,0)</f>
        <v>0</v>
      </c>
      <c r="O43" s="10" t="s">
        <v>114</v>
      </c>
      <c r="S43" s="14"/>
      <c r="T43" s="14"/>
      <c r="U43" s="14"/>
      <c r="V43" s="14"/>
      <c r="W43" s="14"/>
      <c r="X43" s="14"/>
      <c r="AC43" s="24"/>
    </row>
    <row r="44" spans="2:29" ht="15.75" customHeight="1">
      <c r="L44" s="40"/>
      <c r="M44" s="14"/>
      <c r="N44" s="14"/>
      <c r="O44" s="10"/>
      <c r="S44" s="14"/>
      <c r="T44" s="14"/>
      <c r="U44" s="14"/>
      <c r="V44" s="14"/>
      <c r="W44" s="14"/>
      <c r="X44" s="14"/>
      <c r="AC44" s="24"/>
    </row>
    <row r="45" spans="2:29" ht="15.75" customHeight="1">
      <c r="L45" s="42" t="s">
        <v>115</v>
      </c>
      <c r="M45" s="43"/>
      <c r="N45" s="43"/>
      <c r="O45" s="44"/>
      <c r="P45" s="44"/>
      <c r="Q45" s="44"/>
      <c r="R45" s="44"/>
      <c r="S45" s="43"/>
      <c r="T45" s="43"/>
      <c r="U45" s="43"/>
      <c r="V45" s="43"/>
      <c r="W45" s="43"/>
      <c r="X45" s="43"/>
      <c r="AC45" s="24"/>
    </row>
    <row r="46" spans="2:29" ht="15.75" customHeight="1">
      <c r="L46" s="40" t="s">
        <v>116</v>
      </c>
      <c r="M46" s="14"/>
      <c r="N46" s="129" t="b">
        <v>0</v>
      </c>
      <c r="O46" s="10" t="s">
        <v>117</v>
      </c>
      <c r="S46" s="14"/>
      <c r="T46" s="14"/>
      <c r="U46" s="14"/>
      <c r="V46" s="14"/>
      <c r="W46" s="14"/>
      <c r="X46" s="14"/>
      <c r="AC46" s="24"/>
    </row>
    <row r="47" spans="2:29" ht="15.75" customHeight="1">
      <c r="L47" s="40" t="str">
        <f>IF(ISNUMBER(N47),"Round share prices to "&amp;N47&amp;" significant digits","Do not round share prices")</f>
        <v>Round share prices to 4 significant digits</v>
      </c>
      <c r="M47" s="14"/>
      <c r="N47" s="45">
        <v>4</v>
      </c>
      <c r="O47" s="10" t="s">
        <v>118</v>
      </c>
      <c r="S47" s="14"/>
      <c r="T47" s="14"/>
      <c r="U47" s="14"/>
      <c r="V47" s="14"/>
      <c r="W47" s="14"/>
      <c r="X47" s="14"/>
      <c r="AC47" s="24"/>
    </row>
    <row r="48" spans="2:29" ht="15.75" customHeight="1">
      <c r="L48" s="40" t="s">
        <v>119</v>
      </c>
      <c r="M48" s="14"/>
      <c r="N48" s="45" t="s">
        <v>120</v>
      </c>
      <c r="O48" s="10" t="s">
        <v>121</v>
      </c>
      <c r="S48" s="14"/>
      <c r="T48" s="14"/>
      <c r="U48" s="14"/>
      <c r="V48" s="14"/>
      <c r="W48" s="14"/>
      <c r="X48" s="14"/>
      <c r="AC48" s="24"/>
    </row>
    <row r="49" spans="12:29" ht="15.75" customHeight="1">
      <c r="L49" s="40" t="s">
        <v>122</v>
      </c>
      <c r="M49" s="14"/>
      <c r="N49" s="46">
        <f ca="1">TODAY()</f>
        <v>45934</v>
      </c>
      <c r="O49" s="10" t="s">
        <v>123</v>
      </c>
      <c r="S49" s="14"/>
      <c r="T49" s="14"/>
      <c r="U49" s="14"/>
      <c r="V49" s="14"/>
      <c r="W49" s="14"/>
      <c r="X49" s="14"/>
      <c r="AC49" s="24"/>
    </row>
    <row r="50" spans="12:29" ht="15.75" customHeight="1">
      <c r="L50" s="47"/>
      <c r="M50" s="14"/>
      <c r="S50" s="14"/>
      <c r="T50" s="14"/>
      <c r="U50" s="14"/>
      <c r="V50" s="14"/>
      <c r="W50" s="14"/>
      <c r="X50" s="14"/>
      <c r="AC50" s="24"/>
    </row>
    <row r="51" spans="12:29" ht="15.75" customHeight="1">
      <c r="L51" s="48" t="s">
        <v>124</v>
      </c>
      <c r="M51" s="43"/>
      <c r="N51" s="44"/>
      <c r="O51" s="44"/>
      <c r="P51" s="44"/>
      <c r="Q51" s="44"/>
      <c r="R51" s="44"/>
      <c r="S51" s="43"/>
      <c r="T51" s="43"/>
      <c r="U51" s="43"/>
      <c r="V51" s="43"/>
      <c r="W51" s="43"/>
      <c r="X51" s="43"/>
      <c r="AC51" s="24"/>
    </row>
    <row r="52" spans="12:29" ht="15.75" customHeight="1">
      <c r="L52" s="10" t="s">
        <v>125</v>
      </c>
      <c r="M52" s="10"/>
      <c r="N52" s="10"/>
      <c r="O52" s="10"/>
      <c r="S52" s="14"/>
      <c r="T52" s="14"/>
      <c r="U52" s="14"/>
      <c r="V52" s="14"/>
      <c r="W52" s="14"/>
      <c r="X52" s="14"/>
      <c r="AC52" s="24"/>
    </row>
    <row r="53" spans="12:29">
      <c r="L53" s="49" t="s">
        <v>126</v>
      </c>
      <c r="M53" s="50"/>
      <c r="N53" s="30" t="s">
        <v>127</v>
      </c>
      <c r="O53" s="10" t="s">
        <v>128</v>
      </c>
      <c r="P53" s="52"/>
      <c r="Q53" s="52"/>
      <c r="R53" s="52"/>
      <c r="S53" s="52"/>
      <c r="T53" s="52"/>
      <c r="U53" s="52"/>
      <c r="V53" s="52"/>
      <c r="W53" s="52"/>
      <c r="X53" s="53"/>
      <c r="AC53" s="24"/>
    </row>
    <row r="54" spans="12:29" ht="42">
      <c r="L54" s="21" t="s">
        <v>100</v>
      </c>
      <c r="M54" s="21" t="s">
        <v>129</v>
      </c>
      <c r="N54" s="22" t="s">
        <v>84</v>
      </c>
      <c r="O54" s="22" t="s">
        <v>130</v>
      </c>
      <c r="P54" s="22" t="s">
        <v>131</v>
      </c>
      <c r="Q54" s="22" t="s">
        <v>132</v>
      </c>
      <c r="R54" s="22" t="s">
        <v>133</v>
      </c>
      <c r="S54" s="22" t="s">
        <v>134</v>
      </c>
      <c r="T54" s="22" t="s">
        <v>135</v>
      </c>
      <c r="U54" s="22" t="s">
        <v>109</v>
      </c>
      <c r="V54" s="22" t="s">
        <v>111</v>
      </c>
      <c r="W54" s="22" t="s">
        <v>136</v>
      </c>
      <c r="X54" s="23" t="s">
        <v>86</v>
      </c>
      <c r="AC54" s="24"/>
    </row>
    <row r="55" spans="12:29" ht="13">
      <c r="L55" s="26" t="s">
        <v>137</v>
      </c>
      <c r="O55" s="25" t="s">
        <v>138</v>
      </c>
      <c r="P55" s="25" t="s">
        <v>139</v>
      </c>
      <c r="Q55" s="25" t="s">
        <v>140</v>
      </c>
      <c r="R55" s="25" t="s">
        <v>141</v>
      </c>
      <c r="S55" s="25" t="s">
        <v>142</v>
      </c>
      <c r="T55" s="25" t="s">
        <v>143</v>
      </c>
      <c r="U55" s="25" t="s">
        <v>144</v>
      </c>
      <c r="V55" s="25" t="s">
        <v>145</v>
      </c>
      <c r="W55" s="25" t="s">
        <v>146</v>
      </c>
      <c r="X55" s="25" t="s">
        <v>90</v>
      </c>
      <c r="AC55" s="24"/>
    </row>
    <row r="56" spans="12:29" ht="13">
      <c r="L56" s="30" t="s">
        <v>100</v>
      </c>
      <c r="M56" s="30" t="s">
        <v>147</v>
      </c>
      <c r="N56" s="31">
        <v>0</v>
      </c>
      <c r="O56" s="54">
        <v>0</v>
      </c>
      <c r="P56" s="31">
        <v>0</v>
      </c>
      <c r="Q56" s="54">
        <v>0</v>
      </c>
      <c r="R56" s="54">
        <v>0</v>
      </c>
      <c r="S56" s="46">
        <f t="shared" ref="S56:S59" ca="1" si="58">TODAY()-365</f>
        <v>45569</v>
      </c>
      <c r="T56" s="28">
        <f t="shared" ref="T56:T59" ca="1" si="59">IFERROR(R56/365*(N$49-S56)*N56,0)</f>
        <v>0</v>
      </c>
      <c r="U56" s="31">
        <f t="shared" ref="U56:U59" si="60">IF(M56="postmoney SAFE",I$35+MAX(0,SUM(X$56:X$60)),I$35+IF(N$65="investor friendly",N$69,0))+IF(N$46=TRUE,R$35+Q$35+SUMPRODUCT(--(M$76:M$81=TRUE),Y$76:Y$81),0)</f>
        <v>0</v>
      </c>
      <c r="V56" s="55">
        <f t="shared" ref="V56:V59" si="61">IFERROR(IF(ISNUMBER(N$47),ROUND(IF(AND(Q56&lt;&gt;0,M56="postmoney SAFE"),(N56/Q56)/U56,IF(P56&lt;&gt;0, MIN(P56/U56,N$42*(1-O56)),N$42*(1-O56))),N$47),IF(AND(Q56&lt;&gt;0,M56="postmoney SAFE"),(N56/Q56)/U56,IF(P56&lt;&gt;0, MIN(P56/U56,N$42*(1-O56)),N$42*(1-O56)))),0)</f>
        <v>0</v>
      </c>
      <c r="W56" s="56">
        <f t="shared" ref="W56:W59" ca="1" si="62">IFERROR(((T56+N56)/V56-X56)*V56,0)</f>
        <v>0</v>
      </c>
      <c r="X56" s="28">
        <f t="shared" ref="X56:X59" si="63">IF(N$46=TRUE, IFERROR(IF(N$48="rounddown",ROUNDDOWN((T56+N56)/V56,0),IF(N$48="roundup",ROUNDUP((T56+N56)/V56,0),IF(N$48="round",ROUND((T56+N56)/V56,0),(T56+N56)/V56))),0),0)</f>
        <v>0</v>
      </c>
      <c r="AC56" s="24"/>
    </row>
    <row r="57" spans="12:29" ht="13">
      <c r="L57" s="30" t="s">
        <v>100</v>
      </c>
      <c r="M57" s="30" t="s">
        <v>148</v>
      </c>
      <c r="N57" s="31">
        <v>0</v>
      </c>
      <c r="O57" s="54">
        <v>0</v>
      </c>
      <c r="P57" s="31">
        <v>0</v>
      </c>
      <c r="Q57" s="54">
        <v>0</v>
      </c>
      <c r="R57" s="54">
        <v>0</v>
      </c>
      <c r="S57" s="46">
        <f t="shared" ca="1" si="58"/>
        <v>45569</v>
      </c>
      <c r="T57" s="28">
        <f t="shared" ca="1" si="59"/>
        <v>0</v>
      </c>
      <c r="U57" s="31">
        <f t="shared" si="60"/>
        <v>0</v>
      </c>
      <c r="V57" s="55">
        <f t="shared" si="61"/>
        <v>0</v>
      </c>
      <c r="W57" s="56">
        <f t="shared" ca="1" si="62"/>
        <v>0</v>
      </c>
      <c r="X57" s="28">
        <f t="shared" si="63"/>
        <v>0</v>
      </c>
      <c r="AC57" s="24"/>
    </row>
    <row r="58" spans="12:29" ht="13">
      <c r="L58" s="30" t="s">
        <v>100</v>
      </c>
      <c r="M58" s="30" t="s">
        <v>149</v>
      </c>
      <c r="N58" s="31">
        <v>0</v>
      </c>
      <c r="O58" s="57">
        <v>0</v>
      </c>
      <c r="P58" s="31">
        <v>0</v>
      </c>
      <c r="Q58" s="57">
        <v>0</v>
      </c>
      <c r="R58" s="57">
        <v>0</v>
      </c>
      <c r="S58" s="46">
        <f t="shared" ca="1" si="58"/>
        <v>45569</v>
      </c>
      <c r="T58" s="28">
        <f t="shared" ca="1" si="59"/>
        <v>0</v>
      </c>
      <c r="U58" s="31">
        <f t="shared" si="60"/>
        <v>0</v>
      </c>
      <c r="V58" s="55">
        <f t="shared" si="61"/>
        <v>0</v>
      </c>
      <c r="W58" s="56">
        <f t="shared" ca="1" si="62"/>
        <v>0</v>
      </c>
      <c r="X58" s="28">
        <f t="shared" si="63"/>
        <v>0</v>
      </c>
      <c r="AC58" s="24"/>
    </row>
    <row r="59" spans="12:29" ht="13">
      <c r="L59" s="30" t="s">
        <v>100</v>
      </c>
      <c r="M59" s="30" t="s">
        <v>147</v>
      </c>
      <c r="N59" s="31">
        <v>0</v>
      </c>
      <c r="O59" s="57">
        <v>0</v>
      </c>
      <c r="P59" s="31">
        <v>0</v>
      </c>
      <c r="Q59" s="57">
        <v>0</v>
      </c>
      <c r="R59" s="57">
        <v>0</v>
      </c>
      <c r="S59" s="46">
        <f t="shared" ca="1" si="58"/>
        <v>45569</v>
      </c>
      <c r="T59" s="28">
        <f t="shared" ca="1" si="59"/>
        <v>0</v>
      </c>
      <c r="U59" s="31">
        <f t="shared" si="60"/>
        <v>0</v>
      </c>
      <c r="V59" s="55">
        <f t="shared" si="61"/>
        <v>0</v>
      </c>
      <c r="W59" s="56">
        <f t="shared" ca="1" si="62"/>
        <v>0</v>
      </c>
      <c r="X59" s="28">
        <f t="shared" si="63"/>
        <v>0</v>
      </c>
      <c r="AC59" s="24"/>
    </row>
    <row r="60" spans="12:29" ht="13">
      <c r="M60" s="10"/>
      <c r="O60" s="10"/>
      <c r="S60" s="14"/>
      <c r="T60" s="14"/>
      <c r="U60" s="14"/>
      <c r="V60" s="14"/>
      <c r="W60" s="14"/>
      <c r="X60" s="14"/>
      <c r="AC60" s="24"/>
    </row>
    <row r="61" spans="12:29" ht="13">
      <c r="L61" s="36" t="s">
        <v>101</v>
      </c>
      <c r="M61" s="36"/>
      <c r="N61" s="58">
        <f>SUM(N56:N59)</f>
        <v>0</v>
      </c>
      <c r="O61" s="36"/>
      <c r="P61" s="36"/>
      <c r="Q61" s="36"/>
      <c r="R61" s="36"/>
      <c r="S61" s="58"/>
      <c r="T61" s="58">
        <f ca="1">SUM(T56:T59)</f>
        <v>0</v>
      </c>
      <c r="U61" s="58"/>
      <c r="V61" s="59">
        <f ca="1">IFERROR((T61+N61)/X61,0)</f>
        <v>0</v>
      </c>
      <c r="W61" s="60">
        <f t="shared" ref="W61:X61" ca="1" si="64">SUM(W56:W59)</f>
        <v>0</v>
      </c>
      <c r="X61" s="58">
        <f t="shared" si="64"/>
        <v>0</v>
      </c>
      <c r="AC61" s="24"/>
    </row>
    <row r="62" spans="12:29" ht="13">
      <c r="L62" s="47"/>
      <c r="N62" s="14"/>
      <c r="O62" s="10"/>
      <c r="S62" s="14"/>
      <c r="T62" s="14"/>
      <c r="U62" s="14"/>
      <c r="V62" s="14"/>
      <c r="W62" s="14"/>
      <c r="AC62" s="24"/>
    </row>
    <row r="63" spans="12:29" ht="14">
      <c r="L63" s="61" t="s">
        <v>150</v>
      </c>
      <c r="M63" s="62"/>
      <c r="N63" s="63"/>
      <c r="O63" s="44"/>
      <c r="P63" s="44"/>
      <c r="Q63" s="44"/>
      <c r="R63" s="44"/>
      <c r="S63" s="43"/>
      <c r="T63" s="43"/>
      <c r="U63" s="43"/>
      <c r="V63" s="43"/>
      <c r="W63" s="43"/>
      <c r="X63" s="43"/>
      <c r="AC63" s="24"/>
    </row>
    <row r="64" spans="12:29" ht="14">
      <c r="L64" s="49" t="s">
        <v>151</v>
      </c>
      <c r="M64" s="50"/>
      <c r="N64" s="112">
        <v>0</v>
      </c>
      <c r="O64" s="10" t="s">
        <v>153</v>
      </c>
      <c r="S64" s="14"/>
      <c r="T64" s="14"/>
      <c r="U64" s="14"/>
      <c r="V64" s="14"/>
      <c r="W64" s="14"/>
      <c r="X64" s="14"/>
      <c r="AC64" s="24"/>
    </row>
    <row r="65" spans="12:29" ht="14">
      <c r="L65" s="49" t="s">
        <v>154</v>
      </c>
      <c r="M65" s="50"/>
      <c r="N65" s="30" t="s">
        <v>127</v>
      </c>
      <c r="O65" s="10" t="s">
        <v>155</v>
      </c>
      <c r="S65" s="14"/>
      <c r="T65" s="14"/>
      <c r="U65" s="14"/>
      <c r="V65" s="14"/>
      <c r="W65" s="14"/>
      <c r="X65" s="14"/>
      <c r="AC65" s="24"/>
    </row>
    <row r="66" spans="12:29" ht="14">
      <c r="L66" s="49" t="s">
        <v>156</v>
      </c>
      <c r="M66" s="50"/>
      <c r="N66" s="28">
        <f>IF(N46=TRUE, IFERROR(ROUND(Z35*N64,0),0),0)</f>
        <v>0</v>
      </c>
      <c r="O66" s="10" t="s">
        <v>157</v>
      </c>
      <c r="S66" s="14"/>
      <c r="T66" s="14"/>
      <c r="U66" s="14"/>
      <c r="V66" s="14"/>
      <c r="W66" s="14"/>
      <c r="X66" s="14"/>
      <c r="AC66" s="24"/>
    </row>
    <row r="67" spans="12:29" ht="14">
      <c r="L67" s="49" t="s">
        <v>158</v>
      </c>
      <c r="M67" s="50"/>
      <c r="N67" s="31">
        <v>0</v>
      </c>
      <c r="O67" s="10" t="s">
        <v>159</v>
      </c>
      <c r="S67" s="14"/>
      <c r="T67" s="14"/>
      <c r="U67" s="14"/>
      <c r="V67" s="14"/>
      <c r="W67" s="14"/>
      <c r="X67" s="14"/>
      <c r="AC67" s="24"/>
    </row>
    <row r="68" spans="12:29" ht="14">
      <c r="L68" s="49" t="s">
        <v>160</v>
      </c>
      <c r="M68" s="50"/>
      <c r="N68" s="28">
        <f>MAX(0,E18+E19-ABS(N67))</f>
        <v>0</v>
      </c>
      <c r="O68" s="10" t="s">
        <v>161</v>
      </c>
      <c r="S68" s="14"/>
      <c r="T68" s="14"/>
      <c r="U68" s="14"/>
      <c r="V68" s="14"/>
      <c r="W68" s="14"/>
      <c r="X68" s="14"/>
      <c r="AC68" s="24"/>
    </row>
    <row r="69" spans="12:29" ht="14">
      <c r="L69" s="65" t="s">
        <v>162</v>
      </c>
      <c r="M69" s="50"/>
      <c r="N69" s="28">
        <f>MAX(0,N66-N68)</f>
        <v>0</v>
      </c>
      <c r="O69" s="10" t="s">
        <v>163</v>
      </c>
      <c r="S69" s="14"/>
      <c r="T69" s="14"/>
      <c r="U69" s="14"/>
      <c r="V69" s="14"/>
      <c r="W69" s="14"/>
      <c r="X69" s="14"/>
      <c r="AC69" s="24"/>
    </row>
    <row r="70" spans="12:29" ht="14">
      <c r="L70" s="65" t="s">
        <v>164</v>
      </c>
      <c r="M70" s="50"/>
      <c r="N70" s="29">
        <f>AA18+AA19</f>
        <v>0</v>
      </c>
      <c r="O70" s="10" t="s">
        <v>275</v>
      </c>
      <c r="S70" s="14"/>
      <c r="T70" s="14"/>
      <c r="U70" s="14"/>
      <c r="V70" s="14"/>
      <c r="W70" s="14"/>
      <c r="X70" s="14"/>
      <c r="AC70" s="24"/>
    </row>
    <row r="71" spans="12:29" ht="13">
      <c r="L71" s="10"/>
      <c r="M71" s="14"/>
      <c r="S71" s="14"/>
      <c r="T71" s="14"/>
      <c r="U71" s="14"/>
      <c r="V71" s="14"/>
      <c r="W71" s="14"/>
      <c r="X71" s="14"/>
      <c r="AC71" s="24"/>
    </row>
    <row r="72" spans="12:29" ht="14">
      <c r="L72" s="61" t="s">
        <v>276</v>
      </c>
      <c r="M72" s="62"/>
      <c r="N72" s="63"/>
      <c r="O72" s="44"/>
      <c r="P72" s="44"/>
      <c r="Q72" s="113"/>
      <c r="R72" s="61"/>
      <c r="S72" s="62"/>
      <c r="T72" s="63"/>
      <c r="U72" s="44"/>
      <c r="V72" s="44"/>
      <c r="W72" s="44"/>
      <c r="X72" s="44"/>
      <c r="AC72" s="24"/>
    </row>
    <row r="73" spans="12:29" ht="13">
      <c r="S73" s="14"/>
      <c r="T73" s="14"/>
      <c r="U73" s="14"/>
      <c r="V73" s="14"/>
      <c r="W73" s="14"/>
      <c r="X73" s="14"/>
      <c r="AC73" s="24"/>
    </row>
    <row r="74" spans="12:29" ht="56">
      <c r="L74" s="21" t="s">
        <v>100</v>
      </c>
      <c r="M74" s="21" t="s">
        <v>277</v>
      </c>
      <c r="N74" s="21" t="s">
        <v>278</v>
      </c>
      <c r="O74" s="21" t="s">
        <v>279</v>
      </c>
      <c r="P74" s="22" t="s">
        <v>280</v>
      </c>
      <c r="Q74" s="10" t="s">
        <v>281</v>
      </c>
      <c r="R74" s="10" t="s">
        <v>282</v>
      </c>
      <c r="S74" s="10" t="s">
        <v>283</v>
      </c>
      <c r="T74" s="10" t="s">
        <v>284</v>
      </c>
      <c r="U74" s="10" t="s">
        <v>285</v>
      </c>
      <c r="V74" s="10" t="s">
        <v>286</v>
      </c>
      <c r="W74" s="10" t="s">
        <v>287</v>
      </c>
      <c r="X74" s="10" t="s">
        <v>288</v>
      </c>
      <c r="Y74" s="10" t="s">
        <v>289</v>
      </c>
      <c r="Z74" s="10" t="s">
        <v>290</v>
      </c>
    </row>
    <row r="75" spans="12:29" ht="13">
      <c r="L75" s="26" t="s">
        <v>137</v>
      </c>
      <c r="N75" s="26" t="s">
        <v>291</v>
      </c>
      <c r="O75" s="26" t="s">
        <v>292</v>
      </c>
      <c r="P75" s="26"/>
      <c r="Q75" s="26"/>
      <c r="R75" s="26"/>
      <c r="T75" s="26"/>
      <c r="U75" s="26"/>
      <c r="V75" s="26"/>
      <c r="W75" s="26" t="s">
        <v>293</v>
      </c>
      <c r="X75" s="26"/>
      <c r="Y75" s="25" t="s">
        <v>294</v>
      </c>
      <c r="Z75" s="25" t="s">
        <v>295</v>
      </c>
    </row>
    <row r="76" spans="12:29" ht="13">
      <c r="L76" s="30" t="str">
        <f t="shared" ref="L76:L80" si="65">B29</f>
        <v>Investor</v>
      </c>
      <c r="M76" s="129" t="b">
        <v>0</v>
      </c>
      <c r="N76" s="32">
        <f>R76*D29</f>
        <v>0</v>
      </c>
      <c r="O76" s="114" t="s">
        <v>296</v>
      </c>
      <c r="P76" s="114" t="s">
        <v>297</v>
      </c>
      <c r="Q76" s="110">
        <v>1</v>
      </c>
      <c r="R76" s="110">
        <v>0</v>
      </c>
      <c r="S76" s="115">
        <f t="shared" ref="S76:S80" si="66">IFERROR(IF(N76&lt;&gt;0, 1+((O$35+R$35)/I$35/(1-J29)),0),0)</f>
        <v>0</v>
      </c>
      <c r="T76" s="115">
        <f t="shared" ref="T76:T80" si="67">IFERROR(IF(N76&lt;&gt;0, MAX(1,R76/N$42*Q76),0),0)</f>
        <v>0</v>
      </c>
      <c r="U76" s="115">
        <f t="shared" ref="U76:U80" si="68">IFERROR(IF(N76&lt;&gt;0, MAX(1,R76/(R76*(I$35+N$38/R76)/(I$35+O$35))*Q76),0),0)</f>
        <v>0</v>
      </c>
      <c r="V76" s="115">
        <f t="shared" ref="V76:V80" si="69">IFERROR(IF(N76&lt;&gt;0, MAX(1,R76/(R76*(F$35+N$38/R76)/(F$35+N76/O$35))*Q76),0),0)</f>
        <v>0</v>
      </c>
      <c r="W76" s="114" t="s">
        <v>298</v>
      </c>
      <c r="X76" s="115">
        <f t="shared" ref="X76:X80" si="70">IF(O76="ownership",S76, IF(W76="full ratchet",T76,IF(W76="broad-based weighted average",U76,IF(W76="narrow-based weighted average",V76, 1))))</f>
        <v>0</v>
      </c>
      <c r="Y76" s="14">
        <f t="shared" ref="Y76:Y80" si="71">IF(Y29&lt;&gt;1,Z29-U29,0)</f>
        <v>0</v>
      </c>
      <c r="Z76" s="14">
        <f t="shared" ref="Z76:Z80" si="72">IF(AND(M76=TRUE,P76="new shares",N76&lt;&gt;0),IF(O76="value",X76*F29-F29,J29*(N$35+O$35+R$35+S$35+Q$35)),0)</f>
        <v>0</v>
      </c>
    </row>
    <row r="77" spans="12:29" ht="13">
      <c r="L77" s="30" t="str">
        <f t="shared" si="65"/>
        <v>Investor</v>
      </c>
      <c r="M77" s="129" t="b">
        <v>0</v>
      </c>
      <c r="N77" s="32">
        <v>0</v>
      </c>
      <c r="O77" s="114" t="s">
        <v>296</v>
      </c>
      <c r="P77" s="114" t="s">
        <v>297</v>
      </c>
      <c r="Q77" s="110">
        <v>1</v>
      </c>
      <c r="R77" s="110">
        <v>0</v>
      </c>
      <c r="S77" s="115">
        <f t="shared" si="66"/>
        <v>0</v>
      </c>
      <c r="T77" s="115">
        <f t="shared" si="67"/>
        <v>0</v>
      </c>
      <c r="U77" s="115">
        <f t="shared" si="68"/>
        <v>0</v>
      </c>
      <c r="V77" s="115">
        <f t="shared" si="69"/>
        <v>0</v>
      </c>
      <c r="W77" s="114" t="s">
        <v>298</v>
      </c>
      <c r="X77" s="115">
        <f t="shared" si="70"/>
        <v>0</v>
      </c>
      <c r="Y77" s="14">
        <f t="shared" si="71"/>
        <v>0</v>
      </c>
      <c r="Z77" s="14">
        <f t="shared" si="72"/>
        <v>0</v>
      </c>
    </row>
    <row r="78" spans="12:29" ht="13">
      <c r="L78" s="30" t="str">
        <f t="shared" si="65"/>
        <v>Investor</v>
      </c>
      <c r="M78" s="129" t="b">
        <v>0</v>
      </c>
      <c r="N78" s="32">
        <v>0</v>
      </c>
      <c r="O78" s="114" t="s">
        <v>296</v>
      </c>
      <c r="P78" s="114" t="s">
        <v>297</v>
      </c>
      <c r="Q78" s="110">
        <v>1</v>
      </c>
      <c r="R78" s="110">
        <v>0</v>
      </c>
      <c r="S78" s="115">
        <f t="shared" si="66"/>
        <v>0</v>
      </c>
      <c r="T78" s="115">
        <f t="shared" si="67"/>
        <v>0</v>
      </c>
      <c r="U78" s="115">
        <f t="shared" si="68"/>
        <v>0</v>
      </c>
      <c r="V78" s="115">
        <f t="shared" si="69"/>
        <v>0</v>
      </c>
      <c r="W78" s="114" t="s">
        <v>298</v>
      </c>
      <c r="X78" s="115">
        <f t="shared" si="70"/>
        <v>0</v>
      </c>
      <c r="Y78" s="14">
        <f t="shared" si="71"/>
        <v>0</v>
      </c>
      <c r="Z78" s="14">
        <f t="shared" si="72"/>
        <v>0</v>
      </c>
    </row>
    <row r="79" spans="12:29" ht="13">
      <c r="L79" s="30" t="str">
        <f t="shared" si="65"/>
        <v>Investor</v>
      </c>
      <c r="M79" s="129" t="b">
        <v>0</v>
      </c>
      <c r="N79" s="32">
        <v>0</v>
      </c>
      <c r="O79" s="114" t="s">
        <v>296</v>
      </c>
      <c r="P79" s="114" t="s">
        <v>297</v>
      </c>
      <c r="Q79" s="110">
        <v>1</v>
      </c>
      <c r="R79" s="110">
        <v>0</v>
      </c>
      <c r="S79" s="115">
        <f t="shared" si="66"/>
        <v>0</v>
      </c>
      <c r="T79" s="115">
        <f t="shared" si="67"/>
        <v>0</v>
      </c>
      <c r="U79" s="115">
        <f t="shared" si="68"/>
        <v>0</v>
      </c>
      <c r="V79" s="115">
        <f t="shared" si="69"/>
        <v>0</v>
      </c>
      <c r="W79" s="114" t="s">
        <v>298</v>
      </c>
      <c r="X79" s="115">
        <f t="shared" si="70"/>
        <v>0</v>
      </c>
      <c r="Y79" s="14">
        <f t="shared" si="71"/>
        <v>0</v>
      </c>
      <c r="Z79" s="14">
        <f t="shared" si="72"/>
        <v>0</v>
      </c>
    </row>
    <row r="80" spans="12:29" ht="13">
      <c r="L80" s="30" t="str">
        <f t="shared" si="65"/>
        <v>Investor</v>
      </c>
      <c r="M80" s="129" t="b">
        <v>0</v>
      </c>
      <c r="N80" s="32">
        <v>0</v>
      </c>
      <c r="O80" s="114" t="s">
        <v>296</v>
      </c>
      <c r="P80" s="114" t="s">
        <v>297</v>
      </c>
      <c r="Q80" s="110">
        <v>1</v>
      </c>
      <c r="R80" s="110">
        <v>0</v>
      </c>
      <c r="S80" s="115">
        <f t="shared" si="66"/>
        <v>0</v>
      </c>
      <c r="T80" s="115">
        <f t="shared" si="67"/>
        <v>0</v>
      </c>
      <c r="U80" s="115">
        <f t="shared" si="68"/>
        <v>0</v>
      </c>
      <c r="V80" s="115">
        <f t="shared" si="69"/>
        <v>0</v>
      </c>
      <c r="W80" s="114" t="s">
        <v>298</v>
      </c>
      <c r="X80" s="115">
        <f t="shared" si="70"/>
        <v>0</v>
      </c>
      <c r="Y80" s="14">
        <f t="shared" si="71"/>
        <v>0</v>
      </c>
      <c r="Z80" s="14">
        <f t="shared" si="72"/>
        <v>0</v>
      </c>
    </row>
    <row r="81" spans="12:29" ht="13">
      <c r="V81" s="14"/>
      <c r="W81" s="14"/>
      <c r="X81" s="14"/>
      <c r="Y81" s="14"/>
      <c r="Z81" s="14"/>
    </row>
    <row r="82" spans="12:29" ht="13">
      <c r="L82" s="36" t="s">
        <v>101</v>
      </c>
      <c r="M82" s="36"/>
      <c r="N82" s="58">
        <f>SUM(N76:N80)</f>
        <v>0</v>
      </c>
      <c r="O82" s="36"/>
      <c r="P82" s="36"/>
      <c r="Q82" s="36"/>
      <c r="R82" s="36"/>
      <c r="S82" s="36"/>
      <c r="T82" s="36"/>
      <c r="U82" s="36"/>
      <c r="V82" s="58"/>
      <c r="W82" s="58"/>
      <c r="X82" s="58"/>
      <c r="Y82" s="58">
        <f>SUMPRODUCT(Z9:Z34,--(Y9:Y34&lt;&gt;1))-SUMPRODUCT(U9:U34,--(Y9:Y34&lt;&gt;1))</f>
        <v>0</v>
      </c>
      <c r="Z82" s="58">
        <f>SUM(Z76:Z80)</f>
        <v>0</v>
      </c>
    </row>
    <row r="83" spans="12:29" ht="13">
      <c r="T83" s="14"/>
      <c r="U83" s="14"/>
      <c r="V83" s="14"/>
      <c r="W83" s="14"/>
      <c r="X83" s="14"/>
      <c r="Y83" s="14"/>
    </row>
    <row r="84" spans="12:29" ht="13">
      <c r="T84" s="14"/>
      <c r="U84" s="14"/>
      <c r="V84" s="14"/>
      <c r="W84" s="14"/>
      <c r="X84" s="14"/>
      <c r="Y84" s="14"/>
    </row>
    <row r="85" spans="12:29" ht="13">
      <c r="S85" s="14"/>
      <c r="T85" s="14"/>
      <c r="U85" s="14"/>
      <c r="V85" s="14"/>
      <c r="W85" s="14"/>
      <c r="X85" s="14"/>
      <c r="AC85" s="24"/>
    </row>
  </sheetData>
  <dataValidations count="6">
    <dataValidation type="list" allowBlank="1" showErrorMessage="1" sqref="W76:W80" xr:uid="{00000000-0002-0000-0500-000000000000}">
      <formula1>"full ratchet,broad-based weighted average,narrow-based weighted average"</formula1>
    </dataValidation>
    <dataValidation type="list" allowBlank="1" showErrorMessage="1" sqref="P76:P80" xr:uid="{00000000-0002-0000-0500-000001000000}">
      <formula1>"conversion ratio,new shares"</formula1>
    </dataValidation>
    <dataValidation type="list" allowBlank="1" sqref="M56:M59" xr:uid="{00000000-0002-0000-0500-000002000000}">
      <formula1>"postmoney SAFE,premoney SAFE,convertible note"</formula1>
    </dataValidation>
    <dataValidation type="list" allowBlank="1" sqref="N48" xr:uid="{00000000-0002-0000-0500-000003000000}">
      <formula1>"none,round,roundup,rounddown"</formula1>
    </dataValidation>
    <dataValidation type="list" allowBlank="1" showErrorMessage="1" sqref="O76:O80" xr:uid="{00000000-0002-0000-0500-000004000000}">
      <formula1>"ownership,value"</formula1>
    </dataValidation>
    <dataValidation type="list" allowBlank="1" sqref="N53 N65" xr:uid="{00000000-0002-0000-0500-000005000000}">
      <formula1>"investor friendly,founder friendly"</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Y36"/>
  <sheetViews>
    <sheetView showGridLines="0" workbookViewId="0">
      <pane xSplit="2" topLeftCell="C1" activePane="topRight" state="frozen"/>
      <selection pane="topRight" activeCell="D2" sqref="D2"/>
    </sheetView>
  </sheetViews>
  <sheetFormatPr baseColWidth="10" defaultColWidth="12.6640625" defaultRowHeight="15.75" customHeight="1"/>
  <cols>
    <col min="1" max="1" width="5.83203125" customWidth="1"/>
    <col min="2" max="2" width="32.6640625" customWidth="1"/>
    <col min="10" max="10" width="10" customWidth="1"/>
    <col min="11" max="11" width="14.6640625" customWidth="1"/>
    <col min="12" max="12" width="16.83203125" customWidth="1"/>
    <col min="13" max="13" width="13.1640625" customWidth="1"/>
    <col min="14" max="15" width="13.6640625" customWidth="1"/>
    <col min="16" max="16" width="16" customWidth="1"/>
    <col min="17" max="17" width="13.5" customWidth="1"/>
    <col min="18" max="18" width="14.1640625" customWidth="1"/>
    <col min="19" max="19" width="13.1640625" customWidth="1"/>
    <col min="20" max="20" width="15.1640625" customWidth="1"/>
    <col min="21" max="21" width="14.5" customWidth="1"/>
    <col min="22" max="22" width="13.5" customWidth="1"/>
    <col min="23" max="26" width="13.1640625" customWidth="1"/>
  </cols>
  <sheetData>
    <row r="1" spans="1:25" ht="15.75" customHeight="1">
      <c r="L1" s="14"/>
      <c r="Q1" s="14"/>
      <c r="R1" s="14"/>
      <c r="S1" s="14"/>
      <c r="T1" s="14"/>
      <c r="U1" s="14"/>
      <c r="V1" s="14"/>
    </row>
    <row r="2" spans="1:25">
      <c r="B2" s="1" t="s">
        <v>270</v>
      </c>
      <c r="L2" s="14"/>
      <c r="Q2" s="14"/>
      <c r="R2" s="14"/>
      <c r="S2" s="14"/>
      <c r="T2" s="14"/>
      <c r="U2" s="14"/>
      <c r="V2" s="14"/>
    </row>
    <row r="3" spans="1:25" ht="15.75" customHeight="1">
      <c r="B3" s="16" t="s">
        <v>299</v>
      </c>
      <c r="L3" s="14"/>
      <c r="Q3" s="14"/>
      <c r="R3" s="14"/>
      <c r="S3" s="14"/>
      <c r="T3" s="14"/>
      <c r="U3" s="14"/>
      <c r="V3" s="14"/>
    </row>
    <row r="4" spans="1:25" ht="15.75" customHeight="1">
      <c r="L4" s="14"/>
      <c r="Q4" s="14"/>
      <c r="R4" s="14"/>
      <c r="S4" s="14"/>
      <c r="T4" s="14"/>
      <c r="U4" s="14"/>
      <c r="V4" s="14"/>
    </row>
    <row r="5" spans="1:25" ht="15.75" customHeight="1">
      <c r="B5" s="17" t="s">
        <v>74</v>
      </c>
      <c r="C5" s="18"/>
      <c r="D5" s="18"/>
      <c r="E5" s="18"/>
      <c r="F5" s="18"/>
      <c r="G5" s="18"/>
      <c r="H5" s="18"/>
      <c r="I5" s="18"/>
      <c r="K5" s="17" t="s">
        <v>75</v>
      </c>
      <c r="L5" s="19"/>
      <c r="M5" s="18"/>
      <c r="N5" s="18"/>
      <c r="O5" s="18"/>
      <c r="P5" s="19"/>
      <c r="Q5" s="19"/>
      <c r="R5" s="19"/>
      <c r="S5" s="19"/>
      <c r="T5" s="19"/>
      <c r="U5" s="19"/>
      <c r="V5" s="18"/>
      <c r="W5" s="18"/>
      <c r="X5" s="18"/>
      <c r="Y5" s="18"/>
    </row>
    <row r="6" spans="1:25" ht="15.75" customHeight="1">
      <c r="L6" s="14"/>
      <c r="P6" s="14"/>
      <c r="Q6" s="14"/>
      <c r="R6" s="14"/>
      <c r="S6" s="14"/>
      <c r="T6" s="14"/>
      <c r="U6" s="14"/>
    </row>
    <row r="7" spans="1:25" ht="15.75" customHeight="1">
      <c r="A7" s="20"/>
      <c r="B7" s="21" t="s">
        <v>76</v>
      </c>
      <c r="C7" s="22" t="s">
        <v>77</v>
      </c>
      <c r="D7" s="22" t="s">
        <v>78</v>
      </c>
      <c r="E7" s="22" t="s">
        <v>79</v>
      </c>
      <c r="F7" s="22" t="s">
        <v>80</v>
      </c>
      <c r="G7" s="22" t="s">
        <v>81</v>
      </c>
      <c r="H7" s="22" t="s">
        <v>82</v>
      </c>
      <c r="I7" s="22" t="s">
        <v>83</v>
      </c>
      <c r="J7" s="20"/>
      <c r="K7" s="21" t="s">
        <v>84</v>
      </c>
      <c r="L7" s="23" t="s">
        <v>85</v>
      </c>
      <c r="M7" s="23" t="s">
        <v>86</v>
      </c>
      <c r="N7" s="23" t="s">
        <v>86</v>
      </c>
      <c r="O7" s="23" t="s">
        <v>87</v>
      </c>
      <c r="P7" s="23" t="str">
        <f t="shared" ref="P7:Q7" si="0">C7&amp;" Transferred"</f>
        <v>Common Shares Transferred</v>
      </c>
      <c r="Q7" s="23" t="str">
        <f t="shared" si="0"/>
        <v>Preferred Shares Transferred</v>
      </c>
      <c r="R7" s="23" t="str">
        <f>E7&amp;" Issued, Cancelled, or Recategorized"</f>
        <v>Options Issued, Cancelled, or Recategorized</v>
      </c>
      <c r="S7" s="22" t="str">
        <f t="shared" ref="S7:Y7" si="1">C7</f>
        <v>Common Shares</v>
      </c>
      <c r="T7" s="22" t="str">
        <f t="shared" si="1"/>
        <v>Preferred Shares</v>
      </c>
      <c r="U7" s="22" t="str">
        <f t="shared" si="1"/>
        <v>Options</v>
      </c>
      <c r="V7" s="22" t="str">
        <f t="shared" si="1"/>
        <v>Issued and Outstanding</v>
      </c>
      <c r="W7" s="22" t="str">
        <f t="shared" si="1"/>
        <v>% Issued and Outstanding</v>
      </c>
      <c r="X7" s="23" t="str">
        <f t="shared" si="1"/>
        <v>Fully Diluted Shares</v>
      </c>
      <c r="Y7" s="22" t="str">
        <f t="shared" si="1"/>
        <v>% Fully Diluted</v>
      </c>
    </row>
    <row r="8" spans="1:25" ht="15.75" customHeight="1">
      <c r="B8" s="24"/>
      <c r="D8" s="25" t="s">
        <v>88</v>
      </c>
      <c r="L8" s="25" t="s">
        <v>89</v>
      </c>
      <c r="M8" s="25" t="s">
        <v>90</v>
      </c>
      <c r="N8" s="25" t="s">
        <v>91</v>
      </c>
      <c r="O8" s="25" t="s">
        <v>92</v>
      </c>
      <c r="P8" s="26" t="s">
        <v>93</v>
      </c>
      <c r="Q8" s="25"/>
      <c r="R8" s="25"/>
      <c r="X8" s="14"/>
    </row>
    <row r="9" spans="1:25" ht="15.75" customHeight="1">
      <c r="B9" s="27" t="s">
        <v>94</v>
      </c>
      <c r="C9" s="28"/>
      <c r="D9" s="28"/>
      <c r="E9" s="28"/>
      <c r="F9" s="28"/>
      <c r="G9" s="29"/>
      <c r="H9" s="28"/>
      <c r="I9" s="29"/>
      <c r="L9" s="14"/>
      <c r="M9" s="28"/>
      <c r="N9" s="28"/>
      <c r="O9" s="28"/>
      <c r="P9" s="28"/>
      <c r="Q9" s="28"/>
      <c r="R9" s="28"/>
      <c r="S9" s="28"/>
      <c r="T9" s="28"/>
      <c r="U9" s="28"/>
      <c r="V9" s="28"/>
      <c r="W9" s="29"/>
      <c r="X9" s="28"/>
      <c r="Y9" s="29"/>
    </row>
    <row r="10" spans="1:25" ht="15.75" customHeight="1">
      <c r="B10" s="30" t="s">
        <v>76</v>
      </c>
      <c r="C10" s="31">
        <v>0</v>
      </c>
      <c r="D10" s="31">
        <v>0</v>
      </c>
      <c r="E10" s="32">
        <v>0</v>
      </c>
      <c r="F10" s="28">
        <f t="shared" ref="F10:F14" si="2">D10+C10</f>
        <v>0</v>
      </c>
      <c r="G10" s="29">
        <f t="shared" ref="G10:G14" si="3">IFERROR(F10/F$23,0)</f>
        <v>0</v>
      </c>
      <c r="H10" s="28">
        <f t="shared" ref="H10:H14" si="4">E10+D10+C10</f>
        <v>0</v>
      </c>
      <c r="I10" s="29">
        <f t="shared" ref="I10:I14" si="5">IFERROR(H10/H$23,0)</f>
        <v>0</v>
      </c>
      <c r="K10" s="14">
        <v>0</v>
      </c>
      <c r="L10" s="14">
        <v>0</v>
      </c>
      <c r="M10" s="14">
        <v>0</v>
      </c>
      <c r="N10" s="28">
        <f t="shared" ref="N10:N14" si="6">IFERROR(IF(M$34="rounddown",ROUNDDOWN(K10/M$30,0),IF(M$34="roundup",ROUNDUP(K10/M$30,0),IF(M$34="round",ROUND(K10/M$30,0),K10/M$30))),0)</f>
        <v>0</v>
      </c>
      <c r="O10" s="14">
        <v>0</v>
      </c>
      <c r="P10" s="31">
        <v>0</v>
      </c>
      <c r="Q10" s="31">
        <v>0</v>
      </c>
      <c r="R10" s="31">
        <v>0</v>
      </c>
      <c r="S10" s="28">
        <f t="shared" ref="S10:S14" si="7">C10+P10</f>
        <v>0</v>
      </c>
      <c r="T10" s="28">
        <f t="shared" ref="T10:T14" si="8">N10+D10+M10+Q10</f>
        <v>0</v>
      </c>
      <c r="U10" s="28">
        <f t="shared" ref="U10:U14" si="9">E10+O10+R10</f>
        <v>0</v>
      </c>
      <c r="V10" s="28">
        <f t="shared" ref="V10:V14" si="10">T10+S10</f>
        <v>0</v>
      </c>
      <c r="W10" s="29">
        <f t="shared" ref="W10:W14" si="11">IFERROR(V10/V$23,0)</f>
        <v>0</v>
      </c>
      <c r="X10" s="28">
        <f t="shared" ref="X10:X14" si="12">U10+T10+S10</f>
        <v>0</v>
      </c>
      <c r="Y10" s="29">
        <f t="shared" ref="Y10:Y14" si="13">IFERROR(X10/X$23,0)</f>
        <v>0</v>
      </c>
    </row>
    <row r="11" spans="1:25" ht="15.75" customHeight="1">
      <c r="B11" s="30" t="s">
        <v>76</v>
      </c>
      <c r="C11" s="31">
        <v>0</v>
      </c>
      <c r="D11" s="31">
        <v>0</v>
      </c>
      <c r="E11" s="32">
        <v>0</v>
      </c>
      <c r="F11" s="28">
        <f t="shared" si="2"/>
        <v>0</v>
      </c>
      <c r="G11" s="29">
        <f t="shared" si="3"/>
        <v>0</v>
      </c>
      <c r="H11" s="28">
        <f t="shared" si="4"/>
        <v>0</v>
      </c>
      <c r="I11" s="29">
        <f t="shared" si="5"/>
        <v>0</v>
      </c>
      <c r="K11" s="14">
        <v>0</v>
      </c>
      <c r="L11" s="14">
        <v>0</v>
      </c>
      <c r="M11" s="14">
        <v>0</v>
      </c>
      <c r="N11" s="28">
        <f t="shared" si="6"/>
        <v>0</v>
      </c>
      <c r="O11" s="14">
        <v>0</v>
      </c>
      <c r="P11" s="31">
        <v>0</v>
      </c>
      <c r="Q11" s="31">
        <v>0</v>
      </c>
      <c r="R11" s="31">
        <v>0</v>
      </c>
      <c r="S11" s="28">
        <f t="shared" si="7"/>
        <v>0</v>
      </c>
      <c r="T11" s="28">
        <f t="shared" si="8"/>
        <v>0</v>
      </c>
      <c r="U11" s="28">
        <f t="shared" si="9"/>
        <v>0</v>
      </c>
      <c r="V11" s="28">
        <f t="shared" si="10"/>
        <v>0</v>
      </c>
      <c r="W11" s="29">
        <f t="shared" si="11"/>
        <v>0</v>
      </c>
      <c r="X11" s="28">
        <f t="shared" si="12"/>
        <v>0</v>
      </c>
      <c r="Y11" s="29">
        <f t="shared" si="13"/>
        <v>0</v>
      </c>
    </row>
    <row r="12" spans="1:25" ht="15.75" customHeight="1">
      <c r="B12" s="30" t="s">
        <v>76</v>
      </c>
      <c r="C12" s="31">
        <v>0</v>
      </c>
      <c r="D12" s="31">
        <v>0</v>
      </c>
      <c r="E12" s="32">
        <v>0</v>
      </c>
      <c r="F12" s="28">
        <f t="shared" si="2"/>
        <v>0</v>
      </c>
      <c r="G12" s="29">
        <f t="shared" si="3"/>
        <v>0</v>
      </c>
      <c r="H12" s="28">
        <f t="shared" si="4"/>
        <v>0</v>
      </c>
      <c r="I12" s="29">
        <f t="shared" si="5"/>
        <v>0</v>
      </c>
      <c r="K12" s="14">
        <v>0</v>
      </c>
      <c r="L12" s="14">
        <v>0</v>
      </c>
      <c r="M12" s="14">
        <v>0</v>
      </c>
      <c r="N12" s="28">
        <f t="shared" si="6"/>
        <v>0</v>
      </c>
      <c r="O12" s="14">
        <v>0</v>
      </c>
      <c r="P12" s="31">
        <v>0</v>
      </c>
      <c r="Q12" s="31">
        <v>0</v>
      </c>
      <c r="R12" s="31">
        <v>0</v>
      </c>
      <c r="S12" s="28">
        <f t="shared" si="7"/>
        <v>0</v>
      </c>
      <c r="T12" s="28">
        <f t="shared" si="8"/>
        <v>0</v>
      </c>
      <c r="U12" s="28">
        <f t="shared" si="9"/>
        <v>0</v>
      </c>
      <c r="V12" s="28">
        <f t="shared" si="10"/>
        <v>0</v>
      </c>
      <c r="W12" s="29">
        <f t="shared" si="11"/>
        <v>0</v>
      </c>
      <c r="X12" s="28">
        <f t="shared" si="12"/>
        <v>0</v>
      </c>
      <c r="Y12" s="29">
        <f t="shared" si="13"/>
        <v>0</v>
      </c>
    </row>
    <row r="13" spans="1:25" ht="15.75" customHeight="1">
      <c r="B13" s="30" t="s">
        <v>76</v>
      </c>
      <c r="C13" s="31">
        <v>0</v>
      </c>
      <c r="D13" s="31">
        <v>0</v>
      </c>
      <c r="E13" s="32">
        <v>0</v>
      </c>
      <c r="F13" s="28">
        <f t="shared" si="2"/>
        <v>0</v>
      </c>
      <c r="G13" s="29">
        <f t="shared" si="3"/>
        <v>0</v>
      </c>
      <c r="H13" s="28">
        <f t="shared" si="4"/>
        <v>0</v>
      </c>
      <c r="I13" s="29">
        <f t="shared" si="5"/>
        <v>0</v>
      </c>
      <c r="K13" s="14">
        <v>0</v>
      </c>
      <c r="L13" s="14">
        <v>0</v>
      </c>
      <c r="M13" s="14">
        <v>0</v>
      </c>
      <c r="N13" s="28">
        <f t="shared" si="6"/>
        <v>0</v>
      </c>
      <c r="O13" s="14">
        <v>0</v>
      </c>
      <c r="P13" s="31">
        <v>0</v>
      </c>
      <c r="Q13" s="31">
        <v>0</v>
      </c>
      <c r="R13" s="31">
        <v>0</v>
      </c>
      <c r="S13" s="28">
        <f t="shared" si="7"/>
        <v>0</v>
      </c>
      <c r="T13" s="28">
        <f t="shared" si="8"/>
        <v>0</v>
      </c>
      <c r="U13" s="28">
        <f t="shared" si="9"/>
        <v>0</v>
      </c>
      <c r="V13" s="28">
        <f t="shared" si="10"/>
        <v>0</v>
      </c>
      <c r="W13" s="29">
        <f t="shared" si="11"/>
        <v>0</v>
      </c>
      <c r="X13" s="28">
        <f t="shared" si="12"/>
        <v>0</v>
      </c>
      <c r="Y13" s="29">
        <f t="shared" si="13"/>
        <v>0</v>
      </c>
    </row>
    <row r="14" spans="1:25" ht="15.75" customHeight="1">
      <c r="B14" s="30" t="s">
        <v>76</v>
      </c>
      <c r="C14" s="31">
        <v>0</v>
      </c>
      <c r="D14" s="31">
        <v>0</v>
      </c>
      <c r="E14" s="32">
        <v>0</v>
      </c>
      <c r="F14" s="28">
        <f t="shared" si="2"/>
        <v>0</v>
      </c>
      <c r="G14" s="29">
        <f t="shared" si="3"/>
        <v>0</v>
      </c>
      <c r="H14" s="28">
        <f t="shared" si="4"/>
        <v>0</v>
      </c>
      <c r="I14" s="29">
        <f t="shared" si="5"/>
        <v>0</v>
      </c>
      <c r="K14" s="14">
        <v>0</v>
      </c>
      <c r="L14" s="14">
        <v>0</v>
      </c>
      <c r="M14" s="14">
        <v>0</v>
      </c>
      <c r="N14" s="28">
        <f t="shared" si="6"/>
        <v>0</v>
      </c>
      <c r="O14" s="14">
        <v>0</v>
      </c>
      <c r="P14" s="31">
        <v>0</v>
      </c>
      <c r="Q14" s="31">
        <v>0</v>
      </c>
      <c r="R14" s="31">
        <v>0</v>
      </c>
      <c r="S14" s="28">
        <f t="shared" si="7"/>
        <v>0</v>
      </c>
      <c r="T14" s="28">
        <f t="shared" si="8"/>
        <v>0</v>
      </c>
      <c r="U14" s="28">
        <f t="shared" si="9"/>
        <v>0</v>
      </c>
      <c r="V14" s="28">
        <f t="shared" si="10"/>
        <v>0</v>
      </c>
      <c r="W14" s="29">
        <f t="shared" si="11"/>
        <v>0</v>
      </c>
      <c r="X14" s="28">
        <f t="shared" si="12"/>
        <v>0</v>
      </c>
      <c r="Y14" s="29">
        <f t="shared" si="13"/>
        <v>0</v>
      </c>
    </row>
    <row r="15" spans="1:25" ht="15.75" customHeight="1">
      <c r="B15" s="10"/>
      <c r="C15" s="14"/>
      <c r="D15" s="14"/>
      <c r="E15" s="14"/>
      <c r="F15" s="14"/>
      <c r="H15" s="14"/>
      <c r="L15" s="14"/>
      <c r="M15" s="28"/>
      <c r="N15" s="28"/>
      <c r="O15" s="33"/>
      <c r="P15" s="33"/>
      <c r="Q15" s="33"/>
      <c r="R15" s="33"/>
      <c r="S15" s="33"/>
      <c r="T15" s="28"/>
      <c r="U15" s="28"/>
      <c r="X15" s="28"/>
    </row>
    <row r="16" spans="1:25" ht="15.75" customHeight="1">
      <c r="B16" s="27" t="s">
        <v>99</v>
      </c>
      <c r="C16" s="14"/>
      <c r="D16" s="14"/>
      <c r="E16" s="28"/>
      <c r="F16" s="28"/>
      <c r="G16" s="28"/>
      <c r="H16" s="28"/>
      <c r="I16" s="28"/>
      <c r="J16" s="28"/>
      <c r="K16" s="28"/>
      <c r="L16" s="28"/>
      <c r="M16" s="28"/>
      <c r="N16" s="28"/>
      <c r="O16" s="28"/>
      <c r="P16" s="28"/>
      <c r="Q16" s="28"/>
      <c r="R16" s="28"/>
      <c r="S16" s="28"/>
      <c r="T16" s="28"/>
      <c r="U16" s="28"/>
      <c r="V16" s="28"/>
      <c r="W16" s="29"/>
      <c r="X16" s="28"/>
      <c r="Y16" s="29"/>
    </row>
    <row r="17" spans="2:25" ht="15.75" customHeight="1">
      <c r="B17" s="30" t="s">
        <v>100</v>
      </c>
      <c r="C17" s="14">
        <v>0</v>
      </c>
      <c r="D17" s="14">
        <v>0</v>
      </c>
      <c r="E17" s="14">
        <v>0</v>
      </c>
      <c r="F17" s="28">
        <f t="shared" ref="F17:F21" si="14">D17+C17</f>
        <v>0</v>
      </c>
      <c r="G17" s="29">
        <f t="shared" ref="G17:G21" si="15">IFERROR(F17/F$23,0)</f>
        <v>0</v>
      </c>
      <c r="H17" s="28">
        <f t="shared" ref="H17:H21" si="16">E17+D17+C17</f>
        <v>0</v>
      </c>
      <c r="I17" s="29">
        <f t="shared" ref="I17:I21" si="17">IFERROR(H17/H$23,0)</f>
        <v>0</v>
      </c>
      <c r="K17" s="31">
        <v>0</v>
      </c>
      <c r="L17" s="28">
        <f t="shared" ref="L17:L21" si="18">IFERROR(M$30*N17,0)</f>
        <v>0</v>
      </c>
      <c r="M17" s="14">
        <v>0</v>
      </c>
      <c r="N17" s="28">
        <f t="shared" ref="N17:N21" si="19">IFERROR(IF(M$34="rounddown",ROUNDDOWN(K17/M$30,0),IF(M$34="roundup",ROUNDUP(K17/M$30,0),IF(M$34="round",ROUND(K17/M$30,0),K17/M$30))),0)</f>
        <v>0</v>
      </c>
      <c r="O17" s="14">
        <v>0</v>
      </c>
      <c r="P17" s="31">
        <v>0</v>
      </c>
      <c r="Q17" s="31">
        <v>0</v>
      </c>
      <c r="R17" s="31">
        <v>0</v>
      </c>
      <c r="S17" s="28">
        <f t="shared" ref="S17:S21" si="20">C17+P17</f>
        <v>0</v>
      </c>
      <c r="T17" s="28">
        <f t="shared" ref="T17:T21" si="21">N17+D17+M17+Q17</f>
        <v>0</v>
      </c>
      <c r="U17" s="28">
        <f t="shared" ref="U17:U21" si="22">E17+O17+R17</f>
        <v>0</v>
      </c>
      <c r="V17" s="28">
        <f t="shared" ref="V17:V21" si="23">T17+S17</f>
        <v>0</v>
      </c>
      <c r="W17" s="29">
        <f t="shared" ref="W17:W21" si="24">IFERROR(V17/V$23,0)</f>
        <v>0</v>
      </c>
      <c r="X17" s="28">
        <f t="shared" ref="X17:X21" si="25">U17+T17+S17</f>
        <v>0</v>
      </c>
      <c r="Y17" s="29">
        <f t="shared" ref="Y17:Y21" si="26">IFERROR(X17/X$23,0)</f>
        <v>0</v>
      </c>
    </row>
    <row r="18" spans="2:25" ht="15.75" customHeight="1">
      <c r="B18" s="30" t="s">
        <v>100</v>
      </c>
      <c r="C18" s="14">
        <v>0</v>
      </c>
      <c r="D18" s="14">
        <v>0</v>
      </c>
      <c r="E18" s="14">
        <v>0</v>
      </c>
      <c r="F18" s="28">
        <f t="shared" si="14"/>
        <v>0</v>
      </c>
      <c r="G18" s="29">
        <f t="shared" si="15"/>
        <v>0</v>
      </c>
      <c r="H18" s="28">
        <f t="shared" si="16"/>
        <v>0</v>
      </c>
      <c r="I18" s="29">
        <f t="shared" si="17"/>
        <v>0</v>
      </c>
      <c r="K18" s="31">
        <v>0</v>
      </c>
      <c r="L18" s="28">
        <f t="shared" si="18"/>
        <v>0</v>
      </c>
      <c r="M18" s="14">
        <v>0</v>
      </c>
      <c r="N18" s="28">
        <f t="shared" si="19"/>
        <v>0</v>
      </c>
      <c r="O18" s="14">
        <v>0</v>
      </c>
      <c r="P18" s="31">
        <v>0</v>
      </c>
      <c r="Q18" s="31">
        <v>0</v>
      </c>
      <c r="R18" s="31">
        <v>0</v>
      </c>
      <c r="S18" s="28">
        <f t="shared" si="20"/>
        <v>0</v>
      </c>
      <c r="T18" s="28">
        <f t="shared" si="21"/>
        <v>0</v>
      </c>
      <c r="U18" s="28">
        <f t="shared" si="22"/>
        <v>0</v>
      </c>
      <c r="V18" s="28">
        <f t="shared" si="23"/>
        <v>0</v>
      </c>
      <c r="W18" s="29">
        <f t="shared" si="24"/>
        <v>0</v>
      </c>
      <c r="X18" s="28">
        <f t="shared" si="25"/>
        <v>0</v>
      </c>
      <c r="Y18" s="29">
        <f t="shared" si="26"/>
        <v>0</v>
      </c>
    </row>
    <row r="19" spans="2:25" ht="15.75" customHeight="1">
      <c r="B19" s="30" t="s">
        <v>100</v>
      </c>
      <c r="C19" s="14">
        <v>0</v>
      </c>
      <c r="D19" s="14">
        <v>0</v>
      </c>
      <c r="E19" s="14">
        <v>0</v>
      </c>
      <c r="F19" s="28">
        <f t="shared" si="14"/>
        <v>0</v>
      </c>
      <c r="G19" s="29">
        <f t="shared" si="15"/>
        <v>0</v>
      </c>
      <c r="H19" s="28">
        <f t="shared" si="16"/>
        <v>0</v>
      </c>
      <c r="I19" s="29">
        <f t="shared" si="17"/>
        <v>0</v>
      </c>
      <c r="K19" s="31">
        <v>0</v>
      </c>
      <c r="L19" s="28">
        <f t="shared" si="18"/>
        <v>0</v>
      </c>
      <c r="M19" s="14">
        <v>0</v>
      </c>
      <c r="N19" s="28">
        <f t="shared" si="19"/>
        <v>0</v>
      </c>
      <c r="O19" s="14">
        <v>0</v>
      </c>
      <c r="P19" s="31">
        <v>0</v>
      </c>
      <c r="Q19" s="31">
        <v>0</v>
      </c>
      <c r="R19" s="31">
        <v>0</v>
      </c>
      <c r="S19" s="28">
        <f t="shared" si="20"/>
        <v>0</v>
      </c>
      <c r="T19" s="28">
        <f t="shared" si="21"/>
        <v>0</v>
      </c>
      <c r="U19" s="28">
        <f t="shared" si="22"/>
        <v>0</v>
      </c>
      <c r="V19" s="28">
        <f t="shared" si="23"/>
        <v>0</v>
      </c>
      <c r="W19" s="29">
        <f t="shared" si="24"/>
        <v>0</v>
      </c>
      <c r="X19" s="28">
        <f t="shared" si="25"/>
        <v>0</v>
      </c>
      <c r="Y19" s="29">
        <f t="shared" si="26"/>
        <v>0</v>
      </c>
    </row>
    <row r="20" spans="2:25" ht="15.75" customHeight="1">
      <c r="B20" s="30" t="s">
        <v>100</v>
      </c>
      <c r="C20" s="14">
        <v>0</v>
      </c>
      <c r="D20" s="14">
        <v>0</v>
      </c>
      <c r="E20" s="14">
        <v>0</v>
      </c>
      <c r="F20" s="28">
        <f t="shared" si="14"/>
        <v>0</v>
      </c>
      <c r="G20" s="29">
        <f t="shared" si="15"/>
        <v>0</v>
      </c>
      <c r="H20" s="28">
        <f t="shared" si="16"/>
        <v>0</v>
      </c>
      <c r="I20" s="29">
        <f t="shared" si="17"/>
        <v>0</v>
      </c>
      <c r="K20" s="32">
        <v>0</v>
      </c>
      <c r="L20" s="28">
        <f t="shared" si="18"/>
        <v>0</v>
      </c>
      <c r="M20" s="14">
        <v>0</v>
      </c>
      <c r="N20" s="28">
        <f t="shared" si="19"/>
        <v>0</v>
      </c>
      <c r="O20" s="14">
        <v>0</v>
      </c>
      <c r="P20" s="31">
        <v>0</v>
      </c>
      <c r="Q20" s="31">
        <v>0</v>
      </c>
      <c r="R20" s="31">
        <v>0</v>
      </c>
      <c r="S20" s="28">
        <f t="shared" si="20"/>
        <v>0</v>
      </c>
      <c r="T20" s="28">
        <f t="shared" si="21"/>
        <v>0</v>
      </c>
      <c r="U20" s="28">
        <f t="shared" si="22"/>
        <v>0</v>
      </c>
      <c r="V20" s="28">
        <f t="shared" si="23"/>
        <v>0</v>
      </c>
      <c r="W20" s="29">
        <f t="shared" si="24"/>
        <v>0</v>
      </c>
      <c r="X20" s="28">
        <f t="shared" si="25"/>
        <v>0</v>
      </c>
      <c r="Y20" s="29">
        <f t="shared" si="26"/>
        <v>0</v>
      </c>
    </row>
    <row r="21" spans="2:25" ht="15.75" customHeight="1">
      <c r="B21" s="30" t="s">
        <v>100</v>
      </c>
      <c r="C21" s="14">
        <v>0</v>
      </c>
      <c r="D21" s="14">
        <v>0</v>
      </c>
      <c r="E21" s="14">
        <v>0</v>
      </c>
      <c r="F21" s="28">
        <f t="shared" si="14"/>
        <v>0</v>
      </c>
      <c r="G21" s="29">
        <f t="shared" si="15"/>
        <v>0</v>
      </c>
      <c r="H21" s="28">
        <f t="shared" si="16"/>
        <v>0</v>
      </c>
      <c r="I21" s="29">
        <f t="shared" si="17"/>
        <v>0</v>
      </c>
      <c r="K21" s="32">
        <v>0</v>
      </c>
      <c r="L21" s="28">
        <f t="shared" si="18"/>
        <v>0</v>
      </c>
      <c r="M21" s="14">
        <v>0</v>
      </c>
      <c r="N21" s="28">
        <f t="shared" si="19"/>
        <v>0</v>
      </c>
      <c r="O21" s="14">
        <v>0</v>
      </c>
      <c r="P21" s="31">
        <v>0</v>
      </c>
      <c r="Q21" s="31">
        <v>0</v>
      </c>
      <c r="R21" s="31">
        <v>0</v>
      </c>
      <c r="S21" s="28">
        <f t="shared" si="20"/>
        <v>0</v>
      </c>
      <c r="T21" s="28">
        <f t="shared" si="21"/>
        <v>0</v>
      </c>
      <c r="U21" s="28">
        <f t="shared" si="22"/>
        <v>0</v>
      </c>
      <c r="V21" s="28">
        <f t="shared" si="23"/>
        <v>0</v>
      </c>
      <c r="W21" s="29">
        <f t="shared" si="24"/>
        <v>0</v>
      </c>
      <c r="X21" s="28">
        <f t="shared" si="25"/>
        <v>0</v>
      </c>
      <c r="Y21" s="29">
        <f t="shared" si="26"/>
        <v>0</v>
      </c>
    </row>
    <row r="22" spans="2:25" ht="15.75" customHeight="1">
      <c r="C22" s="14"/>
      <c r="D22" s="14"/>
      <c r="E22" s="14"/>
      <c r="L22" s="14"/>
      <c r="M22" s="14"/>
      <c r="N22" s="14"/>
      <c r="O22" s="14"/>
      <c r="P22" s="14"/>
      <c r="Q22" s="14"/>
      <c r="R22" s="14"/>
      <c r="X22" s="14"/>
    </row>
    <row r="23" spans="2:25" ht="15.75" customHeight="1">
      <c r="B23" s="36" t="s">
        <v>101</v>
      </c>
      <c r="C23" s="37">
        <f t="shared" ref="C23:F23" si="27">SUM(C8:C22)</f>
        <v>0</v>
      </c>
      <c r="D23" s="37">
        <f t="shared" si="27"/>
        <v>0</v>
      </c>
      <c r="E23" s="37">
        <f t="shared" si="27"/>
        <v>0</v>
      </c>
      <c r="F23" s="37">
        <f t="shared" si="27"/>
        <v>0</v>
      </c>
      <c r="G23" s="38">
        <f>IFERROR(F23/F$23,0)</f>
        <v>0</v>
      </c>
      <c r="H23" s="37">
        <f>SUM(H8:H22)</f>
        <v>0</v>
      </c>
      <c r="I23" s="38">
        <f>IFERROR(H23/H$23,0)</f>
        <v>0</v>
      </c>
      <c r="K23" s="37">
        <f t="shared" ref="K23:P23" si="28">SUM(K8:K22)</f>
        <v>0</v>
      </c>
      <c r="L23" s="37">
        <f t="shared" si="28"/>
        <v>0</v>
      </c>
      <c r="M23" s="37">
        <f t="shared" si="28"/>
        <v>0</v>
      </c>
      <c r="N23" s="37">
        <f t="shared" si="28"/>
        <v>0</v>
      </c>
      <c r="O23" s="37">
        <f t="shared" si="28"/>
        <v>0</v>
      </c>
      <c r="P23" s="37">
        <f t="shared" si="28"/>
        <v>0</v>
      </c>
      <c r="Q23" s="37"/>
      <c r="R23" s="37"/>
      <c r="S23" s="37">
        <f t="shared" ref="S23:V23" si="29">SUM(S8:S22)</f>
        <v>0</v>
      </c>
      <c r="T23" s="37">
        <f t="shared" si="29"/>
        <v>0</v>
      </c>
      <c r="U23" s="37">
        <f t="shared" si="29"/>
        <v>0</v>
      </c>
      <c r="V23" s="37">
        <f t="shared" si="29"/>
        <v>0</v>
      </c>
      <c r="W23" s="38">
        <f>IFERROR(V23/V$23,0)</f>
        <v>0</v>
      </c>
      <c r="X23" s="37">
        <f>SUM(X8:X22)</f>
        <v>0</v>
      </c>
      <c r="Y23" s="38">
        <f>IFERROR(X23/X$23,0)</f>
        <v>0</v>
      </c>
    </row>
    <row r="24" spans="2:25" ht="15.75" customHeight="1">
      <c r="L24" s="14"/>
    </row>
    <row r="25" spans="2:25" ht="15.75" customHeight="1">
      <c r="K25" s="32" t="s">
        <v>228</v>
      </c>
      <c r="L25" s="14"/>
      <c r="M25" s="14"/>
      <c r="N25" s="39"/>
      <c r="Q25" s="14"/>
      <c r="R25" s="14"/>
      <c r="S25" s="14"/>
      <c r="T25" s="14"/>
      <c r="U25" s="14"/>
      <c r="V25" s="14"/>
    </row>
    <row r="26" spans="2:25" ht="15.75" customHeight="1">
      <c r="K26" s="40" t="s">
        <v>103</v>
      </c>
      <c r="L26" s="14"/>
      <c r="M26" s="14">
        <f>L23</f>
        <v>0</v>
      </c>
      <c r="N26" s="10" t="s">
        <v>104</v>
      </c>
      <c r="Q26" s="14"/>
      <c r="R26" s="14"/>
      <c r="S26" s="14"/>
      <c r="T26" s="14"/>
      <c r="U26" s="14"/>
      <c r="V26" s="14"/>
    </row>
    <row r="27" spans="2:25" ht="15.75" customHeight="1">
      <c r="K27" s="40" t="s">
        <v>105</v>
      </c>
      <c r="L27" s="14"/>
      <c r="M27" s="32">
        <v>0</v>
      </c>
      <c r="N27" s="10" t="s">
        <v>106</v>
      </c>
      <c r="Q27" s="14"/>
      <c r="R27" s="14"/>
      <c r="S27" s="14"/>
      <c r="T27" s="14"/>
      <c r="U27" s="14"/>
      <c r="V27" s="14"/>
    </row>
    <row r="28" spans="2:25" ht="15.75" customHeight="1">
      <c r="K28" s="40" t="s">
        <v>107</v>
      </c>
      <c r="L28" s="14"/>
      <c r="M28" s="14">
        <f>M26+M27</f>
        <v>0</v>
      </c>
      <c r="N28" s="10" t="s">
        <v>108</v>
      </c>
      <c r="Q28" s="14"/>
      <c r="R28" s="14"/>
      <c r="S28" s="14"/>
      <c r="T28" s="14"/>
      <c r="U28" s="14"/>
      <c r="V28" s="14"/>
    </row>
    <row r="29" spans="2:25" ht="15.75" customHeight="1">
      <c r="K29" s="40" t="s">
        <v>109</v>
      </c>
      <c r="L29" s="14"/>
      <c r="M29" s="14">
        <f>H23</f>
        <v>0</v>
      </c>
      <c r="N29" s="10" t="s">
        <v>110</v>
      </c>
      <c r="Q29" s="14"/>
      <c r="R29" s="14"/>
      <c r="S29" s="14"/>
      <c r="T29" s="14"/>
      <c r="U29" s="14"/>
      <c r="V29" s="14"/>
    </row>
    <row r="30" spans="2:25" ht="15.75" customHeight="1">
      <c r="K30" s="40" t="s">
        <v>111</v>
      </c>
      <c r="L30" s="14"/>
      <c r="M30" s="41">
        <f>IFERROR(IF(ISNUMBER(M33),ROUND(M27/M29,M33),M27/M29),0)</f>
        <v>0</v>
      </c>
      <c r="N30" s="10" t="s">
        <v>300</v>
      </c>
      <c r="Q30" s="14"/>
      <c r="R30" s="14"/>
      <c r="S30" s="14"/>
      <c r="T30" s="14"/>
      <c r="U30" s="14"/>
      <c r="V30" s="14"/>
    </row>
    <row r="31" spans="2:25" ht="15.75" customHeight="1">
      <c r="K31" s="40"/>
      <c r="L31" s="14"/>
      <c r="M31" s="14"/>
      <c r="N31" s="10"/>
      <c r="Q31" s="14"/>
      <c r="R31" s="14"/>
      <c r="S31" s="14"/>
      <c r="T31" s="14"/>
      <c r="U31" s="14"/>
      <c r="V31" s="14"/>
    </row>
    <row r="32" spans="2:25" ht="15.75" customHeight="1">
      <c r="K32" s="42" t="s">
        <v>115</v>
      </c>
      <c r="L32" s="43"/>
      <c r="M32" s="43"/>
      <c r="N32" s="44"/>
      <c r="O32" s="44"/>
      <c r="P32" s="44"/>
      <c r="Q32" s="43"/>
      <c r="R32" s="43"/>
      <c r="S32" s="43"/>
      <c r="T32" s="43"/>
      <c r="U32" s="43"/>
      <c r="V32" s="43"/>
    </row>
    <row r="33" spans="11:22" ht="15.75" customHeight="1">
      <c r="K33" s="40" t="str">
        <f>IF(ISNUMBER(M33),"Round share prices to "&amp;M33&amp;" significant digits","Do not round share prices")</f>
        <v>Round share prices to 4 significant digits</v>
      </c>
      <c r="L33" s="14"/>
      <c r="M33" s="45">
        <v>4</v>
      </c>
      <c r="N33" s="10" t="s">
        <v>118</v>
      </c>
      <c r="Q33" s="14"/>
      <c r="R33" s="14"/>
      <c r="S33" s="14"/>
      <c r="T33" s="14"/>
      <c r="U33" s="14"/>
      <c r="V33" s="14"/>
    </row>
    <row r="34" spans="11:22" ht="15.75" customHeight="1">
      <c r="K34" s="40" t="s">
        <v>119</v>
      </c>
      <c r="L34" s="14"/>
      <c r="M34" s="45" t="s">
        <v>120</v>
      </c>
      <c r="N34" s="10" t="s">
        <v>121</v>
      </c>
      <c r="Q34" s="14"/>
      <c r="R34" s="14"/>
      <c r="S34" s="14"/>
      <c r="T34" s="14"/>
      <c r="U34" s="14"/>
      <c r="V34" s="14"/>
    </row>
    <row r="35" spans="11:22" ht="15.75" customHeight="1">
      <c r="K35" s="47"/>
      <c r="L35" s="14"/>
      <c r="Q35" s="14"/>
      <c r="R35" s="14"/>
      <c r="S35" s="14"/>
      <c r="T35" s="14"/>
      <c r="U35" s="14"/>
      <c r="V35" s="14"/>
    </row>
    <row r="36" spans="11:22" ht="15.75" customHeight="1">
      <c r="K36" s="10"/>
      <c r="L36" s="14"/>
      <c r="Q36" s="14"/>
      <c r="R36" s="14"/>
      <c r="S36" s="14"/>
      <c r="T36" s="14"/>
      <c r="U36" s="14"/>
      <c r="V36" s="14"/>
    </row>
  </sheetData>
  <dataValidations count="1">
    <dataValidation type="list" allowBlank="1" sqref="M34" xr:uid="{00000000-0002-0000-0600-000000000000}">
      <formula1>"none,round,roundup,rounddown"</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Y53"/>
  <sheetViews>
    <sheetView showGridLines="0" topLeftCell="A4" workbookViewId="0">
      <pane xSplit="2" topLeftCell="E1" activePane="topRight" state="frozen"/>
      <selection pane="topRight" activeCell="M39" sqref="M39"/>
    </sheetView>
  </sheetViews>
  <sheetFormatPr baseColWidth="10" defaultColWidth="12.6640625" defaultRowHeight="15.75" customHeight="1"/>
  <cols>
    <col min="1" max="1" width="5.83203125" customWidth="1"/>
    <col min="2" max="2" width="32.6640625" customWidth="1"/>
    <col min="10" max="10" width="10" customWidth="1"/>
    <col min="11" max="11" width="14.6640625" customWidth="1"/>
    <col min="12" max="12" width="16.83203125" customWidth="1"/>
    <col min="13" max="13" width="13.1640625" customWidth="1"/>
    <col min="14" max="15" width="13.6640625" customWidth="1"/>
    <col min="16" max="16" width="16" customWidth="1"/>
    <col min="17" max="17" width="13.5" customWidth="1"/>
    <col min="18" max="18" width="14.1640625" customWidth="1"/>
    <col min="19" max="19" width="13.1640625" customWidth="1"/>
    <col min="20" max="20" width="15.1640625" customWidth="1"/>
    <col min="21" max="21" width="14.5" customWidth="1"/>
    <col min="22" max="22" width="13.5" customWidth="1"/>
    <col min="23" max="26" width="13.1640625" customWidth="1"/>
  </cols>
  <sheetData>
    <row r="1" spans="1:25" ht="15.75" customHeight="1">
      <c r="L1" s="14"/>
      <c r="Q1" s="14"/>
      <c r="R1" s="14"/>
      <c r="S1" s="14"/>
      <c r="T1" s="14"/>
      <c r="U1" s="14"/>
      <c r="V1" s="14"/>
    </row>
    <row r="2" spans="1:25">
      <c r="B2" s="1" t="s">
        <v>270</v>
      </c>
      <c r="L2" s="14"/>
      <c r="Q2" s="14"/>
      <c r="R2" s="14"/>
      <c r="S2" s="14"/>
      <c r="T2" s="14"/>
      <c r="U2" s="14"/>
      <c r="V2" s="14"/>
    </row>
    <row r="3" spans="1:25" ht="15.75" customHeight="1">
      <c r="B3" s="16" t="s">
        <v>301</v>
      </c>
      <c r="L3" s="14"/>
      <c r="Q3" s="14"/>
      <c r="R3" s="14"/>
      <c r="S3" s="14"/>
      <c r="T3" s="14"/>
      <c r="U3" s="14"/>
      <c r="V3" s="14"/>
    </row>
    <row r="4" spans="1:25" ht="15.75" customHeight="1">
      <c r="L4" s="14"/>
      <c r="Q4" s="14"/>
      <c r="R4" s="14"/>
      <c r="S4" s="14"/>
      <c r="T4" s="14"/>
      <c r="U4" s="14"/>
      <c r="V4" s="14"/>
    </row>
    <row r="5" spans="1:25" ht="15.75" customHeight="1">
      <c r="B5" s="17" t="s">
        <v>74</v>
      </c>
      <c r="C5" s="18"/>
      <c r="D5" s="18"/>
      <c r="E5" s="18"/>
      <c r="F5" s="18"/>
      <c r="G5" s="18"/>
      <c r="H5" s="18"/>
      <c r="I5" s="18"/>
      <c r="K5" s="17" t="s">
        <v>75</v>
      </c>
      <c r="L5" s="19"/>
      <c r="M5" s="18"/>
      <c r="N5" s="18"/>
      <c r="O5" s="18"/>
      <c r="P5" s="19"/>
      <c r="Q5" s="19"/>
      <c r="R5" s="19"/>
      <c r="S5" s="19"/>
      <c r="T5" s="19"/>
      <c r="U5" s="19"/>
      <c r="V5" s="18"/>
      <c r="W5" s="18"/>
      <c r="X5" s="18"/>
      <c r="Y5" s="18"/>
    </row>
    <row r="6" spans="1:25" ht="15.75" customHeight="1">
      <c r="L6" s="14"/>
      <c r="P6" s="14"/>
      <c r="Q6" s="14"/>
      <c r="R6" s="14"/>
      <c r="S6" s="14"/>
      <c r="T6" s="14"/>
      <c r="U6" s="14"/>
    </row>
    <row r="7" spans="1:25" ht="15.75" customHeight="1">
      <c r="A7" s="20"/>
      <c r="B7" s="21" t="s">
        <v>76</v>
      </c>
      <c r="C7" s="22" t="s">
        <v>77</v>
      </c>
      <c r="D7" s="22" t="s">
        <v>78</v>
      </c>
      <c r="E7" s="22" t="s">
        <v>79</v>
      </c>
      <c r="F7" s="22" t="s">
        <v>80</v>
      </c>
      <c r="G7" s="22" t="s">
        <v>81</v>
      </c>
      <c r="H7" s="22" t="s">
        <v>82</v>
      </c>
      <c r="I7" s="22" t="s">
        <v>83</v>
      </c>
      <c r="J7" s="20"/>
      <c r="K7" s="21" t="s">
        <v>84</v>
      </c>
      <c r="L7" s="23" t="s">
        <v>85</v>
      </c>
      <c r="M7" s="23" t="s">
        <v>86</v>
      </c>
      <c r="N7" s="23" t="s">
        <v>86</v>
      </c>
      <c r="O7" s="23" t="s">
        <v>87</v>
      </c>
      <c r="P7" s="23" t="str">
        <f t="shared" ref="P7:Q7" si="0">C7&amp;" Transferred"</f>
        <v>Common Shares Transferred</v>
      </c>
      <c r="Q7" s="23" t="str">
        <f t="shared" si="0"/>
        <v>Preferred Shares Transferred</v>
      </c>
      <c r="R7" s="23" t="str">
        <f>E7&amp;" Issued, Cancelled, or Recategorized"</f>
        <v>Options Issued, Cancelled, or Recategorized</v>
      </c>
      <c r="S7" s="22" t="str">
        <f t="shared" ref="S7:Y7" si="1">C7</f>
        <v>Common Shares</v>
      </c>
      <c r="T7" s="22" t="str">
        <f t="shared" si="1"/>
        <v>Preferred Shares</v>
      </c>
      <c r="U7" s="22" t="str">
        <f t="shared" si="1"/>
        <v>Options</v>
      </c>
      <c r="V7" s="22" t="str">
        <f t="shared" si="1"/>
        <v>Issued and Outstanding</v>
      </c>
      <c r="W7" s="22" t="str">
        <f t="shared" si="1"/>
        <v>% Issued and Outstanding</v>
      </c>
      <c r="X7" s="23" t="str">
        <f t="shared" si="1"/>
        <v>Fully Diluted Shares</v>
      </c>
      <c r="Y7" s="22" t="str">
        <f t="shared" si="1"/>
        <v>% Fully Diluted</v>
      </c>
    </row>
    <row r="8" spans="1:25" ht="15.75" customHeight="1">
      <c r="B8" s="24"/>
      <c r="D8" s="25" t="s">
        <v>88</v>
      </c>
      <c r="L8" s="25" t="s">
        <v>89</v>
      </c>
      <c r="M8" s="25" t="s">
        <v>90</v>
      </c>
      <c r="N8" s="25" t="s">
        <v>91</v>
      </c>
      <c r="O8" s="25" t="s">
        <v>92</v>
      </c>
      <c r="P8" s="26" t="s">
        <v>93</v>
      </c>
      <c r="Q8" s="25"/>
      <c r="R8" s="25"/>
      <c r="X8" s="14"/>
    </row>
    <row r="9" spans="1:25" ht="15.75" customHeight="1">
      <c r="B9" s="27" t="s">
        <v>94</v>
      </c>
      <c r="C9" s="28"/>
      <c r="D9" s="28"/>
      <c r="E9" s="28"/>
      <c r="F9" s="28"/>
      <c r="G9" s="29"/>
      <c r="H9" s="28"/>
      <c r="I9" s="29"/>
      <c r="L9" s="14"/>
      <c r="M9" s="28"/>
      <c r="N9" s="28"/>
      <c r="O9" s="28"/>
      <c r="P9" s="28"/>
      <c r="Q9" s="28"/>
      <c r="R9" s="28"/>
      <c r="S9" s="28"/>
      <c r="T9" s="28"/>
      <c r="U9" s="28"/>
      <c r="V9" s="28"/>
      <c r="W9" s="29"/>
      <c r="X9" s="28"/>
      <c r="Y9" s="29"/>
    </row>
    <row r="10" spans="1:25" ht="15.75" customHeight="1">
      <c r="B10" s="30" t="s">
        <v>76</v>
      </c>
      <c r="C10" s="31">
        <v>0</v>
      </c>
      <c r="D10" s="31">
        <v>0</v>
      </c>
      <c r="E10" s="32">
        <v>0</v>
      </c>
      <c r="F10" s="28">
        <f t="shared" ref="F10:F14" si="2">D10+C10</f>
        <v>0</v>
      </c>
      <c r="G10" s="29">
        <f t="shared" ref="G10:G14" si="3">IFERROR(F10/F$28,0)</f>
        <v>0</v>
      </c>
      <c r="H10" s="28">
        <f t="shared" ref="H10:H14" si="4">E10+D10+C10</f>
        <v>0</v>
      </c>
      <c r="I10" s="29">
        <f t="shared" ref="I10:I14" si="5">IFERROR(H10/H$28,0)</f>
        <v>0</v>
      </c>
      <c r="K10" s="14">
        <v>0</v>
      </c>
      <c r="L10" s="14">
        <v>0</v>
      </c>
      <c r="M10" s="14">
        <v>0</v>
      </c>
      <c r="N10" s="14">
        <v>0</v>
      </c>
      <c r="O10" s="14">
        <v>0</v>
      </c>
      <c r="P10" s="31">
        <v>0</v>
      </c>
      <c r="Q10" s="31">
        <v>0</v>
      </c>
      <c r="R10" s="31">
        <v>0</v>
      </c>
      <c r="S10" s="28">
        <f t="shared" ref="S10:S14" si="6">C10+P10</f>
        <v>0</v>
      </c>
      <c r="T10" s="28">
        <f t="shared" ref="T10:T14" si="7">N10+D10+M10+Q10</f>
        <v>0</v>
      </c>
      <c r="U10" s="28">
        <f t="shared" ref="U10:U14" si="8">E10+O10+R10</f>
        <v>0</v>
      </c>
      <c r="V10" s="28">
        <f t="shared" ref="V10:V14" si="9">T10+S10</f>
        <v>0</v>
      </c>
      <c r="W10" s="29">
        <f t="shared" ref="W10:W14" si="10">IFERROR(V10/V$28,0)</f>
        <v>0</v>
      </c>
      <c r="X10" s="28">
        <f t="shared" ref="X10:X14" si="11">U10+T10+S10</f>
        <v>0</v>
      </c>
      <c r="Y10" s="29">
        <f t="shared" ref="Y10:Y14" si="12">IFERROR(X10/X$28,0)</f>
        <v>0</v>
      </c>
    </row>
    <row r="11" spans="1:25" ht="15.75" customHeight="1">
      <c r="B11" s="30" t="s">
        <v>76</v>
      </c>
      <c r="C11" s="31">
        <v>0</v>
      </c>
      <c r="D11" s="31">
        <v>0</v>
      </c>
      <c r="E11" s="32">
        <v>0</v>
      </c>
      <c r="F11" s="28">
        <f t="shared" si="2"/>
        <v>0</v>
      </c>
      <c r="G11" s="29">
        <f t="shared" si="3"/>
        <v>0</v>
      </c>
      <c r="H11" s="28">
        <f t="shared" si="4"/>
        <v>0</v>
      </c>
      <c r="I11" s="29">
        <f t="shared" si="5"/>
        <v>0</v>
      </c>
      <c r="K11" s="14">
        <v>0</v>
      </c>
      <c r="L11" s="14">
        <v>0</v>
      </c>
      <c r="M11" s="14">
        <v>0</v>
      </c>
      <c r="N11" s="14">
        <v>0</v>
      </c>
      <c r="O11" s="14">
        <v>0</v>
      </c>
      <c r="P11" s="31">
        <v>0</v>
      </c>
      <c r="Q11" s="31">
        <v>0</v>
      </c>
      <c r="R11" s="31">
        <v>0</v>
      </c>
      <c r="S11" s="28">
        <f t="shared" si="6"/>
        <v>0</v>
      </c>
      <c r="T11" s="28">
        <f t="shared" si="7"/>
        <v>0</v>
      </c>
      <c r="U11" s="28">
        <f t="shared" si="8"/>
        <v>0</v>
      </c>
      <c r="V11" s="28">
        <f t="shared" si="9"/>
        <v>0</v>
      </c>
      <c r="W11" s="29">
        <f t="shared" si="10"/>
        <v>0</v>
      </c>
      <c r="X11" s="28">
        <f t="shared" si="11"/>
        <v>0</v>
      </c>
      <c r="Y11" s="29">
        <f t="shared" si="12"/>
        <v>0</v>
      </c>
    </row>
    <row r="12" spans="1:25" ht="15.75" customHeight="1">
      <c r="B12" s="30" t="s">
        <v>76</v>
      </c>
      <c r="C12" s="31">
        <v>0</v>
      </c>
      <c r="D12" s="31">
        <v>0</v>
      </c>
      <c r="E12" s="32">
        <v>0</v>
      </c>
      <c r="F12" s="28">
        <f t="shared" si="2"/>
        <v>0</v>
      </c>
      <c r="G12" s="29">
        <f t="shared" si="3"/>
        <v>0</v>
      </c>
      <c r="H12" s="28">
        <f t="shared" si="4"/>
        <v>0</v>
      </c>
      <c r="I12" s="29">
        <f t="shared" si="5"/>
        <v>0</v>
      </c>
      <c r="K12" s="14">
        <v>0</v>
      </c>
      <c r="L12" s="14">
        <v>0</v>
      </c>
      <c r="M12" s="14">
        <v>0</v>
      </c>
      <c r="N12" s="14">
        <v>0</v>
      </c>
      <c r="O12" s="14">
        <v>0</v>
      </c>
      <c r="P12" s="31">
        <v>0</v>
      </c>
      <c r="Q12" s="31">
        <v>0</v>
      </c>
      <c r="R12" s="31">
        <v>0</v>
      </c>
      <c r="S12" s="28">
        <f t="shared" si="6"/>
        <v>0</v>
      </c>
      <c r="T12" s="28">
        <f t="shared" si="7"/>
        <v>0</v>
      </c>
      <c r="U12" s="28">
        <f t="shared" si="8"/>
        <v>0</v>
      </c>
      <c r="V12" s="28">
        <f t="shared" si="9"/>
        <v>0</v>
      </c>
      <c r="W12" s="29">
        <f t="shared" si="10"/>
        <v>0</v>
      </c>
      <c r="X12" s="28">
        <f t="shared" si="11"/>
        <v>0</v>
      </c>
      <c r="Y12" s="29">
        <f t="shared" si="12"/>
        <v>0</v>
      </c>
    </row>
    <row r="13" spans="1:25" ht="15.75" customHeight="1">
      <c r="B13" s="30" t="s">
        <v>76</v>
      </c>
      <c r="C13" s="31">
        <v>0</v>
      </c>
      <c r="D13" s="31">
        <v>0</v>
      </c>
      <c r="E13" s="32">
        <v>0</v>
      </c>
      <c r="F13" s="28">
        <f t="shared" si="2"/>
        <v>0</v>
      </c>
      <c r="G13" s="29">
        <f t="shared" si="3"/>
        <v>0</v>
      </c>
      <c r="H13" s="28">
        <f t="shared" si="4"/>
        <v>0</v>
      </c>
      <c r="I13" s="29">
        <f t="shared" si="5"/>
        <v>0</v>
      </c>
      <c r="K13" s="14">
        <v>0</v>
      </c>
      <c r="L13" s="14">
        <v>0</v>
      </c>
      <c r="M13" s="14">
        <v>0</v>
      </c>
      <c r="N13" s="14">
        <v>0</v>
      </c>
      <c r="O13" s="14">
        <v>0</v>
      </c>
      <c r="P13" s="31">
        <v>0</v>
      </c>
      <c r="Q13" s="31">
        <v>0</v>
      </c>
      <c r="R13" s="31">
        <v>0</v>
      </c>
      <c r="S13" s="28">
        <f t="shared" si="6"/>
        <v>0</v>
      </c>
      <c r="T13" s="28">
        <f t="shared" si="7"/>
        <v>0</v>
      </c>
      <c r="U13" s="28">
        <f t="shared" si="8"/>
        <v>0</v>
      </c>
      <c r="V13" s="28">
        <f t="shared" si="9"/>
        <v>0</v>
      </c>
      <c r="W13" s="29">
        <f t="shared" si="10"/>
        <v>0</v>
      </c>
      <c r="X13" s="28">
        <f t="shared" si="11"/>
        <v>0</v>
      </c>
      <c r="Y13" s="29">
        <f t="shared" si="12"/>
        <v>0</v>
      </c>
    </row>
    <row r="14" spans="1:25" ht="15.75" customHeight="1">
      <c r="B14" s="30" t="s">
        <v>76</v>
      </c>
      <c r="C14" s="31">
        <v>0</v>
      </c>
      <c r="D14" s="31">
        <v>0</v>
      </c>
      <c r="E14" s="32">
        <v>0</v>
      </c>
      <c r="F14" s="28">
        <f t="shared" si="2"/>
        <v>0</v>
      </c>
      <c r="G14" s="29">
        <f t="shared" si="3"/>
        <v>0</v>
      </c>
      <c r="H14" s="28">
        <f t="shared" si="4"/>
        <v>0</v>
      </c>
      <c r="I14" s="29">
        <f t="shared" si="5"/>
        <v>0</v>
      </c>
      <c r="K14" s="14">
        <v>0</v>
      </c>
      <c r="L14" s="14">
        <v>0</v>
      </c>
      <c r="M14" s="14">
        <v>0</v>
      </c>
      <c r="N14" s="14">
        <v>0</v>
      </c>
      <c r="O14" s="14">
        <v>0</v>
      </c>
      <c r="P14" s="31">
        <v>0</v>
      </c>
      <c r="Q14" s="31">
        <v>0</v>
      </c>
      <c r="R14" s="31">
        <v>0</v>
      </c>
      <c r="S14" s="28">
        <f t="shared" si="6"/>
        <v>0</v>
      </c>
      <c r="T14" s="28">
        <f t="shared" si="7"/>
        <v>0</v>
      </c>
      <c r="U14" s="28">
        <f t="shared" si="8"/>
        <v>0</v>
      </c>
      <c r="V14" s="28">
        <f t="shared" si="9"/>
        <v>0</v>
      </c>
      <c r="W14" s="29">
        <f t="shared" si="10"/>
        <v>0</v>
      </c>
      <c r="X14" s="28">
        <f t="shared" si="11"/>
        <v>0</v>
      </c>
      <c r="Y14" s="29">
        <f t="shared" si="12"/>
        <v>0</v>
      </c>
    </row>
    <row r="15" spans="1:25" ht="15.75" customHeight="1">
      <c r="B15" s="10"/>
      <c r="C15" s="14"/>
      <c r="D15" s="14"/>
      <c r="E15" s="14"/>
      <c r="F15" s="14"/>
      <c r="H15" s="14"/>
      <c r="L15" s="14"/>
      <c r="M15" s="28"/>
      <c r="N15" s="28"/>
      <c r="O15" s="33"/>
      <c r="P15" s="33"/>
      <c r="Q15" s="33"/>
      <c r="R15" s="33"/>
      <c r="S15" s="33"/>
      <c r="T15" s="28"/>
      <c r="U15" s="28"/>
      <c r="X15" s="28"/>
    </row>
    <row r="16" spans="1:25" ht="15.75" customHeight="1">
      <c r="B16" s="27" t="s">
        <v>95</v>
      </c>
      <c r="C16" s="14"/>
      <c r="D16" s="14"/>
      <c r="E16" s="14"/>
      <c r="F16" s="14"/>
      <c r="H16" s="14"/>
      <c r="L16" s="14"/>
      <c r="M16" s="28"/>
      <c r="N16" s="28"/>
      <c r="O16" s="33"/>
      <c r="P16" s="33"/>
      <c r="Q16" s="33"/>
      <c r="R16" s="33"/>
      <c r="S16" s="33"/>
      <c r="T16" s="28"/>
      <c r="U16" s="28"/>
      <c r="X16" s="28"/>
    </row>
    <row r="17" spans="2:25" ht="15.75" customHeight="1">
      <c r="B17" s="34" t="str">
        <f>B16&amp;" issued and outstanding"</f>
        <v>Options and RSUs issued and outstanding</v>
      </c>
      <c r="C17" s="31">
        <v>0</v>
      </c>
      <c r="D17" s="31">
        <v>0</v>
      </c>
      <c r="E17" s="32">
        <v>0</v>
      </c>
      <c r="F17" s="28">
        <f t="shared" ref="F17:F19" si="13">D17+C17</f>
        <v>0</v>
      </c>
      <c r="G17" s="29">
        <f t="shared" ref="G17:G19" si="14">IFERROR(F17/F$28,0)</f>
        <v>0</v>
      </c>
      <c r="H17" s="28">
        <f t="shared" ref="H17:H19" si="15">E17+D17+C17</f>
        <v>0</v>
      </c>
      <c r="I17" s="29">
        <f t="shared" ref="I17:I19" si="16">IFERROR(H17/H$28,0)</f>
        <v>0</v>
      </c>
      <c r="K17" s="14">
        <v>0</v>
      </c>
      <c r="L17" s="14">
        <v>0</v>
      </c>
      <c r="M17" s="14">
        <v>0</v>
      </c>
      <c r="N17" s="14">
        <v>0</v>
      </c>
      <c r="O17" s="14">
        <v>0</v>
      </c>
      <c r="P17" s="31">
        <v>0</v>
      </c>
      <c r="Q17" s="31">
        <v>0</v>
      </c>
      <c r="R17" s="31">
        <f>ABS(M48)</f>
        <v>0</v>
      </c>
      <c r="S17" s="28">
        <f t="shared" ref="S17:S19" si="17">C17+P17</f>
        <v>0</v>
      </c>
      <c r="T17" s="28">
        <f t="shared" ref="T17:T19" si="18">N17+D17+M17+Q17</f>
        <v>0</v>
      </c>
      <c r="U17" s="28">
        <f t="shared" ref="U17:U19" si="19">E17+O17+R17</f>
        <v>0</v>
      </c>
      <c r="V17" s="28">
        <f t="shared" ref="V17:V19" si="20">T17+S17</f>
        <v>0</v>
      </c>
      <c r="W17" s="29">
        <f t="shared" ref="W17:W19" si="21">IFERROR(V17/V$28,0)</f>
        <v>0</v>
      </c>
      <c r="X17" s="28">
        <f t="shared" ref="X17:X19" si="22">U17+T17+S17</f>
        <v>0</v>
      </c>
      <c r="Y17" s="29">
        <f t="shared" ref="Y17:Y19" si="23">IFERROR(X17/X$28,0)</f>
        <v>0</v>
      </c>
    </row>
    <row r="18" spans="2:25" ht="15.75" customHeight="1">
      <c r="B18" s="34" t="s">
        <v>96</v>
      </c>
      <c r="C18" s="31">
        <v>0</v>
      </c>
      <c r="D18" s="31">
        <v>0</v>
      </c>
      <c r="E18" s="32">
        <v>0</v>
      </c>
      <c r="F18" s="28">
        <f t="shared" si="13"/>
        <v>0</v>
      </c>
      <c r="G18" s="29">
        <f t="shared" si="14"/>
        <v>0</v>
      </c>
      <c r="H18" s="28">
        <f t="shared" si="15"/>
        <v>0</v>
      </c>
      <c r="I18" s="29">
        <f t="shared" si="16"/>
        <v>0</v>
      </c>
      <c r="K18" s="14">
        <v>0</v>
      </c>
      <c r="L18" s="14">
        <v>0</v>
      </c>
      <c r="M18" s="14">
        <v>0</v>
      </c>
      <c r="N18" s="14">
        <v>0</v>
      </c>
      <c r="O18" s="14">
        <v>0</v>
      </c>
      <c r="P18" s="31">
        <v>0</v>
      </c>
      <c r="Q18" s="31">
        <v>0</v>
      </c>
      <c r="R18" s="31">
        <f>R19*-1+ABS(M48)*-1</f>
        <v>0</v>
      </c>
      <c r="S18" s="28">
        <f t="shared" si="17"/>
        <v>0</v>
      </c>
      <c r="T18" s="28">
        <f t="shared" si="18"/>
        <v>0</v>
      </c>
      <c r="U18" s="28">
        <f t="shared" si="19"/>
        <v>0</v>
      </c>
      <c r="V18" s="28">
        <f t="shared" si="20"/>
        <v>0</v>
      </c>
      <c r="W18" s="29">
        <f t="shared" si="21"/>
        <v>0</v>
      </c>
      <c r="X18" s="28">
        <f t="shared" si="22"/>
        <v>0</v>
      </c>
      <c r="Y18" s="29">
        <f t="shared" si="23"/>
        <v>0</v>
      </c>
    </row>
    <row r="19" spans="2:25" ht="15.75" customHeight="1">
      <c r="B19" s="34" t="s">
        <v>97</v>
      </c>
      <c r="C19" s="14">
        <v>0</v>
      </c>
      <c r="D19" s="14">
        <v>0</v>
      </c>
      <c r="E19" s="14">
        <v>0</v>
      </c>
      <c r="F19" s="28">
        <f t="shared" si="13"/>
        <v>0</v>
      </c>
      <c r="G19" s="29">
        <f t="shared" si="14"/>
        <v>0</v>
      </c>
      <c r="H19" s="28">
        <f t="shared" si="15"/>
        <v>0</v>
      </c>
      <c r="I19" s="29">
        <f t="shared" si="16"/>
        <v>0</v>
      </c>
      <c r="K19" s="14">
        <v>0</v>
      </c>
      <c r="L19" s="14">
        <v>0</v>
      </c>
      <c r="M19" s="14">
        <v>0</v>
      </c>
      <c r="N19" s="14">
        <v>0</v>
      </c>
      <c r="O19" s="28">
        <f>M50</f>
        <v>0</v>
      </c>
      <c r="P19" s="31">
        <v>0</v>
      </c>
      <c r="Q19" s="31">
        <v>0</v>
      </c>
      <c r="R19" s="31">
        <f>-1*E19</f>
        <v>0</v>
      </c>
      <c r="S19" s="28">
        <f t="shared" si="17"/>
        <v>0</v>
      </c>
      <c r="T19" s="28">
        <f t="shared" si="18"/>
        <v>0</v>
      </c>
      <c r="U19" s="28">
        <f t="shared" si="19"/>
        <v>0</v>
      </c>
      <c r="V19" s="28">
        <f t="shared" si="20"/>
        <v>0</v>
      </c>
      <c r="W19" s="29">
        <f t="shared" si="21"/>
        <v>0</v>
      </c>
      <c r="X19" s="28">
        <f t="shared" si="22"/>
        <v>0</v>
      </c>
      <c r="Y19" s="29">
        <f t="shared" si="23"/>
        <v>0</v>
      </c>
    </row>
    <row r="20" spans="2:25" ht="15.75" customHeight="1">
      <c r="C20" s="14"/>
      <c r="D20" s="14"/>
      <c r="E20" s="14"/>
      <c r="F20" s="14"/>
      <c r="H20" s="14"/>
      <c r="L20" s="14"/>
      <c r="M20" s="28"/>
      <c r="N20" s="28"/>
      <c r="O20" s="28"/>
      <c r="P20" s="28"/>
      <c r="Q20" s="28"/>
      <c r="R20" s="28"/>
      <c r="S20" s="28"/>
      <c r="T20" s="28"/>
      <c r="U20" s="28"/>
      <c r="X20" s="14"/>
    </row>
    <row r="21" spans="2:25" ht="15.75" customHeight="1">
      <c r="B21" s="27" t="s">
        <v>99</v>
      </c>
      <c r="C21" s="14"/>
      <c r="D21" s="14"/>
      <c r="E21" s="28"/>
      <c r="F21" s="28"/>
      <c r="G21" s="28"/>
      <c r="H21" s="28"/>
      <c r="I21" s="28"/>
      <c r="J21" s="28"/>
      <c r="K21" s="28"/>
      <c r="L21" s="28"/>
      <c r="M21" s="28"/>
      <c r="N21" s="28"/>
      <c r="O21" s="28"/>
      <c r="P21" s="28"/>
      <c r="Q21" s="28"/>
      <c r="R21" s="28"/>
      <c r="S21" s="28"/>
      <c r="T21" s="28"/>
      <c r="U21" s="28"/>
      <c r="V21" s="28"/>
      <c r="W21" s="29"/>
      <c r="X21" s="28"/>
      <c r="Y21" s="29"/>
    </row>
    <row r="22" spans="2:25" ht="15.75" customHeight="1">
      <c r="B22" s="30" t="s">
        <v>100</v>
      </c>
      <c r="C22" s="14">
        <v>0</v>
      </c>
      <c r="D22" s="14">
        <v>0</v>
      </c>
      <c r="E22" s="14">
        <v>0</v>
      </c>
      <c r="F22" s="28">
        <f t="shared" ref="F22:F26" si="24">D22+C22</f>
        <v>0</v>
      </c>
      <c r="G22" s="29">
        <f t="shared" ref="G22:G26" si="25">IFERROR(F22/F$28,0)</f>
        <v>0</v>
      </c>
      <c r="H22" s="28">
        <f t="shared" ref="H22:H26" si="26">E22+D22+C22</f>
        <v>0</v>
      </c>
      <c r="I22" s="29">
        <f t="shared" ref="I22:I26" si="27">IFERROR(H22/H$28,0)</f>
        <v>0</v>
      </c>
      <c r="K22" s="31">
        <v>0</v>
      </c>
      <c r="L22" s="28">
        <f t="shared" ref="L22:L26" si="28">IFERROR(M$35*N22,0)</f>
        <v>0</v>
      </c>
      <c r="M22" s="14">
        <v>0</v>
      </c>
      <c r="N22" s="28">
        <f t="shared" ref="N22:N26" si="29">IFERROR(IF(M$41="rounddown",ROUNDDOWN(K22/M$35,0),IF(M$41="roundup",ROUNDUP(K22/M$35,0),IF(M$41="round",ROUND(K22/M$35,0),K22/M$35))),0)</f>
        <v>0</v>
      </c>
      <c r="O22" s="14">
        <v>0</v>
      </c>
      <c r="P22" s="31">
        <v>0</v>
      </c>
      <c r="Q22" s="31">
        <v>0</v>
      </c>
      <c r="R22" s="31">
        <v>0</v>
      </c>
      <c r="S22" s="28">
        <f t="shared" ref="S22:S26" si="30">C22+P22</f>
        <v>0</v>
      </c>
      <c r="T22" s="28">
        <f t="shared" ref="T22:T26" si="31">N22+D22+M22+Q22</f>
        <v>0</v>
      </c>
      <c r="U22" s="28">
        <f t="shared" ref="U22:U26" si="32">E22+O22+R22</f>
        <v>0</v>
      </c>
      <c r="V22" s="28">
        <f t="shared" ref="V22:V26" si="33">T22+S22</f>
        <v>0</v>
      </c>
      <c r="W22" s="29">
        <f t="shared" ref="W22:W26" si="34">IFERROR(V22/V$28,0)</f>
        <v>0</v>
      </c>
      <c r="X22" s="28">
        <f t="shared" ref="X22:X26" si="35">U22+T22+S22</f>
        <v>0</v>
      </c>
      <c r="Y22" s="29">
        <f t="shared" ref="Y22:Y26" si="36">IFERROR(X22/X$28,0)</f>
        <v>0</v>
      </c>
    </row>
    <row r="23" spans="2:25" ht="15.75" customHeight="1">
      <c r="B23" s="30" t="s">
        <v>100</v>
      </c>
      <c r="C23" s="14">
        <v>0</v>
      </c>
      <c r="D23" s="14">
        <v>0</v>
      </c>
      <c r="E23" s="14">
        <v>0</v>
      </c>
      <c r="F23" s="28">
        <f t="shared" si="24"/>
        <v>0</v>
      </c>
      <c r="G23" s="29">
        <f t="shared" si="25"/>
        <v>0</v>
      </c>
      <c r="H23" s="28">
        <f t="shared" si="26"/>
        <v>0</v>
      </c>
      <c r="I23" s="29">
        <f t="shared" si="27"/>
        <v>0</v>
      </c>
      <c r="K23" s="31">
        <v>0</v>
      </c>
      <c r="L23" s="28">
        <f t="shared" si="28"/>
        <v>0</v>
      </c>
      <c r="M23" s="14">
        <v>0</v>
      </c>
      <c r="N23" s="28">
        <f t="shared" si="29"/>
        <v>0</v>
      </c>
      <c r="O23" s="14">
        <v>0</v>
      </c>
      <c r="P23" s="31">
        <v>0</v>
      </c>
      <c r="Q23" s="31">
        <v>0</v>
      </c>
      <c r="R23" s="31">
        <v>0</v>
      </c>
      <c r="S23" s="28">
        <f t="shared" si="30"/>
        <v>0</v>
      </c>
      <c r="T23" s="28">
        <f t="shared" si="31"/>
        <v>0</v>
      </c>
      <c r="U23" s="28">
        <f t="shared" si="32"/>
        <v>0</v>
      </c>
      <c r="V23" s="28">
        <f t="shared" si="33"/>
        <v>0</v>
      </c>
      <c r="W23" s="29">
        <f t="shared" si="34"/>
        <v>0</v>
      </c>
      <c r="X23" s="28">
        <f t="shared" si="35"/>
        <v>0</v>
      </c>
      <c r="Y23" s="29">
        <f t="shared" si="36"/>
        <v>0</v>
      </c>
    </row>
    <row r="24" spans="2:25" ht="15.75" customHeight="1">
      <c r="B24" s="30" t="s">
        <v>100</v>
      </c>
      <c r="C24" s="14">
        <v>0</v>
      </c>
      <c r="D24" s="14">
        <v>0</v>
      </c>
      <c r="E24" s="14">
        <v>0</v>
      </c>
      <c r="F24" s="28">
        <f t="shared" si="24"/>
        <v>0</v>
      </c>
      <c r="G24" s="29">
        <f t="shared" si="25"/>
        <v>0</v>
      </c>
      <c r="H24" s="28">
        <f t="shared" si="26"/>
        <v>0</v>
      </c>
      <c r="I24" s="29">
        <f t="shared" si="27"/>
        <v>0</v>
      </c>
      <c r="K24" s="31">
        <v>0</v>
      </c>
      <c r="L24" s="28">
        <f t="shared" si="28"/>
        <v>0</v>
      </c>
      <c r="M24" s="14">
        <v>0</v>
      </c>
      <c r="N24" s="28">
        <f t="shared" si="29"/>
        <v>0</v>
      </c>
      <c r="O24" s="14">
        <v>0</v>
      </c>
      <c r="P24" s="31">
        <v>0</v>
      </c>
      <c r="Q24" s="31">
        <v>0</v>
      </c>
      <c r="R24" s="31">
        <v>0</v>
      </c>
      <c r="S24" s="28">
        <f t="shared" si="30"/>
        <v>0</v>
      </c>
      <c r="T24" s="28">
        <f t="shared" si="31"/>
        <v>0</v>
      </c>
      <c r="U24" s="28">
        <f t="shared" si="32"/>
        <v>0</v>
      </c>
      <c r="V24" s="28">
        <f t="shared" si="33"/>
        <v>0</v>
      </c>
      <c r="W24" s="29">
        <f t="shared" si="34"/>
        <v>0</v>
      </c>
      <c r="X24" s="28">
        <f t="shared" si="35"/>
        <v>0</v>
      </c>
      <c r="Y24" s="29">
        <f t="shared" si="36"/>
        <v>0</v>
      </c>
    </row>
    <row r="25" spans="2:25" ht="15.75" customHeight="1">
      <c r="B25" s="30" t="s">
        <v>100</v>
      </c>
      <c r="C25" s="14">
        <v>0</v>
      </c>
      <c r="D25" s="14">
        <v>0</v>
      </c>
      <c r="E25" s="14">
        <v>0</v>
      </c>
      <c r="F25" s="28">
        <f t="shared" si="24"/>
        <v>0</v>
      </c>
      <c r="G25" s="29">
        <f t="shared" si="25"/>
        <v>0</v>
      </c>
      <c r="H25" s="28">
        <f t="shared" si="26"/>
        <v>0</v>
      </c>
      <c r="I25" s="29">
        <f t="shared" si="27"/>
        <v>0</v>
      </c>
      <c r="K25" s="32">
        <v>0</v>
      </c>
      <c r="L25" s="28">
        <f t="shared" si="28"/>
        <v>0</v>
      </c>
      <c r="M25" s="14">
        <v>0</v>
      </c>
      <c r="N25" s="28">
        <f t="shared" si="29"/>
        <v>0</v>
      </c>
      <c r="O25" s="14">
        <v>0</v>
      </c>
      <c r="P25" s="31">
        <v>0</v>
      </c>
      <c r="Q25" s="31">
        <v>0</v>
      </c>
      <c r="R25" s="31">
        <v>0</v>
      </c>
      <c r="S25" s="28">
        <f t="shared" si="30"/>
        <v>0</v>
      </c>
      <c r="T25" s="28">
        <f t="shared" si="31"/>
        <v>0</v>
      </c>
      <c r="U25" s="28">
        <f t="shared" si="32"/>
        <v>0</v>
      </c>
      <c r="V25" s="28">
        <f t="shared" si="33"/>
        <v>0</v>
      </c>
      <c r="W25" s="29">
        <f t="shared" si="34"/>
        <v>0</v>
      </c>
      <c r="X25" s="28">
        <f t="shared" si="35"/>
        <v>0</v>
      </c>
      <c r="Y25" s="29">
        <f t="shared" si="36"/>
        <v>0</v>
      </c>
    </row>
    <row r="26" spans="2:25" ht="15.75" customHeight="1">
      <c r="B26" s="30" t="s">
        <v>100</v>
      </c>
      <c r="C26" s="14">
        <v>0</v>
      </c>
      <c r="D26" s="14">
        <v>0</v>
      </c>
      <c r="E26" s="14">
        <v>0</v>
      </c>
      <c r="F26" s="28">
        <f t="shared" si="24"/>
        <v>0</v>
      </c>
      <c r="G26" s="29">
        <f t="shared" si="25"/>
        <v>0</v>
      </c>
      <c r="H26" s="28">
        <f t="shared" si="26"/>
        <v>0</v>
      </c>
      <c r="I26" s="29">
        <f t="shared" si="27"/>
        <v>0</v>
      </c>
      <c r="K26" s="32">
        <v>0</v>
      </c>
      <c r="L26" s="28">
        <f t="shared" si="28"/>
        <v>0</v>
      </c>
      <c r="M26" s="14">
        <v>0</v>
      </c>
      <c r="N26" s="28">
        <f t="shared" si="29"/>
        <v>0</v>
      </c>
      <c r="O26" s="14">
        <v>0</v>
      </c>
      <c r="P26" s="31">
        <v>0</v>
      </c>
      <c r="Q26" s="31">
        <v>0</v>
      </c>
      <c r="R26" s="31">
        <v>0</v>
      </c>
      <c r="S26" s="28">
        <f t="shared" si="30"/>
        <v>0</v>
      </c>
      <c r="T26" s="28">
        <f t="shared" si="31"/>
        <v>0</v>
      </c>
      <c r="U26" s="28">
        <f t="shared" si="32"/>
        <v>0</v>
      </c>
      <c r="V26" s="28">
        <f t="shared" si="33"/>
        <v>0</v>
      </c>
      <c r="W26" s="29">
        <f t="shared" si="34"/>
        <v>0</v>
      </c>
      <c r="X26" s="28">
        <f t="shared" si="35"/>
        <v>0</v>
      </c>
      <c r="Y26" s="29">
        <f t="shared" si="36"/>
        <v>0</v>
      </c>
    </row>
    <row r="27" spans="2:25" ht="15.75" customHeight="1">
      <c r="C27" s="14"/>
      <c r="D27" s="14"/>
      <c r="E27" s="14"/>
      <c r="L27" s="14"/>
      <c r="M27" s="14"/>
      <c r="N27" s="14"/>
      <c r="O27" s="14"/>
      <c r="P27" s="14"/>
      <c r="Q27" s="14"/>
      <c r="R27" s="14"/>
      <c r="X27" s="14"/>
    </row>
    <row r="28" spans="2:25" ht="15.75" customHeight="1">
      <c r="B28" s="36" t="s">
        <v>101</v>
      </c>
      <c r="C28" s="37">
        <f t="shared" ref="C28:F28" si="37">SUM(C8:C27)</f>
        <v>0</v>
      </c>
      <c r="D28" s="37">
        <f t="shared" si="37"/>
        <v>0</v>
      </c>
      <c r="E28" s="37">
        <f t="shared" si="37"/>
        <v>0</v>
      </c>
      <c r="F28" s="37">
        <f t="shared" si="37"/>
        <v>0</v>
      </c>
      <c r="G28" s="38">
        <f>IFERROR(F28/F$28,0)</f>
        <v>0</v>
      </c>
      <c r="H28" s="37">
        <f>SUM(H8:H27)</f>
        <v>0</v>
      </c>
      <c r="I28" s="38">
        <f>IFERROR(H28/H$28,0)</f>
        <v>0</v>
      </c>
      <c r="K28" s="37">
        <f t="shared" ref="K28:P28" si="38">SUM(K8:K27)</f>
        <v>0</v>
      </c>
      <c r="L28" s="37">
        <f t="shared" si="38"/>
        <v>0</v>
      </c>
      <c r="M28" s="37">
        <f t="shared" si="38"/>
        <v>0</v>
      </c>
      <c r="N28" s="37">
        <f t="shared" si="38"/>
        <v>0</v>
      </c>
      <c r="O28" s="37">
        <f t="shared" si="38"/>
        <v>0</v>
      </c>
      <c r="P28" s="37">
        <f t="shared" si="38"/>
        <v>0</v>
      </c>
      <c r="Q28" s="37"/>
      <c r="R28" s="37"/>
      <c r="S28" s="37">
        <f t="shared" ref="S28:V28" si="39">SUM(S8:S27)</f>
        <v>0</v>
      </c>
      <c r="T28" s="37">
        <f t="shared" si="39"/>
        <v>0</v>
      </c>
      <c r="U28" s="37">
        <f t="shared" si="39"/>
        <v>0</v>
      </c>
      <c r="V28" s="37">
        <f t="shared" si="39"/>
        <v>0</v>
      </c>
      <c r="W28" s="38">
        <f>IFERROR(V28/V$28,0)</f>
        <v>0</v>
      </c>
      <c r="X28" s="37">
        <f>SUM(X8:X27)</f>
        <v>0</v>
      </c>
      <c r="Y28" s="38">
        <f>IFERROR(X28/X$28,0)</f>
        <v>0</v>
      </c>
    </row>
    <row r="29" spans="2:25" ht="15.75" customHeight="1">
      <c r="L29" s="14"/>
    </row>
    <row r="30" spans="2:25" ht="15.75" customHeight="1">
      <c r="K30" s="32" t="s">
        <v>228</v>
      </c>
      <c r="L30" s="14"/>
      <c r="M30" s="14"/>
      <c r="N30" s="39"/>
      <c r="Q30" s="14"/>
      <c r="R30" s="14"/>
      <c r="S30" s="14"/>
      <c r="T30" s="14"/>
      <c r="U30" s="14"/>
      <c r="V30" s="14"/>
    </row>
    <row r="31" spans="2:25" ht="15.75" customHeight="1">
      <c r="K31" s="40" t="s">
        <v>103</v>
      </c>
      <c r="L31" s="14"/>
      <c r="M31" s="14">
        <f>L28</f>
        <v>0</v>
      </c>
      <c r="N31" s="10" t="s">
        <v>104</v>
      </c>
      <c r="Q31" s="14"/>
      <c r="R31" s="14"/>
      <c r="S31" s="14"/>
      <c r="T31" s="14"/>
      <c r="U31" s="14"/>
      <c r="V31" s="14"/>
    </row>
    <row r="32" spans="2:25" ht="15.75" customHeight="1">
      <c r="K32" s="40" t="s">
        <v>105</v>
      </c>
      <c r="L32" s="14"/>
      <c r="M32" s="32">
        <v>0</v>
      </c>
      <c r="N32" s="10" t="s">
        <v>106</v>
      </c>
      <c r="Q32" s="14"/>
      <c r="R32" s="14"/>
      <c r="S32" s="14"/>
      <c r="T32" s="14"/>
      <c r="U32" s="14"/>
      <c r="V32" s="14"/>
    </row>
    <row r="33" spans="11:22" ht="15.75" customHeight="1">
      <c r="K33" s="40" t="s">
        <v>107</v>
      </c>
      <c r="L33" s="14"/>
      <c r="M33" s="14">
        <f>M31+M32</f>
        <v>0</v>
      </c>
      <c r="N33" s="10" t="s">
        <v>108</v>
      </c>
      <c r="Q33" s="14"/>
      <c r="R33" s="14"/>
      <c r="S33" s="14"/>
      <c r="T33" s="14"/>
      <c r="U33" s="14"/>
      <c r="V33" s="14"/>
    </row>
    <row r="34" spans="11:22" ht="15.75" customHeight="1">
      <c r="K34" s="40" t="s">
        <v>109</v>
      </c>
      <c r="L34" s="14"/>
      <c r="M34" s="14">
        <f>H28+IF(M46="investor friendly",M50,0)</f>
        <v>0</v>
      </c>
      <c r="N34" s="10" t="s">
        <v>110</v>
      </c>
      <c r="Q34" s="14"/>
      <c r="R34" s="14"/>
      <c r="S34" s="14"/>
      <c r="T34" s="14"/>
      <c r="U34" s="14"/>
      <c r="V34" s="14"/>
    </row>
    <row r="35" spans="11:22" ht="15.75" customHeight="1">
      <c r="K35" s="40" t="s">
        <v>111</v>
      </c>
      <c r="L35" s="14"/>
      <c r="M35" s="41">
        <f>IFERROR(IF(ISNUMBER(M40),ROUND(M32/M34,M40),M32/M34),0)</f>
        <v>0</v>
      </c>
      <c r="N35" s="10" t="s">
        <v>112</v>
      </c>
      <c r="Q35" s="14"/>
      <c r="R35" s="14"/>
      <c r="S35" s="14"/>
      <c r="T35" s="14"/>
      <c r="U35" s="14"/>
      <c r="V35" s="14"/>
    </row>
    <row r="36" spans="11:22" ht="15.75" customHeight="1">
      <c r="K36" s="40" t="s">
        <v>113</v>
      </c>
      <c r="L36" s="14"/>
      <c r="M36" s="14">
        <f>IFERROR(M32-(M34-H28)*M35,0)</f>
        <v>0</v>
      </c>
      <c r="N36" s="10" t="s">
        <v>114</v>
      </c>
      <c r="Q36" s="14"/>
      <c r="R36" s="14"/>
      <c r="S36" s="14"/>
      <c r="T36" s="14"/>
      <c r="U36" s="14"/>
      <c r="V36" s="14"/>
    </row>
    <row r="37" spans="11:22" ht="15.75" customHeight="1">
      <c r="K37" s="40"/>
      <c r="L37" s="14"/>
      <c r="M37" s="14"/>
      <c r="N37" s="10"/>
      <c r="Q37" s="14"/>
      <c r="R37" s="14"/>
      <c r="S37" s="14"/>
      <c r="T37" s="14"/>
      <c r="U37" s="14"/>
      <c r="V37" s="14"/>
    </row>
    <row r="38" spans="11:22" ht="15.75" customHeight="1">
      <c r="K38" s="42" t="s">
        <v>115</v>
      </c>
      <c r="L38" s="43"/>
      <c r="M38" s="43"/>
      <c r="N38" s="44"/>
      <c r="O38" s="44"/>
      <c r="P38" s="44"/>
      <c r="Q38" s="43"/>
      <c r="R38" s="43"/>
      <c r="S38" s="43"/>
      <c r="T38" s="43"/>
      <c r="U38" s="43"/>
      <c r="V38" s="43"/>
    </row>
    <row r="39" spans="11:22" ht="15.75" customHeight="1">
      <c r="K39" s="40" t="s">
        <v>116</v>
      </c>
      <c r="L39" s="14"/>
      <c r="M39" s="129" t="b">
        <v>0</v>
      </c>
      <c r="N39" s="10" t="s">
        <v>302</v>
      </c>
      <c r="Q39" s="14"/>
      <c r="R39" s="14"/>
      <c r="S39" s="14"/>
      <c r="T39" s="14"/>
      <c r="U39" s="14"/>
      <c r="V39" s="14"/>
    </row>
    <row r="40" spans="11:22" ht="15.75" customHeight="1">
      <c r="K40" s="40" t="str">
        <f>IF(ISNUMBER(M40),"Round share prices to "&amp;M40&amp;" significant digits","Do not round share prices")</f>
        <v>Round share prices to 4 significant digits</v>
      </c>
      <c r="L40" s="14"/>
      <c r="M40" s="45">
        <v>4</v>
      </c>
      <c r="N40" s="10" t="s">
        <v>118</v>
      </c>
      <c r="Q40" s="14"/>
      <c r="R40" s="14"/>
      <c r="S40" s="14"/>
      <c r="T40" s="14"/>
      <c r="U40" s="14"/>
      <c r="V40" s="14"/>
    </row>
    <row r="41" spans="11:22" ht="15.75" customHeight="1">
      <c r="K41" s="40" t="s">
        <v>119</v>
      </c>
      <c r="L41" s="14"/>
      <c r="M41" s="45" t="s">
        <v>120</v>
      </c>
      <c r="N41" s="10" t="s">
        <v>121</v>
      </c>
      <c r="Q41" s="14"/>
      <c r="R41" s="14"/>
      <c r="S41" s="14"/>
      <c r="T41" s="14"/>
      <c r="U41" s="14"/>
      <c r="V41" s="14"/>
    </row>
    <row r="42" spans="11:22" ht="15.75" customHeight="1">
      <c r="K42" s="40" t="s">
        <v>122</v>
      </c>
      <c r="L42" s="14"/>
      <c r="M42" s="46">
        <f ca="1">TODAY()</f>
        <v>45934</v>
      </c>
      <c r="N42" s="10" t="s">
        <v>123</v>
      </c>
      <c r="Q42" s="14"/>
      <c r="R42" s="14"/>
      <c r="S42" s="14"/>
      <c r="T42" s="14"/>
      <c r="U42" s="14"/>
      <c r="V42" s="14"/>
    </row>
    <row r="43" spans="11:22" ht="15.75" customHeight="1">
      <c r="K43" s="47"/>
      <c r="L43" s="14"/>
      <c r="Q43" s="14"/>
      <c r="R43" s="14"/>
      <c r="S43" s="14"/>
      <c r="T43" s="14"/>
      <c r="U43" s="14"/>
      <c r="V43" s="14"/>
    </row>
    <row r="44" spans="11:22">
      <c r="K44" s="61" t="s">
        <v>150</v>
      </c>
      <c r="L44" s="62"/>
      <c r="M44" s="63"/>
      <c r="N44" s="44"/>
      <c r="O44" s="44"/>
      <c r="P44" s="44"/>
      <c r="Q44" s="43"/>
      <c r="R44" s="43"/>
      <c r="S44" s="43"/>
      <c r="T44" s="43"/>
      <c r="U44" s="43"/>
      <c r="V44" s="43"/>
    </row>
    <row r="45" spans="11:22">
      <c r="K45" s="49" t="s">
        <v>151</v>
      </c>
      <c r="L45" s="50"/>
      <c r="M45" s="112">
        <v>0</v>
      </c>
      <c r="N45" s="10" t="s">
        <v>153</v>
      </c>
      <c r="Q45" s="14"/>
      <c r="R45" s="14"/>
      <c r="S45" s="14"/>
      <c r="T45" s="14"/>
      <c r="U45" s="14"/>
      <c r="V45" s="14"/>
    </row>
    <row r="46" spans="11:22">
      <c r="K46" s="49" t="s">
        <v>154</v>
      </c>
      <c r="L46" s="50"/>
      <c r="M46" s="30" t="s">
        <v>127</v>
      </c>
      <c r="N46" s="10" t="s">
        <v>155</v>
      </c>
      <c r="Q46" s="14"/>
      <c r="R46" s="14"/>
      <c r="S46" s="14"/>
      <c r="T46" s="14"/>
      <c r="U46" s="14"/>
      <c r="V46" s="14"/>
    </row>
    <row r="47" spans="11:22">
      <c r="K47" s="49" t="s">
        <v>156</v>
      </c>
      <c r="L47" s="50"/>
      <c r="M47" s="28">
        <f>IF(M39=TRUE,(H28+N28-M49)*(1/(1-M45)-1),0)</f>
        <v>0</v>
      </c>
      <c r="N47" s="10" t="s">
        <v>157</v>
      </c>
      <c r="Q47" s="14"/>
      <c r="R47" s="14"/>
      <c r="S47" s="14"/>
      <c r="T47" s="14"/>
      <c r="U47" s="14"/>
      <c r="V47" s="14"/>
    </row>
    <row r="48" spans="11:22">
      <c r="K48" s="49" t="s">
        <v>158</v>
      </c>
      <c r="L48" s="50"/>
      <c r="M48" s="31">
        <v>0</v>
      </c>
      <c r="N48" s="10" t="s">
        <v>159</v>
      </c>
      <c r="Q48" s="14"/>
      <c r="R48" s="14"/>
      <c r="S48" s="14"/>
      <c r="T48" s="14"/>
      <c r="U48" s="14"/>
      <c r="V48" s="14"/>
    </row>
    <row r="49" spans="11:22">
      <c r="K49" s="49" t="s">
        <v>160</v>
      </c>
      <c r="L49" s="50"/>
      <c r="M49" s="28">
        <f>MAX(0,E18+E19-ABS(M48))</f>
        <v>0</v>
      </c>
      <c r="N49" s="10" t="s">
        <v>161</v>
      </c>
      <c r="Q49" s="14"/>
      <c r="R49" s="14"/>
      <c r="S49" s="14"/>
      <c r="T49" s="14"/>
      <c r="U49" s="14"/>
      <c r="V49" s="14"/>
    </row>
    <row r="50" spans="11:22">
      <c r="K50" s="65" t="s">
        <v>162</v>
      </c>
      <c r="L50" s="50"/>
      <c r="M50" s="28">
        <f>MAX(0,M47-M49)</f>
        <v>0</v>
      </c>
      <c r="N50" s="10" t="s">
        <v>163</v>
      </c>
      <c r="Q50" s="14"/>
      <c r="R50" s="14"/>
      <c r="S50" s="14"/>
      <c r="T50" s="14"/>
      <c r="U50" s="14"/>
      <c r="V50" s="14"/>
    </row>
    <row r="51" spans="11:22">
      <c r="K51" s="65" t="s">
        <v>164</v>
      </c>
      <c r="L51" s="50"/>
      <c r="M51" s="29">
        <f>Y18+Y19</f>
        <v>0</v>
      </c>
      <c r="N51" s="10" t="s">
        <v>165</v>
      </c>
      <c r="Q51" s="14"/>
      <c r="R51" s="14"/>
      <c r="S51" s="14"/>
      <c r="T51" s="14"/>
      <c r="U51" s="14"/>
      <c r="V51" s="14"/>
    </row>
    <row r="52" spans="11:22" ht="15.75" customHeight="1">
      <c r="K52" s="10"/>
      <c r="L52" s="14"/>
      <c r="Q52" s="14"/>
      <c r="R52" s="14"/>
      <c r="S52" s="14"/>
      <c r="T52" s="14"/>
      <c r="U52" s="14"/>
      <c r="V52" s="14"/>
    </row>
    <row r="53" spans="11:22" ht="15.75" customHeight="1">
      <c r="K53" s="10"/>
      <c r="L53" s="14"/>
      <c r="Q53" s="14"/>
      <c r="R53" s="14"/>
      <c r="S53" s="14"/>
      <c r="T53" s="14"/>
      <c r="U53" s="14"/>
      <c r="V53" s="14"/>
    </row>
  </sheetData>
  <dataValidations count="2">
    <dataValidation type="list" allowBlank="1" sqref="M41" xr:uid="{00000000-0002-0000-0700-000000000000}">
      <formula1>"none,round,roundup,rounddown"</formula1>
    </dataValidation>
    <dataValidation type="list" allowBlank="1" sqref="M46" xr:uid="{00000000-0002-0000-0700-000001000000}">
      <formula1>"investor friendly,founder friendly"</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Y57"/>
  <sheetViews>
    <sheetView showGridLines="0" workbookViewId="0">
      <pane xSplit="2" topLeftCell="C1" activePane="topRight" state="frozen"/>
      <selection pane="topRight" activeCell="M40" sqref="M40"/>
    </sheetView>
  </sheetViews>
  <sheetFormatPr baseColWidth="10" defaultColWidth="12.6640625" defaultRowHeight="15.75" customHeight="1"/>
  <cols>
    <col min="1" max="1" width="5.83203125" customWidth="1"/>
    <col min="2" max="2" width="32.6640625" customWidth="1"/>
    <col min="10" max="10" width="10" customWidth="1"/>
    <col min="11" max="11" width="14.6640625" customWidth="1"/>
    <col min="12" max="12" width="16.83203125" customWidth="1"/>
    <col min="13" max="13" width="13.1640625" customWidth="1"/>
    <col min="14" max="15" width="13.6640625" customWidth="1"/>
    <col min="16" max="16" width="16" customWidth="1"/>
    <col min="17" max="17" width="13.5" customWidth="1"/>
    <col min="18" max="18" width="14.1640625" customWidth="1"/>
    <col min="19" max="19" width="13.1640625" customWidth="1"/>
    <col min="20" max="20" width="15.1640625" customWidth="1"/>
    <col min="21" max="21" width="14.5" customWidth="1"/>
    <col min="22" max="22" width="13.5" customWidth="1"/>
    <col min="23" max="26" width="13.1640625" customWidth="1"/>
  </cols>
  <sheetData>
    <row r="1" spans="1:25" ht="15.75" customHeight="1">
      <c r="L1" s="14"/>
      <c r="Q1" s="14"/>
      <c r="R1" s="14"/>
      <c r="S1" s="14"/>
      <c r="T1" s="14"/>
      <c r="U1" s="14"/>
      <c r="V1" s="14"/>
    </row>
    <row r="2" spans="1:25">
      <c r="B2" s="1" t="s">
        <v>270</v>
      </c>
      <c r="L2" s="14"/>
      <c r="Q2" s="14"/>
      <c r="R2" s="14"/>
      <c r="S2" s="14"/>
      <c r="T2" s="14"/>
      <c r="U2" s="14"/>
      <c r="V2" s="14"/>
    </row>
    <row r="3" spans="1:25" ht="15.75" customHeight="1">
      <c r="B3" s="16" t="s">
        <v>303</v>
      </c>
      <c r="L3" s="14"/>
      <c r="Q3" s="14"/>
      <c r="R3" s="14"/>
      <c r="S3" s="14"/>
      <c r="T3" s="14"/>
      <c r="U3" s="14"/>
      <c r="V3" s="14"/>
    </row>
    <row r="4" spans="1:25" ht="15.75" customHeight="1">
      <c r="L4" s="14"/>
      <c r="Q4" s="14"/>
      <c r="R4" s="14"/>
      <c r="S4" s="14"/>
      <c r="T4" s="14"/>
      <c r="U4" s="14"/>
      <c r="V4" s="14"/>
    </row>
    <row r="5" spans="1:25" ht="15.75" customHeight="1">
      <c r="B5" s="17" t="s">
        <v>74</v>
      </c>
      <c r="C5" s="18"/>
      <c r="D5" s="18"/>
      <c r="E5" s="18"/>
      <c r="F5" s="18"/>
      <c r="G5" s="18"/>
      <c r="H5" s="18"/>
      <c r="I5" s="18"/>
      <c r="K5" s="17" t="s">
        <v>75</v>
      </c>
      <c r="L5" s="19"/>
      <c r="M5" s="18"/>
      <c r="N5" s="18"/>
      <c r="O5" s="18"/>
      <c r="P5" s="19"/>
      <c r="Q5" s="19"/>
      <c r="R5" s="19"/>
      <c r="S5" s="19"/>
      <c r="T5" s="19"/>
      <c r="U5" s="19"/>
      <c r="V5" s="18"/>
      <c r="W5" s="18"/>
      <c r="X5" s="18"/>
      <c r="Y5" s="18"/>
    </row>
    <row r="6" spans="1:25" ht="15.75" customHeight="1">
      <c r="L6" s="14"/>
      <c r="P6" s="14"/>
      <c r="Q6" s="14"/>
      <c r="R6" s="14"/>
      <c r="S6" s="14"/>
      <c r="T6" s="14"/>
      <c r="U6" s="14"/>
    </row>
    <row r="7" spans="1:25" ht="15.75" customHeight="1">
      <c r="A7" s="20"/>
      <c r="B7" s="21" t="s">
        <v>76</v>
      </c>
      <c r="C7" s="22" t="s">
        <v>77</v>
      </c>
      <c r="D7" s="22" t="s">
        <v>78</v>
      </c>
      <c r="E7" s="22" t="s">
        <v>79</v>
      </c>
      <c r="F7" s="22" t="s">
        <v>80</v>
      </c>
      <c r="G7" s="22" t="s">
        <v>81</v>
      </c>
      <c r="H7" s="22" t="s">
        <v>82</v>
      </c>
      <c r="I7" s="22" t="s">
        <v>83</v>
      </c>
      <c r="J7" s="20"/>
      <c r="K7" s="21" t="s">
        <v>84</v>
      </c>
      <c r="L7" s="23" t="s">
        <v>85</v>
      </c>
      <c r="M7" s="23" t="s">
        <v>86</v>
      </c>
      <c r="N7" s="23" t="s">
        <v>86</v>
      </c>
      <c r="O7" s="23" t="s">
        <v>87</v>
      </c>
      <c r="P7" s="23" t="str">
        <f t="shared" ref="P7:Q7" si="0">C7&amp;" Transferred"</f>
        <v>Common Shares Transferred</v>
      </c>
      <c r="Q7" s="23" t="str">
        <f t="shared" si="0"/>
        <v>Preferred Shares Transferred</v>
      </c>
      <c r="R7" s="23" t="str">
        <f>E7&amp;" Issued, Cancelled, or Recategorized"</f>
        <v>Options Issued, Cancelled, or Recategorized</v>
      </c>
      <c r="S7" s="22" t="str">
        <f t="shared" ref="S7:Y7" si="1">C7</f>
        <v>Common Shares</v>
      </c>
      <c r="T7" s="22" t="str">
        <f t="shared" si="1"/>
        <v>Preferred Shares</v>
      </c>
      <c r="U7" s="22" t="str">
        <f t="shared" si="1"/>
        <v>Options</v>
      </c>
      <c r="V7" s="22" t="str">
        <f t="shared" si="1"/>
        <v>Issued and Outstanding</v>
      </c>
      <c r="W7" s="22" t="str">
        <f t="shared" si="1"/>
        <v>% Issued and Outstanding</v>
      </c>
      <c r="X7" s="23" t="str">
        <f t="shared" si="1"/>
        <v>Fully Diluted Shares</v>
      </c>
      <c r="Y7" s="22" t="str">
        <f t="shared" si="1"/>
        <v>% Fully Diluted</v>
      </c>
    </row>
    <row r="8" spans="1:25" ht="15.75" customHeight="1">
      <c r="B8" s="24"/>
      <c r="D8" s="25" t="s">
        <v>88</v>
      </c>
      <c r="L8" s="25" t="s">
        <v>89</v>
      </c>
      <c r="M8" s="25" t="s">
        <v>90</v>
      </c>
      <c r="N8" s="25" t="s">
        <v>91</v>
      </c>
      <c r="O8" s="25" t="s">
        <v>92</v>
      </c>
      <c r="P8" s="26" t="s">
        <v>93</v>
      </c>
      <c r="Q8" s="25"/>
      <c r="R8" s="25"/>
      <c r="X8" s="14"/>
    </row>
    <row r="9" spans="1:25" ht="15.75" customHeight="1">
      <c r="B9" s="27" t="s">
        <v>94</v>
      </c>
      <c r="C9" s="28"/>
      <c r="D9" s="28"/>
      <c r="E9" s="28"/>
      <c r="F9" s="28"/>
      <c r="G9" s="29"/>
      <c r="H9" s="28"/>
      <c r="I9" s="29"/>
      <c r="L9" s="14"/>
      <c r="M9" s="28"/>
      <c r="N9" s="28"/>
      <c r="O9" s="28"/>
      <c r="P9" s="28"/>
      <c r="Q9" s="28"/>
      <c r="R9" s="28"/>
      <c r="S9" s="28"/>
      <c r="T9" s="28"/>
      <c r="U9" s="28"/>
      <c r="V9" s="28"/>
      <c r="W9" s="29"/>
      <c r="X9" s="28"/>
      <c r="Y9" s="29"/>
    </row>
    <row r="10" spans="1:25" ht="15.75" customHeight="1">
      <c r="B10" s="30" t="s">
        <v>76</v>
      </c>
      <c r="C10" s="31">
        <v>0</v>
      </c>
      <c r="D10" s="31">
        <v>0</v>
      </c>
      <c r="E10" s="32">
        <v>0</v>
      </c>
      <c r="F10" s="28">
        <f t="shared" ref="F10:F14" si="2">D10+C10</f>
        <v>0</v>
      </c>
      <c r="G10" s="29">
        <f t="shared" ref="G10:G14" si="3">IFERROR(F10/F$29,0)</f>
        <v>0</v>
      </c>
      <c r="H10" s="28">
        <f t="shared" ref="H10:H14" si="4">E10+D10+C10</f>
        <v>0</v>
      </c>
      <c r="I10" s="29">
        <f t="shared" ref="I10:I14" si="5">IFERROR(H10/H$29,0)</f>
        <v>0</v>
      </c>
      <c r="K10" s="14">
        <v>0</v>
      </c>
      <c r="L10" s="14">
        <v>0</v>
      </c>
      <c r="M10" s="14">
        <v>0</v>
      </c>
      <c r="N10" s="14">
        <v>0</v>
      </c>
      <c r="O10" s="14">
        <v>0</v>
      </c>
      <c r="P10" s="31">
        <v>0</v>
      </c>
      <c r="Q10" s="31">
        <v>0</v>
      </c>
      <c r="R10" s="31">
        <v>0</v>
      </c>
      <c r="S10" s="28">
        <f t="shared" ref="S10:S14" si="6">C10+P10</f>
        <v>0</v>
      </c>
      <c r="T10" s="28">
        <f t="shared" ref="T10:T14" si="7">N10+D10+M10+Q10</f>
        <v>0</v>
      </c>
      <c r="U10" s="28">
        <f t="shared" ref="U10:U14" si="8">E10+O10+R10</f>
        <v>0</v>
      </c>
      <c r="V10" s="28">
        <f t="shared" ref="V10:V14" si="9">T10+S10</f>
        <v>0</v>
      </c>
      <c r="W10" s="29">
        <f t="shared" ref="W10:W14" si="10">IFERROR(V10/V$29,0)</f>
        <v>0</v>
      </c>
      <c r="X10" s="28">
        <f t="shared" ref="X10:X14" si="11">U10+T10+S10</f>
        <v>0</v>
      </c>
      <c r="Y10" s="29">
        <f t="shared" ref="Y10:Y14" si="12">IFERROR(X10/X$29,0)</f>
        <v>0</v>
      </c>
    </row>
    <row r="11" spans="1:25" ht="15.75" customHeight="1">
      <c r="B11" s="30" t="s">
        <v>76</v>
      </c>
      <c r="C11" s="31">
        <v>0</v>
      </c>
      <c r="D11" s="31">
        <v>0</v>
      </c>
      <c r="E11" s="32">
        <v>0</v>
      </c>
      <c r="F11" s="28">
        <f t="shared" si="2"/>
        <v>0</v>
      </c>
      <c r="G11" s="29">
        <f t="shared" si="3"/>
        <v>0</v>
      </c>
      <c r="H11" s="28">
        <f t="shared" si="4"/>
        <v>0</v>
      </c>
      <c r="I11" s="29">
        <f t="shared" si="5"/>
        <v>0</v>
      </c>
      <c r="K11" s="14">
        <v>0</v>
      </c>
      <c r="L11" s="14">
        <v>0</v>
      </c>
      <c r="M11" s="14">
        <v>0</v>
      </c>
      <c r="N11" s="14">
        <v>0</v>
      </c>
      <c r="O11" s="14">
        <v>0</v>
      </c>
      <c r="P11" s="31">
        <v>0</v>
      </c>
      <c r="Q11" s="31">
        <v>0</v>
      </c>
      <c r="R11" s="31">
        <v>0</v>
      </c>
      <c r="S11" s="28">
        <f t="shared" si="6"/>
        <v>0</v>
      </c>
      <c r="T11" s="28">
        <f t="shared" si="7"/>
        <v>0</v>
      </c>
      <c r="U11" s="28">
        <f t="shared" si="8"/>
        <v>0</v>
      </c>
      <c r="V11" s="28">
        <f t="shared" si="9"/>
        <v>0</v>
      </c>
      <c r="W11" s="29">
        <f t="shared" si="10"/>
        <v>0</v>
      </c>
      <c r="X11" s="28">
        <f t="shared" si="11"/>
        <v>0</v>
      </c>
      <c r="Y11" s="29">
        <f t="shared" si="12"/>
        <v>0</v>
      </c>
    </row>
    <row r="12" spans="1:25" ht="15.75" customHeight="1">
      <c r="B12" s="30" t="s">
        <v>76</v>
      </c>
      <c r="C12" s="31">
        <v>0</v>
      </c>
      <c r="D12" s="31">
        <v>0</v>
      </c>
      <c r="E12" s="32">
        <v>0</v>
      </c>
      <c r="F12" s="28">
        <f t="shared" si="2"/>
        <v>0</v>
      </c>
      <c r="G12" s="29">
        <f t="shared" si="3"/>
        <v>0</v>
      </c>
      <c r="H12" s="28">
        <f t="shared" si="4"/>
        <v>0</v>
      </c>
      <c r="I12" s="29">
        <f t="shared" si="5"/>
        <v>0</v>
      </c>
      <c r="K12" s="14">
        <v>0</v>
      </c>
      <c r="L12" s="14">
        <v>0</v>
      </c>
      <c r="M12" s="14">
        <v>0</v>
      </c>
      <c r="N12" s="14">
        <v>0</v>
      </c>
      <c r="O12" s="14">
        <v>0</v>
      </c>
      <c r="P12" s="31">
        <v>0</v>
      </c>
      <c r="Q12" s="31">
        <v>0</v>
      </c>
      <c r="R12" s="31">
        <v>0</v>
      </c>
      <c r="S12" s="28">
        <f t="shared" si="6"/>
        <v>0</v>
      </c>
      <c r="T12" s="28">
        <f t="shared" si="7"/>
        <v>0</v>
      </c>
      <c r="U12" s="28">
        <f t="shared" si="8"/>
        <v>0</v>
      </c>
      <c r="V12" s="28">
        <f t="shared" si="9"/>
        <v>0</v>
      </c>
      <c r="W12" s="29">
        <f t="shared" si="10"/>
        <v>0</v>
      </c>
      <c r="X12" s="28">
        <f t="shared" si="11"/>
        <v>0</v>
      </c>
      <c r="Y12" s="29">
        <f t="shared" si="12"/>
        <v>0</v>
      </c>
    </row>
    <row r="13" spans="1:25" ht="15.75" customHeight="1">
      <c r="B13" s="30" t="s">
        <v>76</v>
      </c>
      <c r="C13" s="31">
        <v>0</v>
      </c>
      <c r="D13" s="31">
        <v>0</v>
      </c>
      <c r="E13" s="32">
        <v>0</v>
      </c>
      <c r="F13" s="28">
        <f t="shared" si="2"/>
        <v>0</v>
      </c>
      <c r="G13" s="29">
        <f t="shared" si="3"/>
        <v>0</v>
      </c>
      <c r="H13" s="28">
        <f t="shared" si="4"/>
        <v>0</v>
      </c>
      <c r="I13" s="29">
        <f t="shared" si="5"/>
        <v>0</v>
      </c>
      <c r="K13" s="14">
        <v>0</v>
      </c>
      <c r="L13" s="14">
        <v>0</v>
      </c>
      <c r="M13" s="14">
        <v>0</v>
      </c>
      <c r="N13" s="14">
        <v>0</v>
      </c>
      <c r="O13" s="14">
        <v>0</v>
      </c>
      <c r="P13" s="31">
        <v>0</v>
      </c>
      <c r="Q13" s="31">
        <v>0</v>
      </c>
      <c r="R13" s="31">
        <v>0</v>
      </c>
      <c r="S13" s="28">
        <f t="shared" si="6"/>
        <v>0</v>
      </c>
      <c r="T13" s="28">
        <f t="shared" si="7"/>
        <v>0</v>
      </c>
      <c r="U13" s="28">
        <f t="shared" si="8"/>
        <v>0</v>
      </c>
      <c r="V13" s="28">
        <f t="shared" si="9"/>
        <v>0</v>
      </c>
      <c r="W13" s="29">
        <f t="shared" si="10"/>
        <v>0</v>
      </c>
      <c r="X13" s="28">
        <f t="shared" si="11"/>
        <v>0</v>
      </c>
      <c r="Y13" s="29">
        <f t="shared" si="12"/>
        <v>0</v>
      </c>
    </row>
    <row r="14" spans="1:25" ht="15.75" customHeight="1">
      <c r="B14" s="30" t="s">
        <v>76</v>
      </c>
      <c r="C14" s="31">
        <v>0</v>
      </c>
      <c r="D14" s="31">
        <v>0</v>
      </c>
      <c r="E14" s="32">
        <v>0</v>
      </c>
      <c r="F14" s="28">
        <f t="shared" si="2"/>
        <v>0</v>
      </c>
      <c r="G14" s="29">
        <f t="shared" si="3"/>
        <v>0</v>
      </c>
      <c r="H14" s="28">
        <f t="shared" si="4"/>
        <v>0</v>
      </c>
      <c r="I14" s="29">
        <f t="shared" si="5"/>
        <v>0</v>
      </c>
      <c r="K14" s="14">
        <v>0</v>
      </c>
      <c r="L14" s="14">
        <v>0</v>
      </c>
      <c r="M14" s="14">
        <v>0</v>
      </c>
      <c r="N14" s="14">
        <v>0</v>
      </c>
      <c r="O14" s="14">
        <v>0</v>
      </c>
      <c r="P14" s="31">
        <v>0</v>
      </c>
      <c r="Q14" s="31">
        <v>0</v>
      </c>
      <c r="R14" s="31">
        <v>0</v>
      </c>
      <c r="S14" s="28">
        <f t="shared" si="6"/>
        <v>0</v>
      </c>
      <c r="T14" s="28">
        <f t="shared" si="7"/>
        <v>0</v>
      </c>
      <c r="U14" s="28">
        <f t="shared" si="8"/>
        <v>0</v>
      </c>
      <c r="V14" s="28">
        <f t="shared" si="9"/>
        <v>0</v>
      </c>
      <c r="W14" s="29">
        <f t="shared" si="10"/>
        <v>0</v>
      </c>
      <c r="X14" s="28">
        <f t="shared" si="11"/>
        <v>0</v>
      </c>
      <c r="Y14" s="29">
        <f t="shared" si="12"/>
        <v>0</v>
      </c>
    </row>
    <row r="15" spans="1:25" ht="15.75" customHeight="1">
      <c r="B15" s="10"/>
      <c r="C15" s="14"/>
      <c r="D15" s="14"/>
      <c r="E15" s="14"/>
      <c r="F15" s="14"/>
      <c r="H15" s="14"/>
      <c r="L15" s="14"/>
      <c r="M15" s="28"/>
      <c r="N15" s="28"/>
      <c r="O15" s="33"/>
      <c r="P15" s="33"/>
      <c r="Q15" s="33"/>
      <c r="R15" s="33"/>
      <c r="S15" s="33"/>
      <c r="T15" s="28"/>
      <c r="U15" s="28"/>
      <c r="X15" s="28"/>
    </row>
    <row r="16" spans="1:25" ht="15.75" customHeight="1">
      <c r="B16" s="27" t="s">
        <v>98</v>
      </c>
      <c r="C16" s="14"/>
      <c r="D16" s="14"/>
      <c r="E16" s="14"/>
      <c r="F16" s="14"/>
      <c r="H16" s="14"/>
      <c r="L16" s="14"/>
      <c r="M16" s="28"/>
      <c r="N16" s="28"/>
      <c r="O16" s="28"/>
      <c r="P16" s="28"/>
      <c r="Q16" s="28"/>
      <c r="R16" s="28"/>
      <c r="S16" s="28"/>
      <c r="T16" s="28"/>
      <c r="U16" s="28"/>
      <c r="X16" s="14"/>
      <c r="Y16" s="35"/>
    </row>
    <row r="17" spans="2:25" ht="15.75" customHeight="1">
      <c r="B17" s="30" t="str">
        <f t="shared" ref="B17:B20" si="13">K50</f>
        <v>Investor</v>
      </c>
      <c r="C17" s="14">
        <v>0</v>
      </c>
      <c r="D17" s="14">
        <v>0</v>
      </c>
      <c r="E17" s="14">
        <v>0</v>
      </c>
      <c r="F17" s="28">
        <f t="shared" ref="F17:F20" si="14">D17+C17</f>
        <v>0</v>
      </c>
      <c r="G17" s="29">
        <f t="shared" ref="G17:G20" si="15">IFERROR(F17/F$29,0)</f>
        <v>0</v>
      </c>
      <c r="H17" s="28">
        <f t="shared" ref="H17:H20" si="16">E17+D17+C17</f>
        <v>0</v>
      </c>
      <c r="I17" s="29">
        <f t="shared" ref="I17:I20" si="17">IFERROR(H17/H$29,0)</f>
        <v>0</v>
      </c>
      <c r="K17" s="31">
        <v>0</v>
      </c>
      <c r="L17" s="28">
        <f t="shared" ref="L17:L20" si="18">IFERROR(M$36*N17,0)</f>
        <v>0</v>
      </c>
      <c r="M17" s="28">
        <f t="shared" ref="M17:M20" si="19">V50</f>
        <v>0</v>
      </c>
      <c r="N17" s="28">
        <f t="shared" ref="N17:N20" si="20">IFERROR(IF(M$42="rounddown",ROUNDDOWN(K17/M$36,0),IF(M$42="roundup",ROUNDUP(K17/M$36,0),IF(M$42="round",ROUND(K17/M$36,0),K17/M$36))),0)</f>
        <v>0</v>
      </c>
      <c r="O17" s="14">
        <v>0</v>
      </c>
      <c r="P17" s="31">
        <v>0</v>
      </c>
      <c r="Q17" s="31">
        <v>0</v>
      </c>
      <c r="R17" s="31">
        <v>0</v>
      </c>
      <c r="S17" s="28">
        <f t="shared" ref="S17:S20" si="21">C17+P17</f>
        <v>0</v>
      </c>
      <c r="T17" s="28">
        <f t="shared" ref="T17:T20" si="22">N17+D17+M17+Q17</f>
        <v>0</v>
      </c>
      <c r="U17" s="28">
        <f t="shared" ref="U17:U20" si="23">E17+O17+R17</f>
        <v>0</v>
      </c>
      <c r="V17" s="28">
        <f t="shared" ref="V17:V20" si="24">T17+S17</f>
        <v>0</v>
      </c>
      <c r="W17" s="29">
        <f t="shared" ref="W17:W20" si="25">IFERROR(V17/V$29,0)</f>
        <v>0</v>
      </c>
      <c r="X17" s="28">
        <f t="shared" ref="X17:X20" si="26">U17+T17+S17</f>
        <v>0</v>
      </c>
      <c r="Y17" s="29">
        <f t="shared" ref="Y17:Y20" si="27">IFERROR(X17/X$29,0)</f>
        <v>0</v>
      </c>
    </row>
    <row r="18" spans="2:25" ht="15.75" customHeight="1">
      <c r="B18" s="30" t="str">
        <f t="shared" si="13"/>
        <v>Investor</v>
      </c>
      <c r="C18" s="14">
        <v>0</v>
      </c>
      <c r="D18" s="14">
        <v>0</v>
      </c>
      <c r="E18" s="14">
        <v>0</v>
      </c>
      <c r="F18" s="28">
        <f t="shared" si="14"/>
        <v>0</v>
      </c>
      <c r="G18" s="29">
        <f t="shared" si="15"/>
        <v>0</v>
      </c>
      <c r="H18" s="28">
        <f t="shared" si="16"/>
        <v>0</v>
      </c>
      <c r="I18" s="29">
        <f t="shared" si="17"/>
        <v>0</v>
      </c>
      <c r="K18" s="31">
        <v>0</v>
      </c>
      <c r="L18" s="28">
        <f t="shared" si="18"/>
        <v>0</v>
      </c>
      <c r="M18" s="28">
        <f t="shared" si="19"/>
        <v>0</v>
      </c>
      <c r="N18" s="28">
        <f t="shared" si="20"/>
        <v>0</v>
      </c>
      <c r="O18" s="14">
        <v>0</v>
      </c>
      <c r="P18" s="31">
        <v>0</v>
      </c>
      <c r="Q18" s="31">
        <v>0</v>
      </c>
      <c r="R18" s="31">
        <v>0</v>
      </c>
      <c r="S18" s="28">
        <f t="shared" si="21"/>
        <v>0</v>
      </c>
      <c r="T18" s="28">
        <f t="shared" si="22"/>
        <v>0</v>
      </c>
      <c r="U18" s="28">
        <f t="shared" si="23"/>
        <v>0</v>
      </c>
      <c r="V18" s="28">
        <f t="shared" si="24"/>
        <v>0</v>
      </c>
      <c r="W18" s="29">
        <f t="shared" si="25"/>
        <v>0</v>
      </c>
      <c r="X18" s="28">
        <f t="shared" si="26"/>
        <v>0</v>
      </c>
      <c r="Y18" s="29">
        <f t="shared" si="27"/>
        <v>0</v>
      </c>
    </row>
    <row r="19" spans="2:25" ht="15.75" customHeight="1">
      <c r="B19" s="30" t="str">
        <f t="shared" si="13"/>
        <v>Investor</v>
      </c>
      <c r="C19" s="14">
        <v>0</v>
      </c>
      <c r="D19" s="14">
        <v>0</v>
      </c>
      <c r="E19" s="14">
        <v>0</v>
      </c>
      <c r="F19" s="28">
        <f t="shared" si="14"/>
        <v>0</v>
      </c>
      <c r="G19" s="29">
        <f t="shared" si="15"/>
        <v>0</v>
      </c>
      <c r="H19" s="28">
        <f t="shared" si="16"/>
        <v>0</v>
      </c>
      <c r="I19" s="29">
        <f t="shared" si="17"/>
        <v>0</v>
      </c>
      <c r="K19" s="31">
        <v>0</v>
      </c>
      <c r="L19" s="28">
        <f t="shared" si="18"/>
        <v>0</v>
      </c>
      <c r="M19" s="28">
        <f t="shared" si="19"/>
        <v>0</v>
      </c>
      <c r="N19" s="28">
        <f t="shared" si="20"/>
        <v>0</v>
      </c>
      <c r="O19" s="14">
        <v>0</v>
      </c>
      <c r="P19" s="31">
        <v>0</v>
      </c>
      <c r="Q19" s="31">
        <v>0</v>
      </c>
      <c r="R19" s="31">
        <v>0</v>
      </c>
      <c r="S19" s="28">
        <f t="shared" si="21"/>
        <v>0</v>
      </c>
      <c r="T19" s="28">
        <f t="shared" si="22"/>
        <v>0</v>
      </c>
      <c r="U19" s="28">
        <f t="shared" si="23"/>
        <v>0</v>
      </c>
      <c r="V19" s="28">
        <f t="shared" si="24"/>
        <v>0</v>
      </c>
      <c r="W19" s="29">
        <f t="shared" si="25"/>
        <v>0</v>
      </c>
      <c r="X19" s="28">
        <f t="shared" si="26"/>
        <v>0</v>
      </c>
      <c r="Y19" s="29">
        <f t="shared" si="27"/>
        <v>0</v>
      </c>
    </row>
    <row r="20" spans="2:25" ht="15.75" customHeight="1">
      <c r="B20" s="30" t="str">
        <f t="shared" si="13"/>
        <v>Investor</v>
      </c>
      <c r="C20" s="14">
        <v>0</v>
      </c>
      <c r="D20" s="14">
        <v>0</v>
      </c>
      <c r="E20" s="14">
        <v>0</v>
      </c>
      <c r="F20" s="28">
        <f t="shared" si="14"/>
        <v>0</v>
      </c>
      <c r="G20" s="29">
        <f t="shared" si="15"/>
        <v>0</v>
      </c>
      <c r="H20" s="28">
        <f t="shared" si="16"/>
        <v>0</v>
      </c>
      <c r="I20" s="29">
        <f t="shared" si="17"/>
        <v>0</v>
      </c>
      <c r="K20" s="31">
        <v>0</v>
      </c>
      <c r="L20" s="28">
        <f t="shared" si="18"/>
        <v>0</v>
      </c>
      <c r="M20" s="28">
        <f t="shared" si="19"/>
        <v>0</v>
      </c>
      <c r="N20" s="28">
        <f t="shared" si="20"/>
        <v>0</v>
      </c>
      <c r="O20" s="14">
        <v>0</v>
      </c>
      <c r="P20" s="31">
        <v>0</v>
      </c>
      <c r="Q20" s="31">
        <v>0</v>
      </c>
      <c r="R20" s="31">
        <v>0</v>
      </c>
      <c r="S20" s="28">
        <f t="shared" si="21"/>
        <v>0</v>
      </c>
      <c r="T20" s="28">
        <f t="shared" si="22"/>
        <v>0</v>
      </c>
      <c r="U20" s="28">
        <f t="shared" si="23"/>
        <v>0</v>
      </c>
      <c r="V20" s="28">
        <f t="shared" si="24"/>
        <v>0</v>
      </c>
      <c r="W20" s="29">
        <f t="shared" si="25"/>
        <v>0</v>
      </c>
      <c r="X20" s="28">
        <f t="shared" si="26"/>
        <v>0</v>
      </c>
      <c r="Y20" s="29">
        <f t="shared" si="27"/>
        <v>0</v>
      </c>
    </row>
    <row r="21" spans="2:25" ht="15.75" customHeight="1">
      <c r="C21" s="14"/>
      <c r="D21" s="14"/>
      <c r="E21" s="28"/>
      <c r="F21" s="28"/>
      <c r="G21" s="28"/>
      <c r="H21" s="28"/>
      <c r="I21" s="28"/>
      <c r="J21" s="28"/>
      <c r="K21" s="28"/>
      <c r="L21" s="28"/>
      <c r="M21" s="28"/>
      <c r="N21" s="28"/>
      <c r="O21" s="28"/>
      <c r="P21" s="28"/>
      <c r="Q21" s="28"/>
      <c r="R21" s="28"/>
      <c r="S21" s="28"/>
      <c r="T21" s="28"/>
      <c r="U21" s="28"/>
      <c r="V21" s="28"/>
      <c r="W21" s="29"/>
      <c r="X21" s="28"/>
      <c r="Y21" s="29"/>
    </row>
    <row r="22" spans="2:25" ht="15.75" customHeight="1">
      <c r="B22" s="27" t="s">
        <v>99</v>
      </c>
      <c r="C22" s="14"/>
      <c r="D22" s="14"/>
      <c r="E22" s="28"/>
      <c r="F22" s="28"/>
      <c r="G22" s="28"/>
      <c r="H22" s="28"/>
      <c r="I22" s="28"/>
      <c r="J22" s="28"/>
      <c r="K22" s="28"/>
      <c r="L22" s="28"/>
      <c r="M22" s="28"/>
      <c r="N22" s="28"/>
      <c r="O22" s="28"/>
      <c r="P22" s="28"/>
      <c r="Q22" s="28"/>
      <c r="R22" s="28"/>
      <c r="S22" s="28"/>
      <c r="T22" s="28"/>
      <c r="U22" s="28"/>
      <c r="V22" s="28"/>
      <c r="W22" s="29"/>
      <c r="X22" s="28"/>
      <c r="Y22" s="29"/>
    </row>
    <row r="23" spans="2:25" ht="15.75" customHeight="1">
      <c r="B23" s="30" t="s">
        <v>100</v>
      </c>
      <c r="C23" s="14">
        <v>0</v>
      </c>
      <c r="D23" s="14">
        <v>0</v>
      </c>
      <c r="E23" s="14">
        <v>0</v>
      </c>
      <c r="F23" s="28">
        <f t="shared" ref="F23:F27" si="28">D23+C23</f>
        <v>0</v>
      </c>
      <c r="G23" s="29">
        <f t="shared" ref="G23:G27" si="29">IFERROR(F23/F$29,0)</f>
        <v>0</v>
      </c>
      <c r="H23" s="28">
        <f t="shared" ref="H23:H27" si="30">E23+D23+C23</f>
        <v>0</v>
      </c>
      <c r="I23" s="29">
        <f t="shared" ref="I23:I27" si="31">IFERROR(H23/H$29,0)</f>
        <v>0</v>
      </c>
      <c r="K23" s="31">
        <v>0</v>
      </c>
      <c r="L23" s="28">
        <f t="shared" ref="L23:L27" si="32">IFERROR(M$36*N23,0)</f>
        <v>0</v>
      </c>
      <c r="M23" s="14">
        <v>0</v>
      </c>
      <c r="N23" s="28">
        <f t="shared" ref="N23:N27" si="33">IFERROR(IF(M$42="rounddown",ROUNDDOWN(K23/M$36,0),IF(M$42="roundup",ROUNDUP(K23/M$36,0),IF(M$42="round",ROUND(K23/M$36,0),K23/M$36))),0)</f>
        <v>0</v>
      </c>
      <c r="O23" s="14">
        <v>0</v>
      </c>
      <c r="P23" s="31">
        <v>0</v>
      </c>
      <c r="Q23" s="31">
        <v>0</v>
      </c>
      <c r="R23" s="31">
        <v>0</v>
      </c>
      <c r="S23" s="28">
        <f t="shared" ref="S23:S27" si="34">C23+P23</f>
        <v>0</v>
      </c>
      <c r="T23" s="28">
        <f t="shared" ref="T23:T27" si="35">N23+D23+M23+Q23</f>
        <v>0</v>
      </c>
      <c r="U23" s="28">
        <f t="shared" ref="U23:U27" si="36">E23+O23+R23</f>
        <v>0</v>
      </c>
      <c r="V23" s="28">
        <f t="shared" ref="V23:V27" si="37">T23+S23</f>
        <v>0</v>
      </c>
      <c r="W23" s="29">
        <f t="shared" ref="W23:W27" si="38">IFERROR(V23/V$29,0)</f>
        <v>0</v>
      </c>
      <c r="X23" s="28">
        <f t="shared" ref="X23:X27" si="39">U23+T23+S23</f>
        <v>0</v>
      </c>
      <c r="Y23" s="29">
        <f t="shared" ref="Y23:Y27" si="40">IFERROR(X23/X$29,0)</f>
        <v>0</v>
      </c>
    </row>
    <row r="24" spans="2:25" ht="15.75" customHeight="1">
      <c r="B24" s="30" t="s">
        <v>100</v>
      </c>
      <c r="C24" s="14">
        <v>0</v>
      </c>
      <c r="D24" s="14">
        <v>0</v>
      </c>
      <c r="E24" s="14">
        <v>0</v>
      </c>
      <c r="F24" s="28">
        <f t="shared" si="28"/>
        <v>0</v>
      </c>
      <c r="G24" s="29">
        <f t="shared" si="29"/>
        <v>0</v>
      </c>
      <c r="H24" s="28">
        <f t="shared" si="30"/>
        <v>0</v>
      </c>
      <c r="I24" s="29">
        <f t="shared" si="31"/>
        <v>0</v>
      </c>
      <c r="K24" s="31">
        <v>0</v>
      </c>
      <c r="L24" s="28">
        <f t="shared" si="32"/>
        <v>0</v>
      </c>
      <c r="M24" s="14">
        <v>0</v>
      </c>
      <c r="N24" s="28">
        <f t="shared" si="33"/>
        <v>0</v>
      </c>
      <c r="O24" s="14">
        <v>0</v>
      </c>
      <c r="P24" s="31">
        <v>0</v>
      </c>
      <c r="Q24" s="31">
        <v>0</v>
      </c>
      <c r="R24" s="31">
        <v>0</v>
      </c>
      <c r="S24" s="28">
        <f t="shared" si="34"/>
        <v>0</v>
      </c>
      <c r="T24" s="28">
        <f t="shared" si="35"/>
        <v>0</v>
      </c>
      <c r="U24" s="28">
        <f t="shared" si="36"/>
        <v>0</v>
      </c>
      <c r="V24" s="28">
        <f t="shared" si="37"/>
        <v>0</v>
      </c>
      <c r="W24" s="29">
        <f t="shared" si="38"/>
        <v>0</v>
      </c>
      <c r="X24" s="28">
        <f t="shared" si="39"/>
        <v>0</v>
      </c>
      <c r="Y24" s="29">
        <f t="shared" si="40"/>
        <v>0</v>
      </c>
    </row>
    <row r="25" spans="2:25" ht="15.75" customHeight="1">
      <c r="B25" s="30" t="s">
        <v>100</v>
      </c>
      <c r="C25" s="14">
        <v>0</v>
      </c>
      <c r="D25" s="14">
        <v>0</v>
      </c>
      <c r="E25" s="14">
        <v>0</v>
      </c>
      <c r="F25" s="28">
        <f t="shared" si="28"/>
        <v>0</v>
      </c>
      <c r="G25" s="29">
        <f t="shared" si="29"/>
        <v>0</v>
      </c>
      <c r="H25" s="28">
        <f t="shared" si="30"/>
        <v>0</v>
      </c>
      <c r="I25" s="29">
        <f t="shared" si="31"/>
        <v>0</v>
      </c>
      <c r="K25" s="31">
        <v>0</v>
      </c>
      <c r="L25" s="28">
        <f t="shared" si="32"/>
        <v>0</v>
      </c>
      <c r="M25" s="14">
        <v>0</v>
      </c>
      <c r="N25" s="28">
        <f t="shared" si="33"/>
        <v>0</v>
      </c>
      <c r="O25" s="14">
        <v>0</v>
      </c>
      <c r="P25" s="31">
        <v>0</v>
      </c>
      <c r="Q25" s="31">
        <v>0</v>
      </c>
      <c r="R25" s="31">
        <v>0</v>
      </c>
      <c r="S25" s="28">
        <f t="shared" si="34"/>
        <v>0</v>
      </c>
      <c r="T25" s="28">
        <f t="shared" si="35"/>
        <v>0</v>
      </c>
      <c r="U25" s="28">
        <f t="shared" si="36"/>
        <v>0</v>
      </c>
      <c r="V25" s="28">
        <f t="shared" si="37"/>
        <v>0</v>
      </c>
      <c r="W25" s="29">
        <f t="shared" si="38"/>
        <v>0</v>
      </c>
      <c r="X25" s="28">
        <f t="shared" si="39"/>
        <v>0</v>
      </c>
      <c r="Y25" s="29">
        <f t="shared" si="40"/>
        <v>0</v>
      </c>
    </row>
    <row r="26" spans="2:25" ht="15.75" customHeight="1">
      <c r="B26" s="30" t="s">
        <v>100</v>
      </c>
      <c r="C26" s="14">
        <v>0</v>
      </c>
      <c r="D26" s="14">
        <v>0</v>
      </c>
      <c r="E26" s="14">
        <v>0</v>
      </c>
      <c r="F26" s="28">
        <f t="shared" si="28"/>
        <v>0</v>
      </c>
      <c r="G26" s="29">
        <f t="shared" si="29"/>
        <v>0</v>
      </c>
      <c r="H26" s="28">
        <f t="shared" si="30"/>
        <v>0</v>
      </c>
      <c r="I26" s="29">
        <f t="shared" si="31"/>
        <v>0</v>
      </c>
      <c r="K26" s="32">
        <v>0</v>
      </c>
      <c r="L26" s="28">
        <f t="shared" si="32"/>
        <v>0</v>
      </c>
      <c r="M26" s="14">
        <v>0</v>
      </c>
      <c r="N26" s="28">
        <f t="shared" si="33"/>
        <v>0</v>
      </c>
      <c r="O26" s="14">
        <v>0</v>
      </c>
      <c r="P26" s="31">
        <v>0</v>
      </c>
      <c r="Q26" s="31">
        <v>0</v>
      </c>
      <c r="R26" s="31">
        <v>0</v>
      </c>
      <c r="S26" s="28">
        <f t="shared" si="34"/>
        <v>0</v>
      </c>
      <c r="T26" s="28">
        <f t="shared" si="35"/>
        <v>0</v>
      </c>
      <c r="U26" s="28">
        <f t="shared" si="36"/>
        <v>0</v>
      </c>
      <c r="V26" s="28">
        <f t="shared" si="37"/>
        <v>0</v>
      </c>
      <c r="W26" s="29">
        <f t="shared" si="38"/>
        <v>0</v>
      </c>
      <c r="X26" s="28">
        <f t="shared" si="39"/>
        <v>0</v>
      </c>
      <c r="Y26" s="29">
        <f t="shared" si="40"/>
        <v>0</v>
      </c>
    </row>
    <row r="27" spans="2:25" ht="15.75" customHeight="1">
      <c r="B27" s="30" t="s">
        <v>100</v>
      </c>
      <c r="C27" s="14">
        <v>0</v>
      </c>
      <c r="D27" s="14">
        <v>0</v>
      </c>
      <c r="E27" s="14">
        <v>0</v>
      </c>
      <c r="F27" s="28">
        <f t="shared" si="28"/>
        <v>0</v>
      </c>
      <c r="G27" s="29">
        <f t="shared" si="29"/>
        <v>0</v>
      </c>
      <c r="H27" s="28">
        <f t="shared" si="30"/>
        <v>0</v>
      </c>
      <c r="I27" s="29">
        <f t="shared" si="31"/>
        <v>0</v>
      </c>
      <c r="K27" s="32">
        <v>0</v>
      </c>
      <c r="L27" s="28">
        <f t="shared" si="32"/>
        <v>0</v>
      </c>
      <c r="M27" s="14">
        <v>0</v>
      </c>
      <c r="N27" s="28">
        <f t="shared" si="33"/>
        <v>0</v>
      </c>
      <c r="O27" s="14">
        <v>0</v>
      </c>
      <c r="P27" s="31">
        <v>0</v>
      </c>
      <c r="Q27" s="31">
        <v>0</v>
      </c>
      <c r="R27" s="31">
        <v>0</v>
      </c>
      <c r="S27" s="28">
        <f t="shared" si="34"/>
        <v>0</v>
      </c>
      <c r="T27" s="28">
        <f t="shared" si="35"/>
        <v>0</v>
      </c>
      <c r="U27" s="28">
        <f t="shared" si="36"/>
        <v>0</v>
      </c>
      <c r="V27" s="28">
        <f t="shared" si="37"/>
        <v>0</v>
      </c>
      <c r="W27" s="29">
        <f t="shared" si="38"/>
        <v>0</v>
      </c>
      <c r="X27" s="28">
        <f t="shared" si="39"/>
        <v>0</v>
      </c>
      <c r="Y27" s="29">
        <f t="shared" si="40"/>
        <v>0</v>
      </c>
    </row>
    <row r="28" spans="2:25" ht="15.75" customHeight="1">
      <c r="C28" s="14"/>
      <c r="D28" s="14"/>
      <c r="E28" s="14"/>
      <c r="L28" s="14"/>
      <c r="M28" s="14"/>
      <c r="N28" s="14"/>
      <c r="O28" s="14"/>
      <c r="P28" s="14"/>
      <c r="Q28" s="14"/>
      <c r="R28" s="14"/>
      <c r="X28" s="14"/>
    </row>
    <row r="29" spans="2:25" ht="15.75" customHeight="1">
      <c r="B29" s="36" t="s">
        <v>101</v>
      </c>
      <c r="C29" s="37">
        <f t="shared" ref="C29:F29" si="41">SUM(C8:C28)</f>
        <v>0</v>
      </c>
      <c r="D29" s="37">
        <f t="shared" si="41"/>
        <v>0</v>
      </c>
      <c r="E29" s="37">
        <f t="shared" si="41"/>
        <v>0</v>
      </c>
      <c r="F29" s="37">
        <f t="shared" si="41"/>
        <v>0</v>
      </c>
      <c r="G29" s="38">
        <f>IFERROR(F29/F$29,0)</f>
        <v>0</v>
      </c>
      <c r="H29" s="37">
        <f>SUM(H8:H28)</f>
        <v>0</v>
      </c>
      <c r="I29" s="38">
        <f>IFERROR(H29/H$29,0)</f>
        <v>0</v>
      </c>
      <c r="K29" s="37">
        <f t="shared" ref="K29:P29" si="42">SUM(K8:K28)</f>
        <v>0</v>
      </c>
      <c r="L29" s="37">
        <f t="shared" si="42"/>
        <v>0</v>
      </c>
      <c r="M29" s="37">
        <f t="shared" si="42"/>
        <v>0</v>
      </c>
      <c r="N29" s="37">
        <f t="shared" si="42"/>
        <v>0</v>
      </c>
      <c r="O29" s="37">
        <f t="shared" si="42"/>
        <v>0</v>
      </c>
      <c r="P29" s="37">
        <f t="shared" si="42"/>
        <v>0</v>
      </c>
      <c r="Q29" s="37"/>
      <c r="R29" s="37"/>
      <c r="S29" s="37">
        <f t="shared" ref="S29:V29" si="43">SUM(S8:S28)</f>
        <v>0</v>
      </c>
      <c r="T29" s="37">
        <f t="shared" si="43"/>
        <v>0</v>
      </c>
      <c r="U29" s="37">
        <f t="shared" si="43"/>
        <v>0</v>
      </c>
      <c r="V29" s="37">
        <f t="shared" si="43"/>
        <v>0</v>
      </c>
      <c r="W29" s="38">
        <f>IFERROR(V29/V$29,0)</f>
        <v>0</v>
      </c>
      <c r="X29" s="37">
        <f>SUM(X8:X28)</f>
        <v>0</v>
      </c>
      <c r="Y29" s="38">
        <f>IFERROR(X29/X$29,0)</f>
        <v>0</v>
      </c>
    </row>
    <row r="30" spans="2:25" ht="15.75" customHeight="1">
      <c r="L30" s="14"/>
    </row>
    <row r="31" spans="2:25" ht="15.75" customHeight="1">
      <c r="K31" s="32" t="s">
        <v>228</v>
      </c>
      <c r="L31" s="14"/>
      <c r="M31" s="14"/>
      <c r="N31" s="39"/>
      <c r="Q31" s="14"/>
      <c r="R31" s="14"/>
      <c r="S31" s="14"/>
      <c r="T31" s="14"/>
      <c r="U31" s="14"/>
      <c r="V31" s="14"/>
    </row>
    <row r="32" spans="2:25" ht="15.75" customHeight="1">
      <c r="K32" s="40" t="s">
        <v>103</v>
      </c>
      <c r="L32" s="14"/>
      <c r="M32" s="14">
        <f>L29</f>
        <v>0</v>
      </c>
      <c r="N32" s="10" t="s">
        <v>104</v>
      </c>
      <c r="Q32" s="14"/>
      <c r="R32" s="14"/>
      <c r="S32" s="14"/>
      <c r="T32" s="14"/>
      <c r="U32" s="14"/>
      <c r="V32" s="14"/>
    </row>
    <row r="33" spans="11:22" ht="15.75" customHeight="1">
      <c r="K33" s="40" t="s">
        <v>105</v>
      </c>
      <c r="L33" s="14"/>
      <c r="M33" s="32">
        <v>0</v>
      </c>
      <c r="N33" s="10" t="s">
        <v>106</v>
      </c>
      <c r="Q33" s="14"/>
      <c r="R33" s="14"/>
      <c r="S33" s="14"/>
      <c r="T33" s="14"/>
      <c r="U33" s="14"/>
      <c r="V33" s="14"/>
    </row>
    <row r="34" spans="11:22" ht="15.75" customHeight="1">
      <c r="K34" s="40" t="s">
        <v>107</v>
      </c>
      <c r="L34" s="14"/>
      <c r="M34" s="14">
        <f>M32+M33</f>
        <v>0</v>
      </c>
      <c r="N34" s="10" t="s">
        <v>108</v>
      </c>
      <c r="Q34" s="14"/>
      <c r="R34" s="14"/>
      <c r="S34" s="14"/>
      <c r="T34" s="14"/>
      <c r="U34" s="14"/>
      <c r="V34" s="14"/>
    </row>
    <row r="35" spans="11:22" ht="15.75" customHeight="1">
      <c r="K35" s="40" t="s">
        <v>109</v>
      </c>
      <c r="L35" s="14"/>
      <c r="M35" s="14">
        <f>H29+MAX(0,SUMIFS(V$50:V$54,L$50:L$54,"postmoney SAFE"))+IF(M47="investor friendly",MAX(0,SUMIFS(V$50:V$54,L$50:L$54,"premoney SAFE"))+MAX(0,SUMIFS(V$50:V$54,L$50:L$54,"convertible note")),0)</f>
        <v>0</v>
      </c>
      <c r="N35" s="10" t="s">
        <v>110</v>
      </c>
      <c r="Q35" s="14"/>
      <c r="R35" s="14"/>
      <c r="S35" s="14"/>
      <c r="T35" s="14"/>
      <c r="U35" s="14"/>
      <c r="V35" s="14"/>
    </row>
    <row r="36" spans="11:22" ht="15.75" customHeight="1">
      <c r="K36" s="40" t="s">
        <v>111</v>
      </c>
      <c r="L36" s="14"/>
      <c r="M36" s="41">
        <f>IFERROR(IF(ISNUMBER(M41),ROUND(M33/M35,M41),M33/M35),0)</f>
        <v>0</v>
      </c>
      <c r="N36" s="10" t="s">
        <v>112</v>
      </c>
      <c r="Q36" s="14"/>
      <c r="R36" s="14"/>
      <c r="S36" s="14"/>
      <c r="T36" s="14"/>
      <c r="U36" s="14"/>
      <c r="V36" s="14"/>
    </row>
    <row r="37" spans="11:22" ht="15.75" customHeight="1">
      <c r="K37" s="40" t="s">
        <v>113</v>
      </c>
      <c r="L37" s="14"/>
      <c r="M37" s="14">
        <f>IFERROR(M33-(M35-H29)*M36,0)</f>
        <v>0</v>
      </c>
      <c r="N37" s="10" t="s">
        <v>114</v>
      </c>
      <c r="Q37" s="14"/>
      <c r="R37" s="14"/>
      <c r="S37" s="14"/>
      <c r="T37" s="14"/>
      <c r="U37" s="14"/>
      <c r="V37" s="14"/>
    </row>
    <row r="38" spans="11:22" ht="15.75" customHeight="1">
      <c r="K38" s="40"/>
      <c r="L38" s="14"/>
      <c r="M38" s="14"/>
      <c r="N38" s="10"/>
      <c r="Q38" s="14"/>
      <c r="R38" s="14"/>
      <c r="S38" s="14"/>
      <c r="T38" s="14"/>
      <c r="U38" s="14"/>
      <c r="V38" s="14"/>
    </row>
    <row r="39" spans="11:22" ht="15.75" customHeight="1">
      <c r="K39" s="42" t="s">
        <v>115</v>
      </c>
      <c r="L39" s="43"/>
      <c r="M39" s="43"/>
      <c r="N39" s="44"/>
      <c r="O39" s="44"/>
      <c r="P39" s="44"/>
      <c r="Q39" s="43"/>
      <c r="R39" s="43"/>
      <c r="S39" s="43"/>
      <c r="T39" s="43"/>
      <c r="U39" s="43"/>
      <c r="V39" s="43"/>
    </row>
    <row r="40" spans="11:22" ht="15.75" customHeight="1">
      <c r="K40" s="40" t="s">
        <v>116</v>
      </c>
      <c r="L40" s="14"/>
      <c r="M40" s="129" t="b">
        <v>0</v>
      </c>
      <c r="N40" s="10" t="s">
        <v>302</v>
      </c>
      <c r="Q40" s="14"/>
      <c r="R40" s="14"/>
      <c r="S40" s="14"/>
      <c r="T40" s="14"/>
      <c r="U40" s="14"/>
      <c r="V40" s="14"/>
    </row>
    <row r="41" spans="11:22" ht="15.75" customHeight="1">
      <c r="K41" s="40" t="str">
        <f>IF(ISNUMBER(M41),"Round share prices to "&amp;M41&amp;" significant digits","Do not round share prices")</f>
        <v>Round share prices to 4 significant digits</v>
      </c>
      <c r="L41" s="14"/>
      <c r="M41" s="45">
        <v>4</v>
      </c>
      <c r="N41" s="10" t="s">
        <v>118</v>
      </c>
      <c r="Q41" s="14"/>
      <c r="R41" s="14"/>
      <c r="S41" s="14"/>
      <c r="T41" s="14"/>
      <c r="U41" s="14"/>
      <c r="V41" s="14"/>
    </row>
    <row r="42" spans="11:22" ht="15.75" customHeight="1">
      <c r="K42" s="40" t="s">
        <v>119</v>
      </c>
      <c r="L42" s="14"/>
      <c r="M42" s="45" t="s">
        <v>120</v>
      </c>
      <c r="N42" s="10" t="s">
        <v>121</v>
      </c>
      <c r="Q42" s="14"/>
      <c r="R42" s="14"/>
      <c r="S42" s="14"/>
      <c r="T42" s="14"/>
      <c r="U42" s="14"/>
      <c r="V42" s="14"/>
    </row>
    <row r="43" spans="11:22" ht="15.75" customHeight="1">
      <c r="K43" s="40" t="s">
        <v>122</v>
      </c>
      <c r="L43" s="14"/>
      <c r="M43" s="46">
        <f ca="1">TODAY()</f>
        <v>45934</v>
      </c>
      <c r="N43" s="10" t="s">
        <v>123</v>
      </c>
      <c r="Q43" s="14"/>
      <c r="R43" s="14"/>
      <c r="S43" s="14"/>
      <c r="T43" s="14"/>
      <c r="U43" s="14"/>
      <c r="V43" s="14"/>
    </row>
    <row r="44" spans="11:22" ht="15.75" customHeight="1">
      <c r="K44" s="47"/>
      <c r="L44" s="14"/>
      <c r="Q44" s="14"/>
      <c r="R44" s="14"/>
      <c r="S44" s="14"/>
      <c r="T44" s="14"/>
      <c r="U44" s="14"/>
      <c r="V44" s="14"/>
    </row>
    <row r="45" spans="11:22" ht="15.75" customHeight="1">
      <c r="K45" s="48" t="s">
        <v>124</v>
      </c>
      <c r="L45" s="43"/>
      <c r="M45" s="44"/>
      <c r="N45" s="44"/>
      <c r="O45" s="44"/>
      <c r="P45" s="44"/>
      <c r="Q45" s="43"/>
      <c r="R45" s="43"/>
      <c r="S45" s="43"/>
      <c r="T45" s="43"/>
      <c r="U45" s="43"/>
      <c r="V45" s="43"/>
    </row>
    <row r="46" spans="11:22" ht="15.75" customHeight="1">
      <c r="K46" s="10" t="s">
        <v>125</v>
      </c>
      <c r="L46" s="10"/>
      <c r="M46" s="10"/>
      <c r="N46" s="10"/>
      <c r="Q46" s="14"/>
      <c r="R46" s="14"/>
      <c r="S46" s="14"/>
      <c r="T46" s="14"/>
      <c r="U46" s="14"/>
      <c r="V46" s="14"/>
    </row>
    <row r="47" spans="11:22">
      <c r="K47" s="49" t="s">
        <v>126</v>
      </c>
      <c r="L47" s="50"/>
      <c r="M47" s="30" t="s">
        <v>127</v>
      </c>
      <c r="N47" s="10" t="s">
        <v>155</v>
      </c>
      <c r="O47" s="52"/>
      <c r="P47" s="52"/>
      <c r="Q47" s="52"/>
      <c r="R47" s="52"/>
      <c r="S47" s="52"/>
      <c r="T47" s="52"/>
      <c r="U47" s="52"/>
      <c r="V47" s="53"/>
    </row>
    <row r="48" spans="11:22" ht="15.75" customHeight="1">
      <c r="K48" s="21" t="s">
        <v>100</v>
      </c>
      <c r="L48" s="21" t="s">
        <v>129</v>
      </c>
      <c r="M48" s="22" t="s">
        <v>84</v>
      </c>
      <c r="N48" s="22" t="s">
        <v>130</v>
      </c>
      <c r="O48" s="22" t="s">
        <v>131</v>
      </c>
      <c r="P48" s="22" t="s">
        <v>133</v>
      </c>
      <c r="Q48" s="22" t="s">
        <v>134</v>
      </c>
      <c r="R48" s="22" t="s">
        <v>135</v>
      </c>
      <c r="S48" s="22" t="s">
        <v>109</v>
      </c>
      <c r="T48" s="22" t="s">
        <v>111</v>
      </c>
      <c r="U48" s="22" t="s">
        <v>136</v>
      </c>
      <c r="V48" s="23" t="s">
        <v>86</v>
      </c>
    </row>
    <row r="49" spans="11:22" ht="15.75" customHeight="1">
      <c r="K49" s="26" t="s">
        <v>137</v>
      </c>
      <c r="N49" s="25" t="s">
        <v>138</v>
      </c>
      <c r="O49" s="25" t="s">
        <v>139</v>
      </c>
      <c r="P49" s="25" t="s">
        <v>141</v>
      </c>
      <c r="Q49" s="25" t="s">
        <v>142</v>
      </c>
      <c r="R49" s="25" t="s">
        <v>143</v>
      </c>
      <c r="S49" s="25" t="s">
        <v>144</v>
      </c>
      <c r="T49" s="25" t="s">
        <v>145</v>
      </c>
      <c r="U49" s="25" t="s">
        <v>146</v>
      </c>
      <c r="V49" s="25" t="s">
        <v>90</v>
      </c>
    </row>
    <row r="50" spans="11:22" ht="15.75" customHeight="1">
      <c r="K50" s="30" t="s">
        <v>100</v>
      </c>
      <c r="L50" s="30" t="s">
        <v>147</v>
      </c>
      <c r="M50" s="31">
        <v>0</v>
      </c>
      <c r="N50" s="57">
        <v>0</v>
      </c>
      <c r="O50" s="31">
        <v>0</v>
      </c>
      <c r="P50" s="57">
        <v>0</v>
      </c>
      <c r="Q50" s="46">
        <f t="shared" ref="Q50:Q53" ca="1" si="44">TODAY()-365</f>
        <v>45569</v>
      </c>
      <c r="R50" s="28">
        <f t="shared" ref="R50:R53" ca="1" si="45">IFERROR(P50/365*(M$43-Q50)*M50,0)</f>
        <v>0</v>
      </c>
      <c r="S50" s="31">
        <f t="shared" ref="S50:S53" si="46">IF(L50="postmoney SAFE",H$29+MAX(0,SUM(V$50:V$54)),H$29)</f>
        <v>0</v>
      </c>
      <c r="T50" s="55">
        <f t="shared" ref="T50:T53" si="47">IFERROR(IF(ISNUMBER(M$41),ROUND(IF(O50&lt;&gt;0, MIN(O50/S50,M$36*(1-N50)),M$36*(1-N50)),M$41),IF(O50&lt;&gt;0, MIN(O50/S50,M$36*(1-N50)),M$36*(1-N50))),0)</f>
        <v>0</v>
      </c>
      <c r="U50" s="56">
        <f t="shared" ref="U50:U53" ca="1" si="48">IFERROR(((R50+M50)/T50-V50)*T50,0)</f>
        <v>0</v>
      </c>
      <c r="V50" s="28">
        <f t="shared" ref="V50:V53" si="49">IF(M$40=TRUE, IFERROR(IF(M$42="rounddown",ROUNDDOWN((R50+M50)/T50,0),IF(M$42="roundup",ROUNDUP((R50+M50)/T50,0),IF(M$42="round",ROUND((R50+M50)/T50,0),(R50+M50)/T50))),0),0)</f>
        <v>0</v>
      </c>
    </row>
    <row r="51" spans="11:22" ht="15.75" customHeight="1">
      <c r="K51" s="30" t="s">
        <v>100</v>
      </c>
      <c r="L51" s="30" t="s">
        <v>147</v>
      </c>
      <c r="M51" s="31">
        <v>0</v>
      </c>
      <c r="N51" s="57">
        <v>0</v>
      </c>
      <c r="O51" s="31">
        <v>0</v>
      </c>
      <c r="P51" s="57">
        <v>0</v>
      </c>
      <c r="Q51" s="46">
        <f t="shared" ca="1" si="44"/>
        <v>45569</v>
      </c>
      <c r="R51" s="28">
        <f t="shared" ca="1" si="45"/>
        <v>0</v>
      </c>
      <c r="S51" s="31">
        <f t="shared" si="46"/>
        <v>0</v>
      </c>
      <c r="T51" s="55">
        <f t="shared" si="47"/>
        <v>0</v>
      </c>
      <c r="U51" s="56">
        <f t="shared" ca="1" si="48"/>
        <v>0</v>
      </c>
      <c r="V51" s="28">
        <f t="shared" si="49"/>
        <v>0</v>
      </c>
    </row>
    <row r="52" spans="11:22" ht="15.75" customHeight="1">
      <c r="K52" s="30" t="s">
        <v>100</v>
      </c>
      <c r="L52" s="30" t="s">
        <v>147</v>
      </c>
      <c r="M52" s="31">
        <v>0</v>
      </c>
      <c r="N52" s="57">
        <v>0</v>
      </c>
      <c r="O52" s="31">
        <v>0</v>
      </c>
      <c r="P52" s="57">
        <v>0</v>
      </c>
      <c r="Q52" s="46">
        <f t="shared" ca="1" si="44"/>
        <v>45569</v>
      </c>
      <c r="R52" s="28">
        <f t="shared" ca="1" si="45"/>
        <v>0</v>
      </c>
      <c r="S52" s="31">
        <f t="shared" si="46"/>
        <v>0</v>
      </c>
      <c r="T52" s="55">
        <f t="shared" si="47"/>
        <v>0</v>
      </c>
      <c r="U52" s="56">
        <f t="shared" ca="1" si="48"/>
        <v>0</v>
      </c>
      <c r="V52" s="28">
        <f t="shared" si="49"/>
        <v>0</v>
      </c>
    </row>
    <row r="53" spans="11:22" ht="15.75" customHeight="1">
      <c r="K53" s="30" t="s">
        <v>100</v>
      </c>
      <c r="L53" s="30" t="s">
        <v>147</v>
      </c>
      <c r="M53" s="31">
        <v>0</v>
      </c>
      <c r="N53" s="57">
        <v>0</v>
      </c>
      <c r="O53" s="31">
        <v>0</v>
      </c>
      <c r="P53" s="57">
        <v>0</v>
      </c>
      <c r="Q53" s="46">
        <f t="shared" ca="1" si="44"/>
        <v>45569</v>
      </c>
      <c r="R53" s="28">
        <f t="shared" ca="1" si="45"/>
        <v>0</v>
      </c>
      <c r="S53" s="31">
        <f t="shared" si="46"/>
        <v>0</v>
      </c>
      <c r="T53" s="55">
        <f t="shared" si="47"/>
        <v>0</v>
      </c>
      <c r="U53" s="56">
        <f t="shared" ca="1" si="48"/>
        <v>0</v>
      </c>
      <c r="V53" s="28">
        <f t="shared" si="49"/>
        <v>0</v>
      </c>
    </row>
    <row r="54" spans="11:22" ht="13">
      <c r="L54" s="10"/>
      <c r="N54" s="10"/>
      <c r="Q54" s="14"/>
      <c r="R54" s="14"/>
      <c r="S54" s="14"/>
      <c r="T54" s="14"/>
      <c r="U54" s="14"/>
      <c r="V54" s="14"/>
    </row>
    <row r="55" spans="11:22" ht="13">
      <c r="K55" s="36" t="s">
        <v>101</v>
      </c>
      <c r="L55" s="36"/>
      <c r="M55" s="58">
        <f>SUM(M50:M53)</f>
        <v>0</v>
      </c>
      <c r="N55" s="36"/>
      <c r="O55" s="36"/>
      <c r="P55" s="36"/>
      <c r="Q55" s="58"/>
      <c r="R55" s="58">
        <f ca="1">SUM(R50:R53)</f>
        <v>0</v>
      </c>
      <c r="S55" s="58"/>
      <c r="T55" s="59">
        <f ca="1">IFERROR((R55+M55)/V55,0)</f>
        <v>0</v>
      </c>
      <c r="U55" s="60">
        <f t="shared" ref="U55:V55" ca="1" si="50">SUM(U50:U53)</f>
        <v>0</v>
      </c>
      <c r="V55" s="58">
        <f t="shared" si="50"/>
        <v>0</v>
      </c>
    </row>
    <row r="56" spans="11:22" ht="13">
      <c r="K56" s="47"/>
      <c r="M56" s="14"/>
      <c r="N56" s="10"/>
      <c r="Q56" s="14"/>
      <c r="R56" s="14"/>
      <c r="S56" s="14"/>
      <c r="T56" s="14"/>
      <c r="U56" s="14"/>
    </row>
    <row r="57" spans="11:22" ht="13">
      <c r="K57" s="10"/>
      <c r="L57" s="14"/>
      <c r="Q57" s="14"/>
      <c r="R57" s="14"/>
      <c r="S57" s="14"/>
      <c r="T57" s="14"/>
      <c r="U57" s="14"/>
      <c r="V57" s="14"/>
    </row>
  </sheetData>
  <dataValidations count="3">
    <dataValidation type="list" allowBlank="1" sqref="L50:L53" xr:uid="{00000000-0002-0000-0800-000000000000}">
      <formula1>"postmoney SAFE,premoney SAFE,convertible note"</formula1>
    </dataValidation>
    <dataValidation type="list" allowBlank="1" sqref="M42" xr:uid="{00000000-0002-0000-0800-000001000000}">
      <formula1>"none,round,roundup,rounddown"</formula1>
    </dataValidation>
    <dataValidation type="list" allowBlank="1" sqref="M47" xr:uid="{00000000-0002-0000-0800-000002000000}">
      <formula1>"investor friendly,founder friendly"</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F19"/>
  <sheetViews>
    <sheetView showGridLines="0" workbookViewId="0"/>
  </sheetViews>
  <sheetFormatPr baseColWidth="10" defaultColWidth="12.6640625" defaultRowHeight="15.75" customHeight="1"/>
  <cols>
    <col min="1" max="1" width="4.5" customWidth="1"/>
    <col min="2" max="2" width="47.1640625" customWidth="1"/>
    <col min="3" max="3" width="43.33203125" customWidth="1"/>
    <col min="4" max="4" width="70.1640625" customWidth="1"/>
  </cols>
  <sheetData>
    <row r="1" spans="1:6" ht="15.75" customHeight="1">
      <c r="A1" s="24"/>
      <c r="B1" s="24"/>
      <c r="C1" s="24"/>
      <c r="D1" s="24"/>
      <c r="E1" s="24"/>
      <c r="F1" s="24"/>
    </row>
    <row r="2" spans="1:6">
      <c r="A2" s="24"/>
      <c r="B2" s="116" t="s">
        <v>304</v>
      </c>
      <c r="C2" s="24"/>
      <c r="D2" s="24"/>
      <c r="E2" s="24"/>
      <c r="F2" s="24"/>
    </row>
    <row r="3" spans="1:6" ht="15.75" customHeight="1">
      <c r="A3" s="24"/>
      <c r="B3" s="117" t="s">
        <v>305</v>
      </c>
      <c r="C3" s="49"/>
      <c r="D3" s="24"/>
      <c r="E3" s="24"/>
      <c r="F3" s="24"/>
    </row>
    <row r="4" spans="1:6" ht="15.75" customHeight="1">
      <c r="A4" s="24"/>
      <c r="B4" s="24"/>
      <c r="C4" s="24"/>
      <c r="D4" s="24"/>
      <c r="E4" s="24"/>
      <c r="F4" s="24"/>
    </row>
    <row r="5" spans="1:6" ht="15.75" customHeight="1">
      <c r="A5" s="24"/>
      <c r="B5" s="73" t="s">
        <v>306</v>
      </c>
      <c r="C5" s="73" t="s">
        <v>307</v>
      </c>
      <c r="D5" s="73" t="s">
        <v>308</v>
      </c>
      <c r="E5" s="24"/>
      <c r="F5" s="24"/>
    </row>
    <row r="6" spans="1:6" ht="15.75" customHeight="1">
      <c r="A6" s="24"/>
      <c r="B6" s="24"/>
      <c r="C6" s="24"/>
      <c r="D6" s="24"/>
      <c r="E6" s="24"/>
      <c r="F6" s="24"/>
    </row>
    <row r="7" spans="1:6" ht="15.75" customHeight="1">
      <c r="A7" s="24"/>
      <c r="B7" s="118" t="s">
        <v>309</v>
      </c>
      <c r="C7" s="118" t="s">
        <v>310</v>
      </c>
      <c r="D7" s="119" t="s">
        <v>311</v>
      </c>
      <c r="E7" s="24"/>
      <c r="F7" s="24"/>
    </row>
    <row r="8" spans="1:6" ht="15.75" customHeight="1">
      <c r="A8" s="24"/>
      <c r="B8" s="118" t="s">
        <v>312</v>
      </c>
      <c r="C8" s="118" t="s">
        <v>313</v>
      </c>
      <c r="D8" s="119" t="s">
        <v>314</v>
      </c>
      <c r="E8" s="24"/>
      <c r="F8" s="24"/>
    </row>
    <row r="9" spans="1:6" ht="15.75" customHeight="1">
      <c r="A9" s="24"/>
      <c r="B9" s="118" t="s">
        <v>315</v>
      </c>
      <c r="C9" s="118" t="s">
        <v>316</v>
      </c>
      <c r="D9" s="120" t="s">
        <v>317</v>
      </c>
      <c r="E9" s="24"/>
      <c r="F9" s="24"/>
    </row>
    <row r="10" spans="1:6" ht="15.75" customHeight="1">
      <c r="A10" s="24"/>
      <c r="B10" s="118" t="s">
        <v>318</v>
      </c>
      <c r="C10" s="118" t="s">
        <v>319</v>
      </c>
      <c r="D10" s="119" t="s">
        <v>320</v>
      </c>
      <c r="E10" s="24"/>
      <c r="F10" s="24"/>
    </row>
    <row r="11" spans="1:6" ht="15.75" customHeight="1">
      <c r="A11" s="24"/>
      <c r="B11" s="118" t="s">
        <v>321</v>
      </c>
      <c r="C11" s="6" t="s">
        <v>322</v>
      </c>
      <c r="D11" s="121" t="s">
        <v>323</v>
      </c>
      <c r="E11" s="24"/>
      <c r="F11" s="24"/>
    </row>
    <row r="12" spans="1:6" ht="15.75" customHeight="1">
      <c r="A12" s="24"/>
      <c r="B12" s="118" t="s">
        <v>324</v>
      </c>
      <c r="C12" s="6" t="s">
        <v>325</v>
      </c>
      <c r="D12" s="121" t="s">
        <v>326</v>
      </c>
      <c r="E12" s="24"/>
      <c r="F12" s="24"/>
    </row>
    <row r="13" spans="1:6" ht="15.75" customHeight="1">
      <c r="A13" s="24"/>
      <c r="B13" s="118" t="s">
        <v>327</v>
      </c>
      <c r="C13" s="6" t="s">
        <v>328</v>
      </c>
      <c r="D13" s="121" t="s">
        <v>329</v>
      </c>
      <c r="E13" s="24"/>
      <c r="F13" s="24"/>
    </row>
    <row r="14" spans="1:6" ht="15.75" customHeight="1">
      <c r="A14" s="24"/>
      <c r="B14" s="118" t="s">
        <v>330</v>
      </c>
      <c r="C14" s="6" t="s">
        <v>331</v>
      </c>
      <c r="D14" s="121" t="s">
        <v>332</v>
      </c>
      <c r="E14" s="24"/>
      <c r="F14" s="24"/>
    </row>
    <row r="15" spans="1:6" ht="15.75" customHeight="1">
      <c r="A15" s="24"/>
      <c r="B15" s="118" t="s">
        <v>333</v>
      </c>
      <c r="C15" s="6" t="s">
        <v>334</v>
      </c>
      <c r="D15" s="121" t="s">
        <v>335</v>
      </c>
      <c r="E15" s="24"/>
      <c r="F15" s="24"/>
    </row>
    <row r="16" spans="1:6" ht="15.75" customHeight="1">
      <c r="A16" s="24"/>
      <c r="B16" s="118" t="s">
        <v>336</v>
      </c>
      <c r="C16" s="6" t="s">
        <v>337</v>
      </c>
      <c r="D16" s="121" t="s">
        <v>338</v>
      </c>
      <c r="E16" s="24"/>
      <c r="F16" s="24"/>
    </row>
    <row r="17" spans="1:6" ht="15.75" customHeight="1">
      <c r="A17" s="24"/>
      <c r="B17" s="118" t="s">
        <v>339</v>
      </c>
      <c r="C17" s="6" t="s">
        <v>340</v>
      </c>
      <c r="D17" s="121" t="s">
        <v>341</v>
      </c>
      <c r="E17" s="24"/>
      <c r="F17" s="24"/>
    </row>
    <row r="18" spans="1:6" ht="15.75" customHeight="1">
      <c r="A18" s="24"/>
      <c r="B18" s="118" t="s">
        <v>342</v>
      </c>
      <c r="C18" s="118" t="s">
        <v>343</v>
      </c>
      <c r="D18" s="122" t="s">
        <v>344</v>
      </c>
      <c r="E18" s="24"/>
      <c r="F18" s="24"/>
    </row>
    <row r="19" spans="1:6" ht="15.75" customHeight="1">
      <c r="A19" s="24"/>
      <c r="B19" s="24"/>
      <c r="C19" s="24"/>
      <c r="D19" s="24"/>
      <c r="E19" s="24"/>
      <c r="F19" s="24"/>
    </row>
  </sheetData>
  <hyperlinks>
    <hyperlink ref="D7" r:id="rId1" xr:uid="{00000000-0004-0000-0900-000000000000}"/>
    <hyperlink ref="D8" r:id="rId2" xr:uid="{00000000-0004-0000-0900-000001000000}"/>
    <hyperlink ref="D9" r:id="rId3" xr:uid="{00000000-0004-0000-0900-000002000000}"/>
    <hyperlink ref="D10" r:id="rId4" xr:uid="{00000000-0004-0000-0900-000003000000}"/>
    <hyperlink ref="D11" r:id="rId5" xr:uid="{00000000-0004-0000-0900-000004000000}"/>
    <hyperlink ref="D12" r:id="rId6" xr:uid="{00000000-0004-0000-0900-000005000000}"/>
    <hyperlink ref="D13" r:id="rId7" xr:uid="{00000000-0004-0000-0900-000006000000}"/>
    <hyperlink ref="D14" r:id="rId8" xr:uid="{00000000-0004-0000-0900-000007000000}"/>
    <hyperlink ref="D15" r:id="rId9" xr:uid="{00000000-0004-0000-0900-000008000000}"/>
    <hyperlink ref="D16" r:id="rId10" xr:uid="{00000000-0004-0000-0900-000009000000}"/>
    <hyperlink ref="D17" r:id="rId11" xr:uid="{00000000-0004-0000-0900-00000A000000}"/>
    <hyperlink ref="D18" r:id="rId12" xr:uid="{00000000-0004-0000-0900-00000B000000}"/>
  </hyperlinks>
  <pageMargins left="0.7" right="0.7" top="0.75" bottom="0.75" header="0.3" footer="0.3"/>
  <tableParts count="1">
    <tablePart r:id="rId1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B2:C46"/>
  <sheetViews>
    <sheetView showGridLines="0" workbookViewId="0"/>
  </sheetViews>
  <sheetFormatPr baseColWidth="10" defaultColWidth="12.6640625" defaultRowHeight="15.75" customHeight="1"/>
  <cols>
    <col min="1" max="1" width="5.5" customWidth="1"/>
    <col min="2" max="2" width="36.5" customWidth="1"/>
    <col min="3" max="3" width="80.1640625" customWidth="1"/>
  </cols>
  <sheetData>
    <row r="2" spans="2:3">
      <c r="B2" s="1" t="s">
        <v>46</v>
      </c>
    </row>
    <row r="3" spans="2:3" ht="15.75" customHeight="1">
      <c r="B3" s="16" t="s">
        <v>345</v>
      </c>
    </row>
    <row r="4" spans="2:3" ht="15.75" customHeight="1">
      <c r="B4" s="10"/>
    </row>
    <row r="5" spans="2:3" ht="15.75" customHeight="1">
      <c r="B5" s="44" t="s">
        <v>346</v>
      </c>
      <c r="C5" s="44" t="s">
        <v>347</v>
      </c>
    </row>
    <row r="6" spans="2:3" ht="15.75" customHeight="1">
      <c r="B6" s="6"/>
      <c r="C6" s="6"/>
    </row>
    <row r="7" spans="2:3" ht="15.75" customHeight="1">
      <c r="B7" s="6" t="s">
        <v>348</v>
      </c>
      <c r="C7" s="6" t="s">
        <v>349</v>
      </c>
    </row>
    <row r="8" spans="2:3" ht="15.75" customHeight="1">
      <c r="B8" s="6" t="s">
        <v>105</v>
      </c>
      <c r="C8" s="6" t="s">
        <v>350</v>
      </c>
    </row>
    <row r="9" spans="2:3" ht="15.75" customHeight="1">
      <c r="B9" s="6" t="s">
        <v>107</v>
      </c>
      <c r="C9" s="6" t="s">
        <v>351</v>
      </c>
    </row>
    <row r="10" spans="2:3" ht="15.75" customHeight="1">
      <c r="B10" s="6" t="s">
        <v>109</v>
      </c>
      <c r="C10" s="6" t="s">
        <v>352</v>
      </c>
    </row>
    <row r="11" spans="2:3" ht="15.75" customHeight="1">
      <c r="B11" s="6" t="s">
        <v>111</v>
      </c>
      <c r="C11" s="6" t="s">
        <v>353</v>
      </c>
    </row>
    <row r="12" spans="2:3" ht="15.75" customHeight="1">
      <c r="B12" s="6" t="s">
        <v>354</v>
      </c>
      <c r="C12" s="6" t="s">
        <v>355</v>
      </c>
    </row>
    <row r="13" spans="2:3" ht="15.75" customHeight="1">
      <c r="B13" s="6" t="s">
        <v>356</v>
      </c>
      <c r="C13" s="6" t="s">
        <v>357</v>
      </c>
    </row>
    <row r="14" spans="2:3" ht="15.75" customHeight="1">
      <c r="B14" s="6" t="s">
        <v>358</v>
      </c>
      <c r="C14" s="6" t="s">
        <v>359</v>
      </c>
    </row>
    <row r="15" spans="2:3" ht="15.75" customHeight="1">
      <c r="B15" s="6" t="s">
        <v>360</v>
      </c>
      <c r="C15" s="6" t="s">
        <v>361</v>
      </c>
    </row>
    <row r="16" spans="2:3" ht="15.75" customHeight="1">
      <c r="B16" s="6" t="s">
        <v>362</v>
      </c>
      <c r="C16" s="6" t="s">
        <v>363</v>
      </c>
    </row>
    <row r="17" spans="2:3" ht="15.75" customHeight="1">
      <c r="B17" s="6" t="s">
        <v>364</v>
      </c>
      <c r="C17" s="123" t="s">
        <v>365</v>
      </c>
    </row>
    <row r="18" spans="2:3" ht="15.75" customHeight="1">
      <c r="B18" s="6" t="s">
        <v>366</v>
      </c>
      <c r="C18" s="6" t="s">
        <v>367</v>
      </c>
    </row>
    <row r="19" spans="2:3" ht="15.75" customHeight="1">
      <c r="B19" s="6" t="s">
        <v>368</v>
      </c>
      <c r="C19" s="6" t="s">
        <v>369</v>
      </c>
    </row>
    <row r="20" spans="2:3" ht="15.75" customHeight="1">
      <c r="B20" s="6" t="s">
        <v>370</v>
      </c>
      <c r="C20" s="6" t="s">
        <v>371</v>
      </c>
    </row>
    <row r="21" spans="2:3" ht="15.75" customHeight="1">
      <c r="B21" s="6" t="s">
        <v>257</v>
      </c>
      <c r="C21" s="123" t="s">
        <v>372</v>
      </c>
    </row>
    <row r="22" spans="2:3" ht="15.75" customHeight="1">
      <c r="B22" s="6" t="s">
        <v>130</v>
      </c>
      <c r="C22" s="6" t="s">
        <v>373</v>
      </c>
    </row>
    <row r="23" spans="2:3" ht="15.75" customHeight="1">
      <c r="B23" s="6" t="s">
        <v>133</v>
      </c>
      <c r="C23" s="123" t="s">
        <v>374</v>
      </c>
    </row>
    <row r="24" spans="2:3" ht="15.75" customHeight="1">
      <c r="B24" s="6" t="s">
        <v>77</v>
      </c>
      <c r="C24" s="123" t="s">
        <v>375</v>
      </c>
    </row>
    <row r="25" spans="2:3" ht="15.75" customHeight="1">
      <c r="B25" s="6" t="s">
        <v>78</v>
      </c>
      <c r="C25" s="7" t="s">
        <v>376</v>
      </c>
    </row>
    <row r="26" spans="2:3" ht="15.75" customHeight="1">
      <c r="B26" s="6" t="s">
        <v>377</v>
      </c>
      <c r="C26" s="6" t="s">
        <v>378</v>
      </c>
    </row>
    <row r="27" spans="2:3" ht="15.75" customHeight="1">
      <c r="B27" s="6" t="s">
        <v>379</v>
      </c>
      <c r="C27" s="6" t="s">
        <v>380</v>
      </c>
    </row>
    <row r="28" spans="2:3" ht="15.75" customHeight="1">
      <c r="B28" s="6" t="s">
        <v>82</v>
      </c>
      <c r="C28" s="6" t="s">
        <v>381</v>
      </c>
    </row>
    <row r="29" spans="2:3" ht="15.75" customHeight="1">
      <c r="B29" s="6" t="s">
        <v>382</v>
      </c>
      <c r="C29" s="6" t="s">
        <v>383</v>
      </c>
    </row>
    <row r="30" spans="2:3" ht="15.75" customHeight="1">
      <c r="B30" s="6" t="s">
        <v>384</v>
      </c>
      <c r="C30" s="6" t="s">
        <v>385</v>
      </c>
    </row>
    <row r="31" spans="2:3" ht="15.75" customHeight="1">
      <c r="B31" s="6" t="s">
        <v>386</v>
      </c>
      <c r="C31" s="6" t="s">
        <v>387</v>
      </c>
    </row>
    <row r="32" spans="2:3" ht="15.75" customHeight="1">
      <c r="B32" s="6" t="s">
        <v>388</v>
      </c>
      <c r="C32" s="6" t="s">
        <v>389</v>
      </c>
    </row>
    <row r="33" spans="2:3" ht="15.75" customHeight="1">
      <c r="B33" s="6" t="s">
        <v>390</v>
      </c>
      <c r="C33" s="6" t="s">
        <v>391</v>
      </c>
    </row>
    <row r="34" spans="2:3" ht="15.75" customHeight="1">
      <c r="B34" s="6" t="s">
        <v>392</v>
      </c>
      <c r="C34" s="6" t="s">
        <v>393</v>
      </c>
    </row>
    <row r="35" spans="2:3" ht="15.75" customHeight="1">
      <c r="B35" s="118" t="s">
        <v>394</v>
      </c>
      <c r="C35" s="6" t="s">
        <v>395</v>
      </c>
    </row>
    <row r="36" spans="2:3" ht="15.75" customHeight="1">
      <c r="B36" s="118" t="s">
        <v>396</v>
      </c>
      <c r="C36" s="123" t="s">
        <v>335</v>
      </c>
    </row>
    <row r="37" spans="2:3" ht="15.75" customHeight="1">
      <c r="B37" s="118" t="s">
        <v>397</v>
      </c>
      <c r="C37" s="123" t="s">
        <v>335</v>
      </c>
    </row>
    <row r="38" spans="2:3" ht="15.75" customHeight="1">
      <c r="B38" s="118" t="s">
        <v>398</v>
      </c>
      <c r="C38" s="123" t="s">
        <v>335</v>
      </c>
    </row>
    <row r="39" spans="2:3" ht="15.75" customHeight="1">
      <c r="B39" s="118" t="s">
        <v>399</v>
      </c>
      <c r="C39" s="6" t="s">
        <v>400</v>
      </c>
    </row>
    <row r="40" spans="2:3" ht="15.75" customHeight="1">
      <c r="B40" s="118" t="s">
        <v>401</v>
      </c>
      <c r="C40" s="6" t="s">
        <v>402</v>
      </c>
    </row>
    <row r="41" spans="2:3" ht="15.75" customHeight="1">
      <c r="B41" s="118" t="s">
        <v>403</v>
      </c>
      <c r="C41" s="6" t="s">
        <v>404</v>
      </c>
    </row>
    <row r="42" spans="2:3" ht="15.75" customHeight="1">
      <c r="B42" s="118" t="s">
        <v>405</v>
      </c>
      <c r="C42" s="6" t="s">
        <v>406</v>
      </c>
    </row>
    <row r="43" spans="2:3" ht="15.75" customHeight="1">
      <c r="B43" s="118" t="s">
        <v>407</v>
      </c>
      <c r="C43" s="6" t="s">
        <v>408</v>
      </c>
    </row>
    <row r="44" spans="2:3" ht="15.75" customHeight="1">
      <c r="B44" s="118" t="s">
        <v>409</v>
      </c>
      <c r="C44" s="6" t="s">
        <v>410</v>
      </c>
    </row>
    <row r="45" spans="2:3" ht="15.75" customHeight="1">
      <c r="B45" s="118" t="s">
        <v>229</v>
      </c>
      <c r="C45" s="7" t="s">
        <v>411</v>
      </c>
    </row>
    <row r="46" spans="2:3" ht="15.75" customHeight="1">
      <c r="B46" s="6" t="s">
        <v>412</v>
      </c>
      <c r="C46" s="6" t="s">
        <v>413</v>
      </c>
    </row>
  </sheetData>
  <hyperlinks>
    <hyperlink ref="C17" r:id="rId1" xr:uid="{00000000-0004-0000-0A00-000000000000}"/>
    <hyperlink ref="C21" r:id="rId2" xr:uid="{00000000-0004-0000-0A00-000001000000}"/>
    <hyperlink ref="C23" r:id="rId3" xr:uid="{00000000-0004-0000-0A00-000002000000}"/>
    <hyperlink ref="C24" r:id="rId4" xr:uid="{00000000-0004-0000-0A00-000003000000}"/>
    <hyperlink ref="C25" r:id="rId5" xr:uid="{00000000-0004-0000-0A00-000004000000}"/>
    <hyperlink ref="C36" r:id="rId6" xr:uid="{00000000-0004-0000-0A00-000005000000}"/>
    <hyperlink ref="C37" r:id="rId7" xr:uid="{00000000-0004-0000-0A00-000006000000}"/>
    <hyperlink ref="C38" r:id="rId8" xr:uid="{00000000-0004-0000-0A00-000007000000}"/>
    <hyperlink ref="C45" r:id="rId9" xr:uid="{00000000-0004-0000-0A00-000008000000}"/>
  </hyperlinks>
  <pageMargins left="0.7" right="0.7" top="0.75" bottom="0.75" header="0.3" footer="0.3"/>
  <tableParts count="1">
    <tablePart r:id="rId10"/>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B1:D63"/>
  <sheetViews>
    <sheetView showGridLines="0" workbookViewId="0"/>
  </sheetViews>
  <sheetFormatPr baseColWidth="10" defaultColWidth="12.6640625" defaultRowHeight="15.75" customHeight="1"/>
  <cols>
    <col min="1" max="1" width="5.5" customWidth="1"/>
    <col min="2" max="2" width="17.6640625" customWidth="1"/>
    <col min="3" max="3" width="16" customWidth="1"/>
    <col min="4" max="4" width="87.5" customWidth="1"/>
  </cols>
  <sheetData>
    <row r="1" spans="2:4" ht="15.75" customHeight="1">
      <c r="C1" s="124"/>
    </row>
    <row r="2" spans="2:4">
      <c r="B2" s="1" t="s">
        <v>48</v>
      </c>
      <c r="C2" s="124"/>
    </row>
    <row r="3" spans="2:4" ht="15.75" customHeight="1">
      <c r="B3" s="16" t="s">
        <v>414</v>
      </c>
      <c r="C3" s="124"/>
    </row>
    <row r="4" spans="2:4" ht="15.75" customHeight="1">
      <c r="B4" s="10"/>
      <c r="C4" s="124"/>
    </row>
    <row r="5" spans="2:4" ht="15.75" customHeight="1">
      <c r="B5" s="44" t="s">
        <v>415</v>
      </c>
      <c r="C5" s="74" t="s">
        <v>134</v>
      </c>
      <c r="D5" s="44" t="s">
        <v>347</v>
      </c>
    </row>
    <row r="6" spans="2:4" ht="15.75" customHeight="1">
      <c r="B6" s="6"/>
      <c r="C6" s="125"/>
      <c r="D6" s="6"/>
    </row>
    <row r="7" spans="2:4" ht="15.75" customHeight="1">
      <c r="B7" s="126" t="s">
        <v>416</v>
      </c>
      <c r="C7" s="127">
        <v>45934</v>
      </c>
      <c r="D7" s="126" t="s">
        <v>417</v>
      </c>
    </row>
    <row r="8" spans="2:4" ht="15.75" customHeight="1">
      <c r="B8" s="126" t="s">
        <v>418</v>
      </c>
      <c r="C8" s="127">
        <v>45925</v>
      </c>
      <c r="D8" s="126" t="s">
        <v>419</v>
      </c>
    </row>
    <row r="9" spans="2:4" ht="15.75" customHeight="1">
      <c r="B9" s="126" t="s">
        <v>420</v>
      </c>
      <c r="C9" s="127">
        <v>45712</v>
      </c>
      <c r="D9" s="126" t="s">
        <v>421</v>
      </c>
    </row>
    <row r="10" spans="2:4" ht="15.75" customHeight="1">
      <c r="B10" s="126" t="s">
        <v>422</v>
      </c>
      <c r="C10" s="127">
        <v>45709</v>
      </c>
      <c r="D10" s="126" t="s">
        <v>423</v>
      </c>
    </row>
    <row r="11" spans="2:4" ht="15.75" customHeight="1">
      <c r="B11" s="126" t="s">
        <v>424</v>
      </c>
      <c r="C11" s="127">
        <v>45642</v>
      </c>
      <c r="D11" s="126" t="s">
        <v>425</v>
      </c>
    </row>
    <row r="12" spans="2:4" ht="15.75" customHeight="1">
      <c r="B12" s="126" t="s">
        <v>426</v>
      </c>
      <c r="C12" s="127">
        <v>45628</v>
      </c>
      <c r="D12" s="126" t="s">
        <v>427</v>
      </c>
    </row>
    <row r="13" spans="2:4" ht="15.75" customHeight="1">
      <c r="B13" s="126" t="s">
        <v>428</v>
      </c>
      <c r="C13" s="127">
        <v>45574</v>
      </c>
      <c r="D13" s="126" t="s">
        <v>429</v>
      </c>
    </row>
    <row r="14" spans="2:4" ht="15.75" customHeight="1">
      <c r="B14" s="6" t="s">
        <v>430</v>
      </c>
      <c r="C14" s="128">
        <v>45539</v>
      </c>
      <c r="D14" s="6" t="s">
        <v>431</v>
      </c>
    </row>
    <row r="15" spans="2:4" ht="15.75" customHeight="1">
      <c r="B15" s="6" t="s">
        <v>432</v>
      </c>
      <c r="C15" s="128">
        <v>45534</v>
      </c>
      <c r="D15" s="6" t="s">
        <v>433</v>
      </c>
    </row>
    <row r="16" spans="2:4" ht="15.75" customHeight="1">
      <c r="B16" s="6" t="s">
        <v>434</v>
      </c>
      <c r="C16" s="128">
        <v>45348</v>
      </c>
      <c r="D16" s="6" t="s">
        <v>435</v>
      </c>
    </row>
    <row r="17" spans="2:4" ht="15.75" customHeight="1">
      <c r="B17" s="6" t="s">
        <v>436</v>
      </c>
      <c r="C17" s="128">
        <v>45328</v>
      </c>
      <c r="D17" s="6" t="s">
        <v>437</v>
      </c>
    </row>
    <row r="18" spans="2:4" ht="15.75" customHeight="1">
      <c r="B18" s="6" t="s">
        <v>438</v>
      </c>
      <c r="C18" s="128">
        <v>45301</v>
      </c>
      <c r="D18" s="6" t="s">
        <v>439</v>
      </c>
    </row>
    <row r="19" spans="2:4" ht="15.75" customHeight="1">
      <c r="B19" s="6" t="s">
        <v>440</v>
      </c>
      <c r="C19" s="128">
        <v>45011</v>
      </c>
      <c r="D19" s="6" t="s">
        <v>441</v>
      </c>
    </row>
    <row r="20" spans="2:4" ht="15.75" customHeight="1">
      <c r="B20" s="6" t="s">
        <v>442</v>
      </c>
      <c r="C20" s="128">
        <v>45019</v>
      </c>
      <c r="D20" s="6" t="s">
        <v>443</v>
      </c>
    </row>
    <row r="21" spans="2:4" ht="15.75" customHeight="1">
      <c r="B21" s="6" t="s">
        <v>444</v>
      </c>
      <c r="C21" s="128">
        <v>45011</v>
      </c>
      <c r="D21" s="6" t="s">
        <v>445</v>
      </c>
    </row>
    <row r="22" spans="2:4" ht="15.75" customHeight="1">
      <c r="B22" s="6" t="s">
        <v>446</v>
      </c>
      <c r="C22" s="128">
        <v>45004</v>
      </c>
      <c r="D22" s="6" t="s">
        <v>447</v>
      </c>
    </row>
    <row r="23" spans="2:4" ht="15.75" customHeight="1">
      <c r="B23" s="6" t="s">
        <v>448</v>
      </c>
      <c r="C23" s="128">
        <v>44798</v>
      </c>
      <c r="D23" s="7" t="s">
        <v>449</v>
      </c>
    </row>
    <row r="24" spans="2:4" ht="15.75" customHeight="1">
      <c r="B24" s="6" t="s">
        <v>450</v>
      </c>
      <c r="C24" s="128">
        <v>44615</v>
      </c>
      <c r="D24" s="6" t="s">
        <v>451</v>
      </c>
    </row>
    <row r="25" spans="2:4" ht="15.75" customHeight="1">
      <c r="B25" s="6" t="s">
        <v>452</v>
      </c>
      <c r="C25" s="128">
        <v>44565</v>
      </c>
      <c r="D25" s="6" t="s">
        <v>453</v>
      </c>
    </row>
    <row r="26" spans="2:4" ht="15.75" customHeight="1">
      <c r="B26" s="6" t="s">
        <v>454</v>
      </c>
      <c r="C26" s="128">
        <v>44537</v>
      </c>
      <c r="D26" s="6" t="s">
        <v>455</v>
      </c>
    </row>
    <row r="27" spans="2:4" ht="15.75" customHeight="1">
      <c r="B27" s="6" t="s">
        <v>456</v>
      </c>
      <c r="C27" s="128">
        <v>44188</v>
      </c>
      <c r="D27" s="6" t="s">
        <v>457</v>
      </c>
    </row>
    <row r="28" spans="2:4" ht="15.75" customHeight="1">
      <c r="B28" s="6" t="s">
        <v>458</v>
      </c>
      <c r="C28" s="128">
        <v>43980</v>
      </c>
      <c r="D28" s="6" t="s">
        <v>459</v>
      </c>
    </row>
    <row r="29" spans="2:4" ht="15.75" customHeight="1">
      <c r="B29" s="6" t="s">
        <v>460</v>
      </c>
      <c r="C29" s="128">
        <v>43941</v>
      </c>
      <c r="D29" s="6" t="s">
        <v>461</v>
      </c>
    </row>
    <row r="30" spans="2:4" ht="15.75" customHeight="1">
      <c r="B30" s="6"/>
      <c r="C30" s="125"/>
      <c r="D30" s="6" t="s">
        <v>462</v>
      </c>
    </row>
    <row r="31" spans="2:4" ht="15.75" customHeight="1">
      <c r="B31" s="6"/>
      <c r="C31" s="125"/>
      <c r="D31" s="6" t="s">
        <v>463</v>
      </c>
    </row>
    <row r="32" spans="2:4" ht="15.75" customHeight="1">
      <c r="B32" s="6" t="s">
        <v>464</v>
      </c>
      <c r="C32" s="128">
        <v>43845</v>
      </c>
      <c r="D32" s="6" t="s">
        <v>465</v>
      </c>
    </row>
    <row r="33" spans="2:4" ht="15.75" customHeight="1">
      <c r="B33" s="6" t="s">
        <v>466</v>
      </c>
      <c r="C33" s="128">
        <v>43825</v>
      </c>
      <c r="D33" s="6" t="s">
        <v>467</v>
      </c>
    </row>
    <row r="34" spans="2:4" ht="15.75" customHeight="1">
      <c r="B34" s="6" t="s">
        <v>468</v>
      </c>
      <c r="C34" s="128">
        <v>43634</v>
      </c>
      <c r="D34" s="6" t="s">
        <v>469</v>
      </c>
    </row>
    <row r="35" spans="2:4" ht="15.75" customHeight="1">
      <c r="B35" s="6" t="s">
        <v>470</v>
      </c>
      <c r="C35" s="128">
        <v>43633</v>
      </c>
      <c r="D35" s="6" t="s">
        <v>471</v>
      </c>
    </row>
    <row r="36" spans="2:4" ht="15.75" customHeight="1">
      <c r="B36" s="6"/>
      <c r="C36" s="125"/>
      <c r="D36" s="6" t="s">
        <v>472</v>
      </c>
    </row>
    <row r="37" spans="2:4" ht="15.75" customHeight="1">
      <c r="B37" s="6"/>
      <c r="C37" s="125"/>
      <c r="D37" s="6" t="s">
        <v>473</v>
      </c>
    </row>
    <row r="38" spans="2:4" ht="15.75" customHeight="1">
      <c r="B38" s="6"/>
      <c r="C38" s="125"/>
      <c r="D38" s="6" t="s">
        <v>474</v>
      </c>
    </row>
    <row r="39" spans="2:4" ht="15.75" customHeight="1">
      <c r="B39" s="6"/>
      <c r="C39" s="125"/>
      <c r="D39" s="6" t="s">
        <v>475</v>
      </c>
    </row>
    <row r="40" spans="2:4" ht="15.75" customHeight="1">
      <c r="B40" s="6" t="s">
        <v>476</v>
      </c>
      <c r="C40" s="128">
        <v>43542</v>
      </c>
      <c r="D40" s="6" t="s">
        <v>477</v>
      </c>
    </row>
    <row r="41" spans="2:4" ht="15.75" customHeight="1">
      <c r="B41" s="6" t="s">
        <v>478</v>
      </c>
      <c r="C41" s="128">
        <v>43500</v>
      </c>
      <c r="D41" s="6" t="s">
        <v>479</v>
      </c>
    </row>
    <row r="42" spans="2:4" ht="15.75" customHeight="1">
      <c r="B42" s="6" t="s">
        <v>480</v>
      </c>
      <c r="C42" s="128">
        <v>43482</v>
      </c>
      <c r="D42" s="6" t="s">
        <v>481</v>
      </c>
    </row>
    <row r="43" spans="2:4" ht="15.75" customHeight="1">
      <c r="B43" s="6"/>
      <c r="C43" s="125"/>
      <c r="D43" s="6" t="s">
        <v>482</v>
      </c>
    </row>
    <row r="44" spans="2:4" ht="15.75" customHeight="1">
      <c r="B44" s="6"/>
      <c r="C44" s="125"/>
      <c r="D44" s="6" t="s">
        <v>483</v>
      </c>
    </row>
    <row r="45" spans="2:4" ht="15.75" customHeight="1">
      <c r="B45" s="6"/>
      <c r="C45" s="125"/>
      <c r="D45" s="6" t="s">
        <v>484</v>
      </c>
    </row>
    <row r="46" spans="2:4" ht="15.75" customHeight="1">
      <c r="B46" s="6" t="s">
        <v>485</v>
      </c>
      <c r="C46" s="128">
        <v>43384</v>
      </c>
      <c r="D46" s="6" t="s">
        <v>486</v>
      </c>
    </row>
    <row r="47" spans="2:4" ht="15.75" customHeight="1">
      <c r="B47" s="6" t="s">
        <v>487</v>
      </c>
      <c r="C47" s="128">
        <v>43349</v>
      </c>
      <c r="D47" s="6" t="s">
        <v>488</v>
      </c>
    </row>
    <row r="48" spans="2:4" ht="15.75" customHeight="1">
      <c r="B48" s="6" t="s">
        <v>489</v>
      </c>
      <c r="C48" s="128">
        <v>43241</v>
      </c>
      <c r="D48" s="6" t="s">
        <v>490</v>
      </c>
    </row>
    <row r="49" spans="2:4" ht="15.75" customHeight="1">
      <c r="B49" s="6"/>
      <c r="C49" s="125"/>
      <c r="D49" s="6" t="s">
        <v>491</v>
      </c>
    </row>
    <row r="50" spans="2:4" ht="15.75" customHeight="1">
      <c r="B50" s="6"/>
      <c r="C50" s="125"/>
      <c r="D50" s="6" t="s">
        <v>492</v>
      </c>
    </row>
    <row r="51" spans="2:4" ht="15.75" customHeight="1">
      <c r="B51" s="6"/>
      <c r="C51" s="125"/>
      <c r="D51" s="6" t="s">
        <v>493</v>
      </c>
    </row>
    <row r="52" spans="2:4" ht="15.75" customHeight="1">
      <c r="B52" s="6"/>
      <c r="C52" s="125"/>
      <c r="D52" s="6" t="s">
        <v>494</v>
      </c>
    </row>
    <row r="53" spans="2:4" ht="15.75" customHeight="1">
      <c r="B53" s="6"/>
      <c r="C53" s="125"/>
      <c r="D53" s="6" t="s">
        <v>495</v>
      </c>
    </row>
    <row r="54" spans="2:4" ht="70">
      <c r="B54" s="6"/>
      <c r="C54" s="125"/>
      <c r="D54" s="6" t="s">
        <v>496</v>
      </c>
    </row>
    <row r="55" spans="2:4" ht="14">
      <c r="B55" s="6"/>
      <c r="C55" s="125"/>
      <c r="D55" s="6" t="s">
        <v>497</v>
      </c>
    </row>
    <row r="56" spans="2:4" ht="70">
      <c r="B56" s="6"/>
      <c r="C56" s="125"/>
      <c r="D56" s="6" t="s">
        <v>498</v>
      </c>
    </row>
    <row r="57" spans="2:4" ht="14">
      <c r="B57" s="6"/>
      <c r="C57" s="125"/>
      <c r="D57" s="6" t="s">
        <v>499</v>
      </c>
    </row>
    <row r="58" spans="2:4" ht="28">
      <c r="B58" s="6"/>
      <c r="C58" s="125"/>
      <c r="D58" s="6" t="s">
        <v>500</v>
      </c>
    </row>
    <row r="59" spans="2:4" ht="14">
      <c r="B59" s="6"/>
      <c r="C59" s="125"/>
      <c r="D59" s="6" t="s">
        <v>501</v>
      </c>
    </row>
    <row r="60" spans="2:4" ht="42">
      <c r="B60" s="6"/>
      <c r="C60" s="125"/>
      <c r="D60" s="6" t="s">
        <v>502</v>
      </c>
    </row>
    <row r="61" spans="2:4" ht="28">
      <c r="B61" s="6"/>
      <c r="C61" s="125"/>
      <c r="D61" s="6" t="s">
        <v>503</v>
      </c>
    </row>
    <row r="62" spans="2:4" ht="14">
      <c r="B62" s="6"/>
      <c r="C62" s="125"/>
      <c r="D62" s="6" t="s">
        <v>504</v>
      </c>
    </row>
    <row r="63" spans="2:4" ht="42">
      <c r="B63" s="6"/>
      <c r="C63" s="125"/>
      <c r="D63" s="6" t="s">
        <v>505</v>
      </c>
    </row>
  </sheetData>
  <hyperlinks>
    <hyperlink ref="D23" r:id="rId1" xr:uid="{00000000-0004-0000-0B00-000000000000}"/>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License</vt:lpstr>
      <vt:lpstr>Cap Table</vt:lpstr>
      <vt:lpstr>Exit Waterfall</vt:lpstr>
      <vt:lpstr>Exit Waterfall, with Convertibl</vt:lpstr>
      <vt:lpstr>Cap Table, with Anti Dilution</vt:lpstr>
      <vt:lpstr>Cap Table, Issuing Equity</vt:lpstr>
      <vt:lpstr>Cap Table, Issuing Options</vt:lpstr>
      <vt:lpstr>Cap Table, Converting SAFEs and</vt:lpstr>
      <vt:lpstr>Resources</vt:lpstr>
      <vt:lpstr>Glossary</vt:lpstr>
      <vt:lpstr>Changelog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Taylor Davidson</cp:lastModifiedBy>
  <dcterms:modified xsi:type="dcterms:W3CDTF">2025-10-04T11:40:29Z</dcterms:modified>
</cp:coreProperties>
</file>