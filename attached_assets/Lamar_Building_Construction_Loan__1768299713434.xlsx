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3bcf4abf2a21e1c2/Documents/Lamar Building/Construction Loan/"/>
    </mc:Choice>
  </mc:AlternateContent>
  <xr:revisionPtr revIDLastSave="0" documentId="8_{8E188FA5-CD23-48B6-A78E-A135DE258A4A}" xr6:coauthVersionLast="47" xr6:coauthVersionMax="47" xr10:uidLastSave="{00000000-0000-0000-0000-000000000000}"/>
  <bookViews>
    <workbookView xWindow="-120" yWindow="-120" windowWidth="29040" windowHeight="15720" tabRatio="601" firstSheet="7" activeTab="33" xr2:uid="{00000000-000D-0000-FFFF-FFFF00000000}"/>
  </bookViews>
  <sheets>
    <sheet name="0000" sheetId="22" state="veryHidden" r:id="rId1"/>
    <sheet name="Recovered_Sheet1" sheetId="24" state="veryHidden" r:id="rId2"/>
    <sheet name="Source Use  OS" sheetId="47" state="hidden" r:id="rId3"/>
    <sheet name="Modeling Assp Wkst" sheetId="45" state="hidden" r:id="rId4"/>
    <sheet name="Construction Breakdown (PBC)" sheetId="43" state="hidden" r:id="rId5"/>
    <sheet name="Intermediary Cost" sheetId="27" state="hidden" r:id="rId6"/>
    <sheet name="TDC Per Unit" sheetId="26" state="hidden" r:id="rId7"/>
    <sheet name="Sources &amp; Uses" sheetId="1" r:id="rId8"/>
    <sheet name="Sheet3" sheetId="48" r:id="rId9"/>
    <sheet name="3rd Mortgage" sheetId="41" state="hidden" r:id="rId10"/>
    <sheet name="Cost Allocation Basis" sheetId="19" state="hidden" r:id="rId11"/>
    <sheet name="carryover calc" sheetId="36" state="hidden" r:id="rId12"/>
    <sheet name="Interest Calculation" sheetId="10" r:id="rId13"/>
    <sheet name="CR Calculation" sheetId="2" state="hidden" r:id="rId14"/>
    <sheet name=" Draw Schedule" sheetId="29" state="hidden" r:id="rId15"/>
    <sheet name="Application of Funds" sheetId="28" state="hidden" r:id="rId16"/>
    <sheet name="Construction Loan" sheetId="3" state="hidden" r:id="rId17"/>
    <sheet name="Proforma (Reality) " sheetId="37" state="hidden" r:id="rId18"/>
    <sheet name="Utility Allowance" sheetId="25" state="hidden" r:id="rId19"/>
    <sheet name="Rent" sheetId="7" r:id="rId20"/>
    <sheet name="Repl.-Reserve" sheetId="6" state="hidden" r:id="rId21"/>
    <sheet name="Cost Estimate" sheetId="20" state="hidden" r:id="rId22"/>
    <sheet name="Cost by Building" sheetId="23" state="hidden" r:id="rId23"/>
    <sheet name="Sq Footage" sheetId="21" state="hidden" r:id="rId24"/>
    <sheet name="QOC" sheetId="32" state="hidden" r:id="rId25"/>
    <sheet name="1st Year Cr" sheetId="33" state="hidden" r:id="rId26"/>
    <sheet name="QOC 2nd Yr" sheetId="34" state="hidden" r:id="rId27"/>
    <sheet name="2nd Yr. Credit" sheetId="35" state="hidden" r:id="rId28"/>
    <sheet name="Basis" sheetId="9" state="hidden" r:id="rId29"/>
    <sheet name="Annual Expense" sheetId="13" state="hidden" r:id="rId30"/>
    <sheet name="Sheet1" sheetId="38" state="hidden" r:id="rId31"/>
    <sheet name="TDC" sheetId="39" state="hidden" r:id="rId32"/>
    <sheet name="Sheet2" sheetId="40" state="hidden" r:id="rId33"/>
    <sheet name="Proforma (Application)" sheetId="8" r:id="rId34"/>
    <sheet name="Expenses" sheetId="46" state="hidden" r:id="rId35"/>
    <sheet name="Residual Calculation" sheetId="42" state="hidden" r:id="rId36"/>
  </sheets>
  <externalReferences>
    <externalReference r:id="rId37"/>
    <externalReference r:id="rId38"/>
  </externalReferences>
  <definedNames>
    <definedName name="AnnExp">'Annual Expense'!$A$1:$L$57</definedName>
    <definedName name="Basis">Basis!$A$1:$W$31</definedName>
    <definedName name="CostAllocation">'Cost Allocation Basis'!$A$1:$O$53</definedName>
    <definedName name="CreditCalculation">'CR Calculation'!$A$1:$I$33</definedName>
    <definedName name="EstimateCost">'Cost Estimate'!$A$1:$G$66</definedName>
    <definedName name="LoanConstruction">'Construction Loan'!$A$1:$J$53</definedName>
    <definedName name="Mortgage1">#REF!</definedName>
    <definedName name="Mortgage2">'Interest Calculation'!$A$1:$G$30</definedName>
    <definedName name="Parish">'[1]2)Summary'!$H$8</definedName>
    <definedName name="_xlnm.Print_Area" localSheetId="16">'Construction Loan'!$A$1:$O$52</definedName>
    <definedName name="_xlnm.Print_Area" localSheetId="22">'Cost by Building'!$A$1:$V$101</definedName>
    <definedName name="_xlnm.Print_Area" localSheetId="13">'CR Calculation'!$A$1:$I$35</definedName>
    <definedName name="_xlnm.Print_Area" localSheetId="33">'Proforma (Application)'!$A$1:$S$55</definedName>
    <definedName name="_xlnm.Print_Area" localSheetId="17">'Proforma (Reality) '!$A$1:$S$59</definedName>
    <definedName name="_xlnm.Print_Area" localSheetId="19">Rent!$A$1:$Y$72</definedName>
    <definedName name="_xlnm.Print_Area" localSheetId="2">'Source Use  OS'!$A$1:$AJ$79</definedName>
    <definedName name="_xlnm.Print_Area" localSheetId="7">'Sources &amp; Uses'!$A$1:$I$76</definedName>
    <definedName name="_xlnm.Print_Titles" localSheetId="28">Basis!$A:$B</definedName>
    <definedName name="_xlnm.Print_Titles" localSheetId="22">'Cost by Building'!$1:$9</definedName>
    <definedName name="Proforma15" localSheetId="17">'Proforma (Reality) '!$A$1:$S$39</definedName>
    <definedName name="Proforma15">'Proforma (Application)'!$A$1:$S$39</definedName>
    <definedName name="Rent">Rent!$A$1:$K$47</definedName>
    <definedName name="ReplacementReserve">'Repl.-Reserve'!$A$1:$J$29</definedName>
    <definedName name="ScatteredSite">'Cost by Building'!$A$1:$W$101</definedName>
    <definedName name="source">'Sources &amp; Uses'!$A$1:$I$83</definedName>
    <definedName name="SqFtg">'Sq Footage'!$A$1:$O$114</definedName>
    <definedName name="TDCPERUNIT">'Cost by Building'!$A$1:$U$19</definedName>
    <definedName name="TotalOperating">Expenses!$C$51</definedName>
    <definedName name="Units">'[1]2)Summary'!$D$11</definedName>
    <definedName name="utility">'Utility Allowance'!$A$1:$K$21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89" i="8" l="1"/>
  <c r="J13" i="8"/>
  <c r="B15" i="48"/>
  <c r="B14" i="48"/>
  <c r="B13" i="48"/>
  <c r="B9" i="48"/>
  <c r="B6" i="48"/>
  <c r="F35" i="1"/>
  <c r="H89" i="8"/>
  <c r="G89" i="8"/>
  <c r="F89" i="8"/>
  <c r="H10" i="8"/>
  <c r="G10" i="8"/>
  <c r="F10" i="8"/>
  <c r="E10" i="8"/>
  <c r="F40" i="1" l="1"/>
  <c r="D49" i="8" l="1"/>
  <c r="D15" i="8"/>
  <c r="V68" i="1" l="1"/>
  <c r="E50" i="10"/>
  <c r="B87" i="1"/>
  <c r="B88" i="1"/>
  <c r="B89" i="1" l="1"/>
  <c r="E70" i="8" l="1"/>
  <c r="F70" i="8" s="1"/>
  <c r="G70" i="8" s="1"/>
  <c r="H70" i="8" s="1"/>
  <c r="E69" i="8"/>
  <c r="F69" i="8" s="1"/>
  <c r="G69" i="8" s="1"/>
  <c r="H69" i="8" s="1"/>
  <c r="E68" i="8"/>
  <c r="F68" i="8" s="1"/>
  <c r="G68" i="8" s="1"/>
  <c r="H68" i="8" s="1"/>
  <c r="E67" i="8"/>
  <c r="F67" i="8" s="1"/>
  <c r="G67" i="8" s="1"/>
  <c r="H67" i="8" s="1"/>
  <c r="E66" i="8"/>
  <c r="F66" i="8" s="1"/>
  <c r="G66" i="8" s="1"/>
  <c r="H66" i="8" s="1"/>
  <c r="E65" i="8"/>
  <c r="F65" i="8" s="1"/>
  <c r="G65" i="8" s="1"/>
  <c r="H65" i="8" s="1"/>
  <c r="E64" i="8"/>
  <c r="F64" i="8" s="1"/>
  <c r="G64" i="8" s="1"/>
  <c r="H64" i="8" s="1"/>
  <c r="E63" i="8"/>
  <c r="F63" i="8" s="1"/>
  <c r="G63" i="8" s="1"/>
  <c r="H63" i="8" s="1"/>
  <c r="E62" i="8"/>
  <c r="F62" i="8" s="1"/>
  <c r="G62" i="8" s="1"/>
  <c r="H62" i="8" s="1"/>
  <c r="E61" i="8"/>
  <c r="F61" i="8" s="1"/>
  <c r="G61" i="8" s="1"/>
  <c r="H61" i="8" s="1"/>
  <c r="E60" i="8"/>
  <c r="F60" i="8" s="1"/>
  <c r="G60" i="8" s="1"/>
  <c r="H60" i="8" s="1"/>
  <c r="E59" i="8"/>
  <c r="F59" i="8" s="1"/>
  <c r="G59" i="8" s="1"/>
  <c r="H59" i="8" s="1"/>
  <c r="E58" i="8"/>
  <c r="F58" i="8" s="1"/>
  <c r="G58" i="8" s="1"/>
  <c r="H58" i="8" s="1"/>
  <c r="E57" i="8"/>
  <c r="F57" i="8" s="1"/>
  <c r="G57" i="8" s="1"/>
  <c r="H57" i="8" s="1"/>
  <c r="D71" i="8"/>
  <c r="D79" i="8"/>
  <c r="E81" i="8"/>
  <c r="F81" i="8" s="1"/>
  <c r="G81" i="8" s="1"/>
  <c r="H81" i="8" s="1"/>
  <c r="E78" i="8"/>
  <c r="F78" i="8" s="1"/>
  <c r="G78" i="8" s="1"/>
  <c r="H78" i="8" s="1"/>
  <c r="E77" i="8"/>
  <c r="F77" i="8" s="1"/>
  <c r="G77" i="8" s="1"/>
  <c r="H77" i="8" s="1"/>
  <c r="F76" i="8"/>
  <c r="G76" i="8" s="1"/>
  <c r="H76" i="8" s="1"/>
  <c r="D54" i="8"/>
  <c r="E53" i="8"/>
  <c r="F53" i="8" s="1"/>
  <c r="G53" i="8" s="1"/>
  <c r="H53" i="8" s="1"/>
  <c r="E52" i="8"/>
  <c r="F52" i="8" s="1"/>
  <c r="G52" i="8" s="1"/>
  <c r="H52" i="8" s="1"/>
  <c r="D47" i="8"/>
  <c r="E46" i="8"/>
  <c r="F46" i="8" s="1"/>
  <c r="G46" i="8" s="1"/>
  <c r="H46" i="8" s="1"/>
  <c r="E45" i="8"/>
  <c r="F45" i="8" s="1"/>
  <c r="G45" i="8" s="1"/>
  <c r="H45" i="8" s="1"/>
  <c r="E44" i="8"/>
  <c r="F44" i="8" s="1"/>
  <c r="G44" i="8" s="1"/>
  <c r="H44" i="8" s="1"/>
  <c r="E43" i="8"/>
  <c r="F43" i="8" s="1"/>
  <c r="G43" i="8" s="1"/>
  <c r="H43" i="8" s="1"/>
  <c r="E42" i="8"/>
  <c r="F42" i="8" s="1"/>
  <c r="G42" i="8" s="1"/>
  <c r="H42" i="8" s="1"/>
  <c r="E41" i="8"/>
  <c r="F41" i="8" s="1"/>
  <c r="G41" i="8" s="1"/>
  <c r="H41" i="8" s="1"/>
  <c r="E40" i="8"/>
  <c r="F40" i="8" s="1"/>
  <c r="G40" i="8" s="1"/>
  <c r="H40" i="8" s="1"/>
  <c r="E39" i="8"/>
  <c r="F39" i="8" s="1"/>
  <c r="G39" i="8" s="1"/>
  <c r="H39" i="8" s="1"/>
  <c r="F38" i="8"/>
  <c r="G38" i="8" s="1"/>
  <c r="H38" i="8" s="1"/>
  <c r="E37" i="8"/>
  <c r="F37" i="8" s="1"/>
  <c r="G37" i="8" s="1"/>
  <c r="H37" i="8" s="1"/>
  <c r="E36" i="8"/>
  <c r="F36" i="8" s="1"/>
  <c r="E15" i="8"/>
  <c r="F15" i="8" s="1"/>
  <c r="G15" i="8" s="1"/>
  <c r="H15" i="8" s="1"/>
  <c r="E12" i="8"/>
  <c r="F12" i="8" s="1"/>
  <c r="G12" i="8" s="1"/>
  <c r="H12" i="8" s="1"/>
  <c r="E27" i="8"/>
  <c r="F27" i="8" s="1"/>
  <c r="G27" i="8" s="1"/>
  <c r="H27" i="8" s="1"/>
  <c r="E26" i="8"/>
  <c r="F26" i="8" s="1"/>
  <c r="G26" i="8" s="1"/>
  <c r="H26" i="8" s="1"/>
  <c r="E25" i="8"/>
  <c r="F25" i="8" s="1"/>
  <c r="G25" i="8" s="1"/>
  <c r="H25" i="8" s="1"/>
  <c r="E24" i="8"/>
  <c r="F24" i="8" s="1"/>
  <c r="G24" i="8" s="1"/>
  <c r="H24" i="8" s="1"/>
  <c r="E23" i="8"/>
  <c r="F23" i="8" s="1"/>
  <c r="G23" i="8" s="1"/>
  <c r="H23" i="8" s="1"/>
  <c r="G20" i="8"/>
  <c r="E20" i="8"/>
  <c r="D20" i="8"/>
  <c r="D32" i="10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43" i="10" s="1"/>
  <c r="D44" i="10" s="1"/>
  <c r="D45" i="10" s="1"/>
  <c r="D46" i="10" s="1"/>
  <c r="F31" i="10"/>
  <c r="H79" i="8" l="1"/>
  <c r="E71" i="8"/>
  <c r="F71" i="8" s="1"/>
  <c r="G71" i="8" s="1"/>
  <c r="H71" i="8" s="1"/>
  <c r="F54" i="8"/>
  <c r="G79" i="8"/>
  <c r="F79" i="8"/>
  <c r="H54" i="8"/>
  <c r="E79" i="8"/>
  <c r="G36" i="8"/>
  <c r="F47" i="8"/>
  <c r="E47" i="8"/>
  <c r="G54" i="8"/>
  <c r="E54" i="8"/>
  <c r="F32" i="10"/>
  <c r="C50" i="10"/>
  <c r="G50" i="10" l="1"/>
  <c r="H36" i="8"/>
  <c r="H47" i="8" s="1"/>
  <c r="G47" i="8"/>
  <c r="V12" i="1" l="1"/>
  <c r="M83" i="19" l="1"/>
  <c r="A1" i="46" l="1"/>
  <c r="V45" i="1"/>
  <c r="W41" i="1" s="1"/>
  <c r="G34" i="7"/>
  <c r="I34" i="7" s="1"/>
  <c r="G35" i="7"/>
  <c r="I35" i="7" s="1"/>
  <c r="G36" i="7"/>
  <c r="I36" i="7" s="1"/>
  <c r="G37" i="7"/>
  <c r="I37" i="7" s="1"/>
  <c r="G38" i="7"/>
  <c r="I38" i="7" s="1"/>
  <c r="G39" i="7"/>
  <c r="I39" i="7" s="1"/>
  <c r="G40" i="7"/>
  <c r="I40" i="7" s="1"/>
  <c r="G41" i="7"/>
  <c r="I41" i="7" s="1"/>
  <c r="G42" i="7"/>
  <c r="I42" i="7" s="1"/>
  <c r="G43" i="7"/>
  <c r="I43" i="7" s="1"/>
  <c r="C44" i="7"/>
  <c r="B77" i="1" s="1"/>
  <c r="B90" i="1" s="1"/>
  <c r="C49" i="46"/>
  <c r="C6" i="46"/>
  <c r="C24" i="46"/>
  <c r="D24" i="46" s="1"/>
  <c r="C34" i="46"/>
  <c r="D34" i="46" s="1"/>
  <c r="C41" i="46"/>
  <c r="F8" i="47"/>
  <c r="AJ59" i="47"/>
  <c r="AI60" i="47"/>
  <c r="AI59" i="47"/>
  <c r="AJ67" i="47"/>
  <c r="V53" i="47"/>
  <c r="F48" i="47" s="1"/>
  <c r="AJ57" i="47" s="1"/>
  <c r="F44" i="47"/>
  <c r="AJ55" i="47" s="1"/>
  <c r="F6" i="47"/>
  <c r="F43" i="47" s="1"/>
  <c r="AJ54" i="47" s="1"/>
  <c r="AJ44" i="47"/>
  <c r="V69" i="47"/>
  <c r="F62" i="47" s="1"/>
  <c r="AJ42" i="47" s="1"/>
  <c r="AJ41" i="47"/>
  <c r="AJ40" i="47"/>
  <c r="V76" i="47"/>
  <c r="F47" i="47"/>
  <c r="AJ39" i="47" s="1"/>
  <c r="AJ38" i="47"/>
  <c r="F38" i="47"/>
  <c r="AJ37" i="47"/>
  <c r="V36" i="47"/>
  <c r="F37" i="47"/>
  <c r="AJ36" i="47" s="1"/>
  <c r="V35" i="47"/>
  <c r="F36" i="47" s="1"/>
  <c r="AJ45" i="47"/>
  <c r="V42" i="47"/>
  <c r="AI58" i="47"/>
  <c r="AI45" i="47"/>
  <c r="AI57" i="47"/>
  <c r="AI56" i="47"/>
  <c r="AI55" i="47"/>
  <c r="AI54" i="47"/>
  <c r="AI53" i="47"/>
  <c r="AI44" i="47"/>
  <c r="AI43" i="47"/>
  <c r="A62" i="47"/>
  <c r="AI42" i="47" s="1"/>
  <c r="AI41" i="47"/>
  <c r="AI40" i="47"/>
  <c r="AI39" i="47"/>
  <c r="AI38" i="47"/>
  <c r="AI37" i="47"/>
  <c r="AI36" i="47"/>
  <c r="AI35" i="47"/>
  <c r="V16" i="47"/>
  <c r="V22" i="47"/>
  <c r="F28" i="47" s="1"/>
  <c r="AJ28" i="47" s="1"/>
  <c r="AI31" i="47"/>
  <c r="AI30" i="47"/>
  <c r="AI29" i="47"/>
  <c r="AI28" i="47"/>
  <c r="AI27" i="47"/>
  <c r="AI19" i="47"/>
  <c r="AI13" i="47"/>
  <c r="AI10" i="47"/>
  <c r="F7" i="47"/>
  <c r="AI7" i="47"/>
  <c r="AI6" i="47"/>
  <c r="F77" i="47"/>
  <c r="D103" i="47"/>
  <c r="F24" i="47"/>
  <c r="H89" i="47"/>
  <c r="V85" i="47"/>
  <c r="F63" i="47" s="1"/>
  <c r="Y66" i="47"/>
  <c r="Y69" i="47"/>
  <c r="X58" i="47"/>
  <c r="X59" i="47"/>
  <c r="X60" i="47"/>
  <c r="X61" i="47"/>
  <c r="X62" i="47"/>
  <c r="X63" i="47"/>
  <c r="X64" i="47"/>
  <c r="X65" i="47"/>
  <c r="X67" i="47"/>
  <c r="W43" i="47"/>
  <c r="AE44" i="47"/>
  <c r="D37" i="47"/>
  <c r="D36" i="47"/>
  <c r="G32" i="7"/>
  <c r="I32" i="7" s="1"/>
  <c r="G33" i="7"/>
  <c r="I33" i="7" s="1"/>
  <c r="V9" i="47"/>
  <c r="F2" i="47"/>
  <c r="AH43" i="1"/>
  <c r="O5" i="3"/>
  <c r="E5" i="3" s="1"/>
  <c r="D57" i="29"/>
  <c r="F59" i="1"/>
  <c r="H6" i="29" s="1"/>
  <c r="A10" i="29"/>
  <c r="A11" i="29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W62" i="28"/>
  <c r="Y62" i="28" s="1"/>
  <c r="X62" i="28"/>
  <c r="E10" i="28"/>
  <c r="E11" i="28" s="1"/>
  <c r="E12" i="28"/>
  <c r="E13" i="28"/>
  <c r="G27" i="28"/>
  <c r="Z27" i="28" s="1"/>
  <c r="Z29" i="28"/>
  <c r="Z33" i="28"/>
  <c r="Z36" i="28"/>
  <c r="Z40" i="28"/>
  <c r="L40" i="28" s="1"/>
  <c r="N40" i="28" s="1"/>
  <c r="Z41" i="28"/>
  <c r="L41" i="28" s="1"/>
  <c r="N41" i="28" s="1"/>
  <c r="Z43" i="28"/>
  <c r="L43" i="28" s="1"/>
  <c r="Z44" i="28"/>
  <c r="L44" i="28" s="1"/>
  <c r="N44" i="28" s="1"/>
  <c r="AA44" i="28" s="1"/>
  <c r="X50" i="28"/>
  <c r="W50" i="28"/>
  <c r="Y50" i="28" s="1"/>
  <c r="X52" i="28"/>
  <c r="W52" i="28"/>
  <c r="N74" i="28"/>
  <c r="P74" i="28" s="1"/>
  <c r="N75" i="28"/>
  <c r="P75" i="28" s="1"/>
  <c r="N76" i="28"/>
  <c r="P76" i="28" s="1"/>
  <c r="U76" i="28" s="1"/>
  <c r="N77" i="28"/>
  <c r="P77" i="28" s="1"/>
  <c r="N78" i="28"/>
  <c r="P78" i="28" s="1"/>
  <c r="N79" i="28"/>
  <c r="P79" i="28" s="1"/>
  <c r="N80" i="28"/>
  <c r="P80" i="28" s="1"/>
  <c r="N81" i="28"/>
  <c r="P81" i="28" s="1"/>
  <c r="X60" i="28"/>
  <c r="W60" i="28"/>
  <c r="N61" i="28"/>
  <c r="P61" i="28" s="1"/>
  <c r="Z61" i="28"/>
  <c r="G65" i="28"/>
  <c r="H65" i="28" s="1"/>
  <c r="X65" i="28" s="1"/>
  <c r="X68" i="28"/>
  <c r="W68" i="28"/>
  <c r="Y68" i="28"/>
  <c r="Z68" i="28" s="1"/>
  <c r="L68" i="28" s="1"/>
  <c r="X69" i="28"/>
  <c r="W69" i="28"/>
  <c r="X70" i="28"/>
  <c r="W70" i="28"/>
  <c r="Y70" i="28" s="1"/>
  <c r="X71" i="28"/>
  <c r="W71" i="28"/>
  <c r="Y71" i="28" s="1"/>
  <c r="J71" i="28" s="1"/>
  <c r="X72" i="28"/>
  <c r="W72" i="28"/>
  <c r="Y72" i="28" s="1"/>
  <c r="X66" i="28"/>
  <c r="N28" i="28"/>
  <c r="P28" i="28" s="1"/>
  <c r="N29" i="28"/>
  <c r="P29" i="28" s="1"/>
  <c r="U29" i="28" s="1"/>
  <c r="L33" i="28"/>
  <c r="N33" i="28" s="1"/>
  <c r="L36" i="28"/>
  <c r="N36" i="28" s="1"/>
  <c r="P36" i="28" s="1"/>
  <c r="X54" i="28"/>
  <c r="W54" i="28"/>
  <c r="Y54" i="28" s="1"/>
  <c r="X56" i="28"/>
  <c r="W56" i="28"/>
  <c r="X58" i="28"/>
  <c r="W58" i="28"/>
  <c r="X55" i="28"/>
  <c r="X57" i="28"/>
  <c r="X59" i="28"/>
  <c r="N27" i="28"/>
  <c r="P27" i="28" s="1"/>
  <c r="U27" i="28" s="1"/>
  <c r="J50" i="28"/>
  <c r="X51" i="28"/>
  <c r="X53" i="28"/>
  <c r="X46" i="28"/>
  <c r="X47" i="28"/>
  <c r="X48" i="28"/>
  <c r="X49" i="28"/>
  <c r="C36" i="29"/>
  <c r="U7" i="28"/>
  <c r="U8" i="28"/>
  <c r="U9" i="28"/>
  <c r="U10" i="28"/>
  <c r="U11" i="28"/>
  <c r="U12" i="28"/>
  <c r="U13" i="28"/>
  <c r="U14" i="28"/>
  <c r="U15" i="28"/>
  <c r="U16" i="28"/>
  <c r="U17" i="28"/>
  <c r="U18" i="28"/>
  <c r="U19" i="28"/>
  <c r="U20" i="28"/>
  <c r="U21" i="28"/>
  <c r="U22" i="28"/>
  <c r="U23" i="28"/>
  <c r="U24" i="28"/>
  <c r="U25" i="28"/>
  <c r="J33" i="28"/>
  <c r="J36" i="28"/>
  <c r="U36" i="28" s="1"/>
  <c r="J40" i="28"/>
  <c r="J41" i="28"/>
  <c r="J43" i="28"/>
  <c r="J44" i="28"/>
  <c r="J65" i="28"/>
  <c r="J74" i="28"/>
  <c r="L74" i="28"/>
  <c r="J77" i="28"/>
  <c r="U77" i="28" s="1"/>
  <c r="L77" i="28"/>
  <c r="J79" i="28"/>
  <c r="L79" i="28"/>
  <c r="U5" i="28"/>
  <c r="N83" i="28"/>
  <c r="AA27" i="28"/>
  <c r="AA28" i="28"/>
  <c r="D95" i="28"/>
  <c r="D97" i="28" s="1"/>
  <c r="K6" i="28"/>
  <c r="K7" i="28" s="1"/>
  <c r="K8" i="28" s="1"/>
  <c r="K9" i="28" s="1"/>
  <c r="K10" i="28" s="1"/>
  <c r="K11" i="28" s="1"/>
  <c r="K12" i="28" s="1"/>
  <c r="K13" i="28" s="1"/>
  <c r="K14" i="28" s="1"/>
  <c r="K15" i="28" s="1"/>
  <c r="K16" i="28" s="1"/>
  <c r="K17" i="28" s="1"/>
  <c r="K18" i="28" s="1"/>
  <c r="K19" i="28" s="1"/>
  <c r="K20" i="28" s="1"/>
  <c r="K21" i="28" s="1"/>
  <c r="K22" i="28" s="1"/>
  <c r="K23" i="28" s="1"/>
  <c r="K24" i="28" s="1"/>
  <c r="K25" i="28" s="1"/>
  <c r="M5" i="28"/>
  <c r="M6" i="28" s="1"/>
  <c r="M7" i="28" s="1"/>
  <c r="M8" i="28" s="1"/>
  <c r="M9" i="28"/>
  <c r="M10" i="28" s="1"/>
  <c r="M11" i="28" s="1"/>
  <c r="M12" i="28" s="1"/>
  <c r="M13" i="28" s="1"/>
  <c r="M14" i="28" s="1"/>
  <c r="M15" i="28" s="1"/>
  <c r="M16" i="28" s="1"/>
  <c r="M17" i="28" s="1"/>
  <c r="M18" i="28" s="1"/>
  <c r="M19" i="28" s="1"/>
  <c r="M20" i="28" s="1"/>
  <c r="M21" i="28" s="1"/>
  <c r="M22" i="28" s="1"/>
  <c r="M23" i="28" s="1"/>
  <c r="M24" i="28" s="1"/>
  <c r="M25" i="28" s="1"/>
  <c r="O4" i="28"/>
  <c r="O5" i="28" s="1"/>
  <c r="O6" i="28" s="1"/>
  <c r="O7" i="28" s="1"/>
  <c r="O8" i="28" s="1"/>
  <c r="O9" i="28" s="1"/>
  <c r="O10" i="28" s="1"/>
  <c r="O11" i="28" s="1"/>
  <c r="O12" i="28" s="1"/>
  <c r="O13" i="28" s="1"/>
  <c r="O14" i="28" s="1"/>
  <c r="O15" i="28" s="1"/>
  <c r="O16" i="28" s="1"/>
  <c r="O17" i="28" s="1"/>
  <c r="O18" i="28" s="1"/>
  <c r="O19" i="28" s="1"/>
  <c r="O20" i="28" s="1"/>
  <c r="O21" i="28" s="1"/>
  <c r="O22" i="28" s="1"/>
  <c r="O23" i="28" s="1"/>
  <c r="O24" i="28" s="1"/>
  <c r="O25" i="28" s="1"/>
  <c r="Q6" i="28"/>
  <c r="Q7" i="28"/>
  <c r="Q8" i="28" s="1"/>
  <c r="Q9" i="28" s="1"/>
  <c r="Q10" i="28" s="1"/>
  <c r="Q11" i="28" s="1"/>
  <c r="Q12" i="28"/>
  <c r="Q13" i="28" s="1"/>
  <c r="Q14" i="28" s="1"/>
  <c r="Q15" i="28" s="1"/>
  <c r="Q16" i="28" s="1"/>
  <c r="Q17" i="28" s="1"/>
  <c r="Q18" i="28" s="1"/>
  <c r="Q19" i="28" s="1"/>
  <c r="Q20" i="28" s="1"/>
  <c r="Q21" i="28" s="1"/>
  <c r="Q22" i="28" s="1"/>
  <c r="Q23" i="28" s="1"/>
  <c r="Q24" i="28" s="1"/>
  <c r="Q25" i="28" s="1"/>
  <c r="X45" i="28"/>
  <c r="X42" i="28"/>
  <c r="X39" i="28"/>
  <c r="X38" i="28"/>
  <c r="X37" i="28"/>
  <c r="X35" i="28"/>
  <c r="X34" i="28"/>
  <c r="X32" i="28"/>
  <c r="X31" i="28"/>
  <c r="J75" i="28"/>
  <c r="J76" i="28"/>
  <c r="J78" i="28"/>
  <c r="J80" i="28"/>
  <c r="J81" i="28"/>
  <c r="L83" i="28"/>
  <c r="L81" i="28"/>
  <c r="L80" i="28"/>
  <c r="L78" i="28"/>
  <c r="L76" i="28"/>
  <c r="L75" i="28"/>
  <c r="S4" i="28"/>
  <c r="S5" i="28" s="1"/>
  <c r="S6" i="28" s="1"/>
  <c r="S7" i="28" s="1"/>
  <c r="S8" i="28" s="1"/>
  <c r="S9" i="28" s="1"/>
  <c r="S10" i="28" s="1"/>
  <c r="S11" i="28" s="1"/>
  <c r="S12" i="28" s="1"/>
  <c r="S13" i="28" s="1"/>
  <c r="S14" i="28" s="1"/>
  <c r="S15" i="28" s="1"/>
  <c r="S16" i="28" s="1"/>
  <c r="S17" i="28" s="1"/>
  <c r="S18" i="28" s="1"/>
  <c r="S19" i="28" s="1"/>
  <c r="S20" i="28" s="1"/>
  <c r="S21" i="28" s="1"/>
  <c r="S22" i="28" s="1"/>
  <c r="S23" i="28" s="1"/>
  <c r="S24" i="28" s="1"/>
  <c r="S25" i="28" s="1"/>
  <c r="S26" i="28" s="1"/>
  <c r="S27" i="28" s="1"/>
  <c r="S28" i="28" s="1"/>
  <c r="S29" i="28" s="1"/>
  <c r="S30" i="28" s="1"/>
  <c r="S31" i="28" s="1"/>
  <c r="S32" i="28" s="1"/>
  <c r="S33" i="28" s="1"/>
  <c r="S34" i="28" s="1"/>
  <c r="S35" i="28" s="1"/>
  <c r="S36" i="28" s="1"/>
  <c r="S37" i="28" s="1"/>
  <c r="S38" i="28" s="1"/>
  <c r="S39" i="28" s="1"/>
  <c r="S40" i="28" s="1"/>
  <c r="S41" i="28" s="1"/>
  <c r="S42" i="28" s="1"/>
  <c r="S43" i="28" s="1"/>
  <c r="S44" i="28" s="1"/>
  <c r="S45" i="28" s="1"/>
  <c r="S46" i="28" s="1"/>
  <c r="S47" i="28" s="1"/>
  <c r="S48" i="28" s="1"/>
  <c r="S49" i="28" s="1"/>
  <c r="S50" i="28" s="1"/>
  <c r="S51" i="28" s="1"/>
  <c r="S52" i="28" s="1"/>
  <c r="S53" i="28" s="1"/>
  <c r="S54" i="28" s="1"/>
  <c r="S55" i="28" s="1"/>
  <c r="S56" i="28" s="1"/>
  <c r="S57" i="28" s="1"/>
  <c r="S58" i="28" s="1"/>
  <c r="S59" i="28" s="1"/>
  <c r="S60" i="28" s="1"/>
  <c r="S61" i="28" s="1"/>
  <c r="D47" i="46"/>
  <c r="D46" i="46"/>
  <c r="D45" i="46"/>
  <c r="D44" i="46"/>
  <c r="D43" i="46"/>
  <c r="D41" i="46"/>
  <c r="D40" i="46"/>
  <c r="D39" i="46"/>
  <c r="D38" i="46"/>
  <c r="D37" i="46"/>
  <c r="D36" i="46"/>
  <c r="D33" i="46"/>
  <c r="D32" i="46"/>
  <c r="D31" i="46"/>
  <c r="D30" i="46"/>
  <c r="D29" i="46"/>
  <c r="D28" i="46"/>
  <c r="D27" i="46"/>
  <c r="D26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10" i="46"/>
  <c r="D9" i="46"/>
  <c r="F20" i="43"/>
  <c r="F19" i="43"/>
  <c r="F18" i="43"/>
  <c r="F17" i="43"/>
  <c r="F16" i="43"/>
  <c r="F15" i="43"/>
  <c r="F14" i="43"/>
  <c r="F13" i="43"/>
  <c r="F8" i="43"/>
  <c r="C29" i="43"/>
  <c r="C35" i="43" s="1"/>
  <c r="C36" i="43" s="1"/>
  <c r="D29" i="43"/>
  <c r="C22" i="43"/>
  <c r="C24" i="43" s="1"/>
  <c r="N85" i="45"/>
  <c r="N86" i="45" s="1"/>
  <c r="T6" i="1"/>
  <c r="D82" i="7"/>
  <c r="D83" i="7" s="1"/>
  <c r="I33" i="45"/>
  <c r="R4" i="45"/>
  <c r="N33" i="45" s="1"/>
  <c r="K43" i="19"/>
  <c r="F59" i="45"/>
  <c r="I59" i="45" s="1"/>
  <c r="I37" i="45"/>
  <c r="N37" i="45" s="1"/>
  <c r="I36" i="45"/>
  <c r="I43" i="45"/>
  <c r="K43" i="45" s="1"/>
  <c r="I49" i="45"/>
  <c r="B42" i="45"/>
  <c r="D42" i="45"/>
  <c r="F42" i="45"/>
  <c r="I63" i="45"/>
  <c r="K63" i="45" s="1"/>
  <c r="F60" i="45"/>
  <c r="I60" i="45" s="1"/>
  <c r="I58" i="45"/>
  <c r="K58" i="45" s="1"/>
  <c r="F54" i="45"/>
  <c r="I54" i="45" s="1"/>
  <c r="I50" i="45"/>
  <c r="I44" i="45"/>
  <c r="B39" i="45"/>
  <c r="D39" i="45"/>
  <c r="I39" i="45" s="1"/>
  <c r="F39" i="45"/>
  <c r="I35" i="45"/>
  <c r="I31" i="45"/>
  <c r="I30" i="45"/>
  <c r="N30" i="45" s="1"/>
  <c r="I11" i="45"/>
  <c r="K11" i="45"/>
  <c r="I10" i="45"/>
  <c r="I13" i="45"/>
  <c r="F14" i="45"/>
  <c r="I14" i="45" s="1"/>
  <c r="I15" i="45"/>
  <c r="I17" i="45"/>
  <c r="F18" i="45"/>
  <c r="I18" i="45"/>
  <c r="F19" i="45"/>
  <c r="F20" i="45"/>
  <c r="I20" i="45" s="1"/>
  <c r="F21" i="45"/>
  <c r="I21" i="45" s="1"/>
  <c r="I22" i="45"/>
  <c r="F23" i="45"/>
  <c r="I23" i="45" s="1"/>
  <c r="I24" i="45"/>
  <c r="F25" i="45"/>
  <c r="I25" i="45" s="1"/>
  <c r="I26" i="45"/>
  <c r="I27" i="45"/>
  <c r="B29" i="45"/>
  <c r="I29" i="45" s="1"/>
  <c r="D29" i="45"/>
  <c r="D70" i="45" s="1"/>
  <c r="E11" i="45" s="1"/>
  <c r="F29" i="45"/>
  <c r="B32" i="45"/>
  <c r="D32" i="45"/>
  <c r="F32" i="45"/>
  <c r="I34" i="45"/>
  <c r="I40" i="45"/>
  <c r="I41" i="45"/>
  <c r="I45" i="45"/>
  <c r="I47" i="45"/>
  <c r="I48" i="45"/>
  <c r="I51" i="45"/>
  <c r="I53" i="45"/>
  <c r="I55" i="45"/>
  <c r="I56" i="45"/>
  <c r="F57" i="45"/>
  <c r="I57" i="45" s="1"/>
  <c r="F61" i="45"/>
  <c r="I61" i="45" s="1"/>
  <c r="I62" i="45"/>
  <c r="I65" i="45"/>
  <c r="I66" i="45"/>
  <c r="I67" i="45"/>
  <c r="I68" i="45"/>
  <c r="I69" i="45"/>
  <c r="I75" i="45"/>
  <c r="I76" i="45"/>
  <c r="I77" i="45"/>
  <c r="I78" i="45"/>
  <c r="I79" i="45"/>
  <c r="F83" i="45"/>
  <c r="F72" i="45" s="1"/>
  <c r="D83" i="45"/>
  <c r="D72" i="45" s="1"/>
  <c r="B83" i="45"/>
  <c r="B72" i="45" s="1"/>
  <c r="E10" i="45"/>
  <c r="E24" i="45"/>
  <c r="E29" i="45"/>
  <c r="E62" i="45"/>
  <c r="E61" i="45"/>
  <c r="E53" i="45"/>
  <c r="E44" i="45"/>
  <c r="E35" i="45"/>
  <c r="P32" i="19"/>
  <c r="B24" i="28"/>
  <c r="B14" i="28"/>
  <c r="A8" i="19"/>
  <c r="A32" i="19"/>
  <c r="A28" i="19"/>
  <c r="A21" i="19"/>
  <c r="A58" i="1"/>
  <c r="A43" i="19" s="1"/>
  <c r="W49" i="1"/>
  <c r="W52" i="1" s="1"/>
  <c r="W53" i="1" s="1"/>
  <c r="D34" i="1"/>
  <c r="D33" i="1"/>
  <c r="E15" i="43"/>
  <c r="D36" i="43" s="1"/>
  <c r="E36" i="43" s="1"/>
  <c r="C30" i="43"/>
  <c r="D30" i="43"/>
  <c r="D18" i="10"/>
  <c r="D27" i="10"/>
  <c r="D11" i="10"/>
  <c r="G11" i="10" s="1"/>
  <c r="D62" i="42"/>
  <c r="F46" i="42"/>
  <c r="G46" i="42"/>
  <c r="E87" i="42"/>
  <c r="E89" i="42" s="1"/>
  <c r="I91" i="42"/>
  <c r="E2" i="42"/>
  <c r="A1" i="41"/>
  <c r="H98" i="23"/>
  <c r="B98" i="23"/>
  <c r="H97" i="23"/>
  <c r="B97" i="23"/>
  <c r="H96" i="23"/>
  <c r="B96" i="23"/>
  <c r="H95" i="23"/>
  <c r="B95" i="23"/>
  <c r="H94" i="23"/>
  <c r="B94" i="23"/>
  <c r="H93" i="23"/>
  <c r="B93" i="23"/>
  <c r="H92" i="23"/>
  <c r="B92" i="23"/>
  <c r="S39" i="7"/>
  <c r="T39" i="7"/>
  <c r="R37" i="7"/>
  <c r="S37" i="7" s="1"/>
  <c r="R40" i="7"/>
  <c r="S40" i="7" s="1"/>
  <c r="R38" i="7"/>
  <c r="S38" i="7" s="1"/>
  <c r="R41" i="7"/>
  <c r="S41" i="7"/>
  <c r="T41" i="7" s="1"/>
  <c r="V40" i="7"/>
  <c r="V38" i="7"/>
  <c r="V37" i="7"/>
  <c r="V41" i="7"/>
  <c r="E54" i="7"/>
  <c r="H91" i="23"/>
  <c r="B91" i="23"/>
  <c r="H90" i="23"/>
  <c r="B90" i="23"/>
  <c r="H89" i="23"/>
  <c r="B89" i="23"/>
  <c r="H88" i="23"/>
  <c r="B88" i="23"/>
  <c r="H87" i="23"/>
  <c r="B87" i="23"/>
  <c r="H86" i="23"/>
  <c r="B86" i="23"/>
  <c r="H85" i="23"/>
  <c r="B85" i="23"/>
  <c r="H84" i="23"/>
  <c r="B84" i="23"/>
  <c r="H83" i="23"/>
  <c r="B83" i="23"/>
  <c r="H82" i="23"/>
  <c r="B82" i="23"/>
  <c r="H81" i="23"/>
  <c r="B81" i="23"/>
  <c r="H80" i="23"/>
  <c r="B80" i="23"/>
  <c r="H79" i="23"/>
  <c r="B79" i="23"/>
  <c r="H78" i="23"/>
  <c r="B78" i="23"/>
  <c r="H77" i="23"/>
  <c r="B77" i="23"/>
  <c r="H76" i="23"/>
  <c r="B76" i="23"/>
  <c r="H75" i="23"/>
  <c r="B75" i="23"/>
  <c r="H74" i="23"/>
  <c r="B74" i="23"/>
  <c r="H73" i="23"/>
  <c r="B73" i="23"/>
  <c r="H72" i="23"/>
  <c r="B72" i="23"/>
  <c r="H71" i="23"/>
  <c r="B71" i="23"/>
  <c r="H70" i="23"/>
  <c r="B70" i="23"/>
  <c r="H69" i="23"/>
  <c r="B69" i="23"/>
  <c r="H68" i="23"/>
  <c r="B68" i="23"/>
  <c r="H67" i="23"/>
  <c r="B67" i="23"/>
  <c r="H66" i="23"/>
  <c r="B66" i="23"/>
  <c r="H65" i="23"/>
  <c r="B65" i="23"/>
  <c r="H64" i="23"/>
  <c r="B64" i="23"/>
  <c r="H63" i="23"/>
  <c r="B63" i="23"/>
  <c r="H62" i="23"/>
  <c r="B62" i="23"/>
  <c r="H61" i="23"/>
  <c r="B61" i="23"/>
  <c r="H60" i="23"/>
  <c r="B60" i="23"/>
  <c r="H59" i="23"/>
  <c r="B59" i="23"/>
  <c r="H58" i="23"/>
  <c r="B58" i="23"/>
  <c r="H57" i="23"/>
  <c r="B57" i="23"/>
  <c r="H56" i="23"/>
  <c r="B56" i="23"/>
  <c r="H55" i="23"/>
  <c r="B55" i="23"/>
  <c r="H54" i="23"/>
  <c r="B54" i="23"/>
  <c r="H53" i="23"/>
  <c r="B53" i="23"/>
  <c r="H52" i="23"/>
  <c r="B52" i="23"/>
  <c r="H51" i="23"/>
  <c r="B51" i="23"/>
  <c r="H50" i="23"/>
  <c r="B50" i="23"/>
  <c r="H49" i="23"/>
  <c r="B49" i="23"/>
  <c r="H48" i="23"/>
  <c r="B48" i="23"/>
  <c r="H47" i="23"/>
  <c r="B47" i="23"/>
  <c r="H46" i="23"/>
  <c r="B46" i="23"/>
  <c r="H45" i="23"/>
  <c r="B45" i="23"/>
  <c r="H44" i="23"/>
  <c r="B44" i="23"/>
  <c r="H43" i="23"/>
  <c r="B43" i="23"/>
  <c r="H42" i="23"/>
  <c r="B42" i="23"/>
  <c r="H41" i="23"/>
  <c r="B41" i="23"/>
  <c r="H40" i="23"/>
  <c r="B40" i="23"/>
  <c r="H39" i="23"/>
  <c r="B39" i="23"/>
  <c r="H38" i="23"/>
  <c r="B38" i="23"/>
  <c r="H37" i="23"/>
  <c r="B37" i="23"/>
  <c r="H36" i="23"/>
  <c r="B36" i="23"/>
  <c r="H35" i="23"/>
  <c r="B35" i="23"/>
  <c r="H34" i="23"/>
  <c r="B34" i="23"/>
  <c r="H33" i="23"/>
  <c r="B33" i="23"/>
  <c r="H32" i="23"/>
  <c r="B32" i="23"/>
  <c r="H31" i="23"/>
  <c r="B31" i="23"/>
  <c r="H30" i="23"/>
  <c r="B30" i="23"/>
  <c r="H29" i="23"/>
  <c r="B29" i="23"/>
  <c r="H28" i="23"/>
  <c r="B28" i="23"/>
  <c r="H27" i="23"/>
  <c r="B27" i="23"/>
  <c r="H26" i="23"/>
  <c r="B26" i="23"/>
  <c r="H25" i="23"/>
  <c r="B25" i="23"/>
  <c r="H24" i="23"/>
  <c r="B24" i="23"/>
  <c r="H23" i="23"/>
  <c r="B23" i="23"/>
  <c r="H22" i="23"/>
  <c r="B22" i="23"/>
  <c r="H21" i="23"/>
  <c r="B21" i="23"/>
  <c r="H20" i="23"/>
  <c r="B20" i="23"/>
  <c r="D84" i="28"/>
  <c r="A40" i="19"/>
  <c r="H100" i="21"/>
  <c r="L9" i="21"/>
  <c r="K10" i="21"/>
  <c r="D100" i="21"/>
  <c r="F100" i="21"/>
  <c r="E10" i="21"/>
  <c r="E11" i="21" s="1"/>
  <c r="E12" i="21" s="1"/>
  <c r="E13" i="21" s="1"/>
  <c r="E14" i="21" s="1"/>
  <c r="E15" i="21" s="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29" i="21" s="1"/>
  <c r="E30" i="21" s="1"/>
  <c r="E31" i="21" s="1"/>
  <c r="E32" i="21" s="1"/>
  <c r="E33" i="21" s="1"/>
  <c r="E34" i="21" s="1"/>
  <c r="E35" i="21" s="1"/>
  <c r="E36" i="21" s="1"/>
  <c r="E37" i="21" s="1"/>
  <c r="E38" i="21" s="1"/>
  <c r="E39" i="21" s="1"/>
  <c r="E40" i="21" s="1"/>
  <c r="E41" i="21" s="1"/>
  <c r="E42" i="21" s="1"/>
  <c r="E43" i="21" s="1"/>
  <c r="E44" i="21" s="1"/>
  <c r="E45" i="21" s="1"/>
  <c r="E46" i="21" s="1"/>
  <c r="E47" i="21" s="1"/>
  <c r="E48" i="21" s="1"/>
  <c r="E49" i="21" s="1"/>
  <c r="E50" i="21" s="1"/>
  <c r="E51" i="21" s="1"/>
  <c r="E52" i="21" s="1"/>
  <c r="E53" i="21" s="1"/>
  <c r="E54" i="21" s="1"/>
  <c r="E55" i="21" s="1"/>
  <c r="E56" i="21" s="1"/>
  <c r="E57" i="21" s="1"/>
  <c r="E58" i="21" s="1"/>
  <c r="E59" i="21" s="1"/>
  <c r="E60" i="21" s="1"/>
  <c r="E61" i="21" s="1"/>
  <c r="C6" i="40"/>
  <c r="F6" i="40" s="1"/>
  <c r="C7" i="40"/>
  <c r="F7" i="40"/>
  <c r="C8" i="40"/>
  <c r="F8" i="40" s="1"/>
  <c r="F9" i="40"/>
  <c r="C10" i="40"/>
  <c r="F10" i="40" s="1"/>
  <c r="C11" i="40"/>
  <c r="F11" i="40"/>
  <c r="C12" i="40"/>
  <c r="F12" i="40" s="1"/>
  <c r="F13" i="40"/>
  <c r="F14" i="40"/>
  <c r="F15" i="40"/>
  <c r="F16" i="40"/>
  <c r="F17" i="40"/>
  <c r="F18" i="40"/>
  <c r="I18" i="40" s="1"/>
  <c r="F19" i="40"/>
  <c r="F20" i="40"/>
  <c r="F21" i="40"/>
  <c r="F22" i="40"/>
  <c r="C23" i="40"/>
  <c r="F23" i="40" s="1"/>
  <c r="F24" i="40"/>
  <c r="I24" i="40" s="1"/>
  <c r="C25" i="40"/>
  <c r="F25" i="40" s="1"/>
  <c r="F26" i="40"/>
  <c r="F27" i="40"/>
  <c r="I14" i="40"/>
  <c r="I17" i="40"/>
  <c r="I20" i="40"/>
  <c r="I22" i="40"/>
  <c r="I27" i="40"/>
  <c r="I15" i="40"/>
  <c r="I26" i="40"/>
  <c r="E29" i="40"/>
  <c r="A7" i="40"/>
  <c r="A8" i="40" s="1"/>
  <c r="A9" i="40" s="1"/>
  <c r="A10" i="40" s="1"/>
  <c r="A11" i="40" s="1"/>
  <c r="A12" i="40" s="1"/>
  <c r="A13" i="40" s="1"/>
  <c r="A14" i="40" s="1"/>
  <c r="A15" i="40" s="1"/>
  <c r="A16" i="40" s="1"/>
  <c r="A17" i="40" s="1"/>
  <c r="A18" i="40" s="1"/>
  <c r="A19" i="40" s="1"/>
  <c r="A20" i="40" s="1"/>
  <c r="A21" i="40" s="1"/>
  <c r="A22" i="40" s="1"/>
  <c r="A23" i="40" s="1"/>
  <c r="A24" i="40" s="1"/>
  <c r="A25" i="40" s="1"/>
  <c r="A1" i="40"/>
  <c r="D9" i="39"/>
  <c r="D15" i="39" s="1"/>
  <c r="D33" i="39" s="1"/>
  <c r="D10" i="39"/>
  <c r="E10" i="39" s="1"/>
  <c r="F10" i="39" s="1"/>
  <c r="A1" i="39"/>
  <c r="B15" i="39"/>
  <c r="B33" i="39" s="1"/>
  <c r="B16" i="39"/>
  <c r="B34" i="39"/>
  <c r="B17" i="39"/>
  <c r="B35" i="39"/>
  <c r="D52" i="37"/>
  <c r="D19" i="25"/>
  <c r="F18" i="7" s="1"/>
  <c r="E19" i="25"/>
  <c r="G18" i="7" s="1"/>
  <c r="F19" i="25"/>
  <c r="H18" i="7" s="1"/>
  <c r="C19" i="25"/>
  <c r="E18" i="7" s="1"/>
  <c r="G69" i="7"/>
  <c r="H47" i="7" s="1"/>
  <c r="F12" i="28"/>
  <c r="F13" i="28"/>
  <c r="F15" i="28"/>
  <c r="C14" i="38"/>
  <c r="C18" i="38" s="1"/>
  <c r="D14" i="38"/>
  <c r="D18" i="38"/>
  <c r="D25" i="38" s="1"/>
  <c r="D29" i="38" s="1"/>
  <c r="C41" i="38"/>
  <c r="D41" i="38"/>
  <c r="E1" i="13"/>
  <c r="A1" i="38" s="1"/>
  <c r="E13" i="13"/>
  <c r="L13" i="13"/>
  <c r="E26" i="13"/>
  <c r="E36" i="13"/>
  <c r="E44" i="13"/>
  <c r="B1" i="9"/>
  <c r="D6" i="9"/>
  <c r="E6" i="9" s="1"/>
  <c r="F6" i="9" s="1"/>
  <c r="G6" i="9" s="1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S6" i="9" s="1"/>
  <c r="T6" i="9" s="1"/>
  <c r="U6" i="9" s="1"/>
  <c r="V6" i="9" s="1"/>
  <c r="W8" i="9"/>
  <c r="W9" i="9"/>
  <c r="W16" i="9"/>
  <c r="N16" i="9" s="1"/>
  <c r="C20" i="9"/>
  <c r="D20" i="9" s="1"/>
  <c r="A1" i="35"/>
  <c r="D7" i="35"/>
  <c r="H7" i="35" s="1"/>
  <c r="B9" i="35"/>
  <c r="B11" i="35" s="1"/>
  <c r="B13" i="35" s="1"/>
  <c r="B15" i="35" s="1"/>
  <c r="B17" i="35" s="1"/>
  <c r="B19" i="35" s="1"/>
  <c r="B21" i="35" s="1"/>
  <c r="B23" i="35" s="1"/>
  <c r="B25" i="35" s="1"/>
  <c r="B27" i="35" s="1"/>
  <c r="B29" i="35" s="1"/>
  <c r="B31" i="35" s="1"/>
  <c r="B33" i="35" s="1"/>
  <c r="B35" i="35" s="1"/>
  <c r="B37" i="35" s="1"/>
  <c r="B39" i="35" s="1"/>
  <c r="B41" i="35" s="1"/>
  <c r="B43" i="35" s="1"/>
  <c r="B45" i="35" s="1"/>
  <c r="B47" i="35" s="1"/>
  <c r="B49" i="35" s="1"/>
  <c r="B51" i="35" s="1"/>
  <c r="B53" i="35" s="1"/>
  <c r="B55" i="35" s="1"/>
  <c r="B57" i="35" s="1"/>
  <c r="B59" i="35" s="1"/>
  <c r="B61" i="35" s="1"/>
  <c r="B63" i="35" s="1"/>
  <c r="B65" i="35" s="1"/>
  <c r="D9" i="35"/>
  <c r="H9" i="35" s="1"/>
  <c r="D11" i="35"/>
  <c r="H11" i="35" s="1"/>
  <c r="D13" i="35"/>
  <c r="H13" i="35" s="1"/>
  <c r="D15" i="35"/>
  <c r="H15" i="35"/>
  <c r="D17" i="35"/>
  <c r="H17" i="35" s="1"/>
  <c r="D19" i="35"/>
  <c r="H19" i="35" s="1"/>
  <c r="D21" i="35"/>
  <c r="H21" i="35" s="1"/>
  <c r="D23" i="35"/>
  <c r="H23" i="35" s="1"/>
  <c r="D25" i="35"/>
  <c r="H25" i="35" s="1"/>
  <c r="D27" i="35"/>
  <c r="H27" i="35" s="1"/>
  <c r="D29" i="35"/>
  <c r="H29" i="35" s="1"/>
  <c r="D31" i="35"/>
  <c r="H31" i="35"/>
  <c r="D33" i="35"/>
  <c r="H33" i="35" s="1"/>
  <c r="D35" i="35"/>
  <c r="H35" i="35" s="1"/>
  <c r="D37" i="35"/>
  <c r="H37" i="35" s="1"/>
  <c r="D39" i="35"/>
  <c r="H39" i="35" s="1"/>
  <c r="D41" i="35"/>
  <c r="H41" i="35" s="1"/>
  <c r="D43" i="35"/>
  <c r="H43" i="35" s="1"/>
  <c r="D45" i="35"/>
  <c r="H45" i="35" s="1"/>
  <c r="D47" i="35"/>
  <c r="H47" i="35"/>
  <c r="D49" i="35"/>
  <c r="H49" i="35" s="1"/>
  <c r="D51" i="35"/>
  <c r="H51" i="35" s="1"/>
  <c r="D53" i="35"/>
  <c r="H53" i="35" s="1"/>
  <c r="D55" i="35"/>
  <c r="H55" i="35" s="1"/>
  <c r="D57" i="35"/>
  <c r="H57" i="35" s="1"/>
  <c r="D59" i="35"/>
  <c r="H59" i="35" s="1"/>
  <c r="D61" i="35"/>
  <c r="H61" i="35" s="1"/>
  <c r="D63" i="35"/>
  <c r="H63" i="35"/>
  <c r="D65" i="35"/>
  <c r="H65" i="35" s="1"/>
  <c r="C68" i="35"/>
  <c r="A1" i="34"/>
  <c r="B6" i="34"/>
  <c r="E7" i="34"/>
  <c r="F7" i="34"/>
  <c r="G7" i="34"/>
  <c r="H7" i="34"/>
  <c r="I7" i="34"/>
  <c r="J7" i="34"/>
  <c r="K7" i="34"/>
  <c r="L7" i="34"/>
  <c r="M7" i="34"/>
  <c r="N7" i="34"/>
  <c r="O7" i="34"/>
  <c r="P7" i="34"/>
  <c r="E9" i="34"/>
  <c r="F9" i="34"/>
  <c r="G9" i="34"/>
  <c r="H9" i="34"/>
  <c r="I9" i="34"/>
  <c r="Q9" i="34" s="1"/>
  <c r="J9" i="35" s="1"/>
  <c r="J9" i="34"/>
  <c r="K9" i="34"/>
  <c r="L9" i="34"/>
  <c r="M9" i="34"/>
  <c r="N9" i="34"/>
  <c r="O9" i="34"/>
  <c r="P9" i="34"/>
  <c r="E11" i="34"/>
  <c r="F11" i="34"/>
  <c r="G11" i="34"/>
  <c r="H11" i="34"/>
  <c r="Q11" i="34" s="1"/>
  <c r="J11" i="35" s="1"/>
  <c r="I11" i="34"/>
  <c r="J11" i="34"/>
  <c r="K11" i="34"/>
  <c r="L11" i="34"/>
  <c r="M11" i="34"/>
  <c r="N11" i="34"/>
  <c r="O11" i="34"/>
  <c r="P11" i="34"/>
  <c r="E13" i="34"/>
  <c r="F13" i="34"/>
  <c r="G13" i="34"/>
  <c r="H13" i="34"/>
  <c r="I13" i="34"/>
  <c r="J13" i="34"/>
  <c r="K13" i="34"/>
  <c r="L13" i="34"/>
  <c r="M13" i="34"/>
  <c r="N13" i="34"/>
  <c r="O13" i="34"/>
  <c r="P13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E17" i="34"/>
  <c r="F17" i="34"/>
  <c r="G17" i="34"/>
  <c r="H17" i="34"/>
  <c r="I17" i="34"/>
  <c r="J17" i="34"/>
  <c r="K17" i="34"/>
  <c r="L17" i="34"/>
  <c r="M17" i="34"/>
  <c r="N17" i="34"/>
  <c r="O17" i="34"/>
  <c r="P17" i="34"/>
  <c r="E19" i="34"/>
  <c r="F19" i="34"/>
  <c r="G19" i="34"/>
  <c r="H19" i="34"/>
  <c r="I19" i="34"/>
  <c r="J19" i="34"/>
  <c r="K19" i="34"/>
  <c r="L19" i="34"/>
  <c r="M19" i="34"/>
  <c r="N19" i="34"/>
  <c r="O19" i="34"/>
  <c r="P19" i="34"/>
  <c r="E21" i="34"/>
  <c r="F21" i="34"/>
  <c r="G21" i="34"/>
  <c r="H21" i="34"/>
  <c r="I21" i="34"/>
  <c r="J21" i="34"/>
  <c r="K21" i="34"/>
  <c r="L21" i="34"/>
  <c r="M21" i="34"/>
  <c r="N21" i="34"/>
  <c r="O21" i="34"/>
  <c r="P21" i="34"/>
  <c r="E23" i="34"/>
  <c r="F23" i="34"/>
  <c r="G23" i="34"/>
  <c r="H23" i="34"/>
  <c r="I23" i="34"/>
  <c r="J23" i="34"/>
  <c r="K23" i="34"/>
  <c r="L23" i="34"/>
  <c r="M23" i="34"/>
  <c r="N23" i="34"/>
  <c r="O23" i="34"/>
  <c r="P23" i="34"/>
  <c r="E25" i="34"/>
  <c r="F25" i="34"/>
  <c r="G25" i="34"/>
  <c r="H25" i="34"/>
  <c r="I25" i="34"/>
  <c r="J25" i="34"/>
  <c r="K25" i="34"/>
  <c r="L25" i="34"/>
  <c r="M25" i="34"/>
  <c r="N25" i="34"/>
  <c r="O25" i="34"/>
  <c r="P25" i="34"/>
  <c r="E27" i="34"/>
  <c r="F27" i="34"/>
  <c r="G27" i="34"/>
  <c r="Q27" i="34" s="1"/>
  <c r="J27" i="35" s="1"/>
  <c r="H27" i="34"/>
  <c r="I27" i="34"/>
  <c r="J27" i="34"/>
  <c r="K27" i="34"/>
  <c r="L27" i="34"/>
  <c r="M27" i="34"/>
  <c r="N27" i="34"/>
  <c r="O27" i="34"/>
  <c r="P27" i="34"/>
  <c r="E29" i="34"/>
  <c r="F29" i="34"/>
  <c r="Q29" i="34" s="1"/>
  <c r="J29" i="35" s="1"/>
  <c r="G29" i="34"/>
  <c r="H29" i="34"/>
  <c r="I29" i="34"/>
  <c r="J29" i="34"/>
  <c r="K29" i="34"/>
  <c r="L29" i="34"/>
  <c r="M29" i="34"/>
  <c r="N29" i="34"/>
  <c r="O29" i="34"/>
  <c r="P29" i="34"/>
  <c r="E31" i="34"/>
  <c r="F31" i="34"/>
  <c r="G31" i="34"/>
  <c r="H31" i="34"/>
  <c r="I31" i="34"/>
  <c r="J31" i="34"/>
  <c r="K31" i="34"/>
  <c r="L31" i="34"/>
  <c r="M31" i="34"/>
  <c r="N31" i="34"/>
  <c r="O31" i="34"/>
  <c r="P31" i="34"/>
  <c r="E33" i="34"/>
  <c r="F33" i="34"/>
  <c r="G33" i="34"/>
  <c r="H33" i="34"/>
  <c r="I33" i="34"/>
  <c r="J33" i="34"/>
  <c r="K33" i="34"/>
  <c r="L33" i="34"/>
  <c r="M33" i="34"/>
  <c r="N33" i="34"/>
  <c r="O33" i="34"/>
  <c r="P33" i="34"/>
  <c r="E35" i="34"/>
  <c r="Q35" i="34" s="1"/>
  <c r="J35" i="35" s="1"/>
  <c r="F35" i="34"/>
  <c r="G35" i="34"/>
  <c r="H35" i="34"/>
  <c r="I35" i="34"/>
  <c r="J35" i="34"/>
  <c r="K35" i="34"/>
  <c r="L35" i="34"/>
  <c r="M35" i="34"/>
  <c r="N35" i="34"/>
  <c r="O35" i="34"/>
  <c r="P35" i="34"/>
  <c r="E37" i="34"/>
  <c r="F37" i="34"/>
  <c r="Q37" i="34" s="1"/>
  <c r="J37" i="35" s="1"/>
  <c r="G37" i="34"/>
  <c r="H37" i="34"/>
  <c r="I37" i="34"/>
  <c r="J37" i="34"/>
  <c r="K37" i="34"/>
  <c r="L37" i="34"/>
  <c r="M37" i="34"/>
  <c r="N37" i="34"/>
  <c r="O37" i="34"/>
  <c r="P37" i="34"/>
  <c r="E39" i="34"/>
  <c r="Q39" i="34" s="1"/>
  <c r="J39" i="35" s="1"/>
  <c r="F39" i="34"/>
  <c r="G39" i="34"/>
  <c r="H39" i="34"/>
  <c r="I39" i="34"/>
  <c r="J39" i="34"/>
  <c r="K39" i="34"/>
  <c r="L39" i="34"/>
  <c r="M39" i="34"/>
  <c r="N39" i="34"/>
  <c r="O39" i="34"/>
  <c r="P39" i="34"/>
  <c r="E41" i="34"/>
  <c r="F41" i="34"/>
  <c r="G41" i="34"/>
  <c r="H41" i="34"/>
  <c r="I41" i="34"/>
  <c r="J41" i="34"/>
  <c r="K41" i="34"/>
  <c r="L41" i="34"/>
  <c r="M41" i="34"/>
  <c r="N41" i="34"/>
  <c r="O41" i="34"/>
  <c r="P41" i="34"/>
  <c r="F43" i="34"/>
  <c r="G43" i="34"/>
  <c r="H43" i="34"/>
  <c r="I43" i="34"/>
  <c r="J43" i="34"/>
  <c r="K43" i="34"/>
  <c r="L43" i="34"/>
  <c r="M43" i="34"/>
  <c r="N43" i="34"/>
  <c r="O43" i="34"/>
  <c r="P43" i="34"/>
  <c r="E45" i="34"/>
  <c r="F45" i="34"/>
  <c r="G45" i="34"/>
  <c r="H45" i="34"/>
  <c r="I45" i="34"/>
  <c r="J45" i="34"/>
  <c r="K45" i="34"/>
  <c r="L45" i="34"/>
  <c r="M45" i="34"/>
  <c r="N45" i="34"/>
  <c r="O45" i="34"/>
  <c r="P45" i="34"/>
  <c r="E47" i="34"/>
  <c r="F47" i="34"/>
  <c r="G47" i="34"/>
  <c r="H47" i="34"/>
  <c r="I47" i="34"/>
  <c r="J47" i="34"/>
  <c r="K47" i="34"/>
  <c r="L47" i="34"/>
  <c r="M47" i="34"/>
  <c r="N47" i="34"/>
  <c r="O47" i="34"/>
  <c r="P47" i="34"/>
  <c r="E49" i="34"/>
  <c r="Q49" i="34" s="1"/>
  <c r="J49" i="35" s="1"/>
  <c r="F49" i="34"/>
  <c r="G49" i="34"/>
  <c r="H49" i="34"/>
  <c r="I49" i="34"/>
  <c r="J49" i="34"/>
  <c r="K49" i="34"/>
  <c r="L49" i="34"/>
  <c r="M49" i="34"/>
  <c r="N49" i="34"/>
  <c r="O49" i="34"/>
  <c r="P49" i="34"/>
  <c r="E51" i="34"/>
  <c r="F51" i="34"/>
  <c r="G51" i="34"/>
  <c r="H51" i="34"/>
  <c r="I51" i="34"/>
  <c r="J51" i="34"/>
  <c r="K51" i="34"/>
  <c r="L51" i="34"/>
  <c r="M51" i="34"/>
  <c r="N51" i="34"/>
  <c r="O51" i="34"/>
  <c r="P51" i="34"/>
  <c r="E53" i="34"/>
  <c r="F53" i="34"/>
  <c r="G53" i="34"/>
  <c r="H53" i="34"/>
  <c r="I53" i="34"/>
  <c r="J53" i="34"/>
  <c r="K53" i="34"/>
  <c r="L53" i="34"/>
  <c r="M53" i="34"/>
  <c r="N53" i="34"/>
  <c r="O53" i="34"/>
  <c r="P53" i="34"/>
  <c r="E55" i="34"/>
  <c r="F55" i="34"/>
  <c r="G55" i="34"/>
  <c r="H55" i="34"/>
  <c r="I55" i="34"/>
  <c r="J55" i="34"/>
  <c r="K55" i="34"/>
  <c r="L55" i="34"/>
  <c r="M55" i="34"/>
  <c r="N55" i="34"/>
  <c r="O55" i="34"/>
  <c r="P55" i="34"/>
  <c r="E57" i="34"/>
  <c r="F57" i="34"/>
  <c r="G57" i="34"/>
  <c r="H57" i="34"/>
  <c r="I57" i="34"/>
  <c r="J57" i="34"/>
  <c r="K57" i="34"/>
  <c r="L57" i="34"/>
  <c r="M57" i="34"/>
  <c r="N57" i="34"/>
  <c r="O57" i="34"/>
  <c r="P57" i="34"/>
  <c r="Q57" i="34"/>
  <c r="J57" i="35" s="1"/>
  <c r="E59" i="34"/>
  <c r="F59" i="34"/>
  <c r="G59" i="34"/>
  <c r="H59" i="34"/>
  <c r="I59" i="34"/>
  <c r="J59" i="34"/>
  <c r="K59" i="34"/>
  <c r="L59" i="34"/>
  <c r="M59" i="34"/>
  <c r="N59" i="34"/>
  <c r="O59" i="34"/>
  <c r="P59" i="34"/>
  <c r="E61" i="34"/>
  <c r="F61" i="34"/>
  <c r="G61" i="34"/>
  <c r="H61" i="34"/>
  <c r="I61" i="34"/>
  <c r="J61" i="34"/>
  <c r="K61" i="34"/>
  <c r="L61" i="34"/>
  <c r="M61" i="34"/>
  <c r="N61" i="34"/>
  <c r="O61" i="34"/>
  <c r="P61" i="34"/>
  <c r="E63" i="34"/>
  <c r="F63" i="34"/>
  <c r="G63" i="34"/>
  <c r="H63" i="34"/>
  <c r="I63" i="34"/>
  <c r="J63" i="34"/>
  <c r="K63" i="34"/>
  <c r="L63" i="34"/>
  <c r="M63" i="34"/>
  <c r="N63" i="34"/>
  <c r="Q63" i="34" s="1"/>
  <c r="J63" i="35" s="1"/>
  <c r="L63" i="35" s="1"/>
  <c r="P63" i="35" s="1"/>
  <c r="O63" i="34"/>
  <c r="P63" i="34"/>
  <c r="E65" i="34"/>
  <c r="F65" i="34"/>
  <c r="G65" i="34"/>
  <c r="H65" i="34"/>
  <c r="I65" i="34"/>
  <c r="J65" i="34"/>
  <c r="K65" i="34"/>
  <c r="L65" i="34"/>
  <c r="M65" i="34"/>
  <c r="N65" i="34"/>
  <c r="O65" i="34"/>
  <c r="P65" i="34"/>
  <c r="E68" i="34"/>
  <c r="F68" i="34"/>
  <c r="G68" i="34"/>
  <c r="H68" i="34"/>
  <c r="I68" i="34"/>
  <c r="J68" i="34"/>
  <c r="J69" i="34" s="1"/>
  <c r="K68" i="34"/>
  <c r="L68" i="34"/>
  <c r="M68" i="34"/>
  <c r="M69" i="34" s="1"/>
  <c r="N68" i="34"/>
  <c r="O69" i="34" s="1"/>
  <c r="O68" i="34"/>
  <c r="P68" i="34"/>
  <c r="P69" i="34" s="1"/>
  <c r="A1" i="33"/>
  <c r="N7" i="33"/>
  <c r="N9" i="33" s="1"/>
  <c r="N11" i="33" s="1"/>
  <c r="N13" i="33" s="1"/>
  <c r="N15" i="33" s="1"/>
  <c r="N17" i="33" s="1"/>
  <c r="N19" i="33" s="1"/>
  <c r="N21" i="33" s="1"/>
  <c r="N23" i="33" s="1"/>
  <c r="N25" i="33" s="1"/>
  <c r="N27" i="33" s="1"/>
  <c r="N29" i="33" s="1"/>
  <c r="N31" i="33" s="1"/>
  <c r="N33" i="33" s="1"/>
  <c r="N35" i="33" s="1"/>
  <c r="N37" i="33" s="1"/>
  <c r="N39" i="33" s="1"/>
  <c r="N41" i="33" s="1"/>
  <c r="N43" i="33" s="1"/>
  <c r="N45" i="33" s="1"/>
  <c r="N47" i="33" s="1"/>
  <c r="N49" i="33" s="1"/>
  <c r="N51" i="33" s="1"/>
  <c r="N53" i="33" s="1"/>
  <c r="N55" i="33" s="1"/>
  <c r="N57" i="33" s="1"/>
  <c r="N59" i="33" s="1"/>
  <c r="N61" i="33" s="1"/>
  <c r="N63" i="33" s="1"/>
  <c r="N65" i="33" s="1"/>
  <c r="N67" i="33" s="1"/>
  <c r="N69" i="33" s="1"/>
  <c r="N71" i="33" s="1"/>
  <c r="N73" i="33" s="1"/>
  <c r="N75" i="33" s="1"/>
  <c r="D8" i="33"/>
  <c r="B9" i="33"/>
  <c r="B11" i="33" s="1"/>
  <c r="D10" i="33"/>
  <c r="D12" i="33"/>
  <c r="D14" i="33"/>
  <c r="D16" i="33"/>
  <c r="D18" i="33"/>
  <c r="D20" i="33"/>
  <c r="D22" i="33"/>
  <c r="D24" i="33"/>
  <c r="D26" i="33"/>
  <c r="D28" i="33"/>
  <c r="D30" i="33"/>
  <c r="D32" i="33"/>
  <c r="D34" i="33"/>
  <c r="D36" i="33"/>
  <c r="D38" i="33"/>
  <c r="D40" i="33"/>
  <c r="D42" i="33"/>
  <c r="D44" i="33"/>
  <c r="D46" i="33"/>
  <c r="D48" i="33"/>
  <c r="D50" i="33"/>
  <c r="D52" i="33"/>
  <c r="D54" i="33"/>
  <c r="D56" i="33"/>
  <c r="D58" i="33"/>
  <c r="D60" i="33"/>
  <c r="D62" i="33"/>
  <c r="D64" i="33"/>
  <c r="D66" i="33"/>
  <c r="D68" i="33"/>
  <c r="D70" i="33"/>
  <c r="D72" i="33"/>
  <c r="D74" i="33"/>
  <c r="C79" i="33"/>
  <c r="D159" i="33"/>
  <c r="A1" i="32"/>
  <c r="A6" i="32"/>
  <c r="B6" i="32"/>
  <c r="E7" i="32"/>
  <c r="F7" i="32"/>
  <c r="G7" i="32"/>
  <c r="H7" i="32"/>
  <c r="I7" i="32"/>
  <c r="J7" i="32"/>
  <c r="K7" i="32"/>
  <c r="L7" i="32"/>
  <c r="M7" i="32"/>
  <c r="N7" i="32"/>
  <c r="O7" i="32"/>
  <c r="P7" i="32"/>
  <c r="A8" i="32"/>
  <c r="B8" i="32"/>
  <c r="E9" i="32"/>
  <c r="F9" i="32"/>
  <c r="G9" i="32"/>
  <c r="H9" i="32"/>
  <c r="I9" i="32"/>
  <c r="J9" i="32"/>
  <c r="K9" i="32"/>
  <c r="L9" i="32"/>
  <c r="M9" i="32"/>
  <c r="N9" i="32"/>
  <c r="O9" i="32"/>
  <c r="P9" i="32"/>
  <c r="A10" i="32"/>
  <c r="E11" i="32"/>
  <c r="F11" i="32"/>
  <c r="G11" i="32"/>
  <c r="H11" i="32"/>
  <c r="I11" i="32"/>
  <c r="J11" i="32"/>
  <c r="K11" i="32"/>
  <c r="L11" i="32"/>
  <c r="M11" i="32"/>
  <c r="N11" i="32"/>
  <c r="O11" i="32"/>
  <c r="P11" i="32"/>
  <c r="A12" i="32"/>
  <c r="E13" i="32"/>
  <c r="F13" i="32"/>
  <c r="Q13" i="32" s="1"/>
  <c r="J13" i="33" s="1"/>
  <c r="G13" i="32"/>
  <c r="H13" i="32"/>
  <c r="I13" i="32"/>
  <c r="J13" i="32"/>
  <c r="K13" i="32"/>
  <c r="L13" i="32"/>
  <c r="M13" i="32"/>
  <c r="N13" i="32"/>
  <c r="O13" i="32"/>
  <c r="P13" i="32"/>
  <c r="A14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A16" i="32"/>
  <c r="E17" i="32"/>
  <c r="F17" i="32"/>
  <c r="G17" i="32"/>
  <c r="H17" i="32"/>
  <c r="I17" i="32"/>
  <c r="J17" i="32"/>
  <c r="K17" i="32"/>
  <c r="L17" i="32"/>
  <c r="M17" i="32"/>
  <c r="N17" i="32"/>
  <c r="O17" i="32"/>
  <c r="P17" i="32"/>
  <c r="A18" i="32"/>
  <c r="E19" i="32"/>
  <c r="F19" i="32"/>
  <c r="G19" i="32"/>
  <c r="H19" i="32"/>
  <c r="I19" i="32"/>
  <c r="J19" i="32"/>
  <c r="K19" i="32"/>
  <c r="L19" i="32"/>
  <c r="M19" i="32"/>
  <c r="N19" i="32"/>
  <c r="O19" i="32"/>
  <c r="P19" i="32"/>
  <c r="A20" i="32"/>
  <c r="E21" i="32"/>
  <c r="F21" i="32"/>
  <c r="G21" i="32"/>
  <c r="H21" i="32"/>
  <c r="I21" i="32"/>
  <c r="J21" i="32"/>
  <c r="K21" i="32"/>
  <c r="L21" i="32"/>
  <c r="M21" i="32"/>
  <c r="N21" i="32"/>
  <c r="O21" i="32"/>
  <c r="P21" i="32"/>
  <c r="A22" i="32"/>
  <c r="E23" i="32"/>
  <c r="F23" i="32"/>
  <c r="G23" i="32"/>
  <c r="H23" i="32"/>
  <c r="I23" i="32"/>
  <c r="J23" i="32"/>
  <c r="K23" i="32"/>
  <c r="L23" i="32"/>
  <c r="M23" i="32"/>
  <c r="N23" i="32"/>
  <c r="O23" i="32"/>
  <c r="P23" i="32"/>
  <c r="A24" i="32"/>
  <c r="E25" i="32"/>
  <c r="F25" i="32"/>
  <c r="G25" i="32"/>
  <c r="H25" i="32"/>
  <c r="I25" i="32"/>
  <c r="J25" i="32"/>
  <c r="K25" i="32"/>
  <c r="L25" i="32"/>
  <c r="M25" i="32"/>
  <c r="N25" i="32"/>
  <c r="O25" i="32"/>
  <c r="P25" i="32"/>
  <c r="A26" i="32"/>
  <c r="E27" i="32"/>
  <c r="F27" i="32"/>
  <c r="G27" i="32"/>
  <c r="H27" i="32"/>
  <c r="I27" i="32"/>
  <c r="J27" i="32"/>
  <c r="K27" i="32"/>
  <c r="L27" i="32"/>
  <c r="M27" i="32"/>
  <c r="N27" i="32"/>
  <c r="O27" i="32"/>
  <c r="P27" i="32"/>
  <c r="A28" i="32"/>
  <c r="E29" i="32"/>
  <c r="F29" i="32"/>
  <c r="G29" i="32"/>
  <c r="H29" i="32"/>
  <c r="I29" i="32"/>
  <c r="J29" i="32"/>
  <c r="K29" i="32"/>
  <c r="L29" i="32"/>
  <c r="M29" i="32"/>
  <c r="N29" i="32"/>
  <c r="O29" i="32"/>
  <c r="P29" i="32"/>
  <c r="A30" i="32"/>
  <c r="E31" i="32"/>
  <c r="F31" i="32"/>
  <c r="G31" i="32"/>
  <c r="H31" i="32"/>
  <c r="I31" i="32"/>
  <c r="J31" i="32"/>
  <c r="K31" i="32"/>
  <c r="L31" i="32"/>
  <c r="M31" i="32"/>
  <c r="N31" i="32"/>
  <c r="O31" i="32"/>
  <c r="P31" i="32"/>
  <c r="A32" i="32"/>
  <c r="E33" i="32"/>
  <c r="F33" i="32"/>
  <c r="G33" i="32"/>
  <c r="H33" i="32"/>
  <c r="I33" i="32"/>
  <c r="J33" i="32"/>
  <c r="K33" i="32"/>
  <c r="L33" i="32"/>
  <c r="M33" i="32"/>
  <c r="N33" i="32"/>
  <c r="O33" i="32"/>
  <c r="P33" i="32"/>
  <c r="A34" i="32"/>
  <c r="E35" i="32"/>
  <c r="F35" i="32"/>
  <c r="G35" i="32"/>
  <c r="H35" i="32"/>
  <c r="I35" i="32"/>
  <c r="J35" i="32"/>
  <c r="K35" i="32"/>
  <c r="L35" i="32"/>
  <c r="M35" i="32"/>
  <c r="N35" i="32"/>
  <c r="O35" i="32"/>
  <c r="P35" i="32"/>
  <c r="A36" i="32"/>
  <c r="E37" i="32"/>
  <c r="F37" i="32"/>
  <c r="G37" i="32"/>
  <c r="H37" i="32"/>
  <c r="I37" i="32"/>
  <c r="J37" i="32"/>
  <c r="K37" i="32"/>
  <c r="L37" i="32"/>
  <c r="M37" i="32"/>
  <c r="N37" i="32"/>
  <c r="O37" i="32"/>
  <c r="P37" i="32"/>
  <c r="A38" i="32"/>
  <c r="E39" i="32"/>
  <c r="F39" i="32"/>
  <c r="G39" i="32"/>
  <c r="H39" i="32"/>
  <c r="I39" i="32"/>
  <c r="J39" i="32"/>
  <c r="K39" i="32"/>
  <c r="L39" i="32"/>
  <c r="M39" i="32"/>
  <c r="N39" i="32"/>
  <c r="O39" i="32"/>
  <c r="P39" i="32"/>
  <c r="A40" i="32"/>
  <c r="E41" i="32"/>
  <c r="F41" i="32"/>
  <c r="G41" i="32"/>
  <c r="H41" i="32"/>
  <c r="I41" i="32"/>
  <c r="J41" i="32"/>
  <c r="K41" i="32"/>
  <c r="L41" i="32"/>
  <c r="M41" i="32"/>
  <c r="N41" i="32"/>
  <c r="O41" i="32"/>
  <c r="P41" i="32"/>
  <c r="A42" i="32"/>
  <c r="E43" i="32"/>
  <c r="F43" i="32"/>
  <c r="G43" i="32"/>
  <c r="H43" i="32"/>
  <c r="I43" i="32"/>
  <c r="J43" i="32"/>
  <c r="K43" i="32"/>
  <c r="L43" i="32"/>
  <c r="M43" i="32"/>
  <c r="N43" i="32"/>
  <c r="O43" i="32"/>
  <c r="P43" i="32"/>
  <c r="A44" i="32"/>
  <c r="E45" i="32"/>
  <c r="F45" i="32"/>
  <c r="G45" i="32"/>
  <c r="H45" i="32"/>
  <c r="I45" i="32"/>
  <c r="J45" i="32"/>
  <c r="K45" i="32"/>
  <c r="L45" i="32"/>
  <c r="M45" i="32"/>
  <c r="N45" i="32"/>
  <c r="O45" i="32"/>
  <c r="P45" i="32"/>
  <c r="A46" i="32"/>
  <c r="E47" i="32"/>
  <c r="F47" i="32"/>
  <c r="G47" i="32"/>
  <c r="H47" i="32"/>
  <c r="I47" i="32"/>
  <c r="J47" i="32"/>
  <c r="K47" i="32"/>
  <c r="L47" i="32"/>
  <c r="M47" i="32"/>
  <c r="N47" i="32"/>
  <c r="O47" i="32"/>
  <c r="P47" i="32"/>
  <c r="A48" i="32"/>
  <c r="E49" i="32"/>
  <c r="F49" i="32"/>
  <c r="G49" i="32"/>
  <c r="H49" i="32"/>
  <c r="I49" i="32"/>
  <c r="J49" i="32"/>
  <c r="K49" i="32"/>
  <c r="L49" i="32"/>
  <c r="M49" i="32"/>
  <c r="N49" i="32"/>
  <c r="O49" i="32"/>
  <c r="P49" i="32"/>
  <c r="A50" i="32"/>
  <c r="E51" i="32"/>
  <c r="F51" i="32"/>
  <c r="G51" i="32"/>
  <c r="H51" i="32"/>
  <c r="I51" i="32"/>
  <c r="J51" i="32"/>
  <c r="K51" i="32"/>
  <c r="L51" i="32"/>
  <c r="M51" i="32"/>
  <c r="N51" i="32"/>
  <c r="O51" i="32"/>
  <c r="P51" i="32"/>
  <c r="A52" i="32"/>
  <c r="E53" i="32"/>
  <c r="F53" i="32"/>
  <c r="G53" i="32"/>
  <c r="H53" i="32"/>
  <c r="I53" i="32"/>
  <c r="J53" i="32"/>
  <c r="K53" i="32"/>
  <c r="L53" i="32"/>
  <c r="M53" i="32"/>
  <c r="N53" i="32"/>
  <c r="O53" i="32"/>
  <c r="P53" i="32"/>
  <c r="A54" i="32"/>
  <c r="E55" i="32"/>
  <c r="F55" i="32"/>
  <c r="G55" i="32"/>
  <c r="H55" i="32"/>
  <c r="I55" i="32"/>
  <c r="J55" i="32"/>
  <c r="K55" i="32"/>
  <c r="L55" i="32"/>
  <c r="M55" i="32"/>
  <c r="N55" i="32"/>
  <c r="O55" i="32"/>
  <c r="P55" i="32"/>
  <c r="A56" i="32"/>
  <c r="E57" i="32"/>
  <c r="F57" i="32"/>
  <c r="G57" i="32"/>
  <c r="H57" i="32"/>
  <c r="I57" i="32"/>
  <c r="J57" i="32"/>
  <c r="K57" i="32"/>
  <c r="L57" i="32"/>
  <c r="M57" i="32"/>
  <c r="N57" i="32"/>
  <c r="O57" i="32"/>
  <c r="P57" i="32"/>
  <c r="A58" i="32"/>
  <c r="E59" i="32"/>
  <c r="F59" i="32"/>
  <c r="G59" i="32"/>
  <c r="H59" i="32"/>
  <c r="I59" i="32"/>
  <c r="J59" i="32"/>
  <c r="K59" i="32"/>
  <c r="L59" i="32"/>
  <c r="M59" i="32"/>
  <c r="N59" i="32"/>
  <c r="O59" i="32"/>
  <c r="P59" i="32"/>
  <c r="A60" i="32"/>
  <c r="E61" i="32"/>
  <c r="F61" i="32"/>
  <c r="G61" i="32"/>
  <c r="H61" i="32"/>
  <c r="I61" i="32"/>
  <c r="J61" i="32"/>
  <c r="K61" i="32"/>
  <c r="L61" i="32"/>
  <c r="M61" i="32"/>
  <c r="N61" i="32"/>
  <c r="O61" i="32"/>
  <c r="P61" i="32"/>
  <c r="A62" i="32"/>
  <c r="E63" i="32"/>
  <c r="Q63" i="32" s="1"/>
  <c r="J63" i="33" s="1"/>
  <c r="F63" i="32"/>
  <c r="G63" i="32"/>
  <c r="H63" i="32"/>
  <c r="I63" i="32"/>
  <c r="J63" i="32"/>
  <c r="K63" i="32"/>
  <c r="L63" i="32"/>
  <c r="M63" i="32"/>
  <c r="N63" i="32"/>
  <c r="O63" i="32"/>
  <c r="P63" i="32"/>
  <c r="A64" i="32"/>
  <c r="E65" i="32"/>
  <c r="F65" i="32"/>
  <c r="G65" i="32"/>
  <c r="H65" i="32"/>
  <c r="I65" i="32"/>
  <c r="J65" i="32"/>
  <c r="K65" i="32"/>
  <c r="L65" i="32"/>
  <c r="M65" i="32"/>
  <c r="N65" i="32"/>
  <c r="O65" i="32"/>
  <c r="P65" i="32"/>
  <c r="A66" i="32"/>
  <c r="E67" i="32"/>
  <c r="F67" i="32"/>
  <c r="G67" i="32"/>
  <c r="H67" i="32"/>
  <c r="I67" i="32"/>
  <c r="J67" i="32"/>
  <c r="K67" i="32"/>
  <c r="L67" i="32"/>
  <c r="M67" i="32"/>
  <c r="N67" i="32"/>
  <c r="O67" i="32"/>
  <c r="P67" i="32"/>
  <c r="A68" i="32"/>
  <c r="E69" i="32"/>
  <c r="F69" i="32"/>
  <c r="G69" i="32"/>
  <c r="H69" i="32"/>
  <c r="I69" i="32"/>
  <c r="J69" i="32"/>
  <c r="K69" i="32"/>
  <c r="L69" i="32"/>
  <c r="M69" i="32"/>
  <c r="N69" i="32"/>
  <c r="O69" i="32"/>
  <c r="P69" i="32"/>
  <c r="A70" i="32"/>
  <c r="E71" i="32"/>
  <c r="F71" i="32"/>
  <c r="G71" i="32"/>
  <c r="H71" i="32"/>
  <c r="I71" i="32"/>
  <c r="J71" i="32"/>
  <c r="K71" i="32"/>
  <c r="L71" i="32"/>
  <c r="M71" i="32"/>
  <c r="N71" i="32"/>
  <c r="O71" i="32"/>
  <c r="P71" i="32"/>
  <c r="A72" i="32"/>
  <c r="E73" i="32"/>
  <c r="F73" i="32"/>
  <c r="G73" i="32"/>
  <c r="H73" i="32"/>
  <c r="I73" i="32"/>
  <c r="J73" i="32"/>
  <c r="K73" i="32"/>
  <c r="L73" i="32"/>
  <c r="M73" i="32"/>
  <c r="N73" i="32"/>
  <c r="O73" i="32"/>
  <c r="P73" i="32"/>
  <c r="A74" i="32"/>
  <c r="E75" i="32"/>
  <c r="F75" i="32"/>
  <c r="G75" i="32"/>
  <c r="H75" i="32"/>
  <c r="I75" i="32"/>
  <c r="J75" i="32"/>
  <c r="K75" i="32"/>
  <c r="L75" i="32"/>
  <c r="M75" i="32"/>
  <c r="N75" i="32"/>
  <c r="O75" i="32"/>
  <c r="P75" i="32"/>
  <c r="E78" i="32"/>
  <c r="E79" i="32" s="1"/>
  <c r="F78" i="32"/>
  <c r="G78" i="32"/>
  <c r="G79" i="32"/>
  <c r="H78" i="32"/>
  <c r="I78" i="32"/>
  <c r="J78" i="32"/>
  <c r="K78" i="32"/>
  <c r="L78" i="32"/>
  <c r="L79" i="32" s="1"/>
  <c r="M78" i="32"/>
  <c r="N78" i="32"/>
  <c r="N79" i="32"/>
  <c r="O78" i="32"/>
  <c r="P78" i="32"/>
  <c r="A1" i="21"/>
  <c r="A10" i="21"/>
  <c r="A11" i="2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G10" i="21"/>
  <c r="G11" i="21" s="1"/>
  <c r="I10" i="21"/>
  <c r="I11" i="21" s="1"/>
  <c r="I12" i="21" s="1"/>
  <c r="I13" i="21" s="1"/>
  <c r="I14" i="21" s="1"/>
  <c r="J100" i="21"/>
  <c r="A1" i="23"/>
  <c r="A6" i="23" s="1"/>
  <c r="B10" i="23"/>
  <c r="H10" i="23"/>
  <c r="B11" i="23"/>
  <c r="H11" i="23"/>
  <c r="H12" i="23"/>
  <c r="H13" i="23"/>
  <c r="H14" i="23"/>
  <c r="H15" i="23"/>
  <c r="H16" i="23"/>
  <c r="H17" i="23"/>
  <c r="H18" i="23"/>
  <c r="H19" i="23"/>
  <c r="A1" i="20"/>
  <c r="D41" i="20"/>
  <c r="D53" i="20"/>
  <c r="D54" i="20"/>
  <c r="D55" i="20"/>
  <c r="D56" i="20"/>
  <c r="D57" i="20"/>
  <c r="D58" i="20"/>
  <c r="D59" i="20"/>
  <c r="D60" i="20"/>
  <c r="D61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A88" i="20"/>
  <c r="A89" i="20"/>
  <c r="A90" i="20"/>
  <c r="A91" i="20"/>
  <c r="A92" i="20"/>
  <c r="A93" i="20"/>
  <c r="A94" i="20"/>
  <c r="A95" i="20"/>
  <c r="A96" i="20"/>
  <c r="A97" i="20"/>
  <c r="A98" i="20"/>
  <c r="E98" i="20"/>
  <c r="V98" i="20" s="1"/>
  <c r="A99" i="20"/>
  <c r="A100" i="20"/>
  <c r="E100" i="20"/>
  <c r="V100" i="20" s="1"/>
  <c r="A101" i="20"/>
  <c r="A102" i="20"/>
  <c r="A103" i="20"/>
  <c r="C103" i="20"/>
  <c r="E103" i="20" s="1"/>
  <c r="V103" i="20" s="1"/>
  <c r="A104" i="20"/>
  <c r="C104" i="20"/>
  <c r="E104" i="20" s="1"/>
  <c r="V104" i="20" s="1"/>
  <c r="A105" i="20"/>
  <c r="C105" i="20"/>
  <c r="E105" i="20"/>
  <c r="V105" i="20" s="1"/>
  <c r="E106" i="20"/>
  <c r="V106" i="20" s="1"/>
  <c r="C110" i="20"/>
  <c r="E110" i="20" s="1"/>
  <c r="P110" i="20" s="1"/>
  <c r="E111" i="20"/>
  <c r="V111" i="20" s="1"/>
  <c r="D112" i="20"/>
  <c r="R112" i="20"/>
  <c r="R119" i="20" s="1"/>
  <c r="G123" i="20"/>
  <c r="G143" i="20" s="1"/>
  <c r="G146" i="20" s="1"/>
  <c r="G145" i="20"/>
  <c r="I123" i="20"/>
  <c r="I143" i="20" s="1"/>
  <c r="I146" i="20" s="1"/>
  <c r="I145" i="20"/>
  <c r="C125" i="20"/>
  <c r="L129" i="20"/>
  <c r="L143" i="20"/>
  <c r="L145" i="20"/>
  <c r="H135" i="20"/>
  <c r="H143" i="20" s="1"/>
  <c r="H146" i="20" s="1"/>
  <c r="F143" i="20"/>
  <c r="F146" i="20" s="1"/>
  <c r="F145" i="20"/>
  <c r="H145" i="20"/>
  <c r="J143" i="20"/>
  <c r="J146" i="20" s="1"/>
  <c r="J145" i="20"/>
  <c r="K143" i="20"/>
  <c r="K146" i="20" s="1"/>
  <c r="K145" i="20"/>
  <c r="M143" i="20"/>
  <c r="N143" i="20"/>
  <c r="R143" i="20"/>
  <c r="R145" i="20"/>
  <c r="M145" i="20"/>
  <c r="N145" i="20"/>
  <c r="N146" i="20" s="1"/>
  <c r="A1" i="6"/>
  <c r="C2" i="7"/>
  <c r="E15" i="7"/>
  <c r="F15" i="7"/>
  <c r="F11" i="7" s="1"/>
  <c r="G15" i="7"/>
  <c r="G11" i="7" s="1"/>
  <c r="J24" i="7" s="1"/>
  <c r="H15" i="7"/>
  <c r="H11" i="7" s="1"/>
  <c r="I15" i="7"/>
  <c r="I11" i="7" s="1"/>
  <c r="J15" i="7"/>
  <c r="J11" i="7"/>
  <c r="J28" i="7" s="1"/>
  <c r="M37" i="7"/>
  <c r="M40" i="7"/>
  <c r="M43" i="7"/>
  <c r="F44" i="7"/>
  <c r="C47" i="7"/>
  <c r="N47" i="7"/>
  <c r="N49" i="7" s="1"/>
  <c r="C64" i="7"/>
  <c r="C65" i="7"/>
  <c r="C66" i="7"/>
  <c r="C67" i="7"/>
  <c r="H64" i="7"/>
  <c r="H65" i="7"/>
  <c r="J65" i="7" s="1"/>
  <c r="H66" i="7"/>
  <c r="H67" i="7"/>
  <c r="J67" i="7" s="1"/>
  <c r="J66" i="7"/>
  <c r="E69" i="7"/>
  <c r="B19" i="25"/>
  <c r="G19" i="25"/>
  <c r="H19" i="25"/>
  <c r="D2" i="8"/>
  <c r="D2" i="37"/>
  <c r="H54" i="37"/>
  <c r="A1" i="3"/>
  <c r="K4" i="3"/>
  <c r="A11" i="3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G11" i="3"/>
  <c r="D12" i="3"/>
  <c r="G12" i="3" s="1"/>
  <c r="G23" i="3"/>
  <c r="G24" i="3"/>
  <c r="H34" i="3"/>
  <c r="H48" i="3"/>
  <c r="J56" i="3"/>
  <c r="A2" i="28"/>
  <c r="I5" i="28"/>
  <c r="B11" i="28"/>
  <c r="B12" i="28"/>
  <c r="B13" i="28"/>
  <c r="B15" i="28"/>
  <c r="B16" i="28"/>
  <c r="B17" i="28"/>
  <c r="B18" i="28"/>
  <c r="B19" i="28"/>
  <c r="B20" i="28"/>
  <c r="B21" i="28"/>
  <c r="B22" i="28"/>
  <c r="C66" i="28"/>
  <c r="B1" i="29"/>
  <c r="B11" i="29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A1" i="2"/>
  <c r="C46" i="2"/>
  <c r="G15" i="36"/>
  <c r="A1" i="19"/>
  <c r="P16" i="19"/>
  <c r="P17" i="19"/>
  <c r="F18" i="19"/>
  <c r="I18" i="19" s="1"/>
  <c r="P18" i="19"/>
  <c r="P19" i="19"/>
  <c r="P20" i="19"/>
  <c r="P21" i="19"/>
  <c r="P22" i="19"/>
  <c r="P23" i="19"/>
  <c r="P24" i="19"/>
  <c r="P25" i="19"/>
  <c r="P26" i="19"/>
  <c r="P27" i="19"/>
  <c r="F28" i="19"/>
  <c r="O28" i="19" s="1"/>
  <c r="P28" i="19"/>
  <c r="A30" i="19"/>
  <c r="P30" i="19"/>
  <c r="A31" i="19"/>
  <c r="P31" i="19"/>
  <c r="F33" i="19"/>
  <c r="P33" i="19"/>
  <c r="P34" i="19"/>
  <c r="P37" i="19"/>
  <c r="F38" i="19"/>
  <c r="P38" i="19"/>
  <c r="P39" i="19"/>
  <c r="F40" i="19"/>
  <c r="I40" i="19" s="1"/>
  <c r="P40" i="19"/>
  <c r="P41" i="19"/>
  <c r="P42" i="19"/>
  <c r="Q43" i="19"/>
  <c r="Q52" i="19"/>
  <c r="A44" i="19"/>
  <c r="P44" i="19"/>
  <c r="P45" i="19"/>
  <c r="P46" i="19"/>
  <c r="P47" i="19"/>
  <c r="P48" i="19"/>
  <c r="A49" i="19"/>
  <c r="F49" i="19"/>
  <c r="O49" i="19" s="1"/>
  <c r="P49" i="19"/>
  <c r="F50" i="19"/>
  <c r="P50" i="19"/>
  <c r="I51" i="19"/>
  <c r="K51" i="19"/>
  <c r="M51" i="19"/>
  <c r="O51" i="19"/>
  <c r="A1" i="10"/>
  <c r="A1" i="26"/>
  <c r="G12" i="26"/>
  <c r="A1" i="27"/>
  <c r="F12" i="27"/>
  <c r="F16" i="27"/>
  <c r="F39" i="19"/>
  <c r="F73" i="1"/>
  <c r="Q16" i="9"/>
  <c r="K69" i="34"/>
  <c r="P16" i="9"/>
  <c r="J10" i="23"/>
  <c r="N69" i="34"/>
  <c r="J79" i="32"/>
  <c r="K79" i="32"/>
  <c r="F31" i="19"/>
  <c r="I31" i="19" s="1"/>
  <c r="M146" i="20"/>
  <c r="F79" i="32"/>
  <c r="P79" i="32"/>
  <c r="E69" i="34"/>
  <c r="F26" i="7"/>
  <c r="E26" i="7"/>
  <c r="B12" i="23"/>
  <c r="B13" i="23"/>
  <c r="I35" i="21"/>
  <c r="I36" i="21" s="1"/>
  <c r="I37" i="21" s="1"/>
  <c r="I38" i="21" s="1"/>
  <c r="I39" i="21" s="1"/>
  <c r="I40" i="21" s="1"/>
  <c r="I41" i="21" s="1"/>
  <c r="I42" i="21" s="1"/>
  <c r="I43" i="21" s="1"/>
  <c r="I44" i="21" s="1"/>
  <c r="I45" i="21" s="1"/>
  <c r="I46" i="21" s="1"/>
  <c r="I47" i="21" s="1"/>
  <c r="I48" i="21" s="1"/>
  <c r="I49" i="21" s="1"/>
  <c r="I50" i="21" s="1"/>
  <c r="I51" i="21" s="1"/>
  <c r="I52" i="21" s="1"/>
  <c r="I53" i="21" s="1"/>
  <c r="I54" i="21" s="1"/>
  <c r="I55" i="21" s="1"/>
  <c r="I56" i="21" s="1"/>
  <c r="I57" i="21" s="1"/>
  <c r="I58" i="21" s="1"/>
  <c r="I59" i="21" s="1"/>
  <c r="I60" i="21" s="1"/>
  <c r="I61" i="21" s="1"/>
  <c r="I62" i="21" s="1"/>
  <c r="I63" i="21" s="1"/>
  <c r="I64" i="21" s="1"/>
  <c r="I65" i="21" s="1"/>
  <c r="I66" i="21" s="1"/>
  <c r="I67" i="21" s="1"/>
  <c r="I68" i="21" s="1"/>
  <c r="I69" i="21" s="1"/>
  <c r="I70" i="21" s="1"/>
  <c r="I71" i="21" s="1"/>
  <c r="I72" i="21" s="1"/>
  <c r="I73" i="21" s="1"/>
  <c r="I74" i="21" s="1"/>
  <c r="I75" i="21" s="1"/>
  <c r="I76" i="21" s="1"/>
  <c r="I91" i="21"/>
  <c r="I92" i="21" s="1"/>
  <c r="I93" i="21" s="1"/>
  <c r="I94" i="21" s="1"/>
  <c r="I95" i="21" s="1"/>
  <c r="I96" i="21" s="1"/>
  <c r="I97" i="21" s="1"/>
  <c r="G14" i="21"/>
  <c r="G15" i="21" s="1"/>
  <c r="G16" i="21"/>
  <c r="E63" i="21"/>
  <c r="E64" i="21" s="1"/>
  <c r="E65" i="21" s="1"/>
  <c r="E66" i="21" s="1"/>
  <c r="E67" i="21" s="1"/>
  <c r="E68" i="21" s="1"/>
  <c r="E70" i="21"/>
  <c r="E71" i="21"/>
  <c r="E72" i="21" s="1"/>
  <c r="E73" i="21" s="1"/>
  <c r="E74" i="21" s="1"/>
  <c r="E75" i="21" s="1"/>
  <c r="E76" i="21" s="1"/>
  <c r="E77" i="21" s="1"/>
  <c r="E78" i="21" s="1"/>
  <c r="E79" i="21" s="1"/>
  <c r="E80" i="21" s="1"/>
  <c r="E81" i="21" s="1"/>
  <c r="E82" i="21" s="1"/>
  <c r="E83" i="21" s="1"/>
  <c r="E84" i="21" s="1"/>
  <c r="E85" i="21" s="1"/>
  <c r="E86" i="21" s="1"/>
  <c r="E87" i="21" s="1"/>
  <c r="E88" i="21" s="1"/>
  <c r="E89" i="21" s="1"/>
  <c r="E90" i="21" s="1"/>
  <c r="E91" i="21" s="1"/>
  <c r="E93" i="21"/>
  <c r="E94" i="21" s="1"/>
  <c r="E95" i="21" s="1"/>
  <c r="E96" i="21" s="1"/>
  <c r="E97" i="21" s="1"/>
  <c r="F6" i="19"/>
  <c r="AA46" i="1"/>
  <c r="B14" i="23"/>
  <c r="B15" i="23"/>
  <c r="B16" i="23"/>
  <c r="B17" i="23"/>
  <c r="B18" i="23"/>
  <c r="B19" i="23"/>
  <c r="G77" i="21"/>
  <c r="G78" i="21" s="1"/>
  <c r="G79" i="21" s="1"/>
  <c r="G80" i="21" s="1"/>
  <c r="G81" i="21" s="1"/>
  <c r="G82" i="21" s="1"/>
  <c r="G83" i="21" s="1"/>
  <c r="G84" i="21" s="1"/>
  <c r="G85" i="21" s="1"/>
  <c r="G86" i="21" s="1"/>
  <c r="P35" i="19"/>
  <c r="G92" i="28"/>
  <c r="M16" i="9"/>
  <c r="V16" i="9"/>
  <c r="K16" i="9"/>
  <c r="I16" i="9"/>
  <c r="F16" i="9"/>
  <c r="D16" i="9"/>
  <c r="G16" i="9"/>
  <c r="J16" i="9"/>
  <c r="E16" i="9"/>
  <c r="R16" i="9"/>
  <c r="H16" i="9"/>
  <c r="U16" i="9"/>
  <c r="L16" i="9"/>
  <c r="S16" i="9"/>
  <c r="C16" i="9"/>
  <c r="T16" i="9"/>
  <c r="O16" i="9"/>
  <c r="B10" i="32"/>
  <c r="B10" i="34"/>
  <c r="B13" i="33"/>
  <c r="B15" i="33" s="1"/>
  <c r="B17" i="33" s="1"/>
  <c r="M79" i="32"/>
  <c r="B8" i="34"/>
  <c r="W41" i="7"/>
  <c r="D12" i="10"/>
  <c r="D20" i="38"/>
  <c r="D11" i="39"/>
  <c r="D17" i="39" s="1"/>
  <c r="D35" i="39" s="1"/>
  <c r="W37" i="7"/>
  <c r="D63" i="42"/>
  <c r="L146" i="20"/>
  <c r="F69" i="34"/>
  <c r="I69" i="34"/>
  <c r="Q23" i="32"/>
  <c r="J23" i="33" s="1"/>
  <c r="O79" i="32"/>
  <c r="I15" i="21"/>
  <c r="D13" i="3"/>
  <c r="G13" i="3" s="1"/>
  <c r="T37" i="7"/>
  <c r="I26" i="7"/>
  <c r="T38" i="7"/>
  <c r="L69" i="34"/>
  <c r="R43" i="7"/>
  <c r="H46" i="42"/>
  <c r="I46" i="42"/>
  <c r="J46" i="42" s="1"/>
  <c r="D28" i="10"/>
  <c r="D20" i="10"/>
  <c r="D25" i="10"/>
  <c r="D26" i="10"/>
  <c r="I16" i="21"/>
  <c r="I17" i="21" s="1"/>
  <c r="I18" i="21" s="1"/>
  <c r="I19" i="21" s="1"/>
  <c r="I20" i="21" s="1"/>
  <c r="I21" i="21" s="1"/>
  <c r="I22" i="21" s="1"/>
  <c r="I23" i="21" s="1"/>
  <c r="I24" i="21" s="1"/>
  <c r="I25" i="21" s="1"/>
  <c r="I26" i="21" s="1"/>
  <c r="I27" i="21" s="1"/>
  <c r="I28" i="21" s="1"/>
  <c r="I29" i="21" s="1"/>
  <c r="I30" i="21" s="1"/>
  <c r="I31" i="21" s="1"/>
  <c r="I32" i="21" s="1"/>
  <c r="I33" i="21" s="1"/>
  <c r="F25" i="19"/>
  <c r="O25" i="19" s="1"/>
  <c r="F21" i="1"/>
  <c r="F19" i="19"/>
  <c r="K19" i="19" s="1"/>
  <c r="F37" i="19"/>
  <c r="K37" i="19" s="1"/>
  <c r="F19" i="28"/>
  <c r="F22" i="28"/>
  <c r="D4" i="41"/>
  <c r="G5" i="41"/>
  <c r="C12" i="41" s="1"/>
  <c r="D11" i="41"/>
  <c r="G11" i="41" s="1"/>
  <c r="D64" i="42"/>
  <c r="V9" i="1"/>
  <c r="G93" i="28"/>
  <c r="C47" i="41"/>
  <c r="C44" i="41"/>
  <c r="C43" i="41"/>
  <c r="C40" i="41"/>
  <c r="F16" i="28"/>
  <c r="F34" i="19"/>
  <c r="O34" i="19" s="1"/>
  <c r="J61" i="28"/>
  <c r="L61" i="28"/>
  <c r="J63" i="28"/>
  <c r="J64" i="28"/>
  <c r="J67" i="28"/>
  <c r="J73" i="28"/>
  <c r="H76" i="28"/>
  <c r="G75" i="28"/>
  <c r="H75" i="28" s="1"/>
  <c r="F30" i="19"/>
  <c r="M30" i="19" s="1"/>
  <c r="E11" i="7"/>
  <c r="E12" i="42"/>
  <c r="J29" i="19"/>
  <c r="P29" i="19" s="1"/>
  <c r="O18" i="19" l="1"/>
  <c r="K40" i="19"/>
  <c r="K18" i="19"/>
  <c r="I28" i="19"/>
  <c r="F24" i="28"/>
  <c r="M40" i="19"/>
  <c r="O40" i="19"/>
  <c r="C5" i="46"/>
  <c r="E1" i="1"/>
  <c r="V15" i="1" s="1"/>
  <c r="M38" i="19"/>
  <c r="O38" i="19"/>
  <c r="K33" i="19"/>
  <c r="O33" i="19"/>
  <c r="J26" i="7"/>
  <c r="G22" i="7"/>
  <c r="G26" i="7"/>
  <c r="M18" i="19"/>
  <c r="I19" i="19"/>
  <c r="O19" i="19"/>
  <c r="M19" i="19"/>
  <c r="W40" i="7"/>
  <c r="T40" i="7"/>
  <c r="S43" i="7"/>
  <c r="AA40" i="28"/>
  <c r="P40" i="28"/>
  <c r="T43" i="7"/>
  <c r="G28" i="7"/>
  <c r="F28" i="7"/>
  <c r="I28" i="7"/>
  <c r="E28" i="7"/>
  <c r="P33" i="28"/>
  <c r="AA33" i="28"/>
  <c r="C12" i="10"/>
  <c r="E12" i="10" s="1"/>
  <c r="C13" i="10"/>
  <c r="C32" i="41"/>
  <c r="C36" i="41"/>
  <c r="C29" i="40"/>
  <c r="Q7" i="34"/>
  <c r="J7" i="35" s="1"/>
  <c r="Y56" i="28"/>
  <c r="AD56" i="28" s="1"/>
  <c r="Z56" i="28" s="1"/>
  <c r="L56" i="28" s="1"/>
  <c r="N56" i="28" s="1"/>
  <c r="C35" i="41"/>
  <c r="C39" i="41"/>
  <c r="I37" i="19"/>
  <c r="R146" i="20"/>
  <c r="C31" i="41"/>
  <c r="D14" i="3"/>
  <c r="C50" i="41"/>
  <c r="C11" i="41"/>
  <c r="E11" i="41" s="1"/>
  <c r="F11" i="41" s="1"/>
  <c r="Q75" i="32"/>
  <c r="J75" i="33" s="1"/>
  <c r="Q51" i="32"/>
  <c r="J51" i="33" s="1"/>
  <c r="Q27" i="32"/>
  <c r="J27" i="33" s="1"/>
  <c r="C25" i="43"/>
  <c r="G37" i="47"/>
  <c r="I32" i="45"/>
  <c r="C34" i="41"/>
  <c r="C46" i="41"/>
  <c r="Q41" i="34"/>
  <c r="J41" i="35" s="1"/>
  <c r="L41" i="35" s="1"/>
  <c r="P41" i="35" s="1"/>
  <c r="AA29" i="28"/>
  <c r="V37" i="47"/>
  <c r="C42" i="41"/>
  <c r="C38" i="41"/>
  <c r="Q25" i="32"/>
  <c r="J25" i="33" s="1"/>
  <c r="Y60" i="28"/>
  <c r="J60" i="28" s="1"/>
  <c r="Y52" i="28"/>
  <c r="Z52" i="28" s="1"/>
  <c r="L52" i="28" s="1"/>
  <c r="N52" i="28" s="1"/>
  <c r="C45" i="41"/>
  <c r="C49" i="41"/>
  <c r="Q59" i="34"/>
  <c r="J59" i="35" s="1"/>
  <c r="L59" i="35" s="1"/>
  <c r="P59" i="35" s="1"/>
  <c r="L37" i="35"/>
  <c r="P37" i="35" s="1"/>
  <c r="L7" i="35"/>
  <c r="P7" i="35" s="1"/>
  <c r="C37" i="41"/>
  <c r="C41" i="41"/>
  <c r="Q35" i="32"/>
  <c r="J35" i="33" s="1"/>
  <c r="Q55" i="34"/>
  <c r="J55" i="35" s="1"/>
  <c r="L55" i="35" s="1"/>
  <c r="P55" i="35" s="1"/>
  <c r="Q33" i="34"/>
  <c r="J33" i="35" s="1"/>
  <c r="Q31" i="34"/>
  <c r="J31" i="35" s="1"/>
  <c r="L49" i="35"/>
  <c r="P49" i="35" s="1"/>
  <c r="C13" i="41"/>
  <c r="C33" i="41"/>
  <c r="Q61" i="32"/>
  <c r="J61" i="33" s="1"/>
  <c r="Y69" i="28"/>
  <c r="J69" i="28" s="1"/>
  <c r="U75" i="28"/>
  <c r="C48" i="41"/>
  <c r="G6" i="41"/>
  <c r="G12" i="10"/>
  <c r="Q15" i="32"/>
  <c r="J15" i="33" s="1"/>
  <c r="Q43" i="34"/>
  <c r="J43" i="35" s="1"/>
  <c r="L43" i="35" s="1"/>
  <c r="P43" i="35" s="1"/>
  <c r="Y58" i="28"/>
  <c r="E11" i="39"/>
  <c r="F11" i="39" s="1"/>
  <c r="F17" i="39" s="1"/>
  <c r="F35" i="39" s="1"/>
  <c r="I50" i="19"/>
  <c r="M50" i="19"/>
  <c r="B19" i="33"/>
  <c r="B16" i="34"/>
  <c r="B16" i="32"/>
  <c r="K46" i="42"/>
  <c r="L46" i="42" s="1"/>
  <c r="M46" i="42" s="1"/>
  <c r="N46" i="42" s="1"/>
  <c r="O46" i="42" s="1"/>
  <c r="P46" i="42" s="1"/>
  <c r="Q46" i="42" s="1"/>
  <c r="R46" i="42" s="1"/>
  <c r="S46" i="42" s="1"/>
  <c r="T46" i="42" s="1"/>
  <c r="U46" i="42" s="1"/>
  <c r="V46" i="42" s="1"/>
  <c r="W46" i="42" s="1"/>
  <c r="X46" i="42" s="1"/>
  <c r="K49" i="19"/>
  <c r="M49" i="19"/>
  <c r="I49" i="19"/>
  <c r="I77" i="21"/>
  <c r="G17" i="21"/>
  <c r="Q57" i="32"/>
  <c r="J57" i="33" s="1"/>
  <c r="G87" i="21"/>
  <c r="B14" i="34"/>
  <c r="B14" i="32"/>
  <c r="K39" i="19"/>
  <c r="I39" i="19"/>
  <c r="M39" i="19"/>
  <c r="E100" i="21"/>
  <c r="Q23" i="34"/>
  <c r="J23" i="35" s="1"/>
  <c r="L23" i="35" s="1"/>
  <c r="P23" i="35" s="1"/>
  <c r="Q19" i="34"/>
  <c r="J19" i="35" s="1"/>
  <c r="L19" i="35" s="1"/>
  <c r="P19" i="35" s="1"/>
  <c r="Q15" i="34"/>
  <c r="J15" i="35" s="1"/>
  <c r="L15" i="35" s="1"/>
  <c r="P15" i="35" s="1"/>
  <c r="Q13" i="34"/>
  <c r="J13" i="35" s="1"/>
  <c r="Q69" i="32"/>
  <c r="J69" i="33" s="1"/>
  <c r="Q65" i="34"/>
  <c r="J65" i="35" s="1"/>
  <c r="B12" i="32"/>
  <c r="I79" i="32"/>
  <c r="H79" i="32"/>
  <c r="Q9" i="32"/>
  <c r="J9" i="33" s="1"/>
  <c r="E15" i="28"/>
  <c r="E16" i="28" s="1"/>
  <c r="E17" i="28" s="1"/>
  <c r="E18" i="28" s="1"/>
  <c r="E19" i="28" s="1"/>
  <c r="E20" i="28" s="1"/>
  <c r="E21" i="28" s="1"/>
  <c r="E22" i="28" s="1"/>
  <c r="E14" i="28"/>
  <c r="B12" i="34"/>
  <c r="D68" i="35"/>
  <c r="Q33" i="32"/>
  <c r="J33" i="33" s="1"/>
  <c r="Q31" i="32"/>
  <c r="J31" i="33" s="1"/>
  <c r="Q21" i="32"/>
  <c r="J21" i="33" s="1"/>
  <c r="L27" i="35"/>
  <c r="P27" i="35" s="1"/>
  <c r="M31" i="19"/>
  <c r="K31" i="19"/>
  <c r="L57" i="35"/>
  <c r="P57" i="35" s="1"/>
  <c r="C20" i="38"/>
  <c r="C25" i="38"/>
  <c r="C29" i="38" s="1"/>
  <c r="K11" i="21"/>
  <c r="L10" i="21"/>
  <c r="V43" i="7"/>
  <c r="W38" i="7"/>
  <c r="Q45" i="32"/>
  <c r="J45" i="33" s="1"/>
  <c r="J64" i="7"/>
  <c r="J69" i="7" s="1"/>
  <c r="E61" i="7" s="1"/>
  <c r="H69" i="7"/>
  <c r="Q55" i="32"/>
  <c r="J55" i="33" s="1"/>
  <c r="Q49" i="32"/>
  <c r="J49" i="33" s="1"/>
  <c r="Q39" i="32"/>
  <c r="J39" i="33" s="1"/>
  <c r="Q19" i="32"/>
  <c r="J19" i="33" s="1"/>
  <c r="L39" i="35"/>
  <c r="P39" i="35" s="1"/>
  <c r="L29" i="35"/>
  <c r="P29" i="35" s="1"/>
  <c r="L17" i="35"/>
  <c r="P17" i="35" s="1"/>
  <c r="I22" i="7"/>
  <c r="F22" i="7"/>
  <c r="J22" i="7"/>
  <c r="E22" i="7"/>
  <c r="D102" i="21"/>
  <c r="N50" i="45"/>
  <c r="Z70" i="28"/>
  <c r="L70" i="28" s="1"/>
  <c r="J70" i="28"/>
  <c r="J52" i="28"/>
  <c r="K110" i="20"/>
  <c r="G110" i="20"/>
  <c r="N110" i="20"/>
  <c r="H110" i="20"/>
  <c r="L110" i="20"/>
  <c r="O110" i="20"/>
  <c r="F110" i="20"/>
  <c r="I110" i="20"/>
  <c r="J110" i="20"/>
  <c r="M110" i="20"/>
  <c r="Q47" i="32"/>
  <c r="J47" i="33" s="1"/>
  <c r="L35" i="35"/>
  <c r="P35" i="35" s="1"/>
  <c r="Z72" i="28"/>
  <c r="L72" i="28" s="1"/>
  <c r="J72" i="28"/>
  <c r="H16" i="29"/>
  <c r="H24" i="29"/>
  <c r="H17" i="29"/>
  <c r="H25" i="29"/>
  <c r="H10" i="29"/>
  <c r="H18" i="29"/>
  <c r="H26" i="29"/>
  <c r="H11" i="29"/>
  <c r="H19" i="29"/>
  <c r="H27" i="29"/>
  <c r="H12" i="29"/>
  <c r="H20" i="29"/>
  <c r="H13" i="29"/>
  <c r="H21" i="29"/>
  <c r="H14" i="29"/>
  <c r="H15" i="29"/>
  <c r="H22" i="29"/>
  <c r="H23" i="29"/>
  <c r="F13" i="27"/>
  <c r="Q110" i="20"/>
  <c r="D63" i="20"/>
  <c r="Q71" i="32"/>
  <c r="J71" i="33" s="1"/>
  <c r="Q65" i="32"/>
  <c r="J65" i="33" s="1"/>
  <c r="Q41" i="32"/>
  <c r="J41" i="33" s="1"/>
  <c r="Q11" i="32"/>
  <c r="J11" i="33" s="1"/>
  <c r="H69" i="34"/>
  <c r="G69" i="34"/>
  <c r="Q61" i="34"/>
  <c r="J61" i="35" s="1"/>
  <c r="L61" i="35" s="1"/>
  <c r="P61" i="35" s="1"/>
  <c r="Q51" i="34"/>
  <c r="J51" i="35" s="1"/>
  <c r="L65" i="35"/>
  <c r="P65" i="35" s="1"/>
  <c r="L33" i="35"/>
  <c r="P33" i="35" s="1"/>
  <c r="L13" i="35"/>
  <c r="P13" i="35" s="1"/>
  <c r="G24" i="7"/>
  <c r="E24" i="7"/>
  <c r="F24" i="7"/>
  <c r="I24" i="7"/>
  <c r="Q67" i="32"/>
  <c r="J67" i="33" s="1"/>
  <c r="Q53" i="32"/>
  <c r="J53" i="33" s="1"/>
  <c r="Q17" i="32"/>
  <c r="J17" i="33" s="1"/>
  <c r="Q45" i="34"/>
  <c r="J45" i="35" s="1"/>
  <c r="L45" i="35" s="1"/>
  <c r="P45" i="35" s="1"/>
  <c r="L11" i="35"/>
  <c r="P11" i="35" s="1"/>
  <c r="N39" i="45"/>
  <c r="U79" i="28"/>
  <c r="J56" i="28"/>
  <c r="L11" i="21"/>
  <c r="G12" i="21"/>
  <c r="Q73" i="32"/>
  <c r="J73" i="33" s="1"/>
  <c r="Q59" i="32"/>
  <c r="J59" i="33" s="1"/>
  <c r="Q29" i="32"/>
  <c r="J29" i="33" s="1"/>
  <c r="Q25" i="34"/>
  <c r="J25" i="35" s="1"/>
  <c r="L25" i="35" s="1"/>
  <c r="P25" i="35" s="1"/>
  <c r="Q21" i="34"/>
  <c r="J21" i="35" s="1"/>
  <c r="L21" i="35" s="1"/>
  <c r="P21" i="35" s="1"/>
  <c r="Q17" i="34"/>
  <c r="J17" i="35" s="1"/>
  <c r="L31" i="35"/>
  <c r="P31" i="35" s="1"/>
  <c r="L9" i="35"/>
  <c r="P9" i="35" s="1"/>
  <c r="P41" i="28"/>
  <c r="U41" i="28" s="1"/>
  <c r="AA41" i="28"/>
  <c r="M28" i="19"/>
  <c r="K28" i="19"/>
  <c r="Q43" i="32"/>
  <c r="J43" i="33" s="1"/>
  <c r="Q37" i="32"/>
  <c r="J37" i="33" s="1"/>
  <c r="Q7" i="32"/>
  <c r="J7" i="33" s="1"/>
  <c r="Q53" i="34"/>
  <c r="J53" i="35" s="1"/>
  <c r="L53" i="35" s="1"/>
  <c r="P53" i="35" s="1"/>
  <c r="Q47" i="34"/>
  <c r="J47" i="35" s="1"/>
  <c r="L47" i="35" s="1"/>
  <c r="P47" i="35" s="1"/>
  <c r="L51" i="35"/>
  <c r="P51" i="35" s="1"/>
  <c r="N36" i="45"/>
  <c r="N44" i="45"/>
  <c r="N49" i="45"/>
  <c r="E54" i="45"/>
  <c r="N31" i="45"/>
  <c r="AD54" i="28"/>
  <c r="J54" i="28"/>
  <c r="W50" i="47"/>
  <c r="W53" i="47" s="1"/>
  <c r="W54" i="47" s="1"/>
  <c r="F29" i="40"/>
  <c r="C47" i="40" s="1"/>
  <c r="I83" i="45"/>
  <c r="E15" i="45"/>
  <c r="E22" i="45"/>
  <c r="E69" i="45"/>
  <c r="E60" i="45"/>
  <c r="E51" i="45"/>
  <c r="E42" i="45"/>
  <c r="E33" i="45"/>
  <c r="E14" i="45"/>
  <c r="E21" i="45"/>
  <c r="E68" i="45"/>
  <c r="E59" i="45"/>
  <c r="E50" i="45"/>
  <c r="E41" i="45"/>
  <c r="E32" i="45"/>
  <c r="E13" i="45"/>
  <c r="E20" i="45"/>
  <c r="E67" i="45"/>
  <c r="E58" i="45"/>
  <c r="E49" i="45"/>
  <c r="E40" i="45"/>
  <c r="E31" i="45"/>
  <c r="E27" i="45"/>
  <c r="E19" i="45"/>
  <c r="E66" i="45"/>
  <c r="E57" i="45"/>
  <c r="E48" i="45"/>
  <c r="E39" i="45"/>
  <c r="E30" i="45"/>
  <c r="E26" i="45"/>
  <c r="E18" i="45"/>
  <c r="E65" i="45"/>
  <c r="E56" i="45"/>
  <c r="E47" i="45"/>
  <c r="E37" i="45"/>
  <c r="D71" i="45"/>
  <c r="E25" i="45"/>
  <c r="E17" i="45"/>
  <c r="E63" i="45"/>
  <c r="E55" i="45"/>
  <c r="E45" i="45"/>
  <c r="E36" i="45"/>
  <c r="N35" i="45"/>
  <c r="N54" i="45"/>
  <c r="I42" i="45"/>
  <c r="N42" i="45" s="1"/>
  <c r="B70" i="45"/>
  <c r="N59" i="45"/>
  <c r="Z54" i="28"/>
  <c r="L54" i="28" s="1"/>
  <c r="N54" i="28" s="1"/>
  <c r="Z50" i="28"/>
  <c r="L50" i="28" s="1"/>
  <c r="V46" i="47"/>
  <c r="W42" i="47" s="1"/>
  <c r="AA36" i="28"/>
  <c r="P44" i="28"/>
  <c r="U44" i="28" s="1"/>
  <c r="U33" i="28"/>
  <c r="Z71" i="28"/>
  <c r="L71" i="28" s="1"/>
  <c r="Z60" i="28"/>
  <c r="L60" i="28" s="1"/>
  <c r="E34" i="45"/>
  <c r="E70" i="45"/>
  <c r="U74" i="28"/>
  <c r="U87" i="28" s="1"/>
  <c r="U40" i="28"/>
  <c r="N43" i="28"/>
  <c r="J62" i="28"/>
  <c r="B30" i="3" s="1"/>
  <c r="Z62" i="28"/>
  <c r="L62" i="28" s="1"/>
  <c r="H37" i="47"/>
  <c r="AJ35" i="47"/>
  <c r="N60" i="45"/>
  <c r="AD58" i="28"/>
  <c r="Z58" i="28" s="1"/>
  <c r="L58" i="28" s="1"/>
  <c r="N58" i="28" s="1"/>
  <c r="J58" i="28"/>
  <c r="E43" i="45"/>
  <c r="E23" i="45"/>
  <c r="I19" i="45"/>
  <c r="I70" i="45" s="1"/>
  <c r="F70" i="45"/>
  <c r="X69" i="47"/>
  <c r="C37" i="43"/>
  <c r="C51" i="46"/>
  <c r="F32" i="46" s="1"/>
  <c r="D86" i="33"/>
  <c r="W42" i="1"/>
  <c r="E20" i="9"/>
  <c r="D25" i="9"/>
  <c r="D16" i="39"/>
  <c r="D34" i="39" s="1"/>
  <c r="I38" i="19"/>
  <c r="K38" i="19"/>
  <c r="I34" i="19"/>
  <c r="M34" i="19"/>
  <c r="I33" i="19"/>
  <c r="C11" i="10"/>
  <c r="E11" i="10" s="1"/>
  <c r="F11" i="10" s="1"/>
  <c r="AA48" i="47"/>
  <c r="AJ7" i="47"/>
  <c r="K30" i="19"/>
  <c r="K34" i="19"/>
  <c r="M33" i="19"/>
  <c r="C25" i="9"/>
  <c r="X16" i="9"/>
  <c r="D22" i="10"/>
  <c r="D21" i="10"/>
  <c r="D24" i="10"/>
  <c r="D23" i="10"/>
  <c r="D29" i="10"/>
  <c r="D30" i="10"/>
  <c r="X28" i="9"/>
  <c r="C28" i="9" s="1"/>
  <c r="D13" i="10"/>
  <c r="D19" i="10"/>
  <c r="W65" i="28"/>
  <c r="J87" i="42"/>
  <c r="E7" i="6"/>
  <c r="C69" i="7"/>
  <c r="D25" i="37"/>
  <c r="E25" i="37" s="1"/>
  <c r="F25" i="37" s="1"/>
  <c r="G25" i="37" s="1"/>
  <c r="H25" i="37" s="1"/>
  <c r="I25" i="37" s="1"/>
  <c r="J25" i="37" s="1"/>
  <c r="K25" i="37" s="1"/>
  <c r="L25" i="37" s="1"/>
  <c r="M25" i="37" s="1"/>
  <c r="N25" i="37" s="1"/>
  <c r="O25" i="37" s="1"/>
  <c r="P25" i="37" s="1"/>
  <c r="Q25" i="37" s="1"/>
  <c r="R25" i="37" s="1"/>
  <c r="D53" i="37"/>
  <c r="D21" i="37" s="1"/>
  <c r="E21" i="37" s="1"/>
  <c r="F21" i="37" s="1"/>
  <c r="G21" i="37" s="1"/>
  <c r="H21" i="37" s="1"/>
  <c r="I21" i="37" s="1"/>
  <c r="J21" i="37" s="1"/>
  <c r="K21" i="37" s="1"/>
  <c r="L21" i="37" s="1"/>
  <c r="M21" i="37" s="1"/>
  <c r="N21" i="37" s="1"/>
  <c r="O21" i="37" s="1"/>
  <c r="P21" i="37" s="1"/>
  <c r="Q21" i="37" s="1"/>
  <c r="R21" i="37" s="1"/>
  <c r="S21" i="37" s="1"/>
  <c r="E9" i="39"/>
  <c r="F9" i="39" s="1"/>
  <c r="F15" i="39" s="1"/>
  <c r="F33" i="39" s="1"/>
  <c r="E90" i="42"/>
  <c r="E23" i="42" s="1"/>
  <c r="F23" i="42" s="1"/>
  <c r="G23" i="42" s="1"/>
  <c r="G11" i="42" s="1"/>
  <c r="E25" i="42"/>
  <c r="F25" i="42" s="1"/>
  <c r="F29" i="42" s="1"/>
  <c r="C74" i="7"/>
  <c r="G44" i="7"/>
  <c r="D11" i="8" s="1"/>
  <c r="E11" i="8" s="1"/>
  <c r="F11" i="8" s="1"/>
  <c r="G11" i="8" s="1"/>
  <c r="H11" i="8" s="1"/>
  <c r="AA47" i="47"/>
  <c r="AJ6" i="47"/>
  <c r="I9" i="47"/>
  <c r="S63" i="28"/>
  <c r="S64" i="28" s="1"/>
  <c r="S65" i="28"/>
  <c r="S66" i="28" s="1"/>
  <c r="S67" i="28" s="1"/>
  <c r="S68" i="28" s="1"/>
  <c r="S69" i="28" s="1"/>
  <c r="S70" i="28" s="1"/>
  <c r="S71" i="28" s="1"/>
  <c r="S72" i="28" s="1"/>
  <c r="S73" i="28" s="1"/>
  <c r="S74" i="28" s="1"/>
  <c r="S75" i="28" s="1"/>
  <c r="S62" i="28"/>
  <c r="F44" i="46"/>
  <c r="F17" i="46"/>
  <c r="F18" i="46"/>
  <c r="I30" i="19"/>
  <c r="F17" i="28"/>
  <c r="F35" i="19"/>
  <c r="M43" i="19"/>
  <c r="F43" i="19"/>
  <c r="O43" i="19" s="1"/>
  <c r="Z65" i="28"/>
  <c r="L65" i="28" s="1"/>
  <c r="M37" i="19"/>
  <c r="M25" i="19"/>
  <c r="I25" i="19"/>
  <c r="K25" i="19"/>
  <c r="F36" i="19"/>
  <c r="O36" i="19" s="1"/>
  <c r="F18" i="28"/>
  <c r="F52" i="1"/>
  <c r="F15" i="27"/>
  <c r="M45" i="7"/>
  <c r="M47" i="7" s="1"/>
  <c r="F16" i="39"/>
  <c r="F34" i="39" s="1"/>
  <c r="I44" i="7"/>
  <c r="D10" i="37" s="1"/>
  <c r="D49" i="46"/>
  <c r="D48" i="46"/>
  <c r="B81" i="47"/>
  <c r="E1" i="47" s="1"/>
  <c r="F9" i="46" l="1"/>
  <c r="F38" i="46"/>
  <c r="G13" i="10"/>
  <c r="G14" i="10" s="1"/>
  <c r="G15" i="10" s="1"/>
  <c r="G16" i="10" s="1"/>
  <c r="Y46" i="42"/>
  <c r="D12" i="41"/>
  <c r="W43" i="7"/>
  <c r="F12" i="10"/>
  <c r="Z69" i="28"/>
  <c r="L69" i="28" s="1"/>
  <c r="G14" i="3"/>
  <c r="D15" i="3"/>
  <c r="D23" i="37"/>
  <c r="E23" i="37" s="1"/>
  <c r="E11" i="37" s="1"/>
  <c r="P56" i="28"/>
  <c r="AA56" i="28"/>
  <c r="L58" i="45"/>
  <c r="L49" i="45"/>
  <c r="L40" i="45"/>
  <c r="L36" i="45"/>
  <c r="L57" i="45"/>
  <c r="L48" i="45"/>
  <c r="L39" i="45"/>
  <c r="L37" i="45"/>
  <c r="L65" i="45"/>
  <c r="L56" i="45"/>
  <c r="L47" i="45"/>
  <c r="L30" i="45"/>
  <c r="L29" i="45"/>
  <c r="L63" i="45"/>
  <c r="L55" i="45"/>
  <c r="L45" i="45"/>
  <c r="L31" i="45"/>
  <c r="L62" i="45"/>
  <c r="L54" i="45"/>
  <c r="L44" i="45"/>
  <c r="L32" i="45"/>
  <c r="L61" i="45"/>
  <c r="L53" i="45"/>
  <c r="L43" i="45"/>
  <c r="L33" i="45"/>
  <c r="L42" i="45"/>
  <c r="L41" i="45"/>
  <c r="L34" i="45"/>
  <c r="L35" i="45"/>
  <c r="L60" i="45"/>
  <c r="L59" i="45"/>
  <c r="L51" i="45"/>
  <c r="L50" i="45"/>
  <c r="F20" i="46"/>
  <c r="F27" i="46"/>
  <c r="F41" i="46"/>
  <c r="F48" i="46"/>
  <c r="F12" i="46"/>
  <c r="AA43" i="28"/>
  <c r="P43" i="28"/>
  <c r="U43" i="28" s="1"/>
  <c r="J12" i="23"/>
  <c r="G18" i="21"/>
  <c r="C53" i="46"/>
  <c r="D53" i="46" s="1"/>
  <c r="F30" i="46"/>
  <c r="F15" i="46"/>
  <c r="F33" i="46"/>
  <c r="F40" i="46"/>
  <c r="F47" i="46"/>
  <c r="C65" i="45"/>
  <c r="C34" i="45"/>
  <c r="C15" i="45"/>
  <c r="C49" i="45"/>
  <c r="C55" i="45"/>
  <c r="C70" i="45"/>
  <c r="C62" i="45"/>
  <c r="C25" i="45"/>
  <c r="C58" i="45"/>
  <c r="C57" i="45"/>
  <c r="C45" i="45"/>
  <c r="C56" i="45"/>
  <c r="C44" i="45"/>
  <c r="C17" i="45"/>
  <c r="C40" i="45"/>
  <c r="C48" i="45"/>
  <c r="C37" i="45"/>
  <c r="C47" i="45"/>
  <c r="C27" i="45"/>
  <c r="C59" i="45"/>
  <c r="C32" i="45"/>
  <c r="C39" i="45"/>
  <c r="C29" i="45"/>
  <c r="C38" i="45"/>
  <c r="C53" i="45"/>
  <c r="B71" i="45"/>
  <c r="C36" i="45"/>
  <c r="C50" i="45"/>
  <c r="C23" i="45"/>
  <c r="C31" i="45"/>
  <c r="C10" i="45"/>
  <c r="C30" i="45"/>
  <c r="C35" i="45"/>
  <c r="C60" i="45"/>
  <c r="C41" i="45"/>
  <c r="C14" i="45"/>
  <c r="C22" i="45"/>
  <c r="C54" i="45"/>
  <c r="C21" i="45"/>
  <c r="C18" i="45"/>
  <c r="C33" i="45"/>
  <c r="C11" i="45"/>
  <c r="C24" i="45"/>
  <c r="C20" i="45"/>
  <c r="C43" i="45"/>
  <c r="C26" i="45"/>
  <c r="C13" i="45"/>
  <c r="C63" i="45"/>
  <c r="C51" i="45"/>
  <c r="C42" i="45"/>
  <c r="C19" i="45"/>
  <c r="C61" i="45"/>
  <c r="U56" i="28"/>
  <c r="H36" i="29"/>
  <c r="P54" i="28"/>
  <c r="U54" i="28" s="1"/>
  <c r="AA54" i="28"/>
  <c r="F22" i="46"/>
  <c r="F51" i="46"/>
  <c r="F34" i="46"/>
  <c r="F28" i="46"/>
  <c r="F14" i="46"/>
  <c r="AA58" i="28"/>
  <c r="P58" i="28"/>
  <c r="U58" i="28" s="1"/>
  <c r="F11" i="46"/>
  <c r="F29" i="46"/>
  <c r="F36" i="46"/>
  <c r="F43" i="46"/>
  <c r="F21" i="46"/>
  <c r="G62" i="45"/>
  <c r="G23" i="45"/>
  <c r="G29" i="45"/>
  <c r="G34" i="45"/>
  <c r="G60" i="45"/>
  <c r="G32" i="45"/>
  <c r="G11" i="45"/>
  <c r="G54" i="45"/>
  <c r="G67" i="45"/>
  <c r="G10" i="45"/>
  <c r="G25" i="45"/>
  <c r="G51" i="45"/>
  <c r="G14" i="45"/>
  <c r="G65" i="45"/>
  <c r="G44" i="45"/>
  <c r="G40" i="45"/>
  <c r="G36" i="45"/>
  <c r="G17" i="45"/>
  <c r="G42" i="45"/>
  <c r="G58" i="45"/>
  <c r="G37" i="45"/>
  <c r="F71" i="45"/>
  <c r="G35" i="45"/>
  <c r="G22" i="45"/>
  <c r="G19" i="45"/>
  <c r="G30" i="45"/>
  <c r="G33" i="45"/>
  <c r="G49" i="45"/>
  <c r="G55" i="45"/>
  <c r="G26" i="45"/>
  <c r="G66" i="45"/>
  <c r="G70" i="45"/>
  <c r="G56" i="45"/>
  <c r="G24" i="45"/>
  <c r="G31" i="45"/>
  <c r="G18" i="45"/>
  <c r="G48" i="45"/>
  <c r="G61" i="45"/>
  <c r="G20" i="45"/>
  <c r="G15" i="45"/>
  <c r="G13" i="45"/>
  <c r="G53" i="45"/>
  <c r="G43" i="45"/>
  <c r="G63" i="45"/>
  <c r="G45" i="45"/>
  <c r="G27" i="45"/>
  <c r="G69" i="45"/>
  <c r="G59" i="45"/>
  <c r="G68" i="45"/>
  <c r="G41" i="45"/>
  <c r="G50" i="45"/>
  <c r="G21" i="45"/>
  <c r="G39" i="45"/>
  <c r="G47" i="45"/>
  <c r="G57" i="45"/>
  <c r="J11" i="23"/>
  <c r="F46" i="46"/>
  <c r="F26" i="46"/>
  <c r="F23" i="46"/>
  <c r="F10" i="46"/>
  <c r="F37" i="46"/>
  <c r="P67" i="35"/>
  <c r="P70" i="35" s="1"/>
  <c r="K12" i="21"/>
  <c r="K13" i="21" s="1"/>
  <c r="I78" i="21"/>
  <c r="F16" i="46"/>
  <c r="F31" i="46"/>
  <c r="F39" i="46"/>
  <c r="F45" i="46"/>
  <c r="F52" i="47"/>
  <c r="W41" i="47"/>
  <c r="W46" i="47" s="1"/>
  <c r="W47" i="47" s="1"/>
  <c r="E25" i="28"/>
  <c r="E26" i="28" s="1"/>
  <c r="E23" i="28"/>
  <c r="E24" i="28"/>
  <c r="G88" i="21"/>
  <c r="D51" i="46"/>
  <c r="F49" i="46"/>
  <c r="F24" i="46"/>
  <c r="F19" i="46"/>
  <c r="F13" i="46"/>
  <c r="N60" i="28"/>
  <c r="N50" i="28"/>
  <c r="V110" i="20"/>
  <c r="P52" i="28"/>
  <c r="U52" i="28" s="1"/>
  <c r="AA52" i="28"/>
  <c r="B18" i="32"/>
  <c r="B18" i="34"/>
  <c r="B21" i="33"/>
  <c r="E22" i="42"/>
  <c r="F22" i="42" s="1"/>
  <c r="G22" i="42" s="1"/>
  <c r="W45" i="1"/>
  <c r="E89" i="33"/>
  <c r="E93" i="33"/>
  <c r="E97" i="33"/>
  <c r="E101" i="33"/>
  <c r="E105" i="33"/>
  <c r="E109" i="33"/>
  <c r="E113" i="33"/>
  <c r="E117" i="33"/>
  <c r="E121" i="33"/>
  <c r="E125" i="33"/>
  <c r="E129" i="33"/>
  <c r="E133" i="33"/>
  <c r="E137" i="33"/>
  <c r="E141" i="33"/>
  <c r="E147" i="33"/>
  <c r="E151" i="33"/>
  <c r="E155" i="33"/>
  <c r="E143" i="33"/>
  <c r="E91" i="33"/>
  <c r="E95" i="33"/>
  <c r="E99" i="33"/>
  <c r="E103" i="33"/>
  <c r="E107" i="33"/>
  <c r="E111" i="33"/>
  <c r="E115" i="33"/>
  <c r="E119" i="33"/>
  <c r="E123" i="33"/>
  <c r="E127" i="33"/>
  <c r="E131" i="33"/>
  <c r="E135" i="33"/>
  <c r="E139" i="33"/>
  <c r="E145" i="33"/>
  <c r="E149" i="33"/>
  <c r="E153" i="33"/>
  <c r="E157" i="33"/>
  <c r="F20" i="9"/>
  <c r="E25" i="9"/>
  <c r="D38" i="39"/>
  <c r="D39" i="39" s="1"/>
  <c r="F38" i="39"/>
  <c r="F43" i="39" s="1"/>
  <c r="F7" i="19"/>
  <c r="AA47" i="1"/>
  <c r="E35" i="42"/>
  <c r="D32" i="37"/>
  <c r="E13" i="10"/>
  <c r="E14" i="10" s="1"/>
  <c r="G25" i="42"/>
  <c r="H25" i="42" s="1"/>
  <c r="H29" i="42" s="1"/>
  <c r="H23" i="42"/>
  <c r="H11" i="42" s="1"/>
  <c r="E20" i="42"/>
  <c r="F20" i="42" s="1"/>
  <c r="G20" i="42" s="1"/>
  <c r="H20" i="42" s="1"/>
  <c r="I20" i="42" s="1"/>
  <c r="J20" i="42" s="1"/>
  <c r="K20" i="42" s="1"/>
  <c r="E21" i="42"/>
  <c r="F21" i="42" s="1"/>
  <c r="G21" i="42" s="1"/>
  <c r="H21" i="42" s="1"/>
  <c r="I21" i="42" s="1"/>
  <c r="D24" i="37"/>
  <c r="D20" i="37"/>
  <c r="E20" i="37" s="1"/>
  <c r="F20" i="37" s="1"/>
  <c r="G20" i="37" s="1"/>
  <c r="D26" i="37"/>
  <c r="E26" i="37" s="1"/>
  <c r="F26" i="37" s="1"/>
  <c r="G26" i="37" s="1"/>
  <c r="H26" i="37" s="1"/>
  <c r="I26" i="37" s="1"/>
  <c r="J26" i="37" s="1"/>
  <c r="K26" i="37" s="1"/>
  <c r="L26" i="37" s="1"/>
  <c r="M26" i="37" s="1"/>
  <c r="N26" i="37" s="1"/>
  <c r="O26" i="37" s="1"/>
  <c r="P26" i="37" s="1"/>
  <c r="Q26" i="37" s="1"/>
  <c r="R26" i="37" s="1"/>
  <c r="D22" i="37"/>
  <c r="E22" i="37" s="1"/>
  <c r="F22" i="37" s="1"/>
  <c r="G22" i="37" s="1"/>
  <c r="H22" i="37" s="1"/>
  <c r="I22" i="37" s="1"/>
  <c r="J22" i="37" s="1"/>
  <c r="K22" i="37" s="1"/>
  <c r="L22" i="37" s="1"/>
  <c r="M22" i="37" s="1"/>
  <c r="N22" i="37" s="1"/>
  <c r="O22" i="37" s="1"/>
  <c r="P22" i="37" s="1"/>
  <c r="Q22" i="37" s="1"/>
  <c r="R22" i="37" s="1"/>
  <c r="F11" i="42"/>
  <c r="E26" i="42"/>
  <c r="F26" i="42" s="1"/>
  <c r="G26" i="42" s="1"/>
  <c r="H26" i="42" s="1"/>
  <c r="I26" i="42" s="1"/>
  <c r="J26" i="42" s="1"/>
  <c r="E24" i="42"/>
  <c r="F24" i="42" s="1"/>
  <c r="G24" i="42" s="1"/>
  <c r="H24" i="42" s="1"/>
  <c r="I24" i="42" s="1"/>
  <c r="J24" i="42" s="1"/>
  <c r="K24" i="42" s="1"/>
  <c r="L24" i="42" s="1"/>
  <c r="M24" i="42" s="1"/>
  <c r="N24" i="42" s="1"/>
  <c r="O24" i="42" s="1"/>
  <c r="P24" i="42" s="1"/>
  <c r="Q24" i="42" s="1"/>
  <c r="R24" i="42" s="1"/>
  <c r="S24" i="42" s="1"/>
  <c r="T24" i="42" s="1"/>
  <c r="U24" i="42" s="1"/>
  <c r="V24" i="42" s="1"/>
  <c r="W24" i="42" s="1"/>
  <c r="X24" i="42" s="1"/>
  <c r="S77" i="28"/>
  <c r="S79" i="28" s="1"/>
  <c r="S81" i="28" s="1"/>
  <c r="S76" i="28"/>
  <c r="S78" i="28" s="1"/>
  <c r="S80" i="28" s="1"/>
  <c r="S82" i="28" s="1"/>
  <c r="E34" i="42"/>
  <c r="D31" i="37"/>
  <c r="F45" i="47"/>
  <c r="AJ56" i="47" s="1"/>
  <c r="I35" i="19"/>
  <c r="M35" i="19"/>
  <c r="K35" i="19"/>
  <c r="J43" i="19"/>
  <c r="I43" i="19"/>
  <c r="L43" i="19"/>
  <c r="I36" i="19"/>
  <c r="D50" i="8"/>
  <c r="D83" i="8" s="1"/>
  <c r="D84" i="8" s="1"/>
  <c r="S25" i="37"/>
  <c r="D52" i="46"/>
  <c r="E29" i="42" s="1"/>
  <c r="E57" i="37"/>
  <c r="V17" i="47"/>
  <c r="H88" i="47" s="1"/>
  <c r="F27" i="47" s="1"/>
  <c r="E10" i="37"/>
  <c r="D12" i="37"/>
  <c r="D17" i="8" l="1"/>
  <c r="D14" i="8"/>
  <c r="E10" i="42"/>
  <c r="F10" i="42" s="1"/>
  <c r="D21" i="8"/>
  <c r="D22" i="8"/>
  <c r="I50" i="37"/>
  <c r="L12" i="21"/>
  <c r="J13" i="23" s="1"/>
  <c r="G15" i="3"/>
  <c r="D16" i="3"/>
  <c r="G12" i="41"/>
  <c r="E12" i="41"/>
  <c r="F12" i="41" s="1"/>
  <c r="D13" i="41" s="1"/>
  <c r="F23" i="37"/>
  <c r="F11" i="37" s="1"/>
  <c r="E45" i="47"/>
  <c r="D11" i="37"/>
  <c r="D13" i="37" s="1"/>
  <c r="K14" i="21"/>
  <c r="L13" i="21"/>
  <c r="G19" i="21"/>
  <c r="E30" i="28"/>
  <c r="I10" i="3"/>
  <c r="B20" i="34"/>
  <c r="B23" i="33"/>
  <c r="B20" i="32"/>
  <c r="F56" i="47"/>
  <c r="AJ58" i="47"/>
  <c r="I79" i="21"/>
  <c r="P50" i="28"/>
  <c r="U50" i="28" s="1"/>
  <c r="AA50" i="28"/>
  <c r="G89" i="21"/>
  <c r="AA60" i="28"/>
  <c r="P60" i="28"/>
  <c r="U60" i="28" s="1"/>
  <c r="C67" i="45"/>
  <c r="C69" i="45"/>
  <c r="C66" i="45"/>
  <c r="C68" i="45"/>
  <c r="L36" i="19"/>
  <c r="M36" i="19" s="1"/>
  <c r="W46" i="1"/>
  <c r="J36" i="19" s="1"/>
  <c r="V16" i="1"/>
  <c r="V19" i="1" s="1"/>
  <c r="E159" i="33"/>
  <c r="F25" i="9"/>
  <c r="G20" i="9"/>
  <c r="I25" i="42"/>
  <c r="J25" i="42" s="1"/>
  <c r="G29" i="42"/>
  <c r="F13" i="10"/>
  <c r="F14" i="10" s="1"/>
  <c r="E32" i="37"/>
  <c r="F32" i="37" s="1"/>
  <c r="G32" i="37" s="1"/>
  <c r="H32" i="37" s="1"/>
  <c r="I32" i="37" s="1"/>
  <c r="J32" i="37" s="1"/>
  <c r="K32" i="37" s="1"/>
  <c r="L32" i="37" s="1"/>
  <c r="M32" i="37" s="1"/>
  <c r="N32" i="37" s="1"/>
  <c r="O32" i="37" s="1"/>
  <c r="P32" i="37" s="1"/>
  <c r="Q32" i="37" s="1"/>
  <c r="R32" i="37" s="1"/>
  <c r="D49" i="37"/>
  <c r="F35" i="42"/>
  <c r="G35" i="42" s="1"/>
  <c r="H35" i="42" s="1"/>
  <c r="I35" i="42" s="1"/>
  <c r="J35" i="42" s="1"/>
  <c r="K35" i="42" s="1"/>
  <c r="L35" i="42" s="1"/>
  <c r="M35" i="42" s="1"/>
  <c r="N35" i="42" s="1"/>
  <c r="O35" i="42" s="1"/>
  <c r="P35" i="42" s="1"/>
  <c r="Q35" i="42" s="1"/>
  <c r="R35" i="42" s="1"/>
  <c r="S35" i="42" s="1"/>
  <c r="T35" i="42" s="1"/>
  <c r="U35" i="42" s="1"/>
  <c r="V35" i="42" s="1"/>
  <c r="W35" i="42" s="1"/>
  <c r="X35" i="42" s="1"/>
  <c r="E86" i="42"/>
  <c r="F14" i="28"/>
  <c r="I23" i="42"/>
  <c r="J23" i="42" s="1"/>
  <c r="F30" i="42"/>
  <c r="S22" i="37"/>
  <c r="Y24" i="42"/>
  <c r="S26" i="37"/>
  <c r="D28" i="37"/>
  <c r="E30" i="42"/>
  <c r="I51" i="37"/>
  <c r="E24" i="37"/>
  <c r="F28" i="42"/>
  <c r="E31" i="37"/>
  <c r="F31" i="37" s="1"/>
  <c r="G31" i="37" s="1"/>
  <c r="H31" i="37" s="1"/>
  <c r="I31" i="37" s="1"/>
  <c r="J31" i="37" s="1"/>
  <c r="K31" i="37" s="1"/>
  <c r="L31" i="37" s="1"/>
  <c r="D48" i="37"/>
  <c r="F34" i="42"/>
  <c r="G34" i="42" s="1"/>
  <c r="H34" i="42" s="1"/>
  <c r="I34" i="42" s="1"/>
  <c r="J34" i="42" s="1"/>
  <c r="K34" i="42" s="1"/>
  <c r="L34" i="42" s="1"/>
  <c r="M34" i="42" s="1"/>
  <c r="E85" i="42"/>
  <c r="R83" i="28"/>
  <c r="R84" i="28" s="1"/>
  <c r="F32" i="19"/>
  <c r="M32" i="19" s="1"/>
  <c r="P43" i="19"/>
  <c r="I11" i="2"/>
  <c r="F48" i="19"/>
  <c r="O48" i="19" s="1"/>
  <c r="E49" i="8"/>
  <c r="E50" i="8" s="1"/>
  <c r="E83" i="8" s="1"/>
  <c r="H4" i="13"/>
  <c r="D10" i="13" s="1"/>
  <c r="J21" i="42"/>
  <c r="H22" i="42"/>
  <c r="G28" i="42"/>
  <c r="G30" i="42"/>
  <c r="F10" i="37"/>
  <c r="E12" i="37"/>
  <c r="E13" i="37" s="1"/>
  <c r="R5" i="45"/>
  <c r="H20" i="37"/>
  <c r="AJ27" i="47"/>
  <c r="F29" i="47"/>
  <c r="AJ29" i="47" s="1"/>
  <c r="K26" i="42"/>
  <c r="L20" i="42"/>
  <c r="D18" i="8" l="1"/>
  <c r="E11" i="42"/>
  <c r="E13" i="42" s="1"/>
  <c r="E14" i="42" s="1"/>
  <c r="E16" i="42" s="1"/>
  <c r="E32" i="42" s="1"/>
  <c r="E14" i="8"/>
  <c r="E17" i="8"/>
  <c r="D28" i="8"/>
  <c r="E21" i="8"/>
  <c r="E22" i="8"/>
  <c r="G23" i="37"/>
  <c r="G11" i="37" s="1"/>
  <c r="D17" i="3"/>
  <c r="G16" i="3"/>
  <c r="E13" i="41"/>
  <c r="F13" i="41" s="1"/>
  <c r="D14" i="41" s="1"/>
  <c r="G14" i="41" s="1"/>
  <c r="G13" i="41"/>
  <c r="S32" i="37"/>
  <c r="V38" i="1"/>
  <c r="I80" i="21"/>
  <c r="E31" i="28"/>
  <c r="I11" i="3"/>
  <c r="L10" i="29"/>
  <c r="G90" i="21"/>
  <c r="G20" i="21"/>
  <c r="Y35" i="42"/>
  <c r="J14" i="23"/>
  <c r="B22" i="34"/>
  <c r="B22" i="32"/>
  <c r="B25" i="33"/>
  <c r="L14" i="21"/>
  <c r="K15" i="21"/>
  <c r="K36" i="19"/>
  <c r="P36" i="19"/>
  <c r="H20" i="9"/>
  <c r="G25" i="9"/>
  <c r="I29" i="42"/>
  <c r="V17" i="1"/>
  <c r="I11" i="42"/>
  <c r="F24" i="37"/>
  <c r="E28" i="37"/>
  <c r="M44" i="42"/>
  <c r="N34" i="42"/>
  <c r="M31" i="37"/>
  <c r="L41" i="37"/>
  <c r="S83" i="28"/>
  <c r="K32" i="19"/>
  <c r="K48" i="19"/>
  <c r="M48" i="19"/>
  <c r="I48" i="19"/>
  <c r="F49" i="8"/>
  <c r="F50" i="8" s="1"/>
  <c r="F83" i="8" s="1"/>
  <c r="F33" i="47"/>
  <c r="F30" i="47"/>
  <c r="F34" i="47"/>
  <c r="AJ31" i="47" s="1"/>
  <c r="E14" i="37"/>
  <c r="E16" i="37" s="1"/>
  <c r="K60" i="45"/>
  <c r="K44" i="45"/>
  <c r="K50" i="45"/>
  <c r="K33" i="45"/>
  <c r="K54" i="45"/>
  <c r="K59" i="45"/>
  <c r="K37" i="45"/>
  <c r="K35" i="45"/>
  <c r="K49" i="45"/>
  <c r="K42" i="45"/>
  <c r="K31" i="45"/>
  <c r="K30" i="45"/>
  <c r="K39" i="45"/>
  <c r="K36" i="45"/>
  <c r="M20" i="42"/>
  <c r="D14" i="37"/>
  <c r="D16" i="37" s="1"/>
  <c r="D30" i="37" s="1"/>
  <c r="K21" i="42"/>
  <c r="L26" i="42"/>
  <c r="I22" i="42"/>
  <c r="H28" i="42"/>
  <c r="H30" i="42"/>
  <c r="G10" i="37"/>
  <c r="F12" i="37"/>
  <c r="K23" i="42"/>
  <c r="J11" i="42"/>
  <c r="J29" i="42"/>
  <c r="K25" i="42"/>
  <c r="I20" i="37"/>
  <c r="F12" i="42"/>
  <c r="F13" i="42" s="1"/>
  <c r="G10" i="42"/>
  <c r="H23" i="37" l="1"/>
  <c r="I23" i="37" s="1"/>
  <c r="F25" i="1"/>
  <c r="D30" i="8"/>
  <c r="D86" i="8" s="1"/>
  <c r="E18" i="8"/>
  <c r="F14" i="8"/>
  <c r="F17" i="8"/>
  <c r="E28" i="8"/>
  <c r="G49" i="8"/>
  <c r="G50" i="8" s="1"/>
  <c r="G83" i="8" s="1"/>
  <c r="F21" i="8"/>
  <c r="F22" i="8"/>
  <c r="G17" i="3"/>
  <c r="D18" i="3"/>
  <c r="G91" i="21"/>
  <c r="K16" i="21"/>
  <c r="L15" i="21"/>
  <c r="J15" i="23"/>
  <c r="B24" i="32"/>
  <c r="B24" i="34"/>
  <c r="B27" i="33"/>
  <c r="H11" i="37"/>
  <c r="G21" i="21"/>
  <c r="I81" i="21"/>
  <c r="L11" i="29"/>
  <c r="E32" i="28"/>
  <c r="I12" i="3"/>
  <c r="I20" i="9"/>
  <c r="H25" i="9"/>
  <c r="AJ19" i="47"/>
  <c r="E16" i="1"/>
  <c r="F34" i="1"/>
  <c r="N79" i="45"/>
  <c r="D84" i="7"/>
  <c r="D85" i="7" s="1"/>
  <c r="E30" i="37"/>
  <c r="E37" i="37" s="1"/>
  <c r="G24" i="37"/>
  <c r="F28" i="37"/>
  <c r="E27" i="47"/>
  <c r="E28" i="47" s="1"/>
  <c r="N31" i="37"/>
  <c r="M41" i="37"/>
  <c r="N44" i="42"/>
  <c r="O34" i="42"/>
  <c r="G18" i="46"/>
  <c r="AJ30" i="47"/>
  <c r="AJ32" i="47" s="1"/>
  <c r="F39" i="47"/>
  <c r="F14" i="42"/>
  <c r="F16" i="42" s="1"/>
  <c r="F32" i="42" s="1"/>
  <c r="K29" i="42"/>
  <c r="L25" i="42"/>
  <c r="J22" i="42"/>
  <c r="I28" i="42"/>
  <c r="I30" i="42"/>
  <c r="N20" i="42"/>
  <c r="G12" i="37"/>
  <c r="G13" i="37" s="1"/>
  <c r="H10" i="37"/>
  <c r="L21" i="42"/>
  <c r="F13" i="37"/>
  <c r="D36" i="37"/>
  <c r="D37" i="37"/>
  <c r="D34" i="37"/>
  <c r="L23" i="42"/>
  <c r="K11" i="42"/>
  <c r="J20" i="37"/>
  <c r="E39" i="42"/>
  <c r="E59" i="42"/>
  <c r="E37" i="42"/>
  <c r="E40" i="42"/>
  <c r="M26" i="42"/>
  <c r="H10" i="42"/>
  <c r="G12" i="42"/>
  <c r="G13" i="42" s="1"/>
  <c r="J23" i="37"/>
  <c r="I11" i="37"/>
  <c r="K29" i="45" l="1"/>
  <c r="F20" i="19"/>
  <c r="O20" i="19" s="1"/>
  <c r="F26" i="1"/>
  <c r="F22" i="19" s="1"/>
  <c r="O22" i="19" s="1"/>
  <c r="C31" i="40"/>
  <c r="C34" i="40" s="1"/>
  <c r="F30" i="1"/>
  <c r="C37" i="40" s="1"/>
  <c r="I37" i="40" s="1"/>
  <c r="E30" i="8"/>
  <c r="E86" i="8" s="1"/>
  <c r="H49" i="8"/>
  <c r="H50" i="8" s="1"/>
  <c r="H83" i="8" s="1"/>
  <c r="F18" i="8"/>
  <c r="G14" i="8"/>
  <c r="G17" i="8"/>
  <c r="F28" i="8"/>
  <c r="G21" i="8"/>
  <c r="G22" i="8"/>
  <c r="G18" i="3"/>
  <c r="D19" i="3"/>
  <c r="F46" i="19"/>
  <c r="O46" i="19" s="1"/>
  <c r="F23" i="28"/>
  <c r="G22" i="21"/>
  <c r="B26" i="34"/>
  <c r="B26" i="32"/>
  <c r="B29" i="33"/>
  <c r="L12" i="29"/>
  <c r="I13" i="3"/>
  <c r="E34" i="28"/>
  <c r="E33" i="28"/>
  <c r="J16" i="23"/>
  <c r="K17" i="21"/>
  <c r="L16" i="21"/>
  <c r="G92" i="21"/>
  <c r="I82" i="21"/>
  <c r="E34" i="37"/>
  <c r="J20" i="9"/>
  <c r="I25" i="9"/>
  <c r="E19" i="47"/>
  <c r="H19" i="47" s="1"/>
  <c r="H20" i="47" s="1"/>
  <c r="H72" i="47" s="1"/>
  <c r="P100" i="23"/>
  <c r="F17" i="19"/>
  <c r="M17" i="19" s="1"/>
  <c r="I14" i="2"/>
  <c r="M20" i="19"/>
  <c r="F33" i="1"/>
  <c r="V37" i="1"/>
  <c r="F27" i="19"/>
  <c r="O27" i="19" s="1"/>
  <c r="G6" i="29"/>
  <c r="E36" i="37"/>
  <c r="Y19" i="47"/>
  <c r="U37" i="47"/>
  <c r="H90" i="47"/>
  <c r="E63" i="47"/>
  <c r="H24" i="37"/>
  <c r="G28" i="37"/>
  <c r="N41" i="37"/>
  <c r="O31" i="37"/>
  <c r="P34" i="42"/>
  <c r="O44" i="42"/>
  <c r="V22" i="1"/>
  <c r="H82" i="1" s="1"/>
  <c r="F59" i="42"/>
  <c r="F39" i="42"/>
  <c r="F40" i="42"/>
  <c r="F37" i="42"/>
  <c r="F48" i="42" s="1"/>
  <c r="G14" i="42"/>
  <c r="G16" i="42" s="1"/>
  <c r="G32" i="42" s="1"/>
  <c r="M23" i="42"/>
  <c r="L11" i="42"/>
  <c r="I10" i="42"/>
  <c r="H12" i="42"/>
  <c r="H13" i="42" s="1"/>
  <c r="F14" i="37"/>
  <c r="M21" i="42"/>
  <c r="K22" i="42"/>
  <c r="J28" i="42"/>
  <c r="J30" i="42"/>
  <c r="I10" i="37"/>
  <c r="H12" i="37"/>
  <c r="H13" i="37" s="1"/>
  <c r="G14" i="37"/>
  <c r="G16" i="37" s="1"/>
  <c r="J11" i="37"/>
  <c r="K23" i="37"/>
  <c r="K20" i="37"/>
  <c r="O20" i="42"/>
  <c r="N26" i="42"/>
  <c r="M25" i="42"/>
  <c r="L29" i="42"/>
  <c r="E48" i="42"/>
  <c r="I22" i="19" l="1"/>
  <c r="C38" i="40"/>
  <c r="I38" i="40" s="1"/>
  <c r="C42" i="20"/>
  <c r="F63" i="20" s="1"/>
  <c r="C54" i="20" s="1"/>
  <c r="K22" i="19"/>
  <c r="H17" i="8"/>
  <c r="H14" i="8"/>
  <c r="I20" i="19"/>
  <c r="K20" i="19"/>
  <c r="F31" i="1"/>
  <c r="C43" i="20" s="1"/>
  <c r="C109" i="20" s="1"/>
  <c r="E109" i="20" s="1"/>
  <c r="G109" i="20" s="1"/>
  <c r="M22" i="19"/>
  <c r="F10" i="27"/>
  <c r="H22" i="8"/>
  <c r="H21" i="8"/>
  <c r="F30" i="8"/>
  <c r="F86" i="8" s="1"/>
  <c r="D14" i="43"/>
  <c r="D16" i="43" s="1"/>
  <c r="E16" i="43" s="1"/>
  <c r="D37" i="43" s="1"/>
  <c r="E37" i="43" s="1"/>
  <c r="C47" i="20"/>
  <c r="C108" i="20" s="1"/>
  <c r="E108" i="20" s="1"/>
  <c r="J108" i="20" s="1"/>
  <c r="F23" i="19"/>
  <c r="O23" i="19" s="1"/>
  <c r="G18" i="8"/>
  <c r="G28" i="8"/>
  <c r="G19" i="3"/>
  <c r="D20" i="3"/>
  <c r="G7" i="41"/>
  <c r="K46" i="19"/>
  <c r="I46" i="19"/>
  <c r="M46" i="19"/>
  <c r="C107" i="20"/>
  <c r="E107" i="20" s="1"/>
  <c r="H107" i="20" s="1"/>
  <c r="J17" i="23"/>
  <c r="K18" i="21"/>
  <c r="L17" i="21"/>
  <c r="B28" i="34"/>
  <c r="B28" i="32"/>
  <c r="B31" i="33"/>
  <c r="I83" i="21"/>
  <c r="G23" i="21"/>
  <c r="G93" i="21"/>
  <c r="L13" i="29"/>
  <c r="I14" i="3"/>
  <c r="E35" i="28"/>
  <c r="J25" i="9"/>
  <c r="K20" i="9"/>
  <c r="F16" i="19"/>
  <c r="N100" i="23"/>
  <c r="F10" i="28"/>
  <c r="I16" i="2"/>
  <c r="I20" i="2" s="1"/>
  <c r="W12" i="9"/>
  <c r="K27" i="19"/>
  <c r="I27" i="19"/>
  <c r="M27" i="19"/>
  <c r="F26" i="19"/>
  <c r="O26" i="19" s="1"/>
  <c r="F11" i="28"/>
  <c r="H34" i="1"/>
  <c r="F14" i="27"/>
  <c r="G17" i="29"/>
  <c r="G14" i="29"/>
  <c r="G27" i="29"/>
  <c r="G18" i="29"/>
  <c r="G15" i="29"/>
  <c r="G11" i="29"/>
  <c r="G10" i="29"/>
  <c r="G26" i="29"/>
  <c r="G12" i="29"/>
  <c r="G22" i="29"/>
  <c r="G23" i="29"/>
  <c r="G21" i="29"/>
  <c r="G20" i="29"/>
  <c r="G24" i="29"/>
  <c r="G19" i="29"/>
  <c r="G13" i="29"/>
  <c r="G16" i="29"/>
  <c r="G25" i="29"/>
  <c r="K78" i="45"/>
  <c r="G30" i="37"/>
  <c r="G36" i="37" s="1"/>
  <c r="I24" i="37"/>
  <c r="H28" i="37"/>
  <c r="P44" i="42"/>
  <c r="Q34" i="42"/>
  <c r="O41" i="37"/>
  <c r="P31" i="37"/>
  <c r="F44" i="19"/>
  <c r="O44" i="19" s="1"/>
  <c r="C61" i="20"/>
  <c r="C60" i="20"/>
  <c r="C56" i="20"/>
  <c r="C53" i="20"/>
  <c r="C58" i="20"/>
  <c r="C55" i="20"/>
  <c r="C57" i="20"/>
  <c r="H14" i="37"/>
  <c r="H16" i="37" s="1"/>
  <c r="H14" i="42"/>
  <c r="H16" i="42" s="1"/>
  <c r="H32" i="42" s="1"/>
  <c r="P20" i="42"/>
  <c r="M11" i="42"/>
  <c r="N23" i="42"/>
  <c r="I12" i="37"/>
  <c r="I13" i="37" s="1"/>
  <c r="J10" i="37"/>
  <c r="L22" i="42"/>
  <c r="K28" i="42"/>
  <c r="K30" i="42"/>
  <c r="J10" i="42"/>
  <c r="I12" i="42"/>
  <c r="I13" i="42" s="1"/>
  <c r="G59" i="42"/>
  <c r="G37" i="42"/>
  <c r="G40" i="42"/>
  <c r="G39" i="42"/>
  <c r="M29" i="42"/>
  <c r="N25" i="42"/>
  <c r="E50" i="42"/>
  <c r="E52" i="42" s="1"/>
  <c r="L20" i="37"/>
  <c r="L23" i="37"/>
  <c r="K11" i="37"/>
  <c r="N21" i="42"/>
  <c r="F16" i="37"/>
  <c r="F30" i="37" s="1"/>
  <c r="F50" i="42"/>
  <c r="F52" i="42" s="1"/>
  <c r="O26" i="42"/>
  <c r="F36" i="1" l="1"/>
  <c r="N109" i="20"/>
  <c r="P109" i="20"/>
  <c r="O109" i="20"/>
  <c r="I109" i="20"/>
  <c r="F11" i="27"/>
  <c r="F19" i="27" s="1"/>
  <c r="M109" i="20"/>
  <c r="F109" i="20"/>
  <c r="H109" i="20"/>
  <c r="V109" i="20" s="1"/>
  <c r="C59" i="20"/>
  <c r="F24" i="19"/>
  <c r="O24" i="19" s="1"/>
  <c r="K109" i="20"/>
  <c r="C36" i="40"/>
  <c r="I36" i="40" s="1"/>
  <c r="L109" i="20"/>
  <c r="J109" i="20"/>
  <c r="Q109" i="20"/>
  <c r="H28" i="8"/>
  <c r="H18" i="8"/>
  <c r="M23" i="19"/>
  <c r="E14" i="43"/>
  <c r="D35" i="43" s="1"/>
  <c r="E35" i="43" s="1"/>
  <c r="P108" i="20"/>
  <c r="O108" i="20"/>
  <c r="M108" i="20"/>
  <c r="Q108" i="20"/>
  <c r="H108" i="20"/>
  <c r="F108" i="20"/>
  <c r="G108" i="20"/>
  <c r="L108" i="20"/>
  <c r="K108" i="20"/>
  <c r="I108" i="20"/>
  <c r="N108" i="20"/>
  <c r="K23" i="19"/>
  <c r="C39" i="40"/>
  <c r="H19" i="40" s="1"/>
  <c r="I19" i="40" s="1"/>
  <c r="I23" i="19"/>
  <c r="H30" i="37"/>
  <c r="H36" i="37" s="1"/>
  <c r="G30" i="8"/>
  <c r="G86" i="8" s="1"/>
  <c r="F107" i="20"/>
  <c r="F112" i="20" s="1"/>
  <c r="F119" i="20" s="1"/>
  <c r="K107" i="20"/>
  <c r="I107" i="20"/>
  <c r="D21" i="3"/>
  <c r="G20" i="3"/>
  <c r="M107" i="20"/>
  <c r="M112" i="20" s="1"/>
  <c r="M119" i="20" s="1"/>
  <c r="Q107" i="20"/>
  <c r="P107" i="20"/>
  <c r="C46" i="7"/>
  <c r="K32" i="7"/>
  <c r="I44" i="19"/>
  <c r="K44" i="19"/>
  <c r="M44" i="19"/>
  <c r="O107" i="20"/>
  <c r="L107" i="20"/>
  <c r="N107" i="20"/>
  <c r="G107" i="20"/>
  <c r="J107" i="20"/>
  <c r="J112" i="20" s="1"/>
  <c r="J119" i="20" s="1"/>
  <c r="G94" i="21"/>
  <c r="B30" i="34"/>
  <c r="B30" i="32"/>
  <c r="B33" i="33"/>
  <c r="J18" i="23"/>
  <c r="I15" i="3"/>
  <c r="E36" i="28"/>
  <c r="E37" i="28" s="1"/>
  <c r="L14" i="29"/>
  <c r="G24" i="21"/>
  <c r="K19" i="21"/>
  <c r="L18" i="21"/>
  <c r="I84" i="21"/>
  <c r="G37" i="37"/>
  <c r="K21" i="13"/>
  <c r="K18" i="13"/>
  <c r="K20" i="13"/>
  <c r="K22" i="13"/>
  <c r="E28" i="42"/>
  <c r="H67" i="47"/>
  <c r="L20" i="9"/>
  <c r="K25" i="9"/>
  <c r="K16" i="2"/>
  <c r="I24" i="2"/>
  <c r="I26" i="2" s="1"/>
  <c r="I30" i="2" s="1"/>
  <c r="J12" i="9"/>
  <c r="J22" i="9" s="1"/>
  <c r="P12" i="9"/>
  <c r="P22" i="9" s="1"/>
  <c r="R12" i="9"/>
  <c r="R22" i="9" s="1"/>
  <c r="G12" i="9"/>
  <c r="G22" i="9" s="1"/>
  <c r="E12" i="9"/>
  <c r="E22" i="9" s="1"/>
  <c r="U12" i="9"/>
  <c r="U22" i="9" s="1"/>
  <c r="L12" i="9"/>
  <c r="L22" i="9" s="1"/>
  <c r="T12" i="9"/>
  <c r="T22" i="9" s="1"/>
  <c r="F12" i="9"/>
  <c r="F22" i="9" s="1"/>
  <c r="D12" i="9"/>
  <c r="D22" i="9" s="1"/>
  <c r="N12" i="9"/>
  <c r="N22" i="9" s="1"/>
  <c r="V12" i="9"/>
  <c r="V22" i="9" s="1"/>
  <c r="K12" i="9"/>
  <c r="K22" i="9" s="1"/>
  <c r="O12" i="9"/>
  <c r="O22" i="9" s="1"/>
  <c r="C12" i="9"/>
  <c r="H12" i="9"/>
  <c r="H22" i="9" s="1"/>
  <c r="S12" i="9"/>
  <c r="S22" i="9" s="1"/>
  <c r="M12" i="9"/>
  <c r="M22" i="9" s="1"/>
  <c r="I12" i="9"/>
  <c r="I22" i="9" s="1"/>
  <c r="Q12" i="9"/>
  <c r="Q22" i="9" s="1"/>
  <c r="G17" i="36"/>
  <c r="O16" i="19"/>
  <c r="M16" i="19"/>
  <c r="I16" i="19"/>
  <c r="K16" i="19"/>
  <c r="G36" i="29"/>
  <c r="M26" i="19"/>
  <c r="I26" i="19"/>
  <c r="K26" i="19"/>
  <c r="G21" i="36"/>
  <c r="G34" i="37"/>
  <c r="J24" i="37"/>
  <c r="I28" i="37"/>
  <c r="F21" i="19"/>
  <c r="O21" i="19" s="1"/>
  <c r="R34" i="42"/>
  <c r="Q44" i="42"/>
  <c r="P41" i="37"/>
  <c r="Q31" i="37"/>
  <c r="E9" i="6"/>
  <c r="E12" i="6" s="1"/>
  <c r="E14" i="6" s="1"/>
  <c r="F41" i="20"/>
  <c r="C30" i="20" s="1"/>
  <c r="C95" i="20" s="1"/>
  <c r="E95" i="20" s="1"/>
  <c r="V95" i="20" s="1"/>
  <c r="F27" i="1"/>
  <c r="H112" i="20"/>
  <c r="H119" i="20" s="1"/>
  <c r="F53" i="42"/>
  <c r="F54" i="42" s="1"/>
  <c r="H40" i="42"/>
  <c r="H59" i="42"/>
  <c r="H39" i="42"/>
  <c r="H37" i="42"/>
  <c r="H48" i="42" s="1"/>
  <c r="K10" i="42"/>
  <c r="J12" i="42"/>
  <c r="J13" i="42" s="1"/>
  <c r="C63" i="20"/>
  <c r="I14" i="42"/>
  <c r="I16" i="42" s="1"/>
  <c r="I32" i="42" s="1"/>
  <c r="O21" i="42"/>
  <c r="M20" i="37"/>
  <c r="E53" i="42"/>
  <c r="E54" i="42" s="1"/>
  <c r="O23" i="42"/>
  <c r="N11" i="42"/>
  <c r="G48" i="42"/>
  <c r="M22" i="42"/>
  <c r="L28" i="42"/>
  <c r="L30" i="42"/>
  <c r="K10" i="37"/>
  <c r="J12" i="37"/>
  <c r="J13" i="37" s="1"/>
  <c r="F36" i="37"/>
  <c r="F34" i="37"/>
  <c r="F37" i="37"/>
  <c r="N29" i="42"/>
  <c r="O25" i="42"/>
  <c r="I14" i="37"/>
  <c r="I16" i="37" s="1"/>
  <c r="P26" i="42"/>
  <c r="M23" i="37"/>
  <c r="L11" i="37"/>
  <c r="Q20" i="42"/>
  <c r="I24" i="19" l="1"/>
  <c r="M24" i="19"/>
  <c r="K24" i="19"/>
  <c r="H30" i="8"/>
  <c r="H86" i="8" s="1"/>
  <c r="H34" i="37"/>
  <c r="H37" i="37"/>
  <c r="K112" i="20"/>
  <c r="K119" i="20" s="1"/>
  <c r="V108" i="20"/>
  <c r="N112" i="20"/>
  <c r="N119" i="20" s="1"/>
  <c r="L112" i="20"/>
  <c r="L119" i="20" s="1"/>
  <c r="H11" i="40"/>
  <c r="I11" i="40" s="1"/>
  <c r="O112" i="20"/>
  <c r="O119" i="20" s="1"/>
  <c r="F4" i="2"/>
  <c r="P112" i="20"/>
  <c r="P119" i="20" s="1"/>
  <c r="I112" i="20"/>
  <c r="I119" i="20" s="1"/>
  <c r="Q112" i="20"/>
  <c r="Q119" i="20" s="1"/>
  <c r="G112" i="20"/>
  <c r="G119" i="20" s="1"/>
  <c r="H16" i="40"/>
  <c r="I16" i="40" s="1"/>
  <c r="H25" i="40"/>
  <c r="I25" i="40" s="1"/>
  <c r="H10" i="40"/>
  <c r="I10" i="40" s="1"/>
  <c r="H23" i="40"/>
  <c r="I23" i="40" s="1"/>
  <c r="C42" i="40"/>
  <c r="H7" i="40"/>
  <c r="I7" i="40" s="1"/>
  <c r="H6" i="40"/>
  <c r="I6" i="40" s="1"/>
  <c r="H8" i="40"/>
  <c r="I8" i="40" s="1"/>
  <c r="H12" i="40"/>
  <c r="I12" i="40" s="1"/>
  <c r="H13" i="40"/>
  <c r="I13" i="40" s="1"/>
  <c r="H9" i="40"/>
  <c r="I9" i="40" s="1"/>
  <c r="C44" i="40"/>
  <c r="C45" i="40" s="1"/>
  <c r="H21" i="40"/>
  <c r="I21" i="40" s="1"/>
  <c r="G21" i="3"/>
  <c r="D22" i="3"/>
  <c r="G22" i="3" s="1"/>
  <c r="V107" i="20"/>
  <c r="M21" i="19"/>
  <c r="C26" i="20"/>
  <c r="C91" i="20" s="1"/>
  <c r="E91" i="20" s="1"/>
  <c r="V91" i="20" s="1"/>
  <c r="I85" i="21"/>
  <c r="J19" i="23"/>
  <c r="K20" i="21"/>
  <c r="L19" i="21"/>
  <c r="G25" i="21"/>
  <c r="E38" i="28"/>
  <c r="I16" i="3"/>
  <c r="L15" i="29"/>
  <c r="B35" i="33"/>
  <c r="B32" i="34"/>
  <c r="B32" i="32"/>
  <c r="G95" i="21"/>
  <c r="AJ43" i="47"/>
  <c r="AJ48" i="47" s="1"/>
  <c r="H69" i="47"/>
  <c r="F98" i="47" s="1"/>
  <c r="D11" i="13"/>
  <c r="K19" i="13" s="1"/>
  <c r="K24" i="13" s="1"/>
  <c r="D9" i="13"/>
  <c r="F45" i="19"/>
  <c r="O45" i="19" s="1"/>
  <c r="G81" i="28"/>
  <c r="H81" i="28" s="1"/>
  <c r="U81" i="28" s="1"/>
  <c r="D42" i="13"/>
  <c r="D41" i="13"/>
  <c r="D20" i="13"/>
  <c r="D23" i="13"/>
  <c r="D21" i="13"/>
  <c r="D22" i="13"/>
  <c r="D18" i="13"/>
  <c r="D19" i="13"/>
  <c r="D24" i="13"/>
  <c r="D32" i="13"/>
  <c r="D33" i="13"/>
  <c r="D34" i="13"/>
  <c r="D31" i="13"/>
  <c r="S20" i="9"/>
  <c r="M20" i="9"/>
  <c r="L25" i="9"/>
  <c r="M57" i="19"/>
  <c r="M63" i="19" s="1"/>
  <c r="G7" i="36"/>
  <c r="M76" i="19"/>
  <c r="Y12" i="9"/>
  <c r="C22" i="9"/>
  <c r="W22" i="9" s="1"/>
  <c r="X12" i="9"/>
  <c r="C32" i="20"/>
  <c r="C97" i="20" s="1"/>
  <c r="E97" i="20" s="1"/>
  <c r="V97" i="20" s="1"/>
  <c r="C27" i="20"/>
  <c r="C92" i="20" s="1"/>
  <c r="E92" i="20" s="1"/>
  <c r="V92" i="20" s="1"/>
  <c r="C28" i="20"/>
  <c r="C93" i="20" s="1"/>
  <c r="E93" i="20" s="1"/>
  <c r="V93" i="20" s="1"/>
  <c r="C15" i="20"/>
  <c r="C80" i="20" s="1"/>
  <c r="E80" i="20" s="1"/>
  <c r="V80" i="20" s="1"/>
  <c r="I30" i="37"/>
  <c r="I34" i="37" s="1"/>
  <c r="K24" i="37"/>
  <c r="J28" i="37"/>
  <c r="C6" i="20"/>
  <c r="C71" i="20" s="1"/>
  <c r="E71" i="20" s="1"/>
  <c r="V71" i="20" s="1"/>
  <c r="C35" i="20"/>
  <c r="C4" i="20"/>
  <c r="C69" i="20" s="1"/>
  <c r="C24" i="20"/>
  <c r="C89" i="20" s="1"/>
  <c r="E89" i="20" s="1"/>
  <c r="V89" i="20" s="1"/>
  <c r="K21" i="19"/>
  <c r="C33" i="20"/>
  <c r="C37" i="20"/>
  <c r="C102" i="20" s="1"/>
  <c r="E102" i="20" s="1"/>
  <c r="V102" i="20" s="1"/>
  <c r="C13" i="20"/>
  <c r="C78" i="20" s="1"/>
  <c r="E78" i="20" s="1"/>
  <c r="V78" i="20" s="1"/>
  <c r="C14" i="20"/>
  <c r="C79" i="20" s="1"/>
  <c r="E79" i="20" s="1"/>
  <c r="V79" i="20" s="1"/>
  <c r="C21" i="20"/>
  <c r="C86" i="20" s="1"/>
  <c r="E86" i="20" s="1"/>
  <c r="V86" i="20" s="1"/>
  <c r="C36" i="20"/>
  <c r="C101" i="20" s="1"/>
  <c r="E101" i="20" s="1"/>
  <c r="V101" i="20" s="1"/>
  <c r="C9" i="20"/>
  <c r="C74" i="20" s="1"/>
  <c r="E74" i="20" s="1"/>
  <c r="V74" i="20" s="1"/>
  <c r="C12" i="20"/>
  <c r="C77" i="20" s="1"/>
  <c r="E77" i="20" s="1"/>
  <c r="V77" i="20" s="1"/>
  <c r="C11" i="20"/>
  <c r="C76" i="20" s="1"/>
  <c r="C127" i="20" s="1"/>
  <c r="C131" i="20" s="1"/>
  <c r="C5" i="20"/>
  <c r="C70" i="20" s="1"/>
  <c r="E70" i="20" s="1"/>
  <c r="V70" i="20" s="1"/>
  <c r="C20" i="20"/>
  <c r="C85" i="20" s="1"/>
  <c r="E85" i="20" s="1"/>
  <c r="V85" i="20" s="1"/>
  <c r="C22" i="20"/>
  <c r="C87" i="20" s="1"/>
  <c r="E87" i="20" s="1"/>
  <c r="V87" i="20" s="1"/>
  <c r="C29" i="20"/>
  <c r="C94" i="20" s="1"/>
  <c r="E94" i="20" s="1"/>
  <c r="V94" i="20" s="1"/>
  <c r="C34" i="20"/>
  <c r="C99" i="20" s="1"/>
  <c r="E99" i="20" s="1"/>
  <c r="V99" i="20" s="1"/>
  <c r="C17" i="20"/>
  <c r="C82" i="20" s="1"/>
  <c r="E82" i="20" s="1"/>
  <c r="V82" i="20" s="1"/>
  <c r="C25" i="20"/>
  <c r="C90" i="20" s="1"/>
  <c r="E90" i="20" s="1"/>
  <c r="V90" i="20" s="1"/>
  <c r="C10" i="20"/>
  <c r="C75" i="20" s="1"/>
  <c r="E75" i="20" s="1"/>
  <c r="V75" i="20" s="1"/>
  <c r="C7" i="20"/>
  <c r="C72" i="20" s="1"/>
  <c r="E72" i="20" s="1"/>
  <c r="V72" i="20" s="1"/>
  <c r="C19" i="20"/>
  <c r="C84" i="20" s="1"/>
  <c r="E84" i="20" s="1"/>
  <c r="V84" i="20" s="1"/>
  <c r="C23" i="20"/>
  <c r="C88" i="20" s="1"/>
  <c r="E88" i="20" s="1"/>
  <c r="V88" i="20" s="1"/>
  <c r="C8" i="20"/>
  <c r="C73" i="20" s="1"/>
  <c r="E73" i="20" s="1"/>
  <c r="V73" i="20" s="1"/>
  <c r="C31" i="20"/>
  <c r="C96" i="20" s="1"/>
  <c r="E96" i="20" s="1"/>
  <c r="V96" i="20" s="1"/>
  <c r="C18" i="20"/>
  <c r="C83" i="20" s="1"/>
  <c r="E83" i="20" s="1"/>
  <c r="V83" i="20" s="1"/>
  <c r="C16" i="20"/>
  <c r="C81" i="20" s="1"/>
  <c r="E81" i="20" s="1"/>
  <c r="V81" i="20" s="1"/>
  <c r="H50" i="3"/>
  <c r="I21" i="19"/>
  <c r="Q41" i="37"/>
  <c r="R31" i="37"/>
  <c r="S34" i="42"/>
  <c r="R44" i="42"/>
  <c r="C23" i="43"/>
  <c r="U37" i="1"/>
  <c r="E33" i="1" s="1"/>
  <c r="F4" i="29"/>
  <c r="D28" i="29" s="1"/>
  <c r="T100" i="23"/>
  <c r="E55" i="42"/>
  <c r="E56" i="42" s="1"/>
  <c r="I59" i="42"/>
  <c r="I40" i="42"/>
  <c r="I39" i="42"/>
  <c r="I37" i="42"/>
  <c r="J14" i="42"/>
  <c r="J16" i="42" s="1"/>
  <c r="J32" i="42" s="1"/>
  <c r="J14" i="37"/>
  <c r="J16" i="37" s="1"/>
  <c r="P25" i="42"/>
  <c r="O29" i="42"/>
  <c r="L10" i="37"/>
  <c r="K12" i="37"/>
  <c r="K13" i="37" s="1"/>
  <c r="P21" i="42"/>
  <c r="N22" i="42"/>
  <c r="M28" i="42"/>
  <c r="M30" i="42"/>
  <c r="G50" i="42"/>
  <c r="G52" i="42" s="1"/>
  <c r="L10" i="42"/>
  <c r="K12" i="42"/>
  <c r="K13" i="42" s="1"/>
  <c r="Q26" i="42"/>
  <c r="N20" i="37"/>
  <c r="F55" i="42"/>
  <c r="F56" i="42" s="1"/>
  <c r="N23" i="37"/>
  <c r="M11" i="37"/>
  <c r="R20" i="42"/>
  <c r="P23" i="42"/>
  <c r="O11" i="42"/>
  <c r="I29" i="40" l="1"/>
  <c r="I40" i="40" s="1"/>
  <c r="H29" i="40"/>
  <c r="J20" i="23"/>
  <c r="K21" i="21"/>
  <c r="L20" i="21"/>
  <c r="B34" i="32"/>
  <c r="B37" i="33"/>
  <c r="B34" i="34"/>
  <c r="G96" i="21"/>
  <c r="I17" i="3"/>
  <c r="E39" i="28"/>
  <c r="L16" i="29"/>
  <c r="G26" i="21"/>
  <c r="I86" i="21"/>
  <c r="D36" i="13"/>
  <c r="D13" i="13"/>
  <c r="K45" i="19"/>
  <c r="I45" i="19"/>
  <c r="M45" i="19"/>
  <c r="D26" i="13"/>
  <c r="D44" i="13"/>
  <c r="G14" i="26"/>
  <c r="H15" i="26" s="1"/>
  <c r="K9" i="13"/>
  <c r="K11" i="13"/>
  <c r="K10" i="13"/>
  <c r="T20" i="9"/>
  <c r="T25" i="9" s="1"/>
  <c r="N20" i="9"/>
  <c r="M25" i="9"/>
  <c r="V20" i="9"/>
  <c r="S25" i="9"/>
  <c r="D20" i="29"/>
  <c r="N116" i="20" s="1"/>
  <c r="N117" i="20" s="1"/>
  <c r="J30" i="37"/>
  <c r="J36" i="37" s="1"/>
  <c r="I36" i="37"/>
  <c r="I37" i="37"/>
  <c r="L24" i="37"/>
  <c r="K28" i="37"/>
  <c r="E76" i="20"/>
  <c r="V76" i="20" s="1"/>
  <c r="C41" i="20"/>
  <c r="F4" i="20" s="1"/>
  <c r="C138" i="20"/>
  <c r="C142" i="20" s="1"/>
  <c r="D26" i="29"/>
  <c r="E26" i="29" s="1"/>
  <c r="F26" i="29" s="1"/>
  <c r="R41" i="37"/>
  <c r="S31" i="37"/>
  <c r="S44" i="42"/>
  <c r="T34" i="42"/>
  <c r="Y34" i="42"/>
  <c r="D12" i="29"/>
  <c r="D23" i="29"/>
  <c r="E23" i="29" s="1"/>
  <c r="F23" i="29" s="1"/>
  <c r="D18" i="29"/>
  <c r="L116" i="20" s="1"/>
  <c r="L117" i="20" s="1"/>
  <c r="D25" i="29"/>
  <c r="E25" i="29" s="1"/>
  <c r="F25" i="29" s="1"/>
  <c r="D11" i="29"/>
  <c r="D21" i="29"/>
  <c r="E21" i="29" s="1"/>
  <c r="F21" i="29" s="1"/>
  <c r="D16" i="29"/>
  <c r="E16" i="29" s="1"/>
  <c r="F16" i="29" s="1"/>
  <c r="D27" i="29"/>
  <c r="E27" i="29" s="1"/>
  <c r="F27" i="29" s="1"/>
  <c r="D24" i="29"/>
  <c r="E24" i="29" s="1"/>
  <c r="F24" i="29" s="1"/>
  <c r="D17" i="29"/>
  <c r="K116" i="20" s="1"/>
  <c r="K117" i="20" s="1"/>
  <c r="D10" i="29"/>
  <c r="E10" i="29" s="1"/>
  <c r="D19" i="29"/>
  <c r="M116" i="20" s="1"/>
  <c r="M117" i="20" s="1"/>
  <c r="D22" i="29"/>
  <c r="P116" i="20" s="1"/>
  <c r="P117" i="20" s="1"/>
  <c r="D29" i="29"/>
  <c r="E29" i="29" s="1"/>
  <c r="F29" i="29" s="1"/>
  <c r="D13" i="29"/>
  <c r="E13" i="29" s="1"/>
  <c r="F13" i="29" s="1"/>
  <c r="D15" i="29"/>
  <c r="E15" i="29" s="1"/>
  <c r="F15" i="29" s="1"/>
  <c r="D14" i="29"/>
  <c r="H116" i="20" s="1"/>
  <c r="H117" i="20" s="1"/>
  <c r="G53" i="42"/>
  <c r="G54" i="42" s="1"/>
  <c r="E28" i="29"/>
  <c r="F28" i="29" s="1"/>
  <c r="J40" i="42"/>
  <c r="J59" i="42"/>
  <c r="J37" i="42"/>
  <c r="J48" i="42" s="1"/>
  <c r="J52" i="42" s="1"/>
  <c r="J39" i="42"/>
  <c r="K14" i="37"/>
  <c r="K16" i="37" s="1"/>
  <c r="M10" i="37"/>
  <c r="L12" i="37"/>
  <c r="L13" i="37" s="1"/>
  <c r="I48" i="42"/>
  <c r="I52" i="42" s="1"/>
  <c r="O20" i="37"/>
  <c r="M10" i="42"/>
  <c r="L12" i="42"/>
  <c r="L13" i="42" s="1"/>
  <c r="O23" i="37"/>
  <c r="N11" i="37"/>
  <c r="Q23" i="42"/>
  <c r="P11" i="42"/>
  <c r="R26" i="42"/>
  <c r="K14" i="42"/>
  <c r="K16" i="42" s="1"/>
  <c r="K32" i="42" s="1"/>
  <c r="O22" i="42"/>
  <c r="N28" i="42"/>
  <c r="N30" i="42"/>
  <c r="Q21" i="42"/>
  <c r="Q25" i="42"/>
  <c r="P29" i="42"/>
  <c r="S20" i="42"/>
  <c r="E69" i="20"/>
  <c r="C112" i="20"/>
  <c r="C114" i="20" s="1"/>
  <c r="C132" i="20"/>
  <c r="C137" i="20" s="1"/>
  <c r="E20" i="29" l="1"/>
  <c r="F20" i="29" s="1"/>
  <c r="E40" i="28"/>
  <c r="E41" i="28" s="1"/>
  <c r="E42" i="28" s="1"/>
  <c r="L17" i="29"/>
  <c r="I18" i="3"/>
  <c r="B36" i="32"/>
  <c r="B36" i="34"/>
  <c r="B39" i="33"/>
  <c r="G97" i="21"/>
  <c r="K22" i="21"/>
  <c r="L21" i="21"/>
  <c r="J21" i="23"/>
  <c r="I87" i="21"/>
  <c r="G27" i="21"/>
  <c r="J37" i="37"/>
  <c r="K13" i="13"/>
  <c r="V25" i="9"/>
  <c r="W20" i="9"/>
  <c r="U20" i="9"/>
  <c r="U25" i="9" s="1"/>
  <c r="N25" i="9"/>
  <c r="O20" i="9"/>
  <c r="J34" i="37"/>
  <c r="Q116" i="20"/>
  <c r="Q117" i="20" s="1"/>
  <c r="K30" i="37"/>
  <c r="K34" i="37" s="1"/>
  <c r="M24" i="37"/>
  <c r="L28" i="37"/>
  <c r="D42" i="20"/>
  <c r="D43" i="20"/>
  <c r="E18" i="29"/>
  <c r="F18" i="29" s="1"/>
  <c r="D47" i="20"/>
  <c r="C46" i="20"/>
  <c r="C48" i="20" s="1"/>
  <c r="C50" i="20" s="1"/>
  <c r="U34" i="42"/>
  <c r="T44" i="42"/>
  <c r="G116" i="20"/>
  <c r="G117" i="20" s="1"/>
  <c r="E19" i="29"/>
  <c r="F19" i="29" s="1"/>
  <c r="E12" i="29"/>
  <c r="F12" i="29" s="1"/>
  <c r="E17" i="29"/>
  <c r="F17" i="29" s="1"/>
  <c r="D36" i="29"/>
  <c r="O116" i="20"/>
  <c r="O117" i="20" s="1"/>
  <c r="I116" i="20"/>
  <c r="I117" i="20" s="1"/>
  <c r="E14" i="29"/>
  <c r="F14" i="29" s="1"/>
  <c r="E22" i="29"/>
  <c r="F22" i="29" s="1"/>
  <c r="J116" i="20"/>
  <c r="J117" i="20" s="1"/>
  <c r="F116" i="20"/>
  <c r="F117" i="20" s="1"/>
  <c r="E11" i="29"/>
  <c r="F11" i="29" s="1"/>
  <c r="K39" i="42"/>
  <c r="K59" i="42"/>
  <c r="K37" i="42"/>
  <c r="K40" i="42"/>
  <c r="L14" i="42"/>
  <c r="L16" i="42" s="1"/>
  <c r="L32" i="42" s="1"/>
  <c r="O11" i="37"/>
  <c r="P23" i="37"/>
  <c r="I53" i="42"/>
  <c r="C15" i="10" s="1"/>
  <c r="E15" i="10" s="1"/>
  <c r="F15" i="10" s="1"/>
  <c r="L14" i="37"/>
  <c r="L16" i="37" s="1"/>
  <c r="M12" i="42"/>
  <c r="M13" i="42" s="1"/>
  <c r="N10" i="42"/>
  <c r="S26" i="42"/>
  <c r="R21" i="42"/>
  <c r="R23" i="42"/>
  <c r="Q11" i="42"/>
  <c r="M12" i="37"/>
  <c r="M13" i="37" s="1"/>
  <c r="N10" i="37"/>
  <c r="P22" i="42"/>
  <c r="O28" i="42"/>
  <c r="O30" i="42"/>
  <c r="P20" i="37"/>
  <c r="G55" i="42"/>
  <c r="G56" i="42" s="1"/>
  <c r="E112" i="20"/>
  <c r="V69" i="20"/>
  <c r="V112" i="20" s="1"/>
  <c r="T20" i="42"/>
  <c r="Y20" i="42"/>
  <c r="Q29" i="42"/>
  <c r="R25" i="42"/>
  <c r="F10" i="29"/>
  <c r="J53" i="42"/>
  <c r="C16" i="10" s="1"/>
  <c r="E16" i="10" s="1"/>
  <c r="K37" i="37" l="1"/>
  <c r="L30" i="37"/>
  <c r="L36" i="37" s="1"/>
  <c r="G28" i="21"/>
  <c r="I88" i="21"/>
  <c r="B41" i="33"/>
  <c r="B38" i="32"/>
  <c r="B38" i="34"/>
  <c r="J22" i="23"/>
  <c r="K23" i="21"/>
  <c r="L22" i="21"/>
  <c r="L18" i="29"/>
  <c r="E45" i="28"/>
  <c r="I19" i="3"/>
  <c r="E43" i="28"/>
  <c r="E44" i="28" s="1"/>
  <c r="P20" i="9"/>
  <c r="O25" i="9"/>
  <c r="K36" i="37"/>
  <c r="N24" i="37"/>
  <c r="M28" i="37"/>
  <c r="V34" i="42"/>
  <c r="U44" i="42"/>
  <c r="E36" i="29"/>
  <c r="G66" i="28" s="1"/>
  <c r="W66" i="28" s="1"/>
  <c r="Y66" i="28" s="1"/>
  <c r="J66" i="28" s="1"/>
  <c r="B31" i="3" s="1"/>
  <c r="R117" i="20"/>
  <c r="M14" i="42"/>
  <c r="M16" i="42" s="1"/>
  <c r="M32" i="42" s="1"/>
  <c r="J54" i="42"/>
  <c r="Q20" i="37"/>
  <c r="S21" i="42"/>
  <c r="I54" i="42"/>
  <c r="F16" i="10"/>
  <c r="U20" i="42"/>
  <c r="M14" i="37"/>
  <c r="M16" i="37" s="1"/>
  <c r="P11" i="37"/>
  <c r="Q23" i="37"/>
  <c r="K48" i="42"/>
  <c r="K52" i="42" s="1"/>
  <c r="N12" i="42"/>
  <c r="N13" i="42" s="1"/>
  <c r="O10" i="42"/>
  <c r="F36" i="29"/>
  <c r="L34" i="37"/>
  <c r="S23" i="42"/>
  <c r="R11" i="42"/>
  <c r="T26" i="42"/>
  <c r="Y26" i="42"/>
  <c r="L40" i="42"/>
  <c r="L37" i="42"/>
  <c r="L48" i="42" s="1"/>
  <c r="L52" i="42" s="1"/>
  <c r="L59" i="42"/>
  <c r="L39" i="42"/>
  <c r="Q22" i="42"/>
  <c r="P28" i="42"/>
  <c r="P30" i="42"/>
  <c r="N12" i="37"/>
  <c r="N13" i="37" s="1"/>
  <c r="O10" i="37"/>
  <c r="R29" i="42"/>
  <c r="S25" i="42"/>
  <c r="L37" i="37" l="1"/>
  <c r="B40" i="34"/>
  <c r="B43" i="33"/>
  <c r="B40" i="32"/>
  <c r="I89" i="21"/>
  <c r="L19" i="29"/>
  <c r="I20" i="3"/>
  <c r="E46" i="28"/>
  <c r="G29" i="21"/>
  <c r="K24" i="21"/>
  <c r="L23" i="21"/>
  <c r="J23" i="23"/>
  <c r="P25" i="9"/>
  <c r="Q20" i="9"/>
  <c r="M30" i="37"/>
  <c r="M36" i="37" s="1"/>
  <c r="O24" i="37"/>
  <c r="N28" i="37"/>
  <c r="W34" i="42"/>
  <c r="V44" i="42"/>
  <c r="S11" i="42"/>
  <c r="T23" i="42"/>
  <c r="Y23" i="42"/>
  <c r="T21" i="42"/>
  <c r="Y21" i="42"/>
  <c r="N14" i="42"/>
  <c r="N16" i="42" s="1"/>
  <c r="N32" i="42" s="1"/>
  <c r="R20" i="37"/>
  <c r="L53" i="42"/>
  <c r="C18" i="10" s="1"/>
  <c r="E18" i="10" s="1"/>
  <c r="N14" i="37"/>
  <c r="N16" i="37" s="1"/>
  <c r="Z66" i="28"/>
  <c r="L66" i="28" s="1"/>
  <c r="V20" i="42"/>
  <c r="J55" i="42"/>
  <c r="C16" i="41" s="1"/>
  <c r="R23" i="37"/>
  <c r="Q11" i="37"/>
  <c r="M37" i="42"/>
  <c r="M48" i="42" s="1"/>
  <c r="M52" i="42" s="1"/>
  <c r="M40" i="42"/>
  <c r="M39" i="42"/>
  <c r="M59" i="42"/>
  <c r="O12" i="42"/>
  <c r="O13" i="42" s="1"/>
  <c r="P10" i="42"/>
  <c r="U26" i="42"/>
  <c r="K53" i="42"/>
  <c r="C17" i="10" s="1"/>
  <c r="E17" i="10" s="1"/>
  <c r="F17" i="10" s="1"/>
  <c r="O12" i="37"/>
  <c r="O13" i="37" s="1"/>
  <c r="P10" i="37"/>
  <c r="R22" i="42"/>
  <c r="Q28" i="42"/>
  <c r="Q30" i="42"/>
  <c r="S29" i="42"/>
  <c r="Y29" i="42" s="1"/>
  <c r="T25" i="42"/>
  <c r="Y25" i="42"/>
  <c r="I55" i="42"/>
  <c r="C15" i="41" s="1"/>
  <c r="M42" i="37" l="1"/>
  <c r="E47" i="28"/>
  <c r="L20" i="29"/>
  <c r="I21" i="3"/>
  <c r="J24" i="23"/>
  <c r="I100" i="21"/>
  <c r="K25" i="21"/>
  <c r="L24" i="21"/>
  <c r="G30" i="21"/>
  <c r="B45" i="33"/>
  <c r="B42" i="32"/>
  <c r="B42" i="34"/>
  <c r="R20" i="9"/>
  <c r="R25" i="9" s="1"/>
  <c r="Q25" i="9"/>
  <c r="N30" i="37"/>
  <c r="N34" i="37" s="1"/>
  <c r="M34" i="37"/>
  <c r="D39" i="37" s="1"/>
  <c r="M37" i="37"/>
  <c r="P24" i="37"/>
  <c r="O28" i="37"/>
  <c r="W44" i="42"/>
  <c r="X34" i="42"/>
  <c r="X44" i="42" s="1"/>
  <c r="K54" i="42"/>
  <c r="K55" i="42" s="1"/>
  <c r="C17" i="41" s="1"/>
  <c r="F18" i="10"/>
  <c r="I56" i="42"/>
  <c r="J56" i="42"/>
  <c r="O14" i="42"/>
  <c r="O16" i="42" s="1"/>
  <c r="O32" i="42" s="1"/>
  <c r="Q10" i="37"/>
  <c r="P12" i="37"/>
  <c r="P13" i="37" s="1"/>
  <c r="N45" i="42"/>
  <c r="N59" i="42"/>
  <c r="N37" i="42"/>
  <c r="N40" i="42"/>
  <c r="N39" i="42"/>
  <c r="W20" i="42"/>
  <c r="T29" i="42"/>
  <c r="U25" i="42"/>
  <c r="O14" i="37"/>
  <c r="O16" i="37" s="1"/>
  <c r="V26" i="42"/>
  <c r="M53" i="42"/>
  <c r="C19" i="10" s="1"/>
  <c r="E19" i="10" s="1"/>
  <c r="L54" i="42"/>
  <c r="U21" i="42"/>
  <c r="T11" i="42"/>
  <c r="U23" i="42"/>
  <c r="S22" i="42"/>
  <c r="R28" i="42"/>
  <c r="R30" i="42"/>
  <c r="P12" i="42"/>
  <c r="P13" i="42" s="1"/>
  <c r="Q10" i="42"/>
  <c r="R11" i="37"/>
  <c r="S23" i="37"/>
  <c r="S20" i="37"/>
  <c r="W25" i="9" l="1"/>
  <c r="G31" i="21"/>
  <c r="K26" i="21"/>
  <c r="L25" i="21"/>
  <c r="B44" i="34"/>
  <c r="B47" i="33"/>
  <c r="B44" i="32"/>
  <c r="J25" i="23"/>
  <c r="L21" i="29"/>
  <c r="E48" i="28"/>
  <c r="I22" i="3"/>
  <c r="O30" i="37"/>
  <c r="O42" i="37" s="1"/>
  <c r="N36" i="37"/>
  <c r="N37" i="37"/>
  <c r="N42" i="37"/>
  <c r="Q24" i="37"/>
  <c r="P28" i="37"/>
  <c r="F19" i="10"/>
  <c r="O40" i="42"/>
  <c r="O59" i="42"/>
  <c r="O37" i="42"/>
  <c r="O48" i="42" s="1"/>
  <c r="O52" i="42" s="1"/>
  <c r="O45" i="42"/>
  <c r="O39" i="42"/>
  <c r="W26" i="42"/>
  <c r="T22" i="42"/>
  <c r="Y22" i="42"/>
  <c r="S28" i="42"/>
  <c r="Y28" i="42" s="1"/>
  <c r="S30" i="42"/>
  <c r="Y30" i="42" s="1"/>
  <c r="R10" i="37"/>
  <c r="Q12" i="37"/>
  <c r="Q13" i="37" s="1"/>
  <c r="R10" i="42"/>
  <c r="Q12" i="42"/>
  <c r="Q13" i="42" s="1"/>
  <c r="L55" i="42"/>
  <c r="C18" i="41" s="1"/>
  <c r="U29" i="42"/>
  <c r="V25" i="42"/>
  <c r="N48" i="42"/>
  <c r="N52" i="42" s="1"/>
  <c r="E42" i="42"/>
  <c r="P14" i="42"/>
  <c r="P16" i="42" s="1"/>
  <c r="P32" i="42" s="1"/>
  <c r="M54" i="42"/>
  <c r="P14" i="37"/>
  <c r="P16" i="37" s="1"/>
  <c r="U11" i="42"/>
  <c r="V23" i="42"/>
  <c r="V21" i="42"/>
  <c r="K56" i="42"/>
  <c r="X20" i="42"/>
  <c r="O36" i="37" l="1"/>
  <c r="E49" i="28"/>
  <c r="I23" i="3"/>
  <c r="L22" i="29"/>
  <c r="K27" i="21"/>
  <c r="L26" i="21"/>
  <c r="B46" i="34"/>
  <c r="B49" i="33"/>
  <c r="B46" i="32"/>
  <c r="G32" i="21"/>
  <c r="J26" i="23"/>
  <c r="O37" i="37"/>
  <c r="O34" i="37"/>
  <c r="P30" i="37"/>
  <c r="P36" i="37" s="1"/>
  <c r="R24" i="37"/>
  <c r="Q28" i="37"/>
  <c r="Q14" i="42"/>
  <c r="Q16" i="42" s="1"/>
  <c r="Q32" i="42" s="1"/>
  <c r="S10" i="42"/>
  <c r="R12" i="42"/>
  <c r="R13" i="42" s="1"/>
  <c r="Q14" i="37"/>
  <c r="Q16" i="37" s="1"/>
  <c r="L56" i="42"/>
  <c r="O53" i="42"/>
  <c r="C21" i="10" s="1"/>
  <c r="E21" i="10" s="1"/>
  <c r="W25" i="42"/>
  <c r="V29" i="42"/>
  <c r="M55" i="42"/>
  <c r="C19" i="41" s="1"/>
  <c r="N53" i="42"/>
  <c r="C20" i="10" s="1"/>
  <c r="E20" i="10" s="1"/>
  <c r="F20" i="10" s="1"/>
  <c r="P59" i="42"/>
  <c r="P37" i="42"/>
  <c r="P48" i="42" s="1"/>
  <c r="P52" i="42" s="1"/>
  <c r="P45" i="42"/>
  <c r="P40" i="42"/>
  <c r="P39" i="42"/>
  <c r="W21" i="42"/>
  <c r="X26" i="42"/>
  <c r="V11" i="42"/>
  <c r="W23" i="42"/>
  <c r="R12" i="37"/>
  <c r="S12" i="37" s="1"/>
  <c r="S10" i="37"/>
  <c r="U22" i="42"/>
  <c r="T28" i="42"/>
  <c r="T30" i="42"/>
  <c r="G33" i="21" l="1"/>
  <c r="K28" i="21"/>
  <c r="L27" i="21"/>
  <c r="J27" i="23"/>
  <c r="B48" i="34"/>
  <c r="B48" i="32"/>
  <c r="B51" i="33"/>
  <c r="I24" i="3"/>
  <c r="E50" i="28"/>
  <c r="E51" i="28" s="1"/>
  <c r="L23" i="29"/>
  <c r="P37" i="37"/>
  <c r="P42" i="37"/>
  <c r="Q30" i="37"/>
  <c r="Q42" i="37" s="1"/>
  <c r="P34" i="37"/>
  <c r="S24" i="37"/>
  <c r="R28" i="37"/>
  <c r="S28" i="37" s="1"/>
  <c r="R13" i="37"/>
  <c r="R14" i="37" s="1"/>
  <c r="S14" i="37" s="1"/>
  <c r="N54" i="42"/>
  <c r="N55" i="42" s="1"/>
  <c r="C20" i="41" s="1"/>
  <c r="O54" i="42"/>
  <c r="F21" i="10"/>
  <c r="R14" i="42"/>
  <c r="R16" i="42" s="1"/>
  <c r="R32" i="42" s="1"/>
  <c r="Q37" i="42"/>
  <c r="Q48" i="42" s="1"/>
  <c r="Q52" i="42" s="1"/>
  <c r="Q40" i="42"/>
  <c r="Q39" i="42"/>
  <c r="Q59" i="42"/>
  <c r="Q45" i="42"/>
  <c r="X21" i="42"/>
  <c r="V22" i="42"/>
  <c r="U28" i="42"/>
  <c r="U30" i="42"/>
  <c r="P53" i="42"/>
  <c r="C22" i="10" s="1"/>
  <c r="E22" i="10" s="1"/>
  <c r="X25" i="42"/>
  <c r="X29" i="42" s="1"/>
  <c r="W29" i="42"/>
  <c r="S12" i="42"/>
  <c r="Y12" i="42" s="1"/>
  <c r="T10" i="42"/>
  <c r="Y10" i="42"/>
  <c r="M56" i="42"/>
  <c r="S13" i="37"/>
  <c r="W11" i="42"/>
  <c r="X23" i="42"/>
  <c r="X11" i="42" s="1"/>
  <c r="I25" i="3" l="1"/>
  <c r="E52" i="28"/>
  <c r="E53" i="28" s="1"/>
  <c r="L24" i="29"/>
  <c r="J28" i="23"/>
  <c r="K29" i="21"/>
  <c r="L28" i="21"/>
  <c r="B50" i="34"/>
  <c r="B53" i="33"/>
  <c r="B50" i="32"/>
  <c r="G34" i="21"/>
  <c r="Q37" i="37"/>
  <c r="Q36" i="37"/>
  <c r="Q34" i="37"/>
  <c r="F22" i="10"/>
  <c r="O55" i="42"/>
  <c r="C21" i="41" s="1"/>
  <c r="R16" i="37"/>
  <c r="R30" i="37" s="1"/>
  <c r="R34" i="37" s="1"/>
  <c r="S16" i="37"/>
  <c r="N56" i="42"/>
  <c r="R59" i="42"/>
  <c r="R39" i="42"/>
  <c r="R40" i="42"/>
  <c r="R37" i="42"/>
  <c r="R48" i="42" s="1"/>
  <c r="R52" i="42" s="1"/>
  <c r="R45" i="42"/>
  <c r="Q53" i="42"/>
  <c r="C23" i="10" s="1"/>
  <c r="E23" i="10" s="1"/>
  <c r="Y13" i="42"/>
  <c r="S13" i="42"/>
  <c r="P54" i="42"/>
  <c r="W22" i="42"/>
  <c r="V28" i="42"/>
  <c r="V30" i="42"/>
  <c r="U10" i="42"/>
  <c r="T12" i="42"/>
  <c r="T13" i="42" s="1"/>
  <c r="D40" i="37" l="1"/>
  <c r="K30" i="21"/>
  <c r="L29" i="21"/>
  <c r="G35" i="21"/>
  <c r="B52" i="34"/>
  <c r="B52" i="32"/>
  <c r="B55" i="33"/>
  <c r="L25" i="29"/>
  <c r="I26" i="3"/>
  <c r="E54" i="28"/>
  <c r="E55" i="28" s="1"/>
  <c r="J29" i="23"/>
  <c r="R36" i="37"/>
  <c r="F23" i="10"/>
  <c r="Q54" i="42"/>
  <c r="Q55" i="42" s="1"/>
  <c r="C23" i="41" s="1"/>
  <c r="R42" i="37"/>
  <c r="O56" i="42"/>
  <c r="R37" i="37"/>
  <c r="S30" i="37"/>
  <c r="S34" i="37" s="1"/>
  <c r="T14" i="42"/>
  <c r="T16" i="42" s="1"/>
  <c r="T32" i="42" s="1"/>
  <c r="R53" i="42"/>
  <c r="C24" i="10" s="1"/>
  <c r="E24" i="10" s="1"/>
  <c r="S14" i="42"/>
  <c r="Y14" i="42" s="1"/>
  <c r="Y16" i="42" s="1"/>
  <c r="X22" i="42"/>
  <c r="W30" i="42"/>
  <c r="W28" i="42"/>
  <c r="U12" i="42"/>
  <c r="U13" i="42" s="1"/>
  <c r="V10" i="42"/>
  <c r="P55" i="42"/>
  <c r="C22" i="41" s="1"/>
  <c r="E56" i="28" l="1"/>
  <c r="E57" i="28" s="1"/>
  <c r="L26" i="29"/>
  <c r="I27" i="3"/>
  <c r="G36" i="21"/>
  <c r="B57" i="33"/>
  <c r="B54" i="34"/>
  <c r="B54" i="32"/>
  <c r="J30" i="23"/>
  <c r="K31" i="21"/>
  <c r="L30" i="21"/>
  <c r="F24" i="10"/>
  <c r="P56" i="42"/>
  <c r="R54" i="42"/>
  <c r="T59" i="42"/>
  <c r="T45" i="42"/>
  <c r="T39" i="42"/>
  <c r="T40" i="42"/>
  <c r="T37" i="42"/>
  <c r="T48" i="42" s="1"/>
  <c r="T52" i="42" s="1"/>
  <c r="Q56" i="42"/>
  <c r="U14" i="42"/>
  <c r="U16" i="42" s="1"/>
  <c r="U32" i="42" s="1"/>
  <c r="V12" i="42"/>
  <c r="V13" i="42" s="1"/>
  <c r="W10" i="42"/>
  <c r="S16" i="42"/>
  <c r="S32" i="42" s="1"/>
  <c r="X28" i="42"/>
  <c r="X30" i="42"/>
  <c r="J31" i="23" l="1"/>
  <c r="L27" i="29"/>
  <c r="L28" i="29" s="1"/>
  <c r="L29" i="29" s="1"/>
  <c r="L30" i="29" s="1"/>
  <c r="E58" i="28"/>
  <c r="E59" i="28" s="1"/>
  <c r="I28" i="3"/>
  <c r="G37" i="21"/>
  <c r="K32" i="21"/>
  <c r="L31" i="21"/>
  <c r="B59" i="33"/>
  <c r="B56" i="32"/>
  <c r="B56" i="34"/>
  <c r="G8" i="41"/>
  <c r="R55" i="42"/>
  <c r="C24" i="41" s="1"/>
  <c r="V14" i="42"/>
  <c r="V16" i="42" s="1"/>
  <c r="V32" i="42" s="1"/>
  <c r="U59" i="42"/>
  <c r="U40" i="42"/>
  <c r="U39" i="42"/>
  <c r="U37" i="42"/>
  <c r="U48" i="42" s="1"/>
  <c r="U52" i="42" s="1"/>
  <c r="U45" i="42"/>
  <c r="T53" i="42"/>
  <c r="C26" i="10" s="1"/>
  <c r="E26" i="10" s="1"/>
  <c r="W12" i="42"/>
  <c r="W13" i="42" s="1"/>
  <c r="X10" i="42"/>
  <c r="S45" i="42"/>
  <c r="S39" i="42"/>
  <c r="S40" i="42"/>
  <c r="S37" i="42"/>
  <c r="S59" i="42"/>
  <c r="Y32" i="42"/>
  <c r="Y37" i="42" s="1"/>
  <c r="Y48" i="42" s="1"/>
  <c r="I29" i="3" l="1"/>
  <c r="E60" i="28"/>
  <c r="E61" i="28" s="1"/>
  <c r="B58" i="32"/>
  <c r="B58" i="34"/>
  <c r="B61" i="33"/>
  <c r="J32" i="23"/>
  <c r="K33" i="21"/>
  <c r="L32" i="21"/>
  <c r="G38" i="21"/>
  <c r="R56" i="42"/>
  <c r="S48" i="42"/>
  <c r="S52" i="42" s="1"/>
  <c r="E43" i="42"/>
  <c r="V59" i="42"/>
  <c r="V37" i="42"/>
  <c r="V48" i="42" s="1"/>
  <c r="V52" i="42" s="1"/>
  <c r="V40" i="42"/>
  <c r="V39" i="42"/>
  <c r="V45" i="42"/>
  <c r="U53" i="42"/>
  <c r="C27" i="10" s="1"/>
  <c r="E27" i="10" s="1"/>
  <c r="X12" i="42"/>
  <c r="X13" i="42" s="1"/>
  <c r="W14" i="42"/>
  <c r="W16" i="42" s="1"/>
  <c r="W32" i="42" s="1"/>
  <c r="T54" i="42"/>
  <c r="K34" i="21" l="1"/>
  <c r="L33" i="21"/>
  <c r="B60" i="34"/>
  <c r="B63" i="33"/>
  <c r="B60" i="32"/>
  <c r="G39" i="21"/>
  <c r="J33" i="23"/>
  <c r="E62" i="28"/>
  <c r="I30" i="3" s="1"/>
  <c r="E63" i="28"/>
  <c r="E64" i="28" s="1"/>
  <c r="E65" i="28" s="1"/>
  <c r="V25" i="47"/>
  <c r="U54" i="42"/>
  <c r="U55" i="42" s="1"/>
  <c r="C27" i="41" s="1"/>
  <c r="W40" i="42"/>
  <c r="W59" i="42"/>
  <c r="W39" i="42"/>
  <c r="W37" i="42"/>
  <c r="W48" i="42" s="1"/>
  <c r="W52" i="42" s="1"/>
  <c r="W45" i="42"/>
  <c r="X14" i="42"/>
  <c r="X16" i="42" s="1"/>
  <c r="X32" i="42" s="1"/>
  <c r="V53" i="42"/>
  <c r="C28" i="10" s="1"/>
  <c r="E28" i="10" s="1"/>
  <c r="T55" i="42"/>
  <c r="C26" i="41" s="1"/>
  <c r="S53" i="42"/>
  <c r="C25" i="10" s="1"/>
  <c r="E25" i="10" s="1"/>
  <c r="F25" i="10" s="1"/>
  <c r="F26" i="10" s="1"/>
  <c r="F27" i="10" s="1"/>
  <c r="B65" i="33" l="1"/>
  <c r="B62" i="32"/>
  <c r="J34" i="23"/>
  <c r="E66" i="28"/>
  <c r="I31" i="3" s="1"/>
  <c r="E67" i="28"/>
  <c r="G40" i="21"/>
  <c r="K35" i="21"/>
  <c r="L34" i="21"/>
  <c r="T56" i="42"/>
  <c r="F28" i="10"/>
  <c r="W53" i="42"/>
  <c r="C29" i="10" s="1"/>
  <c r="E29" i="10" s="1"/>
  <c r="S54" i="42"/>
  <c r="X39" i="42"/>
  <c r="X40" i="42"/>
  <c r="X37" i="42"/>
  <c r="X48" i="42" s="1"/>
  <c r="X52" i="42" s="1"/>
  <c r="X45" i="42"/>
  <c r="X59" i="42"/>
  <c r="U56" i="42"/>
  <c r="V54" i="42"/>
  <c r="J35" i="23" l="1"/>
  <c r="K36" i="21"/>
  <c r="L35" i="21"/>
  <c r="G41" i="21"/>
  <c r="L31" i="29"/>
  <c r="E69" i="28"/>
  <c r="E70" i="28" s="1"/>
  <c r="I32" i="3"/>
  <c r="E68" i="28"/>
  <c r="B67" i="33"/>
  <c r="B64" i="32"/>
  <c r="F29" i="10"/>
  <c r="V55" i="42"/>
  <c r="C28" i="41" s="1"/>
  <c r="S55" i="42"/>
  <c r="C25" i="41" s="1"/>
  <c r="X53" i="42"/>
  <c r="C30" i="10" s="1"/>
  <c r="E30" i="10" s="1"/>
  <c r="W54" i="42"/>
  <c r="B66" i="32" l="1"/>
  <c r="B69" i="33"/>
  <c r="K37" i="21"/>
  <c r="L36" i="21"/>
  <c r="J36" i="23"/>
  <c r="E72" i="28"/>
  <c r="E73" i="28" s="1"/>
  <c r="E71" i="28"/>
  <c r="G42" i="21"/>
  <c r="F30" i="10"/>
  <c r="X62" i="42" s="1"/>
  <c r="X54" i="42"/>
  <c r="X55" i="42" s="1"/>
  <c r="C30" i="41" s="1"/>
  <c r="S56" i="42"/>
  <c r="W55" i="42"/>
  <c r="C29" i="41" s="1"/>
  <c r="V56" i="42"/>
  <c r="G43" i="21" l="1"/>
  <c r="L32" i="29"/>
  <c r="E75" i="28"/>
  <c r="E74" i="28"/>
  <c r="K38" i="21"/>
  <c r="L37" i="21"/>
  <c r="J37" i="23"/>
  <c r="B71" i="33"/>
  <c r="B68" i="32"/>
  <c r="W56" i="42"/>
  <c r="X56" i="42"/>
  <c r="E77" i="28" l="1"/>
  <c r="E76" i="28"/>
  <c r="B73" i="33"/>
  <c r="B70" i="32"/>
  <c r="J38" i="23"/>
  <c r="K39" i="21"/>
  <c r="L38" i="21"/>
  <c r="G44" i="21"/>
  <c r="G45" i="21" l="1"/>
  <c r="K40" i="21"/>
  <c r="L39" i="21"/>
  <c r="B75" i="33"/>
  <c r="B74" i="32" s="1"/>
  <c r="B72" i="32"/>
  <c r="J39" i="23"/>
  <c r="E79" i="28"/>
  <c r="E80" i="28" s="1"/>
  <c r="E81" i="28" s="1"/>
  <c r="E82" i="28" s="1"/>
  <c r="E83" i="28" s="1"/>
  <c r="I33" i="3" s="1"/>
  <c r="E78" i="28"/>
  <c r="J40" i="23" l="1"/>
  <c r="K41" i="21"/>
  <c r="L40" i="21"/>
  <c r="G46" i="21"/>
  <c r="J41" i="23" l="1"/>
  <c r="K42" i="21"/>
  <c r="L41" i="21"/>
  <c r="G47" i="21"/>
  <c r="G48" i="21" l="1"/>
  <c r="K43" i="21"/>
  <c r="L42" i="21"/>
  <c r="J42" i="23"/>
  <c r="K44" i="21" l="1"/>
  <c r="L43" i="21"/>
  <c r="J43" i="23"/>
  <c r="G49" i="21"/>
  <c r="J44" i="23" l="1"/>
  <c r="K45" i="21"/>
  <c r="L44" i="21"/>
  <c r="G50" i="21"/>
  <c r="K46" i="21" l="1"/>
  <c r="L45" i="21"/>
  <c r="G51" i="21"/>
  <c r="J45" i="23"/>
  <c r="J46" i="23" l="1"/>
  <c r="G52" i="21"/>
  <c r="K47" i="21"/>
  <c r="L46" i="21"/>
  <c r="G53" i="21" l="1"/>
  <c r="J47" i="23"/>
  <c r="K48" i="21"/>
  <c r="L47" i="21"/>
  <c r="J48" i="23" l="1"/>
  <c r="G54" i="21"/>
  <c r="K49" i="21"/>
  <c r="L48" i="21"/>
  <c r="J49" i="23" l="1"/>
  <c r="G55" i="21"/>
  <c r="K50" i="21"/>
  <c r="L49" i="21"/>
  <c r="J50" i="23" l="1"/>
  <c r="G56" i="21"/>
  <c r="K51" i="21"/>
  <c r="L50" i="21"/>
  <c r="K52" i="21" l="1"/>
  <c r="L51" i="21"/>
  <c r="J51" i="23"/>
  <c r="G57" i="21"/>
  <c r="K53" i="21" l="1"/>
  <c r="L52" i="21"/>
  <c r="G58" i="21"/>
  <c r="J52" i="23"/>
  <c r="K54" i="21" l="1"/>
  <c r="L53" i="21"/>
  <c r="G59" i="21"/>
  <c r="J53" i="23"/>
  <c r="G60" i="21" l="1"/>
  <c r="J54" i="23"/>
  <c r="K55" i="21"/>
  <c r="L54" i="21"/>
  <c r="K56" i="21" l="1"/>
  <c r="L55" i="21"/>
  <c r="J55" i="23"/>
  <c r="G61" i="21"/>
  <c r="J56" i="23" l="1"/>
  <c r="K57" i="21"/>
  <c r="L56" i="21"/>
  <c r="G62" i="21"/>
  <c r="J57" i="23" l="1"/>
  <c r="K58" i="21"/>
  <c r="L57" i="21"/>
  <c r="G63" i="21"/>
  <c r="J58" i="23" l="1"/>
  <c r="K59" i="21"/>
  <c r="L58" i="21"/>
  <c r="G64" i="21"/>
  <c r="G65" i="21" l="1"/>
  <c r="J59" i="23"/>
  <c r="K60" i="21"/>
  <c r="L59" i="21"/>
  <c r="J60" i="23" l="1"/>
  <c r="G66" i="21"/>
  <c r="K61" i="21"/>
  <c r="L60" i="21"/>
  <c r="G67" i="21" l="1"/>
  <c r="J61" i="23"/>
  <c r="K62" i="21"/>
  <c r="L61" i="21"/>
  <c r="G68" i="21" l="1"/>
  <c r="J62" i="23"/>
  <c r="K63" i="21"/>
  <c r="L62" i="21"/>
  <c r="K64" i="21" l="1"/>
  <c r="L63" i="21"/>
  <c r="J63" i="23"/>
  <c r="G69" i="21"/>
  <c r="J64" i="23" l="1"/>
  <c r="G70" i="21"/>
  <c r="K65" i="21"/>
  <c r="L64" i="21"/>
  <c r="K66" i="21" l="1"/>
  <c r="L65" i="21"/>
  <c r="G71" i="21"/>
  <c r="J65" i="23"/>
  <c r="G72" i="21" l="1"/>
  <c r="J66" i="23"/>
  <c r="K67" i="21"/>
  <c r="L66" i="21"/>
  <c r="G73" i="21" l="1"/>
  <c r="K68" i="21"/>
  <c r="L67" i="21"/>
  <c r="J67" i="23"/>
  <c r="K69" i="21" l="1"/>
  <c r="L68" i="21"/>
  <c r="G74" i="21"/>
  <c r="J68" i="23"/>
  <c r="G75" i="21" l="1"/>
  <c r="J69" i="23"/>
  <c r="K70" i="21"/>
  <c r="L69" i="21"/>
  <c r="J70" i="23" l="1"/>
  <c r="G100" i="21"/>
  <c r="K71" i="21"/>
  <c r="L70" i="21"/>
  <c r="J71" i="23" l="1"/>
  <c r="K72" i="21"/>
  <c r="L71" i="21"/>
  <c r="K73" i="21" l="1"/>
  <c r="L72" i="21"/>
  <c r="J72" i="23"/>
  <c r="J73" i="23" l="1"/>
  <c r="K74" i="21"/>
  <c r="L73" i="21"/>
  <c r="K75" i="21" l="1"/>
  <c r="L74" i="21"/>
  <c r="J74" i="23"/>
  <c r="J75" i="23" l="1"/>
  <c r="K76" i="21"/>
  <c r="L75" i="21"/>
  <c r="J76" i="23" l="1"/>
  <c r="K77" i="21"/>
  <c r="L76" i="21"/>
  <c r="K78" i="21" l="1"/>
  <c r="L77" i="21"/>
  <c r="J77" i="23"/>
  <c r="J78" i="23" l="1"/>
  <c r="K79" i="21"/>
  <c r="L78" i="21"/>
  <c r="J79" i="23" l="1"/>
  <c r="K80" i="21"/>
  <c r="L79" i="21"/>
  <c r="K81" i="21" l="1"/>
  <c r="L80" i="21"/>
  <c r="J80" i="23"/>
  <c r="J81" i="23" l="1"/>
  <c r="K82" i="21"/>
  <c r="L81" i="21"/>
  <c r="J82" i="23" l="1"/>
  <c r="K83" i="21"/>
  <c r="L82" i="21"/>
  <c r="J83" i="23" l="1"/>
  <c r="K84" i="21"/>
  <c r="L83" i="21"/>
  <c r="K85" i="21" l="1"/>
  <c r="L84" i="21"/>
  <c r="J84" i="23"/>
  <c r="K86" i="21" l="1"/>
  <c r="L85" i="21"/>
  <c r="J85" i="23"/>
  <c r="K87" i="21" l="1"/>
  <c r="L86" i="21"/>
  <c r="J86" i="23"/>
  <c r="J87" i="23" l="1"/>
  <c r="K88" i="21"/>
  <c r="L87" i="21"/>
  <c r="K89" i="21" l="1"/>
  <c r="L88" i="21"/>
  <c r="J88" i="23"/>
  <c r="K90" i="21" l="1"/>
  <c r="L89" i="21"/>
  <c r="J89" i="23"/>
  <c r="K91" i="21" l="1"/>
  <c r="L90" i="21"/>
  <c r="J90" i="23"/>
  <c r="K92" i="21" l="1"/>
  <c r="L91" i="21"/>
  <c r="J91" i="23"/>
  <c r="J92" i="23" l="1"/>
  <c r="K93" i="21"/>
  <c r="L92" i="21"/>
  <c r="K94" i="21" l="1"/>
  <c r="L93" i="21"/>
  <c r="J93" i="23"/>
  <c r="J94" i="23" l="1"/>
  <c r="K95" i="21"/>
  <c r="L94" i="21"/>
  <c r="J95" i="23" l="1"/>
  <c r="K96" i="21"/>
  <c r="L95" i="21"/>
  <c r="J96" i="23" l="1"/>
  <c r="K97" i="21"/>
  <c r="L96" i="21"/>
  <c r="J97" i="23" l="1"/>
  <c r="K100" i="21"/>
  <c r="L97" i="21"/>
  <c r="J98" i="23" l="1"/>
  <c r="L100" i="21"/>
  <c r="M97" i="21" s="1"/>
  <c r="N97" i="21" s="1"/>
  <c r="L103" i="21" l="1"/>
  <c r="H21" i="26" s="1"/>
  <c r="H22" i="26" s="1"/>
  <c r="M9" i="21"/>
  <c r="M11" i="21"/>
  <c r="N11" i="21" s="1"/>
  <c r="M10" i="21"/>
  <c r="N10" i="21" s="1"/>
  <c r="M12" i="21"/>
  <c r="N12" i="21" s="1"/>
  <c r="M13" i="21"/>
  <c r="N13" i="21" s="1"/>
  <c r="M14" i="21"/>
  <c r="N14" i="21" s="1"/>
  <c r="M15" i="21"/>
  <c r="N15" i="21" s="1"/>
  <c r="M16" i="21"/>
  <c r="N16" i="21" s="1"/>
  <c r="M17" i="21"/>
  <c r="N17" i="21" s="1"/>
  <c r="M18" i="21"/>
  <c r="N18" i="21" s="1"/>
  <c r="M19" i="21"/>
  <c r="N19" i="21" s="1"/>
  <c r="M20" i="21"/>
  <c r="N20" i="21" s="1"/>
  <c r="M21" i="21"/>
  <c r="N21" i="21" s="1"/>
  <c r="M22" i="21"/>
  <c r="N22" i="21" s="1"/>
  <c r="M23" i="21"/>
  <c r="N23" i="21" s="1"/>
  <c r="M24" i="21"/>
  <c r="N24" i="21" s="1"/>
  <c r="M25" i="21"/>
  <c r="N25" i="21" s="1"/>
  <c r="M26" i="21"/>
  <c r="N26" i="21" s="1"/>
  <c r="M27" i="21"/>
  <c r="N27" i="21" s="1"/>
  <c r="M28" i="21"/>
  <c r="N28" i="21" s="1"/>
  <c r="M29" i="21"/>
  <c r="N29" i="21" s="1"/>
  <c r="M30" i="21"/>
  <c r="N30" i="21" s="1"/>
  <c r="M31" i="21"/>
  <c r="N31" i="21" s="1"/>
  <c r="M32" i="21"/>
  <c r="N32" i="21" s="1"/>
  <c r="M33" i="21"/>
  <c r="N33" i="21" s="1"/>
  <c r="M34" i="21"/>
  <c r="N34" i="21" s="1"/>
  <c r="M35" i="21"/>
  <c r="N35" i="21" s="1"/>
  <c r="M36" i="21"/>
  <c r="N36" i="21" s="1"/>
  <c r="M37" i="21"/>
  <c r="N37" i="21" s="1"/>
  <c r="M38" i="21"/>
  <c r="N38" i="21" s="1"/>
  <c r="M39" i="21"/>
  <c r="N39" i="21" s="1"/>
  <c r="M40" i="21"/>
  <c r="N40" i="21" s="1"/>
  <c r="M41" i="21"/>
  <c r="N41" i="21" s="1"/>
  <c r="M42" i="21"/>
  <c r="N42" i="21" s="1"/>
  <c r="M43" i="21"/>
  <c r="N43" i="21" s="1"/>
  <c r="M44" i="21"/>
  <c r="N44" i="21" s="1"/>
  <c r="M45" i="21"/>
  <c r="N45" i="21" s="1"/>
  <c r="M46" i="21"/>
  <c r="N46" i="21" s="1"/>
  <c r="M47" i="21"/>
  <c r="N47" i="21" s="1"/>
  <c r="M48" i="21"/>
  <c r="N48" i="21" s="1"/>
  <c r="M49" i="21"/>
  <c r="N49" i="21" s="1"/>
  <c r="M50" i="21"/>
  <c r="N50" i="21" s="1"/>
  <c r="M51" i="21"/>
  <c r="N51" i="21" s="1"/>
  <c r="M52" i="21"/>
  <c r="N52" i="21" s="1"/>
  <c r="M53" i="21"/>
  <c r="N53" i="21" s="1"/>
  <c r="M54" i="21"/>
  <c r="N54" i="21" s="1"/>
  <c r="M55" i="21"/>
  <c r="N55" i="21" s="1"/>
  <c r="M56" i="21"/>
  <c r="N56" i="21" s="1"/>
  <c r="M57" i="21"/>
  <c r="N57" i="21" s="1"/>
  <c r="M58" i="21"/>
  <c r="N58" i="21" s="1"/>
  <c r="M59" i="21"/>
  <c r="N59" i="21" s="1"/>
  <c r="M60" i="21"/>
  <c r="N60" i="21" s="1"/>
  <c r="M61" i="21"/>
  <c r="N61" i="21" s="1"/>
  <c r="M62" i="21"/>
  <c r="N62" i="21" s="1"/>
  <c r="M63" i="21"/>
  <c r="N63" i="21" s="1"/>
  <c r="M64" i="21"/>
  <c r="N64" i="21" s="1"/>
  <c r="M65" i="21"/>
  <c r="N65" i="21" s="1"/>
  <c r="M66" i="21"/>
  <c r="N66" i="21" s="1"/>
  <c r="M67" i="21"/>
  <c r="N67" i="21" s="1"/>
  <c r="M68" i="21"/>
  <c r="N68" i="21" s="1"/>
  <c r="M69" i="21"/>
  <c r="N69" i="21" s="1"/>
  <c r="M70" i="21"/>
  <c r="N70" i="21" s="1"/>
  <c r="M71" i="21"/>
  <c r="N71" i="21" s="1"/>
  <c r="M72" i="21"/>
  <c r="N72" i="21" s="1"/>
  <c r="M73" i="21"/>
  <c r="N73" i="21" s="1"/>
  <c r="M74" i="21"/>
  <c r="N74" i="21" s="1"/>
  <c r="M75" i="21"/>
  <c r="N75" i="21" s="1"/>
  <c r="M76" i="21"/>
  <c r="N76" i="21" s="1"/>
  <c r="M77" i="21"/>
  <c r="N77" i="21" s="1"/>
  <c r="M78" i="21"/>
  <c r="N78" i="21" s="1"/>
  <c r="M79" i="21"/>
  <c r="N79" i="21" s="1"/>
  <c r="M80" i="21"/>
  <c r="N80" i="21" s="1"/>
  <c r="M81" i="21"/>
  <c r="N81" i="21" s="1"/>
  <c r="M82" i="21"/>
  <c r="N82" i="21" s="1"/>
  <c r="M83" i="21"/>
  <c r="N83" i="21" s="1"/>
  <c r="M84" i="21"/>
  <c r="N84" i="21" s="1"/>
  <c r="M85" i="21"/>
  <c r="N85" i="21" s="1"/>
  <c r="M86" i="21"/>
  <c r="N86" i="21" s="1"/>
  <c r="M87" i="21"/>
  <c r="N87" i="21" s="1"/>
  <c r="M88" i="21"/>
  <c r="N88" i="21" s="1"/>
  <c r="M89" i="21"/>
  <c r="N89" i="21" s="1"/>
  <c r="M90" i="21"/>
  <c r="N90" i="21" s="1"/>
  <c r="M91" i="21"/>
  <c r="N91" i="21" s="1"/>
  <c r="M92" i="21"/>
  <c r="N92" i="21" s="1"/>
  <c r="M93" i="21"/>
  <c r="N93" i="21" s="1"/>
  <c r="M94" i="21"/>
  <c r="N94" i="21" s="1"/>
  <c r="M95" i="21"/>
  <c r="N95" i="21" s="1"/>
  <c r="M96" i="21"/>
  <c r="N96" i="21" s="1"/>
  <c r="J100" i="23"/>
  <c r="P98" i="23" s="1"/>
  <c r="N98" i="23" l="1"/>
  <c r="T98" i="23"/>
  <c r="M100" i="21"/>
  <c r="N9" i="21"/>
  <c r="P15" i="23"/>
  <c r="P16" i="23"/>
  <c r="P14" i="23"/>
  <c r="P12" i="23"/>
  <c r="P13" i="23"/>
  <c r="P11" i="23"/>
  <c r="P17" i="23"/>
  <c r="P10" i="23"/>
  <c r="N10" i="23"/>
  <c r="N15" i="23"/>
  <c r="N14" i="23"/>
  <c r="N11" i="23"/>
  <c r="N16" i="23"/>
  <c r="N12" i="23"/>
  <c r="N13" i="23"/>
  <c r="N18" i="23"/>
  <c r="N17" i="23"/>
  <c r="P18" i="23"/>
  <c r="T12" i="23"/>
  <c r="P19" i="23"/>
  <c r="N19" i="23"/>
  <c r="T17" i="23"/>
  <c r="T20" i="23"/>
  <c r="T15" i="23"/>
  <c r="T19" i="23"/>
  <c r="T13" i="23"/>
  <c r="T14" i="23"/>
  <c r="T16" i="23"/>
  <c r="T11" i="23"/>
  <c r="T18" i="23"/>
  <c r="T10" i="23"/>
  <c r="P20" i="23"/>
  <c r="N20" i="23"/>
  <c r="P21" i="23"/>
  <c r="N21" i="23"/>
  <c r="T21" i="23"/>
  <c r="P22" i="23"/>
  <c r="N22" i="23"/>
  <c r="T22" i="23"/>
  <c r="P23" i="23"/>
  <c r="N23" i="23"/>
  <c r="T23" i="23"/>
  <c r="P24" i="23"/>
  <c r="N24" i="23"/>
  <c r="T24" i="23"/>
  <c r="P25" i="23"/>
  <c r="N25" i="23"/>
  <c r="T25" i="23"/>
  <c r="P26" i="23"/>
  <c r="N26" i="23"/>
  <c r="T26" i="23"/>
  <c r="T27" i="23"/>
  <c r="P27" i="23"/>
  <c r="N27" i="23"/>
  <c r="P28" i="23"/>
  <c r="N28" i="23"/>
  <c r="T28" i="23"/>
  <c r="P29" i="23"/>
  <c r="N29" i="23"/>
  <c r="T29" i="23"/>
  <c r="P30" i="23"/>
  <c r="N30" i="23"/>
  <c r="T30" i="23"/>
  <c r="P31" i="23"/>
  <c r="N31" i="23"/>
  <c r="T31" i="23"/>
  <c r="T32" i="23"/>
  <c r="P32" i="23"/>
  <c r="N32" i="23"/>
  <c r="P33" i="23"/>
  <c r="T33" i="23"/>
  <c r="N33" i="23"/>
  <c r="N34" i="23"/>
  <c r="P34" i="23"/>
  <c r="T34" i="23"/>
  <c r="N35" i="23"/>
  <c r="T35" i="23"/>
  <c r="P35" i="23"/>
  <c r="N36" i="23"/>
  <c r="P36" i="23"/>
  <c r="T36" i="23"/>
  <c r="P37" i="23"/>
  <c r="N37" i="23"/>
  <c r="T37" i="23"/>
  <c r="T38" i="23"/>
  <c r="P38" i="23"/>
  <c r="N38" i="23"/>
  <c r="N39" i="23"/>
  <c r="T39" i="23"/>
  <c r="P39" i="23"/>
  <c r="N40" i="23"/>
  <c r="T40" i="23"/>
  <c r="P40" i="23"/>
  <c r="T41" i="23"/>
  <c r="N41" i="23"/>
  <c r="P41" i="23"/>
  <c r="P42" i="23"/>
  <c r="N42" i="23"/>
  <c r="T42" i="23"/>
  <c r="N43" i="23"/>
  <c r="T43" i="23"/>
  <c r="P43" i="23"/>
  <c r="P44" i="23"/>
  <c r="N44" i="23"/>
  <c r="T44" i="23"/>
  <c r="P45" i="23"/>
  <c r="N45" i="23"/>
  <c r="T45" i="23"/>
  <c r="T46" i="23"/>
  <c r="N46" i="23"/>
  <c r="P46" i="23"/>
  <c r="P47" i="23"/>
  <c r="T47" i="23"/>
  <c r="N47" i="23"/>
  <c r="P48" i="23"/>
  <c r="N48" i="23"/>
  <c r="T48" i="23"/>
  <c r="T49" i="23"/>
  <c r="N49" i="23"/>
  <c r="P49" i="23"/>
  <c r="P50" i="23"/>
  <c r="N50" i="23"/>
  <c r="T50" i="23"/>
  <c r="T51" i="23"/>
  <c r="P51" i="23"/>
  <c r="N51" i="23"/>
  <c r="T52" i="23"/>
  <c r="P52" i="23"/>
  <c r="N52" i="23"/>
  <c r="P53" i="23"/>
  <c r="N53" i="23"/>
  <c r="T53" i="23"/>
  <c r="P54" i="23"/>
  <c r="N54" i="23"/>
  <c r="T54" i="23"/>
  <c r="P55" i="23"/>
  <c r="T55" i="23"/>
  <c r="N55" i="23"/>
  <c r="P56" i="23"/>
  <c r="T56" i="23"/>
  <c r="N56" i="23"/>
  <c r="P57" i="23"/>
  <c r="N57" i="23"/>
  <c r="T57" i="23"/>
  <c r="N58" i="23"/>
  <c r="T58" i="23"/>
  <c r="P58" i="23"/>
  <c r="P59" i="23"/>
  <c r="T59" i="23"/>
  <c r="N59" i="23"/>
  <c r="P60" i="23"/>
  <c r="N60" i="23"/>
  <c r="T60" i="23"/>
  <c r="N61" i="23"/>
  <c r="T61" i="23"/>
  <c r="P61" i="23"/>
  <c r="T62" i="23"/>
  <c r="P62" i="23"/>
  <c r="N62" i="23"/>
  <c r="N63" i="23"/>
  <c r="T63" i="23"/>
  <c r="P63" i="23"/>
  <c r="P64" i="23"/>
  <c r="N64" i="23"/>
  <c r="T64" i="23"/>
  <c r="P65" i="23"/>
  <c r="N65" i="23"/>
  <c r="T65" i="23"/>
  <c r="P66" i="23"/>
  <c r="T66" i="23"/>
  <c r="N66" i="23"/>
  <c r="P67" i="23"/>
  <c r="T67" i="23"/>
  <c r="N67" i="23"/>
  <c r="N68" i="23"/>
  <c r="P68" i="23"/>
  <c r="T68" i="23"/>
  <c r="P69" i="23"/>
  <c r="N69" i="23"/>
  <c r="T69" i="23"/>
  <c r="P70" i="23"/>
  <c r="N70" i="23"/>
  <c r="T70" i="23"/>
  <c r="P71" i="23"/>
  <c r="N71" i="23"/>
  <c r="T71" i="23"/>
  <c r="N72" i="23"/>
  <c r="T72" i="23"/>
  <c r="P72" i="23"/>
  <c r="N73" i="23"/>
  <c r="P73" i="23"/>
  <c r="T73" i="23"/>
  <c r="P74" i="23"/>
  <c r="T74" i="23"/>
  <c r="N74" i="23"/>
  <c r="P75" i="23"/>
  <c r="N75" i="23"/>
  <c r="T75" i="23"/>
  <c r="P76" i="23"/>
  <c r="N76" i="23"/>
  <c r="T76" i="23"/>
  <c r="P77" i="23"/>
  <c r="N77" i="23"/>
  <c r="T77" i="23"/>
  <c r="T78" i="23"/>
  <c r="N78" i="23"/>
  <c r="P78" i="23"/>
  <c r="T79" i="23"/>
  <c r="P79" i="23"/>
  <c r="N79" i="23"/>
  <c r="P80" i="23"/>
  <c r="N80" i="23"/>
  <c r="T80" i="23"/>
  <c r="P81" i="23"/>
  <c r="N81" i="23"/>
  <c r="T81" i="23"/>
  <c r="P82" i="23"/>
  <c r="T82" i="23"/>
  <c r="N82" i="23"/>
  <c r="P83" i="23"/>
  <c r="N83" i="23"/>
  <c r="T83" i="23"/>
  <c r="P84" i="23"/>
  <c r="N84" i="23"/>
  <c r="T84" i="23"/>
  <c r="T85" i="23"/>
  <c r="P85" i="23"/>
  <c r="N85" i="23"/>
  <c r="P86" i="23"/>
  <c r="N86" i="23"/>
  <c r="T86" i="23"/>
  <c r="P87" i="23"/>
  <c r="N87" i="23"/>
  <c r="T87" i="23"/>
  <c r="P88" i="23"/>
  <c r="N88" i="23"/>
  <c r="T88" i="23"/>
  <c r="P89" i="23"/>
  <c r="N89" i="23"/>
  <c r="T89" i="23"/>
  <c r="P90" i="23"/>
  <c r="N90" i="23"/>
  <c r="T90" i="23"/>
  <c r="P91" i="23"/>
  <c r="N91" i="23"/>
  <c r="T91" i="23"/>
  <c r="P92" i="23"/>
  <c r="T92" i="23"/>
  <c r="N92" i="23"/>
  <c r="P93" i="23"/>
  <c r="N93" i="23"/>
  <c r="T93" i="23"/>
  <c r="P94" i="23"/>
  <c r="N94" i="23"/>
  <c r="T94" i="23"/>
  <c r="P95" i="23"/>
  <c r="N95" i="23"/>
  <c r="T95" i="23"/>
  <c r="P96" i="23"/>
  <c r="T96" i="23"/>
  <c r="N96" i="23"/>
  <c r="P97" i="23"/>
  <c r="T97" i="23"/>
  <c r="N97" i="23"/>
  <c r="N104" i="23" l="1"/>
  <c r="P104" i="23"/>
  <c r="T104" i="23"/>
  <c r="N100" i="21"/>
  <c r="O9" i="21" s="1"/>
  <c r="P9" i="21" l="1"/>
  <c r="X8" i="9"/>
  <c r="O97" i="21"/>
  <c r="P97" i="21" s="1"/>
  <c r="O78" i="21"/>
  <c r="P78" i="21" s="1"/>
  <c r="O61" i="21"/>
  <c r="P61" i="21" s="1"/>
  <c r="O62" i="21"/>
  <c r="P62" i="21" s="1"/>
  <c r="O68" i="21"/>
  <c r="P68" i="21" s="1"/>
  <c r="O91" i="21"/>
  <c r="P91" i="21" s="1"/>
  <c r="O42" i="21"/>
  <c r="P42" i="21" s="1"/>
  <c r="O35" i="21"/>
  <c r="P35" i="21" s="1"/>
  <c r="O41" i="21"/>
  <c r="P41" i="21" s="1"/>
  <c r="O43" i="21"/>
  <c r="P43" i="21" s="1"/>
  <c r="O56" i="21"/>
  <c r="P56" i="21" s="1"/>
  <c r="O87" i="21"/>
  <c r="P87" i="21" s="1"/>
  <c r="O23" i="21"/>
  <c r="P23" i="21" s="1"/>
  <c r="O71" i="21"/>
  <c r="P71" i="21" s="1"/>
  <c r="O55" i="21"/>
  <c r="P55" i="21" s="1"/>
  <c r="O31" i="21"/>
  <c r="P31" i="21" s="1"/>
  <c r="O54" i="21"/>
  <c r="P54" i="21" s="1"/>
  <c r="O53" i="21"/>
  <c r="P53" i="21" s="1"/>
  <c r="O46" i="21"/>
  <c r="P46" i="21" s="1"/>
  <c r="O60" i="21"/>
  <c r="P60" i="21" s="1"/>
  <c r="O51" i="21"/>
  <c r="P51" i="21" s="1"/>
  <c r="O34" i="21"/>
  <c r="P34" i="21" s="1"/>
  <c r="O19" i="21"/>
  <c r="P19" i="21" s="1"/>
  <c r="O33" i="21"/>
  <c r="P33" i="21" s="1"/>
  <c r="O10" i="21"/>
  <c r="P10" i="21" s="1"/>
  <c r="O48" i="21"/>
  <c r="P48" i="21" s="1"/>
  <c r="O79" i="21"/>
  <c r="P79" i="21" s="1"/>
  <c r="O15" i="21"/>
  <c r="P15" i="21" s="1"/>
  <c r="O38" i="21"/>
  <c r="P38" i="21" s="1"/>
  <c r="O45" i="21"/>
  <c r="P45" i="21" s="1"/>
  <c r="O30" i="21"/>
  <c r="P30" i="21" s="1"/>
  <c r="O52" i="21"/>
  <c r="P52" i="21" s="1"/>
  <c r="O27" i="21"/>
  <c r="P27" i="21" s="1"/>
  <c r="O26" i="21"/>
  <c r="P26" i="21" s="1"/>
  <c r="O82" i="21"/>
  <c r="P82" i="21" s="1"/>
  <c r="O25" i="21"/>
  <c r="P25" i="21" s="1"/>
  <c r="O89" i="21"/>
  <c r="P89" i="21" s="1"/>
  <c r="O40" i="21"/>
  <c r="P40" i="21" s="1"/>
  <c r="O63" i="21"/>
  <c r="P63" i="21" s="1"/>
  <c r="O14" i="21"/>
  <c r="P14" i="21" s="1"/>
  <c r="O37" i="21"/>
  <c r="P37" i="21" s="1"/>
  <c r="O22" i="21"/>
  <c r="P22" i="21" s="1"/>
  <c r="O44" i="21"/>
  <c r="P44" i="21" s="1"/>
  <c r="O90" i="21"/>
  <c r="P90" i="21" s="1"/>
  <c r="O18" i="21"/>
  <c r="P18" i="21" s="1"/>
  <c r="O81" i="21"/>
  <c r="P81" i="21" s="1"/>
  <c r="O17" i="21"/>
  <c r="P17" i="21" s="1"/>
  <c r="O96" i="21"/>
  <c r="P96" i="21" s="1"/>
  <c r="O32" i="21"/>
  <c r="P32" i="21" s="1"/>
  <c r="O93" i="21"/>
  <c r="P93" i="21" s="1"/>
  <c r="O29" i="21"/>
  <c r="P29" i="21" s="1"/>
  <c r="O36" i="21"/>
  <c r="P36" i="21" s="1"/>
  <c r="O74" i="21"/>
  <c r="P74" i="21" s="1"/>
  <c r="O11" i="21"/>
  <c r="P11" i="21" s="1"/>
  <c r="O73" i="21"/>
  <c r="P73" i="21" s="1"/>
  <c r="O88" i="21"/>
  <c r="P88" i="21" s="1"/>
  <c r="O24" i="21"/>
  <c r="P24" i="21" s="1"/>
  <c r="O85" i="21"/>
  <c r="P85" i="21" s="1"/>
  <c r="O21" i="21"/>
  <c r="P21" i="21" s="1"/>
  <c r="O92" i="21"/>
  <c r="P92" i="21" s="1"/>
  <c r="O28" i="21"/>
  <c r="P28" i="21" s="1"/>
  <c r="O66" i="21"/>
  <c r="P66" i="21" s="1"/>
  <c r="O86" i="21"/>
  <c r="P86" i="21" s="1"/>
  <c r="O65" i="21"/>
  <c r="P65" i="21" s="1"/>
  <c r="O80" i="21"/>
  <c r="P80" i="21" s="1"/>
  <c r="O16" i="21"/>
  <c r="P16" i="21" s="1"/>
  <c r="O47" i="21"/>
  <c r="P47" i="21" s="1"/>
  <c r="O39" i="21"/>
  <c r="P39" i="21" s="1"/>
  <c r="O77" i="21"/>
  <c r="P77" i="21" s="1"/>
  <c r="O13" i="21"/>
  <c r="P13" i="21" s="1"/>
  <c r="O84" i="21"/>
  <c r="P84" i="21" s="1"/>
  <c r="O20" i="21"/>
  <c r="P20" i="21" s="1"/>
  <c r="O58" i="21"/>
  <c r="P58" i="21" s="1"/>
  <c r="O83" i="21"/>
  <c r="P83" i="21" s="1"/>
  <c r="O57" i="21"/>
  <c r="P57" i="21" s="1"/>
  <c r="O70" i="21"/>
  <c r="P70" i="21" s="1"/>
  <c r="O72" i="21"/>
  <c r="P72" i="21" s="1"/>
  <c r="O67" i="21"/>
  <c r="P67" i="21" s="1"/>
  <c r="O69" i="21"/>
  <c r="P69" i="21" s="1"/>
  <c r="O94" i="21"/>
  <c r="P94" i="21" s="1"/>
  <c r="O76" i="21"/>
  <c r="P76" i="21" s="1"/>
  <c r="O12" i="21"/>
  <c r="P12" i="21" s="1"/>
  <c r="O50" i="21"/>
  <c r="P50" i="21" s="1"/>
  <c r="O59" i="21"/>
  <c r="P59" i="21" s="1"/>
  <c r="O49" i="21"/>
  <c r="P49" i="21" s="1"/>
  <c r="O75" i="21"/>
  <c r="P75" i="21" s="1"/>
  <c r="O64" i="21"/>
  <c r="P64" i="21" s="1"/>
  <c r="O95" i="21"/>
  <c r="P95" i="21" s="1"/>
  <c r="O100" i="21" l="1"/>
  <c r="P100" i="21"/>
  <c r="O102" i="21" s="1"/>
  <c r="O103" i="21" l="1"/>
  <c r="X60" i="42" l="1"/>
  <c r="C79" i="7" l="1"/>
  <c r="F25" i="28"/>
  <c r="H71" i="47"/>
  <c r="B114" i="47" s="1"/>
  <c r="B117" i="47" s="1"/>
  <c r="F47" i="19"/>
  <c r="M47" i="19" l="1"/>
  <c r="M64" i="19" s="1"/>
  <c r="O47" i="19"/>
  <c r="K47" i="19"/>
  <c r="I47" i="19"/>
  <c r="G16" i="36"/>
  <c r="G26" i="36" s="1"/>
  <c r="G34" i="36" s="1"/>
  <c r="H79" i="47"/>
  <c r="AJ64" i="47"/>
  <c r="F9" i="19" l="1"/>
  <c r="H49" i="3"/>
  <c r="I10" i="47"/>
  <c r="AJ10" i="47" l="1"/>
  <c r="I11" i="47"/>
  <c r="K11" i="47" l="1"/>
  <c r="F41" i="19"/>
  <c r="F20" i="28"/>
  <c r="K41" i="19" l="1"/>
  <c r="O41" i="19" s="1"/>
  <c r="I41" i="19"/>
  <c r="M41" i="19"/>
  <c r="M52" i="19" s="1"/>
  <c r="M59" i="19" l="1"/>
  <c r="M61" i="19" s="1"/>
  <c r="M68" i="19" s="1"/>
  <c r="G5" i="36"/>
  <c r="G9" i="36" s="1"/>
  <c r="M75" i="19"/>
  <c r="M78" i="19" s="1"/>
  <c r="K83" i="19" l="1"/>
  <c r="M80" i="19"/>
  <c r="G36" i="36"/>
  <c r="G11" i="36"/>
  <c r="G28" i="36" s="1"/>
  <c r="F60" i="1" l="1"/>
  <c r="F42" i="19" l="1"/>
  <c r="O42" i="19" s="1"/>
  <c r="F21" i="28"/>
  <c r="G26" i="28" s="1"/>
  <c r="K9" i="29" s="1"/>
  <c r="K42" i="19"/>
  <c r="I42" i="19"/>
  <c r="W26" i="28" l="1"/>
  <c r="G28" i="28"/>
  <c r="U28" i="28" s="1"/>
  <c r="Z28" i="28" l="1"/>
  <c r="F33" i="10" l="1"/>
  <c r="F34" i="10" l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D50" i="10" l="1"/>
  <c r="F39" i="1" l="1"/>
  <c r="F29" i="19" l="1"/>
  <c r="F45" i="1"/>
  <c r="F75" i="1" s="1"/>
  <c r="H84" i="1" l="1"/>
  <c r="B5" i="48"/>
  <c r="H81" i="1"/>
  <c r="F6" i="2"/>
  <c r="K29" i="19"/>
  <c r="K52" i="19" s="1"/>
  <c r="O29" i="19"/>
  <c r="O52" i="19" s="1"/>
  <c r="I29" i="19"/>
  <c r="I52" i="19" s="1"/>
  <c r="F52" i="19"/>
  <c r="C8" i="48" l="1"/>
  <c r="C6" i="48"/>
  <c r="C7" i="48"/>
  <c r="H10" i="2"/>
  <c r="F55" i="2"/>
  <c r="F64" i="2" l="1"/>
  <c r="F66" i="2" s="1"/>
  <c r="F68" i="2" s="1"/>
  <c r="F57" i="2"/>
  <c r="F59" i="2" s="1"/>
  <c r="H14" i="2"/>
  <c r="F10" i="2"/>
  <c r="F14" i="2" s="1"/>
  <c r="F71" i="2" l="1"/>
  <c r="F75" i="2" s="1"/>
  <c r="F46" i="10" s="1"/>
  <c r="W15" i="9"/>
  <c r="H16" i="2"/>
  <c r="F9" i="1" l="1"/>
  <c r="F8" i="19"/>
  <c r="V100" i="23"/>
  <c r="H20" i="2"/>
  <c r="F16" i="2"/>
  <c r="T15" i="9"/>
  <c r="T17" i="9" s="1"/>
  <c r="T24" i="9" s="1"/>
  <c r="T26" i="9" s="1"/>
  <c r="H15" i="9"/>
  <c r="H17" i="9" s="1"/>
  <c r="H24" i="9" s="1"/>
  <c r="H26" i="9" s="1"/>
  <c r="W17" i="9"/>
  <c r="S15" i="9"/>
  <c r="S17" i="9" s="1"/>
  <c r="S24" i="9" s="1"/>
  <c r="S26" i="9" s="1"/>
  <c r="C15" i="9"/>
  <c r="L15" i="9"/>
  <c r="L17" i="9" s="1"/>
  <c r="L24" i="9" s="1"/>
  <c r="L26" i="9" s="1"/>
  <c r="Q15" i="9"/>
  <c r="Q17" i="9" s="1"/>
  <c r="Q24" i="9" s="1"/>
  <c r="Q26" i="9" s="1"/>
  <c r="J15" i="9"/>
  <c r="J17" i="9" s="1"/>
  <c r="J24" i="9" s="1"/>
  <c r="J26" i="9" s="1"/>
  <c r="R15" i="9"/>
  <c r="R17" i="9" s="1"/>
  <c r="R24" i="9" s="1"/>
  <c r="R26" i="9" s="1"/>
  <c r="E15" i="9"/>
  <c r="E17" i="9" s="1"/>
  <c r="E24" i="9" s="1"/>
  <c r="E26" i="9" s="1"/>
  <c r="U15" i="9"/>
  <c r="U17" i="9" s="1"/>
  <c r="U24" i="9" s="1"/>
  <c r="U26" i="9" s="1"/>
  <c r="N15" i="9"/>
  <c r="N17" i="9" s="1"/>
  <c r="N24" i="9" s="1"/>
  <c r="N26" i="9" s="1"/>
  <c r="K15" i="9"/>
  <c r="K17" i="9" s="1"/>
  <c r="K24" i="9" s="1"/>
  <c r="K26" i="9" s="1"/>
  <c r="I15" i="9"/>
  <c r="I17" i="9" s="1"/>
  <c r="I24" i="9" s="1"/>
  <c r="I26" i="9" s="1"/>
  <c r="G15" i="9"/>
  <c r="G17" i="9" s="1"/>
  <c r="G24" i="9" s="1"/>
  <c r="G26" i="9" s="1"/>
  <c r="M15" i="9"/>
  <c r="M17" i="9" s="1"/>
  <c r="M24" i="9" s="1"/>
  <c r="M26" i="9" s="1"/>
  <c r="D15" i="9"/>
  <c r="D17" i="9" s="1"/>
  <c r="D24" i="9" s="1"/>
  <c r="D26" i="9" s="1"/>
  <c r="O15" i="9"/>
  <c r="O17" i="9" s="1"/>
  <c r="O24" i="9" s="1"/>
  <c r="O26" i="9" s="1"/>
  <c r="P15" i="9"/>
  <c r="P17" i="9" s="1"/>
  <c r="P24" i="9" s="1"/>
  <c r="P26" i="9" s="1"/>
  <c r="V15" i="9"/>
  <c r="V17" i="9" s="1"/>
  <c r="V24" i="9" s="1"/>
  <c r="V26" i="9" s="1"/>
  <c r="F15" i="9"/>
  <c r="F17" i="9" s="1"/>
  <c r="F24" i="9" s="1"/>
  <c r="F26" i="9" s="1"/>
  <c r="F10" i="19"/>
  <c r="I10" i="1" l="1"/>
  <c r="I75" i="1" s="1"/>
  <c r="F11" i="19"/>
  <c r="I78" i="1"/>
  <c r="H6" i="26"/>
  <c r="H17" i="26" s="1"/>
  <c r="H46" i="3"/>
  <c r="H51" i="3" s="1"/>
  <c r="I79" i="1"/>
  <c r="F5" i="27"/>
  <c r="F22" i="27" s="1"/>
  <c r="H93" i="47" s="1"/>
  <c r="F39" i="39"/>
  <c r="F40" i="39" s="1"/>
  <c r="R100" i="23"/>
  <c r="E55" i="7"/>
  <c r="E56" i="7" s="1"/>
  <c r="E57" i="7" s="1"/>
  <c r="K15" i="2"/>
  <c r="F20" i="2"/>
  <c r="H24" i="2"/>
  <c r="V82" i="23"/>
  <c r="V95" i="23"/>
  <c r="V84" i="23"/>
  <c r="V34" i="23"/>
  <c r="V89" i="23"/>
  <c r="V97" i="23"/>
  <c r="V56" i="23"/>
  <c r="V73" i="23"/>
  <c r="V68" i="23"/>
  <c r="V72" i="23"/>
  <c r="V38" i="23"/>
  <c r="V92" i="23"/>
  <c r="V47" i="23"/>
  <c r="V85" i="23"/>
  <c r="V70" i="23"/>
  <c r="V26" i="23"/>
  <c r="V30" i="23"/>
  <c r="V75" i="23"/>
  <c r="V81" i="23"/>
  <c r="V17" i="23"/>
  <c r="V49" i="23"/>
  <c r="V18" i="23"/>
  <c r="V98" i="23"/>
  <c r="V93" i="23"/>
  <c r="V63" i="23"/>
  <c r="V80" i="23"/>
  <c r="V78" i="23"/>
  <c r="V52" i="23"/>
  <c r="V13" i="23"/>
  <c r="V29" i="23"/>
  <c r="V62" i="23"/>
  <c r="V32" i="23"/>
  <c r="V43" i="23"/>
  <c r="V42" i="23"/>
  <c r="V55" i="23"/>
  <c r="V64" i="23"/>
  <c r="V24" i="23"/>
  <c r="V31" i="23"/>
  <c r="V27" i="23"/>
  <c r="V65" i="23"/>
  <c r="V20" i="23"/>
  <c r="V53" i="23"/>
  <c r="V90" i="23"/>
  <c r="V33" i="23"/>
  <c r="V66" i="23"/>
  <c r="V74" i="23"/>
  <c r="V35" i="23"/>
  <c r="V44" i="23"/>
  <c r="V14" i="23"/>
  <c r="V96" i="23"/>
  <c r="V86" i="23"/>
  <c r="V46" i="23"/>
  <c r="V67" i="23"/>
  <c r="V83" i="23"/>
  <c r="V69" i="23"/>
  <c r="V91" i="23"/>
  <c r="V19" i="23"/>
  <c r="V25" i="23"/>
  <c r="V10" i="23"/>
  <c r="V16" i="23"/>
  <c r="V59" i="23"/>
  <c r="V28" i="23"/>
  <c r="V54" i="23"/>
  <c r="V15" i="23"/>
  <c r="V45" i="23"/>
  <c r="V39" i="23"/>
  <c r="V23" i="23"/>
  <c r="V76" i="23"/>
  <c r="V51" i="23"/>
  <c r="V58" i="23"/>
  <c r="V79" i="23"/>
  <c r="V61" i="23"/>
  <c r="V41" i="23"/>
  <c r="V77" i="23"/>
  <c r="V11" i="23"/>
  <c r="V48" i="23"/>
  <c r="V21" i="23"/>
  <c r="V88" i="23"/>
  <c r="V71" i="23"/>
  <c r="V87" i="23"/>
  <c r="V12" i="23"/>
  <c r="V50" i="23"/>
  <c r="V36" i="23"/>
  <c r="V37" i="23"/>
  <c r="V40" i="23"/>
  <c r="V22" i="23"/>
  <c r="V57" i="23"/>
  <c r="V60" i="23"/>
  <c r="V94" i="23"/>
  <c r="C17" i="9"/>
  <c r="Y15" i="9"/>
  <c r="X15" i="9"/>
  <c r="M13" i="1"/>
  <c r="I13" i="47"/>
  <c r="H48" i="7" l="1"/>
  <c r="H49" i="7" s="1"/>
  <c r="E58" i="7"/>
  <c r="E59" i="7" s="1"/>
  <c r="R64" i="23"/>
  <c r="R13" i="23"/>
  <c r="R42" i="23"/>
  <c r="R29" i="23"/>
  <c r="R11" i="23"/>
  <c r="R98" i="23"/>
  <c r="R54" i="23"/>
  <c r="R91" i="23"/>
  <c r="R46" i="23"/>
  <c r="R38" i="23"/>
  <c r="R45" i="23"/>
  <c r="R79" i="23"/>
  <c r="R24" i="23"/>
  <c r="R20" i="23"/>
  <c r="R49" i="23"/>
  <c r="R84" i="23"/>
  <c r="R21" i="23"/>
  <c r="R73" i="23"/>
  <c r="R96" i="23"/>
  <c r="R16" i="23"/>
  <c r="R25" i="23"/>
  <c r="R75" i="23"/>
  <c r="R48" i="23"/>
  <c r="R36" i="23"/>
  <c r="R71" i="23"/>
  <c r="R61" i="23"/>
  <c r="R82" i="23"/>
  <c r="R32" i="23"/>
  <c r="R87" i="23"/>
  <c r="R47" i="23"/>
  <c r="R89" i="23"/>
  <c r="R12" i="23"/>
  <c r="R41" i="23"/>
  <c r="R95" i="23"/>
  <c r="R62" i="23"/>
  <c r="R18" i="23"/>
  <c r="R56" i="23"/>
  <c r="R10" i="23"/>
  <c r="R83" i="23"/>
  <c r="R52" i="23"/>
  <c r="R63" i="23"/>
  <c r="R23" i="23"/>
  <c r="R35" i="23"/>
  <c r="R55" i="23"/>
  <c r="R77" i="23"/>
  <c r="R97" i="23"/>
  <c r="R27" i="23"/>
  <c r="R15" i="23"/>
  <c r="R14" i="23"/>
  <c r="R43" i="23"/>
  <c r="R88" i="23"/>
  <c r="R31" i="23"/>
  <c r="R51" i="23"/>
  <c r="R70" i="23"/>
  <c r="R80" i="23"/>
  <c r="R39" i="23"/>
  <c r="R76" i="23"/>
  <c r="R58" i="23"/>
  <c r="R81" i="23"/>
  <c r="R67" i="23"/>
  <c r="R65" i="23"/>
  <c r="R66" i="23"/>
  <c r="R30" i="23"/>
  <c r="R72" i="23"/>
  <c r="R78" i="23"/>
  <c r="R69" i="23"/>
  <c r="R44" i="23"/>
  <c r="R86" i="23"/>
  <c r="R19" i="23"/>
  <c r="R68" i="23"/>
  <c r="R34" i="23"/>
  <c r="R50" i="23"/>
  <c r="R60" i="23"/>
  <c r="R33" i="23"/>
  <c r="R28" i="23"/>
  <c r="R94" i="23"/>
  <c r="R40" i="23"/>
  <c r="R93" i="23"/>
  <c r="R17" i="23"/>
  <c r="R57" i="23"/>
  <c r="R74" i="23"/>
  <c r="R59" i="23"/>
  <c r="R22" i="23"/>
  <c r="R37" i="23"/>
  <c r="R85" i="23"/>
  <c r="R90" i="23"/>
  <c r="R53" i="23"/>
  <c r="R26" i="23"/>
  <c r="R92" i="23"/>
  <c r="H19" i="26"/>
  <c r="H23" i="26"/>
  <c r="J23" i="26" s="1"/>
  <c r="J24" i="26" s="1"/>
  <c r="F24" i="2"/>
  <c r="H38" i="2" s="1"/>
  <c r="H39" i="2" s="1"/>
  <c r="X17" i="9"/>
  <c r="C24" i="9"/>
  <c r="I6" i="29"/>
  <c r="I7" i="41"/>
  <c r="T4" i="28"/>
  <c r="T83" i="28" s="1"/>
  <c r="T84" i="28" s="1"/>
  <c r="E40" i="2"/>
  <c r="D61" i="42"/>
  <c r="H50" i="42"/>
  <c r="H52" i="42" s="1"/>
  <c r="V104" i="23"/>
  <c r="F153" i="33"/>
  <c r="D71" i="33" s="1"/>
  <c r="H71" i="33" s="1"/>
  <c r="L71" i="33" s="1"/>
  <c r="P71" i="33" s="1"/>
  <c r="F145" i="33"/>
  <c r="D63" i="33" s="1"/>
  <c r="H63" i="33" s="1"/>
  <c r="L63" i="33" s="1"/>
  <c r="P63" i="33" s="1"/>
  <c r="F123" i="33"/>
  <c r="D41" i="33" s="1"/>
  <c r="H41" i="33" s="1"/>
  <c r="L41" i="33" s="1"/>
  <c r="P41" i="33" s="1"/>
  <c r="F109" i="33"/>
  <c r="D27" i="33" s="1"/>
  <c r="H27" i="33" s="1"/>
  <c r="L27" i="33" s="1"/>
  <c r="P27" i="33" s="1"/>
  <c r="F133" i="33"/>
  <c r="D51" i="33" s="1"/>
  <c r="H51" i="33" s="1"/>
  <c r="L51" i="33" s="1"/>
  <c r="P51" i="33" s="1"/>
  <c r="F113" i="33"/>
  <c r="D31" i="33" s="1"/>
  <c r="H31" i="33" s="1"/>
  <c r="L31" i="33" s="1"/>
  <c r="P31" i="33" s="1"/>
  <c r="F147" i="33"/>
  <c r="D65" i="33" s="1"/>
  <c r="H65" i="33" s="1"/>
  <c r="L65" i="33" s="1"/>
  <c r="P65" i="33" s="1"/>
  <c r="F137" i="33"/>
  <c r="D55" i="33" s="1"/>
  <c r="H55" i="33" s="1"/>
  <c r="L55" i="33" s="1"/>
  <c r="P55" i="33" s="1"/>
  <c r="F101" i="33"/>
  <c r="D19" i="33" s="1"/>
  <c r="H19" i="33" s="1"/>
  <c r="L19" i="33" s="1"/>
  <c r="P19" i="33" s="1"/>
  <c r="F97" i="33"/>
  <c r="D15" i="33" s="1"/>
  <c r="H15" i="33" s="1"/>
  <c r="L15" i="33" s="1"/>
  <c r="P15" i="33" s="1"/>
  <c r="F143" i="33"/>
  <c r="D61" i="33" s="1"/>
  <c r="H61" i="33" s="1"/>
  <c r="L61" i="33" s="1"/>
  <c r="P61" i="33" s="1"/>
  <c r="F119" i="33"/>
  <c r="D37" i="33" s="1"/>
  <c r="H37" i="33" s="1"/>
  <c r="L37" i="33" s="1"/>
  <c r="P37" i="33" s="1"/>
  <c r="F117" i="33"/>
  <c r="D35" i="33" s="1"/>
  <c r="H35" i="33" s="1"/>
  <c r="L35" i="33" s="1"/>
  <c r="P35" i="33" s="1"/>
  <c r="F93" i="33"/>
  <c r="D11" i="33" s="1"/>
  <c r="H11" i="33" s="1"/>
  <c r="L11" i="33" s="1"/>
  <c r="P11" i="33" s="1"/>
  <c r="F89" i="33"/>
  <c r="F115" i="33"/>
  <c r="D33" i="33" s="1"/>
  <c r="H33" i="33" s="1"/>
  <c r="L33" i="33" s="1"/>
  <c r="P33" i="33" s="1"/>
  <c r="F121" i="33"/>
  <c r="D39" i="33" s="1"/>
  <c r="H39" i="33" s="1"/>
  <c r="L39" i="33" s="1"/>
  <c r="P39" i="33" s="1"/>
  <c r="F129" i="33"/>
  <c r="D47" i="33" s="1"/>
  <c r="H47" i="33" s="1"/>
  <c r="L47" i="33" s="1"/>
  <c r="P47" i="33" s="1"/>
  <c r="F91" i="33"/>
  <c r="D9" i="33" s="1"/>
  <c r="H9" i="33" s="1"/>
  <c r="L9" i="33" s="1"/>
  <c r="P9" i="33" s="1"/>
  <c r="F157" i="33"/>
  <c r="D75" i="33" s="1"/>
  <c r="H75" i="33" s="1"/>
  <c r="L75" i="33" s="1"/>
  <c r="P75" i="33" s="1"/>
  <c r="F135" i="33"/>
  <c r="D53" i="33" s="1"/>
  <c r="H53" i="33" s="1"/>
  <c r="L53" i="33" s="1"/>
  <c r="P53" i="33" s="1"/>
  <c r="F155" i="33"/>
  <c r="D73" i="33" s="1"/>
  <c r="H73" i="33" s="1"/>
  <c r="L73" i="33" s="1"/>
  <c r="P73" i="33" s="1"/>
  <c r="F139" i="33"/>
  <c r="D57" i="33" s="1"/>
  <c r="H57" i="33" s="1"/>
  <c r="L57" i="33" s="1"/>
  <c r="P57" i="33" s="1"/>
  <c r="F95" i="33"/>
  <c r="D13" i="33" s="1"/>
  <c r="H13" i="33" s="1"/>
  <c r="L13" i="33" s="1"/>
  <c r="P13" i="33" s="1"/>
  <c r="F141" i="33"/>
  <c r="D59" i="33" s="1"/>
  <c r="H59" i="33" s="1"/>
  <c r="L59" i="33" s="1"/>
  <c r="P59" i="33" s="1"/>
  <c r="F149" i="33"/>
  <c r="D67" i="33" s="1"/>
  <c r="H67" i="33" s="1"/>
  <c r="L67" i="33" s="1"/>
  <c r="P67" i="33" s="1"/>
  <c r="F111" i="33"/>
  <c r="D29" i="33" s="1"/>
  <c r="H29" i="33" s="1"/>
  <c r="L29" i="33" s="1"/>
  <c r="P29" i="33" s="1"/>
  <c r="F103" i="33"/>
  <c r="D21" i="33" s="1"/>
  <c r="H21" i="33" s="1"/>
  <c r="L21" i="33" s="1"/>
  <c r="P21" i="33" s="1"/>
  <c r="F105" i="33"/>
  <c r="D23" i="33" s="1"/>
  <c r="H23" i="33" s="1"/>
  <c r="L23" i="33" s="1"/>
  <c r="P23" i="33" s="1"/>
  <c r="F127" i="33"/>
  <c r="D45" i="33" s="1"/>
  <c r="H45" i="33" s="1"/>
  <c r="L45" i="33" s="1"/>
  <c r="P45" i="33" s="1"/>
  <c r="F107" i="33"/>
  <c r="D25" i="33" s="1"/>
  <c r="H25" i="33" s="1"/>
  <c r="L25" i="33" s="1"/>
  <c r="P25" i="33" s="1"/>
  <c r="F99" i="33"/>
  <c r="D17" i="33" s="1"/>
  <c r="H17" i="33" s="1"/>
  <c r="L17" i="33" s="1"/>
  <c r="P17" i="33" s="1"/>
  <c r="F131" i="33"/>
  <c r="D49" i="33" s="1"/>
  <c r="H49" i="33" s="1"/>
  <c r="L49" i="33" s="1"/>
  <c r="P49" i="33" s="1"/>
  <c r="F125" i="33"/>
  <c r="D43" i="33" s="1"/>
  <c r="H43" i="33" s="1"/>
  <c r="L43" i="33" s="1"/>
  <c r="P43" i="33" s="1"/>
  <c r="F151" i="33"/>
  <c r="D69" i="33" s="1"/>
  <c r="H69" i="33" s="1"/>
  <c r="L69" i="33" s="1"/>
  <c r="P69" i="33" s="1"/>
  <c r="I14" i="47"/>
  <c r="K14" i="47" s="1"/>
  <c r="AJ13" i="47"/>
  <c r="AJ15" i="47" s="1"/>
  <c r="R104" i="23" l="1"/>
  <c r="F67" i="7"/>
  <c r="F66" i="7"/>
  <c r="F64" i="7"/>
  <c r="F65" i="7"/>
  <c r="D67" i="7"/>
  <c r="D66" i="7"/>
  <c r="D64" i="7"/>
  <c r="C48" i="7"/>
  <c r="C49" i="7" s="1"/>
  <c r="D65" i="7"/>
  <c r="R75" i="33"/>
  <c r="Q75" i="33"/>
  <c r="S75" i="33"/>
  <c r="R55" i="33"/>
  <c r="S55" i="33"/>
  <c r="Q55" i="33"/>
  <c r="S9" i="33"/>
  <c r="Q9" i="33"/>
  <c r="R9" i="33"/>
  <c r="S65" i="33"/>
  <c r="Q65" i="33"/>
  <c r="R65" i="33"/>
  <c r="Q47" i="33"/>
  <c r="R47" i="33"/>
  <c r="S47" i="33"/>
  <c r="R31" i="33"/>
  <c r="S31" i="33"/>
  <c r="Q31" i="33"/>
  <c r="S39" i="33"/>
  <c r="R39" i="33"/>
  <c r="Q39" i="33"/>
  <c r="R51" i="33"/>
  <c r="S51" i="33"/>
  <c r="Q51" i="33"/>
  <c r="R27" i="33"/>
  <c r="Q27" i="33"/>
  <c r="S27" i="33"/>
  <c r="S33" i="33"/>
  <c r="Q33" i="33"/>
  <c r="R33" i="33"/>
  <c r="S29" i="33"/>
  <c r="R29" i="33"/>
  <c r="Q29" i="33"/>
  <c r="F159" i="33"/>
  <c r="D7" i="33"/>
  <c r="S41" i="33"/>
  <c r="R41" i="33"/>
  <c r="Q41" i="33"/>
  <c r="Q11" i="33"/>
  <c r="R11" i="33"/>
  <c r="S11" i="33"/>
  <c r="S63" i="33"/>
  <c r="Q63" i="33"/>
  <c r="R63" i="33"/>
  <c r="I13" i="29"/>
  <c r="I14" i="29"/>
  <c r="I20" i="29"/>
  <c r="I19" i="29"/>
  <c r="I17" i="29"/>
  <c r="I15" i="29"/>
  <c r="I10" i="29"/>
  <c r="I16" i="29"/>
  <c r="I23" i="29"/>
  <c r="I21" i="29"/>
  <c r="I12" i="29"/>
  <c r="I22" i="29"/>
  <c r="I18" i="29"/>
  <c r="I11" i="29"/>
  <c r="S25" i="33"/>
  <c r="Q25" i="33"/>
  <c r="R25" i="33"/>
  <c r="R59" i="33"/>
  <c r="S59" i="33"/>
  <c r="Q59" i="33"/>
  <c r="R35" i="33"/>
  <c r="S35" i="33"/>
  <c r="Q35" i="33"/>
  <c r="S71" i="33"/>
  <c r="R71" i="33"/>
  <c r="Q71" i="33"/>
  <c r="W24" i="9"/>
  <c r="C26" i="9"/>
  <c r="Q45" i="33"/>
  <c r="S45" i="33"/>
  <c r="R45" i="33"/>
  <c r="S13" i="33"/>
  <c r="Q13" i="33"/>
  <c r="R13" i="33"/>
  <c r="R37" i="33"/>
  <c r="S37" i="33"/>
  <c r="Q37" i="33"/>
  <c r="S23" i="33"/>
  <c r="R23" i="33"/>
  <c r="Q23" i="33"/>
  <c r="R69" i="33"/>
  <c r="Q69" i="33"/>
  <c r="S69" i="33"/>
  <c r="S57" i="33"/>
  <c r="R57" i="33"/>
  <c r="Q57" i="33"/>
  <c r="R61" i="33"/>
  <c r="Q61" i="33"/>
  <c r="S61" i="33"/>
  <c r="H53" i="42"/>
  <c r="H54" i="42" s="1"/>
  <c r="H55" i="42" s="1"/>
  <c r="Y52" i="42"/>
  <c r="H26" i="2"/>
  <c r="R21" i="33"/>
  <c r="Q21" i="33"/>
  <c r="S21" i="33"/>
  <c r="Q43" i="33"/>
  <c r="S43" i="33"/>
  <c r="R43" i="33"/>
  <c r="R73" i="33"/>
  <c r="S73" i="33"/>
  <c r="Q73" i="33"/>
  <c r="Q15" i="33"/>
  <c r="S15" i="33"/>
  <c r="R15" i="33"/>
  <c r="Q17" i="33"/>
  <c r="S17" i="33"/>
  <c r="R17" i="33"/>
  <c r="Q67" i="33"/>
  <c r="S67" i="33"/>
  <c r="R67" i="33"/>
  <c r="Q49" i="33"/>
  <c r="R49" i="33"/>
  <c r="S49" i="33"/>
  <c r="S53" i="33"/>
  <c r="Q53" i="33"/>
  <c r="R53" i="33"/>
  <c r="S19" i="33"/>
  <c r="Q19" i="33"/>
  <c r="R19" i="33"/>
  <c r="D69" i="7" l="1"/>
  <c r="F69" i="7"/>
  <c r="H56" i="42"/>
  <c r="C14" i="41"/>
  <c r="E14" i="41" s="1"/>
  <c r="F14" i="41" s="1"/>
  <c r="D15" i="41" s="1"/>
  <c r="Y55" i="42"/>
  <c r="I36" i="29"/>
  <c r="F26" i="2"/>
  <c r="H35" i="2"/>
  <c r="H36" i="2" s="1"/>
  <c r="H30" i="2"/>
  <c r="W26" i="9"/>
  <c r="X26" i="9" s="1"/>
  <c r="X24" i="9"/>
  <c r="C14" i="10"/>
  <c r="Y53" i="42"/>
  <c r="Y54" i="42" s="1"/>
  <c r="D79" i="33"/>
  <c r="H7" i="33"/>
  <c r="L7" i="33" s="1"/>
  <c r="P7" i="33" s="1"/>
  <c r="R7" i="33" l="1"/>
  <c r="R78" i="33" s="1"/>
  <c r="R81" i="33" s="1"/>
  <c r="P78" i="33"/>
  <c r="P81" i="33" s="1"/>
  <c r="S7" i="33"/>
  <c r="S78" i="33" s="1"/>
  <c r="S81" i="33" s="1"/>
  <c r="Q7" i="33"/>
  <c r="Q78" i="33" s="1"/>
  <c r="Q81" i="33" s="1"/>
  <c r="G83" i="28"/>
  <c r="G78" i="28"/>
  <c r="U78" i="28" s="1"/>
  <c r="Y56" i="42"/>
  <c r="F61" i="47"/>
  <c r="F30" i="2"/>
  <c r="G15" i="41"/>
  <c r="E15" i="41"/>
  <c r="F15" i="41" s="1"/>
  <c r="D16" i="41" s="1"/>
  <c r="E16" i="41" l="1"/>
  <c r="F16" i="41" s="1"/>
  <c r="D17" i="41" s="1"/>
  <c r="G16" i="41"/>
  <c r="AJ60" i="47"/>
  <c r="F64" i="47"/>
  <c r="K13" i="47"/>
  <c r="M13" i="47" s="1"/>
  <c r="H6" i="28"/>
  <c r="H61" i="28"/>
  <c r="U61" i="28" s="1"/>
  <c r="H80" i="28"/>
  <c r="U80" i="28" s="1"/>
  <c r="B118" i="47" l="1"/>
  <c r="B119" i="47" s="1"/>
  <c r="B120" i="47" s="1"/>
  <c r="V89" i="47"/>
  <c r="V26" i="47"/>
  <c r="G17" i="41"/>
  <c r="E17" i="41"/>
  <c r="F17" i="41" s="1"/>
  <c r="D18" i="41" s="1"/>
  <c r="I6" i="28"/>
  <c r="I7" i="28" s="1"/>
  <c r="I8" i="28" s="1"/>
  <c r="I9" i="28" s="1"/>
  <c r="I10" i="28" s="1"/>
  <c r="I11" i="28" s="1"/>
  <c r="I12" i="28" s="1"/>
  <c r="I13" i="28" s="1"/>
  <c r="I14" i="28" s="1"/>
  <c r="I15" i="28" s="1"/>
  <c r="I16" i="28" s="1"/>
  <c r="I17" i="28" s="1"/>
  <c r="I18" i="28" s="1"/>
  <c r="I19" i="28" s="1"/>
  <c r="I20" i="28" s="1"/>
  <c r="I21" i="28" s="1"/>
  <c r="I22" i="28" s="1"/>
  <c r="I23" i="28" s="1"/>
  <c r="I24" i="28" s="1"/>
  <c r="I25" i="28" s="1"/>
  <c r="G89" i="28"/>
  <c r="U6" i="28"/>
  <c r="V28" i="47" l="1"/>
  <c r="V27" i="47"/>
  <c r="E18" i="41"/>
  <c r="F18" i="41" s="1"/>
  <c r="D19" i="41" s="1"/>
  <c r="G18" i="41"/>
  <c r="V90" i="47"/>
  <c r="V91" i="47"/>
  <c r="V94" i="47" s="1"/>
  <c r="H26" i="28"/>
  <c r="I26" i="28" s="1"/>
  <c r="I27" i="28" s="1"/>
  <c r="I28" i="28" s="1"/>
  <c r="I29" i="28" s="1"/>
  <c r="X26" i="28" l="1"/>
  <c r="H30" i="28"/>
  <c r="X30" i="28" s="1"/>
  <c r="E19" i="41"/>
  <c r="F19" i="41" s="1"/>
  <c r="D20" i="41" s="1"/>
  <c r="G19" i="41"/>
  <c r="I30" i="28" l="1"/>
  <c r="I31" i="28" s="1"/>
  <c r="I32" i="28" s="1"/>
  <c r="I33" i="28" s="1"/>
  <c r="I34" i="28" s="1"/>
  <c r="I35" i="28" s="1"/>
  <c r="I36" i="28" s="1"/>
  <c r="I37" i="28" s="1"/>
  <c r="I38" i="28" s="1"/>
  <c r="I39" i="28" s="1"/>
  <c r="I40" i="28" s="1"/>
  <c r="I41" i="28" s="1"/>
  <c r="I42" i="28" s="1"/>
  <c r="I43" i="28" s="1"/>
  <c r="I44" i="28" s="1"/>
  <c r="I45" i="28" s="1"/>
  <c r="I46" i="28" s="1"/>
  <c r="I47" i="28" s="1"/>
  <c r="I48" i="28" s="1"/>
  <c r="I49" i="28" s="1"/>
  <c r="I50" i="28" s="1"/>
  <c r="I51" i="28" s="1"/>
  <c r="I52" i="28" s="1"/>
  <c r="I53" i="28" s="1"/>
  <c r="I54" i="28" s="1"/>
  <c r="I55" i="28" s="1"/>
  <c r="I56" i="28" s="1"/>
  <c r="I57" i="28" s="1"/>
  <c r="I58" i="28" s="1"/>
  <c r="I59" i="28" s="1"/>
  <c r="I60" i="28" s="1"/>
  <c r="I61" i="28" s="1"/>
  <c r="I62" i="28" s="1"/>
  <c r="G20" i="41"/>
  <c r="E20" i="41"/>
  <c r="F20" i="41" s="1"/>
  <c r="D21" i="41" s="1"/>
  <c r="Y26" i="28"/>
  <c r="J26" i="28" s="1"/>
  <c r="Z26" i="28" l="1"/>
  <c r="L26" i="28" s="1"/>
  <c r="N26" i="28" s="1"/>
  <c r="B10" i="3"/>
  <c r="C10" i="3" s="1"/>
  <c r="K26" i="28"/>
  <c r="K27" i="28" s="1"/>
  <c r="E21" i="41"/>
  <c r="F21" i="41" s="1"/>
  <c r="D22" i="41" s="1"/>
  <c r="G21" i="41"/>
  <c r="M26" i="28" l="1"/>
  <c r="M27" i="28" s="1"/>
  <c r="M28" i="28" s="1"/>
  <c r="M29" i="28" s="1"/>
  <c r="E10" i="3"/>
  <c r="G22" i="41"/>
  <c r="E22" i="41"/>
  <c r="F22" i="41" s="1"/>
  <c r="D23" i="41" s="1"/>
  <c r="K29" i="28"/>
  <c r="K28" i="28"/>
  <c r="AA26" i="28"/>
  <c r="AB26" i="28" s="1"/>
  <c r="O26" i="28"/>
  <c r="O27" i="28" s="1"/>
  <c r="O28" i="28" s="1"/>
  <c r="O29" i="28" s="1"/>
  <c r="P26" i="28"/>
  <c r="Q26" i="28" l="1"/>
  <c r="Q27" i="28" s="1"/>
  <c r="Q28" i="28" s="1"/>
  <c r="Q29" i="28" s="1"/>
  <c r="U26" i="28"/>
  <c r="AC26" i="28"/>
  <c r="AB27" i="28"/>
  <c r="G23" i="41"/>
  <c r="E23" i="41"/>
  <c r="F23" i="41" s="1"/>
  <c r="D24" i="41" s="1"/>
  <c r="J10" i="29"/>
  <c r="AB28" i="28" l="1"/>
  <c r="AC27" i="28"/>
  <c r="E24" i="41"/>
  <c r="F24" i="41" s="1"/>
  <c r="D25" i="41" s="1"/>
  <c r="G24" i="41"/>
  <c r="K10" i="29"/>
  <c r="E25" i="41" l="1"/>
  <c r="F25" i="41" s="1"/>
  <c r="D26" i="41" s="1"/>
  <c r="G25" i="41"/>
  <c r="G30" i="28"/>
  <c r="AB29" i="28"/>
  <c r="AC29" i="28" s="1"/>
  <c r="AC28" i="28"/>
  <c r="W30" i="28" l="1"/>
  <c r="Y30" i="28" s="1"/>
  <c r="J30" i="28" s="1"/>
  <c r="E26" i="41"/>
  <c r="F26" i="41" s="1"/>
  <c r="D27" i="41" s="1"/>
  <c r="G26" i="41"/>
  <c r="Z30" i="28" l="1"/>
  <c r="L30" i="28" s="1"/>
  <c r="N30" i="28" s="1"/>
  <c r="E27" i="41"/>
  <c r="F27" i="41" s="1"/>
  <c r="D28" i="41" s="1"/>
  <c r="G27" i="41"/>
  <c r="B11" i="3"/>
  <c r="K30" i="28"/>
  <c r="M30" i="28" l="1"/>
  <c r="F11" i="3"/>
  <c r="C11" i="3"/>
  <c r="E28" i="41"/>
  <c r="F28" i="41" s="1"/>
  <c r="D29" i="41" s="1"/>
  <c r="G28" i="41"/>
  <c r="AA30" i="28"/>
  <c r="AB30" i="28" s="1"/>
  <c r="AC30" i="28" s="1"/>
  <c r="P30" i="28"/>
  <c r="O30" i="28"/>
  <c r="Q30" i="28" l="1"/>
  <c r="U30" i="28"/>
  <c r="G29" i="41"/>
  <c r="E29" i="41"/>
  <c r="F29" i="41" s="1"/>
  <c r="D30" i="41" s="1"/>
  <c r="E11" i="3"/>
  <c r="J11" i="29" l="1"/>
  <c r="E30" i="41"/>
  <c r="F30" i="41" s="1"/>
  <c r="G30" i="41"/>
  <c r="X61" i="42" l="1"/>
  <c r="X65" i="42" s="1"/>
  <c r="X67" i="42" s="1"/>
  <c r="D31" i="41"/>
  <c r="K11" i="29"/>
  <c r="G31" i="28" l="1"/>
  <c r="E31" i="41"/>
  <c r="F31" i="41" s="1"/>
  <c r="D32" i="41" s="1"/>
  <c r="G31" i="41"/>
  <c r="G32" i="41" l="1"/>
  <c r="E32" i="41"/>
  <c r="F32" i="41" s="1"/>
  <c r="D33" i="41" s="1"/>
  <c r="W31" i="28"/>
  <c r="Y31" i="28" s="1"/>
  <c r="J31" i="28" s="1"/>
  <c r="Z31" i="28" l="1"/>
  <c r="L31" i="28" s="1"/>
  <c r="M31" i="28" s="1"/>
  <c r="B12" i="3"/>
  <c r="K31" i="28"/>
  <c r="G33" i="41"/>
  <c r="E33" i="41"/>
  <c r="F33" i="41" s="1"/>
  <c r="D34" i="41" s="1"/>
  <c r="N31" i="28" l="1"/>
  <c r="G34" i="41"/>
  <c r="E34" i="41"/>
  <c r="F34" i="41" s="1"/>
  <c r="D35" i="41" s="1"/>
  <c r="F12" i="3"/>
  <c r="C12" i="3"/>
  <c r="AA31" i="28"/>
  <c r="AB31" i="28" s="1"/>
  <c r="AC31" i="28" s="1"/>
  <c r="P31" i="28"/>
  <c r="O31" i="28"/>
  <c r="Q31" i="28" l="1"/>
  <c r="U31" i="28"/>
  <c r="E12" i="3"/>
  <c r="G35" i="41"/>
  <c r="E35" i="41"/>
  <c r="F35" i="41" s="1"/>
  <c r="D36" i="41" s="1"/>
  <c r="E36" i="41" l="1"/>
  <c r="F36" i="41" s="1"/>
  <c r="D37" i="41" s="1"/>
  <c r="G36" i="41"/>
  <c r="J12" i="29"/>
  <c r="K12" i="29" l="1"/>
  <c r="E37" i="41"/>
  <c r="F37" i="41" s="1"/>
  <c r="D38" i="41" s="1"/>
  <c r="G37" i="41"/>
  <c r="G38" i="41" l="1"/>
  <c r="E38" i="41"/>
  <c r="F38" i="41" s="1"/>
  <c r="D39" i="41" s="1"/>
  <c r="G32" i="28"/>
  <c r="W32" i="28" l="1"/>
  <c r="Y32" i="28" s="1"/>
  <c r="J32" i="28" s="1"/>
  <c r="E39" i="41"/>
  <c r="F39" i="41" s="1"/>
  <c r="D40" i="41" s="1"/>
  <c r="G39" i="41"/>
  <c r="Z32" i="28" l="1"/>
  <c r="L32" i="28" s="1"/>
  <c r="M32" i="28" s="1"/>
  <c r="M33" i="28" s="1"/>
  <c r="E40" i="41"/>
  <c r="F40" i="41" s="1"/>
  <c r="D41" i="41" s="1"/>
  <c r="G40" i="41"/>
  <c r="B13" i="3"/>
  <c r="K32" i="28"/>
  <c r="K33" i="28" s="1"/>
  <c r="N32" i="28" l="1"/>
  <c r="F13" i="3"/>
  <c r="C13" i="3"/>
  <c r="AA32" i="28"/>
  <c r="AB32" i="28" s="1"/>
  <c r="P32" i="28"/>
  <c r="O32" i="28"/>
  <c r="O33" i="28" s="1"/>
  <c r="E41" i="41"/>
  <c r="F41" i="41" s="1"/>
  <c r="D42" i="41" s="1"/>
  <c r="G41" i="41"/>
  <c r="E42" i="41" l="1"/>
  <c r="F42" i="41" s="1"/>
  <c r="D43" i="41" s="1"/>
  <c r="G42" i="41"/>
  <c r="Q32" i="28"/>
  <c r="Q33" i="28" s="1"/>
  <c r="U32" i="28"/>
  <c r="AC32" i="28"/>
  <c r="AB33" i="28"/>
  <c r="AC33" i="28" s="1"/>
  <c r="E13" i="3"/>
  <c r="J13" i="29" l="1"/>
  <c r="E43" i="41"/>
  <c r="F43" i="41" s="1"/>
  <c r="D44" i="41" s="1"/>
  <c r="G43" i="41"/>
  <c r="E44" i="41" l="1"/>
  <c r="F44" i="41" s="1"/>
  <c r="D45" i="41" s="1"/>
  <c r="G44" i="41"/>
  <c r="K13" i="29"/>
  <c r="G34" i="28" l="1"/>
  <c r="G45" i="41"/>
  <c r="E45" i="41"/>
  <c r="F45" i="41" s="1"/>
  <c r="D46" i="41" s="1"/>
  <c r="G46" i="41" l="1"/>
  <c r="E46" i="41"/>
  <c r="F46" i="41" s="1"/>
  <c r="D47" i="41" s="1"/>
  <c r="W34" i="28"/>
  <c r="Y34" i="28" s="1"/>
  <c r="J34" i="28" s="1"/>
  <c r="Z34" i="28" l="1"/>
  <c r="L34" i="28" s="1"/>
  <c r="N34" i="28" s="1"/>
  <c r="B14" i="3"/>
  <c r="K34" i="28"/>
  <c r="E47" i="41"/>
  <c r="F47" i="41" s="1"/>
  <c r="D48" i="41" s="1"/>
  <c r="G47" i="41"/>
  <c r="M34" i="28" l="1"/>
  <c r="G48" i="41"/>
  <c r="E48" i="41"/>
  <c r="F48" i="41" s="1"/>
  <c r="D49" i="41" s="1"/>
  <c r="F14" i="3"/>
  <c r="C14" i="3"/>
  <c r="P34" i="28"/>
  <c r="AA34" i="28"/>
  <c r="AB34" i="28" s="1"/>
  <c r="AC34" i="28" s="1"/>
  <c r="O34" i="28"/>
  <c r="Q34" i="28" l="1"/>
  <c r="U34" i="28"/>
  <c r="E14" i="3"/>
  <c r="G49" i="41"/>
  <c r="E49" i="41"/>
  <c r="F49" i="41" s="1"/>
  <c r="D50" i="41" s="1"/>
  <c r="J14" i="29" l="1"/>
  <c r="G50" i="41"/>
  <c r="E50" i="41"/>
  <c r="F50" i="41" s="1"/>
  <c r="K14" i="29" l="1"/>
  <c r="G35" i="28" l="1"/>
  <c r="W35" i="28" l="1"/>
  <c r="Y35" i="28" s="1"/>
  <c r="J35" i="28" s="1"/>
  <c r="Z35" i="28" l="1"/>
  <c r="L35" i="28" s="1"/>
  <c r="N35" i="28" s="1"/>
  <c r="B15" i="3"/>
  <c r="K35" i="28"/>
  <c r="M35" i="28" l="1"/>
  <c r="M36" i="28" s="1"/>
  <c r="K36" i="28"/>
  <c r="F15" i="3"/>
  <c r="C15" i="3"/>
  <c r="AA35" i="28"/>
  <c r="AB35" i="28" s="1"/>
  <c r="P35" i="28"/>
  <c r="O35" i="28"/>
  <c r="O36" i="28" s="1"/>
  <c r="AC35" i="28" l="1"/>
  <c r="AB36" i="28"/>
  <c r="AC36" i="28" s="1"/>
  <c r="Q35" i="28"/>
  <c r="Q36" i="28" s="1"/>
  <c r="U35" i="28"/>
  <c r="E15" i="3"/>
  <c r="J15" i="29" s="1"/>
  <c r="K15" i="29" s="1"/>
  <c r="G37" i="28" s="1"/>
  <c r="W37" i="28" l="1"/>
  <c r="Y37" i="28" s="1"/>
  <c r="J37" i="28" s="1"/>
  <c r="Z37" i="28" l="1"/>
  <c r="L37" i="28" s="1"/>
  <c r="N37" i="28" s="1"/>
  <c r="B16" i="3"/>
  <c r="K37" i="28"/>
  <c r="M37" i="28" l="1"/>
  <c r="F16" i="3"/>
  <c r="C16" i="3"/>
  <c r="AA37" i="28"/>
  <c r="AB37" i="28" s="1"/>
  <c r="AC37" i="28" s="1"/>
  <c r="P37" i="28"/>
  <c r="O37" i="28"/>
  <c r="Q37" i="28" l="1"/>
  <c r="U37" i="28"/>
  <c r="E16" i="3"/>
  <c r="J16" i="29" s="1"/>
  <c r="K16" i="29" s="1"/>
  <c r="G38" i="28" s="1"/>
  <c r="W38" i="28" l="1"/>
  <c r="Y38" i="28" s="1"/>
  <c r="J38" i="28" s="1"/>
  <c r="Z38" i="28" l="1"/>
  <c r="L38" i="28" s="1"/>
  <c r="N38" i="28" s="1"/>
  <c r="B17" i="3"/>
  <c r="K38" i="28"/>
  <c r="M38" i="28" l="1"/>
  <c r="F17" i="3"/>
  <c r="C17" i="3"/>
  <c r="P38" i="28"/>
  <c r="AA38" i="28"/>
  <c r="AB38" i="28" s="1"/>
  <c r="AC38" i="28" s="1"/>
  <c r="O38" i="28"/>
  <c r="Q38" i="28" l="1"/>
  <c r="U38" i="28"/>
  <c r="E17" i="3"/>
  <c r="J17" i="29" s="1"/>
  <c r="K17" i="29" s="1"/>
  <c r="G39" i="28" s="1"/>
  <c r="W39" i="28" l="1"/>
  <c r="Y39" i="28" s="1"/>
  <c r="J39" i="28" s="1"/>
  <c r="B18" i="3" l="1"/>
  <c r="K39" i="28"/>
  <c r="K40" i="28" s="1"/>
  <c r="K41" i="28" s="1"/>
  <c r="Z39" i="28"/>
  <c r="L39" i="28" s="1"/>
  <c r="N39" i="28" l="1"/>
  <c r="M39" i="28"/>
  <c r="M40" i="28" s="1"/>
  <c r="M41" i="28" s="1"/>
  <c r="F18" i="3"/>
  <c r="F34" i="3" s="1"/>
  <c r="H36" i="3" s="1"/>
  <c r="C18" i="3"/>
  <c r="E18" i="3" s="1"/>
  <c r="J18" i="29" s="1"/>
  <c r="K18" i="29" s="1"/>
  <c r="G42" i="28" s="1"/>
  <c r="W42" i="28" l="1"/>
  <c r="Y42" i="28" s="1"/>
  <c r="J42" i="28" s="1"/>
  <c r="AA39" i="28"/>
  <c r="AB39" i="28" s="1"/>
  <c r="P39" i="28"/>
  <c r="O39" i="28"/>
  <c r="O40" i="28" s="1"/>
  <c r="O41" i="28" s="1"/>
  <c r="Z42" i="28" l="1"/>
  <c r="L42" i="28" s="1"/>
  <c r="N42" i="28" s="1"/>
  <c r="O42" i="28" s="1"/>
  <c r="O43" i="28" s="1"/>
  <c r="O44" i="28" s="1"/>
  <c r="Q39" i="28"/>
  <c r="Q40" i="28" s="1"/>
  <c r="Q41" i="28" s="1"/>
  <c r="U39" i="28"/>
  <c r="AC39" i="28"/>
  <c r="AB40" i="28"/>
  <c r="B19" i="3"/>
  <c r="C19" i="3" s="1"/>
  <c r="E19" i="3" s="1"/>
  <c r="J19" i="29" s="1"/>
  <c r="K19" i="29" s="1"/>
  <c r="G45" i="28" s="1"/>
  <c r="K42" i="28"/>
  <c r="K43" i="28" s="1"/>
  <c r="K44" i="28" s="1"/>
  <c r="P42" i="28" l="1"/>
  <c r="U42" i="28" s="1"/>
  <c r="AA42" i="28"/>
  <c r="M42" i="28"/>
  <c r="M43" i="28" s="1"/>
  <c r="M44" i="28" s="1"/>
  <c r="AC40" i="28"/>
  <c r="AB41" i="28"/>
  <c r="AC41" i="28" s="1"/>
  <c r="W45" i="28"/>
  <c r="Y45" i="28" s="1"/>
  <c r="J45" i="28" s="1"/>
  <c r="B20" i="3" s="1"/>
  <c r="C20" i="3" s="1"/>
  <c r="E20" i="3" s="1"/>
  <c r="J20" i="29" s="1"/>
  <c r="K20" i="29" s="1"/>
  <c r="G46" i="28" s="1"/>
  <c r="Q42" i="28" l="1"/>
  <c r="Q43" i="28" s="1"/>
  <c r="Q44" i="28" s="1"/>
  <c r="AB42" i="28"/>
  <c r="AC42" i="28" s="1"/>
  <c r="W46" i="28"/>
  <c r="Y46" i="28" s="1"/>
  <c r="J46" i="28" s="1"/>
  <c r="B21" i="3" s="1"/>
  <c r="C21" i="3" s="1"/>
  <c r="E21" i="3" s="1"/>
  <c r="J21" i="29" s="1"/>
  <c r="K21" i="29" s="1"/>
  <c r="G47" i="28" s="1"/>
  <c r="Z45" i="28"/>
  <c r="L45" i="28" s="1"/>
  <c r="K45" i="28"/>
  <c r="AB43" i="28" l="1"/>
  <c r="AB44" i="28" s="1"/>
  <c r="AC44" i="28" s="1"/>
  <c r="K46" i="28"/>
  <c r="N45" i="28"/>
  <c r="M45" i="28"/>
  <c r="Z46" i="28"/>
  <c r="L46" i="28" s="1"/>
  <c r="N46" i="28" s="1"/>
  <c r="W47" i="28"/>
  <c r="Y47" i="28" s="1"/>
  <c r="J47" i="28" s="1"/>
  <c r="B22" i="3" s="1"/>
  <c r="C22" i="3" s="1"/>
  <c r="E22" i="3" s="1"/>
  <c r="J22" i="29" s="1"/>
  <c r="K22" i="29" s="1"/>
  <c r="G48" i="28" s="1"/>
  <c r="AC43" i="28" l="1"/>
  <c r="W48" i="28"/>
  <c r="Y48" i="28" s="1"/>
  <c r="J48" i="28" s="1"/>
  <c r="B23" i="3" s="1"/>
  <c r="C23" i="3" s="1"/>
  <c r="E23" i="3" s="1"/>
  <c r="J23" i="29" s="1"/>
  <c r="K23" i="29" s="1"/>
  <c r="Z47" i="28"/>
  <c r="L47" i="28" s="1"/>
  <c r="N47" i="28" s="1"/>
  <c r="P46" i="28"/>
  <c r="U46" i="28" s="1"/>
  <c r="AA46" i="28"/>
  <c r="M46" i="28"/>
  <c r="K47" i="28"/>
  <c r="AA45" i="28"/>
  <c r="AB45" i="28" s="1"/>
  <c r="AC45" i="28" s="1"/>
  <c r="P45" i="28"/>
  <c r="O45" i="28"/>
  <c r="O46" i="28" s="1"/>
  <c r="K48" i="28" l="1"/>
  <c r="M47" i="28"/>
  <c r="Z48" i="28"/>
  <c r="L48" i="28" s="1"/>
  <c r="N48" i="28" s="1"/>
  <c r="AA48" i="28" s="1"/>
  <c r="Q45" i="28"/>
  <c r="Q46" i="28" s="1"/>
  <c r="U45" i="28"/>
  <c r="AB46" i="28"/>
  <c r="AC46" i="28" s="1"/>
  <c r="O47" i="28"/>
  <c r="AA47" i="28"/>
  <c r="P47" i="28"/>
  <c r="U47" i="28" s="1"/>
  <c r="P48" i="28"/>
  <c r="U48" i="28" s="1"/>
  <c r="G49" i="28"/>
  <c r="K36" i="29"/>
  <c r="O48" i="28" l="1"/>
  <c r="AB47" i="28"/>
  <c r="AC47" i="28" s="1"/>
  <c r="M48" i="28"/>
  <c r="W49" i="28"/>
  <c r="Y49" i="28" s="1"/>
  <c r="J49" i="28" s="1"/>
  <c r="Q47" i="28"/>
  <c r="Q48" i="28" s="1"/>
  <c r="AB48" i="28" l="1"/>
  <c r="AC48" i="28" s="1"/>
  <c r="Z49" i="28"/>
  <c r="L49" i="28" s="1"/>
  <c r="N49" i="28" s="1"/>
  <c r="B24" i="3"/>
  <c r="C24" i="3" s="1"/>
  <c r="E24" i="3" s="1"/>
  <c r="J24" i="29" s="1"/>
  <c r="K24" i="29" s="1"/>
  <c r="G51" i="28" s="1"/>
  <c r="K49" i="28"/>
  <c r="K50" i="28" s="1"/>
  <c r="M49" i="28" l="1"/>
  <c r="M50" i="28" s="1"/>
  <c r="W51" i="28"/>
  <c r="Y51" i="28" s="1"/>
  <c r="P49" i="28"/>
  <c r="AA49" i="28"/>
  <c r="AB49" i="28" s="1"/>
  <c r="O49" i="28"/>
  <c r="O50" i="28" s="1"/>
  <c r="AB50" i="28" l="1"/>
  <c r="AC50" i="28" s="1"/>
  <c r="AC49" i="28"/>
  <c r="U49" i="28"/>
  <c r="Q49" i="28"/>
  <c r="Q50" i="28" s="1"/>
  <c r="J51" i="28"/>
  <c r="AD51" i="28"/>
  <c r="Z51" i="28" s="1"/>
  <c r="L51" i="28" s="1"/>
  <c r="N51" i="28" l="1"/>
  <c r="M51" i="28"/>
  <c r="M52" i="28" s="1"/>
  <c r="B25" i="3"/>
  <c r="C25" i="3" s="1"/>
  <c r="E25" i="3" s="1"/>
  <c r="J25" i="29" s="1"/>
  <c r="K25" i="29" s="1"/>
  <c r="G53" i="28" s="1"/>
  <c r="K51" i="28"/>
  <c r="K52" i="28" s="1"/>
  <c r="W53" i="28" l="1"/>
  <c r="Y53" i="28" s="1"/>
  <c r="P51" i="28"/>
  <c r="AA51" i="28"/>
  <c r="AB51" i="28" s="1"/>
  <c r="O51" i="28"/>
  <c r="O52" i="28" s="1"/>
  <c r="AC51" i="28" l="1"/>
  <c r="AB52" i="28"/>
  <c r="AC52" i="28" s="1"/>
  <c r="U51" i="28"/>
  <c r="Q51" i="28"/>
  <c r="Q52" i="28" s="1"/>
  <c r="AD53" i="28"/>
  <c r="Z53" i="28" s="1"/>
  <c r="L53" i="28" s="1"/>
  <c r="J53" i="28"/>
  <c r="B26" i="3" l="1"/>
  <c r="C26" i="3" s="1"/>
  <c r="E26" i="3" s="1"/>
  <c r="J26" i="29" s="1"/>
  <c r="K26" i="29" s="1"/>
  <c r="G55" i="28" s="1"/>
  <c r="K53" i="28"/>
  <c r="K54" i="28" s="1"/>
  <c r="N53" i="28"/>
  <c r="M53" i="28"/>
  <c r="M54" i="28" s="1"/>
  <c r="AA53" i="28" l="1"/>
  <c r="AB53" i="28" s="1"/>
  <c r="P53" i="28"/>
  <c r="O53" i="28"/>
  <c r="O54" i="28" s="1"/>
  <c r="W55" i="28"/>
  <c r="Y55" i="28" s="1"/>
  <c r="AD55" i="28" l="1"/>
  <c r="Z55" i="28" s="1"/>
  <c r="L55" i="28" s="1"/>
  <c r="J55" i="28"/>
  <c r="Q53" i="28"/>
  <c r="Q54" i="28" s="1"/>
  <c r="U53" i="28"/>
  <c r="AC53" i="28"/>
  <c r="AB54" i="28"/>
  <c r="AC54" i="28" s="1"/>
  <c r="B27" i="3" l="1"/>
  <c r="C27" i="3" s="1"/>
  <c r="E27" i="3" s="1"/>
  <c r="J27" i="29" s="1"/>
  <c r="K27" i="29" s="1"/>
  <c r="G57" i="28" s="1"/>
  <c r="K55" i="28"/>
  <c r="K56" i="28" s="1"/>
  <c r="N55" i="28"/>
  <c r="M55" i="28"/>
  <c r="M56" i="28" s="1"/>
  <c r="AA55" i="28" l="1"/>
  <c r="AB55" i="28" s="1"/>
  <c r="P55" i="28"/>
  <c r="O55" i="28"/>
  <c r="O56" i="28" s="1"/>
  <c r="W57" i="28"/>
  <c r="Y57" i="28" s="1"/>
  <c r="U55" i="28" l="1"/>
  <c r="Q55" i="28"/>
  <c r="Q56" i="28" s="1"/>
  <c r="AD57" i="28"/>
  <c r="Z57" i="28" s="1"/>
  <c r="L57" i="28" s="1"/>
  <c r="J57" i="28"/>
  <c r="AC55" i="28"/>
  <c r="AB56" i="28"/>
  <c r="AC56" i="28" s="1"/>
  <c r="B28" i="3" l="1"/>
  <c r="C28" i="3" s="1"/>
  <c r="E28" i="3" s="1"/>
  <c r="J28" i="29" s="1"/>
  <c r="K28" i="29" s="1"/>
  <c r="G59" i="28" s="1"/>
  <c r="K57" i="28"/>
  <c r="K58" i="28" s="1"/>
  <c r="N57" i="28"/>
  <c r="M57" i="28"/>
  <c r="M58" i="28" s="1"/>
  <c r="AA57" i="28" l="1"/>
  <c r="AB57" i="28" s="1"/>
  <c r="P57" i="28"/>
  <c r="O57" i="28"/>
  <c r="O58" i="28" s="1"/>
  <c r="W59" i="28"/>
  <c r="Y59" i="28" s="1"/>
  <c r="J59" i="28" s="1"/>
  <c r="B29" i="3" s="1"/>
  <c r="C29" i="3" s="1"/>
  <c r="Z59" i="28" l="1"/>
  <c r="L59" i="28" s="1"/>
  <c r="U57" i="28"/>
  <c r="Q57" i="28"/>
  <c r="Q58" i="28" s="1"/>
  <c r="E29" i="3"/>
  <c r="J29" i="29" s="1"/>
  <c r="K29" i="29" s="1"/>
  <c r="G63" i="28" s="1"/>
  <c r="C30" i="3"/>
  <c r="K59" i="28"/>
  <c r="K60" i="28" s="1"/>
  <c r="K61" i="28" s="1"/>
  <c r="K62" i="28" s="1"/>
  <c r="K63" i="28" s="1"/>
  <c r="K64" i="28" s="1"/>
  <c r="K65" i="28" s="1"/>
  <c r="K66" i="28" s="1"/>
  <c r="K67" i="28" s="1"/>
  <c r="K68" i="28" s="1"/>
  <c r="K69" i="28" s="1"/>
  <c r="K70" i="28" s="1"/>
  <c r="K71" i="28" s="1"/>
  <c r="K72" i="28" s="1"/>
  <c r="K73" i="28" s="1"/>
  <c r="K74" i="28" s="1"/>
  <c r="K75" i="28" s="1"/>
  <c r="K76" i="28" s="1"/>
  <c r="K77" i="28" s="1"/>
  <c r="K78" i="28" s="1"/>
  <c r="K79" i="28" s="1"/>
  <c r="K80" i="28" s="1"/>
  <c r="K81" i="28" s="1"/>
  <c r="AC57" i="28"/>
  <c r="AB58" i="28"/>
  <c r="AC58" i="28" s="1"/>
  <c r="E30" i="3" l="1"/>
  <c r="J30" i="29" s="1"/>
  <c r="K30" i="29" s="1"/>
  <c r="G64" i="28" s="1"/>
  <c r="C31" i="3"/>
  <c r="W63" i="28"/>
  <c r="H63" i="28"/>
  <c r="M59" i="28"/>
  <c r="M60" i="28" s="1"/>
  <c r="M61" i="28" s="1"/>
  <c r="N59" i="28"/>
  <c r="J82" i="28"/>
  <c r="B33" i="3" s="1"/>
  <c r="B34" i="3" s="1"/>
  <c r="K82" i="28" l="1"/>
  <c r="J83" i="28" s="1"/>
  <c r="K83" i="28" s="1"/>
  <c r="X63" i="28"/>
  <c r="Z63" i="28" s="1"/>
  <c r="L63" i="28" s="1"/>
  <c r="I63" i="28"/>
  <c r="M62" i="28"/>
  <c r="M65" i="28"/>
  <c r="M66" i="28" s="1"/>
  <c r="E31" i="3"/>
  <c r="J31" i="29" s="1"/>
  <c r="K31" i="29" s="1"/>
  <c r="G67" i="28" s="1"/>
  <c r="C32" i="3"/>
  <c r="AA59" i="28"/>
  <c r="AB59" i="28" s="1"/>
  <c r="P59" i="28"/>
  <c r="O59" i="28"/>
  <c r="O60" i="28" s="1"/>
  <c r="O61" i="28" s="1"/>
  <c r="W64" i="28"/>
  <c r="H64" i="28"/>
  <c r="X64" i="28" s="1"/>
  <c r="Z64" i="28" s="1"/>
  <c r="L64" i="28" s="1"/>
  <c r="M63" i="28" l="1"/>
  <c r="M64" i="28" s="1"/>
  <c r="C33" i="3"/>
  <c r="E33" i="3" s="1"/>
  <c r="E32" i="3"/>
  <c r="J32" i="29" s="1"/>
  <c r="U59" i="28"/>
  <c r="Q59" i="28"/>
  <c r="Q60" i="28" s="1"/>
  <c r="Q61" i="28" s="1"/>
  <c r="U83" i="28"/>
  <c r="J84" i="28"/>
  <c r="I64" i="28"/>
  <c r="I65" i="28" s="1"/>
  <c r="I66" i="28" s="1"/>
  <c r="AC59" i="28"/>
  <c r="AB60" i="28"/>
  <c r="H67" i="28"/>
  <c r="W67" i="28"/>
  <c r="I67" i="28" l="1"/>
  <c r="I68" i="28" s="1"/>
  <c r="I69" i="28" s="1"/>
  <c r="I70" i="28" s="1"/>
  <c r="I71" i="28" s="1"/>
  <c r="I72" i="28" s="1"/>
  <c r="X67" i="28"/>
  <c r="Z67" i="28" s="1"/>
  <c r="L67" i="28" s="1"/>
  <c r="M67" i="28" s="1"/>
  <c r="M68" i="28" s="1"/>
  <c r="M69" i="28" s="1"/>
  <c r="M70" i="28" s="1"/>
  <c r="M71" i="28" s="1"/>
  <c r="M72" i="28" s="1"/>
  <c r="G90" i="28"/>
  <c r="K32" i="29"/>
  <c r="G73" i="28" s="1"/>
  <c r="J36" i="29"/>
  <c r="AC60" i="28"/>
  <c r="AB61" i="28"/>
  <c r="AC61" i="28" s="1"/>
  <c r="E34" i="3"/>
  <c r="F42" i="47" s="1"/>
  <c r="H73" i="28" l="1"/>
  <c r="X73" i="28" s="1"/>
  <c r="Z73" i="28" s="1"/>
  <c r="L73" i="28" s="1"/>
  <c r="M73" i="28" s="1"/>
  <c r="W73" i="28"/>
  <c r="G84" i="28"/>
  <c r="G88" i="28" s="1"/>
  <c r="F49" i="47"/>
  <c r="F79" i="47" s="1"/>
  <c r="AJ53" i="47"/>
  <c r="AJ61" i="47" s="1"/>
  <c r="AJ69" i="47" s="1"/>
  <c r="I73" i="28" l="1"/>
  <c r="I74" i="28" s="1"/>
  <c r="I75" i="28" s="1"/>
  <c r="I76" i="28" s="1"/>
  <c r="I77" i="28" s="1"/>
  <c r="I78" i="28" s="1"/>
  <c r="I79" i="28" s="1"/>
  <c r="I80" i="28" s="1"/>
  <c r="I81" i="28" s="1"/>
  <c r="H82" i="28" s="1"/>
  <c r="H84" i="28" s="1"/>
  <c r="I79" i="47"/>
  <c r="H87" i="47"/>
  <c r="M78" i="28"/>
  <c r="M79" i="28" s="1"/>
  <c r="M80" i="28" s="1"/>
  <c r="M81" i="28" s="1"/>
  <c r="M74" i="28"/>
  <c r="M75" i="28" s="1"/>
  <c r="I82" i="28" l="1"/>
  <c r="I83" i="28" s="1"/>
  <c r="M77" i="28"/>
  <c r="M76" i="28"/>
  <c r="I82" i="47"/>
  <c r="B105" i="47"/>
  <c r="I84" i="47"/>
  <c r="I83" i="47"/>
  <c r="F97" i="47"/>
  <c r="F99" i="47" s="1"/>
  <c r="F102" i="47" s="1"/>
  <c r="F103" i="47" s="1"/>
  <c r="F105" i="47" s="1"/>
  <c r="F106" i="47" s="1"/>
  <c r="I85" i="47"/>
  <c r="L82" i="28"/>
  <c r="L84" i="28" s="1"/>
  <c r="M82" i="28" l="1"/>
  <c r="M83" i="28" s="1"/>
  <c r="B108" i="47"/>
  <c r="B107" i="47"/>
  <c r="U86" i="28" l="1"/>
  <c r="U91" i="28" s="1"/>
  <c r="U92" i="28" s="1"/>
  <c r="P84" i="28"/>
  <c r="AC73" i="28" l="1"/>
  <c r="AB73" i="28"/>
  <c r="AC70" i="28"/>
  <c r="U63" i="28"/>
  <c r="O76" i="28"/>
  <c r="O74" i="28"/>
  <c r="O75" i="28"/>
  <c r="O77" i="28"/>
  <c r="O64" i="28"/>
  <c r="O63" i="28"/>
  <c r="U71" i="28"/>
  <c r="AA71" i="28"/>
  <c r="N71" i="28"/>
  <c r="P71" i="28"/>
  <c r="AC67" i="28"/>
  <c r="AB72" i="28"/>
  <c r="AC72" i="28"/>
  <c r="U66" i="28"/>
  <c r="P66" i="28"/>
  <c r="N66" i="28"/>
  <c r="AA66" i="28"/>
  <c r="Q76" i="28"/>
  <c r="Q78" i="28"/>
  <c r="Q80" i="28"/>
  <c r="Q82" i="28"/>
  <c r="Q83" i="28"/>
  <c r="U64" i="28"/>
  <c r="P64" i="28"/>
  <c r="N64" i="28"/>
  <c r="AA64" i="28"/>
  <c r="AC66" i="28"/>
  <c r="AB70" i="28"/>
  <c r="AB71" i="28"/>
  <c r="AC71" i="28"/>
  <c r="Q65" i="28"/>
  <c r="Q66" i="28"/>
  <c r="Q67" i="28"/>
  <c r="Q68" i="28"/>
  <c r="Q69" i="28"/>
  <c r="Q70" i="28"/>
  <c r="Q71" i="28"/>
  <c r="Q72" i="28"/>
  <c r="Q73" i="28"/>
  <c r="Q74" i="28"/>
  <c r="Q75" i="28"/>
  <c r="Q77" i="28"/>
  <c r="Q79" i="28"/>
  <c r="Q81" i="28"/>
  <c r="P82" i="28"/>
  <c r="U82" i="28"/>
  <c r="AA72" i="28"/>
  <c r="N72" i="28"/>
  <c r="P72" i="28"/>
  <c r="U72" i="28"/>
  <c r="AC65" i="28"/>
  <c r="AB69" i="28"/>
  <c r="AC69" i="28"/>
  <c r="U73" i="28"/>
  <c r="P73" i="28"/>
  <c r="N73" i="28"/>
  <c r="AA73" i="28"/>
  <c r="AA68" i="28"/>
  <c r="N68" i="28"/>
  <c r="P68" i="28"/>
  <c r="U68" i="28"/>
  <c r="Q62" i="28"/>
  <c r="P62" i="28"/>
  <c r="U62" i="28"/>
  <c r="P65" i="28"/>
  <c r="U65" i="28"/>
  <c r="N82" i="28"/>
  <c r="AB65" i="28"/>
  <c r="AB66" i="28"/>
  <c r="AB67" i="28"/>
  <c r="AB68" i="28"/>
  <c r="AC68" i="28"/>
  <c r="AA69" i="28"/>
  <c r="N69" i="28"/>
  <c r="P69" i="28"/>
  <c r="U69" i="28"/>
  <c r="O62" i="28"/>
  <c r="AC63" i="28"/>
  <c r="AA65" i="28"/>
  <c r="N65" i="28"/>
  <c r="O65" i="28"/>
  <c r="O66" i="28"/>
  <c r="O67" i="28"/>
  <c r="O68" i="28"/>
  <c r="O69" i="28"/>
  <c r="O70" i="28"/>
  <c r="O71" i="28"/>
  <c r="O72" i="28"/>
  <c r="O73" i="28"/>
  <c r="O78" i="28"/>
  <c r="O79" i="28"/>
  <c r="O80" i="28"/>
  <c r="O81" i="28"/>
  <c r="O82" i="28"/>
  <c r="O83" i="28"/>
  <c r="U67" i="28"/>
  <c r="AA67" i="28"/>
  <c r="N67" i="28"/>
  <c r="P67" i="28"/>
  <c r="AA70" i="28"/>
  <c r="N70" i="28"/>
  <c r="P70" i="28"/>
  <c r="U70" i="28"/>
  <c r="U28" i="9"/>
  <c r="Q28" i="9"/>
  <c r="P28" i="9"/>
  <c r="L28" i="9"/>
  <c r="I28" i="9"/>
  <c r="R28" i="9"/>
  <c r="F28" i="9"/>
  <c r="V28" i="9"/>
  <c r="J28" i="9"/>
  <c r="M28" i="9"/>
  <c r="K28" i="9"/>
  <c r="T28" i="9"/>
  <c r="O28" i="9"/>
  <c r="S28" i="9"/>
  <c r="G28" i="9"/>
  <c r="E28" i="9"/>
  <c r="H28" i="9"/>
  <c r="D28" i="9"/>
  <c r="W28" i="9"/>
  <c r="N28" i="9"/>
  <c r="AC62" i="28"/>
  <c r="N62" i="28"/>
  <c r="AA62" i="28"/>
  <c r="AB62" i="28"/>
  <c r="AB63" i="28"/>
  <c r="AB64" i="28"/>
  <c r="AC64" i="28"/>
  <c r="AA63" i="28"/>
  <c r="N63" i="28"/>
  <c r="P63" i="28"/>
  <c r="Q63" i="28"/>
  <c r="Q64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ServUS</author>
  </authors>
  <commentList>
    <comment ref="B25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 5 year depreciation schedule
</t>
        </r>
      </text>
    </comment>
    <comment ref="D25" authorId="0" shapeId="0" xr:uid="{00000000-0006-0000-0400-000002000000}">
      <text>
        <r>
          <rPr>
            <sz val="8"/>
            <color indexed="81"/>
            <rFont val="Tahoma"/>
            <family val="2"/>
          </rPr>
          <t xml:space="preserve"> 5 year depreciation schedule
</t>
        </r>
      </text>
    </comment>
    <comment ref="F25" authorId="0" shapeId="0" xr:uid="{00000000-0006-0000-0400-000003000000}">
      <text>
        <r>
          <rPr>
            <sz val="8"/>
            <color indexed="81"/>
            <rFont val="Tahoma"/>
            <family val="2"/>
          </rPr>
          <t xml:space="preserve"> 5 year depreciation schedule
</t>
        </r>
      </text>
    </comment>
    <comment ref="B32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ServUS:</t>
        </r>
        <r>
          <rPr>
            <sz val="9"/>
            <color indexed="81"/>
            <rFont val="Tahoma"/>
            <family val="2"/>
          </rPr>
          <t xml:space="preserve">
Could go higher to 10%.  </t>
        </r>
      </text>
    </comment>
    <comment ref="D32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ServUS:</t>
        </r>
        <r>
          <rPr>
            <sz val="9"/>
            <color indexed="81"/>
            <rFont val="Tahoma"/>
            <family val="2"/>
          </rPr>
          <t xml:space="preserve">
Could go higher to 10%.  </t>
        </r>
      </text>
    </comment>
    <comment ref="F32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ServUS:</t>
        </r>
        <r>
          <rPr>
            <sz val="9"/>
            <color indexed="81"/>
            <rFont val="Tahoma"/>
            <family val="2"/>
          </rPr>
          <t xml:space="preserve">
Could go higher to 10%.  </t>
        </r>
      </text>
    </comment>
  </commentList>
</comments>
</file>

<file path=xl/sharedStrings.xml><?xml version="1.0" encoding="utf-8"?>
<sst xmlns="http://schemas.openxmlformats.org/spreadsheetml/2006/main" count="2306" uniqueCount="1315">
  <si>
    <t>Sources And Uses Statement</t>
  </si>
  <si>
    <t>First Mortgage - Conventional</t>
  </si>
  <si>
    <t>Second Mortgage - Non - Profit</t>
  </si>
  <si>
    <t>Total Sources From Debt</t>
  </si>
  <si>
    <t>Cash Shortfall</t>
  </si>
  <si>
    <t>Owner Contribution</t>
  </si>
  <si>
    <t>Sub Total - Sources for Gap Calculation</t>
  </si>
  <si>
    <t>Tax Credit - Equity Contribution</t>
  </si>
  <si>
    <t>TOTAL SOURCES</t>
  </si>
  <si>
    <t>Land</t>
  </si>
  <si>
    <t>Uses included in</t>
  </si>
  <si>
    <t>Total Dev. Fee Cal.</t>
  </si>
  <si>
    <t>Uses excluded from</t>
  </si>
  <si>
    <t>Land Improvements</t>
  </si>
  <si>
    <t>Unusual Land Improvements</t>
  </si>
  <si>
    <t>Other Land Improvements</t>
  </si>
  <si>
    <t>Sub-Total Land Improvements</t>
  </si>
  <si>
    <t>Buildings</t>
  </si>
  <si>
    <t>Construction Hard Costs</t>
  </si>
  <si>
    <t>General Requirements</t>
  </si>
  <si>
    <t>Sub-Total Buildings</t>
  </si>
  <si>
    <t>Fees</t>
  </si>
  <si>
    <t>Builders Profit</t>
  </si>
  <si>
    <t>Builders O/H (2%)</t>
  </si>
  <si>
    <t>Bond Premium</t>
  </si>
  <si>
    <t>Architects Fee-Supervision</t>
  </si>
  <si>
    <t>Other</t>
  </si>
  <si>
    <t>Sub-Total Fees</t>
  </si>
  <si>
    <t>Charges and Financing</t>
  </si>
  <si>
    <t>Interest</t>
  </si>
  <si>
    <t>Taxes</t>
  </si>
  <si>
    <t>Insurance</t>
  </si>
  <si>
    <t>Title/Recording</t>
  </si>
  <si>
    <t>Legal/Organizational</t>
  </si>
  <si>
    <t>Legal</t>
  </si>
  <si>
    <t>CPA Fees</t>
  </si>
  <si>
    <t>Organizational</t>
  </si>
  <si>
    <t>Cost Certification</t>
  </si>
  <si>
    <t>Sub-Total Legal/Org.</t>
  </si>
  <si>
    <t>Other Fees and Cost</t>
  </si>
  <si>
    <t>LIHTC Application Fee</t>
  </si>
  <si>
    <t>Tax Credit Commitment Fees</t>
  </si>
  <si>
    <t>Sources:</t>
  </si>
  <si>
    <t>Uses:</t>
  </si>
  <si>
    <t>Sub-Total Other</t>
  </si>
  <si>
    <t>Project Reserves</t>
  </si>
  <si>
    <t>Operation Reserves</t>
  </si>
  <si>
    <t>Operating Deficit Reserves</t>
  </si>
  <si>
    <t>Sub-Total Reserves</t>
  </si>
  <si>
    <t>Accountant Fees/Synd. Fee</t>
  </si>
  <si>
    <t>Sub-Total</t>
  </si>
  <si>
    <t>Total Units</t>
  </si>
  <si>
    <t>Differences Uses and Debt (Represents  amount of gap to be used for Subsidy Layering)</t>
  </si>
  <si>
    <t>Differences Uses and Sources</t>
  </si>
  <si>
    <t>TOTAL USES</t>
  </si>
  <si>
    <t>Profit Percentage (Rehab. Portion)</t>
  </si>
  <si>
    <t>Developer Fee Percentage</t>
  </si>
  <si>
    <t>Hard Cost Per Unit</t>
  </si>
  <si>
    <t>Total Eligible Basis</t>
  </si>
  <si>
    <t>Adjusted Eligible Basis</t>
  </si>
  <si>
    <t>CONSTRUCTION INTEREST CALCULATION:</t>
  </si>
  <si>
    <t>CONSTRUCTION LOAN AMOUNT</t>
  </si>
  <si>
    <t>INTEREST RATE</t>
  </si>
  <si>
    <t>Draw Amt.</t>
  </si>
  <si>
    <t>Days Outs.</t>
  </si>
  <si>
    <t>Mo.s</t>
  </si>
  <si>
    <t>Weighted Average</t>
  </si>
  <si>
    <t>Capitalizable Construction Interest</t>
  </si>
  <si>
    <t>Interest to Operating Deficit</t>
  </si>
  <si>
    <t>Operating Proforma</t>
  </si>
  <si>
    <t>Percent Annual Adjustment:</t>
  </si>
  <si>
    <t>Income</t>
  </si>
  <si>
    <t>Expense</t>
  </si>
  <si>
    <t>Gross Rental Income</t>
  </si>
  <si>
    <t>Other Income</t>
  </si>
  <si>
    <t>Year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</si>
  <si>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</si>
  <si>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</si>
  <si>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</si>
  <si>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</si>
  <si>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</si>
  <si>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</si>
  <si>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</si>
  <si>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</si>
  <si>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</si>
  <si>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</si>
  <si>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</si>
  <si>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</si>
  <si>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</si>
  <si>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</si>
  <si>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</si>
  <si>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Total</t>
  </si>
  <si>
    <t>Total Income</t>
  </si>
  <si>
    <t>Expenses</t>
  </si>
  <si>
    <t>Administrative</t>
  </si>
  <si>
    <t>Operating</t>
  </si>
  <si>
    <t>Maintenance</t>
  </si>
  <si>
    <t>Property Tax</t>
  </si>
  <si>
    <t>Replacements</t>
  </si>
  <si>
    <t>Miscellaneous</t>
  </si>
  <si>
    <t>TOTAL EXPENSES</t>
  </si>
  <si>
    <t>NET OPERATING INCOME</t>
  </si>
  <si>
    <t>Less Debt Service - H.O.M.E.</t>
  </si>
  <si>
    <t>Less Debt Service - 1st Mort.</t>
  </si>
  <si>
    <t>NET CASH FLOW AFTER DT. SERV.</t>
  </si>
  <si>
    <t>Debt Service Cov. Ratio - 1st</t>
  </si>
  <si>
    <t>Debt Service Cov. Ratio - Combined</t>
  </si>
  <si>
    <t xml:space="preserve">Per Unit Operating Expense Ratio </t>
  </si>
  <si>
    <t>Replacement Per Unit</t>
  </si>
  <si>
    <t>Debt Service 1st Mortgage:</t>
  </si>
  <si>
    <t>Debt Service 2nd Mortgage:</t>
  </si>
  <si>
    <t>Rent Calculation</t>
  </si>
  <si>
    <t>1 Bedroom (50%)</t>
  </si>
  <si>
    <t># of Units</t>
  </si>
  <si>
    <t>Totals</t>
  </si>
  <si>
    <t>Mo Rent</t>
  </si>
  <si>
    <t>Ann. Rents</t>
  </si>
  <si>
    <t>Project Name:</t>
  </si>
  <si>
    <t>County/Parish</t>
  </si>
  <si>
    <t>H.U.D. Median Income</t>
  </si>
  <si>
    <t>1 Person</t>
  </si>
  <si>
    <t>2 Person</t>
  </si>
  <si>
    <t>3 Person</t>
  </si>
  <si>
    <t>4 Person</t>
  </si>
  <si>
    <t>5 Person</t>
  </si>
  <si>
    <t>6 Person</t>
  </si>
  <si>
    <t>Very Low Income Per Bedroom Size</t>
  </si>
  <si>
    <t>(50% M.I.)</t>
  </si>
  <si>
    <t>Low Income Per Bedroom Size</t>
  </si>
  <si>
    <t>(60% M.I.)</t>
  </si>
  <si>
    <t>Unity Allowance by Bdrm. Size</t>
  </si>
  <si>
    <t>1 Bdrm.</t>
  </si>
  <si>
    <t>2 Bdrm.</t>
  </si>
  <si>
    <t>3 Bdrm.</t>
  </si>
  <si>
    <t>4 Bdrm.</t>
  </si>
  <si>
    <t xml:space="preserve">1 Bedroom Apartment </t>
  </si>
  <si>
    <t xml:space="preserve">2 Bedroom Apartment </t>
  </si>
  <si>
    <t xml:space="preserve">3 Bedroom Apartment </t>
  </si>
  <si>
    <t xml:space="preserve">4 Bedroom Apartment </t>
  </si>
  <si>
    <t>(60%) Rent</t>
  </si>
  <si>
    <t>F.M. Rent</t>
  </si>
  <si>
    <t>Actual Rents</t>
  </si>
  <si>
    <t>Replacement Reserve Calculation</t>
  </si>
  <si>
    <t>This number must be the greater of 300/unit or 1% of Replacement costs.</t>
  </si>
  <si>
    <t>PRINCIPLE:</t>
  </si>
  <si>
    <t>YEARLY INT RATE:</t>
  </si>
  <si>
    <t>TOTAL # PMTS:</t>
  </si>
  <si>
    <t># PMTS PER YEAR:</t>
  </si>
  <si>
    <t>PMT AMT:</t>
  </si>
  <si>
    <t>Ann. Debt Serv.</t>
  </si>
  <si>
    <t>D.S.C.</t>
  </si>
  <si>
    <t>PMT #</t>
  </si>
  <si>
    <t>PMT AMT</t>
  </si>
  <si>
    <t>INTEREST</t>
  </si>
  <si>
    <t>PRINCIPAL</t>
  </si>
  <si>
    <t>REM BAL</t>
  </si>
  <si>
    <t>ACC INT</t>
  </si>
  <si>
    <t>Apartment Name:</t>
  </si>
  <si>
    <t>Calculation of Eligible Basis Per Building</t>
  </si>
  <si>
    <t>L.I.H.T.C. Application per Building</t>
  </si>
  <si>
    <t>Application</t>
  </si>
  <si>
    <t>Building No.</t>
  </si>
  <si>
    <t>Line Ref.</t>
  </si>
  <si>
    <t>Description</t>
  </si>
  <si>
    <t>Square Footage</t>
  </si>
  <si>
    <t># of Units in Building</t>
  </si>
  <si>
    <t>Acquisition Basis:</t>
  </si>
  <si>
    <t>Eligible Acq. Costs</t>
  </si>
  <si>
    <t>Rehab./New Cons. Basis:</t>
  </si>
  <si>
    <t>Eligible Rehab./NC Costs</t>
  </si>
  <si>
    <t>Q.C.T./D.D.A. Multiple</t>
  </si>
  <si>
    <t>Adjusted Basis - Acq.</t>
  </si>
  <si>
    <t>Adjusted Basis-Reh/N.C.</t>
  </si>
  <si>
    <t>Home Subsidy Per Unit</t>
  </si>
  <si>
    <t>All Bldgs.</t>
  </si>
  <si>
    <t>INPUT LINE</t>
  </si>
  <si>
    <t>LIHTC APPLICATION</t>
  </si>
  <si>
    <t>GROSS RENTS =</t>
  </si>
  <si>
    <t>AMINISTRATIVE</t>
  </si>
  <si>
    <t>Advertising</t>
  </si>
  <si>
    <t>Management Fee</t>
  </si>
  <si>
    <t>TOTAL ADMINISTRATIVE</t>
  </si>
  <si>
    <t>OTHER AMINISTRATIVE</t>
  </si>
  <si>
    <t>Accounting/Bookeeping</t>
  </si>
  <si>
    <t>Office Equipment</t>
  </si>
  <si>
    <t>Office Supplies</t>
  </si>
  <si>
    <t>TOTAL OTHER ADMINISTRATIVE</t>
  </si>
  <si>
    <t>OPERATING</t>
  </si>
  <si>
    <t>Fuel, Heating</t>
  </si>
  <si>
    <t>Lighting &amp; Misc. Power</t>
  </si>
  <si>
    <t>Water</t>
  </si>
  <si>
    <t>Gas</t>
  </si>
  <si>
    <t>Garbage &amp; Trash Removal</t>
  </si>
  <si>
    <t>Salaries</t>
  </si>
  <si>
    <t>Payroll Taxes</t>
  </si>
  <si>
    <t>TOTAL MAINTENANCE</t>
  </si>
  <si>
    <t>MAINTENANCE</t>
  </si>
  <si>
    <t>Decorating</t>
  </si>
  <si>
    <t>Repairs</t>
  </si>
  <si>
    <t>Exterminating</t>
  </si>
  <si>
    <t>Ground Expense</t>
  </si>
  <si>
    <t>TOTAL OPERATING</t>
  </si>
  <si>
    <t>INSURANCE</t>
  </si>
  <si>
    <t>Hazard</t>
  </si>
  <si>
    <t>Liability</t>
  </si>
  <si>
    <t>TOTAL INSURANCE</t>
  </si>
  <si>
    <t>GRAND TOTAL</t>
  </si>
  <si>
    <t>Financing Fee - Permanent</t>
  </si>
  <si>
    <t>Development Cost</t>
  </si>
  <si>
    <t xml:space="preserve">Amortizable </t>
  </si>
  <si>
    <t>Costs</t>
  </si>
  <si>
    <t>Non- Amortizable</t>
  </si>
  <si>
    <t>Non - Depreciable</t>
  </si>
  <si>
    <t>Eligible Basis</t>
  </si>
  <si>
    <t xml:space="preserve">     Land</t>
  </si>
  <si>
    <t xml:space="preserve">Historic </t>
  </si>
  <si>
    <t>Basis</t>
  </si>
  <si>
    <t>Building Acquistion</t>
  </si>
  <si>
    <t xml:space="preserve">    Building Acquisition</t>
  </si>
  <si>
    <t>Less:  Acquisition Costs</t>
  </si>
  <si>
    <t>Total Eligible Basis New Construciton /Rehab.</t>
  </si>
  <si>
    <t>Calculation of Credits:</t>
  </si>
  <si>
    <t>New Const./</t>
  </si>
  <si>
    <t>Rehabilition</t>
  </si>
  <si>
    <t>Acquisition</t>
  </si>
  <si>
    <t>Eligible Historic Credit</t>
  </si>
  <si>
    <t>%</t>
  </si>
  <si>
    <t>Elibible Basis Adjusted for QCT/DDA</t>
  </si>
  <si>
    <t>Low Income Percentage</t>
  </si>
  <si>
    <t>Total Qualified Basis</t>
  </si>
  <si>
    <t>LIHTC Percentage</t>
  </si>
  <si>
    <t>Draw No:</t>
  </si>
  <si>
    <t>Days in Year</t>
  </si>
  <si>
    <t>Days In Month</t>
  </si>
  <si>
    <t xml:space="preserve">Less Vacancy </t>
  </si>
  <si>
    <t>Vacancy Rate</t>
  </si>
  <si>
    <t>General Information regarding Proforma:</t>
  </si>
  <si>
    <t>Amount Per Unit</t>
  </si>
  <si>
    <t>% of Replacement</t>
  </si>
  <si>
    <t>Total Replacement Reserves</t>
  </si>
  <si>
    <t>Total Replacement Reserves/unit</t>
  </si>
  <si>
    <t>Per Unit Operating Expense Net of Reserve</t>
  </si>
  <si>
    <t>Total Net Operating Expenses</t>
  </si>
  <si>
    <t>Total Costs</t>
  </si>
  <si>
    <t>Concrete</t>
  </si>
  <si>
    <t>Masonry</t>
  </si>
  <si>
    <t>Metals</t>
  </si>
  <si>
    <t>Rough Carpentry</t>
  </si>
  <si>
    <t>Finish Carpentry</t>
  </si>
  <si>
    <t>Waterproofing</t>
  </si>
  <si>
    <t>Insulation</t>
  </si>
  <si>
    <t>Roofing</t>
  </si>
  <si>
    <t>Sheet Metal</t>
  </si>
  <si>
    <t>Doors</t>
  </si>
  <si>
    <t>Windows</t>
  </si>
  <si>
    <t>Glass</t>
  </si>
  <si>
    <t>Drywall</t>
  </si>
  <si>
    <t>Tile Work</t>
  </si>
  <si>
    <t>Acoustical</t>
  </si>
  <si>
    <t>Resilient Flooring</t>
  </si>
  <si>
    <t>Painting and Decorating</t>
  </si>
  <si>
    <t>Special Equipment</t>
  </si>
  <si>
    <t>Cabinets</t>
  </si>
  <si>
    <t>Appliances</t>
  </si>
  <si>
    <t>Blinds, Shades, and Artwork</t>
  </si>
  <si>
    <t>Carpets</t>
  </si>
  <si>
    <t>Special Construction</t>
  </si>
  <si>
    <t>Elevators</t>
  </si>
  <si>
    <t>Plumbing and Hot Water</t>
  </si>
  <si>
    <t>Heat and Ventilation</t>
  </si>
  <si>
    <t>Air Conditioning</t>
  </si>
  <si>
    <t>Electrical</t>
  </si>
  <si>
    <t>Earth Work</t>
  </si>
  <si>
    <t>On-Site Utilities</t>
  </si>
  <si>
    <t>Roads and Walks</t>
  </si>
  <si>
    <t>Lawns and Planting</t>
  </si>
  <si>
    <t>Calculated</t>
  </si>
  <si>
    <t>Unusual On-Site Conditions</t>
  </si>
  <si>
    <t>Off-Site Development</t>
  </si>
  <si>
    <t xml:space="preserve"> </t>
  </si>
  <si>
    <t>Miscellaneous (Labor and Materials)</t>
  </si>
  <si>
    <t>Total Hard Costs</t>
  </si>
  <si>
    <t xml:space="preserve">General Requirements     </t>
  </si>
  <si>
    <t xml:space="preserve">General Overhead </t>
  </si>
  <si>
    <t>Breakdown of General Requirment:</t>
  </si>
  <si>
    <t>Supervision</t>
  </si>
  <si>
    <t>Field Engineering</t>
  </si>
  <si>
    <t>Field Office</t>
  </si>
  <si>
    <t>Temporary Facilities</t>
  </si>
  <si>
    <t>Temporary Utilities</t>
  </si>
  <si>
    <t>Cleaning Rubbish</t>
  </si>
  <si>
    <t>Builders Risk Ins.</t>
  </si>
  <si>
    <t>Watchmans Wages</t>
  </si>
  <si>
    <t>Project Signs</t>
  </si>
  <si>
    <t>Schedule of Unit Mix by Building and Building Area</t>
  </si>
  <si>
    <t>Rounded</t>
  </si>
  <si>
    <t>Building</t>
  </si>
  <si>
    <t>No. of</t>
  </si>
  <si>
    <t>Per Unit</t>
  </si>
  <si>
    <t>Allocation</t>
  </si>
  <si>
    <t xml:space="preserve">Total for </t>
  </si>
  <si>
    <t>Units</t>
  </si>
  <si>
    <t>Square Ft.</t>
  </si>
  <si>
    <t>to Res Bldg</t>
  </si>
  <si>
    <t>Appl.</t>
  </si>
  <si>
    <t>Developer Fee NC/Rehab.(Maximum 15%)</t>
  </si>
  <si>
    <t xml:space="preserve">  Developer Fee - Acquisition</t>
  </si>
  <si>
    <t>Equity Investment Percentage</t>
  </si>
  <si>
    <t>Equity Raised</t>
  </si>
  <si>
    <t>Total Annual Credits Calculated</t>
  </si>
  <si>
    <t>Total Annual Credits Reserved</t>
  </si>
  <si>
    <t>Total Uses per Unit</t>
  </si>
  <si>
    <t>Total Development Cost Per Unit</t>
  </si>
  <si>
    <t>Total Development Costs</t>
  </si>
  <si>
    <t>Cost Allocation</t>
  </si>
  <si>
    <t>Credit Calculation Worksheet</t>
  </si>
  <si>
    <t>Construction Loan Calculation:</t>
  </si>
  <si>
    <t xml:space="preserve"> Less 1st Equity Installment</t>
  </si>
  <si>
    <t>Construction Loan Amount Calculated</t>
  </si>
  <si>
    <t>Fifteen Year</t>
  </si>
  <si>
    <t>Contingency</t>
  </si>
  <si>
    <t>Sutotal Income</t>
  </si>
  <si>
    <t>Utility Allowance Worksheet</t>
  </si>
  <si>
    <t>Utility</t>
  </si>
  <si>
    <t>Heating</t>
  </si>
  <si>
    <t>A/C</t>
  </si>
  <si>
    <t>Cooking</t>
  </si>
  <si>
    <t>Lighting</t>
  </si>
  <si>
    <t>Hot Water</t>
  </si>
  <si>
    <t>Sewer</t>
  </si>
  <si>
    <t>Trash</t>
  </si>
  <si>
    <t>Efficiency</t>
  </si>
  <si>
    <t>1BR</t>
  </si>
  <si>
    <t>2BR</t>
  </si>
  <si>
    <t>3BR</t>
  </si>
  <si>
    <t>4BR</t>
  </si>
  <si>
    <t>5BR</t>
  </si>
  <si>
    <t>Type</t>
  </si>
  <si>
    <t>Paid</t>
  </si>
  <si>
    <t>By:</t>
  </si>
  <si>
    <t>Unit Bedroom Size</t>
  </si>
  <si>
    <t>Two Bedroom</t>
  </si>
  <si>
    <t xml:space="preserve"> ESTIMATE OF ANNUAL EXPENSE</t>
  </si>
  <si>
    <t>Occupancy Percent</t>
  </si>
  <si>
    <t xml:space="preserve">     Developer Fee (Maximum 5%)</t>
  </si>
  <si>
    <t>Miscellaneous (Supportive Services)</t>
  </si>
  <si>
    <t>FM Less</t>
  </si>
  <si>
    <t>Utility All</t>
  </si>
  <si>
    <t>Three Bedroom</t>
  </si>
  <si>
    <t>DSC</t>
  </si>
  <si>
    <t>Architects Fee-Design</t>
  </si>
  <si>
    <t>Bedroom</t>
  </si>
  <si>
    <t>Square</t>
  </si>
  <si>
    <t>Approximate</t>
  </si>
  <si>
    <t>Allocated</t>
  </si>
  <si>
    <t>Size</t>
  </si>
  <si>
    <t>Footage</t>
  </si>
  <si>
    <t>Lot Size</t>
  </si>
  <si>
    <t>Hard Costs</t>
  </si>
  <si>
    <t>***</t>
  </si>
  <si>
    <t>Calculation of TDC per Unit (Per QAP)</t>
  </si>
  <si>
    <t>Less Non-Basis Allowable Deletions:</t>
  </si>
  <si>
    <t>Permanent Financing Fee (2% of Loan Max.)</t>
  </si>
  <si>
    <t>Organization Costs  ( 25,000 Max.)</t>
  </si>
  <si>
    <t>Non Eligible Legal</t>
  </si>
  <si>
    <t>Community Facility</t>
  </si>
  <si>
    <t>Reserves</t>
  </si>
  <si>
    <t>Total Allowable Deletions</t>
  </si>
  <si>
    <t>Total Development Costs Per Unit</t>
  </si>
  <si>
    <t>Total Square Footage:</t>
  </si>
  <si>
    <t>Gross</t>
  </si>
  <si>
    <t>Net</t>
  </si>
  <si>
    <t>TDC Per Square Footage - Gross</t>
  </si>
  <si>
    <t>Variance Sq. Ftg.</t>
  </si>
  <si>
    <t>Cost Variance</t>
  </si>
  <si>
    <t>Community Room</t>
  </si>
  <si>
    <t>Construction Cost per Square Foot</t>
  </si>
  <si>
    <t>Intermediary Cost Percentage</t>
  </si>
  <si>
    <t>Intermediary Cost Worksheet</t>
  </si>
  <si>
    <t>Intermediary Costs:</t>
  </si>
  <si>
    <t>General Overhead</t>
  </si>
  <si>
    <t>Builder's Profit</t>
  </si>
  <si>
    <t>Developer Fee</t>
  </si>
  <si>
    <t>Syndication Costs</t>
  </si>
  <si>
    <t>Architect's Fees</t>
  </si>
  <si>
    <t>Legal Fees</t>
  </si>
  <si>
    <t>Organization Costs</t>
  </si>
  <si>
    <t>Other Fees</t>
  </si>
  <si>
    <t>Total Intermediary Costs</t>
  </si>
  <si>
    <t>Percentage of Total Development Costs</t>
  </si>
  <si>
    <t>Address</t>
  </si>
  <si>
    <t>Ttl Constr Contract</t>
  </si>
  <si>
    <t>Total 50% Units</t>
  </si>
  <si>
    <t>Required Very Low Units</t>
  </si>
  <si>
    <t>Required Set Aside</t>
  </si>
  <si>
    <t>Set Aside Result</t>
  </si>
  <si>
    <t>Four bedroom</t>
  </si>
  <si>
    <t>HOME Assisted Units:</t>
  </si>
  <si>
    <t>Total Home Funds</t>
  </si>
  <si>
    <t>TDC</t>
  </si>
  <si>
    <t>HOME %</t>
  </si>
  <si>
    <t>Total HOME Assisted Units</t>
  </si>
  <si>
    <t>Total Maxed at FMR</t>
  </si>
  <si>
    <t>Total HHMFMR Units</t>
  </si>
  <si>
    <t>RequiredHHM FMR Units</t>
  </si>
  <si>
    <t>1 Bedroom (HHM FMR)</t>
  </si>
  <si>
    <t>Cash Flow over 10 Years</t>
  </si>
  <si>
    <t>Cash Flow Over 15 years</t>
  </si>
  <si>
    <t>TIF Income</t>
  </si>
  <si>
    <t>Acres/Price</t>
  </si>
  <si>
    <t>Maximum Subsidy Per Unit Test:</t>
  </si>
  <si>
    <t>TTL Units</t>
  </si>
  <si>
    <t>LHM Units</t>
  </si>
  <si>
    <t>HHMFMR Units</t>
  </si>
  <si>
    <t>221(D)(3)(ii)</t>
  </si>
  <si>
    <t>Limits</t>
  </si>
  <si>
    <t xml:space="preserve">Maximum </t>
  </si>
  <si>
    <t>HOME Funds</t>
  </si>
  <si>
    <t>Required</t>
  </si>
  <si>
    <t>Adjusted</t>
  </si>
  <si>
    <t>Total 4 Bedroom Units</t>
  </si>
  <si>
    <t>4 Bedroom Unit Required</t>
  </si>
  <si>
    <t>Total HOME</t>
  </si>
  <si>
    <t>Assisted Units</t>
  </si>
  <si>
    <t>Financing Fee - Construction</t>
  </si>
  <si>
    <t>1st</t>
  </si>
  <si>
    <t>2nd</t>
  </si>
  <si>
    <t>DSC RATIO</t>
  </si>
  <si>
    <t>Total Tax Credit Period</t>
  </si>
  <si>
    <t>Investment Percentage</t>
  </si>
  <si>
    <t>Construction</t>
  </si>
  <si>
    <t xml:space="preserve">Contract </t>
  </si>
  <si>
    <t>Contract</t>
  </si>
  <si>
    <t>Per Sq. Ft.</t>
  </si>
  <si>
    <t>Total Estimated Contract</t>
  </si>
  <si>
    <t xml:space="preserve">  Less Unpaid Developer Fee</t>
  </si>
  <si>
    <t xml:space="preserve">  Less Construction Contingency</t>
  </si>
  <si>
    <t>Schedule of Draws and Application of Funds</t>
  </si>
  <si>
    <t>Equtiy Paid At Closing</t>
  </si>
  <si>
    <t>Items to Be paid/Reimbursed at Closing:</t>
  </si>
  <si>
    <t>Total Draw</t>
  </si>
  <si>
    <t>Total Construction Contract Amount</t>
  </si>
  <si>
    <t xml:space="preserve">Amount of </t>
  </si>
  <si>
    <t>Payment</t>
  </si>
  <si>
    <t>Total Soft Costs Paid/Reimbursed at Closing</t>
  </si>
  <si>
    <t>Equity</t>
  </si>
  <si>
    <t>Permanent Loan</t>
  </si>
  <si>
    <t xml:space="preserve">Architect </t>
  </si>
  <si>
    <t>Inspection</t>
  </si>
  <si>
    <t xml:space="preserve">Total </t>
  </si>
  <si>
    <t>Payment Due</t>
  </si>
  <si>
    <t>Remaining</t>
  </si>
  <si>
    <t>Balance</t>
  </si>
  <si>
    <t>Days In Month for Int. Calculation</t>
  </si>
  <si>
    <t>Monthly</t>
  </si>
  <si>
    <t>Cumulative</t>
  </si>
  <si>
    <t>Days In Year For Int. Calculation</t>
  </si>
  <si>
    <t>Interest Pmt</t>
  </si>
  <si>
    <t>Loan Balance</t>
  </si>
  <si>
    <t xml:space="preserve">Reciept of Permanent Loan/Final Equity </t>
  </si>
  <si>
    <t>Payment of Development Fee</t>
  </si>
  <si>
    <t>Date</t>
  </si>
  <si>
    <t>Accrual</t>
  </si>
  <si>
    <t xml:space="preserve">Payment of Developer Fees </t>
  </si>
  <si>
    <t>Closing</t>
  </si>
  <si>
    <t>Draw #</t>
  </si>
  <si>
    <t>Available</t>
  </si>
  <si>
    <t>Funds</t>
  </si>
  <si>
    <t>Def. Dev. Fee</t>
  </si>
  <si>
    <t>Costs Incurred</t>
  </si>
  <si>
    <t>Percentage</t>
  </si>
  <si>
    <t>Projected</t>
  </si>
  <si>
    <t>Date Paid</t>
  </si>
  <si>
    <t>Const./Inspection/Interest Payment</t>
  </si>
  <si>
    <t>Qualified Occupancy Summary</t>
  </si>
  <si>
    <t>Year: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</si>
  <si>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</si>
  <si>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</si>
  <si>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</si>
  <si>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</si>
  <si>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</si>
  <si>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</si>
  <si>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</si>
  <si>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</si>
  <si>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</si>
  <si>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</si>
  <si>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</si>
  <si>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</si>
  <si>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TOTAL</t>
  </si>
  <si>
    <t>LA-06-000</t>
  </si>
  <si>
    <t>Completion</t>
  </si>
  <si>
    <t>Mo.Per Asmp.</t>
  </si>
  <si>
    <t>Monthly Lease Up</t>
  </si>
  <si>
    <t>First Year Calculation</t>
  </si>
  <si>
    <t>Imputed</t>
  </si>
  <si>
    <t xml:space="preserve">Effective </t>
  </si>
  <si>
    <t>BIN Numbers</t>
  </si>
  <si>
    <t>Qualified Basis</t>
  </si>
  <si>
    <t>L.I. %</t>
  </si>
  <si>
    <t>1st Yr. %</t>
  </si>
  <si>
    <t>1st Yr. Basis</t>
  </si>
  <si>
    <t>CR %</t>
  </si>
  <si>
    <t>1st Yr. Credit</t>
  </si>
  <si>
    <t>LA-06-00</t>
  </si>
  <si>
    <t>Total Credits Rehab.</t>
  </si>
  <si>
    <t>Total Credits Acq.</t>
  </si>
  <si>
    <t>Total Credits</t>
  </si>
  <si>
    <t>St Landry Place</t>
  </si>
  <si>
    <t>2nd Year Calculation</t>
  </si>
  <si>
    <t xml:space="preserve">Credits </t>
  </si>
  <si>
    <t>Taken 2007</t>
  </si>
  <si>
    <t>Yr. 1</t>
  </si>
  <si>
    <t>Yr. 2</t>
  </si>
  <si>
    <t>Credits</t>
  </si>
  <si>
    <t>Taken 2008</t>
  </si>
  <si>
    <t>Yr. 11</t>
  </si>
  <si>
    <t>Taken 2017</t>
  </si>
  <si>
    <t>Yr. 12</t>
  </si>
  <si>
    <t>Taken 2018</t>
  </si>
  <si>
    <t>Calculation of Reasonably Expected Basis</t>
  </si>
  <si>
    <t>FYE 2006 Carryover</t>
  </si>
  <si>
    <t>Total Eligible Basis per Allocation Schedule:</t>
  </si>
  <si>
    <t>Add Land</t>
  </si>
  <si>
    <t>Total Reasonably Expected Basis</t>
  </si>
  <si>
    <t>10% Requirement</t>
  </si>
  <si>
    <t>Costs incurred/ Accrued to meet test:</t>
  </si>
  <si>
    <t>Carryover Fees/Accounting Costs</t>
  </si>
  <si>
    <t>Developer Fee Accrual</t>
  </si>
  <si>
    <t>Land Costs</t>
  </si>
  <si>
    <t>Market Study Costs</t>
  </si>
  <si>
    <t>Phase I</t>
  </si>
  <si>
    <t>Architect Design Phase</t>
  </si>
  <si>
    <t>Remaining Needed to meet 10%</t>
  </si>
  <si>
    <t>Estimated Materials to Store:</t>
  </si>
  <si>
    <t>Neighborhood Review</t>
  </si>
  <si>
    <t>Soils Report</t>
  </si>
  <si>
    <t xml:space="preserve">Engineering </t>
  </si>
  <si>
    <t>Total Costs if Materials Used</t>
  </si>
  <si>
    <t>Percentage of REB</t>
  </si>
  <si>
    <t>Retainage</t>
  </si>
  <si>
    <t>Payment of</t>
  </si>
  <si>
    <t>Funding of Reserves</t>
  </si>
  <si>
    <t>Total Permanent Sources</t>
  </si>
  <si>
    <t xml:space="preserve">Income Limits </t>
  </si>
  <si>
    <t>(Contingency) Hard Costs</t>
  </si>
  <si>
    <t>REB Calculation:</t>
  </si>
  <si>
    <t>REB</t>
  </si>
  <si>
    <t>D.F Accrual</t>
  </si>
  <si>
    <t xml:space="preserve">     Developer Fee (Maximum 20%)</t>
  </si>
  <si>
    <t>x</t>
  </si>
  <si>
    <t>Engineering was added to Market Study Enviromental and appraisal</t>
  </si>
  <si>
    <t xml:space="preserve">Estimated 3rd Equity Pmt </t>
  </si>
  <si>
    <t>(Lessor of Reserved/Calculated)</t>
  </si>
  <si>
    <t>LA-08-00</t>
  </si>
  <si>
    <t>New Construction Credits</t>
  </si>
  <si>
    <t xml:space="preserve">Reserved </t>
  </si>
  <si>
    <t>B.I.N. No.</t>
  </si>
  <si>
    <t>LA-08-00234</t>
  </si>
  <si>
    <t>LA-08-00235</t>
  </si>
  <si>
    <t>LA-08-00236</t>
  </si>
  <si>
    <t>LA-08-00237</t>
  </si>
  <si>
    <t>LA-08-00238</t>
  </si>
  <si>
    <t>LA-08-00239</t>
  </si>
  <si>
    <t>LA-08-00240</t>
  </si>
  <si>
    <t>LA-08-00241</t>
  </si>
  <si>
    <t>LA-08-00242</t>
  </si>
  <si>
    <t>LA-08-00243</t>
  </si>
  <si>
    <t>LA-08-00244</t>
  </si>
  <si>
    <t>LA-08-00245</t>
  </si>
  <si>
    <t>LA-08-00246</t>
  </si>
  <si>
    <t>LA-08-00247</t>
  </si>
  <si>
    <t>LA-08-00248</t>
  </si>
  <si>
    <t>LA-08-00249</t>
  </si>
  <si>
    <t>LA-08-00250</t>
  </si>
  <si>
    <t>LA-08-00251</t>
  </si>
  <si>
    <t>LA-08-00252</t>
  </si>
  <si>
    <t>LA-08-00253</t>
  </si>
  <si>
    <t>LA-08-00254</t>
  </si>
  <si>
    <t>LA-08-00255</t>
  </si>
  <si>
    <t>LA-08-00256</t>
  </si>
  <si>
    <t>LA-08-00257</t>
  </si>
  <si>
    <t>LA-08-00258</t>
  </si>
  <si>
    <t>LA-08-00259</t>
  </si>
  <si>
    <t>LA-08-00260</t>
  </si>
  <si>
    <t>LA-08-00261</t>
  </si>
  <si>
    <t>LA-08-00262</t>
  </si>
  <si>
    <t>LA-08-00263</t>
  </si>
  <si>
    <t>LA-08-00264</t>
  </si>
  <si>
    <t>LA-08-00265</t>
  </si>
  <si>
    <t>LA-08-00266</t>
  </si>
  <si>
    <t>LA-08-00267</t>
  </si>
  <si>
    <t>LA-08-00268</t>
  </si>
  <si>
    <t>Imputed Basis Caculation:</t>
  </si>
  <si>
    <t>Locked Credit Percentage</t>
  </si>
  <si>
    <t>Calculated per Reserv.</t>
  </si>
  <si>
    <t>Per Model</t>
  </si>
  <si>
    <t>Credits/Eligible Basis Calculation</t>
  </si>
  <si>
    <t>Excess Basis Utilizing 9%</t>
  </si>
  <si>
    <t>Syndication/ Other Expenses</t>
  </si>
  <si>
    <t>Developer fee</t>
  </si>
  <si>
    <t>Pd. (Const. Term)</t>
  </si>
  <si>
    <t>Total Draws</t>
  </si>
  <si>
    <t>(See Draw Schedule)</t>
  </si>
  <si>
    <t>Variance</t>
  </si>
  <si>
    <t>(50%) Rent</t>
  </si>
  <si>
    <t xml:space="preserve">Maximum Allowable L.I.H.C. Rent </t>
  </si>
  <si>
    <t>National Poverty Income Guiedlines</t>
  </si>
  <si>
    <t xml:space="preserve">Additional Annual Asset management fee </t>
  </si>
  <si>
    <t>Per unit AMF</t>
  </si>
  <si>
    <t>Payment of Cost Certfication</t>
  </si>
  <si>
    <t>90 Days Post PIS Date</t>
  </si>
  <si>
    <t>Payment of Construction Retainage</t>
  </si>
  <si>
    <t>Cls. Draw</t>
  </si>
  <si>
    <t>Permanent Loan Closing</t>
  </si>
  <si>
    <t>120 Days Post PIS Date</t>
  </si>
  <si>
    <t>Permanent Loan Closing Fees</t>
  </si>
  <si>
    <t>Variance from Source &amp; Use Worksheet</t>
  </si>
  <si>
    <t>Up to Amount (See Actual on Application of Funds)</t>
  </si>
  <si>
    <t xml:space="preserve">Input </t>
  </si>
  <si>
    <t>Value</t>
  </si>
  <si>
    <t>Cosntruction Schedule of Values - PBC</t>
  </si>
  <si>
    <t>Site Work</t>
  </si>
  <si>
    <t>Finishes</t>
  </si>
  <si>
    <t>Mechanical</t>
  </si>
  <si>
    <t>General Requirement</t>
  </si>
  <si>
    <t>Profit</t>
  </si>
  <si>
    <t>Overhead</t>
  </si>
  <si>
    <t>Adjustments</t>
  </si>
  <si>
    <t>Construction Draw Total - Draw Schedule</t>
  </si>
  <si>
    <t>Variance to Draw</t>
  </si>
  <si>
    <t>Balance to</t>
  </si>
  <si>
    <t>Finish</t>
  </si>
  <si>
    <t>Category Grouping Schedule:</t>
  </si>
  <si>
    <t>Woods &amp; Plastics</t>
  </si>
  <si>
    <t>Painting/Decorating</t>
  </si>
  <si>
    <t>Risilient Flooring</t>
  </si>
  <si>
    <t>Earthwork</t>
  </si>
  <si>
    <t>Roads &amp; Walks</t>
  </si>
  <si>
    <t>Utilites</t>
  </si>
  <si>
    <t>Plumbing &amp; Hot Water</t>
  </si>
  <si>
    <t>Air Cond.</t>
  </si>
  <si>
    <t>xx</t>
  </si>
  <si>
    <t>Amount per Amec Total</t>
  </si>
  <si>
    <t xml:space="preserve">x </t>
  </si>
  <si>
    <t>Amount - AMEC</t>
  </si>
  <si>
    <t>Subtotal Grouped Draws</t>
  </si>
  <si>
    <t>Mkt Sty</t>
  </si>
  <si>
    <t>Appraisal</t>
  </si>
  <si>
    <t>PIS DATE</t>
  </si>
  <si>
    <t>Interest Payment</t>
  </si>
  <si>
    <t>Architect Contract:</t>
  </si>
  <si>
    <t>Specialties - Siding</t>
  </si>
  <si>
    <t>On-Site Improvements - Fences</t>
  </si>
  <si>
    <t>Subtotal</t>
  </si>
  <si>
    <t>Total Contract</t>
  </si>
  <si>
    <t>Other- Engineering</t>
  </si>
  <si>
    <t>Is project Rural?</t>
  </si>
  <si>
    <t>**</t>
  </si>
  <si>
    <t>Architect Worksheet:</t>
  </si>
  <si>
    <t>Maximum Per Developer Credit</t>
  </si>
  <si>
    <t xml:space="preserve">Amt per Winnsboro </t>
  </si>
  <si>
    <t>115*65</t>
  </si>
  <si>
    <t>30% Rent</t>
  </si>
  <si>
    <t>PSH Unit Rents</t>
  </si>
  <si>
    <t>(30% M.I.)</t>
  </si>
  <si>
    <t>PSH Rent Analysis</t>
  </si>
  <si>
    <t>Rents used in Application:</t>
  </si>
  <si>
    <t>3 Bedroom</t>
  </si>
  <si>
    <t>4 Bedroom</t>
  </si>
  <si>
    <t>Max PSH Rents (30% AMI)</t>
  </si>
  <si>
    <t>Variance - Per Unit</t>
  </si>
  <si>
    <t>Required PSH Units</t>
  </si>
  <si>
    <t>Required Rent Reduction/Mo.</t>
  </si>
  <si>
    <t xml:space="preserve">Annual Rent Redecution </t>
  </si>
  <si>
    <t>Analysis of Amount of Rental Reduction for PSH Units:</t>
  </si>
  <si>
    <t>Analysis of Amount of Rent Increase on Non PSH Units to offset reduction for PSH Units:</t>
  </si>
  <si>
    <t>Maximum Rents for 60% AMI - National Non Metro Income Limits</t>
  </si>
  <si>
    <t>Amount Actual Rents are below Maximum Rents</t>
  </si>
  <si>
    <t>Total Monthly Reduction Amount required for PSH Units</t>
  </si>
  <si>
    <t>Remaining Non- PSH Units</t>
  </si>
  <si>
    <t>Per Unit Increase needed to absorb PSH Adjustment</t>
  </si>
  <si>
    <t>Analysis to Insure Rental Increase necessary to Absorb PSH Reduction does not exceed Maximum Rent Allowed:</t>
  </si>
  <si>
    <t>Summary:</t>
  </si>
  <si>
    <t>The QAP was unclear as to the requirement that PSH units had to be underwritten at 30% AMI until they issued a Frenquently</t>
  </si>
  <si>
    <t>asked question the NIGHT BEFORE THE APPLICATIONS WERE DUE. Had this requirement been clear in the QAP, this</t>
  </si>
  <si>
    <t>issue would have been addressed and the rents would have been modified to accurately reflect the 30% AMI requirement.</t>
  </si>
  <si>
    <t>As this exercise verifies, there is more than sufficient room to raise the rents on the non-PSH units and still be within the</t>
  </si>
  <si>
    <t>allowable rental rates for the 60% AMI requirement. Also note that in order to reduce the amount of 4 bedroom rental increase</t>
  </si>
  <si>
    <t>the rental increase on the 3 bedroom units may be increased to an amount that gets both the 3 and 4 bedroom to an acceptable</t>
  </si>
  <si>
    <t xml:space="preserve">rental rate for the Rayville market. </t>
  </si>
  <si>
    <t>TDC Per Unit Calculation:</t>
  </si>
  <si>
    <t>Less Reserves`</t>
  </si>
  <si>
    <t>Less - Community Facility</t>
  </si>
  <si>
    <t>Maximum Credits Allowed</t>
  </si>
  <si>
    <t>Excess Cash</t>
  </si>
  <si>
    <t>Bond 50% Test Calculation</t>
  </si>
  <si>
    <t>Total Agregate Basis</t>
  </si>
  <si>
    <t>50% Agregate Basis</t>
  </si>
  <si>
    <t>e</t>
  </si>
  <si>
    <t>c</t>
  </si>
  <si>
    <t>Source:</t>
  </si>
  <si>
    <t>Date:</t>
  </si>
  <si>
    <t>per unit</t>
  </si>
  <si>
    <t>per unti</t>
  </si>
  <si>
    <t>Land &amp; Building Acquistion</t>
  </si>
  <si>
    <t>Maximum Request</t>
  </si>
  <si>
    <t>Total Profits:</t>
  </si>
  <si>
    <t>Developer Fees</t>
  </si>
  <si>
    <t>less Deferred</t>
  </si>
  <si>
    <t>Net Profits</t>
  </si>
  <si>
    <t>Net/Unit</t>
  </si>
  <si>
    <t>LHC 2015 Cost Limits</t>
  </si>
  <si>
    <t>Elevator add-on</t>
  </si>
  <si>
    <t>Sprinkler add-on</t>
  </si>
  <si>
    <t>Cost Per Sq Ft (per the QAP)</t>
  </si>
  <si>
    <t>Historic</t>
  </si>
  <si>
    <t>TH</t>
  </si>
  <si>
    <t>MF</t>
  </si>
  <si>
    <t>1B</t>
  </si>
  <si>
    <t>2B</t>
  </si>
  <si>
    <t>3B</t>
  </si>
  <si>
    <t>Phase V Cost Per Sq Ft</t>
  </si>
  <si>
    <t>Phase V Current Unit Mix</t>
  </si>
  <si>
    <t>Phase V Avg Unit Square Footage</t>
  </si>
  <si>
    <t>Phase V Cost Limit</t>
  </si>
  <si>
    <t>Phase V Total Cost Limit</t>
  </si>
  <si>
    <t>Phase V Cost per Unit</t>
  </si>
  <si>
    <t># Units</t>
  </si>
  <si>
    <t>PSF</t>
  </si>
  <si>
    <t>Total SF</t>
  </si>
  <si>
    <t>Rehab/Construction Breakdown</t>
  </si>
  <si>
    <t>Applicances</t>
  </si>
  <si>
    <t>Exterior</t>
  </si>
  <si>
    <t>Interior</t>
  </si>
  <si>
    <t>Structure</t>
  </si>
  <si>
    <t>HVAC</t>
  </si>
  <si>
    <t>Plumbing</t>
  </si>
  <si>
    <t>Roofs</t>
  </si>
  <si>
    <t>Fire Suppressant</t>
  </si>
  <si>
    <t>Elevator</t>
  </si>
  <si>
    <t>ADA</t>
  </si>
  <si>
    <t>Safety</t>
  </si>
  <si>
    <t>Lead Paint</t>
  </si>
  <si>
    <t>Demo</t>
  </si>
  <si>
    <t>Lawn/Planting</t>
  </si>
  <si>
    <t>Offsite</t>
  </si>
  <si>
    <t>Road Walk</t>
  </si>
  <si>
    <t>Site Utilites</t>
  </si>
  <si>
    <t>Unusual Site Imp</t>
  </si>
  <si>
    <t>Per PNA</t>
  </si>
  <si>
    <t>report</t>
  </si>
  <si>
    <t>Hard Costs Per Model</t>
  </si>
  <si>
    <t>Other - Comm Fac.</t>
  </si>
  <si>
    <t>Gen Req</t>
  </si>
  <si>
    <t>Total Contract Per Model</t>
  </si>
  <si>
    <t>Total Costs PNA</t>
  </si>
  <si>
    <t>Variance per PNA</t>
  </si>
  <si>
    <t>Add To Contingency</t>
  </si>
  <si>
    <t>Total To Calculate OH/GR/BP</t>
  </si>
  <si>
    <t>Total Contract to Application</t>
  </si>
  <si>
    <t>Other - Site Improvements</t>
  </si>
  <si>
    <t>Schedule of Rehab Costs by Building</t>
  </si>
  <si>
    <t>One Bedroom</t>
  </si>
  <si>
    <t>Other Sources of Funds</t>
  </si>
  <si>
    <t>Relocation Costs</t>
  </si>
  <si>
    <t>Total paid from HOME and Construction Loan Funds</t>
  </si>
  <si>
    <t>Total LHC HOME funds holdback</t>
  </si>
  <si>
    <t>Total PHA Holdback</t>
  </si>
  <si>
    <t>Paydown - Construction Loan</t>
  </si>
  <si>
    <t>Initial Deposit to R4R</t>
  </si>
  <si>
    <t xml:space="preserve">3-1BR </t>
  </si>
  <si>
    <t>2-2BR</t>
  </si>
  <si>
    <t>2-3BR</t>
  </si>
  <si>
    <t>1-4BR</t>
  </si>
  <si>
    <t>Bldg</t>
  </si>
  <si>
    <t>Site</t>
  </si>
  <si>
    <t>Westside</t>
  </si>
  <si>
    <t>Number</t>
  </si>
  <si>
    <t>Bldg.</t>
  </si>
  <si>
    <t>Logan</t>
  </si>
  <si>
    <t>2-1BR</t>
  </si>
  <si>
    <t>3-1BR</t>
  </si>
  <si>
    <t>4-1BR</t>
  </si>
  <si>
    <t xml:space="preserve">6-1BR </t>
  </si>
  <si>
    <t>Campbell</t>
  </si>
  <si>
    <t>Wesley</t>
  </si>
  <si>
    <t>Estimated Cost of Community Facility</t>
  </si>
  <si>
    <t xml:space="preserve">Current Rent </t>
  </si>
  <si>
    <t>Sq Footage</t>
  </si>
  <si>
    <t>Unit Type</t>
  </si>
  <si>
    <t>Less Actual</t>
  </si>
  <si>
    <t>Vacancy</t>
  </si>
  <si>
    <t>(as per Appraisal)</t>
  </si>
  <si>
    <t>X12 Mo</t>
  </si>
  <si>
    <t>Sq Foot</t>
  </si>
  <si>
    <t>Per Mo.</t>
  </si>
  <si>
    <t>Census Tract</t>
  </si>
  <si>
    <t>Land Cost</t>
  </si>
  <si>
    <t>Acquisition Cost</t>
  </si>
  <si>
    <t>Allocated Bldg</t>
  </si>
  <si>
    <t>Allocated Rehab</t>
  </si>
  <si>
    <t xml:space="preserve"> Reserve for Replacements</t>
  </si>
  <si>
    <t>TOTAL EXPENSES INCLUDING RESERVES</t>
  </si>
  <si>
    <t xml:space="preserve"> Total Operating Expenses</t>
  </si>
  <si>
    <t>Residual Analysis</t>
  </si>
  <si>
    <t>Subtotal Income</t>
  </si>
  <si>
    <t xml:space="preserve">  Payment of Asset Management Fee</t>
  </si>
  <si>
    <t>Available Cash Flow</t>
  </si>
  <si>
    <t>*</t>
  </si>
  <si>
    <t>Priority 1:</t>
  </si>
  <si>
    <t>Deferred Dev. Fee (100% CF)</t>
  </si>
  <si>
    <t>Priority 2:</t>
  </si>
  <si>
    <t>Seller Take Back</t>
  </si>
  <si>
    <t>Remaining Cash Flow</t>
  </si>
  <si>
    <t>Priority 3: HOME Funds LHC</t>
  </si>
  <si>
    <t xml:space="preserve">3rd Mortgage Loan </t>
  </si>
  <si>
    <t>Sixteen</t>
  </si>
  <si>
    <t>Seventeen</t>
  </si>
  <si>
    <t>Eighteen</t>
  </si>
  <si>
    <t>Nineteen</t>
  </si>
  <si>
    <t>Twenty</t>
  </si>
  <si>
    <t xml:space="preserve">Residual Value </t>
  </si>
  <si>
    <t>1st Mortgage Balance</t>
  </si>
  <si>
    <t>Seller Take Back Mortgage</t>
  </si>
  <si>
    <t>HOME LHC</t>
  </si>
  <si>
    <t>Deferred Developer Fee</t>
  </si>
  <si>
    <t>500/502/504 Ermine Street, Leesville, LA</t>
  </si>
  <si>
    <t>1146/1148 Logan Lane, Leesville, LA</t>
  </si>
  <si>
    <t>209 Pollard &amp; 211 Blackburn, Leesville, LA</t>
  </si>
  <si>
    <t>180 Pollard &amp; 182 Blackburn, Leesville, LA</t>
  </si>
  <si>
    <t>207 Pollard Avenue, Leesville, LA</t>
  </si>
  <si>
    <t>176 &amp; 178 Pollard Avenue, Leesville, LA</t>
  </si>
  <si>
    <t>174 Pollard Avenue, Leesville, LA</t>
  </si>
  <si>
    <t>203 &amp; 205 Pollard Avenue, Leesville, LA</t>
  </si>
  <si>
    <t>201 Pollard Avenue, Leesville, LA</t>
  </si>
  <si>
    <t>197 George &amp; 197 Pollard, Leesville, LA</t>
  </si>
  <si>
    <t>170 George &amp; 172 Pollard, Leesville, LA</t>
  </si>
  <si>
    <t>195 Pollard Avenue, Leesville, LA</t>
  </si>
  <si>
    <t>177 George Avenue, Leesville, LA</t>
  </si>
  <si>
    <t>179 Pollard Avenue, Leesville, LA</t>
  </si>
  <si>
    <t>191 &amp; 193 Pollard Avenue, Leesville, LA</t>
  </si>
  <si>
    <t>185 &amp; 187 Pollard Avenue, Leesville, LA</t>
  </si>
  <si>
    <t>189 Pollard Avenue, Leesville, LA</t>
  </si>
  <si>
    <t>168 George Avenue, Leesville, LA</t>
  </si>
  <si>
    <t>173 &amp; 175 George Avenue, Leesville, LA</t>
  </si>
  <si>
    <t>164 &amp; 166 George Avenue, Leesville, LA</t>
  </si>
  <si>
    <t>169 Maurice &amp; 171 George Avenue, Leesville, LA</t>
  </si>
  <si>
    <t>128 George &amp; 160 Maurice Drive, Leesville, LA</t>
  </si>
  <si>
    <t>165 &amp; 167 Maurice Drive, Leesville, LA</t>
  </si>
  <si>
    <t>159 &amp; 161 &amp; 163 Maurice Drive, Leesville, LA</t>
  </si>
  <si>
    <t>156 &amp; 158 Maurice Drive, Leesville, LA</t>
  </si>
  <si>
    <t>155 &amp; 157 Maurice Drive, Leesville, LA</t>
  </si>
  <si>
    <t>151 &amp; 153 Maurice Drive, Leesville, LA</t>
  </si>
  <si>
    <t>150 &amp; 152 Maurice Drive, Leesville, LA</t>
  </si>
  <si>
    <t>147 Anacoco Street &amp; 149 Maurice Drive, Leesville, LA</t>
  </si>
  <si>
    <t>146 Anacoco Street &amp; 148 Maurice Drive, Leesville, LA</t>
  </si>
  <si>
    <t>143 George &amp; 145 Anacoco Street, Leesville, LA</t>
  </si>
  <si>
    <t>142 George &amp; 144 Anacoco Street, Leesville, LA</t>
  </si>
  <si>
    <t>138 &amp; 140 George Avenue, Leesville, LA</t>
  </si>
  <si>
    <t>139 &amp; 141 George Avenue, Leesville, LA</t>
  </si>
  <si>
    <t>133 &amp; 135 &amp; 137 George Avenue, Leesville, LA</t>
  </si>
  <si>
    <t>130 &amp; 132 &amp; 134 George Avenue, Leesville, LA</t>
  </si>
  <si>
    <t>129 &amp; 131 George Avenue, Leesville, LA</t>
  </si>
  <si>
    <t>125 Maurice &amp; 127 George Avenue, Leesville, LA</t>
  </si>
  <si>
    <t>126 Maurice &amp; 162 George Avenue, Leesville, LA</t>
  </si>
  <si>
    <t>121 &amp; 123 Maurice Drive, Leesville, LA</t>
  </si>
  <si>
    <t>120 &amp; 122 &amp; 124 Maurice Drive, Leesville, LA</t>
  </si>
  <si>
    <t>117 &amp; 119 Maurice Drive, Leesville, LA</t>
  </si>
  <si>
    <t>116 &amp; 118 Maurice Drive, Leesville, LA</t>
  </si>
  <si>
    <t>114 Maurice &amp; 184 Blackburn Avenue, Leesville, LA</t>
  </si>
  <si>
    <t>112 Maurice Drive &amp; 215 Blackburn Avenue, Leesville, LA</t>
  </si>
  <si>
    <t>111 &amp; 113 Maurice Drive, Leesville, LA</t>
  </si>
  <si>
    <t>108 &amp; 110 Maurice Drive, Leesville, LA</t>
  </si>
  <si>
    <t>104 &amp; 106 Maurice Drive, Leesville, LA</t>
  </si>
  <si>
    <t>105 &amp; 107 Maurice Drive, Leesville, LA</t>
  </si>
  <si>
    <t>100 Bradley &amp; 102 Maurice Drive, Leesville, LA</t>
  </si>
  <si>
    <t>101 Bradley Street &amp; 103 Maurice Drive, Leesville, LA</t>
  </si>
  <si>
    <t>101 Bradley &amp; 103 Maurice Drive, Leesville, LA</t>
  </si>
  <si>
    <t>181 &amp; 183 Pollard Avenue, Leesville, LA</t>
  </si>
  <si>
    <t>154 Maurice Drive, Leesville, LA</t>
  </si>
  <si>
    <t>136 George Avenue, Leesville, LA</t>
  </si>
  <si>
    <t>1008 &amp; 1010 &amp; 1012&amp; 1014 W. Union Street</t>
  </si>
  <si>
    <t>1100 &amp; 1102&amp; 1104 Logan Lane, Leesville, LA</t>
  </si>
  <si>
    <t>1114 &amp; 1116 &amp; 1118 Logan Lane, Leesville, LA</t>
  </si>
  <si>
    <t>1132 &amp; 1134 &amp;1136 Logan Lane, Leesville, LA</t>
  </si>
  <si>
    <t>1158 &amp; 1160 &amp; 1162 Logan Lane, Leesville, LA</t>
  </si>
  <si>
    <t>1106 &amp; 1108 &amp; 1110 &amp; 1112 Logan Lane, Leesville, LA</t>
  </si>
  <si>
    <t>1138 &amp; 1140 &amp; 1142 &amp; 1144 Logan Lane, Leesville, LA</t>
  </si>
  <si>
    <t>1150 &amp; 1152 &amp; 1154 &amp; 1156 Logan Lane, Leesville, LA</t>
  </si>
  <si>
    <t>1120 &amp; 1122 &amp; 1124 &amp; 1126 &amp; 1128 &amp; 1130 Logan Lane, Leesville, LA</t>
  </si>
  <si>
    <t>300 &amp; 302 Campbell Loop, Leesville, LA</t>
  </si>
  <si>
    <t>304 &amp; 306 Campbell Loop, Leesville, LA</t>
  </si>
  <si>
    <t>308 &amp; 310 Campbell Loop, Leesville, LA</t>
  </si>
  <si>
    <t>312 &amp; 314 Campbell Loop, Leesville, LA</t>
  </si>
  <si>
    <t>316 &amp; 318 Campbell Loop, Leesville, LA</t>
  </si>
  <si>
    <t>320 &amp; 322 Campbell Loop, Leesville, LA</t>
  </si>
  <si>
    <t>324 &amp; 326 Campbell Loop, Leesville, LA</t>
  </si>
  <si>
    <t>328 &amp; 330 Campbell Loop, Leesville, LA</t>
  </si>
  <si>
    <t>332 &amp; 334 Campbell Loop, Leesville, LA</t>
  </si>
  <si>
    <t>336 &amp; 338 Campbell Loop, Leesville, LA</t>
  </si>
  <si>
    <t>321 &amp; 323 Campbell Loop, Leesville, LA</t>
  </si>
  <si>
    <t>313 &amp; 315 Campbell Loop, Leesville, LA</t>
  </si>
  <si>
    <t>317 &amp; 319 Campbell Loop, Leesville, LA</t>
  </si>
  <si>
    <t>309 &amp; 311 Campbell Loop, Leesville, LA</t>
  </si>
  <si>
    <t>305 &amp; 307 Campbell Loop, Leesville, LA</t>
  </si>
  <si>
    <t>301 &amp; 303 Campbell Loop, Leesville, LA</t>
  </si>
  <si>
    <t>701 &amp;703 Wesley Lane, Leesville, LA</t>
  </si>
  <si>
    <t>705 &amp; 707 Wesley Lane, Leesville, LA</t>
  </si>
  <si>
    <t>708 &amp; 709 Wesley Lane, Leesville, LA</t>
  </si>
  <si>
    <t>710 &amp; 711 Wesley Lane, Leesville, LA</t>
  </si>
  <si>
    <t>712 &amp; 713 Wesley Lane, Leesville, LA</t>
  </si>
  <si>
    <t>714 &amp; 715 Wesley Lane, Leesville, LA</t>
  </si>
  <si>
    <t>900 &amp; 902 &amp; 904 &amp; 906 W. Union Street, Leesville, LA</t>
  </si>
  <si>
    <t>1000 &amp; 1002 &amp; 1004 &amp; 1006 W. Union Street, Leesville, LA</t>
  </si>
  <si>
    <t>1014 &amp; 1016 &amp; 1018 &amp; 1020 W. Union, Leesville, LA</t>
  </si>
  <si>
    <t>Calliope Senior Village</t>
  </si>
  <si>
    <t>units</t>
  </si>
  <si>
    <t>SF</t>
  </si>
  <si>
    <t>SITE IMPROVEMENTS</t>
  </si>
  <si>
    <t>Demolition</t>
  </si>
  <si>
    <t>On-Site Improvements</t>
  </si>
  <si>
    <t>Off-Site Improvements</t>
  </si>
  <si>
    <t>CONSTRUCTION</t>
  </si>
  <si>
    <t>Rehabilitation</t>
  </si>
  <si>
    <t>New Construction</t>
  </si>
  <si>
    <t>Gen Requirements</t>
  </si>
  <si>
    <t>Contractor Overhead</t>
  </si>
  <si>
    <t>Contractor Profit</t>
  </si>
  <si>
    <t>P &amp; P Bond</t>
  </si>
  <si>
    <t>Permits &amp; Impact Fees</t>
  </si>
  <si>
    <t>Furnishings</t>
  </si>
  <si>
    <t>cost/unit</t>
  </si>
  <si>
    <t>cost/sf</t>
  </si>
  <si>
    <t>Gen. Requirement</t>
  </si>
  <si>
    <t>Bond Premium/Impact Fees</t>
  </si>
  <si>
    <t>LHC Calculated Fee Limits:</t>
  </si>
  <si>
    <t>Builder Profit</t>
  </si>
  <si>
    <t>Fees to S/U</t>
  </si>
  <si>
    <t>Variance to S/U</t>
  </si>
  <si>
    <t>Title Calc</t>
  </si>
  <si>
    <t>Workspace and Notes</t>
  </si>
  <si>
    <t>Must Be Zero</t>
  </si>
  <si>
    <t>Legal Fees Breakdown</t>
  </si>
  <si>
    <t>Real Estate Legal</t>
  </si>
  <si>
    <t>Lender Legal Const</t>
  </si>
  <si>
    <t>Lender Legal Perm</t>
  </si>
  <si>
    <t>Total Legal</t>
  </si>
  <si>
    <t>Title &amp; Recording</t>
  </si>
  <si>
    <t>Basis Elig.</t>
  </si>
  <si>
    <t>Const Loan T&amp;R</t>
  </si>
  <si>
    <t>Perm Loan T&amp;R</t>
  </si>
  <si>
    <t>Total T&amp;R</t>
  </si>
  <si>
    <t>Other Third Party Costs</t>
  </si>
  <si>
    <t>Bond Cost of Issuance</t>
  </si>
  <si>
    <t>Survey</t>
  </si>
  <si>
    <t>Geotech</t>
  </si>
  <si>
    <t>Environmental</t>
  </si>
  <si>
    <t>Syndication Legal</t>
  </si>
  <si>
    <t>Soft</t>
  </si>
  <si>
    <t>Consultants</t>
  </si>
  <si>
    <t>Proposed Bonds Issue Amount</t>
  </si>
  <si>
    <t>Bridge Loan over bond amount</t>
  </si>
  <si>
    <t>ITEM</t>
  </si>
  <si>
    <t>COST</t>
  </si>
  <si>
    <t>% TOTAL</t>
  </si>
  <si>
    <t>ACQUISITION</t>
  </si>
  <si>
    <t>Build Acquisition</t>
  </si>
  <si>
    <t>Land Acquisition</t>
  </si>
  <si>
    <t>On-Site Imp.</t>
  </si>
  <si>
    <t>Off-Site Imp.</t>
  </si>
  <si>
    <t>P &amp; P Bond or LOC</t>
  </si>
  <si>
    <t>Relocation</t>
  </si>
  <si>
    <t xml:space="preserve">Other </t>
  </si>
  <si>
    <t>PROFESSIONAL FEES</t>
  </si>
  <si>
    <t>Architect &amp; Engineer</t>
  </si>
  <si>
    <t>Accounting</t>
  </si>
  <si>
    <t>GeoTech</t>
  </si>
  <si>
    <t>CONSTRUCTION FINANCE</t>
  </si>
  <si>
    <t>Title and Recording</t>
  </si>
  <si>
    <t>Constr. Interest</t>
  </si>
  <si>
    <t>Constr. Loan Fees</t>
  </si>
  <si>
    <t>Market Study</t>
  </si>
  <si>
    <t>Lender Legal</t>
  </si>
  <si>
    <t>PERMANENT FINANCE</t>
  </si>
  <si>
    <t>Perm. Loan Fees</t>
  </si>
  <si>
    <t>Credit Enhancement</t>
  </si>
  <si>
    <t>SOFT COSTS</t>
  </si>
  <si>
    <t>Property Taxes</t>
  </si>
  <si>
    <t>Constr. Insurance</t>
  </si>
  <si>
    <t>Other Depreciable Soft</t>
  </si>
  <si>
    <t>Tax Credit Appl. Fee</t>
  </si>
  <si>
    <t>Tax Credit Mon. Fee</t>
  </si>
  <si>
    <t>Marketing Expense</t>
  </si>
  <si>
    <t>Environmental Cont</t>
  </si>
  <si>
    <t>Syndication Expense</t>
  </si>
  <si>
    <t>Tax Opinion</t>
  </si>
  <si>
    <t>Rentup Expense</t>
  </si>
  <si>
    <t>RESERVES</t>
  </si>
  <si>
    <t>Rentup Reserve</t>
  </si>
  <si>
    <t>Operating Reserve</t>
  </si>
  <si>
    <t>Bond D/S  Reserve</t>
  </si>
  <si>
    <t>Working Capital</t>
  </si>
  <si>
    <t>DEVELOPMENT COST</t>
  </si>
  <si>
    <t>Phase II</t>
  </si>
  <si>
    <t>Phase III</t>
  </si>
  <si>
    <t>Sources of Funds</t>
  </si>
  <si>
    <t>Bank</t>
  </si>
  <si>
    <t>Amortizing Loan</t>
  </si>
  <si>
    <t>Deferred Loan</t>
  </si>
  <si>
    <t>Deferred Fee</t>
  </si>
  <si>
    <t>Total Sources</t>
  </si>
  <si>
    <t>Ck to Client Numbers: Uses</t>
  </si>
  <si>
    <t>Ck to Client Numbers: Sources</t>
  </si>
  <si>
    <t>Construction Costs were provided by client</t>
  </si>
  <si>
    <t>All Phases</t>
  </si>
  <si>
    <t>Calculated by average % of all phases X construction costs provided by client</t>
  </si>
  <si>
    <t>Total Fees</t>
  </si>
  <si>
    <t>Calculated per LHC Formula</t>
  </si>
  <si>
    <t>Re-allocated per LHC average for similar development</t>
  </si>
  <si>
    <t>Appears very High; - Calculated per previous deals L&amp; A has worked on</t>
  </si>
  <si>
    <t>Included in syndication legal/other</t>
  </si>
  <si>
    <t>calculated in L&amp;A model</t>
  </si>
  <si>
    <t>Calculated as 1% of Perm Loan</t>
  </si>
  <si>
    <t>Calculated 6 mo. Operating expenses + Debt Service</t>
  </si>
  <si>
    <t>Calculated on Per Unit Basis</t>
  </si>
  <si>
    <t>Total Units Original Submission</t>
  </si>
  <si>
    <t>PH I</t>
  </si>
  <si>
    <t>PH II</t>
  </si>
  <si>
    <t>PH III</t>
  </si>
  <si>
    <t>Total Units - Proposed Submission</t>
  </si>
  <si>
    <t xml:space="preserve">All Phases </t>
  </si>
  <si>
    <t>Calculated Per LHC Formula</t>
  </si>
  <si>
    <t>Total Project Square Footage</t>
  </si>
  <si>
    <t>Reasonable for single phase</t>
  </si>
  <si>
    <t>Not Sure What This is - Calculated on Per Unit</t>
  </si>
  <si>
    <t>Appears Reasonable for Single Phase</t>
  </si>
  <si>
    <t>Marketing</t>
  </si>
  <si>
    <t>Non Basis</t>
  </si>
  <si>
    <t>Calculated 1% Loan Amount L&amp;A Model</t>
  </si>
  <si>
    <t>Calculated on Per Unit Basis (1% on Comparable Cost Certfied Deal) Used in Model</t>
  </si>
  <si>
    <t>Adjustments and Contingency</t>
  </si>
  <si>
    <t>Additional Contingency</t>
  </si>
  <si>
    <t>Total Soft Cost Contingency</t>
  </si>
  <si>
    <t>Only eligible for 3.6 in cap funds, thus reduced by 1,500,000.</t>
  </si>
  <si>
    <t>Max 2 Bedrooms</t>
  </si>
  <si>
    <t>No</t>
  </si>
  <si>
    <t>Public Housing Units</t>
  </si>
  <si>
    <t>Based on proportion of Cap Funds to TDC</t>
  </si>
  <si>
    <t>Assumed Capital Funds In deal</t>
  </si>
  <si>
    <t>Grant (Soft Funds)</t>
  </si>
  <si>
    <t>Max Cap Funds Per PH Unit</t>
  </si>
  <si>
    <t>Total PH Units</t>
  </si>
  <si>
    <t>Max Subsidy - Eligilbe</t>
  </si>
  <si>
    <t>Cap Funds (Rounded - Nearest 100k)</t>
  </si>
  <si>
    <t>Grant Funds - Loaned In (CAP;CNO;LHC)</t>
  </si>
  <si>
    <t>Deferred Developer Fee Analysis</t>
  </si>
  <si>
    <t>Projected Deferred Fee</t>
  </si>
  <si>
    <t>Deferred Fee Feasibility</t>
  </si>
  <si>
    <t>NOTE: Increased PH Units to Max Cap Fund Eligilbity to 3,600000, which</t>
  </si>
  <si>
    <t>resulted in reduction of Perm Loan Proceeds as Follows:</t>
  </si>
  <si>
    <t>Perm Proceeds - Originally modeled with 14 PH units</t>
  </si>
  <si>
    <t>Perm Proceeds - Currently projected 23 PH Units</t>
  </si>
  <si>
    <t>Perm Loan Reduction</t>
  </si>
  <si>
    <t>Subsidy Test Result</t>
  </si>
  <si>
    <t>Capital Funds Subsidy per Unit Test</t>
  </si>
  <si>
    <t>Other Adjustments</t>
  </si>
  <si>
    <t>Cash Flow For Soft Debt</t>
  </si>
  <si>
    <t>Calculated Insruance</t>
  </si>
  <si>
    <t>Adjustment from Environmental</t>
  </si>
  <si>
    <t>Original Assumptions</t>
  </si>
  <si>
    <t>Updated on Per unit Basis - 2/5/19</t>
  </si>
  <si>
    <t xml:space="preserve">Per </t>
  </si>
  <si>
    <t xml:space="preserve">Unit </t>
  </si>
  <si>
    <t>Cost</t>
  </si>
  <si>
    <t>355 Units</t>
  </si>
  <si>
    <t>PHA Utility Chart</t>
  </si>
  <si>
    <t>3.17.19 Updated Appl.</t>
  </si>
  <si>
    <t>(30%) Rent</t>
  </si>
  <si>
    <t>(20%) Rent</t>
  </si>
  <si>
    <t>ANNUAL OPERATING EXPENSES</t>
  </si>
  <si>
    <t>Number of units:</t>
  </si>
  <si>
    <t>Target population:</t>
  </si>
  <si>
    <t>% of Total</t>
  </si>
  <si>
    <t>% EGI</t>
  </si>
  <si>
    <t>Accounting Services</t>
  </si>
  <si>
    <t>Administrative Rent Free Unit(s)</t>
  </si>
  <si>
    <t>Bad Debt</t>
  </si>
  <si>
    <t>Rent Concessions</t>
  </si>
  <si>
    <t xml:space="preserve">Advertising </t>
  </si>
  <si>
    <t>LHC Compliance Monitoring Fees</t>
  </si>
  <si>
    <t>Compliance Fees (Other)</t>
  </si>
  <si>
    <t>Asset Management Fee</t>
  </si>
  <si>
    <t>Legal Auditing</t>
  </si>
  <si>
    <t>Manager(s) Salaries</t>
  </si>
  <si>
    <t>Office Salaries</t>
  </si>
  <si>
    <t>Telephone</t>
  </si>
  <si>
    <t>Other (identify):Disability Program and Social Services</t>
  </si>
  <si>
    <t>Total Administrative</t>
  </si>
  <si>
    <t>Operating/Maintenance</t>
  </si>
  <si>
    <t>Elevator Maintenance/Contract</t>
  </si>
  <si>
    <t>Exterminating Contract</t>
  </si>
  <si>
    <t>Grounds Expense</t>
  </si>
  <si>
    <t>Janitorial Services</t>
  </si>
  <si>
    <t>Repairs/Maintenance</t>
  </si>
  <si>
    <t>Security Payroll/Contract</t>
  </si>
  <si>
    <t>Waste Collection</t>
  </si>
  <si>
    <t>Other (identify):</t>
  </si>
  <si>
    <t>Total Operating/Maintenance</t>
  </si>
  <si>
    <t>Utilities</t>
  </si>
  <si>
    <t>Electricity</t>
  </si>
  <si>
    <t>Total Utilities</t>
  </si>
  <si>
    <t>Taxes/Insurance</t>
  </si>
  <si>
    <t>Property Insurance</t>
  </si>
  <si>
    <t>Other Insurance</t>
  </si>
  <si>
    <t>Real Estate Taxes</t>
  </si>
  <si>
    <t>Workmen's Compensation</t>
  </si>
  <si>
    <t>Total Taxes/Insurance</t>
  </si>
  <si>
    <t>Total Operating Expenses</t>
  </si>
  <si>
    <t>Tenant Utilities</t>
  </si>
  <si>
    <t>Responsible Party</t>
  </si>
  <si>
    <t>Who will be responsible for tenant utilities?
Does not include common areas.</t>
  </si>
  <si>
    <t>Tenant</t>
  </si>
  <si>
    <t>N/A</t>
  </si>
  <si>
    <t>For which Parish was the LHC historical expense data utilized?</t>
  </si>
  <si>
    <t>Enter the historical 2014 PUPA expense, excluding utilities, for the above Parish:</t>
  </si>
  <si>
    <t>Per Unit Replacement Reserves</t>
  </si>
  <si>
    <t>Total Operating Expenses and Reserves</t>
  </si>
  <si>
    <t>Land Acquisition Price</t>
  </si>
  <si>
    <t>Construction Breakdown:</t>
  </si>
  <si>
    <t>Total Hard Cost</t>
  </si>
  <si>
    <t>Total Land Improvements</t>
  </si>
  <si>
    <t>Construction Hard Cost</t>
  </si>
  <si>
    <t>Per Unit Hard Costs</t>
  </si>
  <si>
    <t>Pojected Hard Cost Contingency</t>
  </si>
  <si>
    <t>Insurance Budget</t>
  </si>
  <si>
    <t>Const/Bridge</t>
  </si>
  <si>
    <t>Pari-Passu Calculation</t>
  </si>
  <si>
    <t>50% Draw</t>
  </si>
  <si>
    <t>Cont/Br.</t>
  </si>
  <si>
    <t>BONDS</t>
  </si>
  <si>
    <t>Initial Deposit to Replacement Reserve</t>
  </si>
  <si>
    <t>All Draws Pari-Passu; Equity/Const.Bridge and Bond-Interim</t>
  </si>
  <si>
    <t>Tax Credit Equity</t>
  </si>
  <si>
    <t>Construction/Bridge Loan</t>
  </si>
  <si>
    <t xml:space="preserve">Interim Bonds </t>
  </si>
  <si>
    <t>LHC CDBG</t>
  </si>
  <si>
    <t>Cash Collateral Fund</t>
  </si>
  <si>
    <t>Draws</t>
  </si>
  <si>
    <t>Total CDBG Award</t>
  </si>
  <si>
    <t>Percentage to be drawn during construction</t>
  </si>
  <si>
    <t>Total CDBG avaialbe for Collateral Draws - PIS</t>
  </si>
  <si>
    <t>CDBG</t>
  </si>
  <si>
    <t>Fixed Fee</t>
  </si>
  <si>
    <t>Legal - Syndication</t>
  </si>
  <si>
    <t xml:space="preserve">CDBG </t>
  </si>
  <si>
    <t>CK</t>
  </si>
  <si>
    <t>Collateral Daw</t>
  </si>
  <si>
    <t>Pay Down on Construction/Interim</t>
  </si>
  <si>
    <t>Payment on Contruction Loan</t>
  </si>
  <si>
    <t>Developer Fee Deferred</t>
  </si>
  <si>
    <t>Max Deferred Fee (50% 15 Year Cash Flow)</t>
  </si>
  <si>
    <t>% Developer Fee Deferred</t>
  </si>
  <si>
    <t>Developer Fee Paid</t>
  </si>
  <si>
    <t>% Developer Fee Paid</t>
  </si>
  <si>
    <t>Pay Off Construction Loan; Redeem Bonds</t>
  </si>
  <si>
    <t>Libor + 275bps</t>
  </si>
  <si>
    <t>Regions</t>
  </si>
  <si>
    <t>CR</t>
  </si>
  <si>
    <t>Perm</t>
  </si>
  <si>
    <t>Hollywood Acres</t>
  </si>
  <si>
    <t>Surety Bond</t>
  </si>
  <si>
    <t>Asbestos</t>
  </si>
  <si>
    <t xml:space="preserve">LOMA </t>
  </si>
  <si>
    <t>Add'l Engineering</t>
  </si>
  <si>
    <t>Other 3rd party</t>
  </si>
  <si>
    <t>Taxpayer Closing</t>
  </si>
  <si>
    <t>10K org syn. Rest in legal</t>
  </si>
  <si>
    <t>Source of Funds</t>
  </si>
  <si>
    <t>Bond Funds (Interim)</t>
  </si>
  <si>
    <t>First Mortgage - HOPE</t>
  </si>
  <si>
    <t>Second Mortgage - CDBG</t>
  </si>
  <si>
    <t>Deferred Development Fee</t>
  </si>
  <si>
    <t>GP Capital</t>
  </si>
  <si>
    <t>SLP Capital</t>
  </si>
  <si>
    <t>Tax Credit - LP Equity Contribution</t>
  </si>
  <si>
    <t>Total Const. Costs</t>
  </si>
  <si>
    <t>Const. Soft Costs</t>
  </si>
  <si>
    <t>Financing Fees/ exp % COI</t>
  </si>
  <si>
    <t>Total Const Soft Costs</t>
  </si>
  <si>
    <t>Total Financing Fees/Exp &amp; COI</t>
  </si>
  <si>
    <t>Repayment of Bonds</t>
  </si>
  <si>
    <t>Total Uses of Funds</t>
  </si>
  <si>
    <t>Per D Stromburg 11.25.19</t>
  </si>
  <si>
    <t>SLP-GP</t>
  </si>
  <si>
    <t>Other - SLP</t>
  </si>
  <si>
    <t>Other - GP</t>
  </si>
  <si>
    <t>Buildng Acquisition</t>
  </si>
  <si>
    <t>Excess OH; GR; BP</t>
  </si>
  <si>
    <t>Total Contingency (Including Excess Bldr Fees.</t>
  </si>
  <si>
    <t>Green Certification</t>
  </si>
  <si>
    <t>Accessibility Review</t>
  </si>
  <si>
    <t>Other - Constr. Materials Testing</t>
  </si>
  <si>
    <t>Building Permits</t>
  </si>
  <si>
    <t xml:space="preserve">  Appraisal</t>
  </si>
  <si>
    <t>Alta Survey</t>
  </si>
  <si>
    <t>Water Line Test</t>
  </si>
  <si>
    <t>PCNA</t>
  </si>
  <si>
    <t>Acquisition/Rehabilitation</t>
  </si>
  <si>
    <t>Projected Hard Cost Contingency</t>
  </si>
  <si>
    <t>Sponsor Costs</t>
  </si>
  <si>
    <t>PRINCIPAL:</t>
  </si>
  <si>
    <t>County:</t>
  </si>
  <si>
    <t>OH</t>
  </si>
  <si>
    <t>Developer Fee Rehab.(Maximum 15%)</t>
  </si>
  <si>
    <t>Seller Note</t>
  </si>
  <si>
    <t>Lamar Building</t>
  </si>
  <si>
    <t>Augusta GA</t>
  </si>
  <si>
    <t>Historic Credit</t>
  </si>
  <si>
    <t>Credits Calculated</t>
  </si>
  <si>
    <t>State Credit</t>
  </si>
  <si>
    <t>total credits</t>
  </si>
  <si>
    <t>Construction Loan</t>
  </si>
  <si>
    <t>i.o</t>
  </si>
  <si>
    <t>Draw</t>
  </si>
  <si>
    <t>Paydowns</t>
  </si>
  <si>
    <t>1 Bedroom  Market (Lower)</t>
  </si>
  <si>
    <t>1 Bedroom  Market (Upper)</t>
  </si>
  <si>
    <t>2 Bedroom Market (Lower)</t>
  </si>
  <si>
    <t>2 Bedroom Market (Upper)</t>
  </si>
  <si>
    <t>Initial Draw</t>
  </si>
  <si>
    <t>Final Draw (at substantial occupancy)</t>
  </si>
  <si>
    <t xml:space="preserve">  Rental Income </t>
  </si>
  <si>
    <t xml:space="preserve">  Loss to Lease</t>
  </si>
  <si>
    <t xml:space="preserve">  Vacancies - Current</t>
  </si>
  <si>
    <t xml:space="preserve">  Rent Concessions</t>
  </si>
  <si>
    <t xml:space="preserve">  Bad Debt Expense</t>
  </si>
  <si>
    <t xml:space="preserve">  Total Rent Revenue</t>
  </si>
  <si>
    <t xml:space="preserve">  Application Fees</t>
  </si>
  <si>
    <t xml:space="preserve">  Insufficient Funds Fees</t>
  </si>
  <si>
    <t xml:space="preserve">  Late Fees</t>
  </si>
  <si>
    <t xml:space="preserve">  Cleaning Fees</t>
  </si>
  <si>
    <t xml:space="preserve">  Key and Lockout Fees</t>
  </si>
  <si>
    <t xml:space="preserve">  Miscellaneous Revenue</t>
  </si>
  <si>
    <t xml:space="preserve">  Total Other Revenue</t>
  </si>
  <si>
    <t xml:space="preserve">  Total Revenue</t>
  </si>
  <si>
    <t xml:space="preserve">  Education/Seminar</t>
  </si>
  <si>
    <t xml:space="preserve">  Misc Taxes, Licenses &amp; Permits</t>
  </si>
  <si>
    <t xml:space="preserve">  Promotional Materials</t>
  </si>
  <si>
    <t xml:space="preserve">  Office Supplies</t>
  </si>
  <si>
    <t xml:space="preserve">  Postage and Delivery</t>
  </si>
  <si>
    <t xml:space="preserve">  Office Equipment Rent and Maintinence</t>
  </si>
  <si>
    <t xml:space="preserve">  Internet Access</t>
  </si>
  <si>
    <t xml:space="preserve">  Telephone &amp; Answering Service</t>
  </si>
  <si>
    <t xml:space="preserve">  Credit Reports</t>
  </si>
  <si>
    <t xml:space="preserve">  Auditing Fees</t>
  </si>
  <si>
    <t xml:space="preserve">  Dues and Subscriptions</t>
  </si>
  <si>
    <t xml:space="preserve">  Bank Charges</t>
  </si>
  <si>
    <t xml:space="preserve">  Travel</t>
  </si>
  <si>
    <t xml:space="preserve">  Workers Compensation</t>
  </si>
  <si>
    <t xml:space="preserve">  Total Administrative Expenses</t>
  </si>
  <si>
    <t xml:space="preserve">  Property Management Fee</t>
  </si>
  <si>
    <t xml:space="preserve">  Total Management Fees</t>
  </si>
  <si>
    <t xml:space="preserve">  Salaries and Wages - Manager</t>
  </si>
  <si>
    <t xml:space="preserve">  Salaries and Wages - Other Admin</t>
  </si>
  <si>
    <t xml:space="preserve">  Total Payroll and Benefits</t>
  </si>
  <si>
    <t xml:space="preserve">  Supplies - Building Repairs</t>
  </si>
  <si>
    <t xml:space="preserve">  Pest Control</t>
  </si>
  <si>
    <t xml:space="preserve">  Supplies - Grounds</t>
  </si>
  <si>
    <t xml:space="preserve">  Supplies - Flooring</t>
  </si>
  <si>
    <t xml:space="preserve">  Supplies - Plumbing</t>
  </si>
  <si>
    <t xml:space="preserve">  Supplies - Electrical</t>
  </si>
  <si>
    <t xml:space="preserve">  Supplies - HVAC</t>
  </si>
  <si>
    <t xml:space="preserve">  Supplies - Appliance Repair</t>
  </si>
  <si>
    <t xml:space="preserve">  Hardware and Doors</t>
  </si>
  <si>
    <t xml:space="preserve">  Small Tools &amp; Equipment</t>
  </si>
  <si>
    <t xml:space="preserve">  Fire &amp; Safety - Contract</t>
  </si>
  <si>
    <t xml:space="preserve">  Supplies - Painting</t>
  </si>
  <si>
    <t xml:space="preserve">  Cleaning - Contract</t>
  </si>
  <si>
    <t xml:space="preserve">  Landscape Maintenance</t>
  </si>
  <si>
    <t xml:space="preserve">  Contract and Maint Expense</t>
  </si>
  <si>
    <t xml:space="preserve">  Real Estate Taxes</t>
  </si>
  <si>
    <t xml:space="preserve">  Gas</t>
  </si>
  <si>
    <t xml:space="preserve">  Electricity</t>
  </si>
  <si>
    <t xml:space="preserve">  Water and Sewer</t>
  </si>
  <si>
    <t xml:space="preserve">  Trash Removal - Contract</t>
  </si>
  <si>
    <t xml:space="preserve">  Total Utility Expense</t>
  </si>
  <si>
    <t xml:space="preserve">  Controllable Expenses</t>
  </si>
  <si>
    <t xml:space="preserve">  Net Operating Income</t>
  </si>
  <si>
    <t>Masters Upcharge</t>
  </si>
  <si>
    <t>Store Rent</t>
  </si>
  <si>
    <t>Vacancy - Commercial</t>
  </si>
  <si>
    <t xml:space="preserve"> Elevator- Contract</t>
  </si>
  <si>
    <t>Tax Credit Basis only, based on Sources and Uses</t>
  </si>
  <si>
    <t>Bond Structure Needed for Tax Abatement</t>
  </si>
  <si>
    <t>Quoted Amount for Full Project</t>
  </si>
  <si>
    <t xml:space="preserve">Equity  </t>
  </si>
  <si>
    <t>Total Sources From Debt and Equity</t>
  </si>
  <si>
    <t>8th Floor</t>
  </si>
  <si>
    <t>Operational Fees</t>
  </si>
  <si>
    <t>Anticipated Permanent Debt</t>
  </si>
  <si>
    <t>PROJECTED</t>
  </si>
  <si>
    <t>Debt at $30 million REFI</t>
  </si>
  <si>
    <t>Other- CM</t>
  </si>
  <si>
    <t>Amount</t>
  </si>
  <si>
    <t>Total Construction Cost</t>
  </si>
  <si>
    <t>Loan from SRP</t>
  </si>
  <si>
    <t>Total Equity from HTC’s</t>
  </si>
  <si>
    <t>Total Equity from Partners</t>
  </si>
  <si>
    <t>Total Debt &amp; Equity</t>
  </si>
  <si>
    <t>NOTE:</t>
  </si>
  <si>
    <t>Equity from HTC's enter the project as follows:</t>
  </si>
  <si>
    <t>At closing</t>
  </si>
  <si>
    <t>At construction completion</t>
  </si>
  <si>
    <t>At occupancy</t>
  </si>
  <si>
    <t>The balance of HTC funds from project projections held as contingency until loan paid in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</si>
</sst>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.0000_);_(* \(#,##0.0000\);_(* &quot;-&quot;????_);_(@_)"/>
    <numFmt numFmtId="167" formatCode="_(* #,##0_);_(* \(#,##0\);_(* &quot;-&quot;??_);_(@_)"/>
    <numFmt numFmtId="168" formatCode="_(* #,##0.00_);_(* \(#,##0.00\);_(* &quot;-&quot;_);_(@_)"/>
    <numFmt numFmtId="169" formatCode="#,##0.000000"/>
    <numFmt numFmtId="170" formatCode="0.000000"/>
    <numFmt numFmtId="171" formatCode="0.00_)"/>
    <numFmt numFmtId="172" formatCode="_(* #,##0.0_);_(* \(#,##0.0\);_(* &quot;-&quot;_);_(@_)"/>
    <numFmt numFmtId="173" formatCode="0.0%"/>
    <numFmt numFmtId="174" formatCode="_(* #,##0.000_);_(* \(#,##0.000\);_(* &quot;-&quot;_);_(@_)"/>
    <numFmt numFmtId="175" formatCode="_(* #,##0.0000_);_(* \(#,##0.0000\);_(* &quot;-&quot;_);_(@_)"/>
    <numFmt numFmtId="176" formatCode="[$-409]mmm\-yy;@"/>
    <numFmt numFmtId="177" formatCode="0.00000"/>
    <numFmt numFmtId="178" formatCode="0.000%"/>
    <numFmt numFmtId="179" formatCode="_(* #,##0.00000_);_(* \(#,##0.00000\);_(* &quot;-&quot;_);_(@_)"/>
    <numFmt numFmtId="180" formatCode="0.000"/>
    <numFmt numFmtId="181" formatCode="&quot;$&quot;#,##0"/>
    <numFmt numFmtId="182" formatCode="&quot;$&quot;#,##0.00"/>
    <numFmt numFmtId="183" formatCode="_(* #,##0.000_);_(* \(#,##0.000\);_(* &quot;-&quot;??_);_(@_)"/>
    <numFmt numFmtId="184" formatCode="_(&quot;$&quot;* #,##0_);_(&quot;$&quot;* \(#,##0\);_(&quot;$&quot;* &quot;-&quot;??_);_(@_)"/>
    <numFmt numFmtId="185" formatCode="&quot;$&quot;#,##0_)&quot; pupa&quot;;[Red]\(&quot;$&quot;#,##0\)&quot; pupa&quot;"/>
  </numFmts>
  <fonts count="57">
    <font>
      <sz val="10"/>
      <name val="Arial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4"/>
      <name val="Arial"/>
      <family val="2"/>
    </font>
    <font>
      <u/>
      <sz val="10"/>
      <name val="Arial"/>
      <family val="2"/>
    </font>
    <font>
      <sz val="10"/>
      <color indexed="23"/>
      <name val="Arial"/>
      <family val="2"/>
    </font>
    <font>
      <u val="singleAccounting"/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i/>
      <sz val="16"/>
      <name val="Helv"/>
    </font>
    <font>
      <sz val="10"/>
      <color indexed="60"/>
      <name val="Arial"/>
      <family val="2"/>
    </font>
    <font>
      <b/>
      <sz val="10"/>
      <color indexed="16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name val="Arial"/>
      <family val="2"/>
    </font>
    <font>
      <sz val="12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color theme="1"/>
      <name val="Times New Roman"/>
      <family val="1"/>
    </font>
    <font>
      <sz val="10"/>
      <name val="Verdana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FF"/>
      <name val="Times New Roman"/>
      <family val="1"/>
    </font>
    <font>
      <sz val="10"/>
      <color rgb="FF0000CC"/>
      <name val="Times New Roman"/>
      <family val="1"/>
    </font>
    <font>
      <b/>
      <sz val="10"/>
      <name val="Verdana"/>
      <family val="2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C00000"/>
      <name val="Arial"/>
      <family val="2"/>
    </font>
    <font>
      <b/>
      <sz val="10"/>
      <color indexed="8"/>
      <name val="Arial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2"/>
      <color indexed="12"/>
      <name val="Arial"/>
      <family val="2"/>
    </font>
    <font>
      <b/>
      <sz val="12"/>
      <color indexed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u val="singleAccounting"/>
      <sz val="10"/>
      <name val="Arial"/>
      <family val="2"/>
    </font>
    <font>
      <sz val="10"/>
      <name val="Times Roman"/>
      <family val="2"/>
    </font>
    <font>
      <b/>
      <sz val="10"/>
      <color indexed="10"/>
      <name val="Arial"/>
      <family val="2"/>
    </font>
    <font>
      <b/>
      <sz val="10"/>
      <name val="Times Roman"/>
    </font>
    <font>
      <b/>
      <sz val="10"/>
      <name val="Times Roman"/>
      <family val="2"/>
    </font>
    <font>
      <sz val="12"/>
      <color rgb="FF222222"/>
      <name val="Arial"/>
      <family val="2"/>
    </font>
    <font>
      <i/>
      <sz val="12"/>
      <color rgb="FF222222"/>
      <name val="Arial"/>
      <family val="2"/>
    </font>
    <font>
      <b/>
      <i/>
      <sz val="12"/>
      <color rgb="FF22222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</fills>
  <borders count="97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5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38" fontId="11" fillId="2" borderId="0" applyNumberFormat="0" applyBorder="0" applyAlignment="0" applyProtection="0"/>
    <xf numFmtId="0" fontId="12" fillId="0" borderId="1" applyNumberFormat="0" applyAlignment="0" applyProtection="0">
      <alignment horizontal="left" vertical="center"/>
    </xf>
    <xf numFmtId="0" fontId="12" fillId="0" borderId="2">
      <alignment horizontal="left" vertical="center"/>
    </xf>
    <xf numFmtId="10" fontId="11" fillId="3" borderId="3" applyNumberFormat="0" applyBorder="0" applyAlignment="0" applyProtection="0"/>
    <xf numFmtId="171" fontId="13" fillId="0" borderId="0"/>
    <xf numFmtId="0" fontId="22" fillId="0" borderId="0"/>
    <xf numFmtId="0" fontId="4" fillId="0" borderId="0"/>
    <xf numFmtId="0" fontId="22" fillId="0" borderId="0"/>
    <xf numFmtId="9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1" fillId="0" borderId="0"/>
    <xf numFmtId="44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</cellStyleXfs>
  <cellXfs count="567">
    <xf numFmtId="0" fontId="0" fillId="0" borderId="0" xfId="0"/>
    <xf numFmtId="41" fontId="0" fillId="0" borderId="0" xfId="0" applyNumberFormat="1"/>
    <xf numFmtId="41" fontId="0" fillId="0" borderId="4" xfId="0" applyNumberFormat="1" applyBorder="1"/>
    <xf numFmtId="41" fontId="2" fillId="0" borderId="0" xfId="0" applyNumberFormat="1" applyFont="1"/>
    <xf numFmtId="41" fontId="0" fillId="0" borderId="5" xfId="0" applyNumberFormat="1" applyBorder="1"/>
    <xf numFmtId="41" fontId="3" fillId="0" borderId="0" xfId="0" applyNumberFormat="1" applyFont="1"/>
    <xf numFmtId="166" fontId="0" fillId="0" borderId="0" xfId="0" applyNumberFormat="1"/>
    <xf numFmtId="41" fontId="4" fillId="0" borderId="0" xfId="0" applyNumberFormat="1" applyFont="1"/>
    <xf numFmtId="41" fontId="0" fillId="0" borderId="0" xfId="0" applyNumberFormat="1" applyAlignment="1">
      <alignment horizontal="left" indent="1"/>
    </xf>
    <xf numFmtId="10" fontId="0" fillId="0" borderId="0" xfId="0" applyNumberFormat="1"/>
    <xf numFmtId="41" fontId="0" fillId="0" borderId="0" xfId="0" applyNumberFormat="1" applyAlignment="1">
      <alignment horizontal="left" indent="2"/>
    </xf>
    <xf numFmtId="167" fontId="0" fillId="0" borderId="0" xfId="0" applyNumberFormat="1"/>
    <xf numFmtId="41" fontId="0" fillId="0" borderId="0" xfId="0" applyNumberFormat="1" applyAlignment="1">
      <alignment horizontal="center"/>
    </xf>
    <xf numFmtId="168" fontId="0" fillId="0" borderId="0" xfId="0" applyNumberFormat="1"/>
    <xf numFmtId="41" fontId="0" fillId="0" borderId="4" xfId="0" applyNumberFormat="1" applyBorder="1" applyAlignment="1">
      <alignment horizontal="center"/>
    </xf>
    <xf numFmtId="41" fontId="0" fillId="0" borderId="6" xfId="0" applyNumberFormat="1" applyBorder="1"/>
    <xf numFmtId="41" fontId="0" fillId="0" borderId="2" xfId="0" applyNumberFormat="1" applyBorder="1"/>
    <xf numFmtId="41" fontId="7" fillId="0" borderId="0" xfId="0" applyNumberFormat="1" applyFont="1" applyAlignment="1">
      <alignment horizontal="center"/>
    </xf>
    <xf numFmtId="41" fontId="6" fillId="0" borderId="0" xfId="0" applyNumberFormat="1" applyFont="1"/>
    <xf numFmtId="41" fontId="3" fillId="0" borderId="0" xfId="0" applyNumberFormat="1" applyFont="1" applyAlignment="1">
      <alignment horizontal="left" indent="1"/>
    </xf>
    <xf numFmtId="167" fontId="0" fillId="0" borderId="4" xfId="0" applyNumberFormat="1" applyBorder="1"/>
    <xf numFmtId="37" fontId="0" fillId="0" borderId="0" xfId="0" applyNumberFormat="1"/>
    <xf numFmtId="37" fontId="0" fillId="0" borderId="0" xfId="0" applyNumberFormat="1" applyAlignment="1">
      <alignment horizontal="center"/>
    </xf>
    <xf numFmtId="37" fontId="0" fillId="0" borderId="4" xfId="0" applyNumberFormat="1" applyBorder="1" applyAlignment="1">
      <alignment horizontal="center"/>
    </xf>
    <xf numFmtId="0" fontId="0" fillId="0" borderId="2" xfId="0" applyBorder="1"/>
    <xf numFmtId="0" fontId="0" fillId="0" borderId="4" xfId="0" applyBorder="1"/>
    <xf numFmtId="41" fontId="8" fillId="4" borderId="7" xfId="0" applyNumberFormat="1" applyFont="1" applyFill="1" applyBorder="1"/>
    <xf numFmtId="41" fontId="8" fillId="4" borderId="1" xfId="0" applyNumberFormat="1" applyFont="1" applyFill="1" applyBorder="1"/>
    <xf numFmtId="41" fontId="0" fillId="4" borderId="1" xfId="0" applyNumberFormat="1" applyFill="1" applyBorder="1"/>
    <xf numFmtId="41" fontId="9" fillId="0" borderId="0" xfId="0" applyNumberFormat="1" applyFont="1"/>
    <xf numFmtId="0" fontId="3" fillId="0" borderId="0" xfId="0" applyFont="1"/>
    <xf numFmtId="0" fontId="5" fillId="0" borderId="0" xfId="0" applyFont="1"/>
    <xf numFmtId="0" fontId="4" fillId="0" borderId="0" xfId="0" applyFon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8" fontId="0" fillId="0" borderId="4" xfId="0" applyNumberFormat="1" applyBorder="1"/>
    <xf numFmtId="8" fontId="0" fillId="0" borderId="2" xfId="0" applyNumberFormat="1" applyBorder="1"/>
    <xf numFmtId="2" fontId="0" fillId="0" borderId="0" xfId="0" applyNumberFormat="1" applyAlignment="1">
      <alignment horizontal="center"/>
    </xf>
    <xf numFmtId="2" fontId="0" fillId="0" borderId="0" xfId="3" applyNumberFormat="1" applyFont="1" applyAlignment="1">
      <alignment horizontal="center"/>
    </xf>
    <xf numFmtId="0" fontId="0" fillId="0" borderId="3" xfId="0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7" fillId="0" borderId="8" xfId="0" applyFont="1" applyBorder="1"/>
    <xf numFmtId="3" fontId="0" fillId="0" borderId="3" xfId="0" applyNumberFormat="1" applyBorder="1" applyAlignment="1">
      <alignment horizontal="center"/>
    </xf>
    <xf numFmtId="3" fontId="0" fillId="0" borderId="3" xfId="0" applyNumberFormat="1" applyBorder="1"/>
    <xf numFmtId="0" fontId="0" fillId="0" borderId="0" xfId="0" applyAlignment="1">
      <alignment horizontal="left" indent="1"/>
    </xf>
    <xf numFmtId="3" fontId="0" fillId="0" borderId="0" xfId="0" applyNumberFormat="1"/>
    <xf numFmtId="41" fontId="0" fillId="4" borderId="0" xfId="0" applyNumberFormat="1" applyFill="1"/>
    <xf numFmtId="10" fontId="0" fillId="0" borderId="0" xfId="13" applyNumberFormat="1" applyFont="1"/>
    <xf numFmtId="43" fontId="0" fillId="0" borderId="0" xfId="0" applyNumberFormat="1"/>
    <xf numFmtId="10" fontId="10" fillId="0" borderId="0" xfId="13" applyNumberFormat="1" applyFont="1"/>
    <xf numFmtId="9" fontId="10" fillId="0" borderId="0" xfId="13" applyFont="1"/>
    <xf numFmtId="43" fontId="0" fillId="0" borderId="4" xfId="0" applyNumberFormat="1" applyBorder="1"/>
    <xf numFmtId="167" fontId="4" fillId="0" borderId="0" xfId="0" applyNumberFormat="1" applyFont="1"/>
    <xf numFmtId="41" fontId="4" fillId="0" borderId="4" xfId="0" applyNumberFormat="1" applyFont="1" applyBorder="1"/>
    <xf numFmtId="41" fontId="4" fillId="0" borderId="9" xfId="0" applyNumberFormat="1" applyFont="1" applyBorder="1"/>
    <xf numFmtId="10" fontId="4" fillId="0" borderId="0" xfId="0" applyNumberFormat="1" applyFont="1" applyAlignment="1">
      <alignment horizontal="center"/>
    </xf>
    <xf numFmtId="41" fontId="4" fillId="0" borderId="4" xfId="0" applyNumberFormat="1" applyFont="1" applyBorder="1" applyAlignment="1">
      <alignment horizontal="center"/>
    </xf>
    <xf numFmtId="10" fontId="4" fillId="0" borderId="4" xfId="13" applyNumberFormat="1" applyFont="1" applyBorder="1"/>
    <xf numFmtId="9" fontId="0" fillId="0" borderId="0" xfId="13" applyFont="1"/>
    <xf numFmtId="9" fontId="0" fillId="0" borderId="0" xfId="13" applyFont="1" applyBorder="1"/>
    <xf numFmtId="41" fontId="10" fillId="0" borderId="0" xfId="0" applyNumberFormat="1" applyFont="1" applyAlignment="1">
      <alignment horizontal="center"/>
    </xf>
    <xf numFmtId="41" fontId="10" fillId="0" borderId="0" xfId="0" applyNumberFormat="1" applyFont="1"/>
    <xf numFmtId="168" fontId="10" fillId="0" borderId="0" xfId="0" applyNumberFormat="1" applyFont="1"/>
    <xf numFmtId="167" fontId="0" fillId="0" borderId="0" xfId="1" applyNumberFormat="1" applyFont="1"/>
    <xf numFmtId="10" fontId="10" fillId="0" borderId="4" xfId="0" applyNumberFormat="1" applyFont="1" applyBorder="1"/>
    <xf numFmtId="41" fontId="10" fillId="0" borderId="4" xfId="0" applyNumberFormat="1" applyFont="1" applyBorder="1"/>
    <xf numFmtId="10" fontId="10" fillId="0" borderId="4" xfId="13" applyNumberFormat="1" applyFont="1" applyBorder="1"/>
    <xf numFmtId="10" fontId="10" fillId="0" borderId="2" xfId="13" applyNumberFormat="1" applyFont="1" applyBorder="1"/>
    <xf numFmtId="10" fontId="0" fillId="0" borderId="0" xfId="13" applyNumberFormat="1" applyFont="1" applyBorder="1"/>
    <xf numFmtId="10" fontId="10" fillId="0" borderId="0" xfId="13" applyNumberFormat="1" applyFont="1" applyBorder="1"/>
    <xf numFmtId="37" fontId="10" fillId="0" borderId="0" xfId="0" applyNumberFormat="1" applyFont="1" applyAlignment="1">
      <alignment horizontal="center"/>
    </xf>
    <xf numFmtId="167" fontId="10" fillId="0" borderId="4" xfId="1" applyNumberFormat="1" applyFont="1" applyBorder="1"/>
    <xf numFmtId="2" fontId="10" fillId="0" borderId="2" xfId="0" applyNumberFormat="1" applyFont="1" applyBorder="1"/>
    <xf numFmtId="0" fontId="10" fillId="0" borderId="2" xfId="0" applyFont="1" applyBorder="1"/>
    <xf numFmtId="0" fontId="0" fillId="0" borderId="10" xfId="0" applyBorder="1"/>
    <xf numFmtId="0" fontId="0" fillId="0" borderId="11" xfId="0" applyBorder="1"/>
    <xf numFmtId="4" fontId="0" fillId="0" borderId="12" xfId="0" applyNumberFormat="1" applyBorder="1"/>
    <xf numFmtId="169" fontId="0" fillId="0" borderId="12" xfId="0" applyNumberFormat="1" applyBorder="1"/>
    <xf numFmtId="3" fontId="0" fillId="0" borderId="12" xfId="0" applyNumberFormat="1" applyBorder="1"/>
    <xf numFmtId="3" fontId="0" fillId="0" borderId="11" xfId="0" applyNumberFormat="1" applyBorder="1"/>
    <xf numFmtId="169" fontId="0" fillId="0" borderId="11" xfId="0" applyNumberFormat="1" applyBorder="1"/>
    <xf numFmtId="3" fontId="0" fillId="0" borderId="10" xfId="0" applyNumberFormat="1" applyBorder="1"/>
    <xf numFmtId="170" fontId="0" fillId="0" borderId="0" xfId="0" applyNumberFormat="1"/>
    <xf numFmtId="1" fontId="0" fillId="0" borderId="0" xfId="0" applyNumberFormat="1"/>
    <xf numFmtId="0" fontId="3" fillId="0" borderId="13" xfId="0" applyFont="1" applyBorder="1"/>
    <xf numFmtId="0" fontId="3" fillId="0" borderId="0" xfId="0" applyFont="1" applyAlignment="1">
      <alignment horizontal="center"/>
    </xf>
    <xf numFmtId="0" fontId="0" fillId="0" borderId="9" xfId="0" applyBorder="1"/>
    <xf numFmtId="4" fontId="0" fillId="0" borderId="2" xfId="0" applyNumberFormat="1" applyBorder="1"/>
    <xf numFmtId="9" fontId="4" fillId="0" borderId="4" xfId="13" applyFont="1" applyBorder="1"/>
    <xf numFmtId="10" fontId="4" fillId="0" borderId="0" xfId="13" applyNumberFormat="1" applyFont="1"/>
    <xf numFmtId="10" fontId="14" fillId="0" borderId="4" xfId="13" applyNumberFormat="1" applyFont="1" applyBorder="1"/>
    <xf numFmtId="10" fontId="14" fillId="0" borderId="2" xfId="13" applyNumberFormat="1" applyFont="1" applyBorder="1"/>
    <xf numFmtId="10" fontId="14" fillId="0" borderId="0" xfId="13" applyNumberFormat="1" applyFont="1"/>
    <xf numFmtId="41" fontId="14" fillId="0" borderId="3" xfId="0" applyNumberFormat="1" applyFont="1" applyBorder="1"/>
    <xf numFmtId="41" fontId="3" fillId="0" borderId="4" xfId="0" applyNumberFormat="1" applyFont="1" applyBorder="1"/>
    <xf numFmtId="41" fontId="14" fillId="0" borderId="0" xfId="0" applyNumberFormat="1" applyFont="1"/>
    <xf numFmtId="41" fontId="4" fillId="0" borderId="0" xfId="0" applyNumberFormat="1" applyFont="1" applyAlignment="1">
      <alignment horizontal="left" indent="1"/>
    </xf>
    <xf numFmtId="37" fontId="0" fillId="0" borderId="0" xfId="13" applyNumberFormat="1" applyFont="1"/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9" fontId="16" fillId="0" borderId="0" xfId="13" applyFont="1"/>
    <xf numFmtId="41" fontId="0" fillId="0" borderId="0" xfId="0" quotePrefix="1" applyNumberFormat="1"/>
    <xf numFmtId="43" fontId="0" fillId="0" borderId="0" xfId="1" applyFont="1"/>
    <xf numFmtId="167" fontId="0" fillId="0" borderId="0" xfId="1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41" fontId="4" fillId="0" borderId="4" xfId="0" applyNumberFormat="1" applyFont="1" applyBorder="1" applyAlignment="1">
      <alignment horizontal="right"/>
    </xf>
    <xf numFmtId="41" fontId="0" fillId="0" borderId="9" xfId="0" applyNumberFormat="1" applyBorder="1" applyAlignment="1">
      <alignment horizontal="center"/>
    </xf>
    <xf numFmtId="1" fontId="17" fillId="0" borderId="0" xfId="0" applyNumberFormat="1" applyFont="1"/>
    <xf numFmtId="0" fontId="7" fillId="0" borderId="0" xfId="0" applyFont="1"/>
    <xf numFmtId="41" fontId="0" fillId="0" borderId="9" xfId="0" applyNumberFormat="1" applyBorder="1"/>
    <xf numFmtId="41" fontId="0" fillId="0" borderId="20" xfId="0" applyNumberFormat="1" applyBorder="1"/>
    <xf numFmtId="41" fontId="0" fillId="0" borderId="21" xfId="0" applyNumberFormat="1" applyBorder="1" applyAlignment="1">
      <alignment horizontal="center"/>
    </xf>
    <xf numFmtId="41" fontId="0" fillId="0" borderId="22" xfId="0" applyNumberFormat="1" applyBorder="1" applyAlignment="1">
      <alignment horizontal="center"/>
    </xf>
    <xf numFmtId="37" fontId="10" fillId="0" borderId="24" xfId="0" applyNumberFormat="1" applyFont="1" applyBorder="1" applyAlignment="1">
      <alignment horizontal="center"/>
    </xf>
    <xf numFmtId="37" fontId="10" fillId="0" borderId="22" xfId="0" applyNumberFormat="1" applyFont="1" applyBorder="1" applyAlignment="1">
      <alignment horizontal="center"/>
    </xf>
    <xf numFmtId="37" fontId="0" fillId="0" borderId="24" xfId="0" applyNumberFormat="1" applyBorder="1" applyAlignment="1">
      <alignment horizontal="center"/>
    </xf>
    <xf numFmtId="41" fontId="0" fillId="0" borderId="25" xfId="0" applyNumberFormat="1" applyBorder="1"/>
    <xf numFmtId="41" fontId="0" fillId="0" borderId="26" xfId="0" applyNumberFormat="1" applyBorder="1"/>
    <xf numFmtId="41" fontId="0" fillId="0" borderId="7" xfId="0" applyNumberFormat="1" applyBorder="1"/>
    <xf numFmtId="41" fontId="0" fillId="0" borderId="17" xfId="0" applyNumberFormat="1" applyBorder="1"/>
    <xf numFmtId="41" fontId="0" fillId="0" borderId="27" xfId="0" applyNumberFormat="1" applyBorder="1"/>
    <xf numFmtId="41" fontId="0" fillId="0" borderId="28" xfId="0" applyNumberFormat="1" applyBorder="1"/>
    <xf numFmtId="41" fontId="0" fillId="0" borderId="18" xfId="0" applyNumberFormat="1" applyBorder="1"/>
    <xf numFmtId="41" fontId="0" fillId="0" borderId="16" xfId="0" applyNumberFormat="1" applyBorder="1"/>
    <xf numFmtId="41" fontId="0" fillId="0" borderId="29" xfId="0" applyNumberFormat="1" applyBorder="1"/>
    <xf numFmtId="41" fontId="18" fillId="0" borderId="0" xfId="0" applyNumberFormat="1" applyFont="1"/>
    <xf numFmtId="9" fontId="0" fillId="0" borderId="3" xfId="13" applyFont="1" applyBorder="1"/>
    <xf numFmtId="2" fontId="0" fillId="0" borderId="0" xfId="0" applyNumberFormat="1"/>
    <xf numFmtId="37" fontId="0" fillId="0" borderId="22" xfId="0" applyNumberFormat="1" applyBorder="1" applyAlignment="1">
      <alignment horizontal="center"/>
    </xf>
    <xf numFmtId="37" fontId="0" fillId="0" borderId="4" xfId="0" applyNumberFormat="1" applyBorder="1"/>
    <xf numFmtId="41" fontId="4" fillId="0" borderId="5" xfId="0" applyNumberFormat="1" applyFont="1" applyBorder="1"/>
    <xf numFmtId="41" fontId="19" fillId="0" borderId="4" xfId="0" applyNumberFormat="1" applyFont="1" applyBorder="1" applyAlignment="1">
      <alignment horizontal="center"/>
    </xf>
    <xf numFmtId="172" fontId="0" fillId="0" borderId="0" xfId="0" applyNumberFormat="1"/>
    <xf numFmtId="172" fontId="0" fillId="0" borderId="4" xfId="0" applyNumberFormat="1" applyBorder="1"/>
    <xf numFmtId="1" fontId="14" fillId="0" borderId="0" xfId="0" applyNumberFormat="1" applyFont="1"/>
    <xf numFmtId="168" fontId="4" fillId="0" borderId="0" xfId="0" applyNumberFormat="1" applyFont="1"/>
    <xf numFmtId="41" fontId="0" fillId="0" borderId="3" xfId="0" applyNumberFormat="1" applyBorder="1"/>
    <xf numFmtId="9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2" fontId="0" fillId="0" borderId="9" xfId="0" applyNumberFormat="1" applyBorder="1"/>
    <xf numFmtId="41" fontId="5" fillId="0" borderId="0" xfId="0" applyNumberFormat="1" applyFont="1"/>
    <xf numFmtId="9" fontId="0" fillId="0" borderId="4" xfId="13" applyFont="1" applyBorder="1" applyAlignment="1">
      <alignment horizontal="center"/>
    </xf>
    <xf numFmtId="9" fontId="0" fillId="0" borderId="0" xfId="13" applyFon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39" fontId="0" fillId="0" borderId="0" xfId="0" applyNumberFormat="1"/>
    <xf numFmtId="176" fontId="0" fillId="0" borderId="0" xfId="0" applyNumberFormat="1"/>
    <xf numFmtId="0" fontId="3" fillId="0" borderId="4" xfId="0" applyFont="1" applyBorder="1" applyAlignment="1">
      <alignment horizontal="center"/>
    </xf>
    <xf numFmtId="39" fontId="0" fillId="0" borderId="0" xfId="0" applyNumberFormat="1" applyAlignment="1">
      <alignment horizontal="center"/>
    </xf>
    <xf numFmtId="2" fontId="4" fillId="0" borderId="0" xfId="0" applyNumberFormat="1" applyFont="1" applyAlignment="1">
      <alignment horizontal="center"/>
    </xf>
    <xf numFmtId="43" fontId="0" fillId="0" borderId="30" xfId="0" applyNumberFormat="1" applyBorder="1"/>
    <xf numFmtId="39" fontId="0" fillId="0" borderId="8" xfId="0" applyNumberFormat="1" applyBorder="1"/>
    <xf numFmtId="0" fontId="0" fillId="0" borderId="30" xfId="0" applyBorder="1"/>
    <xf numFmtId="39" fontId="0" fillId="0" borderId="30" xfId="0" applyNumberFormat="1" applyBorder="1"/>
    <xf numFmtId="168" fontId="0" fillId="0" borderId="30" xfId="0" applyNumberFormat="1" applyBorder="1"/>
    <xf numFmtId="0" fontId="0" fillId="0" borderId="31" xfId="0" applyBorder="1"/>
    <xf numFmtId="0" fontId="0" fillId="0" borderId="32" xfId="0" applyBorder="1"/>
    <xf numFmtId="39" fontId="0" fillId="0" borderId="32" xfId="0" applyNumberFormat="1" applyBorder="1"/>
    <xf numFmtId="39" fontId="0" fillId="0" borderId="33" xfId="0" applyNumberFormat="1" applyBorder="1"/>
    <xf numFmtId="43" fontId="0" fillId="0" borderId="32" xfId="0" applyNumberFormat="1" applyBorder="1"/>
    <xf numFmtId="39" fontId="0" fillId="0" borderId="9" xfId="0" applyNumberFormat="1" applyBorder="1"/>
    <xf numFmtId="39" fontId="0" fillId="2" borderId="34" xfId="0" applyNumberFormat="1" applyFill="1" applyBorder="1"/>
    <xf numFmtId="2" fontId="0" fillId="2" borderId="34" xfId="0" applyNumberFormat="1" applyFill="1" applyBorder="1"/>
    <xf numFmtId="39" fontId="0" fillId="2" borderId="31" xfId="0" applyNumberFormat="1" applyFill="1" applyBorder="1"/>
    <xf numFmtId="39" fontId="0" fillId="2" borderId="32" xfId="0" applyNumberFormat="1" applyFill="1" applyBorder="1"/>
    <xf numFmtId="0" fontId="21" fillId="0" borderId="0" xfId="0" applyFont="1" applyAlignment="1">
      <alignment horizontal="center"/>
    </xf>
    <xf numFmtId="0" fontId="21" fillId="0" borderId="4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4" xfId="0" quotePrefix="1" applyBorder="1"/>
    <xf numFmtId="167" fontId="1" fillId="0" borderId="0" xfId="1" applyNumberFormat="1"/>
    <xf numFmtId="9" fontId="1" fillId="0" borderId="0" xfId="13"/>
    <xf numFmtId="10" fontId="1" fillId="0" borderId="0" xfId="13" applyNumberFormat="1"/>
    <xf numFmtId="167" fontId="0" fillId="0" borderId="9" xfId="0" applyNumberFormat="1" applyBorder="1"/>
    <xf numFmtId="2" fontId="4" fillId="0" borderId="4" xfId="0" applyNumberFormat="1" applyFont="1" applyBorder="1" applyAlignment="1">
      <alignment horizontal="center"/>
    </xf>
    <xf numFmtId="178" fontId="0" fillId="0" borderId="0" xfId="13" applyNumberFormat="1" applyFont="1"/>
    <xf numFmtId="174" fontId="0" fillId="0" borderId="0" xfId="0" applyNumberFormat="1"/>
    <xf numFmtId="41" fontId="0" fillId="0" borderId="31" xfId="0" applyNumberFormat="1" applyBorder="1"/>
    <xf numFmtId="41" fontId="0" fillId="2" borderId="0" xfId="0" applyNumberFormat="1" applyFill="1"/>
    <xf numFmtId="43" fontId="0" fillId="0" borderId="9" xfId="0" applyNumberFormat="1" applyBorder="1"/>
    <xf numFmtId="9" fontId="0" fillId="0" borderId="3" xfId="0" applyNumberFormat="1" applyBorder="1"/>
    <xf numFmtId="176" fontId="0" fillId="0" borderId="0" xfId="0" applyNumberFormat="1" applyAlignment="1">
      <alignment horizontal="right"/>
    </xf>
    <xf numFmtId="0" fontId="22" fillId="0" borderId="0" xfId="10"/>
    <xf numFmtId="0" fontId="23" fillId="0" borderId="0" xfId="10" applyFont="1"/>
    <xf numFmtId="0" fontId="24" fillId="0" borderId="0" xfId="10" applyFont="1"/>
    <xf numFmtId="0" fontId="23" fillId="0" borderId="0" xfId="10" applyFont="1" applyAlignment="1">
      <alignment horizontal="center"/>
    </xf>
    <xf numFmtId="0" fontId="23" fillId="0" borderId="4" xfId="10" applyFont="1" applyBorder="1" applyAlignment="1">
      <alignment horizontal="center"/>
    </xf>
    <xf numFmtId="0" fontId="23" fillId="0" borderId="0" xfId="10" applyFont="1" applyAlignment="1">
      <alignment horizontal="left"/>
    </xf>
    <xf numFmtId="37" fontId="23" fillId="0" borderId="0" xfId="10" applyNumberFormat="1" applyFont="1"/>
    <xf numFmtId="37" fontId="23" fillId="0" borderId="5" xfId="10" applyNumberFormat="1" applyFont="1" applyBorder="1"/>
    <xf numFmtId="0" fontId="25" fillId="0" borderId="0" xfId="10" applyFont="1"/>
    <xf numFmtId="10" fontId="23" fillId="0" borderId="0" xfId="10" applyNumberFormat="1" applyFont="1"/>
    <xf numFmtId="0" fontId="0" fillId="0" borderId="35" xfId="0" applyBorder="1"/>
    <xf numFmtId="0" fontId="4" fillId="0" borderId="19" xfId="0" applyFont="1" applyBorder="1"/>
    <xf numFmtId="0" fontId="4" fillId="0" borderId="8" xfId="0" applyFont="1" applyBorder="1"/>
    <xf numFmtId="43" fontId="0" fillId="0" borderId="36" xfId="0" applyNumberFormat="1" applyBorder="1"/>
    <xf numFmtId="0" fontId="0" fillId="0" borderId="36" xfId="0" applyBorder="1"/>
    <xf numFmtId="168" fontId="0" fillId="2" borderId="31" xfId="0" applyNumberFormat="1" applyFill="1" applyBorder="1"/>
    <xf numFmtId="168" fontId="0" fillId="2" borderId="0" xfId="0" applyNumberFormat="1" applyFill="1"/>
    <xf numFmtId="41" fontId="0" fillId="0" borderId="36" xfId="0" applyNumberFormat="1" applyBorder="1"/>
    <xf numFmtId="0" fontId="0" fillId="5" borderId="30" xfId="0" applyFill="1" applyBorder="1"/>
    <xf numFmtId="43" fontId="0" fillId="5" borderId="32" xfId="0" applyNumberFormat="1" applyFill="1" applyBorder="1"/>
    <xf numFmtId="43" fontId="0" fillId="0" borderId="33" xfId="0" applyNumberFormat="1" applyBorder="1"/>
    <xf numFmtId="0" fontId="0" fillId="0" borderId="6" xfId="0" applyBorder="1"/>
    <xf numFmtId="43" fontId="0" fillId="0" borderId="31" xfId="0" applyNumberFormat="1" applyBorder="1"/>
    <xf numFmtId="0" fontId="0" fillId="0" borderId="37" xfId="0" applyBorder="1"/>
    <xf numFmtId="43" fontId="0" fillId="0" borderId="3" xfId="0" applyNumberFormat="1" applyBorder="1"/>
    <xf numFmtId="0" fontId="0" fillId="0" borderId="33" xfId="0" applyBorder="1"/>
    <xf numFmtId="175" fontId="0" fillId="0" borderId="0" xfId="0" applyNumberFormat="1"/>
    <xf numFmtId="41" fontId="27" fillId="0" borderId="0" xfId="0" applyNumberFormat="1" applyFont="1"/>
    <xf numFmtId="0" fontId="4" fillId="0" borderId="13" xfId="0" applyFont="1" applyBorder="1"/>
    <xf numFmtId="41" fontId="0" fillId="0" borderId="35" xfId="0" applyNumberFormat="1" applyBorder="1"/>
    <xf numFmtId="176" fontId="0" fillId="0" borderId="6" xfId="0" applyNumberFormat="1" applyBorder="1"/>
    <xf numFmtId="41" fontId="0" fillId="0" borderId="32" xfId="0" applyNumberFormat="1" applyBorder="1"/>
    <xf numFmtId="37" fontId="0" fillId="0" borderId="32" xfId="0" applyNumberFormat="1" applyBorder="1"/>
    <xf numFmtId="0" fontId="4" fillId="0" borderId="4" xfId="0" applyFont="1" applyBorder="1"/>
    <xf numFmtId="176" fontId="0" fillId="0" borderId="4" xfId="0" applyNumberFormat="1" applyBorder="1"/>
    <xf numFmtId="0" fontId="0" fillId="0" borderId="8" xfId="0" applyBorder="1"/>
    <xf numFmtId="0" fontId="0" fillId="0" borderId="13" xfId="0" applyBorder="1"/>
    <xf numFmtId="176" fontId="0" fillId="0" borderId="2" xfId="0" applyNumberFormat="1" applyBorder="1"/>
    <xf numFmtId="39" fontId="0" fillId="0" borderId="14" xfId="0" applyNumberFormat="1" applyBorder="1"/>
    <xf numFmtId="39" fontId="0" fillId="0" borderId="31" xfId="0" applyNumberFormat="1" applyBorder="1"/>
    <xf numFmtId="10" fontId="0" fillId="0" borderId="4" xfId="0" applyNumberFormat="1" applyBorder="1"/>
    <xf numFmtId="39" fontId="0" fillId="0" borderId="2" xfId="0" applyNumberFormat="1" applyBorder="1"/>
    <xf numFmtId="0" fontId="4" fillId="0" borderId="6" xfId="0" applyFont="1" applyBorder="1"/>
    <xf numFmtId="10" fontId="0" fillId="0" borderId="6" xfId="13" applyNumberFormat="1" applyFont="1" applyBorder="1"/>
    <xf numFmtId="10" fontId="0" fillId="0" borderId="4" xfId="13" applyNumberFormat="1" applyFont="1" applyBorder="1"/>
    <xf numFmtId="39" fontId="0" fillId="0" borderId="5" xfId="0" applyNumberFormat="1" applyBorder="1"/>
    <xf numFmtId="41" fontId="0" fillId="0" borderId="10" xfId="0" applyNumberFormat="1" applyBorder="1"/>
    <xf numFmtId="0" fontId="4" fillId="0" borderId="0" xfId="0" applyFont="1" applyAlignment="1">
      <alignment horizontal="center"/>
    </xf>
    <xf numFmtId="37" fontId="0" fillId="0" borderId="9" xfId="0" applyNumberFormat="1" applyBorder="1"/>
    <xf numFmtId="37" fontId="4" fillId="0" borderId="0" xfId="0" applyNumberFormat="1" applyFont="1"/>
    <xf numFmtId="37" fontId="0" fillId="0" borderId="31" xfId="0" applyNumberFormat="1" applyBorder="1"/>
    <xf numFmtId="37" fontId="0" fillId="0" borderId="33" xfId="0" applyNumberFormat="1" applyBorder="1"/>
    <xf numFmtId="167" fontId="0" fillId="0" borderId="36" xfId="0" applyNumberFormat="1" applyBorder="1"/>
    <xf numFmtId="37" fontId="0" fillId="0" borderId="36" xfId="0" applyNumberFormat="1" applyBorder="1"/>
    <xf numFmtId="168" fontId="0" fillId="2" borderId="32" xfId="0" applyNumberFormat="1" applyFill="1" applyBorder="1"/>
    <xf numFmtId="0" fontId="4" fillId="0" borderId="37" xfId="0" applyFont="1" applyBorder="1"/>
    <xf numFmtId="0" fontId="3" fillId="0" borderId="6" xfId="0" applyFont="1" applyBorder="1"/>
    <xf numFmtId="3" fontId="0" fillId="0" borderId="9" xfId="0" applyNumberFormat="1" applyBorder="1"/>
    <xf numFmtId="41" fontId="15" fillId="6" borderId="13" xfId="0" applyNumberFormat="1" applyFont="1" applyFill="1" applyBorder="1"/>
    <xf numFmtId="41" fontId="15" fillId="6" borderId="14" xfId="0" applyNumberFormat="1" applyFont="1" applyFill="1" applyBorder="1"/>
    <xf numFmtId="179" fontId="0" fillId="0" borderId="0" xfId="0" applyNumberFormat="1"/>
    <xf numFmtId="41" fontId="4" fillId="7" borderId="0" xfId="0" applyNumberFormat="1" applyFont="1" applyFill="1"/>
    <xf numFmtId="41" fontId="0" fillId="7" borderId="0" xfId="0" applyNumberFormat="1" applyFill="1"/>
    <xf numFmtId="10" fontId="14" fillId="7" borderId="4" xfId="13" applyNumberFormat="1" applyFont="1" applyFill="1" applyBorder="1"/>
    <xf numFmtId="10" fontId="14" fillId="7" borderId="0" xfId="13" applyNumberFormat="1" applyFont="1" applyFill="1" applyBorder="1"/>
    <xf numFmtId="41" fontId="0" fillId="0" borderId="0" xfId="0" applyNumberFormat="1" applyAlignment="1">
      <alignment horizontal="right"/>
    </xf>
    <xf numFmtId="13" fontId="0" fillId="0" borderId="0" xfId="0" applyNumberFormat="1"/>
    <xf numFmtId="177" fontId="0" fillId="0" borderId="0" xfId="0" applyNumberFormat="1"/>
    <xf numFmtId="41" fontId="0" fillId="0" borderId="19" xfId="0" applyNumberFormat="1" applyBorder="1"/>
    <xf numFmtId="41" fontId="0" fillId="0" borderId="30" xfId="0" applyNumberFormat="1" applyBorder="1"/>
    <xf numFmtId="41" fontId="0" fillId="0" borderId="8" xfId="0" applyNumberFormat="1" applyBorder="1"/>
    <xf numFmtId="173" fontId="4" fillId="0" borderId="0" xfId="13" applyNumberFormat="1" applyFont="1" applyFill="1"/>
    <xf numFmtId="10" fontId="4" fillId="0" borderId="0" xfId="0" applyNumberFormat="1" applyFont="1"/>
    <xf numFmtId="0" fontId="0" fillId="0" borderId="0" xfId="0" applyAlignment="1">
      <alignment horizontal="centerContinuous"/>
    </xf>
    <xf numFmtId="0" fontId="32" fillId="0" borderId="0" xfId="24" applyFont="1"/>
    <xf numFmtId="0" fontId="33" fillId="0" borderId="0" xfId="24" applyFont="1"/>
    <xf numFmtId="0" fontId="31" fillId="0" borderId="0" xfId="24"/>
    <xf numFmtId="7" fontId="34" fillId="0" borderId="0" xfId="25" applyNumberFormat="1" applyFont="1"/>
    <xf numFmtId="0" fontId="32" fillId="0" borderId="0" xfId="24" applyFont="1" applyAlignment="1">
      <alignment horizontal="center"/>
    </xf>
    <xf numFmtId="0" fontId="33" fillId="0" borderId="0" xfId="24" applyFont="1" applyAlignment="1">
      <alignment horizontal="right"/>
    </xf>
    <xf numFmtId="167" fontId="32" fillId="0" borderId="0" xfId="28" applyNumberFormat="1" applyFont="1"/>
    <xf numFmtId="41" fontId="30" fillId="0" borderId="0" xfId="0" applyNumberFormat="1" applyFont="1" applyAlignment="1">
      <alignment horizontal="centerContinuous"/>
    </xf>
    <xf numFmtId="41" fontId="35" fillId="0" borderId="3" xfId="26" applyNumberFormat="1" applyFont="1" applyBorder="1"/>
    <xf numFmtId="41" fontId="35" fillId="0" borderId="3" xfId="27" applyNumberFormat="1" applyFont="1" applyBorder="1"/>
    <xf numFmtId="41" fontId="34" fillId="0" borderId="0" xfId="25" applyNumberFormat="1" applyFont="1"/>
    <xf numFmtId="41" fontId="31" fillId="0" borderId="0" xfId="24" applyNumberFormat="1"/>
    <xf numFmtId="41" fontId="32" fillId="0" borderId="0" xfId="24" applyNumberFormat="1" applyFont="1" applyAlignment="1">
      <alignment horizontal="center"/>
    </xf>
    <xf numFmtId="41" fontId="33" fillId="0" borderId="3" xfId="26" applyNumberFormat="1" applyFont="1" applyBorder="1"/>
    <xf numFmtId="41" fontId="33" fillId="0" borderId="3" xfId="24" applyNumberFormat="1" applyFont="1" applyBorder="1"/>
    <xf numFmtId="41" fontId="33" fillId="0" borderId="0" xfId="24" applyNumberFormat="1" applyFont="1"/>
    <xf numFmtId="41" fontId="36" fillId="0" borderId="0" xfId="24" applyNumberFormat="1" applyFont="1"/>
    <xf numFmtId="41" fontId="32" fillId="0" borderId="3" xfId="24" applyNumberFormat="1" applyFont="1" applyBorder="1"/>
    <xf numFmtId="41" fontId="32" fillId="0" borderId="0" xfId="24" applyNumberFormat="1" applyFont="1"/>
    <xf numFmtId="41" fontId="1" fillId="0" borderId="0" xfId="0" applyNumberFormat="1" applyFont="1" applyAlignment="1">
      <alignment horizontal="left" indent="1"/>
    </xf>
    <xf numFmtId="43" fontId="10" fillId="0" borderId="4" xfId="1" applyFont="1" applyBorder="1"/>
    <xf numFmtId="43" fontId="14" fillId="0" borderId="0" xfId="0" applyNumberFormat="1" applyFont="1"/>
    <xf numFmtId="41" fontId="0" fillId="8" borderId="0" xfId="0" applyNumberFormat="1" applyFill="1"/>
    <xf numFmtId="43" fontId="0" fillId="0" borderId="31" xfId="1" applyFont="1" applyBorder="1"/>
    <xf numFmtId="43" fontId="0" fillId="0" borderId="32" xfId="1" applyFont="1" applyBorder="1"/>
    <xf numFmtId="43" fontId="0" fillId="0" borderId="33" xfId="1" applyFont="1" applyBorder="1"/>
    <xf numFmtId="43" fontId="0" fillId="0" borderId="9" xfId="1" applyFont="1" applyBorder="1"/>
    <xf numFmtId="0" fontId="1" fillId="0" borderId="35" xfId="0" applyFont="1" applyBorder="1"/>
    <xf numFmtId="0" fontId="1" fillId="0" borderId="0" xfId="0" applyFont="1"/>
    <xf numFmtId="180" fontId="0" fillId="0" borderId="0" xfId="0" applyNumberFormat="1"/>
    <xf numFmtId="9" fontId="4" fillId="6" borderId="4" xfId="13" applyFont="1" applyFill="1" applyBorder="1"/>
    <xf numFmtId="41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14" xfId="0" applyFont="1" applyBorder="1" applyAlignment="1">
      <alignment horizontal="center"/>
    </xf>
    <xf numFmtId="0" fontId="0" fillId="0" borderId="9" xfId="0" applyBorder="1" applyAlignment="1">
      <alignment horizontal="center"/>
    </xf>
    <xf numFmtId="41" fontId="1" fillId="0" borderId="0" xfId="0" applyNumberFormat="1" applyFont="1"/>
    <xf numFmtId="41" fontId="1" fillId="0" borderId="0" xfId="0" applyNumberFormat="1" applyFont="1" applyAlignment="1">
      <alignment horizontal="center"/>
    </xf>
    <xf numFmtId="41" fontId="9" fillId="0" borderId="0" xfId="0" applyNumberFormat="1" applyFont="1" applyAlignment="1">
      <alignment horizontal="center"/>
    </xf>
    <xf numFmtId="168" fontId="0" fillId="0" borderId="6" xfId="0" applyNumberFormat="1" applyBorder="1"/>
    <xf numFmtId="0" fontId="1" fillId="0" borderId="4" xfId="0" applyFont="1" applyBorder="1" applyAlignment="1">
      <alignment horizontal="center"/>
    </xf>
    <xf numFmtId="0" fontId="0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73" fontId="10" fillId="0" borderId="2" xfId="13" applyNumberFormat="1" applyFont="1" applyBorder="1"/>
    <xf numFmtId="164" fontId="0" fillId="0" borderId="0" xfId="0" applyNumberFormat="1"/>
    <xf numFmtId="8" fontId="0" fillId="0" borderId="0" xfId="0" applyNumberFormat="1"/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165" fontId="0" fillId="0" borderId="0" xfId="0" applyNumberFormat="1"/>
    <xf numFmtId="10" fontId="3" fillId="0" borderId="0" xfId="0" applyNumberFormat="1" applyFont="1"/>
    <xf numFmtId="0" fontId="1" fillId="0" borderId="0" xfId="0" quotePrefix="1" applyFont="1"/>
    <xf numFmtId="41" fontId="1" fillId="0" borderId="23" xfId="0" applyNumberFormat="1" applyFont="1" applyBorder="1"/>
    <xf numFmtId="0" fontId="37" fillId="0" borderId="0" xfId="0" applyFont="1"/>
    <xf numFmtId="0" fontId="38" fillId="0" borderId="0" xfId="0" applyFont="1"/>
    <xf numFmtId="0" fontId="0" fillId="0" borderId="0" xfId="0" applyAlignment="1">
      <alignment horizontal="right"/>
    </xf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1" fontId="0" fillId="0" borderId="38" xfId="0" applyNumberFormat="1" applyBorder="1"/>
    <xf numFmtId="10" fontId="1" fillId="0" borderId="0" xfId="13" applyNumberFormat="1" applyFont="1"/>
    <xf numFmtId="10" fontId="1" fillId="0" borderId="4" xfId="13" applyNumberFormat="1" applyFont="1" applyBorder="1"/>
    <xf numFmtId="10" fontId="39" fillId="0" borderId="0" xfId="0" applyNumberFormat="1" applyFont="1"/>
    <xf numFmtId="41" fontId="4" fillId="0" borderId="36" xfId="0" applyNumberFormat="1" applyFont="1" applyBorder="1"/>
    <xf numFmtId="41" fontId="0" fillId="0" borderId="43" xfId="0" applyNumberFormat="1" applyBorder="1"/>
    <xf numFmtId="41" fontId="3" fillId="0" borderId="36" xfId="0" applyNumberFormat="1" applyFont="1" applyBorder="1"/>
    <xf numFmtId="41" fontId="0" fillId="0" borderId="33" xfId="0" applyNumberFormat="1" applyBorder="1"/>
    <xf numFmtId="41" fontId="0" fillId="0" borderId="36" xfId="0" applyNumberFormat="1" applyBorder="1" applyAlignment="1">
      <alignment horizontal="center"/>
    </xf>
    <xf numFmtId="41" fontId="0" fillId="0" borderId="37" xfId="0" applyNumberFormat="1" applyBorder="1"/>
    <xf numFmtId="41" fontId="1" fillId="0" borderId="36" xfId="0" applyNumberFormat="1" applyFont="1" applyBorder="1"/>
    <xf numFmtId="41" fontId="1" fillId="0" borderId="38" xfId="0" applyNumberFormat="1" applyFont="1" applyBorder="1" applyAlignment="1">
      <alignment horizontal="center"/>
    </xf>
    <xf numFmtId="41" fontId="19" fillId="0" borderId="38" xfId="0" applyNumberFormat="1" applyFont="1" applyBorder="1"/>
    <xf numFmtId="41" fontId="0" fillId="0" borderId="44" xfId="0" applyNumberFormat="1" applyBorder="1"/>
    <xf numFmtId="9" fontId="1" fillId="0" borderId="0" xfId="13" applyFont="1"/>
    <xf numFmtId="168" fontId="0" fillId="0" borderId="8" xfId="0" applyNumberFormat="1" applyBorder="1"/>
    <xf numFmtId="0" fontId="1" fillId="0" borderId="36" xfId="0" applyFont="1" applyBorder="1"/>
    <xf numFmtId="0" fontId="0" fillId="0" borderId="42" xfId="0" applyBorder="1"/>
    <xf numFmtId="43" fontId="0" fillId="2" borderId="0" xfId="0" applyNumberFormat="1" applyFill="1"/>
    <xf numFmtId="0" fontId="40" fillId="9" borderId="48" xfId="0" applyFont="1" applyFill="1" applyBorder="1"/>
    <xf numFmtId="0" fontId="40" fillId="9" borderId="48" xfId="0" applyFont="1" applyFill="1" applyBorder="1" applyAlignment="1">
      <alignment horizontal="center"/>
    </xf>
    <xf numFmtId="0" fontId="40" fillId="9" borderId="0" xfId="0" applyFont="1" applyFill="1"/>
    <xf numFmtId="0" fontId="17" fillId="9" borderId="0" xfId="0" applyFont="1" applyFill="1"/>
    <xf numFmtId="0" fontId="17" fillId="9" borderId="49" xfId="0" applyFont="1" applyFill="1" applyBorder="1"/>
    <xf numFmtId="3" fontId="17" fillId="10" borderId="48" xfId="0" applyNumberFormat="1" applyFont="1" applyFill="1" applyBorder="1" applyProtection="1">
      <protection locked="0"/>
    </xf>
    <xf numFmtId="10" fontId="17" fillId="9" borderId="50" xfId="0" applyNumberFormat="1" applyFont="1" applyFill="1" applyBorder="1"/>
    <xf numFmtId="3" fontId="17" fillId="0" borderId="48" xfId="0" applyNumberFormat="1" applyFont="1" applyBorder="1" applyProtection="1">
      <protection locked="0"/>
    </xf>
    <xf numFmtId="0" fontId="17" fillId="9" borderId="49" xfId="0" quotePrefix="1" applyFont="1" applyFill="1" applyBorder="1" applyAlignment="1">
      <alignment horizontal="left"/>
    </xf>
    <xf numFmtId="3" fontId="17" fillId="7" borderId="48" xfId="0" applyNumberFormat="1" applyFont="1" applyFill="1" applyBorder="1" applyProtection="1">
      <protection locked="0"/>
    </xf>
    <xf numFmtId="0" fontId="17" fillId="9" borderId="49" xfId="0" applyFont="1" applyFill="1" applyBorder="1" applyAlignment="1">
      <alignment horizontal="left"/>
    </xf>
    <xf numFmtId="3" fontId="17" fillId="9" borderId="48" xfId="0" applyNumberFormat="1" applyFont="1" applyFill="1" applyBorder="1"/>
    <xf numFmtId="41" fontId="17" fillId="10" borderId="48" xfId="0" applyNumberFormat="1" applyFont="1" applyFill="1" applyBorder="1" applyProtection="1">
      <protection locked="0"/>
    </xf>
    <xf numFmtId="41" fontId="17" fillId="9" borderId="0" xfId="0" applyNumberFormat="1" applyFont="1" applyFill="1"/>
    <xf numFmtId="41" fontId="17" fillId="0" borderId="48" xfId="0" applyNumberFormat="1" applyFont="1" applyBorder="1" applyProtection="1">
      <protection locked="0"/>
    </xf>
    <xf numFmtId="41" fontId="17" fillId="7" borderId="48" xfId="0" applyNumberFormat="1" applyFont="1" applyFill="1" applyBorder="1" applyProtection="1">
      <protection locked="0"/>
    </xf>
    <xf numFmtId="0" fontId="40" fillId="9" borderId="51" xfId="0" applyFont="1" applyFill="1" applyBorder="1" applyAlignment="1">
      <alignment horizontal="center"/>
    </xf>
    <xf numFmtId="3" fontId="17" fillId="9" borderId="52" xfId="0" applyNumberFormat="1" applyFont="1" applyFill="1" applyBorder="1"/>
    <xf numFmtId="10" fontId="17" fillId="9" borderId="53" xfId="0" applyNumberFormat="1" applyFont="1" applyFill="1" applyBorder="1"/>
    <xf numFmtId="41" fontId="17" fillId="9" borderId="52" xfId="0" applyNumberFormat="1" applyFont="1" applyFill="1" applyBorder="1"/>
    <xf numFmtId="0" fontId="17" fillId="9" borderId="20" xfId="0" applyFont="1" applyFill="1" applyBorder="1"/>
    <xf numFmtId="41" fontId="0" fillId="0" borderId="54" xfId="0" applyNumberFormat="1" applyBorder="1"/>
    <xf numFmtId="41" fontId="0" fillId="0" borderId="55" xfId="0" applyNumberFormat="1" applyBorder="1"/>
    <xf numFmtId="41" fontId="0" fillId="0" borderId="56" xfId="0" applyNumberFormat="1" applyBorder="1"/>
    <xf numFmtId="0" fontId="17" fillId="9" borderId="25" xfId="0" applyFont="1" applyFill="1" applyBorder="1"/>
    <xf numFmtId="41" fontId="0" fillId="0" borderId="57" xfId="0" applyNumberFormat="1" applyBorder="1"/>
    <xf numFmtId="41" fontId="0" fillId="0" borderId="58" xfId="0" applyNumberFormat="1" applyBorder="1"/>
    <xf numFmtId="41" fontId="0" fillId="0" borderId="59" xfId="0" applyNumberFormat="1" applyBorder="1"/>
    <xf numFmtId="0" fontId="0" fillId="5" borderId="0" xfId="0" applyFill="1"/>
    <xf numFmtId="0" fontId="40" fillId="9" borderId="36" xfId="0" applyFont="1" applyFill="1" applyBorder="1" applyAlignment="1">
      <alignment horizontal="center"/>
    </xf>
    <xf numFmtId="41" fontId="1" fillId="0" borderId="4" xfId="0" applyNumberFormat="1" applyFont="1" applyBorder="1" applyAlignment="1">
      <alignment horizontal="center"/>
    </xf>
    <xf numFmtId="41" fontId="0" fillId="0" borderId="63" xfId="0" applyNumberFormat="1" applyBorder="1"/>
    <xf numFmtId="41" fontId="0" fillId="0" borderId="64" xfId="0" applyNumberFormat="1" applyBorder="1"/>
    <xf numFmtId="41" fontId="0" fillId="0" borderId="65" xfId="0" applyNumberFormat="1" applyBorder="1"/>
    <xf numFmtId="41" fontId="1" fillId="0" borderId="2" xfId="0" applyNumberFormat="1" applyFont="1" applyBorder="1"/>
    <xf numFmtId="41" fontId="0" fillId="0" borderId="67" xfId="0" applyNumberFormat="1" applyBorder="1"/>
    <xf numFmtId="41" fontId="0" fillId="0" borderId="68" xfId="0" applyNumberFormat="1" applyBorder="1"/>
    <xf numFmtId="41" fontId="0" fillId="0" borderId="69" xfId="0" applyNumberFormat="1" applyBorder="1"/>
    <xf numFmtId="41" fontId="0" fillId="0" borderId="70" xfId="0" applyNumberFormat="1" applyBorder="1"/>
    <xf numFmtId="41" fontId="1" fillId="0" borderId="37" xfId="0" applyNumberFormat="1" applyFont="1" applyBorder="1"/>
    <xf numFmtId="41" fontId="0" fillId="0" borderId="33" xfId="0" applyNumberFormat="1" applyBorder="1" applyAlignment="1">
      <alignment horizontal="center"/>
    </xf>
    <xf numFmtId="41" fontId="0" fillId="0" borderId="66" xfId="0" applyNumberFormat="1" applyBorder="1" applyAlignment="1">
      <alignment horizontal="center"/>
    </xf>
    <xf numFmtId="41" fontId="1" fillId="0" borderId="78" xfId="0" applyNumberFormat="1" applyFont="1" applyBorder="1"/>
    <xf numFmtId="41" fontId="0" fillId="0" borderId="79" xfId="0" applyNumberFormat="1" applyBorder="1"/>
    <xf numFmtId="41" fontId="0" fillId="0" borderId="80" xfId="0" applyNumberFormat="1" applyBorder="1"/>
    <xf numFmtId="41" fontId="0" fillId="0" borderId="78" xfId="0" applyNumberFormat="1" applyBorder="1"/>
    <xf numFmtId="41" fontId="0" fillId="7" borderId="32" xfId="0" applyNumberFormat="1" applyFill="1" applyBorder="1"/>
    <xf numFmtId="0" fontId="1" fillId="0" borderId="81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3" fontId="0" fillId="0" borderId="8" xfId="0" applyNumberFormat="1" applyBorder="1"/>
    <xf numFmtId="0" fontId="1" fillId="0" borderId="4" xfId="0" applyFont="1" applyBorder="1"/>
    <xf numFmtId="0" fontId="1" fillId="0" borderId="2" xfId="0" applyFont="1" applyBorder="1"/>
    <xf numFmtId="41" fontId="1" fillId="0" borderId="4" xfId="0" applyNumberFormat="1" applyFont="1" applyBorder="1"/>
    <xf numFmtId="41" fontId="1" fillId="0" borderId="0" xfId="0" applyNumberFormat="1" applyFont="1" applyAlignment="1">
      <alignment horizontal="left" indent="2"/>
    </xf>
    <xf numFmtId="0" fontId="22" fillId="0" borderId="0" xfId="0" applyFont="1"/>
    <xf numFmtId="0" fontId="44" fillId="0" borderId="0" xfId="0" applyFont="1" applyAlignment="1">
      <alignment horizontal="center"/>
    </xf>
    <xf numFmtId="0" fontId="1" fillId="0" borderId="0" xfId="0" applyFont="1" applyAlignment="1">
      <alignment horizontal="left" indent="6"/>
    </xf>
    <xf numFmtId="0" fontId="23" fillId="0" borderId="0" xfId="0" applyFont="1"/>
    <xf numFmtId="0" fontId="23" fillId="0" borderId="0" xfId="0" applyFont="1" applyAlignment="1">
      <alignment horizontal="center"/>
    </xf>
    <xf numFmtId="0" fontId="46" fillId="0" borderId="4" xfId="0" applyFont="1" applyBorder="1"/>
    <xf numFmtId="0" fontId="47" fillId="0" borderId="82" xfId="0" applyFont="1" applyBorder="1" applyAlignment="1">
      <alignment horizontal="center"/>
    </xf>
    <xf numFmtId="0" fontId="47" fillId="0" borderId="83" xfId="0" applyFont="1" applyBorder="1" applyAlignment="1">
      <alignment horizontal="center"/>
    </xf>
    <xf numFmtId="0" fontId="23" fillId="0" borderId="33" xfId="0" applyFont="1" applyBorder="1" applyAlignment="1">
      <alignment horizontal="left"/>
    </xf>
    <xf numFmtId="181" fontId="23" fillId="11" borderId="8" xfId="0" applyNumberFormat="1" applyFont="1" applyFill="1" applyBorder="1" applyAlignment="1" applyProtection="1">
      <alignment horizontal="center" vertical="center"/>
      <protection locked="0"/>
    </xf>
    <xf numFmtId="181" fontId="23" fillId="0" borderId="37" xfId="0" applyNumberFormat="1" applyFont="1" applyBorder="1" applyAlignment="1">
      <alignment horizontal="center" vertical="center"/>
    </xf>
    <xf numFmtId="173" fontId="23" fillId="0" borderId="0" xfId="0" applyNumberFormat="1" applyFont="1"/>
    <xf numFmtId="173" fontId="23" fillId="0" borderId="83" xfId="0" applyNumberFormat="1" applyFont="1" applyBorder="1" applyAlignment="1">
      <alignment horizontal="center" vertical="center"/>
    </xf>
    <xf numFmtId="0" fontId="23" fillId="0" borderId="84" xfId="0" applyFont="1" applyBorder="1" applyAlignment="1">
      <alignment horizontal="left"/>
    </xf>
    <xf numFmtId="181" fontId="23" fillId="11" borderId="85" xfId="0" applyNumberFormat="1" applyFont="1" applyFill="1" applyBorder="1" applyAlignment="1" applyProtection="1">
      <alignment horizontal="center" vertical="center"/>
      <protection locked="0"/>
    </xf>
    <xf numFmtId="173" fontId="23" fillId="0" borderId="0" xfId="0" applyNumberFormat="1" applyFont="1" applyAlignment="1">
      <alignment horizontal="center" vertical="center"/>
    </xf>
    <xf numFmtId="10" fontId="23" fillId="0" borderId="0" xfId="0" applyNumberFormat="1" applyFont="1" applyAlignment="1">
      <alignment horizontal="center" vertical="center"/>
    </xf>
    <xf numFmtId="0" fontId="23" fillId="7" borderId="0" xfId="0" applyFont="1" applyFill="1"/>
    <xf numFmtId="0" fontId="23" fillId="7" borderId="0" xfId="0" applyFont="1" applyFill="1" applyProtection="1">
      <protection hidden="1"/>
    </xf>
    <xf numFmtId="173" fontId="23" fillId="0" borderId="0" xfId="0" applyNumberFormat="1" applyFont="1" applyAlignment="1">
      <alignment horizontal="left" indent="1"/>
    </xf>
    <xf numFmtId="173" fontId="23" fillId="7" borderId="0" xfId="0" applyNumberFormat="1" applyFont="1" applyFill="1" applyAlignment="1">
      <alignment horizontal="center" vertical="center"/>
    </xf>
    <xf numFmtId="0" fontId="23" fillId="11" borderId="84" xfId="0" applyFont="1" applyFill="1" applyBorder="1" applyAlignment="1" applyProtection="1">
      <alignment horizontal="left"/>
      <protection locked="0"/>
    </xf>
    <xf numFmtId="181" fontId="23" fillId="11" borderId="86" xfId="0" applyNumberFormat="1" applyFont="1" applyFill="1" applyBorder="1" applyAlignment="1" applyProtection="1">
      <alignment horizontal="center" vertical="center"/>
      <protection locked="0"/>
    </xf>
    <xf numFmtId="173" fontId="23" fillId="0" borderId="58" xfId="0" applyNumberFormat="1" applyFont="1" applyBorder="1" applyAlignment="1">
      <alignment horizontal="center" vertical="center"/>
    </xf>
    <xf numFmtId="0" fontId="47" fillId="0" borderId="87" xfId="0" applyFont="1" applyBorder="1" applyAlignment="1">
      <alignment horizontal="right"/>
    </xf>
    <xf numFmtId="181" fontId="47" fillId="0" borderId="88" xfId="0" applyNumberFormat="1" applyFont="1" applyBorder="1" applyAlignment="1">
      <alignment horizontal="center" vertical="center"/>
    </xf>
    <xf numFmtId="181" fontId="47" fillId="0" borderId="89" xfId="0" applyNumberFormat="1" applyFont="1" applyBorder="1" applyAlignment="1">
      <alignment horizontal="center" vertical="center"/>
    </xf>
    <xf numFmtId="173" fontId="47" fillId="0" borderId="0" xfId="0" applyNumberFormat="1" applyFont="1" applyAlignment="1">
      <alignment horizontal="center" vertical="center"/>
    </xf>
    <xf numFmtId="181" fontId="23" fillId="0" borderId="4" xfId="0" applyNumberFormat="1" applyFont="1" applyBorder="1" applyAlignment="1">
      <alignment horizontal="center" vertical="center"/>
    </xf>
    <xf numFmtId="0" fontId="23" fillId="0" borderId="33" xfId="0" applyFont="1" applyBorder="1"/>
    <xf numFmtId="0" fontId="23" fillId="0" borderId="84" xfId="0" applyFont="1" applyBorder="1"/>
    <xf numFmtId="0" fontId="47" fillId="0" borderId="58" xfId="0" applyFont="1" applyBorder="1" applyAlignment="1">
      <alignment horizontal="right"/>
    </xf>
    <xf numFmtId="181" fontId="47" fillId="0" borderId="58" xfId="0" applyNumberFormat="1" applyFont="1" applyBorder="1" applyAlignment="1">
      <alignment horizontal="center" vertical="center"/>
    </xf>
    <xf numFmtId="173" fontId="47" fillId="0" borderId="58" xfId="0" applyNumberFormat="1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185" fontId="23" fillId="0" borderId="0" xfId="0" applyNumberFormat="1" applyFont="1" applyAlignment="1">
      <alignment horizontal="center" vertical="top"/>
    </xf>
    <xf numFmtId="6" fontId="23" fillId="0" borderId="0" xfId="0" applyNumberFormat="1" applyFont="1" applyProtection="1">
      <protection hidden="1"/>
    </xf>
    <xf numFmtId="185" fontId="3" fillId="0" borderId="0" xfId="0" applyNumberFormat="1" applyFont="1" applyAlignment="1">
      <alignment horizontal="center" vertical="center" wrapText="1"/>
    </xf>
    <xf numFmtId="0" fontId="23" fillId="0" borderId="83" xfId="0" applyFont="1" applyBorder="1" applyAlignment="1">
      <alignment vertical="center"/>
    </xf>
    <xf numFmtId="181" fontId="23" fillId="11" borderId="90" xfId="0" applyNumberFormat="1" applyFont="1" applyFill="1" applyBorder="1" applyAlignment="1" applyProtection="1">
      <alignment horizontal="center" vertical="center"/>
      <protection locked="0"/>
    </xf>
    <xf numFmtId="0" fontId="23" fillId="0" borderId="0" xfId="0" applyFont="1" applyAlignment="1">
      <alignment vertical="center"/>
    </xf>
    <xf numFmtId="181" fontId="23" fillId="11" borderId="4" xfId="0" applyNumberFormat="1" applyFont="1" applyFill="1" applyBorder="1" applyAlignment="1" applyProtection="1">
      <alignment horizontal="left" vertical="center"/>
      <protection locked="0"/>
    </xf>
    <xf numFmtId="0" fontId="23" fillId="12" borderId="4" xfId="0" applyFont="1" applyFill="1" applyBorder="1" applyAlignment="1" applyProtection="1">
      <alignment horizontal="center"/>
      <protection locked="0"/>
    </xf>
    <xf numFmtId="181" fontId="23" fillId="12" borderId="4" xfId="0" applyNumberFormat="1" applyFont="1" applyFill="1" applyBorder="1" applyAlignment="1" applyProtection="1">
      <alignment horizontal="center"/>
      <protection locked="0"/>
    </xf>
    <xf numFmtId="0" fontId="46" fillId="0" borderId="1" xfId="0" applyFont="1" applyBorder="1" applyAlignment="1">
      <alignment vertical="center"/>
    </xf>
    <xf numFmtId="181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173" fontId="12" fillId="0" borderId="1" xfId="0" applyNumberFormat="1" applyFont="1" applyBorder="1" applyAlignment="1">
      <alignment horizontal="center" vertical="center"/>
    </xf>
    <xf numFmtId="0" fontId="46" fillId="0" borderId="0" xfId="0" applyFont="1" applyAlignment="1">
      <alignment vertical="center"/>
    </xf>
    <xf numFmtId="181" fontId="12" fillId="0" borderId="0" xfId="0" applyNumberFormat="1" applyFont="1" applyAlignment="1">
      <alignment horizontal="center" vertical="center"/>
    </xf>
    <xf numFmtId="173" fontId="12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left"/>
    </xf>
    <xf numFmtId="181" fontId="12" fillId="0" borderId="29" xfId="0" applyNumberFormat="1" applyFont="1" applyBorder="1" applyAlignment="1">
      <alignment horizontal="center" vertical="center"/>
    </xf>
    <xf numFmtId="5" fontId="47" fillId="0" borderId="91" xfId="0" applyNumberFormat="1" applyFont="1" applyBorder="1" applyAlignment="1">
      <alignment horizontal="center"/>
    </xf>
    <xf numFmtId="5" fontId="47" fillId="0" borderId="0" xfId="0" applyNumberFormat="1" applyFont="1" applyAlignment="1">
      <alignment horizontal="center"/>
    </xf>
    <xf numFmtId="181" fontId="12" fillId="0" borderId="5" xfId="0" applyNumberFormat="1" applyFont="1" applyBorder="1" applyAlignment="1">
      <alignment horizontal="center" vertical="center"/>
    </xf>
    <xf numFmtId="167" fontId="0" fillId="0" borderId="28" xfId="0" applyNumberFormat="1" applyBorder="1"/>
    <xf numFmtId="167" fontId="0" fillId="0" borderId="32" xfId="0" applyNumberFormat="1" applyBorder="1"/>
    <xf numFmtId="0" fontId="3" fillId="0" borderId="92" xfId="0" applyFont="1" applyBorder="1" applyAlignment="1">
      <alignment horizontal="center"/>
    </xf>
    <xf numFmtId="0" fontId="3" fillId="0" borderId="93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43" fontId="3" fillId="0" borderId="92" xfId="1" applyFont="1" applyBorder="1" applyAlignment="1">
      <alignment horizontal="center"/>
    </xf>
    <xf numFmtId="43" fontId="3" fillId="0" borderId="37" xfId="1" applyFont="1" applyBorder="1" applyAlignment="1">
      <alignment horizontal="center"/>
    </xf>
    <xf numFmtId="0" fontId="0" fillId="0" borderId="86" xfId="0" applyBorder="1"/>
    <xf numFmtId="10" fontId="1" fillId="0" borderId="0" xfId="0" applyNumberFormat="1" applyFont="1"/>
    <xf numFmtId="41" fontId="1" fillId="0" borderId="36" xfId="0" applyNumberFormat="1" applyFont="1" applyBorder="1" applyAlignment="1">
      <alignment horizontal="center"/>
    </xf>
    <xf numFmtId="39" fontId="0" fillId="0" borderId="85" xfId="0" applyNumberFormat="1" applyBorder="1"/>
    <xf numFmtId="0" fontId="3" fillId="0" borderId="4" xfId="0" applyFont="1" applyBorder="1"/>
    <xf numFmtId="10" fontId="0" fillId="0" borderId="32" xfId="0" applyNumberFormat="1" applyBorder="1"/>
    <xf numFmtId="167" fontId="0" fillId="0" borderId="0" xfId="1" applyNumberFormat="1" applyFont="1" applyBorder="1"/>
    <xf numFmtId="41" fontId="49" fillId="0" borderId="0" xfId="0" applyNumberFormat="1" applyFont="1"/>
    <xf numFmtId="37" fontId="1" fillId="0" borderId="0" xfId="0" applyNumberFormat="1" applyFont="1" applyAlignment="1">
      <alignment horizontal="left"/>
    </xf>
    <xf numFmtId="41" fontId="1" fillId="0" borderId="0" xfId="0" applyNumberFormat="1" applyFont="1" applyAlignment="1">
      <alignment horizontal="left"/>
    </xf>
    <xf numFmtId="41" fontId="1" fillId="7" borderId="0" xfId="0" applyNumberFormat="1" applyFont="1" applyFill="1" applyAlignment="1">
      <alignment horizontal="left"/>
    </xf>
    <xf numFmtId="9" fontId="1" fillId="6" borderId="0" xfId="13" applyFont="1" applyFill="1"/>
    <xf numFmtId="167" fontId="0" fillId="6" borderId="0" xfId="0" applyNumberFormat="1" applyFill="1"/>
    <xf numFmtId="41" fontId="1" fillId="0" borderId="5" xfId="0" applyNumberFormat="1" applyFont="1" applyBorder="1"/>
    <xf numFmtId="44" fontId="0" fillId="0" borderId="0" xfId="3" applyFont="1"/>
    <xf numFmtId="44" fontId="0" fillId="0" borderId="4" xfId="3" applyFont="1" applyBorder="1" applyAlignment="1">
      <alignment horizontal="center"/>
    </xf>
    <xf numFmtId="44" fontId="0" fillId="0" borderId="0" xfId="3" applyFont="1" applyAlignment="1">
      <alignment horizontal="center"/>
    </xf>
    <xf numFmtId="184" fontId="0" fillId="0" borderId="0" xfId="3" applyNumberFormat="1" applyFont="1"/>
    <xf numFmtId="44" fontId="0" fillId="0" borderId="0" xfId="0" applyNumberFormat="1"/>
    <xf numFmtId="184" fontId="0" fillId="0" borderId="0" xfId="0" applyNumberFormat="1"/>
    <xf numFmtId="41" fontId="1" fillId="0" borderId="74" xfId="0" applyNumberFormat="1" applyFont="1" applyBorder="1" applyAlignment="1">
      <alignment horizontal="center"/>
    </xf>
    <xf numFmtId="0" fontId="50" fillId="13" borderId="0" xfId="12" applyFont="1" applyFill="1" applyAlignment="1">
      <alignment horizontal="left"/>
    </xf>
    <xf numFmtId="184" fontId="0" fillId="0" borderId="0" xfId="3" applyNumberFormat="1" applyFont="1" applyBorder="1"/>
    <xf numFmtId="184" fontId="0" fillId="0" borderId="0" xfId="3" applyNumberFormat="1" applyFont="1" applyAlignment="1">
      <alignment horizontal="center"/>
    </xf>
    <xf numFmtId="184" fontId="51" fillId="0" borderId="0" xfId="3" applyNumberFormat="1" applyFont="1"/>
    <xf numFmtId="184" fontId="3" fillId="0" borderId="0" xfId="3" applyNumberFormat="1" applyFont="1"/>
    <xf numFmtId="184" fontId="3" fillId="0" borderId="0" xfId="3" applyNumberFormat="1" applyFont="1" applyBorder="1"/>
    <xf numFmtId="0" fontId="52" fillId="13" borderId="0" xfId="12" applyFont="1" applyFill="1" applyAlignment="1">
      <alignment horizontal="left"/>
    </xf>
    <xf numFmtId="184" fontId="3" fillId="0" borderId="0" xfId="3" applyNumberFormat="1" applyFont="1" applyAlignment="1">
      <alignment horizontal="center"/>
    </xf>
    <xf numFmtId="0" fontId="53" fillId="13" borderId="0" xfId="12" applyFont="1" applyFill="1" applyAlignment="1">
      <alignment horizontal="left"/>
    </xf>
    <xf numFmtId="184" fontId="3" fillId="0" borderId="0" xfId="0" applyNumberFormat="1" applyFont="1"/>
    <xf numFmtId="41" fontId="3" fillId="6" borderId="0" xfId="0" applyNumberFormat="1" applyFont="1" applyFill="1"/>
    <xf numFmtId="41" fontId="0" fillId="6" borderId="0" xfId="0" applyNumberFormat="1" applyFill="1"/>
    <xf numFmtId="41" fontId="3" fillId="6" borderId="4" xfId="0" applyNumberFormat="1" applyFont="1" applyFill="1" applyBorder="1"/>
    <xf numFmtId="41" fontId="0" fillId="6" borderId="5" xfId="0" applyNumberFormat="1" applyFill="1" applyBorder="1"/>
    <xf numFmtId="6" fontId="0" fillId="0" borderId="0" xfId="0" applyNumberFormat="1"/>
    <xf numFmtId="167" fontId="1" fillId="0" borderId="0" xfId="0" applyNumberFormat="1" applyFont="1"/>
    <xf numFmtId="0" fontId="54" fillId="0" borderId="0" xfId="0" applyFont="1" applyAlignment="1">
      <alignment vertical="center" wrapText="1"/>
    </xf>
    <xf numFmtId="0" fontId="54" fillId="13" borderId="15" xfId="0" applyFont="1" applyFill="1" applyBorder="1" applyAlignment="1">
      <alignment vertical="center" wrapText="1"/>
    </xf>
    <xf numFmtId="0" fontId="55" fillId="13" borderId="16" xfId="0" applyFont="1" applyFill="1" applyBorder="1" applyAlignment="1">
      <alignment horizontal="center" vertical="center" wrapText="1"/>
    </xf>
    <xf numFmtId="0" fontId="54" fillId="13" borderId="18" xfId="0" applyFont="1" applyFill="1" applyBorder="1" applyAlignment="1">
      <alignment vertical="center" wrapText="1"/>
    </xf>
    <xf numFmtId="6" fontId="54" fillId="13" borderId="26" xfId="0" applyNumberFormat="1" applyFont="1" applyFill="1" applyBorder="1" applyAlignment="1">
      <alignment vertical="center" wrapText="1"/>
    </xf>
    <xf numFmtId="0" fontId="54" fillId="13" borderId="26" xfId="0" applyFont="1" applyFill="1" applyBorder="1" applyAlignment="1">
      <alignment horizontal="center" vertical="center" wrapText="1"/>
    </xf>
    <xf numFmtId="0" fontId="56" fillId="13" borderId="18" xfId="0" applyFont="1" applyFill="1" applyBorder="1" applyAlignment="1">
      <alignment vertical="center" wrapText="1"/>
    </xf>
    <xf numFmtId="9" fontId="56" fillId="13" borderId="26" xfId="0" applyNumberFormat="1" applyFont="1" applyFill="1" applyBorder="1" applyAlignment="1">
      <alignment horizontal="center" vertical="center" wrapText="1"/>
    </xf>
    <xf numFmtId="41" fontId="54" fillId="13" borderId="26" xfId="0" applyNumberFormat="1" applyFont="1" applyFill="1" applyBorder="1" applyAlignment="1">
      <alignment vertical="center" wrapText="1"/>
    </xf>
    <xf numFmtId="6" fontId="56" fillId="13" borderId="26" xfId="0" applyNumberFormat="1" applyFont="1" applyFill="1" applyBorder="1" applyAlignment="1">
      <alignment vertical="center" wrapText="1"/>
    </xf>
    <xf numFmtId="0" fontId="54" fillId="13" borderId="0" xfId="0" applyFont="1" applyFill="1" applyAlignment="1">
      <alignment vertical="center" wrapText="1"/>
    </xf>
    <xf numFmtId="44" fontId="54" fillId="13" borderId="26" xfId="3" applyFont="1" applyFill="1" applyBorder="1" applyAlignment="1">
      <alignment vertical="center" wrapText="1"/>
    </xf>
    <xf numFmtId="43" fontId="54" fillId="13" borderId="26" xfId="0" applyNumberFormat="1" applyFont="1" applyFill="1" applyBorder="1" applyAlignment="1">
      <alignment horizontal="center" vertical="center" wrapText="1"/>
    </xf>
    <xf numFmtId="41" fontId="1" fillId="0" borderId="0" xfId="0" applyNumberFormat="1" applyFont="1" applyAlignment="1">
      <alignment horizontal="center"/>
    </xf>
    <xf numFmtId="41" fontId="0" fillId="0" borderId="0" xfId="0" applyNumberFormat="1" applyAlignment="1">
      <alignment horizontal="center"/>
    </xf>
    <xf numFmtId="41" fontId="1" fillId="0" borderId="39" xfId="0" applyNumberFormat="1" applyFont="1" applyBorder="1" applyAlignment="1">
      <alignment horizontal="center"/>
    </xf>
    <xf numFmtId="41" fontId="0" fillId="0" borderId="40" xfId="0" applyNumberFormat="1" applyBorder="1" applyAlignment="1">
      <alignment horizontal="center"/>
    </xf>
    <xf numFmtId="41" fontId="0" fillId="0" borderId="41" xfId="0" applyNumberFormat="1" applyBorder="1" applyAlignment="1">
      <alignment horizontal="center"/>
    </xf>
    <xf numFmtId="41" fontId="1" fillId="0" borderId="71" xfId="0" applyNumberFormat="1" applyFont="1" applyBorder="1" applyAlignment="1">
      <alignment horizontal="center"/>
    </xf>
    <xf numFmtId="41" fontId="0" fillId="0" borderId="72" xfId="0" applyNumberFormat="1" applyBorder="1" applyAlignment="1">
      <alignment horizontal="center"/>
    </xf>
    <xf numFmtId="41" fontId="0" fillId="0" borderId="73" xfId="0" applyNumberFormat="1" applyBorder="1" applyAlignment="1">
      <alignment horizontal="center"/>
    </xf>
    <xf numFmtId="41" fontId="3" fillId="0" borderId="39" xfId="0" applyNumberFormat="1" applyFont="1" applyBorder="1" applyAlignment="1">
      <alignment horizontal="center"/>
    </xf>
    <xf numFmtId="41" fontId="3" fillId="0" borderId="40" xfId="0" applyNumberFormat="1" applyFont="1" applyBorder="1" applyAlignment="1">
      <alignment horizontal="center"/>
    </xf>
    <xf numFmtId="41" fontId="3" fillId="0" borderId="41" xfId="0" applyNumberFormat="1" applyFont="1" applyBorder="1" applyAlignment="1">
      <alignment horizontal="center"/>
    </xf>
    <xf numFmtId="41" fontId="0" fillId="0" borderId="39" xfId="0" applyNumberFormat="1" applyBorder="1" applyAlignment="1">
      <alignment horizontal="center"/>
    </xf>
    <xf numFmtId="41" fontId="0" fillId="0" borderId="45" xfId="0" applyNumberFormat="1" applyBorder="1" applyAlignment="1">
      <alignment horizontal="center"/>
    </xf>
    <xf numFmtId="41" fontId="0" fillId="0" borderId="46" xfId="0" applyNumberFormat="1" applyBorder="1" applyAlignment="1">
      <alignment horizontal="center"/>
    </xf>
    <xf numFmtId="41" fontId="0" fillId="0" borderId="47" xfId="0" applyNumberFormat="1" applyBorder="1" applyAlignment="1">
      <alignment horizontal="center"/>
    </xf>
    <xf numFmtId="41" fontId="1" fillId="0" borderId="60" xfId="0" applyNumberFormat="1" applyFont="1" applyBorder="1" applyAlignment="1">
      <alignment horizontal="center"/>
    </xf>
    <xf numFmtId="41" fontId="0" fillId="0" borderId="61" xfId="0" applyNumberFormat="1" applyBorder="1" applyAlignment="1">
      <alignment horizontal="center"/>
    </xf>
    <xf numFmtId="41" fontId="0" fillId="0" borderId="62" xfId="0" applyNumberFormat="1" applyBorder="1" applyAlignment="1">
      <alignment horizontal="center"/>
    </xf>
    <xf numFmtId="41" fontId="0" fillId="0" borderId="75" xfId="0" applyNumberFormat="1" applyBorder="1" applyAlignment="1">
      <alignment horizontal="center"/>
    </xf>
    <xf numFmtId="41" fontId="0" fillId="0" borderId="76" xfId="0" applyNumberFormat="1" applyBorder="1" applyAlignment="1">
      <alignment horizontal="center"/>
    </xf>
    <xf numFmtId="41" fontId="0" fillId="0" borderId="77" xfId="0" applyNumberForma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" xfId="0" applyBorder="1" applyAlignment="1">
      <alignment horizontal="center"/>
    </xf>
    <xf numFmtId="41" fontId="0" fillId="0" borderId="94" xfId="0" applyNumberFormat="1" applyBorder="1" applyAlignment="1">
      <alignment horizontal="center"/>
    </xf>
    <xf numFmtId="41" fontId="0" fillId="0" borderId="95" xfId="0" applyNumberFormat="1" applyBorder="1" applyAlignment="1">
      <alignment horizontal="center"/>
    </xf>
    <xf numFmtId="41" fontId="0" fillId="0" borderId="96" xfId="0" applyNumberFormat="1" applyBorder="1" applyAlignment="1">
      <alignment horizontal="center"/>
    </xf>
    <xf numFmtId="41" fontId="1" fillId="0" borderId="94" xfId="0" applyNumberFormat="1" applyFont="1" applyBorder="1" applyAlignment="1">
      <alignment horizontal="center"/>
    </xf>
    <xf numFmtId="41" fontId="1" fillId="0" borderId="95" xfId="0" applyNumberFormat="1" applyFont="1" applyBorder="1" applyAlignment="1">
      <alignment horizontal="center"/>
    </xf>
    <xf numFmtId="41" fontId="1" fillId="0" borderId="96" xfId="0" applyNumberFormat="1" applyFont="1" applyBorder="1" applyAlignment="1">
      <alignment horizontal="center"/>
    </xf>
    <xf numFmtId="0" fontId="3" fillId="0" borderId="90" xfId="0" applyFont="1" applyBorder="1" applyAlignment="1">
      <alignment horizontal="center"/>
    </xf>
    <xf numFmtId="0" fontId="3" fillId="0" borderId="84" xfId="0" applyFont="1" applyBorder="1" applyAlignment="1">
      <alignment horizontal="center"/>
    </xf>
    <xf numFmtId="43" fontId="3" fillId="0" borderId="90" xfId="1" applyFont="1" applyBorder="1" applyAlignment="1">
      <alignment horizontal="center"/>
    </xf>
    <xf numFmtId="43" fontId="3" fillId="0" borderId="84" xfId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41" fontId="1" fillId="0" borderId="4" xfId="0" applyNumberFormat="1" applyFont="1" applyBorder="1" applyAlignment="1">
      <alignment horizontal="center"/>
    </xf>
    <xf numFmtId="41" fontId="0" fillId="0" borderId="4" xfId="0" applyNumberFormat="1" applyBorder="1" applyAlignment="1">
      <alignment horizontal="center"/>
    </xf>
    <xf numFmtId="37" fontId="4" fillId="0" borderId="0" xfId="0" applyNumberFormat="1" applyFont="1"/>
    <xf numFmtId="37" fontId="0" fillId="0" borderId="0" xfId="0" applyNumberFormat="1"/>
    <xf numFmtId="0" fontId="19" fillId="0" borderId="37" xfId="10" applyFont="1" applyBorder="1" applyAlignment="1">
      <alignment horizontal="center"/>
    </xf>
    <xf numFmtId="0" fontId="19" fillId="0" borderId="33" xfId="10" applyFont="1" applyBorder="1" applyAlignment="1">
      <alignment horizontal="center"/>
    </xf>
    <xf numFmtId="0" fontId="4" fillId="0" borderId="13" xfId="0" applyFont="1" applyBorder="1"/>
    <xf numFmtId="0" fontId="0" fillId="0" borderId="2" xfId="0" applyBorder="1"/>
    <xf numFmtId="0" fontId="0" fillId="0" borderId="14" xfId="0" applyBorder="1"/>
    <xf numFmtId="0" fontId="47" fillId="0" borderId="0" xfId="0" applyFont="1" applyAlignment="1">
      <alignment horizontal="left" wrapText="1"/>
    </xf>
    <xf numFmtId="41" fontId="48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45" fillId="0" borderId="4" xfId="0" applyFont="1" applyBorder="1" applyAlignment="1">
      <alignment horizontal="center"/>
    </xf>
    <xf numFmtId="0" fontId="23" fillId="0" borderId="83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47" fillId="0" borderId="0" xfId="0" applyFont="1" applyAlignment="1">
      <alignment horizontal="left"/>
    </xf>
  </cellXfs>
  <cellStyles count="95">
    <cellStyle name="Comma" xfId="1" builtinId="3"/>
    <cellStyle name="Comma 19" xfId="28" xr:uid="{00000000-0005-0000-0000-000001000000}"/>
    <cellStyle name="Comma 2 2" xfId="2" xr:uid="{00000000-0005-0000-0000-000002000000}"/>
    <cellStyle name="Currency" xfId="3" builtinId="4"/>
    <cellStyle name="Currency 12" xfId="25" xr:uid="{00000000-0005-0000-0000-000004000000}"/>
    <cellStyle name="Currency 3" xfId="4" xr:uid="{00000000-0005-0000-0000-000005000000}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Grey" xfId="5" xr:uid="{00000000-0005-0000-0000-00002A000000}"/>
    <cellStyle name="Header1" xfId="6" xr:uid="{00000000-0005-0000-0000-00002B000000}"/>
    <cellStyle name="Header2" xfId="7" xr:uid="{00000000-0005-0000-0000-00002C000000}"/>
    <cellStyle name="Hyperlink" xfId="18" builtinId="8" hidden="1"/>
    <cellStyle name="Hyperlink" xfId="20" builtinId="8" hidden="1"/>
    <cellStyle name="Hyperlink" xfId="22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Input [yellow]" xfId="8" xr:uid="{00000000-0005-0000-0000-000051000000}"/>
    <cellStyle name="Normal" xfId="0" builtinId="0"/>
    <cellStyle name="Normal - Style1" xfId="9" xr:uid="{00000000-0005-0000-0000-000053000000}"/>
    <cellStyle name="Normal 2" xfId="10" xr:uid="{00000000-0005-0000-0000-000054000000}"/>
    <cellStyle name="Normal 2 2" xfId="11" xr:uid="{00000000-0005-0000-0000-000055000000}"/>
    <cellStyle name="Normal 2 3" xfId="12" xr:uid="{00000000-0005-0000-0000-000056000000}"/>
    <cellStyle name="Normal 41" xfId="24" xr:uid="{00000000-0005-0000-0000-000057000000}"/>
    <cellStyle name="Normal 42" xfId="27" xr:uid="{00000000-0005-0000-0000-000058000000}"/>
    <cellStyle name="Normal 43" xfId="26" xr:uid="{00000000-0005-0000-0000-000059000000}"/>
    <cellStyle name="Percent" xfId="13" builtinId="5"/>
    <cellStyle name="Percent [2]" xfId="14" xr:uid="{00000000-0005-0000-0000-00005B000000}"/>
    <cellStyle name="Percent [2] 2" xfId="15" xr:uid="{00000000-0005-0000-0000-00005C000000}"/>
    <cellStyle name="Percent [2] 3" xfId="16" xr:uid="{00000000-0005-0000-0000-00005D000000}"/>
    <cellStyle name="Percent 3" xfId="17" xr:uid="{00000000-0005-0000-0000-00005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ollywood%20Heights\Copy%20of%20Updated%203%207%2019%20Deficiency%20Submission%20Final%20%20Hollywood%20Heights%202017ElectronicUnderwritingApplication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King%20Gardens%20-%20FYE%202003%20Model%20(40unit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rrative"/>
      <sheetName val="Instructions"/>
      <sheetName val="1)UnderwritingCriteria"/>
      <sheetName val="2)Summary"/>
      <sheetName val="3)Sources &amp; Uses"/>
      <sheetName val="4)Income"/>
      <sheetName val="5)Expenses"/>
      <sheetName val="6)Operating Proforma"/>
      <sheetName val="7)Housing Credits"/>
      <sheetName val="88)R-S Amortization"/>
      <sheetName val="Building Information"/>
      <sheetName val="Basis Calculation"/>
      <sheetName val="Selection Criteria"/>
      <sheetName val="Threshold Requirements"/>
      <sheetName val="Syndication"/>
      <sheetName val="Financing Cert"/>
      <sheetName val="Loan Information"/>
      <sheetName val="Amortization"/>
      <sheetName val="Project Schedule"/>
      <sheetName val="Development Team"/>
      <sheetName val="Checklist"/>
      <sheetName val="Certification"/>
      <sheetName val="Appendix 1"/>
      <sheetName val="Appendix 2"/>
      <sheetName val="Appendix 3"/>
      <sheetName val="Appendix 4"/>
      <sheetName val="Appendix 11"/>
      <sheetName val="Appendix 13"/>
      <sheetName val="Appendix 34"/>
      <sheetName val="Appendix 35"/>
      <sheetName val="Appendix 36"/>
      <sheetName val="DemandCert"/>
      <sheetName val="CEO Notification"/>
      <sheetName val="Developer Experience"/>
      <sheetName val="Management Experience"/>
    </sheetNames>
    <sheetDataSet>
      <sheetData sheetId="0"/>
      <sheetData sheetId="1"/>
      <sheetData sheetId="2"/>
      <sheetData sheetId="3">
        <row r="8">
          <cell r="H8" t="str">
            <v>East Baton Rouge</v>
          </cell>
        </row>
        <row r="11">
          <cell r="D11">
            <v>45</v>
          </cell>
        </row>
      </sheetData>
      <sheetData sheetId="4"/>
      <sheetData sheetId="5">
        <row r="1">
          <cell r="A1" t="str">
            <v>Hollywood Heights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****"/>
      <sheetName val="Sources &amp; Uses"/>
      <sheetName val="1st Mortgage"/>
      <sheetName val="2nd Mortgage"/>
      <sheetName val="TDC per Unit"/>
      <sheetName val="Cost Allocation Basis"/>
      <sheetName val="CR Calculation"/>
      <sheetName val="Construction Loan"/>
      <sheetName val="Proforma"/>
      <sheetName val="Utility Allowance"/>
      <sheetName val="Rent"/>
      <sheetName val="Repl.-Reserve"/>
      <sheetName val="Cost Estimate"/>
      <sheetName val="Sq Footage"/>
      <sheetName val="Basis"/>
      <sheetName val="Annual Expens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>
        <row r="34">
          <cell r="I34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ColWidth="8.85546875" defaultRowHeight="12.75"/>
  <sheetData/>
  <phoneticPr fontId="0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8.85546875" defaultRowHeight="12.75"/>
  <sheetData/>
  <phoneticPr fontId="0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K122"/>
  <sheetViews>
    <sheetView topLeftCell="A22" workbookViewId="0"/>
  </sheetViews>
  <sheetFormatPr defaultColWidth="9.140625" defaultRowHeight="12.75"/>
  <cols>
    <col min="1" max="1" width="10.7109375" style="1" customWidth="1"/>
    <col min="2" max="2" width="13.42578125" style="1" customWidth="1"/>
    <col min="3" max="4" width="9.140625" style="1"/>
    <col min="5" max="5" width="13.140625" style="1" customWidth="1"/>
    <col min="6" max="6" width="17" style="1" customWidth="1"/>
    <col min="7" max="7" width="2.42578125" style="1" customWidth="1"/>
    <col min="8" max="8" width="17.42578125" style="1" bestFit="1" customWidth="1"/>
    <col min="9" max="9" width="13.42578125" style="1" customWidth="1"/>
    <col min="10" max="10" width="2.7109375" style="1" customWidth="1"/>
    <col min="11" max="11" width="12.140625" style="1" hidden="1" customWidth="1"/>
    <col min="12" max="12" width="4.7109375" style="1" customWidth="1"/>
    <col min="13" max="13" width="21.42578125" style="1" hidden="1" customWidth="1"/>
    <col min="14" max="19" width="2.28515625" style="1" hidden="1" customWidth="1"/>
    <col min="20" max="21" width="19" style="1" hidden="1" customWidth="1"/>
    <col min="22" max="22" width="24" style="1" hidden="1" customWidth="1"/>
    <col min="23" max="23" width="7.42578125" style="1" hidden="1" customWidth="1"/>
    <col min="24" max="24" width="10.42578125" style="1" hidden="1" customWidth="1"/>
    <col min="25" max="25" width="12.5703125" style="1" hidden="1" customWidth="1"/>
    <col min="26" max="33" width="9.140625" style="1" hidden="1" customWidth="1"/>
    <col min="34" max="34" width="0" style="1" hidden="1" customWidth="1"/>
    <col min="35" max="35" width="28.7109375" style="1" customWidth="1"/>
    <col min="36" max="36" width="17.140625" style="1" customWidth="1"/>
    <col min="37" max="16384" width="9.140625" style="1"/>
  </cols>
  <sheetData>
    <row r="1" spans="1:36">
      <c r="A1" s="99" t="s">
        <v>1169</v>
      </c>
      <c r="E1" s="116">
        <f>+B81</f>
        <v>72</v>
      </c>
      <c r="F1" s="300" t="s">
        <v>924</v>
      </c>
    </row>
    <row r="2" spans="1:36" ht="13.5" thickBot="1">
      <c r="A2" s="4" t="s">
        <v>0</v>
      </c>
      <c r="B2" s="4"/>
      <c r="C2" s="4"/>
      <c r="D2" s="4"/>
      <c r="E2" s="4"/>
      <c r="F2" s="141" t="str">
        <f>+Rent!C3</f>
        <v>Augusta GA</v>
      </c>
      <c r="G2" s="4"/>
      <c r="H2" s="4"/>
      <c r="I2" s="4"/>
      <c r="J2" s="4"/>
      <c r="K2" s="4"/>
      <c r="T2" s="514" t="s">
        <v>940</v>
      </c>
      <c r="U2" s="515"/>
      <c r="V2" s="516"/>
    </row>
    <row r="3" spans="1:36" ht="13.5" thickTop="1">
      <c r="L3" s="187"/>
      <c r="T3" s="378"/>
      <c r="U3" s="379"/>
      <c r="V3" s="380"/>
    </row>
    <row r="4" spans="1:36">
      <c r="A4" s="7" t="s">
        <v>42</v>
      </c>
      <c r="L4" s="187"/>
      <c r="T4" s="208"/>
      <c r="V4" s="222"/>
      <c r="AI4" s="1" t="s">
        <v>1177</v>
      </c>
    </row>
    <row r="5" spans="1:36">
      <c r="L5" s="187"/>
      <c r="T5" s="208" t="s">
        <v>763</v>
      </c>
      <c r="V5" s="222"/>
      <c r="AI5" s="1" t="s">
        <v>1178</v>
      </c>
      <c r="AJ5" s="1">
        <v>4000000</v>
      </c>
    </row>
    <row r="6" spans="1:36">
      <c r="A6" s="1" t="s">
        <v>1179</v>
      </c>
      <c r="F6" s="1" t="e">
        <f>+#REF!</f>
        <v>#REF!</v>
      </c>
      <c r="L6" s="187"/>
      <c r="T6" s="208" t="s">
        <v>1182</v>
      </c>
      <c r="U6" s="300"/>
      <c r="V6" s="222">
        <v>100</v>
      </c>
      <c r="AI6" s="1" t="str">
        <f>+A6</f>
        <v>First Mortgage - HOPE</v>
      </c>
      <c r="AJ6" s="1" t="e">
        <f>+F6</f>
        <v>#REF!</v>
      </c>
    </row>
    <row r="7" spans="1:36">
      <c r="A7" s="300" t="s">
        <v>1180</v>
      </c>
      <c r="F7" s="1">
        <f>+'Interest Calculation'!C4</f>
        <v>18500000</v>
      </c>
      <c r="L7" s="187"/>
      <c r="T7" s="334" t="s">
        <v>1183</v>
      </c>
      <c r="V7" s="222">
        <v>239</v>
      </c>
      <c r="AI7" s="1" t="str">
        <f>+A7</f>
        <v>Second Mortgage - CDBG</v>
      </c>
      <c r="AJ7" s="1">
        <f>+F7</f>
        <v>18500000</v>
      </c>
    </row>
    <row r="8" spans="1:36">
      <c r="A8" s="1" t="s">
        <v>763</v>
      </c>
      <c r="C8" s="300" t="s">
        <v>1193</v>
      </c>
      <c r="F8" s="2">
        <f>+AJ8+AJ9</f>
        <v>339</v>
      </c>
      <c r="L8" s="187"/>
      <c r="T8" s="208"/>
      <c r="V8" s="222">
        <v>0</v>
      </c>
      <c r="AI8" s="1" t="s">
        <v>1194</v>
      </c>
      <c r="AJ8" s="1">
        <v>239</v>
      </c>
    </row>
    <row r="9" spans="1:36" ht="13.5" thickBot="1">
      <c r="A9" s="1" t="s">
        <v>3</v>
      </c>
      <c r="I9" s="1" t="e">
        <f>SUM(F6:F8)</f>
        <v>#REF!</v>
      </c>
      <c r="L9" s="187"/>
      <c r="Q9" s="257"/>
      <c r="T9" s="208"/>
      <c r="V9" s="381">
        <f>SUM(V6:V8)</f>
        <v>339</v>
      </c>
      <c r="AI9" s="1" t="s">
        <v>1195</v>
      </c>
      <c r="AJ9" s="1">
        <v>100</v>
      </c>
    </row>
    <row r="10" spans="1:36" ht="13.5" thickTop="1">
      <c r="A10" s="1" t="s">
        <v>1181</v>
      </c>
      <c r="H10" s="249" t="s">
        <v>4</v>
      </c>
      <c r="I10" s="250" t="e">
        <f>+'Sources &amp; Uses'!#REF!</f>
        <v>#REF!</v>
      </c>
      <c r="L10" s="187"/>
      <c r="T10" s="208"/>
      <c r="V10" s="222"/>
      <c r="AI10" s="1" t="str">
        <f>+A10</f>
        <v>Deferred Development Fee</v>
      </c>
      <c r="AJ10" s="1" t="e">
        <f>+I10</f>
        <v>#REF!</v>
      </c>
    </row>
    <row r="11" spans="1:36">
      <c r="A11" s="1" t="s">
        <v>6</v>
      </c>
      <c r="I11" s="1" t="e">
        <f>SUM(I9:I10)</f>
        <v>#REF!</v>
      </c>
      <c r="K11" s="1" t="e">
        <f>SUM(I11)</f>
        <v>#REF!</v>
      </c>
      <c r="L11" s="187"/>
      <c r="R11" s="217"/>
      <c r="T11" s="334" t="s">
        <v>1127</v>
      </c>
      <c r="V11" s="222">
        <v>500000</v>
      </c>
    </row>
    <row r="12" spans="1:36">
      <c r="L12" s="187"/>
      <c r="M12" s="335" t="s">
        <v>941</v>
      </c>
      <c r="T12" s="208"/>
      <c r="V12" s="222"/>
    </row>
    <row r="13" spans="1:36">
      <c r="A13" s="1" t="s">
        <v>1184</v>
      </c>
      <c r="I13" s="2">
        <f>+'Sources &amp; Uses'!I10-F8</f>
        <v>24499661</v>
      </c>
      <c r="K13" s="1">
        <f>+'CR Calculation'!F30</f>
        <v>3825871.7401776379</v>
      </c>
      <c r="L13" s="187"/>
      <c r="M13" s="97">
        <f>SUM(I13-K13)</f>
        <v>20673789.259822361</v>
      </c>
      <c r="T13" s="330" t="s">
        <v>1128</v>
      </c>
      <c r="V13" s="222"/>
      <c r="AI13" s="1" t="str">
        <f>+A13</f>
        <v>Tax Credit - LP Equity Contribution</v>
      </c>
      <c r="AJ13" s="1">
        <f>+I13</f>
        <v>24499661</v>
      </c>
    </row>
    <row r="14" spans="1:36">
      <c r="A14" s="5" t="s">
        <v>8</v>
      </c>
      <c r="I14" s="1" t="e">
        <f>SUM(I11:I13)</f>
        <v>#REF!</v>
      </c>
      <c r="K14" s="1" t="e">
        <f>SUM(I14)</f>
        <v>#REF!</v>
      </c>
      <c r="L14" s="187"/>
      <c r="R14" s="13"/>
      <c r="T14" s="334" t="s">
        <v>1130</v>
      </c>
      <c r="V14" s="222">
        <v>204405</v>
      </c>
    </row>
    <row r="15" spans="1:36">
      <c r="L15" s="187"/>
      <c r="R15" s="258"/>
      <c r="T15" s="334" t="s">
        <v>1131</v>
      </c>
      <c r="V15" s="331">
        <v>4245865</v>
      </c>
      <c r="AJ15" s="1" t="e">
        <f>SUM(AJ5:AJ13)</f>
        <v>#REF!</v>
      </c>
    </row>
    <row r="16" spans="1:36">
      <c r="F16" s="1" t="s">
        <v>10</v>
      </c>
      <c r="H16" s="1" t="s">
        <v>12</v>
      </c>
      <c r="L16" s="187"/>
      <c r="T16" s="334" t="s">
        <v>1129</v>
      </c>
      <c r="V16" s="222">
        <f>SUM(V14:V15)</f>
        <v>4450270</v>
      </c>
    </row>
    <row r="17" spans="1:37">
      <c r="A17" s="7" t="s">
        <v>43</v>
      </c>
      <c r="F17" s="2" t="s">
        <v>11</v>
      </c>
      <c r="H17" s="2" t="s">
        <v>11</v>
      </c>
      <c r="L17" s="187"/>
      <c r="T17" s="334" t="s">
        <v>1132</v>
      </c>
      <c r="V17" s="169">
        <f>+V16/E1</f>
        <v>61809.305555555555</v>
      </c>
    </row>
    <row r="18" spans="1:37">
      <c r="L18" s="187"/>
      <c r="T18" s="330"/>
      <c r="V18" s="222"/>
    </row>
    <row r="19" spans="1:37">
      <c r="A19" s="1" t="s">
        <v>9</v>
      </c>
      <c r="B19" s="1" t="s">
        <v>409</v>
      </c>
      <c r="D19" s="147">
        <v>0</v>
      </c>
      <c r="E19" s="147">
        <f>+'Sources &amp; Uses'!E16</f>
        <v>0</v>
      </c>
      <c r="H19" s="300">
        <f>+E19</f>
        <v>0</v>
      </c>
      <c r="I19" s="112"/>
      <c r="L19" s="187"/>
      <c r="T19" s="334" t="s">
        <v>1133</v>
      </c>
      <c r="V19" s="222">
        <v>255000</v>
      </c>
      <c r="W19" s="13"/>
      <c r="X19" s="1">
        <v>5344695</v>
      </c>
      <c r="Y19" s="1">
        <f>+E27</f>
        <v>5349669.0960000008</v>
      </c>
      <c r="AI19" s="1" t="str">
        <f>+A19</f>
        <v>Land</v>
      </c>
      <c r="AJ19" s="1">
        <f>+'Sources &amp; Uses'!V11</f>
        <v>0</v>
      </c>
      <c r="AK19" s="300" t="s">
        <v>1192</v>
      </c>
    </row>
    <row r="20" spans="1:37">
      <c r="A20" s="1" t="s">
        <v>217</v>
      </c>
      <c r="H20" s="1">
        <f>+E19-H19</f>
        <v>0</v>
      </c>
      <c r="I20" s="112"/>
      <c r="L20" s="187"/>
      <c r="T20" s="334"/>
      <c r="V20" s="222"/>
    </row>
    <row r="21" spans="1:37" ht="13.5" thickBot="1">
      <c r="A21" s="1" t="s">
        <v>13</v>
      </c>
      <c r="L21" s="187"/>
      <c r="T21" s="334"/>
      <c r="V21" s="331"/>
    </row>
    <row r="22" spans="1:37">
      <c r="A22" s="8" t="s">
        <v>14</v>
      </c>
      <c r="F22" s="130"/>
      <c r="L22" s="187"/>
      <c r="T22" s="334"/>
      <c r="V22" s="222">
        <f>SUM(V19:V21)</f>
        <v>255000</v>
      </c>
    </row>
    <row r="23" spans="1:37">
      <c r="A23" s="8" t="s">
        <v>15</v>
      </c>
      <c r="F23" s="131">
        <v>0</v>
      </c>
      <c r="L23" s="187"/>
      <c r="T23" s="333"/>
      <c r="U23" s="2"/>
      <c r="V23" s="331"/>
    </row>
    <row r="24" spans="1:37">
      <c r="A24" s="1" t="s">
        <v>16</v>
      </c>
      <c r="F24" s="132">
        <f>SUM(F22:F23)</f>
        <v>0</v>
      </c>
      <c r="L24" s="187"/>
      <c r="T24" s="517" t="s">
        <v>1055</v>
      </c>
      <c r="U24" s="518"/>
      <c r="V24" s="519"/>
    </row>
    <row r="25" spans="1:37" ht="15">
      <c r="F25" s="132"/>
      <c r="L25" s="187"/>
      <c r="T25" s="385" t="s">
        <v>1160</v>
      </c>
      <c r="U25" s="386"/>
      <c r="V25" s="387">
        <f>+'Proforma (Application)'!S33</f>
        <v>0</v>
      </c>
      <c r="AI25" s="469" t="s">
        <v>1131</v>
      </c>
    </row>
    <row r="26" spans="1:37" ht="13.5" thickBot="1">
      <c r="A26" s="1" t="s">
        <v>17</v>
      </c>
      <c r="F26" s="132"/>
      <c r="L26" s="187"/>
      <c r="T26" s="334" t="s">
        <v>1056</v>
      </c>
      <c r="V26" s="222" t="e">
        <f>+I10+M13</f>
        <v>#REF!</v>
      </c>
    </row>
    <row r="27" spans="1:37" ht="13.5" thickBot="1">
      <c r="A27" s="8" t="s">
        <v>18</v>
      </c>
      <c r="C27" s="1" t="s">
        <v>391</v>
      </c>
      <c r="E27" s="129">
        <f>SUM(F24+F27+F28+F29+F33+F34)+F35</f>
        <v>5349669.0960000008</v>
      </c>
      <c r="F27" s="454">
        <f>+E1*H88</f>
        <v>4450270</v>
      </c>
      <c r="L27" s="187"/>
      <c r="T27" s="334" t="s">
        <v>1066</v>
      </c>
      <c r="V27" s="222" t="e">
        <f>+V25-V26</f>
        <v>#REF!</v>
      </c>
      <c r="AI27" s="1" t="str">
        <f>+A27</f>
        <v>Construction Hard Costs</v>
      </c>
      <c r="AJ27" s="1">
        <f>+F27</f>
        <v>4450270</v>
      </c>
    </row>
    <row r="28" spans="1:37">
      <c r="A28" s="8" t="s">
        <v>544</v>
      </c>
      <c r="E28" s="9">
        <f>+F28/SUM(E27-V22)</f>
        <v>5.0052318451891065E-2</v>
      </c>
      <c r="F28" s="132">
        <f>+V22</f>
        <v>255000</v>
      </c>
      <c r="L28" s="187"/>
      <c r="T28" s="382" t="s">
        <v>1057</v>
      </c>
      <c r="U28" s="2"/>
      <c r="V28" s="383" t="e">
        <f>IF(V25&gt;V26,"TEST MET","TEST NOT MET")</f>
        <v>#REF!</v>
      </c>
      <c r="AI28" s="1" t="str">
        <f>+A28</f>
        <v>(Contingency) Hard Costs</v>
      </c>
      <c r="AJ28" s="1">
        <f>+F28</f>
        <v>255000</v>
      </c>
    </row>
    <row r="29" spans="1:37">
      <c r="A29" s="8" t="s">
        <v>19</v>
      </c>
      <c r="E29" s="96">
        <v>0.06</v>
      </c>
      <c r="F29" s="131">
        <f>SUM(F27*E29)</f>
        <v>267016.2</v>
      </c>
      <c r="L29" s="187"/>
      <c r="T29" s="520"/>
      <c r="U29" s="521"/>
      <c r="V29" s="522"/>
      <c r="AI29" s="1" t="str">
        <f>+A29</f>
        <v>General Requirements</v>
      </c>
      <c r="AJ29" s="1">
        <f>+F29</f>
        <v>267016.2</v>
      </c>
    </row>
    <row r="30" spans="1:37">
      <c r="A30" s="1" t="s">
        <v>20</v>
      </c>
      <c r="E30" s="99"/>
      <c r="F30" s="132">
        <f>SUM(F27:F29)</f>
        <v>4972286.2</v>
      </c>
      <c r="L30" s="187"/>
      <c r="T30" s="334"/>
      <c r="V30" s="222"/>
      <c r="AI30" s="1" t="str">
        <f>+A33</f>
        <v>Builders Profit</v>
      </c>
      <c r="AJ30" s="1">
        <f>+F33</f>
        <v>283037.17200000002</v>
      </c>
    </row>
    <row r="31" spans="1:37" ht="13.5" thickBot="1">
      <c r="E31" s="99"/>
      <c r="F31" s="132"/>
      <c r="L31" s="187"/>
      <c r="T31" s="208"/>
      <c r="V31" s="222"/>
      <c r="AI31" s="1" t="str">
        <f>+A34</f>
        <v>Builders O/H (2%)</v>
      </c>
      <c r="AJ31" s="2">
        <f>+F34</f>
        <v>94345.724000000002</v>
      </c>
    </row>
    <row r="32" spans="1:37" ht="13.5" thickBot="1">
      <c r="A32" s="1" t="s">
        <v>21</v>
      </c>
      <c r="E32" s="99"/>
      <c r="F32" s="132"/>
      <c r="L32" s="187"/>
      <c r="T32" s="328"/>
      <c r="V32" s="329"/>
      <c r="AI32" s="1" t="s">
        <v>1185</v>
      </c>
      <c r="AJ32" s="1">
        <f>SUM(AJ27:AJ31)</f>
        <v>5349669.0960000008</v>
      </c>
    </row>
    <row r="33" spans="1:36">
      <c r="A33" s="8" t="s">
        <v>22</v>
      </c>
      <c r="E33" s="96">
        <v>0.06</v>
      </c>
      <c r="F33" s="132">
        <f>SUM(F27+F29)*E33</f>
        <v>283037.17200000002</v>
      </c>
      <c r="L33" s="187"/>
      <c r="T33" s="208"/>
      <c r="V33" s="222"/>
    </row>
    <row r="34" spans="1:36" ht="15.75" thickBot="1">
      <c r="A34" s="8" t="s">
        <v>23</v>
      </c>
      <c r="E34" s="96">
        <v>0.02</v>
      </c>
      <c r="F34" s="133">
        <f>SUM(F27+F29)*E34</f>
        <v>94345.724000000002</v>
      </c>
      <c r="L34" s="187"/>
      <c r="T34" s="523" t="s">
        <v>658</v>
      </c>
      <c r="U34" s="515"/>
      <c r="V34" s="516"/>
      <c r="AI34" s="469" t="s">
        <v>1186</v>
      </c>
    </row>
    <row r="35" spans="1:36" ht="13.5" thickBot="1">
      <c r="A35" s="284" t="s">
        <v>934</v>
      </c>
      <c r="F35" s="1">
        <v>0</v>
      </c>
      <c r="L35" s="187"/>
      <c r="T35" s="208" t="s">
        <v>650</v>
      </c>
      <c r="U35" s="327">
        <v>0.8</v>
      </c>
      <c r="V35" s="222">
        <f>SUM(V38*U35)</f>
        <v>61600</v>
      </c>
      <c r="AI35" s="1" t="str">
        <f>+A36</f>
        <v>Architects Fee-Design</v>
      </c>
      <c r="AJ35" s="1">
        <f>+F36</f>
        <v>61600</v>
      </c>
    </row>
    <row r="36" spans="1:36" ht="13.5" thickBot="1">
      <c r="A36" s="8" t="s">
        <v>350</v>
      </c>
      <c r="D36" s="326">
        <f>+U35</f>
        <v>0.8</v>
      </c>
      <c r="E36" s="94">
        <v>0.04</v>
      </c>
      <c r="F36" s="130">
        <f>+V35</f>
        <v>61600</v>
      </c>
      <c r="L36" s="187"/>
      <c r="T36" s="208"/>
      <c r="U36" s="327">
        <v>0.2</v>
      </c>
      <c r="V36" s="331">
        <f>SUM(V38*U36)</f>
        <v>15400</v>
      </c>
      <c r="AI36" s="1" t="str">
        <f>+A37</f>
        <v>Architects Fee-Supervision</v>
      </c>
      <c r="AJ36" s="1">
        <f>+F37</f>
        <v>15400</v>
      </c>
    </row>
    <row r="37" spans="1:36" ht="13.5" thickBot="1">
      <c r="A37" s="8" t="s">
        <v>25</v>
      </c>
      <c r="D37" s="326">
        <f>+U36</f>
        <v>0.2</v>
      </c>
      <c r="F37" s="133">
        <f>+V36</f>
        <v>15400</v>
      </c>
      <c r="G37" s="129">
        <f>SUM(F37)</f>
        <v>15400</v>
      </c>
      <c r="H37" s="134">
        <f>SUM(F36:F37)</f>
        <v>77000</v>
      </c>
      <c r="L37" s="187"/>
      <c r="T37" s="330"/>
      <c r="U37" s="9">
        <f>+V37/E27</f>
        <v>1.4393413614605367E-2</v>
      </c>
      <c r="V37" s="222">
        <f>+V35+V36</f>
        <v>77000</v>
      </c>
      <c r="AI37" s="1" t="str">
        <f>+A38</f>
        <v>Other- Engineering</v>
      </c>
      <c r="AJ37" s="1">
        <f>+F38</f>
        <v>41900</v>
      </c>
    </row>
    <row r="38" spans="1:36">
      <c r="A38" s="8" t="s">
        <v>655</v>
      </c>
      <c r="F38" s="135">
        <f>35000+6900</f>
        <v>41900</v>
      </c>
      <c r="L38" s="187"/>
      <c r="T38" s="334" t="s">
        <v>1016</v>
      </c>
      <c r="U38" s="463" t="s">
        <v>1152</v>
      </c>
      <c r="V38" s="222">
        <v>77000</v>
      </c>
      <c r="AI38" s="1" t="str">
        <f>+A46</f>
        <v>Taxes</v>
      </c>
      <c r="AJ38" s="1">
        <f>+F46</f>
        <v>5000</v>
      </c>
    </row>
    <row r="39" spans="1:36">
      <c r="A39" s="1" t="s">
        <v>27</v>
      </c>
      <c r="F39" s="1">
        <f>SUM(F33:F38)</f>
        <v>496282.89600000001</v>
      </c>
      <c r="L39" s="187"/>
      <c r="T39" s="514" t="s">
        <v>942</v>
      </c>
      <c r="U39" s="515"/>
      <c r="V39" s="516"/>
      <c r="AI39" s="1" t="str">
        <f>+A47</f>
        <v>Insurance</v>
      </c>
      <c r="AJ39" s="1">
        <f>+F47</f>
        <v>25000</v>
      </c>
    </row>
    <row r="40" spans="1:36">
      <c r="L40" s="187"/>
      <c r="T40" s="208"/>
      <c r="U40" s="336" t="s">
        <v>948</v>
      </c>
      <c r="V40" s="222"/>
      <c r="W40" s="337"/>
      <c r="AI40" s="1" t="str">
        <f>+A53</f>
        <v>CPA Fees</v>
      </c>
      <c r="AJ40" s="1">
        <f>+F53</f>
        <v>10000</v>
      </c>
    </row>
    <row r="41" spans="1:36">
      <c r="A41" s="1" t="s">
        <v>28</v>
      </c>
      <c r="L41" s="187"/>
      <c r="T41" s="334" t="s">
        <v>943</v>
      </c>
      <c r="U41" s="301" t="s">
        <v>549</v>
      </c>
      <c r="V41" s="222">
        <v>35000</v>
      </c>
      <c r="W41" s="164">
        <f>IF(U41="x",V41/V$46,0)</f>
        <v>0.29914529914529914</v>
      </c>
      <c r="Y41" s="300" t="s">
        <v>1166</v>
      </c>
      <c r="AE41" s="1">
        <v>41000</v>
      </c>
      <c r="AI41" s="1" t="str">
        <f>+A55</f>
        <v>Cost Certification</v>
      </c>
      <c r="AJ41" s="1">
        <f>+F55</f>
        <v>15000</v>
      </c>
    </row>
    <row r="42" spans="1:36">
      <c r="A42" s="8" t="s">
        <v>29</v>
      </c>
      <c r="F42" s="1" t="e">
        <f>+'Construction Loan'!E34</f>
        <v>#REF!</v>
      </c>
      <c r="L42" s="187"/>
      <c r="T42" s="334" t="s">
        <v>944</v>
      </c>
      <c r="U42" s="301" t="s">
        <v>549</v>
      </c>
      <c r="V42" s="222">
        <f>15000+10000</f>
        <v>25000</v>
      </c>
      <c r="W42" s="164">
        <f t="shared" ref="W42:W43" si="0">IF(U42="x",V42/V$46,0)</f>
        <v>0.21367521367521367</v>
      </c>
      <c r="Y42" s="300" t="s">
        <v>1167</v>
      </c>
      <c r="AE42" s="1">
        <v>55000</v>
      </c>
      <c r="AI42" s="1" t="str">
        <f>+A62</f>
        <v>Other Third Party Costs</v>
      </c>
      <c r="AJ42" s="1">
        <f>+F62</f>
        <v>146419</v>
      </c>
    </row>
    <row r="43" spans="1:36">
      <c r="A43" s="8" t="s">
        <v>207</v>
      </c>
      <c r="E43" s="96">
        <v>0.01</v>
      </c>
      <c r="F43" s="1" t="e">
        <f>SUM(E43*F6)</f>
        <v>#REF!</v>
      </c>
      <c r="L43" s="187"/>
      <c r="T43" s="334" t="s">
        <v>945</v>
      </c>
      <c r="U43" s="7"/>
      <c r="V43" s="222">
        <v>27000</v>
      </c>
      <c r="W43" s="164">
        <f t="shared" si="0"/>
        <v>0</v>
      </c>
      <c r="Y43" s="300" t="s">
        <v>1168</v>
      </c>
      <c r="AE43" s="2">
        <v>21000</v>
      </c>
      <c r="AI43" s="1" t="str">
        <f>+A67</f>
        <v>Operation Reserves</v>
      </c>
      <c r="AJ43" s="1">
        <f>+H67</f>
        <v>0</v>
      </c>
    </row>
    <row r="44" spans="1:36">
      <c r="A44" s="8" t="s">
        <v>424</v>
      </c>
      <c r="E44" s="96">
        <v>0.01</v>
      </c>
      <c r="F44" s="1">
        <f>SUM(E44*'Construction Loan'!E4)</f>
        <v>40000</v>
      </c>
      <c r="L44" s="187"/>
      <c r="T44" s="464" t="s">
        <v>1153</v>
      </c>
      <c r="U44" s="300" t="s">
        <v>1176</v>
      </c>
      <c r="V44" s="222">
        <v>30000</v>
      </c>
      <c r="W44" s="260"/>
      <c r="Y44" s="300" t="s">
        <v>91</v>
      </c>
      <c r="AE44" s="1">
        <f>SUM(AE41:AE43)</f>
        <v>117000</v>
      </c>
      <c r="AI44" s="1" t="str">
        <f>+A68</f>
        <v>Initial Deposit to R4R</v>
      </c>
      <c r="AJ44" s="1">
        <f>+H68</f>
        <v>45000</v>
      </c>
    </row>
    <row r="45" spans="1:36">
      <c r="A45" s="8" t="s">
        <v>953</v>
      </c>
      <c r="E45" s="325" t="e">
        <f>+#REF!</f>
        <v>#REF!</v>
      </c>
      <c r="F45" s="1" t="e">
        <f>+#REF!</f>
        <v>#REF!</v>
      </c>
      <c r="L45" s="187"/>
      <c r="T45" s="332"/>
      <c r="U45" s="7"/>
      <c r="V45" s="222"/>
      <c r="W45" s="260"/>
      <c r="AI45" s="1" t="e">
        <f>+'Sources &amp; Uses'!#REF!</f>
        <v>#REF!</v>
      </c>
      <c r="AJ45" s="1" t="e">
        <f>+'Sources &amp; Uses'!#REF!</f>
        <v>#REF!</v>
      </c>
    </row>
    <row r="46" spans="1:36">
      <c r="A46" s="8" t="s">
        <v>30</v>
      </c>
      <c r="F46" s="1">
        <v>5000</v>
      </c>
      <c r="L46" s="187"/>
      <c r="T46" s="334" t="s">
        <v>946</v>
      </c>
      <c r="V46" s="222">
        <f>SUM(V41:V44)</f>
        <v>117000</v>
      </c>
      <c r="W46" s="164">
        <f>SUM(W41:W44)</f>
        <v>0.51282051282051277</v>
      </c>
      <c r="AA46" s="512" t="s">
        <v>939</v>
      </c>
      <c r="AB46" s="513"/>
      <c r="AC46" s="513"/>
      <c r="AD46" s="513"/>
    </row>
    <row r="47" spans="1:36">
      <c r="A47" s="8" t="s">
        <v>31</v>
      </c>
      <c r="E47" s="13">
        <v>0</v>
      </c>
      <c r="F47" s="1">
        <f>+V76</f>
        <v>25000</v>
      </c>
      <c r="L47" s="187"/>
      <c r="T47" s="334"/>
      <c r="U47" s="72"/>
      <c r="V47" s="222"/>
      <c r="W47" s="164">
        <f>1-W46</f>
        <v>0.48717948717948723</v>
      </c>
      <c r="AA47" s="1" t="e">
        <f>SUM(F6/AC47*AB47)</f>
        <v>#REF!</v>
      </c>
      <c r="AB47" s="13">
        <v>2.25</v>
      </c>
      <c r="AC47" s="1">
        <v>1000</v>
      </c>
      <c r="AD47" s="1" t="s">
        <v>425</v>
      </c>
      <c r="AJ47" s="2"/>
    </row>
    <row r="48" spans="1:36">
      <c r="A48" s="8" t="s">
        <v>32</v>
      </c>
      <c r="F48" s="2">
        <f>+V53</f>
        <v>24500</v>
      </c>
      <c r="L48" s="187"/>
      <c r="T48" s="514" t="s">
        <v>947</v>
      </c>
      <c r="U48" s="515"/>
      <c r="V48" s="516"/>
      <c r="W48" s="261"/>
      <c r="AA48" s="1">
        <f>SUM(F7/AC48*AB48)</f>
        <v>50875</v>
      </c>
      <c r="AB48" s="13">
        <v>2.75</v>
      </c>
      <c r="AC48" s="1">
        <v>1000</v>
      </c>
      <c r="AD48" s="1" t="s">
        <v>426</v>
      </c>
      <c r="AI48" s="300" t="s">
        <v>1188</v>
      </c>
      <c r="AJ48" s="1" t="e">
        <f>SUM(AJ35:AJ45)</f>
        <v>#REF!</v>
      </c>
    </row>
    <row r="49" spans="1:36">
      <c r="F49" s="1" t="e">
        <f>SUM(F42:F48)</f>
        <v>#REF!</v>
      </c>
      <c r="L49" s="187"/>
      <c r="T49" s="208"/>
      <c r="U49" s="336" t="s">
        <v>948</v>
      </c>
      <c r="V49" s="222"/>
      <c r="W49" s="337"/>
      <c r="AA49" s="62">
        <v>1.5</v>
      </c>
    </row>
    <row r="50" spans="1:36">
      <c r="L50" s="187"/>
      <c r="M50" s="5"/>
      <c r="T50" s="334" t="s">
        <v>949</v>
      </c>
      <c r="U50" s="300" t="s">
        <v>549</v>
      </c>
      <c r="V50" s="222">
        <v>15000</v>
      </c>
      <c r="W50" s="164">
        <f>IF(U50="x",V50/V$53,0)</f>
        <v>0.61224489795918369</v>
      </c>
    </row>
    <row r="51" spans="1:36" ht="15">
      <c r="A51" s="1" t="s">
        <v>33</v>
      </c>
      <c r="L51" s="187"/>
      <c r="T51" s="334" t="s">
        <v>950</v>
      </c>
      <c r="V51" s="222">
        <v>9500</v>
      </c>
      <c r="W51" s="260"/>
      <c r="AI51" s="469" t="s">
        <v>1187</v>
      </c>
    </row>
    <row r="52" spans="1:36">
      <c r="A52" s="8" t="s">
        <v>34</v>
      </c>
      <c r="F52" s="1">
        <f>+V46</f>
        <v>117000</v>
      </c>
      <c r="L52" s="187"/>
      <c r="T52" s="208"/>
      <c r="V52" s="222"/>
      <c r="W52" s="260"/>
    </row>
    <row r="53" spans="1:36">
      <c r="A53" s="8" t="s">
        <v>35</v>
      </c>
      <c r="F53" s="1">
        <v>10000</v>
      </c>
      <c r="L53" s="187"/>
      <c r="T53" s="334" t="s">
        <v>951</v>
      </c>
      <c r="V53" s="222">
        <f>SUM(V50:V52)</f>
        <v>24500</v>
      </c>
      <c r="W53" s="164">
        <f>SUM(W49:W52)</f>
        <v>0.61224489795918369</v>
      </c>
      <c r="AI53" s="1" t="str">
        <f>+A42</f>
        <v>Interest</v>
      </c>
      <c r="AJ53" s="1" t="e">
        <f>+F42</f>
        <v>#REF!</v>
      </c>
    </row>
    <row r="54" spans="1:36">
      <c r="A54" s="8" t="s">
        <v>36</v>
      </c>
      <c r="F54" s="1">
        <v>0</v>
      </c>
      <c r="L54" s="187"/>
      <c r="T54" s="208"/>
      <c r="V54" s="222"/>
      <c r="W54" s="339">
        <f>1-W53</f>
        <v>0.38775510204081631</v>
      </c>
      <c r="AI54" s="1" t="str">
        <f>+A43</f>
        <v>Financing Fee - Permanent</v>
      </c>
      <c r="AJ54" s="1" t="e">
        <f>+F43</f>
        <v>#REF!</v>
      </c>
    </row>
    <row r="55" spans="1:36">
      <c r="A55" s="8" t="s">
        <v>37</v>
      </c>
      <c r="F55" s="2">
        <v>15000</v>
      </c>
      <c r="L55" s="187"/>
      <c r="T55" s="334"/>
      <c r="U55" s="217"/>
      <c r="V55" s="169"/>
      <c r="AI55" s="1" t="str">
        <f>+A44</f>
        <v>Financing Fee - Construction</v>
      </c>
      <c r="AJ55" s="1">
        <f>+F44</f>
        <v>40000</v>
      </c>
    </row>
    <row r="56" spans="1:36">
      <c r="A56" s="1" t="s">
        <v>38</v>
      </c>
      <c r="F56" s="1">
        <f>SUM(F52:F55)</f>
        <v>142000</v>
      </c>
      <c r="L56" s="187"/>
      <c r="N56"/>
      <c r="O56" s="12"/>
      <c r="T56" s="524" t="s">
        <v>952</v>
      </c>
      <c r="U56" s="525"/>
      <c r="V56" s="526"/>
      <c r="X56" s="373" t="s">
        <v>216</v>
      </c>
      <c r="Y56" s="373" t="s">
        <v>1037</v>
      </c>
      <c r="AI56" s="1" t="str">
        <f>+A45</f>
        <v>Bond Cost of Issuance</v>
      </c>
      <c r="AJ56" s="1" t="e">
        <f>+F45</f>
        <v>#REF!</v>
      </c>
    </row>
    <row r="57" spans="1:36">
      <c r="L57" s="187"/>
      <c r="T57" s="388"/>
      <c r="U57" s="386"/>
      <c r="V57" s="387"/>
      <c r="AI57" s="1" t="str">
        <f>+A48</f>
        <v>Title/Recording</v>
      </c>
      <c r="AJ57" s="1">
        <f>+F48</f>
        <v>24500</v>
      </c>
    </row>
    <row r="58" spans="1:36">
      <c r="A58" s="1" t="s">
        <v>39</v>
      </c>
      <c r="L58" s="187"/>
      <c r="T58" s="334" t="s">
        <v>956</v>
      </c>
      <c r="V58" s="455">
        <v>20000</v>
      </c>
      <c r="X58" s="1">
        <f>+V58</f>
        <v>20000</v>
      </c>
      <c r="AI58" s="1" t="str">
        <f>+A52</f>
        <v>Legal</v>
      </c>
      <c r="AJ58" s="1" t="e">
        <f>+F52-AJ45</f>
        <v>#REF!</v>
      </c>
    </row>
    <row r="59" spans="1:36">
      <c r="A59" s="8" t="s">
        <v>764</v>
      </c>
      <c r="F59" s="1">
        <v>0</v>
      </c>
      <c r="L59" s="187"/>
      <c r="T59" s="208" t="s">
        <v>646</v>
      </c>
      <c r="V59" s="222">
        <v>4500</v>
      </c>
      <c r="X59" s="1">
        <f t="shared" ref="X59:X67" si="1">+V59</f>
        <v>4500</v>
      </c>
      <c r="AI59" s="1" t="str">
        <f>+A60</f>
        <v>LIHTC Application Fee</v>
      </c>
      <c r="AJ59" s="1">
        <f>+F60</f>
        <v>4000</v>
      </c>
    </row>
    <row r="60" spans="1:36">
      <c r="A60" s="8" t="s">
        <v>40</v>
      </c>
      <c r="F60" s="1">
        <v>4000</v>
      </c>
      <c r="L60" s="187"/>
      <c r="T60" s="208" t="s">
        <v>647</v>
      </c>
      <c r="V60" s="222">
        <v>5000</v>
      </c>
      <c r="X60" s="1">
        <f t="shared" si="1"/>
        <v>5000</v>
      </c>
      <c r="AI60" s="1" t="str">
        <f>+A61</f>
        <v>Tax Credit Commitment Fees</v>
      </c>
      <c r="AJ60" s="2">
        <f>+F61</f>
        <v>22507.378621259999</v>
      </c>
    </row>
    <row r="61" spans="1:36">
      <c r="A61" s="8" t="s">
        <v>41</v>
      </c>
      <c r="E61" s="94">
        <v>0.05</v>
      </c>
      <c r="F61" s="101">
        <f>+E61*'CR Calculation'!F26</f>
        <v>22507.378621259999</v>
      </c>
      <c r="L61" s="187"/>
      <c r="T61" s="208" t="s">
        <v>1170</v>
      </c>
      <c r="V61" s="222">
        <v>11375</v>
      </c>
      <c r="X61" s="1">
        <f t="shared" si="1"/>
        <v>11375</v>
      </c>
      <c r="AI61" s="300" t="s">
        <v>1189</v>
      </c>
      <c r="AJ61" s="1" t="e">
        <f>SUM(AJ53:AJ60)</f>
        <v>#REF!</v>
      </c>
    </row>
    <row r="62" spans="1:36">
      <c r="A62" s="8" t="str">
        <f>+T56</f>
        <v>Other Third Party Costs</v>
      </c>
      <c r="F62" s="1">
        <f>+V69</f>
        <v>146419</v>
      </c>
      <c r="L62" s="187"/>
      <c r="T62" s="340" t="s">
        <v>954</v>
      </c>
      <c r="V62" s="222">
        <v>15000</v>
      </c>
      <c r="X62" s="1">
        <f t="shared" si="1"/>
        <v>15000</v>
      </c>
    </row>
    <row r="63" spans="1:36">
      <c r="A63" s="100" t="s">
        <v>320</v>
      </c>
      <c r="B63" s="7"/>
      <c r="C63" s="7"/>
      <c r="D63" s="262"/>
      <c r="E63" s="263">
        <f>SUM(F63/E27)</f>
        <v>0</v>
      </c>
      <c r="F63" s="57">
        <f>+V85</f>
        <v>0</v>
      </c>
      <c r="L63" s="287"/>
      <c r="T63" s="334" t="s">
        <v>955</v>
      </c>
      <c r="V63" s="222">
        <v>51144</v>
      </c>
      <c r="X63" s="1">
        <f t="shared" si="1"/>
        <v>51144</v>
      </c>
    </row>
    <row r="64" spans="1:36">
      <c r="A64" s="1" t="s">
        <v>44</v>
      </c>
      <c r="F64" s="1">
        <f>SUM(F59:F63)</f>
        <v>172926.37862126</v>
      </c>
      <c r="L64" s="187"/>
      <c r="T64" s="334" t="s">
        <v>1171</v>
      </c>
      <c r="V64" s="389">
        <v>15700</v>
      </c>
      <c r="X64" s="1">
        <f t="shared" si="1"/>
        <v>15700</v>
      </c>
      <c r="AI64" s="1" t="s">
        <v>707</v>
      </c>
      <c r="AJ64" s="1">
        <f>+H71</f>
        <v>0</v>
      </c>
    </row>
    <row r="65" spans="1:36">
      <c r="L65" s="187"/>
      <c r="T65" s="334" t="s">
        <v>1172</v>
      </c>
      <c r="U65" s="300" t="s">
        <v>1173</v>
      </c>
      <c r="V65" s="222">
        <v>3700</v>
      </c>
      <c r="X65" s="1">
        <f t="shared" si="1"/>
        <v>3700</v>
      </c>
    </row>
    <row r="66" spans="1:36">
      <c r="A66" s="1" t="s">
        <v>45</v>
      </c>
      <c r="L66" s="187"/>
      <c r="T66" s="334" t="s">
        <v>1036</v>
      </c>
      <c r="V66" s="222">
        <v>5000</v>
      </c>
      <c r="Y66" s="1">
        <f>+V66</f>
        <v>5000</v>
      </c>
    </row>
    <row r="67" spans="1:36">
      <c r="A67" s="8" t="s">
        <v>46</v>
      </c>
      <c r="H67" s="253">
        <f>+'Proforma (Application)'!D55</f>
        <v>0</v>
      </c>
      <c r="L67" s="187"/>
      <c r="T67" s="208" t="s">
        <v>1174</v>
      </c>
      <c r="U67" s="300" t="s">
        <v>1175</v>
      </c>
      <c r="V67" s="222">
        <v>15000</v>
      </c>
      <c r="X67" s="1">
        <f t="shared" si="1"/>
        <v>15000</v>
      </c>
      <c r="AI67" s="300" t="s">
        <v>1190</v>
      </c>
      <c r="AJ67" s="1">
        <f>+AJ5</f>
        <v>4000000</v>
      </c>
    </row>
    <row r="68" spans="1:36">
      <c r="A68" s="8" t="s">
        <v>769</v>
      </c>
      <c r="H68" s="2">
        <v>45000</v>
      </c>
      <c r="L68" s="187"/>
      <c r="T68" s="208"/>
      <c r="V68" s="331"/>
      <c r="X68" s="2"/>
      <c r="Y68" s="2"/>
    </row>
    <row r="69" spans="1:36">
      <c r="A69" s="1" t="s">
        <v>48</v>
      </c>
      <c r="H69" s="1">
        <f>SUM(H67:H68)</f>
        <v>45000</v>
      </c>
      <c r="L69" s="187"/>
      <c r="T69" s="208"/>
      <c r="V69" s="222">
        <f>SUM(V58:V68)</f>
        <v>146419</v>
      </c>
      <c r="X69" s="1">
        <f t="shared" ref="X69:Y69" si="2">SUM(X58:X68)</f>
        <v>141419</v>
      </c>
      <c r="Y69" s="1">
        <f t="shared" si="2"/>
        <v>5000</v>
      </c>
      <c r="AI69" s="300" t="s">
        <v>1191</v>
      </c>
      <c r="AJ69" s="1" t="e">
        <f>+AJ32+AJ48+AJ61+AJ64+AJ67+AJ19</f>
        <v>#REF!</v>
      </c>
    </row>
    <row r="70" spans="1:36">
      <c r="L70" s="187"/>
      <c r="M70" s="5"/>
      <c r="T70" s="333"/>
      <c r="U70" s="2"/>
      <c r="V70" s="331"/>
    </row>
    <row r="71" spans="1:36">
      <c r="A71" s="1" t="s">
        <v>305</v>
      </c>
      <c r="E71" s="94">
        <v>0.106</v>
      </c>
      <c r="H71" s="1">
        <f>+'Sources &amp; Uses'!H67</f>
        <v>0</v>
      </c>
      <c r="L71" s="187"/>
      <c r="O71" s="251"/>
      <c r="T71" s="527" t="s">
        <v>31</v>
      </c>
      <c r="U71" s="528"/>
      <c r="V71" s="529"/>
    </row>
    <row r="72" spans="1:36">
      <c r="A72" s="1" t="s">
        <v>306</v>
      </c>
      <c r="E72" s="95">
        <v>0.08</v>
      </c>
      <c r="H72" s="1">
        <f>SUM(H20*E72)</f>
        <v>0</v>
      </c>
      <c r="L72" s="187"/>
      <c r="T72" s="374"/>
      <c r="U72" s="375"/>
      <c r="V72" s="376"/>
    </row>
    <row r="73" spans="1:36">
      <c r="L73" s="187"/>
      <c r="T73" s="334" t="s">
        <v>1134</v>
      </c>
      <c r="V73" s="222">
        <v>25000</v>
      </c>
    </row>
    <row r="74" spans="1:36">
      <c r="A74" s="1" t="s">
        <v>598</v>
      </c>
      <c r="L74" s="187"/>
      <c r="T74" s="334"/>
      <c r="U74" s="13"/>
      <c r="V74" s="222"/>
    </row>
    <row r="75" spans="1:36">
      <c r="A75" s="284" t="s">
        <v>957</v>
      </c>
      <c r="F75" s="1">
        <v>0</v>
      </c>
      <c r="L75" s="187"/>
      <c r="T75" s="334"/>
      <c r="V75" s="331"/>
    </row>
    <row r="76" spans="1:36">
      <c r="A76" s="8" t="s">
        <v>49</v>
      </c>
      <c r="F76" s="2">
        <v>0</v>
      </c>
      <c r="L76" s="187"/>
      <c r="T76" s="334" t="s">
        <v>1067</v>
      </c>
      <c r="V76" s="222">
        <f>SUM(V73:V75)</f>
        <v>25000</v>
      </c>
    </row>
    <row r="77" spans="1:36">
      <c r="A77" s="1" t="s">
        <v>50</v>
      </c>
      <c r="F77" s="1">
        <f>SUM(F75:F76)</f>
        <v>0</v>
      </c>
      <c r="L77" s="187"/>
      <c r="T77" s="333"/>
      <c r="U77" s="2"/>
      <c r="V77" s="331"/>
    </row>
    <row r="78" spans="1:36">
      <c r="F78" s="2"/>
      <c r="H78" s="2"/>
      <c r="L78" s="187"/>
      <c r="T78" s="208"/>
      <c r="V78" s="222"/>
    </row>
    <row r="79" spans="1:36" ht="13.5" thickBot="1">
      <c r="A79" s="5" t="s">
        <v>54</v>
      </c>
      <c r="F79" s="1" t="e">
        <f>SUM(+F77+F64+F56+F49+F39+F30+F24)</f>
        <v>#REF!</v>
      </c>
      <c r="H79" s="1">
        <f>SUM(H19+H20+H69+H72+H71)</f>
        <v>45000</v>
      </c>
      <c r="I79" s="4" t="e">
        <f>SUM(F79:H79)</f>
        <v>#REF!</v>
      </c>
      <c r="L79" s="187"/>
      <c r="T79" s="527" t="s">
        <v>1040</v>
      </c>
      <c r="U79" s="528"/>
      <c r="V79" s="529"/>
    </row>
    <row r="80" spans="1:36" ht="13.5" thickTop="1">
      <c r="L80" s="187"/>
      <c r="T80" s="208"/>
      <c r="V80" s="222"/>
    </row>
    <row r="81" spans="1:22">
      <c r="A81" s="1" t="s">
        <v>51</v>
      </c>
      <c r="B81" s="1">
        <f>+Rent!C44</f>
        <v>72</v>
      </c>
      <c r="L81" s="187"/>
      <c r="T81" s="334" t="s">
        <v>1068</v>
      </c>
      <c r="V81" s="222">
        <v>0</v>
      </c>
    </row>
    <row r="82" spans="1:22">
      <c r="A82" s="1" t="s">
        <v>311</v>
      </c>
      <c r="I82" s="1" t="e">
        <f>I79/B81</f>
        <v>#REF!</v>
      </c>
      <c r="L82" s="187"/>
      <c r="T82" s="334" t="s">
        <v>1065</v>
      </c>
      <c r="V82" s="222"/>
    </row>
    <row r="83" spans="1:22">
      <c r="A83" s="1" t="s">
        <v>312</v>
      </c>
      <c r="I83" s="1" t="e">
        <f>SUM(I79/B81)</f>
        <v>#REF!</v>
      </c>
      <c r="L83" s="187"/>
      <c r="M83" s="52"/>
      <c r="T83" s="334" t="s">
        <v>1041</v>
      </c>
      <c r="V83" s="222">
        <v>0</v>
      </c>
    </row>
    <row r="84" spans="1:22">
      <c r="A84" s="1" t="s">
        <v>52</v>
      </c>
      <c r="I84" s="1" t="e">
        <f>I79-K11</f>
        <v>#REF!</v>
      </c>
      <c r="L84" s="187"/>
      <c r="T84" s="208"/>
      <c r="V84" s="222"/>
    </row>
    <row r="85" spans="1:22">
      <c r="A85" s="1" t="s">
        <v>53</v>
      </c>
      <c r="I85" s="1" t="e">
        <f>K14-I79</f>
        <v>#REF!</v>
      </c>
      <c r="L85" s="187"/>
      <c r="T85" s="334" t="s">
        <v>1042</v>
      </c>
      <c r="V85" s="222">
        <f>SUM(V81:V84)</f>
        <v>0</v>
      </c>
    </row>
    <row r="86" spans="1:22">
      <c r="A86" s="1" t="s">
        <v>55</v>
      </c>
      <c r="H86" s="9">
        <v>0.1</v>
      </c>
      <c r="L86" s="187"/>
      <c r="T86" s="208"/>
      <c r="V86" s="222"/>
    </row>
    <row r="87" spans="1:22">
      <c r="A87" s="1" t="s">
        <v>56</v>
      </c>
      <c r="H87" s="9" t="e">
        <f>SUM(H71/F79)</f>
        <v>#REF!</v>
      </c>
      <c r="L87" s="187"/>
      <c r="T87" s="530"/>
      <c r="U87" s="531"/>
      <c r="V87" s="532"/>
    </row>
    <row r="88" spans="1:22">
      <c r="A88" s="1" t="s">
        <v>57</v>
      </c>
      <c r="H88" s="286">
        <f>+V17</f>
        <v>61809.305555555555</v>
      </c>
      <c r="L88" s="187"/>
      <c r="T88" s="208"/>
      <c r="V88" s="222"/>
    </row>
    <row r="89" spans="1:22">
      <c r="A89" s="300" t="s">
        <v>1032</v>
      </c>
      <c r="H89" s="1">
        <f>+'Construction Breakdown (PBC)'!C4</f>
        <v>328000</v>
      </c>
      <c r="L89" s="187"/>
      <c r="T89" s="334" t="s">
        <v>1159</v>
      </c>
      <c r="V89" s="222" t="e">
        <f>+I10+M13</f>
        <v>#REF!</v>
      </c>
    </row>
    <row r="90" spans="1:22">
      <c r="A90" s="1" t="s">
        <v>376</v>
      </c>
      <c r="H90" s="13">
        <f>SUM(E27/H89)</f>
        <v>16.309966756097563</v>
      </c>
      <c r="L90" s="187"/>
      <c r="T90" s="334" t="s">
        <v>1161</v>
      </c>
      <c r="V90" s="467" t="e">
        <f>+V89/H71</f>
        <v>#REF!</v>
      </c>
    </row>
    <row r="91" spans="1:22">
      <c r="L91" s="187"/>
      <c r="T91" s="334" t="s">
        <v>1162</v>
      </c>
      <c r="U91" s="9"/>
      <c r="V91" s="222" t="e">
        <f>+H71-V89</f>
        <v>#REF!</v>
      </c>
    </row>
    <row r="92" spans="1:22" hidden="1">
      <c r="A92" s="1" t="s">
        <v>375</v>
      </c>
      <c r="H92" s="1">
        <v>150000</v>
      </c>
      <c r="T92" s="208"/>
      <c r="V92" s="222"/>
    </row>
    <row r="93" spans="1:22" hidden="1">
      <c r="A93" s="1" t="s">
        <v>377</v>
      </c>
      <c r="H93" s="9" t="e">
        <f>+'Intermediary Cost'!F22</f>
        <v>#REF!</v>
      </c>
      <c r="T93" s="208"/>
      <c r="V93" s="222"/>
    </row>
    <row r="94" spans="1:22">
      <c r="T94" s="334" t="s">
        <v>1163</v>
      </c>
      <c r="V94" s="467" t="e">
        <f>+V91/H71</f>
        <v>#REF!</v>
      </c>
    </row>
    <row r="95" spans="1:22" hidden="1">
      <c r="A95" s="7" t="s">
        <v>690</v>
      </c>
      <c r="T95" s="208"/>
      <c r="V95" s="222"/>
    </row>
    <row r="96" spans="1:22" hidden="1">
      <c r="T96" s="208"/>
      <c r="V96" s="222"/>
    </row>
    <row r="97" spans="1:22" hidden="1">
      <c r="A97" s="7" t="s">
        <v>399</v>
      </c>
      <c r="F97" s="1" t="e">
        <f>+I79</f>
        <v>#REF!</v>
      </c>
      <c r="T97" s="208"/>
      <c r="V97" s="222"/>
    </row>
    <row r="98" spans="1:22" hidden="1">
      <c r="A98" s="7" t="s">
        <v>691</v>
      </c>
      <c r="F98" s="1">
        <f>-H69</f>
        <v>-45000</v>
      </c>
      <c r="T98" s="208"/>
      <c r="V98" s="222"/>
    </row>
    <row r="99" spans="1:22" hidden="1">
      <c r="A99" s="7" t="s">
        <v>653</v>
      </c>
      <c r="F99" s="1" t="e">
        <f>+F97+F98</f>
        <v>#REF!</v>
      </c>
      <c r="T99" s="208"/>
      <c r="V99" s="222"/>
    </row>
    <row r="100" spans="1:22" hidden="1">
      <c r="A100" s="7" t="s">
        <v>692</v>
      </c>
      <c r="F100" s="1">
        <v>-300000</v>
      </c>
      <c r="T100" s="208"/>
      <c r="V100" s="222"/>
    </row>
    <row r="101" spans="1:22" hidden="1">
      <c r="T101" s="208"/>
      <c r="V101" s="222"/>
    </row>
    <row r="102" spans="1:22" hidden="1">
      <c r="A102" s="7" t="s">
        <v>399</v>
      </c>
      <c r="F102" s="1" t="e">
        <f>+F99+F100</f>
        <v>#REF!</v>
      </c>
      <c r="T102" s="208"/>
      <c r="V102" s="222"/>
    </row>
    <row r="103" spans="1:22" hidden="1">
      <c r="B103" s="1">
        <v>125000</v>
      </c>
      <c r="C103" s="13">
        <v>0.9</v>
      </c>
      <c r="D103" s="1">
        <f>+C103*B103</f>
        <v>112500</v>
      </c>
      <c r="F103" s="1" t="e">
        <f>+F102/B81</f>
        <v>#REF!</v>
      </c>
      <c r="T103" s="208"/>
      <c r="V103" s="222"/>
    </row>
    <row r="104" spans="1:22" hidden="1">
      <c r="T104" s="208"/>
      <c r="V104" s="222"/>
    </row>
    <row r="105" spans="1:22" hidden="1">
      <c r="A105" s="1" t="s">
        <v>399</v>
      </c>
      <c r="B105" s="1" t="e">
        <f>+I79</f>
        <v>#REF!</v>
      </c>
      <c r="F105" s="1" t="e">
        <f>+D103-F103</f>
        <v>#REF!</v>
      </c>
      <c r="T105" s="208"/>
      <c r="V105" s="222"/>
    </row>
    <row r="106" spans="1:22" hidden="1">
      <c r="F106" s="52" t="e">
        <f>+F105*B81</f>
        <v>#REF!</v>
      </c>
      <c r="T106" s="208"/>
      <c r="V106" s="222"/>
    </row>
    <row r="107" spans="1:22" hidden="1">
      <c r="A107" s="13">
        <v>0.04</v>
      </c>
      <c r="B107" s="1" t="e">
        <f>SUM(B105*A107)</f>
        <v>#REF!</v>
      </c>
      <c r="T107" s="208"/>
      <c r="V107" s="222"/>
    </row>
    <row r="108" spans="1:22" hidden="1">
      <c r="A108" s="13">
        <v>7.0000000000000007E-2</v>
      </c>
      <c r="B108" s="1" t="e">
        <f>SUM(B105*A108)</f>
        <v>#REF!</v>
      </c>
      <c r="T108" s="208"/>
      <c r="V108" s="222"/>
    </row>
    <row r="109" spans="1:22" hidden="1">
      <c r="A109" s="13"/>
      <c r="T109" s="208"/>
      <c r="V109" s="222"/>
    </row>
    <row r="110" spans="1:22" hidden="1">
      <c r="T110" s="208"/>
      <c r="V110" s="222"/>
    </row>
    <row r="111" spans="1:22">
      <c r="T111" s="333"/>
      <c r="U111" s="2"/>
      <c r="V111" s="331"/>
    </row>
    <row r="112" spans="1:22" hidden="1">
      <c r="A112" s="1" t="s">
        <v>706</v>
      </c>
    </row>
    <row r="113" spans="1:2" hidden="1">
      <c r="A113" s="52"/>
    </row>
    <row r="114" spans="1:2" hidden="1">
      <c r="A114" s="1" t="s">
        <v>707</v>
      </c>
      <c r="B114" s="1">
        <f>+H71</f>
        <v>0</v>
      </c>
    </row>
    <row r="115" spans="1:2" hidden="1">
      <c r="A115" s="1" t="s">
        <v>22</v>
      </c>
      <c r="B115" s="1">
        <v>0</v>
      </c>
    </row>
    <row r="116" spans="1:2" hidden="1">
      <c r="A116" s="5"/>
    </row>
    <row r="117" spans="1:2" hidden="1">
      <c r="A117" s="1" t="s">
        <v>91</v>
      </c>
      <c r="B117" s="1">
        <f>SUM(B114:B116)</f>
        <v>0</v>
      </c>
    </row>
    <row r="118" spans="1:2" hidden="1">
      <c r="A118" s="1" t="s">
        <v>708</v>
      </c>
      <c r="B118" s="1" t="e">
        <f>-I10-M13</f>
        <v>#REF!</v>
      </c>
    </row>
    <row r="119" spans="1:2" hidden="1">
      <c r="A119" s="1" t="s">
        <v>709</v>
      </c>
      <c r="B119" s="1" t="e">
        <f>SUM(B117:B118)</f>
        <v>#REF!</v>
      </c>
    </row>
    <row r="120" spans="1:2" hidden="1">
      <c r="A120" s="1" t="s">
        <v>710</v>
      </c>
      <c r="B120" s="1" t="e">
        <f>SUM(B119/B81)</f>
        <v>#REF!</v>
      </c>
    </row>
    <row r="121" spans="1:2" hidden="1"/>
    <row r="122" spans="1:2" hidden="1"/>
  </sheetData>
  <mergeCells count="11">
    <mergeCell ref="T48:V48"/>
    <mergeCell ref="T56:V56"/>
    <mergeCell ref="T71:V71"/>
    <mergeCell ref="T79:V79"/>
    <mergeCell ref="T87:V87"/>
    <mergeCell ref="AA46:AD46"/>
    <mergeCell ref="T2:V2"/>
    <mergeCell ref="T24:V24"/>
    <mergeCell ref="T29:V29"/>
    <mergeCell ref="T34:V34"/>
    <mergeCell ref="T39:V39"/>
  </mergeCells>
  <pageMargins left="0.7" right="0.7" top="0.75" bottom="0.75" header="0.3" footer="0.3"/>
  <pageSetup scale="5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3:R90"/>
  <sheetViews>
    <sheetView workbookViewId="0"/>
  </sheetViews>
  <sheetFormatPr defaultRowHeight="12.75"/>
  <cols>
    <col min="1" max="1" width="28.140625" customWidth="1"/>
    <col min="2" max="2" width="11" hidden="1" customWidth="1"/>
    <col min="3" max="3" width="10" hidden="1" customWidth="1"/>
    <col min="4" max="4" width="11.42578125" hidden="1" customWidth="1"/>
    <col min="5" max="5" width="9.85546875" hidden="1" customWidth="1"/>
    <col min="6" max="6" width="11.85546875" hidden="1" customWidth="1"/>
    <col min="7" max="7" width="0" hidden="1" customWidth="1"/>
    <col min="8" max="8" width="2.85546875" customWidth="1"/>
    <col min="9" max="9" width="12.85546875" customWidth="1"/>
    <col min="10" max="10" width="3.140625" customWidth="1"/>
    <col min="11" max="11" width="16.28515625" customWidth="1"/>
    <col min="12" max="12" width="6.5703125" customWidth="1"/>
    <col min="13" max="13" width="63.28515625" customWidth="1"/>
    <col min="14" max="14" width="14" customWidth="1"/>
  </cols>
  <sheetData>
    <row r="3" spans="1:18">
      <c r="O3" s="306" t="s">
        <v>1026</v>
      </c>
      <c r="P3" s="306" t="s">
        <v>1027</v>
      </c>
      <c r="Q3" s="306" t="s">
        <v>1028</v>
      </c>
      <c r="R3" s="306" t="s">
        <v>91</v>
      </c>
    </row>
    <row r="4" spans="1:18">
      <c r="M4" s="293" t="s">
        <v>1025</v>
      </c>
      <c r="O4">
        <v>213</v>
      </c>
      <c r="P4">
        <v>213</v>
      </c>
      <c r="Q4">
        <v>174</v>
      </c>
      <c r="R4">
        <f>SUM(O4:Q4)</f>
        <v>600</v>
      </c>
    </row>
    <row r="5" spans="1:18">
      <c r="M5" s="293" t="s">
        <v>1029</v>
      </c>
      <c r="R5" s="1">
        <f>+'Sources &amp; Uses'!E1</f>
        <v>72</v>
      </c>
    </row>
    <row r="6" spans="1:18">
      <c r="N6" s="306" t="s">
        <v>1030</v>
      </c>
    </row>
    <row r="7" spans="1:18">
      <c r="B7" s="533" t="s">
        <v>530</v>
      </c>
      <c r="C7" s="534"/>
      <c r="D7" s="533" t="s">
        <v>1003</v>
      </c>
      <c r="E7" s="534"/>
      <c r="F7" s="533" t="s">
        <v>1004</v>
      </c>
      <c r="G7" s="534"/>
      <c r="I7" s="89" t="s">
        <v>91</v>
      </c>
      <c r="N7" s="304" t="s">
        <v>298</v>
      </c>
    </row>
    <row r="8" spans="1:18">
      <c r="A8" s="343" t="s">
        <v>962</v>
      </c>
      <c r="B8" s="344" t="s">
        <v>963</v>
      </c>
      <c r="C8" s="344" t="s">
        <v>964</v>
      </c>
      <c r="D8" s="344" t="s">
        <v>963</v>
      </c>
      <c r="E8" s="344" t="s">
        <v>964</v>
      </c>
      <c r="F8" s="344" t="s">
        <v>963</v>
      </c>
      <c r="G8" s="344" t="s">
        <v>964</v>
      </c>
      <c r="I8" s="372" t="s">
        <v>1014</v>
      </c>
    </row>
    <row r="9" spans="1:18">
      <c r="A9" s="345" t="s">
        <v>965</v>
      </c>
      <c r="B9" s="346"/>
      <c r="C9" s="346"/>
      <c r="D9" s="346"/>
      <c r="E9" s="346"/>
      <c r="F9" s="346"/>
      <c r="G9" s="346"/>
    </row>
    <row r="10" spans="1:18">
      <c r="A10" s="347" t="s">
        <v>966</v>
      </c>
      <c r="B10" s="348"/>
      <c r="C10" s="349">
        <f>IF($B$70&gt;0,B10/$B$70,B10/1)</f>
        <v>0</v>
      </c>
      <c r="D10" s="348"/>
      <c r="E10" s="349">
        <f t="shared" ref="E10:E11" si="0">IF($D$70&gt;0,D10/$D$70,D10/1)</f>
        <v>0</v>
      </c>
      <c r="F10" s="355"/>
      <c r="G10" s="349">
        <f>IF($F$70&gt;0,F10/$F$70,F10/1)</f>
        <v>0</v>
      </c>
      <c r="I10" s="49">
        <f>SUM(B10+D10+F10)</f>
        <v>0</v>
      </c>
    </row>
    <row r="11" spans="1:18">
      <c r="A11" s="347" t="s">
        <v>967</v>
      </c>
      <c r="B11" s="348">
        <v>250000</v>
      </c>
      <c r="C11" s="349">
        <f>IF($B$70&gt;0,B11/$B$70,B11/1)</f>
        <v>5.4224871897210524E-3</v>
      </c>
      <c r="D11" s="348">
        <v>0</v>
      </c>
      <c r="E11" s="349">
        <f t="shared" si="0"/>
        <v>0</v>
      </c>
      <c r="F11" s="355">
        <v>0</v>
      </c>
      <c r="G11" s="349">
        <f>IF($F$70&gt;0,F11/$F$70,F11/1)</f>
        <v>0</v>
      </c>
      <c r="I11" s="49">
        <f>SUM(B11+D11+F11)</f>
        <v>250000</v>
      </c>
      <c r="K11" s="49">
        <f>+I11</f>
        <v>250000</v>
      </c>
    </row>
    <row r="12" spans="1:18">
      <c r="A12" s="345" t="s">
        <v>918</v>
      </c>
      <c r="B12" s="346"/>
      <c r="C12" s="346"/>
      <c r="D12" s="346"/>
      <c r="E12" s="346"/>
      <c r="F12" s="356"/>
      <c r="G12" s="346"/>
    </row>
    <row r="13" spans="1:18">
      <c r="A13" s="347" t="s">
        <v>919</v>
      </c>
      <c r="B13" s="348">
        <v>0</v>
      </c>
      <c r="C13" s="349">
        <f t="shared" ref="C13:C15" si="1">IF($B$70&gt;0,B13/$B$70,B13/1)</f>
        <v>0</v>
      </c>
      <c r="D13" s="348">
        <v>0</v>
      </c>
      <c r="E13" s="349">
        <f t="shared" ref="E13:E15" si="2">IF($D$70&gt;0,D13/$D$70,D13/1)</f>
        <v>0</v>
      </c>
      <c r="F13" s="355">
        <v>0</v>
      </c>
      <c r="G13" s="349">
        <f t="shared" ref="G13:G15" si="3">IF($F$70&gt;0,F13/$F$70,F13/1)</f>
        <v>0</v>
      </c>
      <c r="I13" s="49">
        <f t="shared" ref="I13:I15" si="4">SUM(B13+D13+F13)</f>
        <v>0</v>
      </c>
    </row>
    <row r="14" spans="1:18">
      <c r="A14" s="347" t="s">
        <v>968</v>
      </c>
      <c r="B14" s="348">
        <v>1217200</v>
      </c>
      <c r="C14" s="349">
        <f t="shared" si="1"/>
        <v>2.6401005629313863E-2</v>
      </c>
      <c r="D14" s="348">
        <v>1278060</v>
      </c>
      <c r="E14" s="349">
        <f t="shared" si="2"/>
        <v>2.7117909852183882E-2</v>
      </c>
      <c r="F14" s="355">
        <f>(1217200*1.1)*0.82</f>
        <v>1097914.3999999999</v>
      </c>
      <c r="G14" s="349">
        <f t="shared" si="3"/>
        <v>2.7055514010238334E-2</v>
      </c>
      <c r="I14" s="49">
        <f t="shared" si="4"/>
        <v>3593174.4</v>
      </c>
      <c r="K14" s="371"/>
      <c r="L14" s="371"/>
      <c r="M14" t="s">
        <v>1013</v>
      </c>
    </row>
    <row r="15" spans="1:18">
      <c r="A15" s="347" t="s">
        <v>969</v>
      </c>
      <c r="B15" s="348"/>
      <c r="C15" s="349">
        <f t="shared" si="1"/>
        <v>0</v>
      </c>
      <c r="D15" s="348"/>
      <c r="E15" s="349">
        <f t="shared" si="2"/>
        <v>0</v>
      </c>
      <c r="F15" s="355"/>
      <c r="G15" s="349">
        <f t="shared" si="3"/>
        <v>0</v>
      </c>
      <c r="I15" s="49">
        <f t="shared" si="4"/>
        <v>0</v>
      </c>
      <c r="K15" s="371"/>
      <c r="L15" s="371"/>
      <c r="M15" t="s">
        <v>1013</v>
      </c>
    </row>
    <row r="16" spans="1:18">
      <c r="A16" s="345" t="s">
        <v>922</v>
      </c>
      <c r="B16" s="346"/>
      <c r="C16" s="346"/>
      <c r="D16" s="346"/>
      <c r="E16" s="346"/>
      <c r="F16" s="356"/>
      <c r="G16" s="346"/>
      <c r="K16" s="371"/>
      <c r="L16" s="371"/>
      <c r="M16" t="s">
        <v>1013</v>
      </c>
    </row>
    <row r="17" spans="1:14">
      <c r="A17" s="347" t="s">
        <v>923</v>
      </c>
      <c r="B17" s="348"/>
      <c r="C17" s="349">
        <f t="shared" ref="C17:C27" si="5">IF($B$70&gt;0,B17/$B$70,B17/1)</f>
        <v>0</v>
      </c>
      <c r="D17" s="348"/>
      <c r="E17" s="349">
        <f t="shared" ref="E17:E27" si="6">IF($D$70&gt;0,D17/$D$70,D17/1)</f>
        <v>0</v>
      </c>
      <c r="F17" s="355"/>
      <c r="G17" s="349">
        <f t="shared" ref="G17:G27" si="7">IF($F$70&gt;0,F17/$F$70,F17/1)</f>
        <v>0</v>
      </c>
      <c r="I17" s="49">
        <f t="shared" ref="I17:I27" si="8">SUM(B17+D17+F17)</f>
        <v>0</v>
      </c>
      <c r="K17" s="371"/>
      <c r="L17" s="371"/>
      <c r="M17" t="s">
        <v>1013</v>
      </c>
    </row>
    <row r="18" spans="1:14">
      <c r="A18" s="347" t="s">
        <v>924</v>
      </c>
      <c r="B18" s="350">
        <v>29010676</v>
      </c>
      <c r="C18" s="349">
        <f t="shared" si="5"/>
        <v>0.62924007590059194</v>
      </c>
      <c r="D18" s="350">
        <v>30461210</v>
      </c>
      <c r="E18" s="349">
        <f t="shared" si="6"/>
        <v>0.64632673487038339</v>
      </c>
      <c r="F18" s="357">
        <f>(29010676*1.1)*0.82</f>
        <v>26167629.752</v>
      </c>
      <c r="G18" s="349">
        <f t="shared" si="7"/>
        <v>0.64483959165665883</v>
      </c>
      <c r="I18" s="49">
        <f t="shared" si="8"/>
        <v>85639515.752000004</v>
      </c>
      <c r="K18" s="371"/>
      <c r="L18" s="371"/>
      <c r="M18" t="s">
        <v>1013</v>
      </c>
    </row>
    <row r="19" spans="1:14">
      <c r="A19" s="347" t="s">
        <v>19</v>
      </c>
      <c r="B19" s="350">
        <v>2531830</v>
      </c>
      <c r="C19" s="349">
        <f t="shared" si="5"/>
        <v>5.4915262966205809E-2</v>
      </c>
      <c r="D19" s="350">
        <v>1827673</v>
      </c>
      <c r="E19" s="349">
        <f t="shared" si="6"/>
        <v>3.8779612579433256E-2</v>
      </c>
      <c r="F19" s="357">
        <f>F18*0.06</f>
        <v>1570057.7851199999</v>
      </c>
      <c r="G19" s="349">
        <f t="shared" si="7"/>
        <v>3.8690375499399521E-2</v>
      </c>
      <c r="I19" s="49">
        <f t="shared" si="8"/>
        <v>5929560.7851200001</v>
      </c>
      <c r="K19" s="371"/>
      <c r="L19" s="371"/>
      <c r="M19" t="s">
        <v>1013</v>
      </c>
    </row>
    <row r="20" spans="1:14">
      <c r="A20" s="347" t="s">
        <v>926</v>
      </c>
      <c r="B20" s="350">
        <v>596000</v>
      </c>
      <c r="C20" s="349">
        <f t="shared" si="5"/>
        <v>1.292720946029499E-2</v>
      </c>
      <c r="D20" s="350">
        <v>609224</v>
      </c>
      <c r="E20" s="349">
        <f t="shared" si="6"/>
        <v>1.2926530453802539E-2</v>
      </c>
      <c r="F20" s="357">
        <f>F18*0.02</f>
        <v>523352.59504000004</v>
      </c>
      <c r="G20" s="349">
        <f t="shared" si="7"/>
        <v>1.2896791833133176E-2</v>
      </c>
      <c r="I20" s="49">
        <f t="shared" si="8"/>
        <v>1728576.59504</v>
      </c>
      <c r="K20" s="371"/>
      <c r="L20" s="371"/>
      <c r="M20" t="s">
        <v>1013</v>
      </c>
    </row>
    <row r="21" spans="1:14">
      <c r="A21" s="347" t="s">
        <v>927</v>
      </c>
      <c r="B21" s="350">
        <v>1450534</v>
      </c>
      <c r="C21" s="349">
        <f t="shared" si="5"/>
        <v>3.1462008133019352E-2</v>
      </c>
      <c r="D21" s="350">
        <v>1523060</v>
      </c>
      <c r="E21" s="349">
        <f t="shared" si="6"/>
        <v>3.231632613450635E-2</v>
      </c>
      <c r="F21" s="357">
        <f>F18*0.05</f>
        <v>1308381.4876000001</v>
      </c>
      <c r="G21" s="349">
        <f t="shared" si="7"/>
        <v>3.2241979582832939E-2</v>
      </c>
      <c r="I21" s="49">
        <f t="shared" si="8"/>
        <v>4281975.4876000006</v>
      </c>
      <c r="K21" s="371"/>
      <c r="L21" s="371"/>
      <c r="M21" t="s">
        <v>1013</v>
      </c>
    </row>
    <row r="22" spans="1:14">
      <c r="A22" s="347" t="s">
        <v>970</v>
      </c>
      <c r="B22" s="348">
        <v>179050</v>
      </c>
      <c r="C22" s="349">
        <f t="shared" si="5"/>
        <v>3.8835853252782182E-3</v>
      </c>
      <c r="D22" s="348">
        <v>179050</v>
      </c>
      <c r="E22" s="349">
        <f t="shared" si="6"/>
        <v>3.7990874912238268E-3</v>
      </c>
      <c r="F22" s="355">
        <v>150000</v>
      </c>
      <c r="G22" s="349">
        <f t="shared" si="7"/>
        <v>3.696396642156939E-3</v>
      </c>
      <c r="I22" s="49">
        <f t="shared" si="8"/>
        <v>508100</v>
      </c>
      <c r="K22" s="371"/>
      <c r="L22" s="371"/>
      <c r="M22" t="s">
        <v>1013</v>
      </c>
    </row>
    <row r="23" spans="1:14">
      <c r="A23" s="347" t="s">
        <v>320</v>
      </c>
      <c r="B23" s="350">
        <v>2610961</v>
      </c>
      <c r="C23" s="349">
        <f t="shared" si="5"/>
        <v>5.6631610301445076E-2</v>
      </c>
      <c r="D23" s="350">
        <v>2741509</v>
      </c>
      <c r="E23" s="349">
        <f t="shared" si="6"/>
        <v>5.816940826013707E-2</v>
      </c>
      <c r="F23" s="357">
        <f>F18*0.09</f>
        <v>2355086.6776799997</v>
      </c>
      <c r="G23" s="349">
        <f t="shared" si="7"/>
        <v>5.8035563249099281E-2</v>
      </c>
      <c r="I23" s="49">
        <f t="shared" si="8"/>
        <v>7707556.6776799997</v>
      </c>
      <c r="K23" s="371"/>
      <c r="L23" s="371"/>
      <c r="M23" t="s">
        <v>1013</v>
      </c>
    </row>
    <row r="24" spans="1:14">
      <c r="A24" s="347" t="s">
        <v>929</v>
      </c>
      <c r="B24" s="348">
        <v>180120</v>
      </c>
      <c r="C24" s="349">
        <f t="shared" si="5"/>
        <v>3.9067935704502239E-3</v>
      </c>
      <c r="D24" s="348">
        <v>180120</v>
      </c>
      <c r="E24" s="349">
        <f t="shared" si="6"/>
        <v>3.8217907786609086E-3</v>
      </c>
      <c r="F24" s="355">
        <v>150000</v>
      </c>
      <c r="G24" s="349">
        <f t="shared" si="7"/>
        <v>3.696396642156939E-3</v>
      </c>
      <c r="I24" s="49">
        <f t="shared" si="8"/>
        <v>510240</v>
      </c>
      <c r="K24" s="371"/>
      <c r="L24" s="371"/>
      <c r="M24" t="s">
        <v>1013</v>
      </c>
    </row>
    <row r="25" spans="1:14">
      <c r="A25" s="347" t="s">
        <v>930</v>
      </c>
      <c r="B25" s="348">
        <v>956000</v>
      </c>
      <c r="C25" s="349">
        <f t="shared" si="5"/>
        <v>2.0735591013493305E-2</v>
      </c>
      <c r="D25" s="348">
        <v>1003800</v>
      </c>
      <c r="E25" s="349">
        <f t="shared" si="6"/>
        <v>2.1298654139572618E-2</v>
      </c>
      <c r="F25" s="355">
        <f>((478000*2)*1.1)*0.82</f>
        <v>862312</v>
      </c>
      <c r="G25" s="349">
        <f t="shared" si="7"/>
        <v>2.1249647875277562E-2</v>
      </c>
      <c r="I25" s="49">
        <f t="shared" si="8"/>
        <v>2822112</v>
      </c>
      <c r="K25" s="371"/>
      <c r="L25" s="371"/>
      <c r="M25" t="s">
        <v>1013</v>
      </c>
    </row>
    <row r="26" spans="1:14">
      <c r="A26" s="347" t="s">
        <v>971</v>
      </c>
      <c r="B26" s="348"/>
      <c r="C26" s="349">
        <f t="shared" si="5"/>
        <v>0</v>
      </c>
      <c r="D26" s="348"/>
      <c r="E26" s="349">
        <f t="shared" si="6"/>
        <v>0</v>
      </c>
      <c r="F26" s="355"/>
      <c r="G26" s="349">
        <f t="shared" si="7"/>
        <v>0</v>
      </c>
      <c r="I26" s="49">
        <f t="shared" si="8"/>
        <v>0</v>
      </c>
    </row>
    <row r="27" spans="1:14">
      <c r="A27" s="347" t="s">
        <v>972</v>
      </c>
      <c r="B27" s="348"/>
      <c r="C27" s="349">
        <f t="shared" si="5"/>
        <v>0</v>
      </c>
      <c r="D27" s="348"/>
      <c r="E27" s="349">
        <f t="shared" si="6"/>
        <v>0</v>
      </c>
      <c r="F27" s="355"/>
      <c r="G27" s="349">
        <f t="shared" si="7"/>
        <v>0</v>
      </c>
      <c r="I27" s="49">
        <f t="shared" si="8"/>
        <v>0</v>
      </c>
    </row>
    <row r="28" spans="1:14">
      <c r="A28" s="345" t="s">
        <v>973</v>
      </c>
      <c r="B28" s="346"/>
      <c r="C28" s="346"/>
      <c r="D28" s="346"/>
      <c r="E28" s="346"/>
      <c r="F28" s="356"/>
      <c r="G28" s="346"/>
    </row>
    <row r="29" spans="1:14">
      <c r="A29" s="351" t="s">
        <v>974</v>
      </c>
      <c r="B29" s="348">
        <f>B18*0.06</f>
        <v>1740640.5599999998</v>
      </c>
      <c r="C29" s="349">
        <f t="shared" ref="C29:C45" si="9">IF($B$70&gt;0,B29/$B$70,B29/1)</f>
        <v>3.7754404554035517E-2</v>
      </c>
      <c r="D29" s="348">
        <f>D18*0.06</f>
        <v>1827672.5999999999</v>
      </c>
      <c r="E29" s="349">
        <f>IF($D$70&gt;0,D29/$D$70,D29/1)</f>
        <v>3.8779604092223002E-2</v>
      </c>
      <c r="F29" s="355">
        <f>F18*0.06</f>
        <v>1570057.7851199999</v>
      </c>
      <c r="G29" s="349">
        <f t="shared" ref="G29:G37" si="10">IF($F$70&gt;0,F29/$F$70,F29/1)</f>
        <v>3.8690375499399521E-2</v>
      </c>
      <c r="I29" s="49">
        <f t="shared" ref="I29:I37" si="11">SUM(B29+D29+F29)</f>
        <v>5138370.9451199993</v>
      </c>
      <c r="K29" s="52">
        <f>SUM('Sources &amp; Uses'!F24*L29)</f>
        <v>554921.43774551456</v>
      </c>
      <c r="L29" s="349">
        <f>IF($I$70&gt;0,I29/$I$70,I29/1)</f>
        <v>3.8399322702354993E-2</v>
      </c>
      <c r="M29" s="293" t="s">
        <v>1015</v>
      </c>
    </row>
    <row r="30" spans="1:14">
      <c r="A30" s="347" t="s">
        <v>943</v>
      </c>
      <c r="B30" s="348">
        <v>200000</v>
      </c>
      <c r="C30" s="349">
        <f t="shared" si="9"/>
        <v>4.3379897517768426E-3</v>
      </c>
      <c r="D30" s="348">
        <v>200000</v>
      </c>
      <c r="E30" s="349">
        <f>IF($D$70&gt;0,D30/$D$70,D30/1)</f>
        <v>4.2436051284265031E-3</v>
      </c>
      <c r="F30" s="355">
        <v>200000</v>
      </c>
      <c r="G30" s="349">
        <f t="shared" si="10"/>
        <v>4.9285288562092517E-3</v>
      </c>
      <c r="I30" s="49">
        <f t="shared" si="11"/>
        <v>600000</v>
      </c>
      <c r="K30" s="49">
        <f>SUM(R$5*N30)</f>
        <v>72000</v>
      </c>
      <c r="L30" s="349">
        <f t="shared" ref="L30:L37" si="12">IF($I$70&gt;0,I30/$I$70,I30/1)</f>
        <v>4.483832301615768E-3</v>
      </c>
      <c r="M30" s="293" t="s">
        <v>1024</v>
      </c>
      <c r="N30">
        <f>SUM(I30/R$4)</f>
        <v>1000</v>
      </c>
    </row>
    <row r="31" spans="1:14">
      <c r="A31" s="347" t="s">
        <v>959</v>
      </c>
      <c r="B31" s="348">
        <v>132000</v>
      </c>
      <c r="C31" s="349">
        <f t="shared" si="9"/>
        <v>2.8630732361727158E-3</v>
      </c>
      <c r="D31" s="348">
        <v>132000</v>
      </c>
      <c r="E31" s="349">
        <f t="shared" ref="E31:E37" si="13">IF($D$70&gt;0,D31/$D$70,D31/1)</f>
        <v>2.800779384761492E-3</v>
      </c>
      <c r="F31" s="355">
        <v>132000</v>
      </c>
      <c r="G31" s="349">
        <f t="shared" si="10"/>
        <v>3.2528290450981063E-3</v>
      </c>
      <c r="I31" s="49">
        <f t="shared" si="11"/>
        <v>396000</v>
      </c>
      <c r="K31" s="49">
        <f>SUM(R$5*N31)</f>
        <v>47520</v>
      </c>
      <c r="L31" s="349">
        <f t="shared" si="12"/>
        <v>2.9593293190664067E-3</v>
      </c>
      <c r="M31" s="293" t="s">
        <v>1024</v>
      </c>
      <c r="N31">
        <f>SUM(I31/R$4)</f>
        <v>660</v>
      </c>
    </row>
    <row r="32" spans="1:14">
      <c r="A32" s="347" t="s">
        <v>382</v>
      </c>
      <c r="B32" s="352">
        <f>(B18*0.09)</f>
        <v>2610960.84</v>
      </c>
      <c r="C32" s="349">
        <f t="shared" si="9"/>
        <v>5.6631606831053276E-2</v>
      </c>
      <c r="D32" s="352">
        <f>(D18*0.09)</f>
        <v>2741508.9</v>
      </c>
      <c r="E32" s="349">
        <f t="shared" si="13"/>
        <v>5.8169406138334503E-2</v>
      </c>
      <c r="F32" s="358">
        <f>(F18*0.09)</f>
        <v>2355086.6776799997</v>
      </c>
      <c r="G32" s="349">
        <f t="shared" si="10"/>
        <v>5.8035563249099281E-2</v>
      </c>
      <c r="I32" s="49">
        <f t="shared" si="11"/>
        <v>7707556.41768</v>
      </c>
      <c r="K32" s="371"/>
      <c r="L32" s="349">
        <f t="shared" si="12"/>
        <v>5.7598984053532497E-2</v>
      </c>
      <c r="M32" s="293" t="s">
        <v>1017</v>
      </c>
    </row>
    <row r="33" spans="1:14">
      <c r="A33" s="347" t="s">
        <v>956</v>
      </c>
      <c r="B33" s="348">
        <v>50000</v>
      </c>
      <c r="C33" s="349">
        <f t="shared" si="9"/>
        <v>1.0844974379442106E-3</v>
      </c>
      <c r="D33" s="348">
        <v>0</v>
      </c>
      <c r="E33" s="349">
        <f t="shared" si="13"/>
        <v>0</v>
      </c>
      <c r="F33" s="355">
        <v>0</v>
      </c>
      <c r="G33" s="349">
        <f t="shared" si="10"/>
        <v>0</v>
      </c>
      <c r="I33" s="49">
        <f t="shared" si="11"/>
        <v>50000</v>
      </c>
      <c r="K33" s="49">
        <f>SUM(R$5*N33)</f>
        <v>6000</v>
      </c>
      <c r="L33" s="349">
        <f t="shared" si="12"/>
        <v>3.7365269180131402E-4</v>
      </c>
      <c r="N33">
        <f>SUM(I33/R$4)</f>
        <v>83.333333333333329</v>
      </c>
    </row>
    <row r="34" spans="1:14">
      <c r="A34" s="347" t="s">
        <v>37</v>
      </c>
      <c r="B34" s="348">
        <v>5000</v>
      </c>
      <c r="C34" s="349">
        <f t="shared" si="9"/>
        <v>1.0844974379442105E-4</v>
      </c>
      <c r="D34" s="348">
        <v>5000</v>
      </c>
      <c r="E34" s="349">
        <f t="shared" si="13"/>
        <v>1.0609012821066257E-4</v>
      </c>
      <c r="F34" s="355">
        <v>5000</v>
      </c>
      <c r="G34" s="349">
        <f t="shared" si="10"/>
        <v>1.2321322140523131E-4</v>
      </c>
      <c r="I34" s="49">
        <f t="shared" si="11"/>
        <v>15000</v>
      </c>
      <c r="K34">
        <v>25000</v>
      </c>
      <c r="L34" s="349">
        <f t="shared" si="12"/>
        <v>1.120958075403942E-4</v>
      </c>
      <c r="M34" s="293" t="s">
        <v>1018</v>
      </c>
    </row>
    <row r="35" spans="1:14">
      <c r="A35" s="347" t="s">
        <v>975</v>
      </c>
      <c r="B35" s="348">
        <v>25000</v>
      </c>
      <c r="C35" s="349">
        <f t="shared" si="9"/>
        <v>5.4224871897210532E-4</v>
      </c>
      <c r="D35" s="348">
        <v>25000</v>
      </c>
      <c r="E35" s="349">
        <f t="shared" si="13"/>
        <v>5.3045064105331288E-4</v>
      </c>
      <c r="F35" s="355">
        <v>25000</v>
      </c>
      <c r="G35" s="349">
        <f t="shared" si="10"/>
        <v>6.1606610702615646E-4</v>
      </c>
      <c r="I35" s="49">
        <f t="shared" si="11"/>
        <v>75000</v>
      </c>
      <c r="K35" s="49">
        <f>SUM(R$5*N35)</f>
        <v>9000</v>
      </c>
      <c r="L35" s="349">
        <f t="shared" si="12"/>
        <v>5.6047903770197101E-4</v>
      </c>
      <c r="M35" s="293" t="s">
        <v>1024</v>
      </c>
      <c r="N35">
        <f>SUM(I35/R$4)</f>
        <v>125</v>
      </c>
    </row>
    <row r="36" spans="1:14">
      <c r="A36" s="347" t="s">
        <v>954</v>
      </c>
      <c r="B36" s="348">
        <v>12000</v>
      </c>
      <c r="C36" s="349">
        <f t="shared" si="9"/>
        <v>2.6027938510661053E-4</v>
      </c>
      <c r="D36" s="348">
        <v>12000</v>
      </c>
      <c r="E36" s="349">
        <f t="shared" si="13"/>
        <v>2.5461630770559016E-4</v>
      </c>
      <c r="F36" s="355">
        <v>12000</v>
      </c>
      <c r="G36" s="349">
        <f t="shared" si="10"/>
        <v>2.9571173137255512E-4</v>
      </c>
      <c r="I36" s="49">
        <f t="shared" si="11"/>
        <v>36000</v>
      </c>
      <c r="K36" s="49">
        <f t="shared" ref="K36:K37" si="14">SUM(R$5*N36)</f>
        <v>4320</v>
      </c>
      <c r="L36" s="349">
        <f t="shared" si="12"/>
        <v>2.690299380969461E-4</v>
      </c>
      <c r="M36" s="293" t="s">
        <v>1024</v>
      </c>
      <c r="N36">
        <f t="shared" ref="N36:N37" si="15">SUM(I36/R$4)</f>
        <v>60</v>
      </c>
    </row>
    <row r="37" spans="1:14">
      <c r="A37" s="347" t="s">
        <v>976</v>
      </c>
      <c r="B37" s="348">
        <v>20000</v>
      </c>
      <c r="C37" s="349">
        <f t="shared" si="9"/>
        <v>4.3379897517768421E-4</v>
      </c>
      <c r="D37" s="348">
        <v>20000</v>
      </c>
      <c r="E37" s="349">
        <f t="shared" si="13"/>
        <v>4.2436051284265027E-4</v>
      </c>
      <c r="F37" s="355">
        <v>20000</v>
      </c>
      <c r="G37" s="349">
        <f t="shared" si="10"/>
        <v>4.9285288562092523E-4</v>
      </c>
      <c r="I37" s="49">
        <f t="shared" si="11"/>
        <v>60000</v>
      </c>
      <c r="K37" s="49">
        <f t="shared" si="14"/>
        <v>7200</v>
      </c>
      <c r="L37" s="349">
        <f t="shared" si="12"/>
        <v>4.4838323016157682E-4</v>
      </c>
      <c r="M37" s="293" t="s">
        <v>1024</v>
      </c>
      <c r="N37">
        <f t="shared" si="15"/>
        <v>100</v>
      </c>
    </row>
    <row r="38" spans="1:14">
      <c r="A38" s="345" t="s">
        <v>977</v>
      </c>
      <c r="B38" s="346"/>
      <c r="C38" s="349">
        <f t="shared" si="9"/>
        <v>0</v>
      </c>
      <c r="D38" s="346"/>
      <c r="E38" s="346"/>
      <c r="F38" s="356"/>
      <c r="G38" s="346"/>
    </row>
    <row r="39" spans="1:14">
      <c r="A39" s="347" t="s">
        <v>978</v>
      </c>
      <c r="B39" s="348">
        <f>500*200</f>
        <v>100000</v>
      </c>
      <c r="C39" s="349">
        <f t="shared" si="9"/>
        <v>2.1689948758884213E-3</v>
      </c>
      <c r="D39" s="348">
        <f>500*200</f>
        <v>100000</v>
      </c>
      <c r="E39" s="349">
        <f t="shared" ref="E39:E45" si="16">IF($D$70&gt;0,D39/$D$70,D39/1)</f>
        <v>2.1218025642132515E-3</v>
      </c>
      <c r="F39" s="355">
        <f>500*200</f>
        <v>100000</v>
      </c>
      <c r="G39" s="349">
        <f t="shared" ref="G39:G45" si="17">IF($F$70&gt;0,F39/$F$70,F39/1)</f>
        <v>2.4642644281046258E-3</v>
      </c>
      <c r="I39" s="49">
        <f t="shared" ref="I39:I45" si="18">SUM(B39+D39+F39)</f>
        <v>300000</v>
      </c>
      <c r="K39" s="49">
        <f>SUM(R$5*N39)</f>
        <v>36000</v>
      </c>
      <c r="L39" s="349">
        <f t="shared" ref="L39:L45" si="19">IF($I$70&gt;0,I39/$I$70,I39/1)</f>
        <v>2.241916150807884E-3</v>
      </c>
      <c r="M39" s="293" t="s">
        <v>1024</v>
      </c>
      <c r="N39">
        <f>SUM(I39/R$4)</f>
        <v>500</v>
      </c>
    </row>
    <row r="40" spans="1:14">
      <c r="A40" s="347" t="s">
        <v>979</v>
      </c>
      <c r="B40" s="348">
        <v>185000</v>
      </c>
      <c r="C40" s="349">
        <f t="shared" si="9"/>
        <v>4.0126405203935794E-3</v>
      </c>
      <c r="D40" s="348">
        <v>185000</v>
      </c>
      <c r="E40" s="349">
        <f t="shared" si="16"/>
        <v>3.9253347437945155E-3</v>
      </c>
      <c r="F40" s="355">
        <v>185000</v>
      </c>
      <c r="G40" s="349">
        <f t="shared" si="17"/>
        <v>4.5588891919935582E-3</v>
      </c>
      <c r="I40" s="49">
        <f t="shared" si="18"/>
        <v>555000</v>
      </c>
      <c r="K40" s="371"/>
      <c r="L40" s="349">
        <f t="shared" si="19"/>
        <v>4.147544878994585E-3</v>
      </c>
      <c r="M40" s="293" t="s">
        <v>1021</v>
      </c>
    </row>
    <row r="41" spans="1:14">
      <c r="A41" s="351" t="s">
        <v>980</v>
      </c>
      <c r="B41" s="348">
        <v>40000</v>
      </c>
      <c r="C41" s="349">
        <f t="shared" si="9"/>
        <v>8.6759795035536841E-4</v>
      </c>
      <c r="D41" s="348">
        <v>40000</v>
      </c>
      <c r="E41" s="349">
        <f t="shared" si="16"/>
        <v>8.4872102568530055E-4</v>
      </c>
      <c r="F41" s="355">
        <v>40000</v>
      </c>
      <c r="G41" s="349">
        <f t="shared" si="17"/>
        <v>9.8570577124185046E-4</v>
      </c>
      <c r="I41" s="49">
        <f t="shared" si="18"/>
        <v>120000</v>
      </c>
      <c r="L41" s="349">
        <f t="shared" si="19"/>
        <v>8.9676646032315363E-4</v>
      </c>
      <c r="M41" s="293" t="s">
        <v>1038</v>
      </c>
    </row>
    <row r="42" spans="1:14">
      <c r="A42" s="347" t="s">
        <v>647</v>
      </c>
      <c r="B42" s="348">
        <f>200*300</f>
        <v>60000</v>
      </c>
      <c r="C42" s="349">
        <f t="shared" si="9"/>
        <v>1.3013969255330526E-3</v>
      </c>
      <c r="D42" s="348">
        <f>200*300</f>
        <v>60000</v>
      </c>
      <c r="E42" s="349">
        <f t="shared" si="16"/>
        <v>1.2730815385279509E-3</v>
      </c>
      <c r="F42" s="355">
        <f>200*300</f>
        <v>60000</v>
      </c>
      <c r="G42" s="349">
        <f t="shared" si="17"/>
        <v>1.4785586568627756E-3</v>
      </c>
      <c r="I42" s="49">
        <f t="shared" si="18"/>
        <v>180000</v>
      </c>
      <c r="K42" s="49">
        <f>SUM(R$5*N42)</f>
        <v>21600</v>
      </c>
      <c r="L42" s="349">
        <f t="shared" si="19"/>
        <v>1.3451496904847303E-3</v>
      </c>
      <c r="M42" s="293" t="s">
        <v>1024</v>
      </c>
      <c r="N42">
        <f>SUM(I42/R$4)</f>
        <v>300</v>
      </c>
    </row>
    <row r="43" spans="1:14">
      <c r="A43" s="347" t="s">
        <v>981</v>
      </c>
      <c r="B43" s="348">
        <v>4500</v>
      </c>
      <c r="C43" s="349">
        <f t="shared" si="9"/>
        <v>9.760476941497895E-5</v>
      </c>
      <c r="D43" s="348">
        <v>4500</v>
      </c>
      <c r="E43" s="349">
        <f t="shared" si="16"/>
        <v>9.5481115389596318E-5</v>
      </c>
      <c r="F43" s="355">
        <v>4500</v>
      </c>
      <c r="G43" s="349">
        <f t="shared" si="17"/>
        <v>1.1089189926470817E-4</v>
      </c>
      <c r="I43" s="49">
        <f t="shared" si="18"/>
        <v>13500</v>
      </c>
      <c r="K43" s="49">
        <f>+I43</f>
        <v>13500</v>
      </c>
      <c r="L43" s="349">
        <f t="shared" si="19"/>
        <v>1.0088622678635477E-4</v>
      </c>
      <c r="M43" s="293" t="s">
        <v>1033</v>
      </c>
    </row>
    <row r="44" spans="1:14">
      <c r="A44" s="347" t="s">
        <v>982</v>
      </c>
      <c r="B44" s="348">
        <v>50000</v>
      </c>
      <c r="C44" s="349">
        <f t="shared" si="9"/>
        <v>1.0844974379442106E-3</v>
      </c>
      <c r="D44" s="348">
        <v>50000</v>
      </c>
      <c r="E44" s="349">
        <f t="shared" si="16"/>
        <v>1.0609012821066258E-3</v>
      </c>
      <c r="F44" s="355">
        <v>50000</v>
      </c>
      <c r="G44" s="349">
        <f t="shared" si="17"/>
        <v>1.2321322140523129E-3</v>
      </c>
      <c r="I44" s="49">
        <f t="shared" si="18"/>
        <v>150000</v>
      </c>
      <c r="K44" s="49">
        <f>SUM(R$5*N44)</f>
        <v>18000</v>
      </c>
      <c r="L44" s="349">
        <f t="shared" si="19"/>
        <v>1.120958075403942E-3</v>
      </c>
      <c r="M44" s="293" t="s">
        <v>1024</v>
      </c>
      <c r="N44">
        <f>SUM(I44/R$4)</f>
        <v>250</v>
      </c>
    </row>
    <row r="45" spans="1:14">
      <c r="A45" s="347" t="s">
        <v>26</v>
      </c>
      <c r="B45" s="348">
        <v>0</v>
      </c>
      <c r="C45" s="349">
        <f t="shared" si="9"/>
        <v>0</v>
      </c>
      <c r="D45" s="348">
        <v>0</v>
      </c>
      <c r="E45" s="349">
        <f t="shared" si="16"/>
        <v>0</v>
      </c>
      <c r="F45" s="355">
        <v>0</v>
      </c>
      <c r="G45" s="349">
        <f t="shared" si="17"/>
        <v>0</v>
      </c>
      <c r="I45" s="49">
        <f t="shared" si="18"/>
        <v>0</v>
      </c>
      <c r="L45" s="349">
        <f t="shared" si="19"/>
        <v>0</v>
      </c>
    </row>
    <row r="46" spans="1:14">
      <c r="A46" s="345" t="s">
        <v>983</v>
      </c>
      <c r="B46" s="346"/>
      <c r="C46" s="346"/>
      <c r="D46" s="346"/>
      <c r="E46" s="346"/>
      <c r="F46" s="356"/>
      <c r="G46" s="346"/>
    </row>
    <row r="47" spans="1:14">
      <c r="A47" s="347" t="s">
        <v>984</v>
      </c>
      <c r="B47" s="348">
        <v>75000</v>
      </c>
      <c r="C47" s="349">
        <f t="shared" ref="C47:C51" si="20">IF($B$70&gt;0,B47/$B$70,B47/1)</f>
        <v>1.6267461569163158E-3</v>
      </c>
      <c r="D47" s="348">
        <v>75000</v>
      </c>
      <c r="E47" s="349">
        <f t="shared" ref="E47:E51" si="21">IF($D$70&gt;0,D47/$D$70,D47/1)</f>
        <v>1.5913519231599386E-3</v>
      </c>
      <c r="F47" s="355">
        <v>75000</v>
      </c>
      <c r="G47" s="349">
        <f t="shared" ref="G47:G51" si="22">IF($F$70&gt;0,F47/$F$70,F47/1)</f>
        <v>1.8481983210784695E-3</v>
      </c>
      <c r="I47" s="49">
        <f t="shared" ref="I47:I51" si="23">SUM(B47+D47+F47)</f>
        <v>225000</v>
      </c>
      <c r="K47" s="371"/>
      <c r="L47" s="349">
        <f t="shared" ref="L47:L51" si="24">IF($I$70&gt;0,I47/$I$70,I47/1)</f>
        <v>1.6814371131059129E-3</v>
      </c>
      <c r="M47" s="293" t="s">
        <v>1022</v>
      </c>
    </row>
    <row r="48" spans="1:14">
      <c r="A48" s="347" t="s">
        <v>985</v>
      </c>
      <c r="B48" s="348"/>
      <c r="C48" s="349">
        <f t="shared" si="20"/>
        <v>0</v>
      </c>
      <c r="D48" s="348"/>
      <c r="E48" s="349">
        <f t="shared" si="21"/>
        <v>0</v>
      </c>
      <c r="F48" s="355"/>
      <c r="G48" s="349">
        <f t="shared" si="22"/>
        <v>0</v>
      </c>
      <c r="I48" s="49">
        <f t="shared" si="23"/>
        <v>0</v>
      </c>
      <c r="L48" s="349">
        <f t="shared" si="24"/>
        <v>0</v>
      </c>
    </row>
    <row r="49" spans="1:14">
      <c r="A49" s="347" t="s">
        <v>978</v>
      </c>
      <c r="B49" s="348">
        <v>25000</v>
      </c>
      <c r="C49" s="349">
        <f t="shared" si="20"/>
        <v>5.4224871897210532E-4</v>
      </c>
      <c r="D49" s="348">
        <v>25000</v>
      </c>
      <c r="E49" s="349">
        <f t="shared" si="21"/>
        <v>5.3045064105331288E-4</v>
      </c>
      <c r="F49" s="355">
        <v>25000</v>
      </c>
      <c r="G49" s="349">
        <f t="shared" si="22"/>
        <v>6.1606610702615646E-4</v>
      </c>
      <c r="I49" s="49">
        <f t="shared" si="23"/>
        <v>75000</v>
      </c>
      <c r="K49" s="49">
        <f>SUM(R$5*N49)</f>
        <v>9000</v>
      </c>
      <c r="L49" s="349">
        <f t="shared" si="24"/>
        <v>5.6047903770197101E-4</v>
      </c>
      <c r="M49" s="293" t="s">
        <v>1024</v>
      </c>
      <c r="N49">
        <f>SUM(I49/R$4)</f>
        <v>125</v>
      </c>
    </row>
    <row r="50" spans="1:14">
      <c r="A50" s="347" t="s">
        <v>982</v>
      </c>
      <c r="B50" s="348">
        <v>50000</v>
      </c>
      <c r="C50" s="349">
        <f t="shared" si="20"/>
        <v>1.0844974379442106E-3</v>
      </c>
      <c r="D50" s="348">
        <v>50000</v>
      </c>
      <c r="E50" s="349">
        <f t="shared" si="21"/>
        <v>1.0609012821066258E-3</v>
      </c>
      <c r="F50" s="355">
        <v>50000</v>
      </c>
      <c r="G50" s="349">
        <f t="shared" si="22"/>
        <v>1.2321322140523129E-3</v>
      </c>
      <c r="I50" s="49">
        <f t="shared" si="23"/>
        <v>150000</v>
      </c>
      <c r="K50" s="49">
        <f>SUM(R$5*N50)</f>
        <v>18000</v>
      </c>
      <c r="L50" s="349">
        <f t="shared" si="24"/>
        <v>1.120958075403942E-3</v>
      </c>
      <c r="M50" s="293" t="s">
        <v>1024</v>
      </c>
      <c r="N50">
        <f>SUM(I50/R$4)</f>
        <v>250</v>
      </c>
    </row>
    <row r="51" spans="1:14">
      <c r="A51" s="347" t="s">
        <v>26</v>
      </c>
      <c r="B51" s="348"/>
      <c r="C51" s="349">
        <f t="shared" si="20"/>
        <v>0</v>
      </c>
      <c r="D51" s="348"/>
      <c r="E51" s="349">
        <f t="shared" si="21"/>
        <v>0</v>
      </c>
      <c r="F51" s="355"/>
      <c r="G51" s="349">
        <f t="shared" si="22"/>
        <v>0</v>
      </c>
      <c r="I51" s="49">
        <f t="shared" si="23"/>
        <v>0</v>
      </c>
      <c r="L51" s="349">
        <f t="shared" si="24"/>
        <v>0</v>
      </c>
    </row>
    <row r="52" spans="1:14">
      <c r="A52" s="345" t="s">
        <v>986</v>
      </c>
      <c r="B52" s="346"/>
      <c r="C52" s="346"/>
      <c r="D52" s="346"/>
      <c r="E52" s="346"/>
      <c r="F52" s="356"/>
      <c r="G52" s="346"/>
    </row>
    <row r="53" spans="1:14">
      <c r="A53" s="353" t="s">
        <v>987</v>
      </c>
      <c r="B53" s="348">
        <v>0</v>
      </c>
      <c r="C53" s="349">
        <f t="shared" ref="C53:C65" si="25">IF($B$70&gt;0,B53/$B$70,B53/1)</f>
        <v>0</v>
      </c>
      <c r="D53" s="348">
        <v>0</v>
      </c>
      <c r="E53" s="349">
        <f t="shared" ref="E53:E63" si="26">IF($D$70&gt;0,D53/$D$70,D53/1)</f>
        <v>0</v>
      </c>
      <c r="F53" s="355">
        <v>0</v>
      </c>
      <c r="G53" s="349">
        <f t="shared" ref="G53:G63" si="27">IF($F$70&gt;0,F53/$F$70,F53/1)</f>
        <v>0</v>
      </c>
      <c r="I53" s="49">
        <f t="shared" ref="I53:I63" si="28">SUM(B53+D53+F53)</f>
        <v>0</v>
      </c>
      <c r="L53" s="349">
        <f t="shared" ref="L53:L63" si="29">IF($I$70&gt;0,I53/$I$70,I53/1)</f>
        <v>0</v>
      </c>
    </row>
    <row r="54" spans="1:14">
      <c r="A54" s="351" t="s">
        <v>988</v>
      </c>
      <c r="B54" s="348">
        <v>777000</v>
      </c>
      <c r="C54" s="349">
        <f t="shared" si="25"/>
        <v>1.6853090185653032E-2</v>
      </c>
      <c r="D54" s="348">
        <v>777000</v>
      </c>
      <c r="E54" s="349">
        <f t="shared" si="26"/>
        <v>1.6486405923936964E-2</v>
      </c>
      <c r="F54" s="355">
        <f>777000*0.82</f>
        <v>637140</v>
      </c>
      <c r="G54" s="349">
        <f t="shared" si="27"/>
        <v>1.5700814377225814E-2</v>
      </c>
      <c r="I54" s="49">
        <f t="shared" si="28"/>
        <v>2191140</v>
      </c>
      <c r="K54" s="49">
        <f>SUM(R$5*N54)</f>
        <v>262936.8</v>
      </c>
      <c r="L54" s="349">
        <f t="shared" si="29"/>
        <v>1.6374507182270622E-2</v>
      </c>
      <c r="M54" s="293" t="s">
        <v>1039</v>
      </c>
      <c r="N54">
        <f>SUM(I54/R$4)</f>
        <v>3651.9</v>
      </c>
    </row>
    <row r="55" spans="1:14">
      <c r="A55" s="347" t="s">
        <v>989</v>
      </c>
      <c r="B55" s="348"/>
      <c r="C55" s="349">
        <f t="shared" si="25"/>
        <v>0</v>
      </c>
      <c r="D55" s="348"/>
      <c r="E55" s="349">
        <f t="shared" si="26"/>
        <v>0</v>
      </c>
      <c r="F55" s="355"/>
      <c r="G55" s="349">
        <f t="shared" si="27"/>
        <v>0</v>
      </c>
      <c r="I55" s="49">
        <f t="shared" si="28"/>
        <v>0</v>
      </c>
      <c r="L55" s="349">
        <f t="shared" si="29"/>
        <v>0</v>
      </c>
    </row>
    <row r="56" spans="1:14">
      <c r="A56" s="347" t="s">
        <v>990</v>
      </c>
      <c r="B56" s="348">
        <v>15000</v>
      </c>
      <c r="C56" s="349">
        <f t="shared" si="25"/>
        <v>3.2534923138326314E-4</v>
      </c>
      <c r="D56" s="348">
        <v>15000</v>
      </c>
      <c r="E56" s="349">
        <f t="shared" si="26"/>
        <v>3.1827038463198772E-4</v>
      </c>
      <c r="F56" s="355">
        <v>15000</v>
      </c>
      <c r="G56" s="349">
        <f t="shared" si="27"/>
        <v>3.696396642156939E-4</v>
      </c>
      <c r="I56" s="49">
        <f t="shared" si="28"/>
        <v>45000</v>
      </c>
      <c r="K56" s="371"/>
      <c r="L56" s="349">
        <f t="shared" si="29"/>
        <v>3.3628742262118257E-4</v>
      </c>
      <c r="M56" s="293" t="s">
        <v>1031</v>
      </c>
    </row>
    <row r="57" spans="1:14">
      <c r="A57" s="347" t="s">
        <v>991</v>
      </c>
      <c r="B57" s="348">
        <v>7029</v>
      </c>
      <c r="C57" s="349">
        <f t="shared" si="25"/>
        <v>1.5245864982619712E-4</v>
      </c>
      <c r="D57" s="348">
        <v>7029</v>
      </c>
      <c r="E57" s="349">
        <f t="shared" si="26"/>
        <v>1.4914150223854946E-4</v>
      </c>
      <c r="F57" s="355">
        <f>33*200</f>
        <v>6600</v>
      </c>
      <c r="G57" s="349">
        <f t="shared" si="27"/>
        <v>1.6264145225490531E-4</v>
      </c>
      <c r="I57" s="49">
        <f t="shared" si="28"/>
        <v>20658</v>
      </c>
      <c r="K57" s="371"/>
      <c r="L57" s="349">
        <f t="shared" si="29"/>
        <v>1.5437834614463088E-4</v>
      </c>
      <c r="M57" s="293" t="s">
        <v>1031</v>
      </c>
    </row>
    <row r="58" spans="1:14">
      <c r="A58" s="347" t="s">
        <v>992</v>
      </c>
      <c r="B58" s="348">
        <v>30000</v>
      </c>
      <c r="C58" s="349">
        <f t="shared" si="25"/>
        <v>6.5069846276652628E-4</v>
      </c>
      <c r="D58" s="348">
        <v>30000</v>
      </c>
      <c r="E58" s="349">
        <f t="shared" si="26"/>
        <v>6.3654076926397544E-4</v>
      </c>
      <c r="F58" s="355">
        <v>25000</v>
      </c>
      <c r="G58" s="349">
        <f t="shared" si="27"/>
        <v>6.1606610702615646E-4</v>
      </c>
      <c r="I58" s="49">
        <f t="shared" si="28"/>
        <v>85000</v>
      </c>
      <c r="K58" s="49">
        <f>+I58</f>
        <v>85000</v>
      </c>
      <c r="L58" s="349">
        <f t="shared" si="29"/>
        <v>6.352095760622338E-4</v>
      </c>
    </row>
    <row r="59" spans="1:14">
      <c r="A59" s="347" t="s">
        <v>285</v>
      </c>
      <c r="B59" s="348">
        <v>240000</v>
      </c>
      <c r="C59" s="349">
        <f t="shared" si="25"/>
        <v>5.2055877021322102E-3</v>
      </c>
      <c r="D59" s="348">
        <v>252000</v>
      </c>
      <c r="E59" s="349">
        <f t="shared" si="26"/>
        <v>5.3469424618173937E-3</v>
      </c>
      <c r="F59" s="355">
        <f>(240000*1.1)*0.82</f>
        <v>216480</v>
      </c>
      <c r="G59" s="349">
        <f t="shared" si="27"/>
        <v>5.3346396339608946E-3</v>
      </c>
      <c r="I59" s="49">
        <f t="shared" si="28"/>
        <v>708480</v>
      </c>
      <c r="K59" s="49">
        <f>SUM(R$5*N59)</f>
        <v>85017.599999999991</v>
      </c>
      <c r="L59" s="349">
        <f t="shared" si="29"/>
        <v>5.294509181747899E-3</v>
      </c>
      <c r="M59" s="293" t="s">
        <v>1034</v>
      </c>
      <c r="N59">
        <f>SUM(I59/R$4)</f>
        <v>1180.8</v>
      </c>
    </row>
    <row r="60" spans="1:14">
      <c r="A60" s="347" t="s">
        <v>993</v>
      </c>
      <c r="B60" s="348">
        <v>160000</v>
      </c>
      <c r="C60" s="349">
        <f t="shared" si="25"/>
        <v>3.4703918014214736E-3</v>
      </c>
      <c r="D60" s="348">
        <v>168000</v>
      </c>
      <c r="E60" s="349">
        <f t="shared" si="26"/>
        <v>3.5646283078782626E-3</v>
      </c>
      <c r="F60" s="355">
        <f>(160000*1.1)*0.82</f>
        <v>144320</v>
      </c>
      <c r="G60" s="349">
        <f t="shared" si="27"/>
        <v>3.5564264226405963E-3</v>
      </c>
      <c r="I60" s="49">
        <f t="shared" si="28"/>
        <v>472320</v>
      </c>
      <c r="K60" s="49">
        <f>SUM(R$5*N60)</f>
        <v>56678.400000000001</v>
      </c>
      <c r="L60" s="349">
        <f t="shared" si="29"/>
        <v>3.5296727878319327E-3</v>
      </c>
      <c r="N60">
        <f>SUM(I60/R$4)</f>
        <v>787.2</v>
      </c>
    </row>
    <row r="61" spans="1:14">
      <c r="A61" s="347" t="s">
        <v>994</v>
      </c>
      <c r="B61" s="348">
        <v>176045</v>
      </c>
      <c r="C61" s="349">
        <f t="shared" si="25"/>
        <v>3.8184070292577709E-3</v>
      </c>
      <c r="D61" s="348">
        <v>180919</v>
      </c>
      <c r="E61" s="349">
        <f t="shared" si="26"/>
        <v>3.8387439811489723E-3</v>
      </c>
      <c r="F61" s="355">
        <f>15651051*0.01</f>
        <v>156510.51</v>
      </c>
      <c r="G61" s="349">
        <f t="shared" si="27"/>
        <v>3.8568328241751337E-3</v>
      </c>
      <c r="I61" s="49">
        <f t="shared" si="28"/>
        <v>513474.51</v>
      </c>
      <c r="K61" s="371"/>
      <c r="L61" s="349">
        <f t="shared" si="29"/>
        <v>3.8372226566572147E-3</v>
      </c>
      <c r="M61" s="293" t="s">
        <v>1019</v>
      </c>
    </row>
    <row r="62" spans="1:14">
      <c r="A62" s="347" t="s">
        <v>995</v>
      </c>
      <c r="B62" s="348">
        <v>9000</v>
      </c>
      <c r="C62" s="349">
        <f t="shared" si="25"/>
        <v>1.952095388299579E-4</v>
      </c>
      <c r="D62" s="348">
        <v>9000</v>
      </c>
      <c r="E62" s="349">
        <f t="shared" si="26"/>
        <v>1.9096223077919264E-4</v>
      </c>
      <c r="F62" s="355">
        <v>9000</v>
      </c>
      <c r="G62" s="349">
        <f t="shared" si="27"/>
        <v>2.2178379852941634E-4</v>
      </c>
      <c r="I62" s="49">
        <f t="shared" si="28"/>
        <v>27000</v>
      </c>
      <c r="K62" s="371"/>
      <c r="L62" s="349">
        <f t="shared" si="29"/>
        <v>2.0177245357270955E-4</v>
      </c>
      <c r="M62" s="293" t="s">
        <v>1020</v>
      </c>
    </row>
    <row r="63" spans="1:14">
      <c r="A63" s="347" t="s">
        <v>996</v>
      </c>
      <c r="B63" s="348">
        <v>20000</v>
      </c>
      <c r="C63" s="349">
        <f t="shared" si="25"/>
        <v>4.3379897517768421E-4</v>
      </c>
      <c r="D63" s="348">
        <v>20000</v>
      </c>
      <c r="E63" s="349">
        <f t="shared" si="26"/>
        <v>4.2436051284265027E-4</v>
      </c>
      <c r="F63" s="355">
        <v>20000</v>
      </c>
      <c r="G63" s="349">
        <f t="shared" si="27"/>
        <v>4.9285288562092523E-4</v>
      </c>
      <c r="I63" s="49">
        <f t="shared" si="28"/>
        <v>60000</v>
      </c>
      <c r="K63" s="49">
        <f>+I63</f>
        <v>60000</v>
      </c>
      <c r="L63" s="349">
        <f t="shared" si="29"/>
        <v>4.4838323016157682E-4</v>
      </c>
      <c r="M63" s="293" t="s">
        <v>1035</v>
      </c>
    </row>
    <row r="64" spans="1:14">
      <c r="A64" s="345" t="s">
        <v>997</v>
      </c>
      <c r="B64" s="346"/>
      <c r="C64" s="346"/>
      <c r="D64" s="346"/>
      <c r="E64" s="346"/>
      <c r="F64" s="356"/>
      <c r="G64" s="346"/>
    </row>
    <row r="65" spans="1:18">
      <c r="A65" s="347" t="s">
        <v>998</v>
      </c>
      <c r="B65" s="348">
        <v>302758</v>
      </c>
      <c r="C65" s="349">
        <f t="shared" si="25"/>
        <v>6.5668055063422661E-3</v>
      </c>
      <c r="D65" s="348">
        <v>314403</v>
      </c>
      <c r="E65" s="349">
        <f t="shared" ref="E65:E70" si="30">IF($D$70&gt;0,D65/$D$70,D65/1)</f>
        <v>6.6710109159633891E-3</v>
      </c>
      <c r="F65" s="355">
        <v>256631</v>
      </c>
      <c r="G65" s="349">
        <f t="shared" ref="G65:G70" si="31">IF($F$70&gt;0,F65/$F$70,F65/1)</f>
        <v>6.324066444489183E-3</v>
      </c>
      <c r="I65" s="49">
        <f t="shared" ref="I65:I69" si="32">SUM(B65+D65+F65)</f>
        <v>873792</v>
      </c>
      <c r="K65" s="371"/>
      <c r="L65" s="349">
        <f>IF($I$70&gt;0,I65/$I$70,I65/1)</f>
        <v>6.529894657489075E-3</v>
      </c>
      <c r="M65" s="293" t="s">
        <v>1023</v>
      </c>
    </row>
    <row r="66" spans="1:18">
      <c r="A66" s="347" t="s">
        <v>999</v>
      </c>
      <c r="B66" s="348"/>
      <c r="C66" s="349">
        <f t="shared" ref="C66:C69" si="33">IF($B$71&gt;0,B66/$B$71,B66/1)</f>
        <v>0</v>
      </c>
      <c r="D66" s="348"/>
      <c r="E66" s="349">
        <f t="shared" si="30"/>
        <v>0</v>
      </c>
      <c r="F66" s="355"/>
      <c r="G66" s="349">
        <f t="shared" si="31"/>
        <v>0</v>
      </c>
      <c r="I66" s="49">
        <f t="shared" si="32"/>
        <v>0</v>
      </c>
    </row>
    <row r="67" spans="1:18">
      <c r="A67" s="347" t="s">
        <v>1000</v>
      </c>
      <c r="B67" s="348"/>
      <c r="C67" s="349">
        <f t="shared" si="33"/>
        <v>0</v>
      </c>
      <c r="D67" s="348"/>
      <c r="E67" s="349">
        <f t="shared" si="30"/>
        <v>0</v>
      </c>
      <c r="F67" s="355"/>
      <c r="G67" s="349">
        <f t="shared" si="31"/>
        <v>0</v>
      </c>
      <c r="I67" s="49">
        <f t="shared" si="32"/>
        <v>0</v>
      </c>
    </row>
    <row r="68" spans="1:18">
      <c r="A68" s="347" t="s">
        <v>1001</v>
      </c>
      <c r="B68" s="348"/>
      <c r="C68" s="349">
        <f t="shared" si="33"/>
        <v>0</v>
      </c>
      <c r="D68" s="348"/>
      <c r="E68" s="349">
        <f t="shared" si="30"/>
        <v>0</v>
      </c>
      <c r="F68" s="355"/>
      <c r="G68" s="349">
        <f t="shared" si="31"/>
        <v>0</v>
      </c>
      <c r="I68" s="49">
        <f t="shared" si="32"/>
        <v>0</v>
      </c>
    </row>
    <row r="69" spans="1:18">
      <c r="A69" s="347" t="s">
        <v>26</v>
      </c>
      <c r="B69" s="348"/>
      <c r="C69" s="349">
        <f t="shared" si="33"/>
        <v>0</v>
      </c>
      <c r="D69" s="348"/>
      <c r="E69" s="349">
        <f t="shared" si="30"/>
        <v>0</v>
      </c>
      <c r="F69" s="355"/>
      <c r="G69" s="349">
        <f t="shared" si="31"/>
        <v>0</v>
      </c>
      <c r="I69" s="49">
        <f t="shared" si="32"/>
        <v>0</v>
      </c>
    </row>
    <row r="70" spans="1:18" ht="13.5" thickBot="1">
      <c r="A70" s="359" t="s">
        <v>1002</v>
      </c>
      <c r="B70" s="360">
        <f>SUM(B10:B69)</f>
        <v>46104304.400000006</v>
      </c>
      <c r="C70" s="361">
        <f>IF($B$70&gt;0,B70/$B$70,B70/1)</f>
        <v>1</v>
      </c>
      <c r="D70" s="360">
        <f>SUM(D10:D69)</f>
        <v>47129738.5</v>
      </c>
      <c r="E70" s="361">
        <f t="shared" si="30"/>
        <v>1</v>
      </c>
      <c r="F70" s="362">
        <f>SUM(F10:F69)</f>
        <v>40580060.67024</v>
      </c>
      <c r="G70" s="349">
        <f t="shared" si="31"/>
        <v>1</v>
      </c>
      <c r="I70" s="354">
        <f>SUM(I10:I69)</f>
        <v>133814103.57024001</v>
      </c>
    </row>
    <row r="71" spans="1:18">
      <c r="A71" s="363" t="s">
        <v>1012</v>
      </c>
      <c r="B71" s="364">
        <f>46104304-B70</f>
        <v>-0.40000000596046448</v>
      </c>
      <c r="C71" s="365"/>
      <c r="D71" s="364">
        <f>+D70-47129738.5</f>
        <v>0</v>
      </c>
      <c r="E71" s="365"/>
      <c r="F71" s="366">
        <f>+F70-40580061</f>
        <v>-0.32976000010967255</v>
      </c>
    </row>
    <row r="72" spans="1:18" ht="13.5" thickBot="1">
      <c r="A72" s="367" t="s">
        <v>1011</v>
      </c>
      <c r="B72" s="368">
        <f>46392336-B83</f>
        <v>0</v>
      </c>
      <c r="C72" s="369"/>
      <c r="D72" s="368">
        <f>47129739-D83</f>
        <v>0</v>
      </c>
      <c r="E72" s="369"/>
      <c r="F72" s="370">
        <f>40580061-F83</f>
        <v>0</v>
      </c>
    </row>
    <row r="73" spans="1:18">
      <c r="A73" s="30" t="s">
        <v>1005</v>
      </c>
    </row>
    <row r="75" spans="1:18">
      <c r="A75" s="293" t="s">
        <v>1006</v>
      </c>
      <c r="B75" s="1">
        <v>14756563</v>
      </c>
      <c r="C75" s="1"/>
      <c r="D75" s="1">
        <v>14980891</v>
      </c>
      <c r="E75" s="1"/>
      <c r="F75" s="1">
        <v>12406291</v>
      </c>
      <c r="G75" s="1"/>
      <c r="H75" s="1"/>
      <c r="I75" s="1">
        <f>SUM(B75+D75+F75)</f>
        <v>42143745</v>
      </c>
      <c r="J75" s="1"/>
      <c r="K75" s="1"/>
      <c r="L75" s="1"/>
      <c r="M75" s="1"/>
      <c r="N75" s="1"/>
      <c r="O75" s="1"/>
      <c r="P75" s="1"/>
      <c r="Q75" s="1"/>
      <c r="R75" s="1"/>
    </row>
    <row r="76" spans="1:18">
      <c r="A76" s="293" t="s">
        <v>1007</v>
      </c>
      <c r="B76" s="1">
        <v>7831300</v>
      </c>
      <c r="C76" s="1"/>
      <c r="D76" s="1">
        <v>7856930</v>
      </c>
      <c r="E76" s="1"/>
      <c r="F76" s="1">
        <v>6651027</v>
      </c>
      <c r="G76" s="1"/>
      <c r="H76" s="1"/>
      <c r="I76" s="1">
        <f t="shared" ref="I76:I79" si="34">SUM(B76+D76+F76)</f>
        <v>22339257</v>
      </c>
      <c r="J76" s="1"/>
      <c r="K76" s="1"/>
      <c r="L76" s="1"/>
      <c r="M76" s="1"/>
      <c r="N76" s="1"/>
      <c r="O76" s="1"/>
      <c r="P76" s="1"/>
      <c r="Q76" s="1"/>
      <c r="R76" s="1"/>
    </row>
    <row r="77" spans="1:18">
      <c r="A77" s="293" t="s">
        <v>1008</v>
      </c>
      <c r="B77" s="1">
        <v>4000000</v>
      </c>
      <c r="C77" s="1"/>
      <c r="D77" s="1">
        <v>4000000</v>
      </c>
      <c r="E77" s="1"/>
      <c r="F77" s="1">
        <v>3750000</v>
      </c>
      <c r="G77" s="1"/>
      <c r="H77" s="1"/>
      <c r="I77" s="1">
        <f t="shared" si="34"/>
        <v>11750000</v>
      </c>
      <c r="J77" s="1"/>
      <c r="K77" s="1"/>
      <c r="L77" s="1"/>
      <c r="M77" s="1"/>
      <c r="N77" s="1"/>
      <c r="O77" s="1"/>
      <c r="P77" s="1"/>
      <c r="Q77" s="1"/>
      <c r="R77" s="1"/>
    </row>
    <row r="78" spans="1:18">
      <c r="A78" s="293" t="s">
        <v>1049</v>
      </c>
      <c r="B78" s="1">
        <v>2200000</v>
      </c>
      <c r="C78" s="1"/>
      <c r="D78" s="1">
        <v>2200000</v>
      </c>
      <c r="E78" s="1"/>
      <c r="F78" s="1">
        <v>2200000</v>
      </c>
      <c r="G78" s="1"/>
      <c r="H78" s="1"/>
      <c r="I78" s="1">
        <f t="shared" si="34"/>
        <v>6600000</v>
      </c>
      <c r="J78" s="1"/>
      <c r="K78" s="1">
        <f>+'Sources &amp; Uses'!V22</f>
        <v>1388100</v>
      </c>
      <c r="L78" s="1"/>
      <c r="M78" s="300" t="s">
        <v>1043</v>
      </c>
      <c r="N78" s="1"/>
      <c r="O78" s="1"/>
      <c r="P78" s="1"/>
      <c r="Q78" s="1"/>
      <c r="R78" s="1"/>
    </row>
    <row r="79" spans="1:18">
      <c r="A79" s="293" t="s">
        <v>445</v>
      </c>
      <c r="B79" s="1">
        <v>17604473</v>
      </c>
      <c r="C79" s="1"/>
      <c r="D79" s="1">
        <v>18091918</v>
      </c>
      <c r="E79" s="1"/>
      <c r="F79" s="1">
        <v>15572743</v>
      </c>
      <c r="G79" s="1"/>
      <c r="H79" s="1"/>
      <c r="I79" s="1">
        <f t="shared" si="34"/>
        <v>51269134</v>
      </c>
      <c r="J79" s="1"/>
      <c r="K79" s="1"/>
      <c r="L79" s="1"/>
      <c r="M79" s="300" t="s">
        <v>1048</v>
      </c>
      <c r="N79" s="1">
        <f>+'Sources &amp; Uses'!V19</f>
        <v>1388100</v>
      </c>
      <c r="O79" s="1"/>
      <c r="P79" s="1"/>
      <c r="Q79" s="1"/>
      <c r="R79" s="1"/>
    </row>
    <row r="80" spans="1:18">
      <c r="A80" s="293" t="s">
        <v>1009</v>
      </c>
      <c r="B80" s="1">
        <v>0</v>
      </c>
      <c r="C80" s="1"/>
      <c r="D80" s="1">
        <v>0</v>
      </c>
      <c r="E80" s="1"/>
      <c r="F80" s="1">
        <v>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00" t="s">
        <v>1058</v>
      </c>
      <c r="N81" s="1"/>
      <c r="O81" s="1"/>
      <c r="P81" s="1"/>
      <c r="Q81" s="1"/>
      <c r="R81" s="1"/>
    </row>
    <row r="82" spans="1:18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00" t="s">
        <v>1059</v>
      </c>
      <c r="N82" s="1"/>
      <c r="O82" s="1"/>
      <c r="P82" s="1"/>
      <c r="Q82" s="1"/>
      <c r="R82" s="1"/>
    </row>
    <row r="83" spans="1:18">
      <c r="A83" s="293" t="s">
        <v>1010</v>
      </c>
      <c r="B83" s="1">
        <f>SUM(B75:B82)</f>
        <v>46392336</v>
      </c>
      <c r="C83" s="1"/>
      <c r="D83" s="1">
        <f>SUM(D75:D82)</f>
        <v>47129739</v>
      </c>
      <c r="E83" s="1"/>
      <c r="F83" s="1">
        <f>SUM(F75:F82)</f>
        <v>40580061</v>
      </c>
      <c r="G83" s="1"/>
      <c r="H83" s="1"/>
      <c r="I83" s="1">
        <f>SUM(I75:I82)</f>
        <v>134102136</v>
      </c>
      <c r="J83" s="1"/>
      <c r="K83" s="1"/>
      <c r="L83" s="1"/>
      <c r="M83" s="1"/>
      <c r="N83" s="1"/>
      <c r="O83" s="1"/>
      <c r="P83" s="1"/>
      <c r="Q83" s="1"/>
      <c r="R83" s="1"/>
    </row>
    <row r="84" spans="1:18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00" t="s">
        <v>1060</v>
      </c>
      <c r="N84" s="1">
        <v>31250000</v>
      </c>
      <c r="O84" s="1"/>
      <c r="P84" s="1"/>
      <c r="Q84" s="1"/>
      <c r="R84" s="1"/>
    </row>
    <row r="85" spans="1:18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00" t="s">
        <v>1061</v>
      </c>
      <c r="N85" s="2" t="e">
        <f>+#REF!</f>
        <v>#REF!</v>
      </c>
      <c r="O85" s="1"/>
      <c r="P85" s="1"/>
      <c r="Q85" s="1"/>
      <c r="R85" s="1"/>
    </row>
    <row r="86" spans="1:18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00" t="s">
        <v>1062</v>
      </c>
      <c r="N86" s="1" t="e">
        <f>+N84-N85</f>
        <v>#REF!</v>
      </c>
      <c r="O86" s="1"/>
      <c r="P86" s="1"/>
      <c r="Q86" s="1"/>
      <c r="R86" s="1"/>
    </row>
    <row r="87" spans="1:18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</sheetData>
  <mergeCells count="3">
    <mergeCell ref="B7:C7"/>
    <mergeCell ref="D7:E7"/>
    <mergeCell ref="F7:G7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J37"/>
  <sheetViews>
    <sheetView workbookViewId="0"/>
  </sheetViews>
  <sheetFormatPr defaultRowHeight="12.75"/>
  <cols>
    <col min="1" max="1" width="26.28515625" customWidth="1"/>
    <col min="2" max="2" width="5.7109375" customWidth="1"/>
    <col min="3" max="3" width="14.28515625" style="1" bestFit="1" customWidth="1"/>
    <col min="4" max="4" width="14.42578125" customWidth="1"/>
    <col min="5" max="5" width="13.85546875" customWidth="1"/>
    <col min="6" max="6" width="11.7109375" customWidth="1"/>
    <col min="7" max="7" width="11.140625" bestFit="1" customWidth="1"/>
    <col min="10" max="10" width="12.85546875" bestFit="1" customWidth="1"/>
  </cols>
  <sheetData>
    <row r="2" spans="1:10" ht="15">
      <c r="A2" s="318" t="s">
        <v>915</v>
      </c>
      <c r="F2" s="390" t="s">
        <v>1071</v>
      </c>
    </row>
    <row r="3" spans="1:10">
      <c r="A3" t="s">
        <v>1069</v>
      </c>
      <c r="C3" s="1">
        <v>355</v>
      </c>
      <c r="D3" t="s">
        <v>916</v>
      </c>
      <c r="F3" s="391" t="s">
        <v>1072</v>
      </c>
    </row>
    <row r="4" spans="1:10">
      <c r="A4" t="s">
        <v>1069</v>
      </c>
      <c r="C4" s="49">
        <v>328000</v>
      </c>
      <c r="D4" t="s">
        <v>917</v>
      </c>
      <c r="F4" s="391" t="s">
        <v>1073</v>
      </c>
    </row>
    <row r="5" spans="1:10">
      <c r="A5" s="535" t="s">
        <v>1070</v>
      </c>
      <c r="B5" s="535"/>
      <c r="C5" s="535"/>
      <c r="D5" s="535"/>
      <c r="E5" s="535"/>
      <c r="F5" s="392" t="s">
        <v>1074</v>
      </c>
    </row>
    <row r="6" spans="1:10" ht="15.75">
      <c r="A6" s="319" t="s">
        <v>918</v>
      </c>
      <c r="F6" s="162"/>
    </row>
    <row r="7" spans="1:10">
      <c r="A7" t="s">
        <v>919</v>
      </c>
      <c r="F7" s="162"/>
    </row>
    <row r="8" spans="1:10">
      <c r="A8" t="s">
        <v>920</v>
      </c>
      <c r="C8" s="1">
        <v>1566510</v>
      </c>
      <c r="F8" s="160">
        <f>SUM(C8/C$3)</f>
        <v>4412.7042253521131</v>
      </c>
    </row>
    <row r="9" spans="1:10">
      <c r="A9" t="s">
        <v>921</v>
      </c>
      <c r="F9" s="160"/>
    </row>
    <row r="10" spans="1:10">
      <c r="F10" s="160"/>
    </row>
    <row r="11" spans="1:10" ht="15.75">
      <c r="A11" s="319" t="s">
        <v>922</v>
      </c>
      <c r="E11" s="306" t="s">
        <v>937</v>
      </c>
      <c r="F11" s="160"/>
      <c r="J11" s="52"/>
    </row>
    <row r="12" spans="1:10">
      <c r="A12" t="s">
        <v>923</v>
      </c>
      <c r="C12" s="1">
        <v>2640000</v>
      </c>
      <c r="F12" s="160">
        <v>0</v>
      </c>
    </row>
    <row r="13" spans="1:10">
      <c r="A13" t="s">
        <v>924</v>
      </c>
      <c r="C13" s="1">
        <v>50361930</v>
      </c>
      <c r="F13" s="160">
        <f t="shared" ref="F13:F20" si="0">SUM(C13/C$3)</f>
        <v>141864.59154929579</v>
      </c>
      <c r="J13" s="1"/>
    </row>
    <row r="14" spans="1:10">
      <c r="A14" t="s">
        <v>925</v>
      </c>
      <c r="C14" s="1">
        <v>3548750</v>
      </c>
      <c r="D14" s="1">
        <f>-C14+'Sources &amp; Uses'!F26</f>
        <v>-3259723.32</v>
      </c>
      <c r="E14" s="1">
        <f>SUM(C14:D14)</f>
        <v>289026.68000000017</v>
      </c>
      <c r="F14" s="160">
        <f t="shared" si="0"/>
        <v>9996.4788732394372</v>
      </c>
      <c r="J14" s="52"/>
    </row>
    <row r="15" spans="1:10">
      <c r="A15" t="s">
        <v>926</v>
      </c>
      <c r="C15" s="1">
        <v>1073724</v>
      </c>
      <c r="E15" s="1">
        <f>+C15</f>
        <v>1073724</v>
      </c>
      <c r="F15" s="160">
        <f t="shared" si="0"/>
        <v>3024.5746478873239</v>
      </c>
    </row>
    <row r="16" spans="1:10">
      <c r="A16" t="s">
        <v>927</v>
      </c>
      <c r="C16" s="1">
        <v>2135784</v>
      </c>
      <c r="D16" s="1">
        <f>-D14</f>
        <v>3259723.32</v>
      </c>
      <c r="E16" s="1">
        <f>SUM(C16:D16)</f>
        <v>5395507.3200000003</v>
      </c>
      <c r="F16" s="160">
        <f t="shared" si="0"/>
        <v>6016.2929577464793</v>
      </c>
    </row>
    <row r="17" spans="1:7">
      <c r="A17" t="s">
        <v>928</v>
      </c>
      <c r="C17" s="1">
        <v>319152</v>
      </c>
      <c r="F17" s="160">
        <f t="shared" si="0"/>
        <v>899.01971830985917</v>
      </c>
    </row>
    <row r="18" spans="1:7">
      <c r="A18" t="s">
        <v>320</v>
      </c>
      <c r="C18" s="1">
        <v>4300000</v>
      </c>
      <c r="F18" s="160">
        <f t="shared" si="0"/>
        <v>12112.676056338029</v>
      </c>
    </row>
    <row r="19" spans="1:7">
      <c r="A19" t="s">
        <v>929</v>
      </c>
      <c r="C19" s="1">
        <v>321059</v>
      </c>
      <c r="F19" s="160">
        <f t="shared" si="0"/>
        <v>904.39154929577467</v>
      </c>
    </row>
    <row r="20" spans="1:7">
      <c r="A20" t="s">
        <v>930</v>
      </c>
      <c r="C20" s="1">
        <v>223735</v>
      </c>
      <c r="F20" s="160">
        <f t="shared" si="0"/>
        <v>630.23943661971828</v>
      </c>
    </row>
    <row r="21" spans="1:7">
      <c r="F21" s="393"/>
    </row>
    <row r="22" spans="1:7">
      <c r="A22" s="320" t="s">
        <v>488</v>
      </c>
      <c r="C22" s="321">
        <f>SUM(C8:C20)</f>
        <v>66490644</v>
      </c>
      <c r="F22" s="52"/>
      <c r="G22" s="321"/>
    </row>
    <row r="23" spans="1:7">
      <c r="A23" s="293" t="s">
        <v>938</v>
      </c>
      <c r="C23" s="324">
        <f>+C22-'Sources &amp; Uses'!E24</f>
        <v>52039310</v>
      </c>
    </row>
    <row r="24" spans="1:7">
      <c r="C24" s="321">
        <f>C22/C3</f>
        <v>187297.58873239436</v>
      </c>
      <c r="D24" t="s">
        <v>931</v>
      </c>
    </row>
    <row r="25" spans="1:7">
      <c r="C25" s="322">
        <f>C22/C4</f>
        <v>202.71537804878048</v>
      </c>
      <c r="D25" t="s">
        <v>932</v>
      </c>
    </row>
    <row r="27" spans="1:7">
      <c r="C27" s="52"/>
    </row>
    <row r="29" spans="1:7">
      <c r="A29" s="293" t="s">
        <v>281</v>
      </c>
      <c r="C29" s="1">
        <f>SUM(C8:C13)+C20</f>
        <v>54792175</v>
      </c>
      <c r="D29" s="52">
        <f>+C29/C3</f>
        <v>154344.15492957746</v>
      </c>
    </row>
    <row r="30" spans="1:7">
      <c r="A30" s="293" t="s">
        <v>933</v>
      </c>
      <c r="C30" s="1">
        <f>SUM(C14)</f>
        <v>3548750</v>
      </c>
      <c r="D30" s="323">
        <f>+C30/C29</f>
        <v>6.4767459952082579E-2</v>
      </c>
    </row>
    <row r="33" spans="1:5">
      <c r="A33" s="30" t="s">
        <v>935</v>
      </c>
    </row>
    <row r="35" spans="1:5">
      <c r="A35" s="293" t="s">
        <v>624</v>
      </c>
      <c r="B35" s="33">
        <v>0.06</v>
      </c>
      <c r="C35" s="52">
        <f>SUM(C29*B35)</f>
        <v>3287530.5</v>
      </c>
      <c r="D35" s="1">
        <f>+E14</f>
        <v>289026.68000000017</v>
      </c>
      <c r="E35" t="str">
        <f>IF(D35+C35,"TEST MET","TEST NOT MET")</f>
        <v>TEST MET</v>
      </c>
    </row>
    <row r="36" spans="1:5">
      <c r="A36" s="293" t="s">
        <v>626</v>
      </c>
      <c r="B36" s="33">
        <v>0.02</v>
      </c>
      <c r="C36" s="1">
        <f>SUM(C29+C35)*B36</f>
        <v>1161594.1100000001</v>
      </c>
      <c r="D36" s="1">
        <f t="shared" ref="D36:D37" si="1">+E15</f>
        <v>1073724</v>
      </c>
      <c r="E36" t="str">
        <f t="shared" ref="E36:E37" si="2">IF(D36+C36,"TEST MET","TEST NOT MET")</f>
        <v>TEST MET</v>
      </c>
    </row>
    <row r="37" spans="1:5">
      <c r="A37" s="293" t="s">
        <v>936</v>
      </c>
      <c r="B37" s="33">
        <v>0.06</v>
      </c>
      <c r="C37" s="1">
        <f>SUM(C29+C35)*B37</f>
        <v>3484782.33</v>
      </c>
      <c r="D37" s="1">
        <f t="shared" si="1"/>
        <v>5395507.3200000003</v>
      </c>
      <c r="E37" t="str">
        <f t="shared" si="2"/>
        <v>TEST MET</v>
      </c>
    </row>
  </sheetData>
  <mergeCells count="1">
    <mergeCell ref="A5:E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F22"/>
  <sheetViews>
    <sheetView workbookViewId="0"/>
  </sheetViews>
  <sheetFormatPr defaultColWidth="8.85546875" defaultRowHeight="12.75"/>
  <cols>
    <col min="6" max="6" width="10.28515625" bestFit="1" customWidth="1"/>
  </cols>
  <sheetData>
    <row r="1" spans="1:6">
      <c r="A1" s="1" t="str">
        <f>+'Sources &amp; Uses'!A1</f>
        <v>Lamar Building</v>
      </c>
    </row>
    <row r="2" spans="1:6">
      <c r="A2" t="s">
        <v>378</v>
      </c>
    </row>
    <row r="5" spans="1:6" ht="13.5" thickBot="1">
      <c r="A5" t="s">
        <v>313</v>
      </c>
      <c r="F5" s="120">
        <f>+'Sources &amp; Uses'!I75</f>
        <v>24500000</v>
      </c>
    </row>
    <row r="6" spans="1:6" ht="13.5" thickTop="1"/>
    <row r="8" spans="1:6">
      <c r="A8" s="119" t="s">
        <v>379</v>
      </c>
    </row>
    <row r="10" spans="1:6">
      <c r="A10" t="s">
        <v>380</v>
      </c>
      <c r="F10" s="1">
        <f>+'Sources &amp; Uses'!F30</f>
        <v>722566.70000000007</v>
      </c>
    </row>
    <row r="11" spans="1:6">
      <c r="A11" t="s">
        <v>381</v>
      </c>
      <c r="F11" s="1">
        <f>+'Sources &amp; Uses'!F31</f>
        <v>221105.41019999998</v>
      </c>
    </row>
    <row r="12" spans="1:6">
      <c r="A12" t="s">
        <v>382</v>
      </c>
      <c r="F12" s="1" t="e">
        <f>+'Sources &amp; Uses'!#REF!</f>
        <v>#REF!</v>
      </c>
    </row>
    <row r="13" spans="1:6">
      <c r="A13" t="s">
        <v>383</v>
      </c>
      <c r="F13" s="1">
        <f>+'Sources &amp; Uses'!F73</f>
        <v>0</v>
      </c>
    </row>
    <row r="14" spans="1:6">
      <c r="A14" t="s">
        <v>384</v>
      </c>
      <c r="F14" s="1">
        <f>+'Sources &amp; Uses'!F33+'Sources &amp; Uses'!F34</f>
        <v>400000</v>
      </c>
    </row>
    <row r="15" spans="1:6">
      <c r="A15" t="s">
        <v>385</v>
      </c>
      <c r="F15" s="1">
        <f>+'Sources &amp; Uses'!F48</f>
        <v>50000</v>
      </c>
    </row>
    <row r="16" spans="1:6">
      <c r="A16" t="s">
        <v>386</v>
      </c>
      <c r="F16" s="1">
        <f>+'Sources &amp; Uses'!F50</f>
        <v>0</v>
      </c>
    </row>
    <row r="17" spans="1:6">
      <c r="A17" t="s">
        <v>387</v>
      </c>
      <c r="F17">
        <v>0</v>
      </c>
    </row>
    <row r="19" spans="1:6" ht="13.5" thickBot="1">
      <c r="A19" t="s">
        <v>388</v>
      </c>
      <c r="F19" s="120" t="e">
        <f>SUM(F10:F18)</f>
        <v>#REF!</v>
      </c>
    </row>
    <row r="20" spans="1:6" ht="13.5" thickTop="1"/>
    <row r="22" spans="1:6">
      <c r="A22" t="s">
        <v>389</v>
      </c>
      <c r="F22" s="51" t="e">
        <f>SUM(F19/F5)</f>
        <v>#REF!</v>
      </c>
    </row>
  </sheetData>
  <phoneticPr fontId="0" type="noConversion"/>
  <pageMargins left="0.75" right="0.75" top="1" bottom="1" header="0.5" footer="0.5"/>
  <pageSetup orientation="portrait" horizontalDpi="400" r:id="rId1"/>
  <headerFooter alignWithMargins="0">
    <oddFooter>&amp;L&amp;D&amp;T&amp;C&amp;F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K24"/>
  <sheetViews>
    <sheetView workbookViewId="0"/>
  </sheetViews>
  <sheetFormatPr defaultColWidth="8.85546875" defaultRowHeight="12.75"/>
  <cols>
    <col min="3" max="3" width="10.7109375" customWidth="1"/>
    <col min="7" max="7" width="13.140625" customWidth="1"/>
    <col min="8" max="8" width="13.42578125" customWidth="1"/>
  </cols>
  <sheetData>
    <row r="1" spans="1:8">
      <c r="A1" s="5" t="str">
        <f>+'Sources &amp; Uses'!A1</f>
        <v>Lamar Building</v>
      </c>
    </row>
    <row r="2" spans="1:8">
      <c r="A2" s="30" t="s">
        <v>360</v>
      </c>
    </row>
    <row r="6" spans="1:8">
      <c r="A6" t="s">
        <v>313</v>
      </c>
      <c r="H6" s="1">
        <f>+'Sources &amp; Uses'!I75</f>
        <v>24500000</v>
      </c>
    </row>
    <row r="8" spans="1:8">
      <c r="A8" t="s">
        <v>361</v>
      </c>
    </row>
    <row r="10" spans="1:8">
      <c r="B10" t="s">
        <v>362</v>
      </c>
      <c r="G10" s="1">
        <v>0</v>
      </c>
    </row>
    <row r="11" spans="1:8">
      <c r="B11" t="s">
        <v>363</v>
      </c>
      <c r="G11" s="1">
        <v>0</v>
      </c>
    </row>
    <row r="12" spans="1:8">
      <c r="B12" t="s">
        <v>364</v>
      </c>
      <c r="G12">
        <f>+'[2]Cost Allocation Basis'!I34</f>
        <v>0</v>
      </c>
    </row>
    <row r="13" spans="1:8">
      <c r="B13" t="s">
        <v>365</v>
      </c>
      <c r="G13" s="1">
        <v>55000</v>
      </c>
    </row>
    <row r="14" spans="1:8">
      <c r="B14" t="s">
        <v>366</v>
      </c>
      <c r="G14" s="2">
        <f>+'Sources &amp; Uses'!H65</f>
        <v>0</v>
      </c>
    </row>
    <row r="15" spans="1:8">
      <c r="B15" t="s">
        <v>367</v>
      </c>
      <c r="H15" s="2">
        <f>SUM(G10:G14)</f>
        <v>55000</v>
      </c>
    </row>
    <row r="17" spans="2:11">
      <c r="B17" t="s">
        <v>313</v>
      </c>
      <c r="H17" s="1">
        <f>SUM(H6-H15)</f>
        <v>24445000</v>
      </c>
    </row>
    <row r="19" spans="2:11">
      <c r="B19" t="s">
        <v>368</v>
      </c>
      <c r="H19" s="11">
        <f>SUM(H17/'Sources &amp; Uses'!B77)</f>
        <v>339513.88888888888</v>
      </c>
    </row>
    <row r="21" spans="2:11">
      <c r="B21" t="s">
        <v>369</v>
      </c>
      <c r="D21" t="s">
        <v>370</v>
      </c>
      <c r="H21" s="118">
        <f>+'Sq Footage'!L103</f>
        <v>155913</v>
      </c>
    </row>
    <row r="22" spans="2:11">
      <c r="D22" t="s">
        <v>371</v>
      </c>
      <c r="H22" s="145">
        <f>+H21</f>
        <v>155913</v>
      </c>
    </row>
    <row r="23" spans="2:11">
      <c r="B23" t="s">
        <v>372</v>
      </c>
      <c r="H23" s="52">
        <f>SUM(H17/H21)</f>
        <v>156.78615638208487</v>
      </c>
      <c r="I23">
        <v>105</v>
      </c>
      <c r="J23" s="52">
        <f>SUM(H23-I23)</f>
        <v>51.786156382084869</v>
      </c>
      <c r="K23" t="s">
        <v>373</v>
      </c>
    </row>
    <row r="24" spans="2:11">
      <c r="J24">
        <f>SUM(H21*J23)</f>
        <v>8074134.9999999981</v>
      </c>
      <c r="K24" t="s">
        <v>374</v>
      </c>
    </row>
  </sheetData>
  <phoneticPr fontId="0" type="noConversion"/>
  <pageMargins left="0.75" right="0.75" top="1" bottom="1" header="0.5" footer="0.5"/>
  <pageSetup scale="77" orientation="portrait" horizontalDpi="400" r:id="rId1"/>
  <headerFooter alignWithMargins="0">
    <oddFooter>&amp;L
&amp;D&amp;CThis presentation is for internal use only and should not be used for any other purposes.
&amp;T&amp;R
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P95"/>
  <sheetViews>
    <sheetView zoomScale="80" zoomScaleNormal="80" workbookViewId="0">
      <selection activeCell="E59" sqref="E59"/>
    </sheetView>
  </sheetViews>
  <sheetFormatPr defaultColWidth="9.140625" defaultRowHeight="12.75"/>
  <cols>
    <col min="1" max="1" width="10.7109375" style="1" customWidth="1"/>
    <col min="2" max="2" width="13.42578125" style="1" customWidth="1"/>
    <col min="3" max="4" width="9.140625" style="1"/>
    <col min="5" max="5" width="13.140625" style="1" customWidth="1"/>
    <col min="6" max="6" width="17" style="1" customWidth="1"/>
    <col min="7" max="7" width="2.42578125" style="1" customWidth="1"/>
    <col min="8" max="8" width="17.42578125" style="1" bestFit="1" customWidth="1"/>
    <col min="9" max="9" width="14.85546875" style="1" customWidth="1"/>
    <col min="10" max="10" width="2.7109375" style="1" customWidth="1"/>
    <col min="11" max="11" width="13.42578125" style="1" bestFit="1" customWidth="1"/>
    <col min="12" max="12" width="4.7109375" style="1" customWidth="1"/>
    <col min="13" max="13" width="21.42578125" style="1" hidden="1" customWidth="1"/>
    <col min="14" max="19" width="2.28515625" style="1" hidden="1" customWidth="1"/>
    <col min="20" max="20" width="22.28515625" style="1" hidden="1" customWidth="1"/>
    <col min="21" max="21" width="21.7109375" style="1" hidden="1" customWidth="1"/>
    <col min="22" max="22" width="24" style="1" hidden="1" customWidth="1"/>
    <col min="23" max="23" width="7.42578125" style="1" hidden="1" customWidth="1"/>
    <col min="24" max="24" width="11.140625" style="1" hidden="1" customWidth="1"/>
    <col min="25" max="25" width="12.5703125" style="1" customWidth="1"/>
    <col min="26" max="31" width="9.140625" style="1" hidden="1" customWidth="1"/>
    <col min="32" max="34" width="0" style="1" hidden="1" customWidth="1"/>
    <col min="35" max="35" width="9.140625" style="1"/>
    <col min="36" max="36" width="9.140625" style="185"/>
    <col min="37" max="37" width="11.140625" style="1" customWidth="1"/>
    <col min="38" max="38" width="14.85546875" style="13" bestFit="1" customWidth="1"/>
    <col min="39" max="39" width="14.85546875" style="13" customWidth="1"/>
    <col min="40" max="40" width="9.140625" style="1"/>
    <col min="41" max="41" width="13.28515625" style="1" customWidth="1"/>
    <col min="42" max="16384" width="9.140625" style="1"/>
  </cols>
  <sheetData>
    <row r="1" spans="1:24">
      <c r="A1" s="99" t="s">
        <v>1215</v>
      </c>
      <c r="E1" s="116">
        <f>+Rent!C44</f>
        <v>72</v>
      </c>
      <c r="F1" s="300" t="s">
        <v>1207</v>
      </c>
    </row>
    <row r="2" spans="1:24" ht="13.5" thickBot="1">
      <c r="A2" s="4" t="s">
        <v>0</v>
      </c>
      <c r="B2" s="4"/>
      <c r="C2" s="4"/>
      <c r="D2" s="4"/>
      <c r="E2" s="4"/>
      <c r="F2" s="475" t="s">
        <v>1216</v>
      </c>
      <c r="G2" s="4"/>
      <c r="H2" s="4"/>
      <c r="I2" s="4"/>
      <c r="J2" s="4"/>
      <c r="K2" s="4"/>
      <c r="T2" s="514" t="s">
        <v>940</v>
      </c>
      <c r="U2" s="515"/>
      <c r="V2" s="516"/>
    </row>
    <row r="3" spans="1:24" ht="13.5" thickTop="1">
      <c r="L3" s="187"/>
      <c r="T3" s="378"/>
      <c r="U3" s="379"/>
      <c r="V3" s="380"/>
    </row>
    <row r="4" spans="1:24">
      <c r="A4" s="7" t="s">
        <v>42</v>
      </c>
      <c r="L4" s="187"/>
      <c r="T4" s="208"/>
      <c r="V4" s="222"/>
    </row>
    <row r="5" spans="1:24">
      <c r="L5" s="187"/>
      <c r="T5" s="208" t="s">
        <v>763</v>
      </c>
      <c r="V5" s="222"/>
    </row>
    <row r="6" spans="1:24">
      <c r="A6" s="300" t="s">
        <v>1221</v>
      </c>
      <c r="F6" s="1">
        <v>18500000</v>
      </c>
      <c r="L6" s="187"/>
      <c r="T6" s="208">
        <f>+'Interest Calculation'!G1</f>
        <v>0</v>
      </c>
      <c r="U6" s="300" t="s">
        <v>958</v>
      </c>
      <c r="V6" s="222">
        <v>0</v>
      </c>
    </row>
    <row r="7" spans="1:24">
      <c r="A7" s="300"/>
      <c r="H7" s="13"/>
      <c r="L7" s="187"/>
      <c r="T7" s="334" t="s">
        <v>763</v>
      </c>
      <c r="U7" s="5" t="s">
        <v>1214</v>
      </c>
      <c r="V7" s="222">
        <v>0</v>
      </c>
    </row>
    <row r="8" spans="1:24">
      <c r="A8" s="300" t="s">
        <v>1295</v>
      </c>
      <c r="C8" s="300"/>
      <c r="F8" s="2">
        <v>6000000</v>
      </c>
      <c r="L8" s="187"/>
      <c r="T8" s="208"/>
      <c r="V8" s="222">
        <v>0</v>
      </c>
    </row>
    <row r="9" spans="1:24" ht="13.5" thickBot="1">
      <c r="A9" s="1" t="s">
        <v>1296</v>
      </c>
      <c r="F9" s="5">
        <f>+F6+F7+F8</f>
        <v>24500000</v>
      </c>
      <c r="L9" s="187"/>
      <c r="Q9" s="257"/>
      <c r="T9" s="208"/>
      <c r="V9" s="381">
        <f>SUM(V6:V8)</f>
        <v>0</v>
      </c>
    </row>
    <row r="10" spans="1:24" ht="13.5" thickTop="1">
      <c r="A10" s="493" t="s">
        <v>8</v>
      </c>
      <c r="B10" s="494"/>
      <c r="C10" s="494"/>
      <c r="D10" s="494"/>
      <c r="E10" s="494"/>
      <c r="F10" s="494"/>
      <c r="G10" s="494"/>
      <c r="H10" s="494"/>
      <c r="I10" s="495">
        <f>+F9</f>
        <v>24500000</v>
      </c>
      <c r="L10" s="187"/>
      <c r="T10" s="208"/>
      <c r="V10" s="222"/>
    </row>
    <row r="11" spans="1:24">
      <c r="L11" s="187"/>
      <c r="R11" s="217"/>
      <c r="T11" s="334" t="s">
        <v>1127</v>
      </c>
      <c r="U11" s="1">
        <v>127000</v>
      </c>
      <c r="V11" s="222">
        <v>0</v>
      </c>
      <c r="X11" s="300"/>
    </row>
    <row r="12" spans="1:24">
      <c r="I12" s="52"/>
      <c r="L12" s="187"/>
      <c r="T12" s="208" t="s">
        <v>1196</v>
      </c>
      <c r="U12" s="1">
        <v>5000000</v>
      </c>
      <c r="V12" s="222">
        <f>+U12</f>
        <v>5000000</v>
      </c>
    </row>
    <row r="13" spans="1:24">
      <c r="L13" s="187"/>
      <c r="M13" s="1">
        <f>+I10</f>
        <v>24500000</v>
      </c>
      <c r="T13" s="330" t="s">
        <v>1128</v>
      </c>
      <c r="V13" s="222"/>
    </row>
    <row r="14" spans="1:24">
      <c r="A14" s="7" t="s">
        <v>43</v>
      </c>
      <c r="F14" s="2"/>
      <c r="H14" s="2"/>
      <c r="L14" s="187"/>
      <c r="R14" s="13"/>
      <c r="T14" s="334" t="s">
        <v>1130</v>
      </c>
      <c r="V14" s="222">
        <v>201000</v>
      </c>
    </row>
    <row r="15" spans="1:24">
      <c r="L15" s="187"/>
      <c r="R15" s="258"/>
      <c r="T15" s="334" t="s">
        <v>1131</v>
      </c>
      <c r="V15" s="331">
        <f>+E1*190000</f>
        <v>13680000</v>
      </c>
    </row>
    <row r="16" spans="1:24">
      <c r="A16" s="1" t="s">
        <v>9</v>
      </c>
      <c r="B16" s="1" t="s">
        <v>409</v>
      </c>
      <c r="D16" s="147">
        <v>0</v>
      </c>
      <c r="E16" s="147">
        <f>+V11</f>
        <v>0</v>
      </c>
      <c r="F16" s="1">
        <v>5000000</v>
      </c>
      <c r="G16" s="1" t="s">
        <v>549</v>
      </c>
      <c r="H16" s="300"/>
      <c r="I16" s="112"/>
      <c r="L16" s="187"/>
      <c r="T16" s="334" t="s">
        <v>1129</v>
      </c>
      <c r="V16" s="222">
        <f>+V15+V14</f>
        <v>13881000</v>
      </c>
    </row>
    <row r="17" spans="1:23">
      <c r="A17" s="1" t="s">
        <v>217</v>
      </c>
      <c r="G17" s="1" t="s">
        <v>549</v>
      </c>
      <c r="I17" s="112"/>
      <c r="L17" s="187"/>
      <c r="T17" s="334" t="s">
        <v>1132</v>
      </c>
      <c r="V17" s="169">
        <f>+V16/E1</f>
        <v>192791.66666666666</v>
      </c>
    </row>
    <row r="18" spans="1:23" ht="13.5" thickBot="1">
      <c r="A18" s="1" t="s">
        <v>13</v>
      </c>
      <c r="L18" s="187"/>
      <c r="T18" s="330"/>
      <c r="V18" s="222"/>
    </row>
    <row r="19" spans="1:23">
      <c r="A19" s="8" t="s">
        <v>14</v>
      </c>
      <c r="F19" s="130"/>
      <c r="L19" s="187"/>
      <c r="T19" s="334" t="s">
        <v>1208</v>
      </c>
      <c r="V19" s="222">
        <f>+V16*0.1</f>
        <v>1388100</v>
      </c>
      <c r="W19" s="13"/>
    </row>
    <row r="20" spans="1:23">
      <c r="A20" s="8" t="s">
        <v>15</v>
      </c>
      <c r="F20" s="131">
        <v>0</v>
      </c>
      <c r="L20" s="187"/>
      <c r="T20" s="334" t="s">
        <v>1197</v>
      </c>
      <c r="V20" s="222">
        <v>0</v>
      </c>
    </row>
    <row r="21" spans="1:23">
      <c r="A21" s="1" t="s">
        <v>16</v>
      </c>
      <c r="F21" s="132">
        <f>SUM(F19:F20)</f>
        <v>0</v>
      </c>
      <c r="L21" s="187"/>
      <c r="T21" s="334"/>
      <c r="V21" s="331"/>
    </row>
    <row r="22" spans="1:23">
      <c r="F22" s="132"/>
      <c r="L22" s="187"/>
      <c r="T22" s="334" t="s">
        <v>1198</v>
      </c>
      <c r="V22" s="222">
        <f>SUM(V19:V21)</f>
        <v>1388100</v>
      </c>
    </row>
    <row r="23" spans="1:23" ht="13.5" thickBot="1">
      <c r="A23" s="1" t="s">
        <v>17</v>
      </c>
      <c r="F23" s="132"/>
      <c r="L23" s="187"/>
      <c r="T23" s="333"/>
      <c r="U23" s="2"/>
      <c r="V23" s="331"/>
    </row>
    <row r="24" spans="1:23" ht="13.5" thickBot="1">
      <c r="A24" s="8" t="s">
        <v>18</v>
      </c>
      <c r="C24" s="1" t="s">
        <v>391</v>
      </c>
      <c r="E24" s="129">
        <v>14451334</v>
      </c>
      <c r="F24" s="454">
        <v>14451334</v>
      </c>
      <c r="G24" s="1" t="s">
        <v>549</v>
      </c>
      <c r="L24" s="187"/>
      <c r="T24" s="517"/>
      <c r="U24" s="518"/>
      <c r="V24" s="519"/>
    </row>
    <row r="25" spans="1:23">
      <c r="A25" s="8" t="s">
        <v>544</v>
      </c>
      <c r="E25" s="9">
        <v>7.0000000000000007E-2</v>
      </c>
      <c r="F25" s="132">
        <f>+F24*E25</f>
        <v>1011593.3800000001</v>
      </c>
      <c r="G25" s="1" t="s">
        <v>549</v>
      </c>
      <c r="L25" s="187"/>
      <c r="T25" s="385"/>
      <c r="U25" s="386"/>
      <c r="V25" s="387"/>
    </row>
    <row r="26" spans="1:23">
      <c r="A26" s="8" t="s">
        <v>19</v>
      </c>
      <c r="E26" s="96">
        <v>0.02</v>
      </c>
      <c r="F26" s="131">
        <f>SUM(F24*E26)</f>
        <v>289026.68</v>
      </c>
      <c r="G26" s="1" t="s">
        <v>549</v>
      </c>
      <c r="L26" s="187"/>
      <c r="T26" s="334"/>
      <c r="V26" s="222"/>
    </row>
    <row r="27" spans="1:23">
      <c r="A27" s="1" t="s">
        <v>20</v>
      </c>
      <c r="E27" s="99"/>
      <c r="F27" s="132">
        <f>SUM(F24:F26)</f>
        <v>15751954.060000001</v>
      </c>
      <c r="L27" s="187"/>
      <c r="T27" s="334"/>
      <c r="V27" s="222"/>
    </row>
    <row r="28" spans="1:23">
      <c r="E28" s="99"/>
      <c r="F28" s="132"/>
      <c r="L28" s="187"/>
      <c r="T28" s="382"/>
      <c r="U28" s="2"/>
      <c r="V28" s="383"/>
    </row>
    <row r="29" spans="1:23">
      <c r="A29" s="1" t="s">
        <v>21</v>
      </c>
      <c r="E29" s="99"/>
      <c r="F29" s="132"/>
      <c r="L29" s="187"/>
      <c r="T29" s="520"/>
      <c r="U29" s="521"/>
      <c r="V29" s="522"/>
    </row>
    <row r="30" spans="1:23">
      <c r="A30" s="8" t="s">
        <v>22</v>
      </c>
      <c r="E30" s="96">
        <v>0.05</v>
      </c>
      <c r="F30" s="132">
        <f>SUM(F24)*E30</f>
        <v>722566.70000000007</v>
      </c>
      <c r="G30" s="1" t="s">
        <v>549</v>
      </c>
      <c r="L30" s="187"/>
      <c r="T30" s="334"/>
      <c r="V30" s="222"/>
    </row>
    <row r="31" spans="1:23" ht="13.5" thickBot="1">
      <c r="A31" s="8" t="s">
        <v>23</v>
      </c>
      <c r="E31" s="96">
        <v>1.4999999999999999E-2</v>
      </c>
      <c r="F31" s="133">
        <f>SUM(F24+F26)*E31</f>
        <v>221105.41019999998</v>
      </c>
      <c r="G31" s="1" t="s">
        <v>549</v>
      </c>
      <c r="L31" s="187"/>
      <c r="T31" s="208"/>
      <c r="V31" s="222"/>
    </row>
    <row r="32" spans="1:23" ht="13.5" thickBot="1">
      <c r="A32" s="284" t="s">
        <v>934</v>
      </c>
      <c r="F32" s="1">
        <v>0</v>
      </c>
      <c r="G32" s="1" t="s">
        <v>549</v>
      </c>
      <c r="L32" s="187"/>
      <c r="T32" s="328"/>
      <c r="V32" s="329"/>
    </row>
    <row r="33" spans="1:34" ht="13.5" thickBot="1">
      <c r="A33" s="8" t="s">
        <v>350</v>
      </c>
      <c r="D33" s="326">
        <f>+U35</f>
        <v>0.8</v>
      </c>
      <c r="E33" s="94">
        <f>+U37</f>
        <v>2.7679105610596225E-2</v>
      </c>
      <c r="F33" s="130">
        <f>+V35</f>
        <v>400000</v>
      </c>
      <c r="G33" s="1" t="s">
        <v>549</v>
      </c>
      <c r="L33" s="187"/>
      <c r="T33" s="208"/>
      <c r="V33" s="222"/>
    </row>
    <row r="34" spans="1:34" ht="13.5" thickBot="1">
      <c r="A34" s="8" t="s">
        <v>25</v>
      </c>
      <c r="D34" s="326">
        <f>+U36</f>
        <v>0.2</v>
      </c>
      <c r="F34" s="133">
        <f>+V36</f>
        <v>0</v>
      </c>
      <c r="G34" s="129" t="s">
        <v>549</v>
      </c>
      <c r="H34" s="134">
        <f>SUM(F33:F34)</f>
        <v>400000</v>
      </c>
      <c r="L34" s="187"/>
      <c r="T34" s="523" t="s">
        <v>658</v>
      </c>
      <c r="U34" s="515"/>
      <c r="V34" s="516"/>
    </row>
    <row r="35" spans="1:34">
      <c r="A35" s="8" t="s">
        <v>1302</v>
      </c>
      <c r="F35" s="135">
        <f>+F24*0.05</f>
        <v>722566.70000000007</v>
      </c>
      <c r="L35" s="187"/>
      <c r="T35" s="208" t="s">
        <v>650</v>
      </c>
      <c r="U35" s="327">
        <v>0.8</v>
      </c>
      <c r="V35" s="222">
        <v>400000</v>
      </c>
    </row>
    <row r="36" spans="1:34">
      <c r="A36" s="1" t="s">
        <v>27</v>
      </c>
      <c r="F36" s="1">
        <f>SUM(F30:F35)</f>
        <v>2066238.8102000002</v>
      </c>
      <c r="L36" s="187"/>
      <c r="T36" s="208"/>
      <c r="U36" s="327">
        <v>0.2</v>
      </c>
      <c r="V36" s="331">
        <v>0</v>
      </c>
    </row>
    <row r="37" spans="1:34">
      <c r="L37" s="187"/>
      <c r="T37" s="330"/>
      <c r="U37" s="9">
        <f>+V37/E24</f>
        <v>2.7679105610596225E-2</v>
      </c>
      <c r="V37" s="222">
        <f>+V35+V36</f>
        <v>400000</v>
      </c>
    </row>
    <row r="38" spans="1:34">
      <c r="A38" s="1" t="s">
        <v>28</v>
      </c>
      <c r="L38" s="187"/>
      <c r="T38" s="334" t="s">
        <v>1016</v>
      </c>
      <c r="U38" s="463" t="s">
        <v>1152</v>
      </c>
      <c r="V38" s="222">
        <f>+V16*0.06</f>
        <v>832860</v>
      </c>
    </row>
    <row r="39" spans="1:34">
      <c r="A39" s="8" t="s">
        <v>29</v>
      </c>
      <c r="F39" s="1">
        <f>+'Interest Calculation'!D50</f>
        <v>859375</v>
      </c>
      <c r="L39" s="187"/>
      <c r="T39" s="514" t="s">
        <v>942</v>
      </c>
      <c r="U39" s="515"/>
      <c r="V39" s="516"/>
    </row>
    <row r="40" spans="1:34">
      <c r="A40" s="284" t="s">
        <v>424</v>
      </c>
      <c r="E40" s="96"/>
      <c r="F40" s="1">
        <f>17500000*0.003</f>
        <v>52500</v>
      </c>
      <c r="H40" s="315">
        <v>1.2500000000000001E-2</v>
      </c>
      <c r="L40" s="187"/>
      <c r="T40" s="208"/>
      <c r="U40" s="336" t="s">
        <v>948</v>
      </c>
      <c r="V40" s="222"/>
      <c r="W40" s="337"/>
    </row>
    <row r="41" spans="1:34">
      <c r="A41" s="8" t="s">
        <v>953</v>
      </c>
      <c r="E41" s="325"/>
      <c r="F41" s="1">
        <v>20000</v>
      </c>
      <c r="H41" s="3" t="s">
        <v>1293</v>
      </c>
      <c r="L41" s="187"/>
      <c r="T41" s="334" t="s">
        <v>944</v>
      </c>
      <c r="U41" s="301" t="s">
        <v>549</v>
      </c>
      <c r="V41" s="222">
        <v>100000</v>
      </c>
      <c r="W41" s="164">
        <f t="shared" ref="W41:W42" si="0">IF(U41="x",V41/V$45,0)</f>
        <v>0.5714285714285714</v>
      </c>
      <c r="AB41" s="300" t="s">
        <v>1167</v>
      </c>
      <c r="AH41" s="1">
        <v>55000</v>
      </c>
    </row>
    <row r="42" spans="1:34">
      <c r="A42" s="8" t="s">
        <v>30</v>
      </c>
      <c r="F42" s="1">
        <v>0</v>
      </c>
      <c r="L42" s="187"/>
      <c r="T42" s="334" t="s">
        <v>945</v>
      </c>
      <c r="U42" s="301" t="s">
        <v>549</v>
      </c>
      <c r="V42" s="222">
        <v>75000</v>
      </c>
      <c r="W42" s="164">
        <f t="shared" si="0"/>
        <v>0.42857142857142855</v>
      </c>
      <c r="AB42" s="300" t="s">
        <v>1168</v>
      </c>
      <c r="AH42" s="2">
        <v>21000</v>
      </c>
    </row>
    <row r="43" spans="1:34">
      <c r="A43" s="8" t="s">
        <v>31</v>
      </c>
      <c r="E43" s="13"/>
      <c r="F43" s="1">
        <v>120000</v>
      </c>
      <c r="H43" s="3" t="s">
        <v>1294</v>
      </c>
      <c r="L43" s="187"/>
      <c r="T43" s="464" t="s">
        <v>1153</v>
      </c>
      <c r="U43" s="300" t="s">
        <v>1176</v>
      </c>
      <c r="V43" s="222">
        <v>0</v>
      </c>
      <c r="W43" s="260"/>
      <c r="AB43" s="300" t="s">
        <v>91</v>
      </c>
      <c r="AH43" s="1">
        <f>SUM(AH41:AH42)</f>
        <v>76000</v>
      </c>
    </row>
    <row r="44" spans="1:34">
      <c r="A44" s="8" t="s">
        <v>32</v>
      </c>
      <c r="F44" s="2">
        <v>7000</v>
      </c>
      <c r="L44" s="187"/>
      <c r="T44" s="332"/>
      <c r="U44" s="7"/>
      <c r="V44" s="222"/>
      <c r="W44" s="260"/>
    </row>
    <row r="45" spans="1:34">
      <c r="F45" s="1">
        <f>SUM(F39:F44)</f>
        <v>1058875</v>
      </c>
      <c r="L45" s="187"/>
      <c r="T45" s="334" t="s">
        <v>946</v>
      </c>
      <c r="V45" s="222">
        <f>SUM(V41:V43)</f>
        <v>175000</v>
      </c>
      <c r="W45" s="164">
        <f>SUM(W41:W43)</f>
        <v>1</v>
      </c>
      <c r="AA45" s="512" t="s">
        <v>939</v>
      </c>
      <c r="AB45" s="513"/>
      <c r="AC45" s="513"/>
      <c r="AD45" s="513"/>
    </row>
    <row r="46" spans="1:34">
      <c r="L46" s="187"/>
      <c r="M46" s="5"/>
      <c r="T46" s="334"/>
      <c r="U46" s="72"/>
      <c r="V46" s="222"/>
      <c r="W46" s="164">
        <f>1-W45</f>
        <v>0</v>
      </c>
      <c r="AA46" s="1">
        <f>SUM(F6/AC46*AB46)</f>
        <v>41625</v>
      </c>
      <c r="AB46" s="13">
        <v>2.25</v>
      </c>
      <c r="AC46" s="1">
        <v>1000</v>
      </c>
      <c r="AD46" s="1" t="s">
        <v>425</v>
      </c>
    </row>
    <row r="47" spans="1:34">
      <c r="A47" s="1" t="s">
        <v>33</v>
      </c>
      <c r="L47" s="187"/>
      <c r="T47" s="514"/>
      <c r="U47" s="515"/>
      <c r="V47" s="516"/>
      <c r="W47" s="261"/>
      <c r="AA47" s="1">
        <f>SUM(F7/AC47*AB47)</f>
        <v>0</v>
      </c>
      <c r="AB47" s="13">
        <v>2.75</v>
      </c>
      <c r="AC47" s="1">
        <v>1000</v>
      </c>
      <c r="AD47" s="1" t="s">
        <v>426</v>
      </c>
    </row>
    <row r="48" spans="1:34">
      <c r="A48" s="8" t="s">
        <v>34</v>
      </c>
      <c r="F48" s="1">
        <v>50000</v>
      </c>
      <c r="G48" s="1" t="s">
        <v>549</v>
      </c>
      <c r="L48" s="187"/>
      <c r="T48" s="208"/>
      <c r="U48" s="336"/>
      <c r="V48" s="222"/>
      <c r="W48" s="337"/>
      <c r="AA48" s="62">
        <v>1.5</v>
      </c>
    </row>
    <row r="49" spans="1:42">
      <c r="A49" s="8" t="s">
        <v>35</v>
      </c>
      <c r="F49" s="1">
        <v>25000</v>
      </c>
      <c r="G49" s="1" t="s">
        <v>549</v>
      </c>
      <c r="L49" s="187"/>
      <c r="T49" s="334"/>
      <c r="U49" s="300"/>
      <c r="V49" s="222"/>
      <c r="W49" s="164">
        <f>IF(U49="x",V49/V$52,0)</f>
        <v>0</v>
      </c>
      <c r="AP49" s="9"/>
    </row>
    <row r="50" spans="1:42">
      <c r="A50" s="8" t="s">
        <v>36</v>
      </c>
      <c r="F50" s="1">
        <v>0</v>
      </c>
      <c r="L50" s="187"/>
      <c r="T50" s="334"/>
      <c r="V50" s="222"/>
      <c r="W50" s="260"/>
    </row>
    <row r="51" spans="1:42">
      <c r="A51" s="8" t="s">
        <v>37</v>
      </c>
      <c r="F51" s="2">
        <v>0</v>
      </c>
      <c r="G51" s="1" t="s">
        <v>549</v>
      </c>
      <c r="L51" s="187"/>
      <c r="T51" s="208"/>
      <c r="V51" s="222"/>
      <c r="W51" s="260"/>
    </row>
    <row r="52" spans="1:42">
      <c r="A52" s="1" t="s">
        <v>38</v>
      </c>
      <c r="F52" s="1">
        <f>SUM(F48:F51)</f>
        <v>75000</v>
      </c>
      <c r="L52" s="187"/>
      <c r="T52" s="334"/>
      <c r="V52" s="222"/>
      <c r="W52" s="164">
        <f>SUM(W48:W51)</f>
        <v>0</v>
      </c>
    </row>
    <row r="53" spans="1:42">
      <c r="L53" s="187"/>
      <c r="T53" s="208"/>
      <c r="V53" s="222"/>
      <c r="W53" s="339">
        <f>1-W52</f>
        <v>1</v>
      </c>
    </row>
    <row r="54" spans="1:42">
      <c r="A54" s="1" t="s">
        <v>39</v>
      </c>
      <c r="L54" s="187"/>
      <c r="T54" s="334"/>
      <c r="U54" s="217"/>
      <c r="V54" s="169"/>
    </row>
    <row r="55" spans="1:42">
      <c r="A55" s="284" t="s">
        <v>1298</v>
      </c>
      <c r="F55" s="1">
        <v>400000</v>
      </c>
      <c r="L55" s="187"/>
      <c r="N55"/>
      <c r="O55" s="12"/>
      <c r="T55" s="524" t="s">
        <v>952</v>
      </c>
      <c r="U55" s="525"/>
      <c r="V55" s="526"/>
      <c r="X55" s="301"/>
      <c r="Y55" s="301"/>
    </row>
    <row r="56" spans="1:42">
      <c r="A56" s="8" t="s">
        <v>40</v>
      </c>
      <c r="F56" s="1">
        <v>0</v>
      </c>
      <c r="L56" s="187"/>
      <c r="T56" s="388"/>
      <c r="U56" s="386"/>
      <c r="V56" s="387"/>
    </row>
    <row r="57" spans="1:42">
      <c r="A57" s="8" t="s">
        <v>41</v>
      </c>
      <c r="E57" s="94">
        <v>0.05</v>
      </c>
      <c r="F57" s="101">
        <v>0</v>
      </c>
      <c r="L57" s="187"/>
      <c r="T57" s="334" t="s">
        <v>1199</v>
      </c>
      <c r="V57" s="455">
        <v>5000</v>
      </c>
      <c r="W57" s="1" t="s">
        <v>549</v>
      </c>
    </row>
    <row r="58" spans="1:42">
      <c r="A58" s="8" t="str">
        <f>+T55</f>
        <v>Other Third Party Costs</v>
      </c>
      <c r="F58" s="1">
        <v>217742</v>
      </c>
      <c r="L58" s="187"/>
      <c r="T58" s="334" t="s">
        <v>1200</v>
      </c>
      <c r="V58" s="222">
        <v>2600</v>
      </c>
      <c r="W58" s="1" t="s">
        <v>549</v>
      </c>
    </row>
    <row r="59" spans="1:42">
      <c r="A59" s="100"/>
      <c r="B59" s="7"/>
      <c r="C59" s="7"/>
      <c r="D59" s="262"/>
      <c r="E59" s="263"/>
      <c r="F59" s="57">
        <f>+V82</f>
        <v>0</v>
      </c>
      <c r="L59" s="287"/>
      <c r="T59" s="334" t="s">
        <v>1201</v>
      </c>
      <c r="V59" s="222">
        <v>5000</v>
      </c>
      <c r="W59" s="1" t="s">
        <v>549</v>
      </c>
    </row>
    <row r="60" spans="1:42">
      <c r="A60" s="1" t="s">
        <v>44</v>
      </c>
      <c r="F60" s="1">
        <f>SUM(F55:F59)</f>
        <v>617742</v>
      </c>
      <c r="L60" s="187"/>
      <c r="T60" s="334" t="s">
        <v>1202</v>
      </c>
      <c r="V60" s="222">
        <v>80000</v>
      </c>
      <c r="W60" s="1" t="s">
        <v>549</v>
      </c>
    </row>
    <row r="61" spans="1:42">
      <c r="L61" s="187"/>
      <c r="T61" s="340" t="s">
        <v>1203</v>
      </c>
      <c r="V61" s="222">
        <v>9000</v>
      </c>
      <c r="W61" s="1" t="s">
        <v>549</v>
      </c>
    </row>
    <row r="62" spans="1:42" hidden="1">
      <c r="L62" s="187"/>
      <c r="T62" s="334" t="s">
        <v>981</v>
      </c>
      <c r="V62" s="222">
        <v>6000</v>
      </c>
      <c r="W62" s="1" t="s">
        <v>549</v>
      </c>
    </row>
    <row r="63" spans="1:42" hidden="1">
      <c r="A63" s="8"/>
      <c r="H63" s="253"/>
      <c r="L63" s="187"/>
      <c r="T63" s="334" t="s">
        <v>956</v>
      </c>
      <c r="V63" s="222">
        <v>15000</v>
      </c>
      <c r="W63" s="1" t="s">
        <v>549</v>
      </c>
    </row>
    <row r="64" spans="1:42" hidden="1">
      <c r="A64" s="8"/>
      <c r="H64" s="2"/>
      <c r="L64" s="187"/>
      <c r="T64" s="334" t="s">
        <v>1204</v>
      </c>
      <c r="U64" s="300"/>
      <c r="V64" s="222">
        <v>6000</v>
      </c>
      <c r="W64" s="1" t="s">
        <v>549</v>
      </c>
    </row>
    <row r="65" spans="1:23" hidden="1">
      <c r="L65" s="187"/>
      <c r="T65" s="334" t="s">
        <v>1205</v>
      </c>
      <c r="V65" s="222">
        <v>1000</v>
      </c>
      <c r="W65" s="1" t="s">
        <v>549</v>
      </c>
    </row>
    <row r="66" spans="1:23" hidden="1">
      <c r="L66" s="187"/>
      <c r="M66" s="5"/>
      <c r="T66" s="334" t="s">
        <v>1206</v>
      </c>
      <c r="U66" s="300"/>
      <c r="V66" s="222">
        <v>6000</v>
      </c>
      <c r="W66" s="1" t="s">
        <v>549</v>
      </c>
    </row>
    <row r="67" spans="1:23" hidden="1">
      <c r="A67" s="300" t="s">
        <v>1213</v>
      </c>
      <c r="E67" s="94"/>
      <c r="F67" s="1">
        <v>0</v>
      </c>
      <c r="H67" s="1">
        <v>0</v>
      </c>
      <c r="L67" s="187"/>
      <c r="T67" s="208" t="s">
        <v>1209</v>
      </c>
      <c r="V67" s="331">
        <v>0</v>
      </c>
    </row>
    <row r="68" spans="1:23" hidden="1">
      <c r="E68" s="95"/>
      <c r="H68" s="300">
        <v>0</v>
      </c>
      <c r="L68" s="187"/>
      <c r="T68" s="208"/>
      <c r="V68" s="222">
        <f>SUM(V57:V67)</f>
        <v>135600</v>
      </c>
    </row>
    <row r="69" spans="1:23" hidden="1">
      <c r="L69" s="187"/>
      <c r="T69" s="333"/>
      <c r="U69" s="2"/>
      <c r="V69" s="331"/>
    </row>
    <row r="70" spans="1:23" hidden="1">
      <c r="A70" s="1" t="s">
        <v>598</v>
      </c>
      <c r="L70" s="187"/>
      <c r="O70" s="251"/>
      <c r="T70" s="527"/>
      <c r="U70" s="528"/>
      <c r="V70" s="529"/>
    </row>
    <row r="71" spans="1:23" hidden="1">
      <c r="A71" s="284" t="s">
        <v>957</v>
      </c>
      <c r="F71" s="1">
        <v>0</v>
      </c>
      <c r="L71" s="187"/>
      <c r="T71" s="374"/>
      <c r="U71" s="375"/>
      <c r="V71" s="376"/>
    </row>
    <row r="72" spans="1:23" hidden="1">
      <c r="A72" s="8" t="s">
        <v>49</v>
      </c>
      <c r="F72" s="2">
        <v>0</v>
      </c>
      <c r="L72" s="187"/>
      <c r="T72" s="334"/>
      <c r="V72" s="222"/>
    </row>
    <row r="73" spans="1:23" hidden="1">
      <c r="A73" s="1" t="s">
        <v>50</v>
      </c>
      <c r="F73" s="1">
        <f>SUM(F71:F72)</f>
        <v>0</v>
      </c>
      <c r="L73" s="187"/>
      <c r="T73" s="334"/>
      <c r="U73" s="13"/>
      <c r="V73" s="222"/>
    </row>
    <row r="74" spans="1:23">
      <c r="F74" s="2"/>
      <c r="H74" s="2"/>
      <c r="L74" s="187"/>
      <c r="T74" s="334"/>
      <c r="V74" s="331"/>
    </row>
    <row r="75" spans="1:23" ht="13.5" thickBot="1">
      <c r="A75" s="493" t="s">
        <v>54</v>
      </c>
      <c r="B75" s="494"/>
      <c r="C75" s="494"/>
      <c r="D75" s="494"/>
      <c r="E75" s="494"/>
      <c r="F75" s="494">
        <f>+F27+F16+F36+F45+F52+F60</f>
        <v>24569809.870200001</v>
      </c>
      <c r="G75" s="494"/>
      <c r="H75" s="494"/>
      <c r="I75" s="496">
        <f>+I10</f>
        <v>24500000</v>
      </c>
      <c r="L75" s="187"/>
      <c r="T75" s="334"/>
      <c r="V75" s="222"/>
    </row>
    <row r="76" spans="1:23" ht="13.5" thickTop="1">
      <c r="L76" s="187"/>
      <c r="T76" s="333"/>
      <c r="U76" s="2"/>
      <c r="V76" s="331"/>
    </row>
    <row r="77" spans="1:23">
      <c r="A77" s="1" t="s">
        <v>51</v>
      </c>
      <c r="B77" s="1">
        <f>+Rent!C44</f>
        <v>72</v>
      </c>
      <c r="L77" s="187"/>
      <c r="T77" s="208"/>
      <c r="V77" s="222"/>
    </row>
    <row r="78" spans="1:23">
      <c r="A78" s="1" t="s">
        <v>311</v>
      </c>
      <c r="I78" s="1">
        <f>I75/B77</f>
        <v>340277.77777777775</v>
      </c>
      <c r="L78" s="187"/>
      <c r="T78" s="539"/>
      <c r="U78" s="540"/>
      <c r="V78" s="541"/>
    </row>
    <row r="79" spans="1:23">
      <c r="A79" s="1" t="s">
        <v>312</v>
      </c>
      <c r="I79" s="1">
        <f>SUM(I75/B77)</f>
        <v>340277.77777777775</v>
      </c>
      <c r="L79" s="187"/>
      <c r="M79" s="52"/>
      <c r="T79" s="208"/>
      <c r="V79" s="222"/>
    </row>
    <row r="80" spans="1:23">
      <c r="A80" s="1" t="s">
        <v>55</v>
      </c>
      <c r="H80" s="9">
        <v>0.1</v>
      </c>
      <c r="L80" s="187"/>
      <c r="T80" s="334"/>
      <c r="V80" s="222"/>
    </row>
    <row r="81" spans="1:22">
      <c r="A81" s="1" t="s">
        <v>56</v>
      </c>
      <c r="H81" s="9">
        <f>SUM(H67/F75)</f>
        <v>0</v>
      </c>
      <c r="L81" s="187"/>
      <c r="T81" s="208"/>
      <c r="V81" s="222"/>
    </row>
    <row r="82" spans="1:22">
      <c r="A82" s="1" t="s">
        <v>57</v>
      </c>
      <c r="H82" s="286">
        <f>+(E24+V22)/E1</f>
        <v>219992.13888888888</v>
      </c>
      <c r="L82" s="187"/>
      <c r="T82" s="334"/>
      <c r="V82" s="222"/>
    </row>
    <row r="83" spans="1:22">
      <c r="A83" s="300" t="s">
        <v>1032</v>
      </c>
      <c r="H83" s="1">
        <v>78800</v>
      </c>
      <c r="L83" s="187"/>
      <c r="T83" s="208"/>
      <c r="V83" s="222"/>
    </row>
    <row r="84" spans="1:22">
      <c r="A84" s="1" t="s">
        <v>376</v>
      </c>
      <c r="H84" s="13">
        <f>+F75/H83</f>
        <v>311.79961764213198</v>
      </c>
      <c r="L84" s="187"/>
      <c r="T84" s="536"/>
      <c r="U84" s="537"/>
      <c r="V84" s="538"/>
    </row>
    <row r="85" spans="1:22" hidden="1">
      <c r="A85" s="1" t="s">
        <v>22</v>
      </c>
      <c r="B85" s="1">
        <v>0</v>
      </c>
    </row>
    <row r="86" spans="1:22" hidden="1">
      <c r="A86" s="5"/>
    </row>
    <row r="87" spans="1:22" hidden="1">
      <c r="A87" s="1" t="s">
        <v>91</v>
      </c>
      <c r="B87" s="1">
        <f>SUM(B85:B86)</f>
        <v>0</v>
      </c>
    </row>
    <row r="88" spans="1:22" hidden="1">
      <c r="A88" s="1" t="s">
        <v>708</v>
      </c>
      <c r="B88" s="1" t="e">
        <f>-#REF!-#REF!</f>
        <v>#REF!</v>
      </c>
    </row>
    <row r="89" spans="1:22" hidden="1">
      <c r="A89" s="1" t="s">
        <v>709</v>
      </c>
      <c r="B89" s="1" t="e">
        <f>SUM(B87:B88)</f>
        <v>#REF!</v>
      </c>
    </row>
    <row r="90" spans="1:22" hidden="1">
      <c r="A90" s="1" t="s">
        <v>710</v>
      </c>
      <c r="B90" s="1" t="e">
        <f>SUM(B89/B77)</f>
        <v>#REF!</v>
      </c>
    </row>
    <row r="91" spans="1:22" hidden="1"/>
    <row r="92" spans="1:22" hidden="1"/>
    <row r="93" spans="1:22" hidden="1"/>
    <row r="94" spans="1:22" hidden="1"/>
    <row r="95" spans="1:22" hidden="1"/>
  </sheetData>
  <mergeCells count="11">
    <mergeCell ref="T84:V84"/>
    <mergeCell ref="T78:V78"/>
    <mergeCell ref="AA45:AD45"/>
    <mergeCell ref="T2:V2"/>
    <mergeCell ref="T29:V29"/>
    <mergeCell ref="T34:V34"/>
    <mergeCell ref="T39:V39"/>
    <mergeCell ref="T24:V24"/>
    <mergeCell ref="T70:V70"/>
    <mergeCell ref="T55:V55"/>
    <mergeCell ref="T47:V47"/>
  </mergeCells>
  <phoneticPr fontId="0" type="noConversion"/>
  <pageMargins left="0.75" right="0.75" top="1" bottom="1" header="0.5" footer="0.5"/>
  <pageSetup scale="67" orientation="portrait" horizontalDpi="4294967292" r:id="rId1"/>
  <headerFooter alignWithMargins="0">
    <oddFooter>&amp;L
&amp;D&amp;CThis presentation is for internal use only and should not be used for any other purposes.
&amp;T&amp;R
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CF8DA-8E3A-4DD4-AEFC-3BE0B1FB816D}">
  <dimension ref="A3:C17"/>
  <sheetViews>
    <sheetView workbookViewId="0">
      <selection activeCell="K8" sqref="K8"/>
    </sheetView>
  </sheetViews>
  <sheetFormatPr defaultRowHeight="12.75"/>
  <cols>
    <col min="1" max="1" width="9.5703125" bestFit="1" customWidth="1"/>
    <col min="2" max="2" width="17.140625" bestFit="1" customWidth="1"/>
    <col min="3" max="3" width="9.42578125" bestFit="1" customWidth="1"/>
  </cols>
  <sheetData>
    <row r="3" spans="1:3" ht="15.75" thickBot="1">
      <c r="A3" s="499"/>
    </row>
    <row r="4" spans="1:3" ht="30.75" thickBot="1">
      <c r="A4" s="500"/>
      <c r="B4" s="501" t="s">
        <v>1303</v>
      </c>
      <c r="C4" s="501" t="s">
        <v>470</v>
      </c>
    </row>
    <row r="5" spans="1:3" ht="60.75" thickBot="1">
      <c r="A5" s="502" t="s">
        <v>1304</v>
      </c>
      <c r="B5" s="507">
        <f>+'Sources &amp; Uses'!F75</f>
        <v>24569809.870200001</v>
      </c>
      <c r="C5" s="504" t="s">
        <v>1122</v>
      </c>
    </row>
    <row r="6" spans="1:3" ht="45.75" thickBot="1">
      <c r="A6" s="502" t="s">
        <v>1305</v>
      </c>
      <c r="B6" s="507">
        <f>+'Sources &amp; Uses'!F6</f>
        <v>18500000</v>
      </c>
      <c r="C6" s="511">
        <f>+B6/B5</f>
        <v>0.75295657954757333</v>
      </c>
    </row>
    <row r="7" spans="1:3" ht="60.75" thickBot="1">
      <c r="A7" s="502" t="s">
        <v>1306</v>
      </c>
      <c r="B7" s="503">
        <v>6900000</v>
      </c>
      <c r="C7" s="511">
        <f>+B7/B5</f>
        <v>0.28083245399341927</v>
      </c>
    </row>
    <row r="8" spans="1:3" ht="75.75" thickBot="1">
      <c r="A8" s="502" t="s">
        <v>1307</v>
      </c>
      <c r="B8" s="510">
        <v>3500000</v>
      </c>
      <c r="C8" s="511">
        <f>+B8/B5</f>
        <v>0.14245124477927062</v>
      </c>
    </row>
    <row r="9" spans="1:3" ht="45.75" thickBot="1">
      <c r="A9" s="505" t="s">
        <v>1308</v>
      </c>
      <c r="B9" s="508">
        <f>+B8+B7+B6</f>
        <v>28900000</v>
      </c>
      <c r="C9" s="506">
        <v>1</v>
      </c>
    </row>
    <row r="10" spans="1:3">
      <c r="B10" s="1"/>
    </row>
    <row r="11" spans="1:3" ht="15">
      <c r="A11" s="509" t="s">
        <v>1309</v>
      </c>
      <c r="B11" s="293" t="s">
        <v>1310</v>
      </c>
    </row>
    <row r="13" spans="1:3">
      <c r="B13" s="476">
        <f>6900000*0.25</f>
        <v>1725000</v>
      </c>
      <c r="C13" s="293" t="s">
        <v>1311</v>
      </c>
    </row>
    <row r="14" spans="1:3">
      <c r="B14" s="476">
        <f>+B13*2</f>
        <v>3450000</v>
      </c>
      <c r="C14" s="293" t="s">
        <v>1312</v>
      </c>
    </row>
    <row r="15" spans="1:3">
      <c r="B15" s="480">
        <f>+B13</f>
        <v>1725000</v>
      </c>
      <c r="C15" s="293" t="s">
        <v>1313</v>
      </c>
    </row>
    <row r="17" spans="1:1">
      <c r="A17" s="293" t="s">
        <v>1314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53"/>
  <sheetViews>
    <sheetView workbookViewId="0"/>
  </sheetViews>
  <sheetFormatPr defaultColWidth="8.85546875" defaultRowHeight="12.75"/>
  <cols>
    <col min="2" max="2" width="10" customWidth="1"/>
    <col min="3" max="3" width="11.28515625" customWidth="1"/>
    <col min="4" max="4" width="11.42578125" customWidth="1"/>
    <col min="5" max="5" width="11.85546875" customWidth="1"/>
    <col min="6" max="6" width="11.7109375" customWidth="1"/>
    <col min="7" max="7" width="13.7109375" customWidth="1"/>
    <col min="9" max="9" width="14" customWidth="1"/>
  </cols>
  <sheetData>
    <row r="1" spans="1:9">
      <c r="A1" s="1" t="str">
        <f>+'Sources &amp; Uses'!A1</f>
        <v>Lamar Building</v>
      </c>
      <c r="E1" t="s">
        <v>815</v>
      </c>
      <c r="G1" s="293" t="s">
        <v>1054</v>
      </c>
    </row>
    <row r="4" spans="1:9">
      <c r="A4" t="s">
        <v>144</v>
      </c>
      <c r="C4" s="75"/>
      <c r="D4" s="11">
        <f>+C4</f>
        <v>0</v>
      </c>
    </row>
    <row r="5" spans="1:9">
      <c r="A5" t="s">
        <v>145</v>
      </c>
      <c r="C5" s="71">
        <v>0</v>
      </c>
      <c r="E5" t="s">
        <v>148</v>
      </c>
      <c r="G5" s="36">
        <f>-PMT(C5/C7,C6,C4)*0</f>
        <v>0</v>
      </c>
    </row>
    <row r="6" spans="1:9">
      <c r="A6" t="s">
        <v>146</v>
      </c>
      <c r="C6" s="76">
        <v>40</v>
      </c>
      <c r="E6" t="s">
        <v>149</v>
      </c>
      <c r="G6" s="37">
        <f>G5*C7</f>
        <v>0</v>
      </c>
    </row>
    <row r="7" spans="1:9">
      <c r="A7" t="s">
        <v>147</v>
      </c>
      <c r="C7" s="77">
        <v>1</v>
      </c>
      <c r="E7" t="s">
        <v>150</v>
      </c>
      <c r="G7" s="91">
        <f>+'Proforma (Application)'!D79</f>
        <v>9359</v>
      </c>
      <c r="I7" s="2" t="e">
        <f>+'Sources &amp; Uses'!#REF!</f>
        <v>#REF!</v>
      </c>
    </row>
    <row r="8" spans="1:9">
      <c r="G8" s="294">
        <f>SUM('Proforma (Application)'!D82:R82)/15</f>
        <v>0</v>
      </c>
    </row>
    <row r="9" spans="1:9" hidden="1"/>
    <row r="10" spans="1:9" hidden="1">
      <c r="B10" s="35" t="s">
        <v>151</v>
      </c>
      <c r="C10" s="35" t="s">
        <v>152</v>
      </c>
      <c r="D10" s="35" t="s">
        <v>153</v>
      </c>
      <c r="E10" s="35" t="s">
        <v>154</v>
      </c>
      <c r="F10" s="35" t="s">
        <v>155</v>
      </c>
      <c r="G10" s="35" t="s">
        <v>156</v>
      </c>
    </row>
    <row r="11" spans="1:9" hidden="1">
      <c r="B11" s="34">
        <v>1</v>
      </c>
      <c r="C11" s="38">
        <f>$G$5</f>
        <v>0</v>
      </c>
      <c r="D11" s="39">
        <f>C4*$C$5/12</f>
        <v>0</v>
      </c>
      <c r="E11" s="38">
        <f>C11-D11</f>
        <v>0</v>
      </c>
      <c r="F11" s="38">
        <f>C4-E11</f>
        <v>0</v>
      </c>
      <c r="G11" s="38">
        <f>D11</f>
        <v>0</v>
      </c>
    </row>
    <row r="12" spans="1:9" hidden="1">
      <c r="B12" s="34">
        <v>2</v>
      </c>
      <c r="C12" s="38">
        <f t="shared" ref="C12:C50" si="0">$G$5</f>
        <v>0</v>
      </c>
      <c r="D12" s="38">
        <f>F11*$C$5/12</f>
        <v>0</v>
      </c>
      <c r="E12" s="38">
        <f t="shared" ref="E12:E50" si="1">C12-D12</f>
        <v>0</v>
      </c>
      <c r="F12" s="38">
        <f>F11-E12</f>
        <v>0</v>
      </c>
      <c r="G12" s="38">
        <f>D12+G11</f>
        <v>0</v>
      </c>
    </row>
    <row r="13" spans="1:9" hidden="1">
      <c r="B13" s="34">
        <v>3</v>
      </c>
      <c r="C13" s="38">
        <f t="shared" si="0"/>
        <v>0</v>
      </c>
      <c r="D13" s="38">
        <f t="shared" ref="D13:D50" si="2">F12*$C$5/12</f>
        <v>0</v>
      </c>
      <c r="E13" s="38">
        <f t="shared" si="1"/>
        <v>0</v>
      </c>
      <c r="F13" s="38">
        <f t="shared" ref="F13:F50" si="3">F12-E13</f>
        <v>0</v>
      </c>
      <c r="G13" s="38">
        <f t="shared" ref="G13:G50" si="4">D13+G12</f>
        <v>0</v>
      </c>
    </row>
    <row r="14" spans="1:9" hidden="1">
      <c r="B14" s="34">
        <v>4</v>
      </c>
      <c r="C14" s="38" t="e">
        <f>+'Residual Calculation'!H55</f>
        <v>#REF!</v>
      </c>
      <c r="D14" s="38">
        <f t="shared" si="2"/>
        <v>0</v>
      </c>
      <c r="E14" s="38" t="e">
        <f t="shared" si="1"/>
        <v>#REF!</v>
      </c>
      <c r="F14" s="38" t="e">
        <f t="shared" si="3"/>
        <v>#REF!</v>
      </c>
      <c r="G14" s="38">
        <f t="shared" si="4"/>
        <v>0</v>
      </c>
    </row>
    <row r="15" spans="1:9" hidden="1">
      <c r="B15" s="34">
        <v>5</v>
      </c>
      <c r="C15" s="38" t="e">
        <f>+'Residual Calculation'!I55</f>
        <v>#REF!</v>
      </c>
      <c r="D15" s="38" t="e">
        <f t="shared" si="2"/>
        <v>#REF!</v>
      </c>
      <c r="E15" s="38" t="e">
        <f t="shared" si="1"/>
        <v>#REF!</v>
      </c>
      <c r="F15" s="38" t="e">
        <f t="shared" si="3"/>
        <v>#REF!</v>
      </c>
      <c r="G15" s="38" t="e">
        <f t="shared" si="4"/>
        <v>#REF!</v>
      </c>
    </row>
    <row r="16" spans="1:9" hidden="1">
      <c r="B16" s="34">
        <v>6</v>
      </c>
      <c r="C16" s="38" t="e">
        <f>+'Residual Calculation'!J55</f>
        <v>#REF!</v>
      </c>
      <c r="D16" s="38" t="e">
        <f t="shared" si="2"/>
        <v>#REF!</v>
      </c>
      <c r="E16" s="38" t="e">
        <f t="shared" si="1"/>
        <v>#REF!</v>
      </c>
      <c r="F16" s="38" t="e">
        <f t="shared" si="3"/>
        <v>#REF!</v>
      </c>
      <c r="G16" s="38" t="e">
        <f t="shared" si="4"/>
        <v>#REF!</v>
      </c>
    </row>
    <row r="17" spans="2:7" hidden="1">
      <c r="B17" s="34">
        <v>7</v>
      </c>
      <c r="C17" s="38" t="e">
        <f>+'Residual Calculation'!K55</f>
        <v>#REF!</v>
      </c>
      <c r="D17" s="38" t="e">
        <f t="shared" si="2"/>
        <v>#REF!</v>
      </c>
      <c r="E17" s="38" t="e">
        <f t="shared" si="1"/>
        <v>#REF!</v>
      </c>
      <c r="F17" s="38" t="e">
        <f t="shared" si="3"/>
        <v>#REF!</v>
      </c>
      <c r="G17" s="38" t="e">
        <f t="shared" si="4"/>
        <v>#REF!</v>
      </c>
    </row>
    <row r="18" spans="2:7" hidden="1">
      <c r="B18" s="34">
        <v>8</v>
      </c>
      <c r="C18" s="38" t="e">
        <f>+'Residual Calculation'!L55</f>
        <v>#REF!</v>
      </c>
      <c r="D18" s="38" t="e">
        <f t="shared" si="2"/>
        <v>#REF!</v>
      </c>
      <c r="E18" s="38" t="e">
        <f t="shared" si="1"/>
        <v>#REF!</v>
      </c>
      <c r="F18" s="38" t="e">
        <f t="shared" si="3"/>
        <v>#REF!</v>
      </c>
      <c r="G18" s="38" t="e">
        <f t="shared" si="4"/>
        <v>#REF!</v>
      </c>
    </row>
    <row r="19" spans="2:7" hidden="1">
      <c r="B19" s="34">
        <v>9</v>
      </c>
      <c r="C19" s="38" t="e">
        <f>+'Residual Calculation'!M55</f>
        <v>#REF!</v>
      </c>
      <c r="D19" s="38" t="e">
        <f t="shared" si="2"/>
        <v>#REF!</v>
      </c>
      <c r="E19" s="38" t="e">
        <f t="shared" si="1"/>
        <v>#REF!</v>
      </c>
      <c r="F19" s="38" t="e">
        <f t="shared" si="3"/>
        <v>#REF!</v>
      </c>
      <c r="G19" s="38" t="e">
        <f t="shared" si="4"/>
        <v>#REF!</v>
      </c>
    </row>
    <row r="20" spans="2:7" hidden="1">
      <c r="B20" s="34">
        <v>10</v>
      </c>
      <c r="C20" s="38" t="e">
        <f>+'Residual Calculation'!N55</f>
        <v>#REF!</v>
      </c>
      <c r="D20" s="38" t="e">
        <f t="shared" si="2"/>
        <v>#REF!</v>
      </c>
      <c r="E20" s="38" t="e">
        <f t="shared" si="1"/>
        <v>#REF!</v>
      </c>
      <c r="F20" s="38" t="e">
        <f t="shared" si="3"/>
        <v>#REF!</v>
      </c>
      <c r="G20" s="38" t="e">
        <f t="shared" si="4"/>
        <v>#REF!</v>
      </c>
    </row>
    <row r="21" spans="2:7" hidden="1">
      <c r="B21" s="34">
        <v>11</v>
      </c>
      <c r="C21" s="38" t="e">
        <f>+'Residual Calculation'!O55</f>
        <v>#REF!</v>
      </c>
      <c r="D21" s="38" t="e">
        <f t="shared" si="2"/>
        <v>#REF!</v>
      </c>
      <c r="E21" s="38" t="e">
        <f t="shared" si="1"/>
        <v>#REF!</v>
      </c>
      <c r="F21" s="38" t="e">
        <f t="shared" si="3"/>
        <v>#REF!</v>
      </c>
      <c r="G21" s="38" t="e">
        <f t="shared" si="4"/>
        <v>#REF!</v>
      </c>
    </row>
    <row r="22" spans="2:7" hidden="1">
      <c r="B22" s="34">
        <v>12</v>
      </c>
      <c r="C22" s="38" t="e">
        <f>+'Residual Calculation'!P55</f>
        <v>#REF!</v>
      </c>
      <c r="D22" s="38" t="e">
        <f t="shared" si="2"/>
        <v>#REF!</v>
      </c>
      <c r="E22" s="38" t="e">
        <f t="shared" si="1"/>
        <v>#REF!</v>
      </c>
      <c r="F22" s="38" t="e">
        <f t="shared" si="3"/>
        <v>#REF!</v>
      </c>
      <c r="G22" s="38" t="e">
        <f t="shared" si="4"/>
        <v>#REF!</v>
      </c>
    </row>
    <row r="23" spans="2:7" hidden="1">
      <c r="B23" s="34">
        <v>13</v>
      </c>
      <c r="C23" s="38" t="e">
        <f>+'Residual Calculation'!Q55</f>
        <v>#REF!</v>
      </c>
      <c r="D23" s="38" t="e">
        <f t="shared" si="2"/>
        <v>#REF!</v>
      </c>
      <c r="E23" s="38" t="e">
        <f t="shared" si="1"/>
        <v>#REF!</v>
      </c>
      <c r="F23" s="38" t="e">
        <f t="shared" si="3"/>
        <v>#REF!</v>
      </c>
      <c r="G23" s="38" t="e">
        <f t="shared" si="4"/>
        <v>#REF!</v>
      </c>
    </row>
    <row r="24" spans="2:7" hidden="1">
      <c r="B24" s="34">
        <v>14</v>
      </c>
      <c r="C24" s="38" t="e">
        <f>+'Residual Calculation'!R55</f>
        <v>#REF!</v>
      </c>
      <c r="D24" s="38" t="e">
        <f t="shared" si="2"/>
        <v>#REF!</v>
      </c>
      <c r="E24" s="38" t="e">
        <f t="shared" si="1"/>
        <v>#REF!</v>
      </c>
      <c r="F24" s="38" t="e">
        <f t="shared" si="3"/>
        <v>#REF!</v>
      </c>
      <c r="G24" s="38" t="e">
        <f t="shared" si="4"/>
        <v>#REF!</v>
      </c>
    </row>
    <row r="25" spans="2:7" hidden="1">
      <c r="B25" s="34">
        <v>15</v>
      </c>
      <c r="C25" s="38" t="e">
        <f>+'Residual Calculation'!S55</f>
        <v>#REF!</v>
      </c>
      <c r="D25" s="38" t="e">
        <f t="shared" si="2"/>
        <v>#REF!</v>
      </c>
      <c r="E25" s="38" t="e">
        <f t="shared" si="1"/>
        <v>#REF!</v>
      </c>
      <c r="F25" s="38" t="e">
        <f t="shared" si="3"/>
        <v>#REF!</v>
      </c>
      <c r="G25" s="38" t="e">
        <f t="shared" si="4"/>
        <v>#REF!</v>
      </c>
    </row>
    <row r="26" spans="2:7" hidden="1">
      <c r="B26" s="34">
        <v>16</v>
      </c>
      <c r="C26" s="38" t="e">
        <f>+'Residual Calculation'!T55</f>
        <v>#REF!</v>
      </c>
      <c r="D26" s="38" t="e">
        <f t="shared" si="2"/>
        <v>#REF!</v>
      </c>
      <c r="E26" s="38" t="e">
        <f t="shared" si="1"/>
        <v>#REF!</v>
      </c>
      <c r="F26" s="38" t="e">
        <f t="shared" si="3"/>
        <v>#REF!</v>
      </c>
      <c r="G26" s="38" t="e">
        <f t="shared" si="4"/>
        <v>#REF!</v>
      </c>
    </row>
    <row r="27" spans="2:7" hidden="1">
      <c r="B27" s="34">
        <v>17</v>
      </c>
      <c r="C27" s="38" t="e">
        <f>+'Residual Calculation'!U55</f>
        <v>#REF!</v>
      </c>
      <c r="D27" s="38" t="e">
        <f t="shared" si="2"/>
        <v>#REF!</v>
      </c>
      <c r="E27" s="38" t="e">
        <f t="shared" si="1"/>
        <v>#REF!</v>
      </c>
      <c r="F27" s="38" t="e">
        <f t="shared" si="3"/>
        <v>#REF!</v>
      </c>
      <c r="G27" s="38" t="e">
        <f t="shared" si="4"/>
        <v>#REF!</v>
      </c>
    </row>
    <row r="28" spans="2:7" hidden="1">
      <c r="B28" s="34">
        <v>18</v>
      </c>
      <c r="C28" s="38" t="e">
        <f>+'Residual Calculation'!V55</f>
        <v>#REF!</v>
      </c>
      <c r="D28" s="38" t="e">
        <f t="shared" si="2"/>
        <v>#REF!</v>
      </c>
      <c r="E28" s="38" t="e">
        <f t="shared" si="1"/>
        <v>#REF!</v>
      </c>
      <c r="F28" s="38" t="e">
        <f t="shared" si="3"/>
        <v>#REF!</v>
      </c>
      <c r="G28" s="38" t="e">
        <f t="shared" si="4"/>
        <v>#REF!</v>
      </c>
    </row>
    <row r="29" spans="2:7" hidden="1">
      <c r="B29" s="34">
        <v>19</v>
      </c>
      <c r="C29" s="38" t="e">
        <f>+'Residual Calculation'!W55</f>
        <v>#REF!</v>
      </c>
      <c r="D29" s="38" t="e">
        <f t="shared" si="2"/>
        <v>#REF!</v>
      </c>
      <c r="E29" s="38" t="e">
        <f t="shared" si="1"/>
        <v>#REF!</v>
      </c>
      <c r="F29" s="38" t="e">
        <f t="shared" si="3"/>
        <v>#REF!</v>
      </c>
      <c r="G29" s="38" t="e">
        <f t="shared" si="4"/>
        <v>#REF!</v>
      </c>
    </row>
    <row r="30" spans="2:7" hidden="1">
      <c r="B30" s="34">
        <v>20</v>
      </c>
      <c r="C30" s="38" t="e">
        <f>+'Residual Calculation'!X55</f>
        <v>#REF!</v>
      </c>
      <c r="D30" s="38" t="e">
        <f t="shared" si="2"/>
        <v>#REF!</v>
      </c>
      <c r="E30" s="38" t="e">
        <f t="shared" si="1"/>
        <v>#REF!</v>
      </c>
      <c r="F30" s="38" t="e">
        <f t="shared" si="3"/>
        <v>#REF!</v>
      </c>
      <c r="G30" s="38" t="e">
        <f t="shared" si="4"/>
        <v>#REF!</v>
      </c>
    </row>
    <row r="31" spans="2:7" hidden="1">
      <c r="B31" s="34">
        <v>21</v>
      </c>
      <c r="C31" s="38">
        <f t="shared" si="0"/>
        <v>0</v>
      </c>
      <c r="D31" s="38" t="e">
        <f t="shared" si="2"/>
        <v>#REF!</v>
      </c>
      <c r="E31" s="38" t="e">
        <f t="shared" si="1"/>
        <v>#REF!</v>
      </c>
      <c r="F31" s="38" t="e">
        <f t="shared" si="3"/>
        <v>#REF!</v>
      </c>
      <c r="G31" s="38" t="e">
        <f t="shared" si="4"/>
        <v>#REF!</v>
      </c>
    </row>
    <row r="32" spans="2:7" hidden="1">
      <c r="B32" s="34">
        <v>22</v>
      </c>
      <c r="C32" s="38">
        <f t="shared" si="0"/>
        <v>0</v>
      </c>
      <c r="D32" s="38" t="e">
        <f t="shared" si="2"/>
        <v>#REF!</v>
      </c>
      <c r="E32" s="38" t="e">
        <f t="shared" si="1"/>
        <v>#REF!</v>
      </c>
      <c r="F32" s="38" t="e">
        <f t="shared" si="3"/>
        <v>#REF!</v>
      </c>
      <c r="G32" s="38" t="e">
        <f t="shared" si="4"/>
        <v>#REF!</v>
      </c>
    </row>
    <row r="33" spans="2:7" hidden="1">
      <c r="B33" s="34">
        <v>23</v>
      </c>
      <c r="C33" s="38">
        <f t="shared" si="0"/>
        <v>0</v>
      </c>
      <c r="D33" s="38" t="e">
        <f t="shared" si="2"/>
        <v>#REF!</v>
      </c>
      <c r="E33" s="38" t="e">
        <f t="shared" si="1"/>
        <v>#REF!</v>
      </c>
      <c r="F33" s="38" t="e">
        <f t="shared" si="3"/>
        <v>#REF!</v>
      </c>
      <c r="G33" s="38" t="e">
        <f t="shared" si="4"/>
        <v>#REF!</v>
      </c>
    </row>
    <row r="34" spans="2:7" hidden="1">
      <c r="B34" s="34">
        <v>24</v>
      </c>
      <c r="C34" s="38">
        <f t="shared" si="0"/>
        <v>0</v>
      </c>
      <c r="D34" s="38" t="e">
        <f t="shared" si="2"/>
        <v>#REF!</v>
      </c>
      <c r="E34" s="38" t="e">
        <f t="shared" si="1"/>
        <v>#REF!</v>
      </c>
      <c r="F34" s="38" t="e">
        <f t="shared" si="3"/>
        <v>#REF!</v>
      </c>
      <c r="G34" s="38" t="e">
        <f t="shared" si="4"/>
        <v>#REF!</v>
      </c>
    </row>
    <row r="35" spans="2:7" hidden="1">
      <c r="B35" s="34">
        <v>25</v>
      </c>
      <c r="C35" s="38">
        <f t="shared" si="0"/>
        <v>0</v>
      </c>
      <c r="D35" s="38" t="e">
        <f t="shared" si="2"/>
        <v>#REF!</v>
      </c>
      <c r="E35" s="38" t="e">
        <f t="shared" si="1"/>
        <v>#REF!</v>
      </c>
      <c r="F35" s="38" t="e">
        <f t="shared" si="3"/>
        <v>#REF!</v>
      </c>
      <c r="G35" s="38" t="e">
        <f t="shared" si="4"/>
        <v>#REF!</v>
      </c>
    </row>
    <row r="36" spans="2:7" hidden="1">
      <c r="B36" s="34">
        <v>26</v>
      </c>
      <c r="C36" s="38">
        <f t="shared" si="0"/>
        <v>0</v>
      </c>
      <c r="D36" s="38" t="e">
        <f t="shared" si="2"/>
        <v>#REF!</v>
      </c>
      <c r="E36" s="38" t="e">
        <f t="shared" si="1"/>
        <v>#REF!</v>
      </c>
      <c r="F36" s="38" t="e">
        <f t="shared" si="3"/>
        <v>#REF!</v>
      </c>
      <c r="G36" s="38" t="e">
        <f t="shared" si="4"/>
        <v>#REF!</v>
      </c>
    </row>
    <row r="37" spans="2:7" hidden="1">
      <c r="B37" s="34">
        <v>27</v>
      </c>
      <c r="C37" s="38">
        <f t="shared" si="0"/>
        <v>0</v>
      </c>
      <c r="D37" s="38" t="e">
        <f t="shared" si="2"/>
        <v>#REF!</v>
      </c>
      <c r="E37" s="38" t="e">
        <f t="shared" si="1"/>
        <v>#REF!</v>
      </c>
      <c r="F37" s="38" t="e">
        <f t="shared" si="3"/>
        <v>#REF!</v>
      </c>
      <c r="G37" s="38" t="e">
        <f t="shared" si="4"/>
        <v>#REF!</v>
      </c>
    </row>
    <row r="38" spans="2:7" hidden="1">
      <c r="B38" s="34">
        <v>28</v>
      </c>
      <c r="C38" s="38">
        <f t="shared" si="0"/>
        <v>0</v>
      </c>
      <c r="D38" s="38" t="e">
        <f t="shared" si="2"/>
        <v>#REF!</v>
      </c>
      <c r="E38" s="38" t="e">
        <f t="shared" si="1"/>
        <v>#REF!</v>
      </c>
      <c r="F38" s="38" t="e">
        <f t="shared" si="3"/>
        <v>#REF!</v>
      </c>
      <c r="G38" s="38" t="e">
        <f t="shared" si="4"/>
        <v>#REF!</v>
      </c>
    </row>
    <row r="39" spans="2:7" hidden="1">
      <c r="B39" s="34">
        <v>29</v>
      </c>
      <c r="C39" s="38">
        <f t="shared" si="0"/>
        <v>0</v>
      </c>
      <c r="D39" s="38" t="e">
        <f t="shared" si="2"/>
        <v>#REF!</v>
      </c>
      <c r="E39" s="38" t="e">
        <f t="shared" si="1"/>
        <v>#REF!</v>
      </c>
      <c r="F39" s="38" t="e">
        <f t="shared" si="3"/>
        <v>#REF!</v>
      </c>
      <c r="G39" s="38" t="e">
        <f t="shared" si="4"/>
        <v>#REF!</v>
      </c>
    </row>
    <row r="40" spans="2:7" hidden="1">
      <c r="B40" s="34">
        <v>30</v>
      </c>
      <c r="C40" s="38">
        <f t="shared" si="0"/>
        <v>0</v>
      </c>
      <c r="D40" s="38" t="e">
        <f t="shared" si="2"/>
        <v>#REF!</v>
      </c>
      <c r="E40" s="38" t="e">
        <f t="shared" si="1"/>
        <v>#REF!</v>
      </c>
      <c r="F40" s="38" t="e">
        <f t="shared" si="3"/>
        <v>#REF!</v>
      </c>
      <c r="G40" s="38" t="e">
        <f t="shared" si="4"/>
        <v>#REF!</v>
      </c>
    </row>
    <row r="41" spans="2:7" hidden="1">
      <c r="B41" s="34">
        <v>31</v>
      </c>
      <c r="C41" s="38">
        <f t="shared" si="0"/>
        <v>0</v>
      </c>
      <c r="D41" s="38" t="e">
        <f t="shared" si="2"/>
        <v>#REF!</v>
      </c>
      <c r="E41" s="38" t="e">
        <f t="shared" si="1"/>
        <v>#REF!</v>
      </c>
      <c r="F41" s="38" t="e">
        <f t="shared" si="3"/>
        <v>#REF!</v>
      </c>
      <c r="G41" s="38" t="e">
        <f t="shared" si="4"/>
        <v>#REF!</v>
      </c>
    </row>
    <row r="42" spans="2:7" hidden="1">
      <c r="B42" s="34">
        <v>32</v>
      </c>
      <c r="C42" s="38">
        <f t="shared" si="0"/>
        <v>0</v>
      </c>
      <c r="D42" s="38" t="e">
        <f t="shared" si="2"/>
        <v>#REF!</v>
      </c>
      <c r="E42" s="38" t="e">
        <f t="shared" si="1"/>
        <v>#REF!</v>
      </c>
      <c r="F42" s="38" t="e">
        <f t="shared" si="3"/>
        <v>#REF!</v>
      </c>
      <c r="G42" s="38" t="e">
        <f t="shared" si="4"/>
        <v>#REF!</v>
      </c>
    </row>
    <row r="43" spans="2:7" hidden="1">
      <c r="B43" s="34">
        <v>33</v>
      </c>
      <c r="C43" s="38">
        <f t="shared" si="0"/>
        <v>0</v>
      </c>
      <c r="D43" s="38" t="e">
        <f t="shared" si="2"/>
        <v>#REF!</v>
      </c>
      <c r="E43" s="38" t="e">
        <f t="shared" si="1"/>
        <v>#REF!</v>
      </c>
      <c r="F43" s="38" t="e">
        <f t="shared" si="3"/>
        <v>#REF!</v>
      </c>
      <c r="G43" s="38" t="e">
        <f t="shared" si="4"/>
        <v>#REF!</v>
      </c>
    </row>
    <row r="44" spans="2:7" hidden="1">
      <c r="B44" s="34">
        <v>34</v>
      </c>
      <c r="C44" s="38">
        <f t="shared" si="0"/>
        <v>0</v>
      </c>
      <c r="D44" s="38" t="e">
        <f t="shared" si="2"/>
        <v>#REF!</v>
      </c>
      <c r="E44" s="38" t="e">
        <f t="shared" si="1"/>
        <v>#REF!</v>
      </c>
      <c r="F44" s="38" t="e">
        <f t="shared" si="3"/>
        <v>#REF!</v>
      </c>
      <c r="G44" s="38" t="e">
        <f t="shared" si="4"/>
        <v>#REF!</v>
      </c>
    </row>
    <row r="45" spans="2:7" hidden="1">
      <c r="B45" s="34">
        <v>35</v>
      </c>
      <c r="C45" s="38">
        <f t="shared" si="0"/>
        <v>0</v>
      </c>
      <c r="D45" s="38" t="e">
        <f t="shared" si="2"/>
        <v>#REF!</v>
      </c>
      <c r="E45" s="38" t="e">
        <f t="shared" si="1"/>
        <v>#REF!</v>
      </c>
      <c r="F45" s="38" t="e">
        <f t="shared" si="3"/>
        <v>#REF!</v>
      </c>
      <c r="G45" s="38" t="e">
        <f t="shared" si="4"/>
        <v>#REF!</v>
      </c>
    </row>
    <row r="46" spans="2:7" hidden="1">
      <c r="B46" s="34">
        <v>36</v>
      </c>
      <c r="C46" s="38">
        <f t="shared" si="0"/>
        <v>0</v>
      </c>
      <c r="D46" s="38" t="e">
        <f t="shared" si="2"/>
        <v>#REF!</v>
      </c>
      <c r="E46" s="38" t="e">
        <f t="shared" si="1"/>
        <v>#REF!</v>
      </c>
      <c r="F46" s="38" t="e">
        <f t="shared" si="3"/>
        <v>#REF!</v>
      </c>
      <c r="G46" s="38" t="e">
        <f t="shared" si="4"/>
        <v>#REF!</v>
      </c>
    </row>
    <row r="47" spans="2:7" hidden="1">
      <c r="B47" s="34">
        <v>37</v>
      </c>
      <c r="C47" s="38">
        <f t="shared" si="0"/>
        <v>0</v>
      </c>
      <c r="D47" s="38" t="e">
        <f t="shared" si="2"/>
        <v>#REF!</v>
      </c>
      <c r="E47" s="38" t="e">
        <f t="shared" si="1"/>
        <v>#REF!</v>
      </c>
      <c r="F47" s="38" t="e">
        <f t="shared" si="3"/>
        <v>#REF!</v>
      </c>
      <c r="G47" s="38" t="e">
        <f t="shared" si="4"/>
        <v>#REF!</v>
      </c>
    </row>
    <row r="48" spans="2:7" hidden="1">
      <c r="B48" s="34">
        <v>38</v>
      </c>
      <c r="C48" s="38">
        <f t="shared" si="0"/>
        <v>0</v>
      </c>
      <c r="D48" s="38" t="e">
        <f t="shared" si="2"/>
        <v>#REF!</v>
      </c>
      <c r="E48" s="38" t="e">
        <f t="shared" si="1"/>
        <v>#REF!</v>
      </c>
      <c r="F48" s="38" t="e">
        <f t="shared" si="3"/>
        <v>#REF!</v>
      </c>
      <c r="G48" s="38" t="e">
        <f t="shared" si="4"/>
        <v>#REF!</v>
      </c>
    </row>
    <row r="49" spans="2:7" hidden="1">
      <c r="B49" s="34">
        <v>39</v>
      </c>
      <c r="C49" s="38">
        <f t="shared" si="0"/>
        <v>0</v>
      </c>
      <c r="D49" s="38" t="e">
        <f t="shared" si="2"/>
        <v>#REF!</v>
      </c>
      <c r="E49" s="38" t="e">
        <f t="shared" si="1"/>
        <v>#REF!</v>
      </c>
      <c r="F49" s="38" t="e">
        <f t="shared" si="3"/>
        <v>#REF!</v>
      </c>
      <c r="G49" s="38" t="e">
        <f t="shared" si="4"/>
        <v>#REF!</v>
      </c>
    </row>
    <row r="50" spans="2:7" hidden="1">
      <c r="B50" s="34">
        <v>40</v>
      </c>
      <c r="C50" s="38">
        <f t="shared" si="0"/>
        <v>0</v>
      </c>
      <c r="D50" s="38" t="e">
        <f t="shared" si="2"/>
        <v>#REF!</v>
      </c>
      <c r="E50" s="38" t="e">
        <f t="shared" si="1"/>
        <v>#REF!</v>
      </c>
      <c r="F50" s="38" t="e">
        <f t="shared" si="3"/>
        <v>#REF!</v>
      </c>
      <c r="G50" s="38" t="e">
        <f t="shared" si="4"/>
        <v>#REF!</v>
      </c>
    </row>
    <row r="51" spans="2:7" hidden="1">
      <c r="B51" s="34"/>
      <c r="C51" s="38"/>
      <c r="D51" s="38"/>
      <c r="E51" s="38"/>
      <c r="F51" s="38"/>
      <c r="G51" s="38"/>
    </row>
    <row r="52" spans="2:7" hidden="1">
      <c r="B52" s="34"/>
      <c r="C52" s="38"/>
      <c r="D52" s="38"/>
      <c r="E52" s="38"/>
      <c r="F52" s="38"/>
      <c r="G52" s="38"/>
    </row>
    <row r="53" spans="2:7">
      <c r="B53" s="34"/>
      <c r="C53" s="38"/>
      <c r="D53" s="38"/>
      <c r="E53" s="38"/>
      <c r="F53" s="38"/>
      <c r="G53" s="38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U83"/>
  <sheetViews>
    <sheetView topLeftCell="A10" workbookViewId="0">
      <selection activeCell="O31" sqref="O31"/>
    </sheetView>
  </sheetViews>
  <sheetFormatPr defaultColWidth="8.85546875" defaultRowHeight="12.75"/>
  <cols>
    <col min="1" max="1" width="17.7109375" customWidth="1"/>
    <col min="3" max="3" width="3.140625" customWidth="1"/>
    <col min="4" max="4" width="9.140625" hidden="1" customWidth="1"/>
    <col min="5" max="5" width="8" customWidth="1"/>
    <col min="6" max="6" width="16.42578125" customWidth="1"/>
    <col min="7" max="7" width="8.42578125" customWidth="1"/>
    <col min="8" max="8" width="5.85546875" customWidth="1"/>
    <col min="9" max="9" width="16" customWidth="1"/>
    <col min="10" max="10" width="5.85546875" customWidth="1"/>
    <col min="11" max="11" width="17.7109375" customWidth="1"/>
    <col min="12" max="12" width="6" customWidth="1"/>
    <col min="13" max="13" width="17.7109375" customWidth="1"/>
    <col min="14" max="14" width="6.140625" customWidth="1"/>
    <col min="15" max="15" width="17.7109375" customWidth="1"/>
    <col min="17" max="17" width="10.28515625" style="1" hidden="1" customWidth="1"/>
    <col min="18" max="18" width="0" hidden="1" customWidth="1"/>
    <col min="21" max="21" width="12.85546875" bestFit="1" customWidth="1"/>
  </cols>
  <sheetData>
    <row r="1" spans="1:17">
      <c r="A1" s="5" t="str">
        <f>+'Sources &amp; Uses'!A1</f>
        <v>Lamar Building</v>
      </c>
    </row>
    <row r="2" spans="1:17">
      <c r="A2" s="30" t="s">
        <v>314</v>
      </c>
    </row>
    <row r="4" spans="1:17">
      <c r="A4" s="7" t="s">
        <v>42</v>
      </c>
      <c r="B4" s="1"/>
      <c r="C4" s="1"/>
      <c r="D4" s="1"/>
      <c r="E4" s="1"/>
      <c r="F4" s="1"/>
      <c r="G4" s="1"/>
      <c r="H4" s="1"/>
      <c r="I4" s="1"/>
    </row>
    <row r="5" spans="1:17">
      <c r="A5" s="1"/>
      <c r="B5" s="1"/>
      <c r="C5" s="1"/>
      <c r="D5" s="1"/>
      <c r="E5" s="1"/>
      <c r="F5" s="1"/>
      <c r="G5" s="1"/>
      <c r="H5" s="1"/>
      <c r="I5" s="1"/>
    </row>
    <row r="6" spans="1:17">
      <c r="A6" s="1" t="s">
        <v>1</v>
      </c>
      <c r="B6" s="1"/>
      <c r="C6" s="1"/>
      <c r="D6" s="1"/>
      <c r="E6" s="1"/>
      <c r="F6" s="1">
        <f>+'Sources &amp; Uses'!F6</f>
        <v>18500000</v>
      </c>
      <c r="G6" s="1"/>
      <c r="H6" s="1"/>
      <c r="I6" s="1"/>
    </row>
    <row r="7" spans="1:17">
      <c r="A7" s="1" t="s">
        <v>2</v>
      </c>
      <c r="B7" s="1"/>
      <c r="C7" s="1"/>
      <c r="D7" s="1"/>
      <c r="E7" s="1"/>
      <c r="F7" s="1">
        <f>+'Sources &amp; Uses'!F7</f>
        <v>0</v>
      </c>
      <c r="G7" s="1"/>
      <c r="H7" s="1"/>
      <c r="I7" s="1"/>
    </row>
    <row r="8" spans="1:17">
      <c r="A8" s="1" t="str">
        <f>+'Sources &amp; Uses'!A8</f>
        <v xml:space="preserve">Equity  </v>
      </c>
      <c r="B8" s="1"/>
      <c r="C8" s="1"/>
      <c r="D8" s="1"/>
      <c r="E8" s="1"/>
      <c r="F8" s="1">
        <f>+'Sources &amp; Uses'!F8</f>
        <v>6000000</v>
      </c>
      <c r="G8" s="1"/>
      <c r="H8" s="1"/>
      <c r="I8" s="1"/>
    </row>
    <row r="9" spans="1:17">
      <c r="A9" s="1" t="s">
        <v>5</v>
      </c>
      <c r="B9" s="1"/>
      <c r="C9" s="1"/>
      <c r="D9" s="1"/>
      <c r="E9" s="1"/>
      <c r="F9" s="1" t="e">
        <f>+'Sources &amp; Uses'!#REF!</f>
        <v>#REF!</v>
      </c>
      <c r="G9" s="1"/>
      <c r="H9" s="1"/>
      <c r="I9" s="3"/>
    </row>
    <row r="10" spans="1:17">
      <c r="A10" s="1" t="s">
        <v>7</v>
      </c>
      <c r="B10" s="1"/>
      <c r="C10" s="1"/>
      <c r="D10" s="1"/>
      <c r="E10" s="1"/>
      <c r="F10" s="2" t="e">
        <f>+'Sources &amp; Uses'!#REF!</f>
        <v>#REF!</v>
      </c>
      <c r="G10" s="1"/>
      <c r="H10" s="1"/>
      <c r="I10" s="1"/>
    </row>
    <row r="11" spans="1:17">
      <c r="A11" s="5" t="s">
        <v>8</v>
      </c>
      <c r="B11" s="1"/>
      <c r="C11" s="1"/>
      <c r="D11" s="1"/>
      <c r="E11" s="1"/>
      <c r="F11" s="1" t="e">
        <f>SUM(F6:F10)</f>
        <v>#REF!</v>
      </c>
      <c r="G11" s="1"/>
      <c r="H11" s="1"/>
      <c r="I11" s="1"/>
    </row>
    <row r="12" spans="1:17">
      <c r="A12" s="1"/>
      <c r="B12" s="1"/>
      <c r="C12" s="1"/>
      <c r="D12" s="1"/>
      <c r="E12" s="1"/>
      <c r="F12" s="1"/>
      <c r="G12" s="1"/>
      <c r="H12" s="1"/>
      <c r="I12" s="1"/>
    </row>
    <row r="13" spans="1:17">
      <c r="A13" s="1"/>
      <c r="B13" s="1"/>
      <c r="C13" s="1"/>
      <c r="D13" s="1"/>
      <c r="E13" s="1"/>
      <c r="F13" s="12" t="s">
        <v>91</v>
      </c>
      <c r="G13" s="12"/>
      <c r="H13" s="1"/>
      <c r="I13" s="12" t="s">
        <v>209</v>
      </c>
      <c r="J13" s="34"/>
      <c r="K13" s="34" t="s">
        <v>211</v>
      </c>
      <c r="L13" s="34"/>
      <c r="M13" s="34" t="s">
        <v>213</v>
      </c>
      <c r="O13" s="34" t="s">
        <v>215</v>
      </c>
    </row>
    <row r="14" spans="1:17">
      <c r="A14" s="7" t="s">
        <v>43</v>
      </c>
      <c r="B14" s="1"/>
      <c r="C14" s="1"/>
      <c r="D14" s="1"/>
      <c r="E14" s="1"/>
      <c r="F14" s="14" t="s">
        <v>208</v>
      </c>
      <c r="G14" s="12"/>
      <c r="H14" s="2"/>
      <c r="I14" s="14" t="s">
        <v>210</v>
      </c>
      <c r="J14" s="35"/>
      <c r="K14" s="35" t="s">
        <v>212</v>
      </c>
      <c r="L14" s="35"/>
      <c r="M14" s="35" t="s">
        <v>210</v>
      </c>
      <c r="N14" s="25"/>
      <c r="O14" s="35" t="s">
        <v>216</v>
      </c>
    </row>
    <row r="15" spans="1:17">
      <c r="A15" s="1"/>
      <c r="B15" s="1"/>
      <c r="C15" s="1"/>
      <c r="D15" s="1"/>
      <c r="E15" s="1"/>
      <c r="F15" s="1"/>
      <c r="G15" s="1"/>
      <c r="H15" s="1"/>
      <c r="I15" s="1"/>
    </row>
    <row r="16" spans="1:17">
      <c r="A16" s="1" t="s">
        <v>214</v>
      </c>
      <c r="B16" s="1"/>
      <c r="C16" s="1"/>
      <c r="D16" s="1"/>
      <c r="E16" s="1"/>
      <c r="F16" s="1">
        <f>+'Sources &amp; Uses'!H16</f>
        <v>0</v>
      </c>
      <c r="G16" s="1"/>
      <c r="H16" s="54"/>
      <c r="I16" s="11">
        <f>SUM(H16*$F16)</f>
        <v>0</v>
      </c>
      <c r="J16" s="54">
        <v>1</v>
      </c>
      <c r="K16" s="11">
        <f>SUM(J16*$F16)</f>
        <v>0</v>
      </c>
      <c r="L16" s="54"/>
      <c r="M16" s="52">
        <f>SUM(L16*$F16)</f>
        <v>0</v>
      </c>
      <c r="O16" s="52">
        <f t="shared" ref="O16:O51" si="0">SUM(N16*$F16)</f>
        <v>0</v>
      </c>
      <c r="P16" s="33">
        <f t="shared" ref="P16:P50" si="1">SUM(H16+J16+L16)</f>
        <v>1</v>
      </c>
      <c r="Q16" s="1">
        <v>1000000</v>
      </c>
    </row>
    <row r="17" spans="1:18">
      <c r="A17" s="1" t="s">
        <v>218</v>
      </c>
      <c r="B17" s="1"/>
      <c r="C17" s="1"/>
      <c r="D17" s="1"/>
      <c r="E17" s="1"/>
      <c r="F17" s="1">
        <f>+'Sources &amp; Uses'!H17</f>
        <v>0</v>
      </c>
      <c r="G17" s="1"/>
      <c r="H17" s="54"/>
      <c r="I17" s="11"/>
      <c r="J17" s="54"/>
      <c r="K17" s="11"/>
      <c r="L17" s="54">
        <v>1</v>
      </c>
      <c r="M17" s="11">
        <f t="shared" ref="M17:M51" si="2">SUM(L17*$F17)</f>
        <v>0</v>
      </c>
      <c r="O17" s="52"/>
      <c r="P17" s="33">
        <f t="shared" si="1"/>
        <v>1</v>
      </c>
    </row>
    <row r="18" spans="1:18">
      <c r="A18" s="8" t="s">
        <v>14</v>
      </c>
      <c r="B18" s="1"/>
      <c r="C18" s="1"/>
      <c r="D18" s="1"/>
      <c r="E18" s="1"/>
      <c r="F18" s="1">
        <f>+'Sources &amp; Uses'!F19</f>
        <v>0</v>
      </c>
      <c r="G18" s="1"/>
      <c r="H18" s="54"/>
      <c r="I18" s="11">
        <f t="shared" ref="I18:I51" si="3">SUM(H18*$F18)</f>
        <v>0</v>
      </c>
      <c r="J18" s="54">
        <v>1</v>
      </c>
      <c r="K18" s="52">
        <f t="shared" ref="K18:K51" si="4">SUM(J18*$F18)</f>
        <v>0</v>
      </c>
      <c r="L18" s="54"/>
      <c r="M18" s="11">
        <f t="shared" si="2"/>
        <v>0</v>
      </c>
      <c r="O18" s="52">
        <f t="shared" si="0"/>
        <v>0</v>
      </c>
      <c r="P18" s="33">
        <f t="shared" si="1"/>
        <v>1</v>
      </c>
    </row>
    <row r="19" spans="1:18">
      <c r="A19" s="8" t="s">
        <v>15</v>
      </c>
      <c r="B19" s="1"/>
      <c r="C19" s="1"/>
      <c r="D19" s="1"/>
      <c r="E19" s="1"/>
      <c r="F19" s="1">
        <f>+'Sources &amp; Uses'!F20</f>
        <v>0</v>
      </c>
      <c r="G19" s="1"/>
      <c r="H19" s="54"/>
      <c r="I19" s="11">
        <f t="shared" si="3"/>
        <v>0</v>
      </c>
      <c r="J19" s="54">
        <v>0</v>
      </c>
      <c r="K19" s="52">
        <f t="shared" si="4"/>
        <v>0</v>
      </c>
      <c r="L19" s="54">
        <v>1</v>
      </c>
      <c r="M19" s="11">
        <f t="shared" si="2"/>
        <v>0</v>
      </c>
      <c r="O19" s="52">
        <f t="shared" si="0"/>
        <v>0</v>
      </c>
      <c r="P19" s="33">
        <f t="shared" si="1"/>
        <v>1</v>
      </c>
    </row>
    <row r="20" spans="1:18">
      <c r="A20" s="8" t="s">
        <v>18</v>
      </c>
      <c r="B20" s="1"/>
      <c r="C20" s="1"/>
      <c r="D20" s="1"/>
      <c r="E20" s="1"/>
      <c r="F20" s="1">
        <f>+'Sources &amp; Uses'!F24</f>
        <v>14451334</v>
      </c>
      <c r="G20" s="1"/>
      <c r="H20" s="54"/>
      <c r="I20" s="11">
        <f t="shared" si="3"/>
        <v>0</v>
      </c>
      <c r="J20" s="54">
        <v>0</v>
      </c>
      <c r="K20" s="52">
        <f t="shared" si="4"/>
        <v>0</v>
      </c>
      <c r="L20" s="54">
        <v>1</v>
      </c>
      <c r="M20" s="11">
        <f t="shared" si="2"/>
        <v>14451334</v>
      </c>
      <c r="O20" s="52">
        <f>+F20</f>
        <v>14451334</v>
      </c>
      <c r="P20" s="33">
        <f t="shared" si="1"/>
        <v>1</v>
      </c>
      <c r="Q20" s="1">
        <v>104296</v>
      </c>
    </row>
    <row r="21" spans="1:18">
      <c r="A21" s="8" t="str">
        <f>+'Sources &amp; Uses'!A25</f>
        <v>(Contingency) Hard Costs</v>
      </c>
      <c r="B21" s="1"/>
      <c r="C21" s="1"/>
      <c r="D21" s="1"/>
      <c r="E21" s="1"/>
      <c r="F21" s="1">
        <f>+'Sources &amp; Uses'!F25</f>
        <v>1011593.3800000001</v>
      </c>
      <c r="G21" s="1"/>
      <c r="H21" s="54"/>
      <c r="I21" s="11">
        <f t="shared" si="3"/>
        <v>0</v>
      </c>
      <c r="J21" s="54"/>
      <c r="K21" s="52">
        <f t="shared" si="4"/>
        <v>0</v>
      </c>
      <c r="L21" s="54">
        <v>1</v>
      </c>
      <c r="M21" s="11">
        <f t="shared" si="2"/>
        <v>1011593.3800000001</v>
      </c>
      <c r="O21" s="52">
        <f t="shared" ref="O21:O49" si="5">+F21</f>
        <v>1011593.3800000001</v>
      </c>
      <c r="P21" s="33">
        <f t="shared" si="1"/>
        <v>1</v>
      </c>
    </row>
    <row r="22" spans="1:18">
      <c r="A22" s="8" t="s">
        <v>19</v>
      </c>
      <c r="B22" s="1"/>
      <c r="C22" s="1"/>
      <c r="D22" s="1"/>
      <c r="E22" s="1"/>
      <c r="F22" s="1">
        <f>+'Sources &amp; Uses'!F26</f>
        <v>289026.68</v>
      </c>
      <c r="G22" s="1"/>
      <c r="H22" s="54"/>
      <c r="I22" s="11">
        <f t="shared" si="3"/>
        <v>0</v>
      </c>
      <c r="J22" s="54"/>
      <c r="K22" s="52">
        <f t="shared" si="4"/>
        <v>0</v>
      </c>
      <c r="L22" s="54">
        <v>1</v>
      </c>
      <c r="M22" s="11">
        <f t="shared" si="2"/>
        <v>289026.68</v>
      </c>
      <c r="O22" s="52">
        <f t="shared" si="5"/>
        <v>289026.68</v>
      </c>
      <c r="P22" s="33">
        <f t="shared" si="1"/>
        <v>1</v>
      </c>
    </row>
    <row r="23" spans="1:18">
      <c r="A23" s="8" t="s">
        <v>22</v>
      </c>
      <c r="B23" s="1"/>
      <c r="C23" s="1"/>
      <c r="D23" s="1"/>
      <c r="E23" s="1"/>
      <c r="F23" s="1">
        <f>+'Sources &amp; Uses'!F30</f>
        <v>722566.70000000007</v>
      </c>
      <c r="G23" s="1"/>
      <c r="H23" s="54"/>
      <c r="I23" s="11">
        <f t="shared" si="3"/>
        <v>0</v>
      </c>
      <c r="J23" s="54"/>
      <c r="K23" s="52">
        <f t="shared" si="4"/>
        <v>0</v>
      </c>
      <c r="L23" s="54">
        <v>1</v>
      </c>
      <c r="M23" s="11">
        <f t="shared" si="2"/>
        <v>722566.70000000007</v>
      </c>
      <c r="O23" s="52">
        <f t="shared" si="5"/>
        <v>722566.70000000007</v>
      </c>
      <c r="P23" s="33">
        <f t="shared" si="1"/>
        <v>1</v>
      </c>
    </row>
    <row r="24" spans="1:18">
      <c r="A24" s="8" t="s">
        <v>23</v>
      </c>
      <c r="B24" s="1"/>
      <c r="C24" s="1"/>
      <c r="D24" s="1"/>
      <c r="E24" s="1"/>
      <c r="F24" s="1">
        <f>+'Sources &amp; Uses'!F31</f>
        <v>221105.41019999998</v>
      </c>
      <c r="G24" s="1"/>
      <c r="H24" s="54"/>
      <c r="I24" s="11">
        <f t="shared" si="3"/>
        <v>0</v>
      </c>
      <c r="J24" s="54"/>
      <c r="K24" s="52">
        <f t="shared" si="4"/>
        <v>0</v>
      </c>
      <c r="L24" s="54">
        <v>1</v>
      </c>
      <c r="M24" s="11">
        <f t="shared" si="2"/>
        <v>221105.41019999998</v>
      </c>
      <c r="O24" s="52">
        <f t="shared" si="5"/>
        <v>221105.41019999998</v>
      </c>
      <c r="P24" s="33">
        <f t="shared" si="1"/>
        <v>1</v>
      </c>
    </row>
    <row r="25" spans="1:18">
      <c r="A25" s="8" t="s">
        <v>24</v>
      </c>
      <c r="B25" s="1"/>
      <c r="C25" s="1"/>
      <c r="D25" s="1"/>
      <c r="E25" s="1"/>
      <c r="F25" s="1">
        <f>+'Sources &amp; Uses'!F32</f>
        <v>0</v>
      </c>
      <c r="G25" s="1"/>
      <c r="H25" s="54"/>
      <c r="I25" s="11">
        <f t="shared" si="3"/>
        <v>0</v>
      </c>
      <c r="J25" s="54"/>
      <c r="K25" s="52">
        <f t="shared" si="4"/>
        <v>0</v>
      </c>
      <c r="L25" s="54">
        <v>1</v>
      </c>
      <c r="M25" s="11">
        <f t="shared" si="2"/>
        <v>0</v>
      </c>
      <c r="O25" s="52">
        <f t="shared" si="5"/>
        <v>0</v>
      </c>
      <c r="P25" s="33">
        <f t="shared" si="1"/>
        <v>1</v>
      </c>
    </row>
    <row r="26" spans="1:18">
      <c r="A26" s="284" t="s">
        <v>350</v>
      </c>
      <c r="B26" s="1"/>
      <c r="C26" s="1"/>
      <c r="D26" s="1"/>
      <c r="E26" s="1"/>
      <c r="F26" s="1">
        <f>+'Sources &amp; Uses'!F33</f>
        <v>400000</v>
      </c>
      <c r="G26" s="1"/>
      <c r="H26" s="54"/>
      <c r="I26" s="11">
        <f t="shared" si="3"/>
        <v>0</v>
      </c>
      <c r="J26" s="54"/>
      <c r="K26" s="52">
        <f t="shared" si="4"/>
        <v>0</v>
      </c>
      <c r="L26" s="54">
        <v>1</v>
      </c>
      <c r="M26" s="11">
        <f t="shared" si="2"/>
        <v>400000</v>
      </c>
      <c r="O26" s="52">
        <f t="shared" si="5"/>
        <v>400000</v>
      </c>
      <c r="P26" s="33">
        <f t="shared" si="1"/>
        <v>1</v>
      </c>
      <c r="Q26" s="1">
        <v>68000</v>
      </c>
      <c r="R26" t="s">
        <v>549</v>
      </c>
    </row>
    <row r="27" spans="1:18">
      <c r="A27" s="8" t="s">
        <v>25</v>
      </c>
      <c r="B27" s="1"/>
      <c r="C27" s="1"/>
      <c r="D27" s="1"/>
      <c r="E27" s="6"/>
      <c r="F27" s="1">
        <f>+'Sources &amp; Uses'!F34</f>
        <v>0</v>
      </c>
      <c r="G27" s="1"/>
      <c r="H27" s="54"/>
      <c r="I27" s="11">
        <f t="shared" si="3"/>
        <v>0</v>
      </c>
      <c r="J27" s="54"/>
      <c r="K27" s="52">
        <f t="shared" si="4"/>
        <v>0</v>
      </c>
      <c r="L27" s="54">
        <v>1</v>
      </c>
      <c r="M27" s="11">
        <f t="shared" si="2"/>
        <v>0</v>
      </c>
      <c r="O27" s="52">
        <f t="shared" si="5"/>
        <v>0</v>
      </c>
      <c r="P27" s="33">
        <f t="shared" si="1"/>
        <v>1</v>
      </c>
    </row>
    <row r="28" spans="1:18">
      <c r="A28" s="8" t="str">
        <f>+'Sources &amp; Uses'!A35</f>
        <v>Other- CM</v>
      </c>
      <c r="B28" s="1"/>
      <c r="C28" s="1"/>
      <c r="D28" s="1"/>
      <c r="E28" s="1"/>
      <c r="F28" s="1">
        <f>+'Sources &amp; Uses'!F35</f>
        <v>722566.70000000007</v>
      </c>
      <c r="G28" s="1"/>
      <c r="H28" s="54"/>
      <c r="I28" s="11">
        <f t="shared" si="3"/>
        <v>0</v>
      </c>
      <c r="J28" s="54"/>
      <c r="K28" s="52">
        <f t="shared" si="4"/>
        <v>0</v>
      </c>
      <c r="L28" s="54">
        <v>1</v>
      </c>
      <c r="M28" s="11">
        <f t="shared" si="2"/>
        <v>722566.70000000007</v>
      </c>
      <c r="O28" s="52">
        <f t="shared" si="5"/>
        <v>722566.70000000007</v>
      </c>
      <c r="P28" s="33">
        <f t="shared" si="1"/>
        <v>1</v>
      </c>
    </row>
    <row r="29" spans="1:18">
      <c r="A29" s="8" t="s">
        <v>29</v>
      </c>
      <c r="B29" s="1"/>
      <c r="C29" s="1"/>
      <c r="D29" s="1"/>
      <c r="E29" s="1"/>
      <c r="F29" s="1">
        <f>+'Sources &amp; Uses'!F39</f>
        <v>859375</v>
      </c>
      <c r="G29" s="1"/>
      <c r="H29" s="54"/>
      <c r="I29" s="11">
        <f t="shared" si="3"/>
        <v>0</v>
      </c>
      <c r="J29" s="338">
        <f>+L28-L29</f>
        <v>0</v>
      </c>
      <c r="K29" s="52">
        <f>+F29*J29</f>
        <v>0</v>
      </c>
      <c r="L29" s="338">
        <v>1</v>
      </c>
      <c r="M29" s="474">
        <v>0</v>
      </c>
      <c r="O29" s="52">
        <f t="shared" si="5"/>
        <v>859375</v>
      </c>
      <c r="P29" s="33">
        <f t="shared" si="1"/>
        <v>1</v>
      </c>
    </row>
    <row r="30" spans="1:18">
      <c r="A30" s="8" t="str">
        <f>+'Sources &amp; Uses'!A40</f>
        <v>Financing Fee - Construction</v>
      </c>
      <c r="B30" s="1"/>
      <c r="C30" s="1"/>
      <c r="D30" s="1"/>
      <c r="E30" s="1"/>
      <c r="F30" s="1">
        <f>+'Sources &amp; Uses'!F40</f>
        <v>52500</v>
      </c>
      <c r="G30" s="1"/>
      <c r="H30" s="54">
        <v>1</v>
      </c>
      <c r="I30" s="11">
        <f t="shared" si="3"/>
        <v>52500</v>
      </c>
      <c r="J30" s="54"/>
      <c r="K30" s="52">
        <f t="shared" si="4"/>
        <v>0</v>
      </c>
      <c r="L30" s="54"/>
      <c r="M30" s="11">
        <f t="shared" si="2"/>
        <v>0</v>
      </c>
      <c r="O30" s="52">
        <v>0</v>
      </c>
      <c r="P30" s="33">
        <f t="shared" si="1"/>
        <v>1</v>
      </c>
    </row>
    <row r="31" spans="1:18">
      <c r="A31" s="8" t="e">
        <f>+'Sources &amp; Uses'!#REF!</f>
        <v>#REF!</v>
      </c>
      <c r="B31" s="1"/>
      <c r="C31" s="1"/>
      <c r="D31" s="1"/>
      <c r="E31" s="1"/>
      <c r="F31" s="1" t="e">
        <f>+'Sources &amp; Uses'!#REF!</f>
        <v>#REF!</v>
      </c>
      <c r="G31" s="1"/>
      <c r="H31" s="54"/>
      <c r="I31" s="11" t="e">
        <f t="shared" si="3"/>
        <v>#REF!</v>
      </c>
      <c r="J31" s="54">
        <v>0</v>
      </c>
      <c r="K31" s="52" t="e">
        <f t="shared" si="4"/>
        <v>#REF!</v>
      </c>
      <c r="L31" s="54">
        <v>1</v>
      </c>
      <c r="M31" s="11" t="e">
        <f t="shared" si="2"/>
        <v>#REF!</v>
      </c>
      <c r="O31" s="52">
        <v>0</v>
      </c>
      <c r="P31" s="33">
        <f t="shared" si="1"/>
        <v>1</v>
      </c>
    </row>
    <row r="32" spans="1:18">
      <c r="A32" s="8" t="str">
        <f>+'Sources &amp; Uses'!A41</f>
        <v>Bond Cost of Issuance</v>
      </c>
      <c r="B32" s="1"/>
      <c r="C32" s="1"/>
      <c r="D32" s="1"/>
      <c r="E32" s="1"/>
      <c r="F32" s="1">
        <f>+'Sources &amp; Uses'!F41</f>
        <v>20000</v>
      </c>
      <c r="G32" s="1"/>
      <c r="H32" s="54"/>
      <c r="I32" s="11"/>
      <c r="J32" s="54">
        <v>1</v>
      </c>
      <c r="K32" s="52">
        <f t="shared" si="4"/>
        <v>20000</v>
      </c>
      <c r="L32" s="54">
        <v>0</v>
      </c>
      <c r="M32" s="11">
        <f t="shared" si="2"/>
        <v>0</v>
      </c>
      <c r="O32" s="52">
        <v>0</v>
      </c>
      <c r="P32" s="33">
        <f t="shared" si="1"/>
        <v>1</v>
      </c>
    </row>
    <row r="33" spans="1:17">
      <c r="A33" s="8" t="s">
        <v>30</v>
      </c>
      <c r="B33" s="1"/>
      <c r="C33" s="1"/>
      <c r="D33" s="1"/>
      <c r="E33" s="1"/>
      <c r="F33" s="1">
        <f>+'Sources &amp; Uses'!F42</f>
        <v>0</v>
      </c>
      <c r="G33" s="1"/>
      <c r="H33" s="54"/>
      <c r="I33" s="11">
        <f t="shared" si="3"/>
        <v>0</v>
      </c>
      <c r="J33" s="54"/>
      <c r="K33" s="52">
        <f t="shared" si="4"/>
        <v>0</v>
      </c>
      <c r="L33" s="54">
        <v>1</v>
      </c>
      <c r="M33" s="11">
        <f t="shared" si="2"/>
        <v>0</v>
      </c>
      <c r="O33" s="52">
        <f t="shared" si="5"/>
        <v>0</v>
      </c>
      <c r="P33" s="33">
        <f t="shared" si="1"/>
        <v>1</v>
      </c>
    </row>
    <row r="34" spans="1:17">
      <c r="A34" s="8" t="s">
        <v>31</v>
      </c>
      <c r="B34" s="1"/>
      <c r="C34" s="1"/>
      <c r="D34" s="1"/>
      <c r="E34" s="1"/>
      <c r="F34" s="1">
        <f>+'Sources &amp; Uses'!F43</f>
        <v>120000</v>
      </c>
      <c r="G34" s="1"/>
      <c r="H34" s="54"/>
      <c r="I34" s="11">
        <f t="shared" si="3"/>
        <v>0</v>
      </c>
      <c r="J34" s="54"/>
      <c r="K34" s="52">
        <f t="shared" si="4"/>
        <v>0</v>
      </c>
      <c r="L34" s="54">
        <v>1</v>
      </c>
      <c r="M34" s="11">
        <f t="shared" si="2"/>
        <v>120000</v>
      </c>
      <c r="O34" s="52">
        <f t="shared" si="5"/>
        <v>120000</v>
      </c>
      <c r="P34" s="33">
        <f t="shared" si="1"/>
        <v>1</v>
      </c>
    </row>
    <row r="35" spans="1:17">
      <c r="A35" s="8" t="s">
        <v>32</v>
      </c>
      <c r="B35" s="1"/>
      <c r="C35" s="1"/>
      <c r="D35" s="1"/>
      <c r="E35" s="1"/>
      <c r="F35" s="1">
        <f>+'Sources &amp; Uses'!F44</f>
        <v>7000</v>
      </c>
      <c r="G35" s="1"/>
      <c r="H35" s="54"/>
      <c r="I35" s="11">
        <f t="shared" si="3"/>
        <v>0</v>
      </c>
      <c r="J35" s="473">
        <v>0</v>
      </c>
      <c r="K35" s="52">
        <f>SUM(J35*$F35)</f>
        <v>0</v>
      </c>
      <c r="L35" s="473">
        <v>0</v>
      </c>
      <c r="M35" s="11">
        <f t="shared" si="2"/>
        <v>0</v>
      </c>
      <c r="O35" s="52">
        <v>0</v>
      </c>
      <c r="P35" s="33">
        <f t="shared" si="1"/>
        <v>0</v>
      </c>
    </row>
    <row r="36" spans="1:17">
      <c r="A36" s="8" t="s">
        <v>34</v>
      </c>
      <c r="B36" s="1"/>
      <c r="C36" s="1"/>
      <c r="D36" s="1"/>
      <c r="E36" s="1"/>
      <c r="F36" s="1">
        <f>+'Sources &amp; Uses'!F48</f>
        <v>50000</v>
      </c>
      <c r="G36" s="1"/>
      <c r="H36" s="54"/>
      <c r="I36" s="11">
        <f t="shared" si="3"/>
        <v>0</v>
      </c>
      <c r="J36" s="338">
        <f>+'Sources &amp; Uses'!W46</f>
        <v>0</v>
      </c>
      <c r="K36" s="52">
        <f t="shared" si="4"/>
        <v>0</v>
      </c>
      <c r="L36" s="338">
        <f>+'Sources &amp; Uses'!W45</f>
        <v>1</v>
      </c>
      <c r="M36" s="11">
        <f t="shared" si="2"/>
        <v>50000</v>
      </c>
      <c r="O36" s="52">
        <f t="shared" si="5"/>
        <v>50000</v>
      </c>
      <c r="P36" s="33">
        <f t="shared" si="1"/>
        <v>1</v>
      </c>
    </row>
    <row r="37" spans="1:17">
      <c r="A37" s="8" t="s">
        <v>35</v>
      </c>
      <c r="B37" s="1"/>
      <c r="C37" s="1"/>
      <c r="D37" s="1"/>
      <c r="E37" s="1"/>
      <c r="F37" s="1">
        <f>+'Sources &amp; Uses'!F49</f>
        <v>25000</v>
      </c>
      <c r="G37" s="1"/>
      <c r="H37" s="54"/>
      <c r="I37" s="11">
        <f t="shared" si="3"/>
        <v>0</v>
      </c>
      <c r="J37" s="54"/>
      <c r="K37" s="52">
        <f t="shared" si="4"/>
        <v>0</v>
      </c>
      <c r="L37" s="54">
        <v>1</v>
      </c>
      <c r="M37" s="11">
        <f t="shared" si="2"/>
        <v>25000</v>
      </c>
      <c r="O37" s="52">
        <v>0</v>
      </c>
      <c r="P37" s="33">
        <f t="shared" si="1"/>
        <v>1</v>
      </c>
    </row>
    <row r="38" spans="1:17">
      <c r="A38" s="8" t="s">
        <v>36</v>
      </c>
      <c r="B38" s="1"/>
      <c r="C38" s="1"/>
      <c r="D38" s="1"/>
      <c r="E38" s="1"/>
      <c r="F38" s="1">
        <f>+'Sources &amp; Uses'!F50</f>
        <v>0</v>
      </c>
      <c r="G38" s="1"/>
      <c r="H38" s="54">
        <v>1</v>
      </c>
      <c r="I38" s="11">
        <f t="shared" si="3"/>
        <v>0</v>
      </c>
      <c r="J38" s="54"/>
      <c r="K38" s="52">
        <f t="shared" si="4"/>
        <v>0</v>
      </c>
      <c r="L38" s="54"/>
      <c r="M38" s="11">
        <f t="shared" si="2"/>
        <v>0</v>
      </c>
      <c r="O38" s="52">
        <f t="shared" si="5"/>
        <v>0</v>
      </c>
      <c r="P38" s="33">
        <f t="shared" si="1"/>
        <v>1</v>
      </c>
    </row>
    <row r="39" spans="1:17">
      <c r="A39" s="8" t="s">
        <v>37</v>
      </c>
      <c r="B39" s="1"/>
      <c r="C39" s="1"/>
      <c r="D39" s="1"/>
      <c r="E39" s="1"/>
      <c r="F39" s="1">
        <f>+'Sources &amp; Uses'!F51</f>
        <v>0</v>
      </c>
      <c r="G39" s="1"/>
      <c r="H39" s="54"/>
      <c r="I39" s="11">
        <f t="shared" si="3"/>
        <v>0</v>
      </c>
      <c r="J39" s="54">
        <v>1</v>
      </c>
      <c r="K39" s="52">
        <f t="shared" si="4"/>
        <v>0</v>
      </c>
      <c r="L39" s="54">
        <v>0</v>
      </c>
      <c r="M39" s="11">
        <f t="shared" si="2"/>
        <v>0</v>
      </c>
      <c r="O39" s="52">
        <v>0</v>
      </c>
      <c r="P39" s="33">
        <f t="shared" si="1"/>
        <v>1</v>
      </c>
    </row>
    <row r="40" spans="1:17">
      <c r="A40" s="8" t="str">
        <f>+'Sources &amp; Uses'!A55</f>
        <v>Operational Fees</v>
      </c>
      <c r="B40" s="1"/>
      <c r="C40" s="1"/>
      <c r="D40" s="1"/>
      <c r="E40" s="1"/>
      <c r="F40" s="1">
        <f>+'Sources &amp; Uses'!F55</f>
        <v>400000</v>
      </c>
      <c r="G40" s="1"/>
      <c r="H40" s="54"/>
      <c r="I40" s="11">
        <f t="shared" si="3"/>
        <v>0</v>
      </c>
      <c r="J40" s="54"/>
      <c r="K40" s="52">
        <f t="shared" si="4"/>
        <v>0</v>
      </c>
      <c r="L40" s="54">
        <v>1</v>
      </c>
      <c r="M40" s="11">
        <f t="shared" si="2"/>
        <v>400000</v>
      </c>
      <c r="O40" s="52">
        <f t="shared" si="5"/>
        <v>400000</v>
      </c>
      <c r="P40" s="33">
        <f t="shared" si="1"/>
        <v>1</v>
      </c>
    </row>
    <row r="41" spans="1:17">
      <c r="A41" s="8" t="s">
        <v>40</v>
      </c>
      <c r="B41" s="1"/>
      <c r="C41" s="1"/>
      <c r="D41" s="1"/>
      <c r="E41" s="1"/>
      <c r="F41" s="1">
        <f>+'Sources &amp; Uses'!F56</f>
        <v>0</v>
      </c>
      <c r="G41" s="1"/>
      <c r="H41" s="54"/>
      <c r="I41" s="11">
        <f t="shared" si="3"/>
        <v>0</v>
      </c>
      <c r="J41" s="54">
        <v>1</v>
      </c>
      <c r="K41" s="52">
        <f t="shared" si="4"/>
        <v>0</v>
      </c>
      <c r="L41" s="54">
        <v>0</v>
      </c>
      <c r="M41" s="11">
        <f t="shared" si="2"/>
        <v>0</v>
      </c>
      <c r="O41" s="52">
        <f>+K41</f>
        <v>0</v>
      </c>
      <c r="P41" s="33">
        <f t="shared" si="1"/>
        <v>1</v>
      </c>
    </row>
    <row r="42" spans="1:17">
      <c r="A42" s="8" t="s">
        <v>41</v>
      </c>
      <c r="B42" s="1"/>
      <c r="C42" s="1"/>
      <c r="D42" s="1"/>
      <c r="E42" s="1"/>
      <c r="F42" s="1">
        <f>+'Sources &amp; Uses'!F57</f>
        <v>0</v>
      </c>
      <c r="G42" s="1"/>
      <c r="H42" s="54"/>
      <c r="I42" s="11">
        <f t="shared" si="3"/>
        <v>0</v>
      </c>
      <c r="J42" s="54">
        <v>1</v>
      </c>
      <c r="K42" s="52">
        <f t="shared" si="4"/>
        <v>0</v>
      </c>
      <c r="L42" s="54">
        <v>0</v>
      </c>
      <c r="M42" s="11"/>
      <c r="O42" s="52">
        <f t="shared" si="5"/>
        <v>0</v>
      </c>
      <c r="P42" s="33">
        <f t="shared" si="1"/>
        <v>1</v>
      </c>
    </row>
    <row r="43" spans="1:17">
      <c r="A43" s="8" t="str">
        <f>+'Sources &amp; Uses'!A58</f>
        <v>Other Third Party Costs</v>
      </c>
      <c r="B43" s="1"/>
      <c r="C43" s="1"/>
      <c r="D43" s="1"/>
      <c r="E43" s="1"/>
      <c r="F43" s="1">
        <f>+'Sources &amp; Uses'!F58</f>
        <v>217742</v>
      </c>
      <c r="G43" s="1"/>
      <c r="H43" s="54"/>
      <c r="I43" s="11">
        <f t="shared" si="3"/>
        <v>0</v>
      </c>
      <c r="J43" s="338">
        <f>+K43/F43</f>
        <v>0</v>
      </c>
      <c r="K43" s="52">
        <f>+'Sources &amp; Uses'!Y68</f>
        <v>0</v>
      </c>
      <c r="L43" s="338">
        <f>+M43/F43</f>
        <v>0</v>
      </c>
      <c r="M43" s="11">
        <f>+'Sources &amp; Uses'!X68</f>
        <v>0</v>
      </c>
      <c r="O43" s="52">
        <f t="shared" si="5"/>
        <v>217742</v>
      </c>
      <c r="P43" s="33">
        <f t="shared" si="1"/>
        <v>0</v>
      </c>
      <c r="Q43" s="1">
        <f>1500+2140+6255+1965+3500</f>
        <v>15360</v>
      </c>
    </row>
    <row r="44" spans="1:17">
      <c r="A44" s="100">
        <f>+'Sources &amp; Uses'!A59</f>
        <v>0</v>
      </c>
      <c r="B44" s="1"/>
      <c r="C44" s="1"/>
      <c r="D44" s="1"/>
      <c r="E44" s="1"/>
      <c r="F44" s="1">
        <f>+'Sources &amp; Uses'!F25</f>
        <v>1011593.3800000001</v>
      </c>
      <c r="G44" s="3"/>
      <c r="H44" s="54"/>
      <c r="I44" s="11">
        <f t="shared" si="3"/>
        <v>0</v>
      </c>
      <c r="J44" s="54">
        <v>0.15</v>
      </c>
      <c r="K44" s="52">
        <f t="shared" si="4"/>
        <v>151739.00700000001</v>
      </c>
      <c r="L44" s="54">
        <v>0.85</v>
      </c>
      <c r="M44" s="11">
        <f t="shared" si="2"/>
        <v>859854.37300000014</v>
      </c>
      <c r="O44" s="52">
        <f t="shared" si="5"/>
        <v>1011593.3800000001</v>
      </c>
      <c r="P44" s="33">
        <f t="shared" si="1"/>
        <v>1</v>
      </c>
    </row>
    <row r="45" spans="1:17">
      <c r="A45" s="8" t="s">
        <v>46</v>
      </c>
      <c r="B45" s="1"/>
      <c r="C45" s="1"/>
      <c r="D45" s="1"/>
      <c r="E45" s="1"/>
      <c r="F45" s="1">
        <f>+'Sources &amp; Uses'!H63</f>
        <v>0</v>
      </c>
      <c r="G45" s="1"/>
      <c r="H45" s="54"/>
      <c r="I45" s="11">
        <f t="shared" si="3"/>
        <v>0</v>
      </c>
      <c r="J45" s="54">
        <v>1</v>
      </c>
      <c r="K45" s="52">
        <f t="shared" si="4"/>
        <v>0</v>
      </c>
      <c r="L45" s="54"/>
      <c r="M45" s="11">
        <f t="shared" si="2"/>
        <v>0</v>
      </c>
      <c r="O45" s="52">
        <f t="shared" si="5"/>
        <v>0</v>
      </c>
      <c r="P45" s="33">
        <f t="shared" si="1"/>
        <v>1</v>
      </c>
    </row>
    <row r="46" spans="1:17">
      <c r="A46" s="8" t="s">
        <v>47</v>
      </c>
      <c r="B46" s="1"/>
      <c r="C46" s="1"/>
      <c r="D46" s="1"/>
      <c r="E46" s="1"/>
      <c r="F46" s="1">
        <f>+'Sources &amp; Uses'!H64</f>
        <v>0</v>
      </c>
      <c r="G46" s="1"/>
      <c r="H46" s="54"/>
      <c r="I46" s="11">
        <f t="shared" si="3"/>
        <v>0</v>
      </c>
      <c r="J46" s="54">
        <v>1</v>
      </c>
      <c r="K46" s="52">
        <f t="shared" si="4"/>
        <v>0</v>
      </c>
      <c r="L46" s="54"/>
      <c r="M46" s="11">
        <f t="shared" si="2"/>
        <v>0</v>
      </c>
      <c r="O46" s="52">
        <f t="shared" si="5"/>
        <v>0</v>
      </c>
      <c r="P46" s="33">
        <f t="shared" si="1"/>
        <v>1</v>
      </c>
    </row>
    <row r="47" spans="1:17">
      <c r="A47" s="1" t="s">
        <v>548</v>
      </c>
      <c r="B47" s="1"/>
      <c r="C47" s="1"/>
      <c r="D47" s="1"/>
      <c r="E47" s="1"/>
      <c r="F47" s="1">
        <f>+'Sources &amp; Uses'!H67</f>
        <v>0</v>
      </c>
      <c r="G47" s="1"/>
      <c r="H47" s="54"/>
      <c r="I47" s="11">
        <f t="shared" si="3"/>
        <v>0</v>
      </c>
      <c r="J47" s="54"/>
      <c r="K47" s="52">
        <f t="shared" si="4"/>
        <v>0</v>
      </c>
      <c r="L47" s="54">
        <v>1</v>
      </c>
      <c r="M47" s="11">
        <f>+F47</f>
        <v>0</v>
      </c>
      <c r="O47" s="52">
        <f t="shared" si="5"/>
        <v>0</v>
      </c>
      <c r="P47" s="33">
        <f t="shared" si="1"/>
        <v>1</v>
      </c>
      <c r="Q47" s="1">
        <v>390287</v>
      </c>
    </row>
    <row r="48" spans="1:17">
      <c r="A48" s="1" t="s">
        <v>344</v>
      </c>
      <c r="B48" s="1"/>
      <c r="C48" s="1"/>
      <c r="D48" s="1"/>
      <c r="E48" s="1"/>
      <c r="F48" s="1">
        <f>+'Sources &amp; Uses'!H68</f>
        <v>0</v>
      </c>
      <c r="G48" s="1"/>
      <c r="H48" s="54"/>
      <c r="I48" s="11">
        <f t="shared" si="3"/>
        <v>0</v>
      </c>
      <c r="J48" s="54"/>
      <c r="K48" s="52">
        <f t="shared" si="4"/>
        <v>0</v>
      </c>
      <c r="L48" s="54">
        <v>1</v>
      </c>
      <c r="M48" s="11">
        <f t="shared" si="2"/>
        <v>0</v>
      </c>
      <c r="O48" s="52">
        <f t="shared" si="5"/>
        <v>0</v>
      </c>
      <c r="P48" s="33">
        <f t="shared" si="1"/>
        <v>1</v>
      </c>
    </row>
    <row r="49" spans="1:21">
      <c r="A49" s="8" t="str">
        <f>+'Sources &amp; Uses'!A71</f>
        <v>Syndication Legal</v>
      </c>
      <c r="B49" s="1"/>
      <c r="C49" s="1"/>
      <c r="D49" s="1"/>
      <c r="E49" s="1"/>
      <c r="F49" s="1">
        <f>+'Sources &amp; Uses'!F71</f>
        <v>0</v>
      </c>
      <c r="G49" s="1"/>
      <c r="H49" s="54"/>
      <c r="I49" s="11">
        <f t="shared" si="3"/>
        <v>0</v>
      </c>
      <c r="J49" s="54">
        <v>1</v>
      </c>
      <c r="K49" s="52">
        <f t="shared" si="4"/>
        <v>0</v>
      </c>
      <c r="L49" s="54"/>
      <c r="M49" s="11">
        <f t="shared" si="2"/>
        <v>0</v>
      </c>
      <c r="O49" s="52">
        <f t="shared" si="5"/>
        <v>0</v>
      </c>
      <c r="P49" s="33">
        <f t="shared" si="1"/>
        <v>1</v>
      </c>
    </row>
    <row r="50" spans="1:21">
      <c r="A50" s="8" t="s">
        <v>49</v>
      </c>
      <c r="B50" s="1"/>
      <c r="C50" s="1"/>
      <c r="D50" s="1"/>
      <c r="E50" s="1"/>
      <c r="F50" s="1">
        <f>+'Sources &amp; Uses'!F72</f>
        <v>0</v>
      </c>
      <c r="G50" s="1"/>
      <c r="H50" s="54"/>
      <c r="I50" s="11">
        <f t="shared" si="3"/>
        <v>0</v>
      </c>
      <c r="J50" s="54">
        <v>1</v>
      </c>
      <c r="K50" s="52"/>
      <c r="L50" s="54"/>
      <c r="M50" s="11">
        <f t="shared" si="2"/>
        <v>0</v>
      </c>
      <c r="O50" s="52">
        <v>0</v>
      </c>
      <c r="P50" s="33">
        <f t="shared" si="1"/>
        <v>1</v>
      </c>
    </row>
    <row r="51" spans="1:21">
      <c r="A51" s="1"/>
      <c r="B51" s="1"/>
      <c r="C51" s="1"/>
      <c r="D51" s="1"/>
      <c r="E51" s="1"/>
      <c r="F51" s="2"/>
      <c r="G51" s="1"/>
      <c r="H51" s="54"/>
      <c r="I51" s="20">
        <f t="shared" si="3"/>
        <v>0</v>
      </c>
      <c r="J51" s="53"/>
      <c r="K51" s="55">
        <f t="shared" si="4"/>
        <v>0</v>
      </c>
      <c r="L51" s="54"/>
      <c r="M51" s="20">
        <f t="shared" si="2"/>
        <v>0</v>
      </c>
      <c r="O51" s="55">
        <f t="shared" si="0"/>
        <v>0</v>
      </c>
      <c r="P51" s="33"/>
      <c r="Q51" s="2"/>
    </row>
    <row r="52" spans="1:21">
      <c r="A52" s="5" t="s">
        <v>54</v>
      </c>
      <c r="B52" s="1"/>
      <c r="C52" s="1"/>
      <c r="D52" s="1"/>
      <c r="E52" s="1"/>
      <c r="F52" s="1" t="e">
        <f>SUM(F16:F51)</f>
        <v>#REF!</v>
      </c>
      <c r="G52" s="1"/>
      <c r="H52" s="1"/>
      <c r="I52" s="1" t="e">
        <f>SUM(I16:I50)</f>
        <v>#REF!</v>
      </c>
      <c r="K52" s="1" t="e">
        <f>SUM(K16:K50)</f>
        <v>#REF!</v>
      </c>
      <c r="M52" s="1" t="e">
        <f>SUM(M16:M50)</f>
        <v>#REF!</v>
      </c>
      <c r="O52" s="1">
        <f>SUM(O16:O50)</f>
        <v>20476903.250199996</v>
      </c>
      <c r="Q52" s="1">
        <f>SUM(Q16:Q51)</f>
        <v>1577943</v>
      </c>
      <c r="U52" s="11"/>
    </row>
    <row r="54" spans="1:21">
      <c r="U54" s="468"/>
    </row>
    <row r="55" spans="1:21" hidden="1">
      <c r="A55" t="s">
        <v>545</v>
      </c>
      <c r="M55" s="11"/>
    </row>
    <row r="56" spans="1:21" hidden="1"/>
    <row r="57" spans="1:21" hidden="1">
      <c r="A57" t="s">
        <v>522</v>
      </c>
      <c r="M57" s="1">
        <f>+K16</f>
        <v>0</v>
      </c>
    </row>
    <row r="58" spans="1:21" hidden="1"/>
    <row r="59" spans="1:21" hidden="1">
      <c r="A59" t="s">
        <v>546</v>
      </c>
      <c r="M59" s="1" t="e">
        <f>SUM(M52:M58)</f>
        <v>#REF!</v>
      </c>
    </row>
    <row r="60" spans="1:21" hidden="1">
      <c r="M60" s="52"/>
    </row>
    <row r="61" spans="1:21" hidden="1">
      <c r="A61" t="s">
        <v>524</v>
      </c>
      <c r="L61">
        <v>0.1</v>
      </c>
      <c r="M61" s="52" t="e">
        <f>SUM(M59*L61)</f>
        <v>#REF!</v>
      </c>
    </row>
    <row r="62" spans="1:21" hidden="1"/>
    <row r="63" spans="1:21" hidden="1">
      <c r="A63" t="s">
        <v>9</v>
      </c>
      <c r="M63" s="1">
        <f>-M57</f>
        <v>0</v>
      </c>
    </row>
    <row r="64" spans="1:21" hidden="1">
      <c r="A64" t="s">
        <v>547</v>
      </c>
      <c r="L64">
        <v>0.2</v>
      </c>
      <c r="M64" s="11">
        <f>SUM(M47*L64)*-1</f>
        <v>0</v>
      </c>
    </row>
    <row r="65" spans="1:21" hidden="1"/>
    <row r="66" spans="1:21" hidden="1"/>
    <row r="67" spans="1:21" hidden="1"/>
    <row r="68" spans="1:21" ht="13.5" hidden="1" thickBot="1">
      <c r="M68" s="188" t="e">
        <f>SUM(M61:M67)</f>
        <v>#REF!</v>
      </c>
    </row>
    <row r="69" spans="1:21" ht="13.5" hidden="1" thickTop="1"/>
    <row r="70" spans="1:21" hidden="1"/>
    <row r="71" spans="1:21" hidden="1"/>
    <row r="72" spans="1:21" hidden="1">
      <c r="A72" t="s">
        <v>550</v>
      </c>
    </row>
    <row r="73" spans="1:21">
      <c r="A73" t="s">
        <v>695</v>
      </c>
      <c r="U73" s="11"/>
    </row>
    <row r="74" spans="1:21">
      <c r="U74" s="468"/>
    </row>
    <row r="75" spans="1:21">
      <c r="A75" t="s">
        <v>213</v>
      </c>
      <c r="M75" s="1" t="e">
        <f>+M52</f>
        <v>#REF!</v>
      </c>
    </row>
    <row r="76" spans="1:21">
      <c r="A76" t="s">
        <v>9</v>
      </c>
      <c r="M76" s="11">
        <f>+K16</f>
        <v>0</v>
      </c>
      <c r="U76" s="468"/>
    </row>
    <row r="78" spans="1:21" ht="13.5" thickBot="1">
      <c r="A78" t="s">
        <v>696</v>
      </c>
      <c r="M78" s="120" t="e">
        <f>SUM(M75:M77)</f>
        <v>#REF!</v>
      </c>
      <c r="U78" s="468"/>
    </row>
    <row r="79" spans="1:21" ht="13.5" thickTop="1">
      <c r="U79" s="320"/>
    </row>
    <row r="80" spans="1:21">
      <c r="A80" t="s">
        <v>697</v>
      </c>
      <c r="K80" s="9">
        <v>0.5</v>
      </c>
      <c r="M80" s="1" t="e">
        <f>+M78*K80</f>
        <v>#REF!</v>
      </c>
      <c r="U80" s="468"/>
    </row>
    <row r="83" spans="1:13">
      <c r="A83" s="293" t="s">
        <v>960</v>
      </c>
      <c r="K83" s="9" t="e">
        <f>+M83/M78</f>
        <v>#REF!</v>
      </c>
      <c r="M83" s="1" t="e">
        <f>+#REF!</f>
        <v>#REF!</v>
      </c>
    </row>
  </sheetData>
  <phoneticPr fontId="0" type="noConversion"/>
  <pageMargins left="0.75" right="0.75" top="1" bottom="1" header="0.5" footer="0.5"/>
  <pageSetup scale="55" orientation="portrait" r:id="rId1"/>
  <headerFooter alignWithMargins="0">
    <oddFooter>&amp;L
&amp;D&amp;CThis presentation is for internal use only and should not be used for any other purposes.
&amp;T&amp;R
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G36"/>
  <sheetViews>
    <sheetView workbookViewId="0"/>
  </sheetViews>
  <sheetFormatPr defaultColWidth="8.85546875" defaultRowHeight="12.75"/>
  <cols>
    <col min="7" max="7" width="11.28515625" bestFit="1" customWidth="1"/>
  </cols>
  <sheetData>
    <row r="1" spans="1:7">
      <c r="A1" t="s">
        <v>507</v>
      </c>
    </row>
    <row r="2" spans="1:7">
      <c r="A2" t="s">
        <v>519</v>
      </c>
    </row>
    <row r="3" spans="1:7">
      <c r="A3" t="s">
        <v>520</v>
      </c>
    </row>
    <row r="5" spans="1:7">
      <c r="A5" t="s">
        <v>521</v>
      </c>
      <c r="G5" s="1" t="e">
        <f>+'Cost Allocation Basis'!M52</f>
        <v>#REF!</v>
      </c>
    </row>
    <row r="7" spans="1:7">
      <c r="A7" t="s">
        <v>522</v>
      </c>
      <c r="G7">
        <f>+'Cost Allocation Basis'!K16</f>
        <v>0</v>
      </c>
    </row>
    <row r="9" spans="1:7">
      <c r="A9" t="s">
        <v>523</v>
      </c>
      <c r="G9" s="1" t="e">
        <f>SUM(G5:G8)</f>
        <v>#REF!</v>
      </c>
    </row>
    <row r="11" spans="1:7">
      <c r="A11" t="s">
        <v>524</v>
      </c>
      <c r="F11">
        <v>0.1</v>
      </c>
      <c r="G11" s="52" t="e">
        <f>SUM(G9*F11)</f>
        <v>#REF!</v>
      </c>
    </row>
    <row r="13" spans="1:7">
      <c r="A13" t="s">
        <v>525</v>
      </c>
    </row>
    <row r="15" spans="1:7">
      <c r="A15" t="s">
        <v>526</v>
      </c>
      <c r="G15">
        <f>9500+3500</f>
        <v>13000</v>
      </c>
    </row>
    <row r="16" spans="1:7">
      <c r="A16" t="s">
        <v>527</v>
      </c>
      <c r="E16">
        <v>0.2</v>
      </c>
      <c r="G16" s="52">
        <f>SUM(E16*'Cost Allocation Basis'!F47)</f>
        <v>0</v>
      </c>
    </row>
    <row r="17" spans="1:7">
      <c r="A17" t="s">
        <v>528</v>
      </c>
      <c r="G17" s="1">
        <f>+'Cost Allocation Basis'!F16</f>
        <v>0</v>
      </c>
    </row>
    <row r="18" spans="1:7">
      <c r="A18" t="s">
        <v>529</v>
      </c>
      <c r="G18">
        <v>4800</v>
      </c>
    </row>
    <row r="19" spans="1:7">
      <c r="A19" t="s">
        <v>534</v>
      </c>
      <c r="G19">
        <v>750</v>
      </c>
    </row>
    <row r="20" spans="1:7">
      <c r="A20" t="s">
        <v>530</v>
      </c>
      <c r="G20">
        <v>0</v>
      </c>
    </row>
    <row r="21" spans="1:7">
      <c r="A21" t="s">
        <v>531</v>
      </c>
      <c r="G21" s="1">
        <f>+'Cost Allocation Basis'!F26</f>
        <v>400000</v>
      </c>
    </row>
    <row r="22" spans="1:7">
      <c r="A22" t="s">
        <v>535</v>
      </c>
      <c r="G22" s="1">
        <v>1700</v>
      </c>
    </row>
    <row r="23" spans="1:7">
      <c r="A23" t="s">
        <v>536</v>
      </c>
      <c r="G23" s="1">
        <v>31500</v>
      </c>
    </row>
    <row r="24" spans="1:7">
      <c r="G24" s="1"/>
    </row>
    <row r="26" spans="1:7">
      <c r="A26" t="s">
        <v>243</v>
      </c>
      <c r="G26">
        <f>SUM(G15:G23)</f>
        <v>451750</v>
      </c>
    </row>
    <row r="28" spans="1:7">
      <c r="A28" t="s">
        <v>532</v>
      </c>
      <c r="G28" s="52" t="e">
        <f>SUM(G11-G26)</f>
        <v>#REF!</v>
      </c>
    </row>
    <row r="31" spans="1:7">
      <c r="A31" t="s">
        <v>533</v>
      </c>
      <c r="G31">
        <v>100000</v>
      </c>
    </row>
    <row r="34" spans="1:7">
      <c r="A34" t="s">
        <v>537</v>
      </c>
      <c r="G34">
        <f>SUM(G26+G31)</f>
        <v>551750</v>
      </c>
    </row>
    <row r="36" spans="1:7">
      <c r="A36" t="s">
        <v>538</v>
      </c>
      <c r="G36" s="184" t="e">
        <f>SUM(G34/G9)</f>
        <v>#REF!</v>
      </c>
    </row>
  </sheetData>
  <phoneticPr fontId="20" type="noConversion"/>
  <pageMargins left="0.75" right="0.75" top="1" bottom="1" header="0.5" footer="0.5"/>
  <pageSetup orientation="portrait" r:id="rId1"/>
  <headerFooter alignWithMargins="0">
    <oddFooter>&amp;C&amp;D &amp;T
&amp;Z&amp;F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I55"/>
  <sheetViews>
    <sheetView topLeftCell="A10" workbookViewId="0">
      <selection sqref="A1:H53"/>
    </sheetView>
  </sheetViews>
  <sheetFormatPr defaultColWidth="8.85546875" defaultRowHeight="12.75"/>
  <cols>
    <col min="3" max="3" width="15.140625" customWidth="1"/>
    <col min="4" max="4" width="12.42578125" style="476" customWidth="1"/>
    <col min="5" max="5" width="13.140625" customWidth="1"/>
    <col min="6" max="6" width="14.85546875" customWidth="1"/>
    <col min="7" max="7" width="13.42578125" customWidth="1"/>
    <col min="8" max="8" width="4.28515625" customWidth="1"/>
    <col min="9" max="9" width="10.85546875" bestFit="1" customWidth="1"/>
  </cols>
  <sheetData>
    <row r="1" spans="1:9">
      <c r="A1" s="1" t="str">
        <f>+'Sources &amp; Uses'!A1</f>
        <v>Lamar Building</v>
      </c>
      <c r="E1" t="s">
        <v>1221</v>
      </c>
      <c r="G1" s="293"/>
      <c r="H1" s="32"/>
    </row>
    <row r="4" spans="1:9">
      <c r="A4" t="s">
        <v>1210</v>
      </c>
      <c r="C4" s="285">
        <v>18500000</v>
      </c>
    </row>
    <row r="5" spans="1:9">
      <c r="A5" t="s">
        <v>145</v>
      </c>
      <c r="C5" s="309">
        <v>7.4999999999999997E-2</v>
      </c>
      <c r="G5" s="36"/>
      <c r="H5" s="311"/>
    </row>
    <row r="6" spans="1:9">
      <c r="A6" t="s">
        <v>146</v>
      </c>
      <c r="C6" s="77" t="s">
        <v>1222</v>
      </c>
      <c r="G6" s="37"/>
      <c r="H6" s="311"/>
    </row>
    <row r="7" spans="1:9">
      <c r="A7" t="s">
        <v>147</v>
      </c>
      <c r="C7" s="77">
        <v>12</v>
      </c>
      <c r="G7" s="24"/>
    </row>
    <row r="10" spans="1:9">
      <c r="B10" s="35" t="s">
        <v>151</v>
      </c>
      <c r="C10" s="35" t="s">
        <v>1223</v>
      </c>
      <c r="D10" s="477" t="s">
        <v>153</v>
      </c>
      <c r="E10" s="35" t="s">
        <v>1224</v>
      </c>
      <c r="F10" s="35" t="s">
        <v>452</v>
      </c>
      <c r="H10" s="34"/>
      <c r="I10" s="34"/>
    </row>
    <row r="11" spans="1:9" hidden="1">
      <c r="B11" s="34">
        <v>1</v>
      </c>
      <c r="C11" s="38">
        <f>$G$5</f>
        <v>0</v>
      </c>
      <c r="D11" s="478">
        <f>C$4*$C$5/1</f>
        <v>1387500</v>
      </c>
      <c r="E11" s="307">
        <f>C11-D11</f>
        <v>-1387500</v>
      </c>
      <c r="F11" s="307">
        <f>C4-E11</f>
        <v>19887500</v>
      </c>
      <c r="G11" s="307">
        <f>D11</f>
        <v>1387500</v>
      </c>
      <c r="H11" s="312"/>
    </row>
    <row r="12" spans="1:9" hidden="1">
      <c r="B12" s="34">
        <v>2</v>
      </c>
      <c r="C12" s="38">
        <f t="shared" ref="C12:C13" si="0">$G$5</f>
        <v>0</v>
      </c>
      <c r="D12" s="478">
        <f t="shared" ref="D12:D13" si="1">C$4*$C$5/1</f>
        <v>1387500</v>
      </c>
      <c r="E12" s="307">
        <f t="shared" ref="E12:E13" si="2">C12-D12</f>
        <v>-1387500</v>
      </c>
      <c r="F12" s="307">
        <f>F11-E12</f>
        <v>21275000</v>
      </c>
      <c r="G12" s="307">
        <f>D12+G11</f>
        <v>2775000</v>
      </c>
      <c r="H12" s="312"/>
    </row>
    <row r="13" spans="1:9" hidden="1">
      <c r="B13" s="34">
        <v>3</v>
      </c>
      <c r="C13" s="38">
        <f t="shared" si="0"/>
        <v>0</v>
      </c>
      <c r="D13" s="478">
        <f t="shared" si="1"/>
        <v>1387500</v>
      </c>
      <c r="E13" s="307">
        <f t="shared" si="2"/>
        <v>-1387500</v>
      </c>
      <c r="F13" s="307">
        <f t="shared" ref="F13:F30" si="3">F12-E13</f>
        <v>22662500</v>
      </c>
      <c r="G13" s="307">
        <f t="shared" ref="G13:G16" si="4">D13+G12</f>
        <v>4162500</v>
      </c>
      <c r="H13" s="312"/>
    </row>
    <row r="14" spans="1:9" hidden="1">
      <c r="B14" s="34">
        <v>4</v>
      </c>
      <c r="C14" s="38" t="e">
        <f>+'Residual Calculation'!H53</f>
        <v>#REF!</v>
      </c>
      <c r="D14" s="478">
        <v>0</v>
      </c>
      <c r="E14" s="307">
        <f>SUM(E13-D14)</f>
        <v>-1387500</v>
      </c>
      <c r="F14" s="307">
        <f t="shared" si="3"/>
        <v>24050000</v>
      </c>
      <c r="G14" s="307">
        <f t="shared" si="4"/>
        <v>4162500</v>
      </c>
      <c r="H14" s="312"/>
      <c r="I14" s="314"/>
    </row>
    <row r="15" spans="1:9" hidden="1">
      <c r="B15" s="34">
        <v>5</v>
      </c>
      <c r="C15" s="38" t="e">
        <f>+'Residual Calculation'!I53</f>
        <v>#REF!</v>
      </c>
      <c r="D15" s="478">
        <v>0</v>
      </c>
      <c r="E15" s="307" t="e">
        <f>+C15+D15</f>
        <v>#REF!</v>
      </c>
      <c r="F15" s="307" t="e">
        <f t="shared" si="3"/>
        <v>#REF!</v>
      </c>
      <c r="G15" s="307">
        <f t="shared" si="4"/>
        <v>4162500</v>
      </c>
      <c r="H15" s="312"/>
    </row>
    <row r="16" spans="1:9" hidden="1">
      <c r="B16" s="34">
        <v>6</v>
      </c>
      <c r="C16" s="38" t="e">
        <f>+'Residual Calculation'!J53</f>
        <v>#REF!</v>
      </c>
      <c r="D16" s="478">
        <v>0</v>
      </c>
      <c r="E16" s="307" t="e">
        <f>+C16+D16</f>
        <v>#REF!</v>
      </c>
      <c r="F16" s="307" t="e">
        <f t="shared" si="3"/>
        <v>#REF!</v>
      </c>
      <c r="G16" s="307">
        <f t="shared" si="4"/>
        <v>4162500</v>
      </c>
      <c r="H16" s="312"/>
    </row>
    <row r="17" spans="2:8" hidden="1">
      <c r="B17" s="34">
        <v>7</v>
      </c>
      <c r="C17" s="38" t="e">
        <f>+'Residual Calculation'!K53</f>
        <v>#REF!</v>
      </c>
      <c r="D17" s="478">
        <v>0</v>
      </c>
      <c r="E17" s="307" t="e">
        <f>+C17+D17</f>
        <v>#REF!</v>
      </c>
      <c r="F17" s="307" t="e">
        <f t="shared" si="3"/>
        <v>#REF!</v>
      </c>
      <c r="G17" s="307">
        <v>0</v>
      </c>
      <c r="H17" s="312"/>
    </row>
    <row r="18" spans="2:8" hidden="1">
      <c r="B18" s="34">
        <v>8</v>
      </c>
      <c r="C18" s="38" t="e">
        <f>+'Residual Calculation'!L53</f>
        <v>#REF!</v>
      </c>
      <c r="D18" s="478">
        <f>C$4*$C$5/1*-1</f>
        <v>-1387500</v>
      </c>
      <c r="E18" s="307" t="e">
        <f t="shared" ref="E18:E30" si="5">+C18+D18</f>
        <v>#REF!</v>
      </c>
      <c r="F18" s="307" t="e">
        <f t="shared" si="3"/>
        <v>#REF!</v>
      </c>
      <c r="G18" s="307">
        <v>0</v>
      </c>
      <c r="H18" s="312"/>
    </row>
    <row r="19" spans="2:8" hidden="1">
      <c r="B19" s="34">
        <v>9</v>
      </c>
      <c r="C19" s="38" t="e">
        <f>+'Residual Calculation'!M53</f>
        <v>#REF!</v>
      </c>
      <c r="D19" s="478">
        <f t="shared" ref="D19:D29" si="6">C$4*$C$5/1*-1</f>
        <v>-1387500</v>
      </c>
      <c r="E19" s="307" t="e">
        <f t="shared" si="5"/>
        <v>#REF!</v>
      </c>
      <c r="F19" s="307" t="e">
        <f t="shared" si="3"/>
        <v>#REF!</v>
      </c>
      <c r="G19" s="307">
        <v>0</v>
      </c>
      <c r="H19" s="312"/>
    </row>
    <row r="20" spans="2:8" hidden="1">
      <c r="B20" s="34">
        <v>10</v>
      </c>
      <c r="C20" s="38" t="e">
        <f>+'Residual Calculation'!N53</f>
        <v>#REF!</v>
      </c>
      <c r="D20" s="478">
        <f t="shared" si="6"/>
        <v>-1387500</v>
      </c>
      <c r="E20" s="307" t="e">
        <f t="shared" si="5"/>
        <v>#REF!</v>
      </c>
      <c r="F20" s="307" t="e">
        <f t="shared" si="3"/>
        <v>#REF!</v>
      </c>
      <c r="G20" s="307">
        <v>0</v>
      </c>
      <c r="H20" s="312"/>
    </row>
    <row r="21" spans="2:8" hidden="1">
      <c r="B21" s="34">
        <v>11</v>
      </c>
      <c r="C21" s="38" t="e">
        <f>+'Residual Calculation'!O53</f>
        <v>#REF!</v>
      </c>
      <c r="D21" s="478">
        <f t="shared" si="6"/>
        <v>-1387500</v>
      </c>
      <c r="E21" s="307" t="e">
        <f t="shared" si="5"/>
        <v>#REF!</v>
      </c>
      <c r="F21" s="307" t="e">
        <f t="shared" si="3"/>
        <v>#REF!</v>
      </c>
      <c r="G21" s="307">
        <v>0</v>
      </c>
      <c r="H21" s="312"/>
    </row>
    <row r="22" spans="2:8" hidden="1">
      <c r="B22" s="34">
        <v>12</v>
      </c>
      <c r="C22" s="38" t="e">
        <f>+'Residual Calculation'!P53</f>
        <v>#REF!</v>
      </c>
      <c r="D22" s="478">
        <f t="shared" si="6"/>
        <v>-1387500</v>
      </c>
      <c r="E22" s="307" t="e">
        <f t="shared" si="5"/>
        <v>#REF!</v>
      </c>
      <c r="F22" s="307" t="e">
        <f t="shared" si="3"/>
        <v>#REF!</v>
      </c>
      <c r="G22" s="307">
        <v>0</v>
      </c>
      <c r="H22" s="313"/>
    </row>
    <row r="23" spans="2:8" hidden="1">
      <c r="B23" s="34">
        <v>13</v>
      </c>
      <c r="C23" s="38" t="e">
        <f>+'Residual Calculation'!Q53</f>
        <v>#REF!</v>
      </c>
      <c r="D23" s="478">
        <f t="shared" si="6"/>
        <v>-1387500</v>
      </c>
      <c r="E23" s="307" t="e">
        <f t="shared" si="5"/>
        <v>#REF!</v>
      </c>
      <c r="F23" s="307" t="e">
        <f t="shared" si="3"/>
        <v>#REF!</v>
      </c>
      <c r="G23" s="307">
        <v>0</v>
      </c>
      <c r="H23" s="312"/>
    </row>
    <row r="24" spans="2:8" hidden="1">
      <c r="B24" s="34">
        <v>14</v>
      </c>
      <c r="C24" s="38" t="e">
        <f>+'Residual Calculation'!R53</f>
        <v>#REF!</v>
      </c>
      <c r="D24" s="478">
        <f t="shared" si="6"/>
        <v>-1387500</v>
      </c>
      <c r="E24" s="307" t="e">
        <f t="shared" si="5"/>
        <v>#REF!</v>
      </c>
      <c r="F24" s="307" t="e">
        <f t="shared" si="3"/>
        <v>#REF!</v>
      </c>
      <c r="G24" s="307">
        <v>0</v>
      </c>
      <c r="H24" s="312"/>
    </row>
    <row r="25" spans="2:8" hidden="1">
      <c r="B25" s="34">
        <v>15</v>
      </c>
      <c r="C25" s="38" t="e">
        <f>+'Residual Calculation'!S53</f>
        <v>#REF!</v>
      </c>
      <c r="D25" s="478">
        <f t="shared" si="6"/>
        <v>-1387500</v>
      </c>
      <c r="E25" s="307" t="e">
        <f t="shared" si="5"/>
        <v>#REF!</v>
      </c>
      <c r="F25" s="307" t="e">
        <f t="shared" si="3"/>
        <v>#REF!</v>
      </c>
      <c r="G25" s="307">
        <v>0</v>
      </c>
      <c r="H25" s="312"/>
    </row>
    <row r="26" spans="2:8" hidden="1">
      <c r="B26" s="34">
        <v>16</v>
      </c>
      <c r="C26" s="38" t="e">
        <f>+'Residual Calculation'!T53</f>
        <v>#REF!</v>
      </c>
      <c r="D26" s="478">
        <f t="shared" si="6"/>
        <v>-1387500</v>
      </c>
      <c r="E26" s="307" t="e">
        <f t="shared" si="5"/>
        <v>#REF!</v>
      </c>
      <c r="F26" s="307" t="e">
        <f t="shared" si="3"/>
        <v>#REF!</v>
      </c>
      <c r="G26" s="307">
        <v>0</v>
      </c>
      <c r="H26" s="312"/>
    </row>
    <row r="27" spans="2:8" hidden="1">
      <c r="B27" s="34">
        <v>17</v>
      </c>
      <c r="C27" s="38" t="e">
        <f>+'Residual Calculation'!U53</f>
        <v>#REF!</v>
      </c>
      <c r="D27" s="478">
        <f t="shared" si="6"/>
        <v>-1387500</v>
      </c>
      <c r="E27" s="307" t="e">
        <f t="shared" si="5"/>
        <v>#REF!</v>
      </c>
      <c r="F27" s="307" t="e">
        <f t="shared" si="3"/>
        <v>#REF!</v>
      </c>
      <c r="G27" s="307">
        <v>0</v>
      </c>
      <c r="H27" s="312"/>
    </row>
    <row r="28" spans="2:8" hidden="1">
      <c r="B28" s="34">
        <v>18</v>
      </c>
      <c r="C28" s="38" t="e">
        <f>+'Residual Calculation'!V53</f>
        <v>#REF!</v>
      </c>
      <c r="D28" s="478">
        <f t="shared" si="6"/>
        <v>-1387500</v>
      </c>
      <c r="E28" s="307" t="e">
        <f t="shared" si="5"/>
        <v>#REF!</v>
      </c>
      <c r="F28" s="307" t="e">
        <f t="shared" si="3"/>
        <v>#REF!</v>
      </c>
      <c r="G28" s="307">
        <v>0</v>
      </c>
      <c r="H28" s="312"/>
    </row>
    <row r="29" spans="2:8" hidden="1">
      <c r="B29" s="34">
        <v>19</v>
      </c>
      <c r="C29" s="38" t="e">
        <f>+'Residual Calculation'!W53</f>
        <v>#REF!</v>
      </c>
      <c r="D29" s="478">
        <f t="shared" si="6"/>
        <v>-1387500</v>
      </c>
      <c r="E29" s="307" t="e">
        <f t="shared" si="5"/>
        <v>#REF!</v>
      </c>
      <c r="F29" s="307" t="e">
        <f t="shared" si="3"/>
        <v>#REF!</v>
      </c>
      <c r="G29" s="307">
        <v>0</v>
      </c>
      <c r="H29" s="312"/>
    </row>
    <row r="30" spans="2:8" hidden="1">
      <c r="B30" s="34">
        <v>20</v>
      </c>
      <c r="C30" s="38" t="e">
        <f>+'Residual Calculation'!X53</f>
        <v>#REF!</v>
      </c>
      <c r="D30" s="478">
        <f>C$4*$C$5/1*-1</f>
        <v>-1387500</v>
      </c>
      <c r="E30" s="307" t="e">
        <f t="shared" si="5"/>
        <v>#REF!</v>
      </c>
      <c r="F30" s="307" t="e">
        <f t="shared" si="3"/>
        <v>#REF!</v>
      </c>
      <c r="G30" s="307">
        <v>0</v>
      </c>
      <c r="H30" s="312"/>
    </row>
    <row r="31" spans="2:8">
      <c r="C31" s="479">
        <v>1000000</v>
      </c>
      <c r="D31" s="479">
        <v>0</v>
      </c>
      <c r="E31" s="479"/>
      <c r="F31" s="480">
        <f>+C31+D31-E31</f>
        <v>1000000</v>
      </c>
    </row>
    <row r="32" spans="2:8">
      <c r="C32" s="479">
        <v>500000</v>
      </c>
      <c r="D32" s="479">
        <f>+(C32*$C$5/$C$7)+D31</f>
        <v>3125</v>
      </c>
      <c r="F32" s="480">
        <f>+C32+D32+F31</f>
        <v>1503125</v>
      </c>
    </row>
    <row r="33" spans="3:6">
      <c r="C33" s="479">
        <v>1000000</v>
      </c>
      <c r="D33" s="479">
        <f t="shared" ref="D33:D46" si="7">+(C33*$C$5/$C$7)+D32</f>
        <v>9375</v>
      </c>
      <c r="E33" s="479">
        <v>0</v>
      </c>
      <c r="F33" s="480">
        <f>+F32+C33+D33-E33</f>
        <v>2512500</v>
      </c>
    </row>
    <row r="34" spans="3:6">
      <c r="C34" s="479">
        <v>1000000</v>
      </c>
      <c r="D34" s="479">
        <f t="shared" si="7"/>
        <v>15625</v>
      </c>
      <c r="F34" s="480">
        <f>+C34+D34+F33</f>
        <v>3528125</v>
      </c>
    </row>
    <row r="35" spans="3:6">
      <c r="C35" s="479">
        <v>1000000</v>
      </c>
      <c r="D35" s="479">
        <f t="shared" si="7"/>
        <v>21875</v>
      </c>
      <c r="F35" s="480">
        <f t="shared" ref="F35:F45" si="8">+C35+D35+F34</f>
        <v>4550000</v>
      </c>
    </row>
    <row r="36" spans="3:6">
      <c r="C36" s="479">
        <v>1500000</v>
      </c>
      <c r="D36" s="479">
        <f t="shared" si="7"/>
        <v>31250</v>
      </c>
      <c r="F36" s="480">
        <f t="shared" si="8"/>
        <v>6081250</v>
      </c>
    </row>
    <row r="37" spans="3:6">
      <c r="C37" s="479">
        <v>1500000</v>
      </c>
      <c r="D37" s="479">
        <f t="shared" si="7"/>
        <v>40625</v>
      </c>
      <c r="F37" s="480">
        <f t="shared" si="8"/>
        <v>7621875</v>
      </c>
    </row>
    <row r="38" spans="3:6">
      <c r="C38" s="479">
        <v>1500000</v>
      </c>
      <c r="D38" s="479">
        <f t="shared" si="7"/>
        <v>50000</v>
      </c>
      <c r="F38" s="480">
        <f t="shared" si="8"/>
        <v>9171875</v>
      </c>
    </row>
    <row r="39" spans="3:6">
      <c r="C39" s="479">
        <v>1500000</v>
      </c>
      <c r="D39" s="479">
        <f t="shared" si="7"/>
        <v>59375</v>
      </c>
      <c r="F39" s="480">
        <f t="shared" si="8"/>
        <v>10731250</v>
      </c>
    </row>
    <row r="40" spans="3:6">
      <c r="C40" s="479">
        <v>1500000</v>
      </c>
      <c r="D40" s="479">
        <f t="shared" si="7"/>
        <v>68750</v>
      </c>
      <c r="F40" s="480">
        <f t="shared" si="8"/>
        <v>12300000</v>
      </c>
    </row>
    <row r="41" spans="3:6">
      <c r="C41" s="479">
        <v>1000000</v>
      </c>
      <c r="D41" s="479">
        <f t="shared" si="7"/>
        <v>75000</v>
      </c>
      <c r="F41" s="480">
        <f t="shared" si="8"/>
        <v>13375000</v>
      </c>
    </row>
    <row r="42" spans="3:6">
      <c r="C42" s="479">
        <v>1500000</v>
      </c>
      <c r="D42" s="479">
        <f t="shared" si="7"/>
        <v>84375</v>
      </c>
      <c r="F42" s="480">
        <f t="shared" si="8"/>
        <v>14959375</v>
      </c>
    </row>
    <row r="43" spans="3:6">
      <c r="C43" s="479">
        <v>1000000</v>
      </c>
      <c r="D43" s="479">
        <f t="shared" si="7"/>
        <v>90625</v>
      </c>
      <c r="F43" s="480">
        <f t="shared" si="8"/>
        <v>16050000</v>
      </c>
    </row>
    <row r="44" spans="3:6">
      <c r="C44" s="479">
        <v>1000000</v>
      </c>
      <c r="D44" s="479">
        <f t="shared" si="7"/>
        <v>96875</v>
      </c>
      <c r="F44" s="480">
        <f t="shared" si="8"/>
        <v>17146875</v>
      </c>
    </row>
    <row r="45" spans="3:6">
      <c r="C45" s="479">
        <v>1000000</v>
      </c>
      <c r="D45" s="479">
        <f t="shared" si="7"/>
        <v>103125</v>
      </c>
      <c r="F45" s="480">
        <f t="shared" si="8"/>
        <v>18250000</v>
      </c>
    </row>
    <row r="46" spans="3:6">
      <c r="C46" s="479">
        <v>1000000</v>
      </c>
      <c r="D46" s="479">
        <f t="shared" si="7"/>
        <v>109375</v>
      </c>
      <c r="E46" s="479"/>
      <c r="F46" s="480">
        <f>+C46+D46+F45-E46</f>
        <v>19359375</v>
      </c>
    </row>
    <row r="47" spans="3:6">
      <c r="C47" s="479"/>
      <c r="D47" s="479"/>
    </row>
    <row r="48" spans="3:6">
      <c r="C48" s="479"/>
      <c r="D48" s="479"/>
    </row>
    <row r="49" spans="3:7">
      <c r="C49" s="479"/>
      <c r="D49" s="479"/>
    </row>
    <row r="50" spans="3:7">
      <c r="C50" s="479">
        <f>SUM(C31:C49)</f>
        <v>18500000</v>
      </c>
      <c r="D50" s="479">
        <f>SUM(D31:D49)</f>
        <v>859375</v>
      </c>
      <c r="E50" s="481">
        <f>SUM(E31:E49)</f>
        <v>0</v>
      </c>
      <c r="G50" s="492">
        <f>+C50-E50</f>
        <v>18500000</v>
      </c>
    </row>
    <row r="55" spans="3:7">
      <c r="D55" s="479"/>
    </row>
  </sheetData>
  <phoneticPr fontId="0" type="noConversion"/>
  <pageMargins left="0.75" right="0.75" top="1" bottom="1" header="0.5" footer="0.5"/>
  <pageSetup orientation="portrait" r:id="rId1"/>
  <headerFooter alignWithMargins="0">
    <oddFooter>&amp;L
&amp;D&amp;CThis presentation is for internal use only and should not be used for any other purposes.
&amp;T&amp;R
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K75"/>
  <sheetViews>
    <sheetView workbookViewId="0">
      <selection activeCell="I55" sqref="I55"/>
    </sheetView>
  </sheetViews>
  <sheetFormatPr defaultColWidth="9.140625" defaultRowHeight="12.75"/>
  <cols>
    <col min="1" max="1" width="18.7109375" style="1" customWidth="1"/>
    <col min="2" max="2" width="9.140625" style="1"/>
    <col min="3" max="3" width="15.85546875" style="1" customWidth="1"/>
    <col min="4" max="4" width="8.42578125" style="1" customWidth="1"/>
    <col min="5" max="6" width="12.7109375" style="1" customWidth="1"/>
    <col min="7" max="7" width="2" style="1" customWidth="1"/>
    <col min="8" max="8" width="17.140625" style="1" customWidth="1"/>
    <col min="9" max="11" width="12.7109375" style="1" customWidth="1"/>
    <col min="12" max="12" width="12.7109375" style="1" bestFit="1" customWidth="1"/>
    <col min="13" max="16384" width="9.140625" style="1"/>
  </cols>
  <sheetData>
    <row r="1" spans="1:11" ht="11.25" customHeight="1">
      <c r="A1" s="5" t="str">
        <f>+'Sources &amp; Uses'!A1</f>
        <v>Lamar Building</v>
      </c>
      <c r="F1" s="5"/>
    </row>
    <row r="2" spans="1:11">
      <c r="A2" s="5" t="s">
        <v>315</v>
      </c>
      <c r="B2" s="7"/>
      <c r="C2" s="7"/>
      <c r="D2" s="7"/>
      <c r="E2" s="7"/>
      <c r="F2" s="7"/>
      <c r="G2" s="7"/>
      <c r="H2" s="7"/>
      <c r="I2" s="7"/>
    </row>
    <row r="3" spans="1:11" ht="12" customHeight="1">
      <c r="A3" s="7"/>
      <c r="B3" s="7"/>
      <c r="C3" s="7"/>
      <c r="D3" s="7"/>
      <c r="E3" s="7"/>
      <c r="F3" s="7"/>
      <c r="G3" s="7"/>
      <c r="H3" s="7"/>
      <c r="I3" s="7"/>
    </row>
    <row r="4" spans="1:11" ht="12" customHeight="1">
      <c r="A4" s="7" t="s">
        <v>58</v>
      </c>
      <c r="B4" s="7"/>
      <c r="C4" s="7"/>
      <c r="D4" s="7"/>
      <c r="E4" s="7"/>
      <c r="F4" s="7">
        <f>+'Sources &amp; Uses'!F27+'Sources &amp; Uses'!F30+'Sources &amp; Uses'!F31+'Sources &amp; Uses'!F33+'Sources &amp; Uses'!F58+'Sources &amp; Uses'!F67</f>
        <v>17313368.170199998</v>
      </c>
      <c r="G4" s="7"/>
      <c r="H4" s="300" t="s">
        <v>1292</v>
      </c>
      <c r="I4" s="7"/>
    </row>
    <row r="5" spans="1:11" ht="12" customHeight="1">
      <c r="A5" s="7" t="s">
        <v>219</v>
      </c>
      <c r="B5" s="7"/>
      <c r="C5" s="7"/>
      <c r="D5" s="7"/>
      <c r="E5" s="7"/>
      <c r="F5" s="57"/>
      <c r="G5" s="7"/>
      <c r="H5" s="7"/>
      <c r="I5" s="7"/>
    </row>
    <row r="6" spans="1:11" ht="12" customHeight="1" thickBot="1">
      <c r="A6" s="7" t="s">
        <v>220</v>
      </c>
      <c r="B6" s="7"/>
      <c r="C6" s="7"/>
      <c r="D6" s="7"/>
      <c r="E6" s="7"/>
      <c r="F6" s="58">
        <f>SUM(F4-F5)</f>
        <v>17313368.170199998</v>
      </c>
      <c r="G6" s="7"/>
      <c r="H6" s="7"/>
      <c r="I6" s="7"/>
    </row>
    <row r="7" spans="1:11" ht="12" customHeight="1" thickTop="1">
      <c r="A7" s="7"/>
      <c r="B7" s="7"/>
      <c r="C7" s="7"/>
      <c r="D7" s="7"/>
      <c r="E7" s="7"/>
      <c r="F7" s="7"/>
      <c r="G7" s="7"/>
      <c r="H7" s="7"/>
      <c r="I7" s="7"/>
    </row>
    <row r="8" spans="1:11" ht="12" hidden="1" customHeight="1">
      <c r="A8" s="57" t="s">
        <v>221</v>
      </c>
      <c r="B8" s="57"/>
      <c r="C8" s="7"/>
      <c r="D8" s="60" t="s">
        <v>226</v>
      </c>
      <c r="E8" s="7"/>
      <c r="G8" s="7"/>
      <c r="H8" s="59" t="s">
        <v>222</v>
      </c>
      <c r="I8" s="7"/>
    </row>
    <row r="9" spans="1:11" ht="12" hidden="1" customHeight="1">
      <c r="A9" s="7"/>
      <c r="B9" s="7"/>
      <c r="C9" s="7"/>
      <c r="D9" s="7"/>
      <c r="E9" s="7"/>
      <c r="F9" s="14" t="s">
        <v>91</v>
      </c>
      <c r="G9" s="7"/>
      <c r="H9" s="60" t="s">
        <v>223</v>
      </c>
      <c r="I9" s="60" t="s">
        <v>224</v>
      </c>
    </row>
    <row r="10" spans="1:11" ht="12" hidden="1" customHeight="1">
      <c r="A10" s="7" t="s">
        <v>58</v>
      </c>
      <c r="B10" s="7"/>
      <c r="C10" s="7"/>
      <c r="D10" s="7"/>
      <c r="E10" s="7"/>
      <c r="F10" s="7">
        <f>SUM(H10:I10)</f>
        <v>17313368.170199998</v>
      </c>
      <c r="G10" s="7"/>
      <c r="H10" s="7">
        <f>+F6</f>
        <v>17313368.170199998</v>
      </c>
      <c r="I10" s="7">
        <v>0</v>
      </c>
    </row>
    <row r="11" spans="1:11" ht="12" hidden="1" customHeight="1">
      <c r="A11" s="7"/>
      <c r="B11" s="7"/>
      <c r="C11" s="7"/>
      <c r="D11" s="7"/>
      <c r="E11" s="7"/>
      <c r="F11" s="7"/>
      <c r="G11" s="7"/>
      <c r="H11" s="7"/>
      <c r="I11" s="7">
        <f>-H11</f>
        <v>0</v>
      </c>
    </row>
    <row r="12" spans="1:11" ht="12" hidden="1" customHeight="1">
      <c r="A12" s="7" t="s">
        <v>225</v>
      </c>
      <c r="B12" s="7"/>
      <c r="C12" s="7"/>
      <c r="D12" s="61">
        <v>0</v>
      </c>
      <c r="E12" s="7"/>
      <c r="F12" s="57"/>
      <c r="G12" s="7"/>
      <c r="H12" s="2"/>
      <c r="I12" s="2"/>
    </row>
    <row r="13" spans="1:11" ht="12" hidden="1" customHeight="1">
      <c r="A13" s="7"/>
      <c r="B13" s="7"/>
      <c r="C13" s="7"/>
      <c r="D13" s="7"/>
      <c r="E13" s="7"/>
      <c r="F13" s="7"/>
      <c r="G13" s="7"/>
      <c r="H13" s="7"/>
      <c r="I13" s="7"/>
    </row>
    <row r="14" spans="1:11" ht="12" hidden="1" customHeight="1">
      <c r="A14" s="7" t="s">
        <v>59</v>
      </c>
      <c r="B14" s="7"/>
      <c r="C14" s="7"/>
      <c r="D14" s="7"/>
      <c r="E14" s="7"/>
      <c r="F14" s="7">
        <f>SUM(F10-F12)</f>
        <v>17313368.170199998</v>
      </c>
      <c r="G14" s="7"/>
      <c r="H14" s="7">
        <f>SUM(H10+H11)</f>
        <v>17313368.170199998</v>
      </c>
      <c r="I14" s="7">
        <f>SUM(I10+I11)</f>
        <v>0</v>
      </c>
    </row>
    <row r="15" spans="1:11" ht="12" hidden="1" customHeight="1">
      <c r="A15" s="7"/>
      <c r="B15" s="7"/>
      <c r="C15" s="7"/>
      <c r="D15" s="7"/>
      <c r="E15" s="7"/>
      <c r="F15" s="56"/>
      <c r="G15" s="7"/>
      <c r="H15" s="7"/>
      <c r="I15" s="7"/>
      <c r="K15" s="1">
        <f>+H20*0.15</f>
        <v>1688053.3965944999</v>
      </c>
    </row>
    <row r="16" spans="1:11" ht="12" hidden="1" customHeight="1">
      <c r="A16" s="7" t="s">
        <v>227</v>
      </c>
      <c r="B16" s="7"/>
      <c r="C16" s="7"/>
      <c r="D16" s="92">
        <v>1.3</v>
      </c>
      <c r="E16" s="7"/>
      <c r="F16" s="7">
        <f>SUM(H16:I16)</f>
        <v>22507378.621259999</v>
      </c>
      <c r="G16" s="7"/>
      <c r="H16" s="7">
        <f>SUM(H14*D16)</f>
        <v>22507378.621259999</v>
      </c>
      <c r="I16" s="7">
        <f>SUM(I14)</f>
        <v>0</v>
      </c>
      <c r="K16" s="1">
        <f>+I20*0.05</f>
        <v>0</v>
      </c>
    </row>
    <row r="17" spans="1:10" ht="12" hidden="1" customHeight="1">
      <c r="A17" s="7"/>
      <c r="B17" s="7"/>
      <c r="C17" s="7"/>
      <c r="D17" s="7"/>
      <c r="E17" s="7"/>
      <c r="F17" s="7"/>
      <c r="G17" s="7"/>
      <c r="H17" s="7"/>
      <c r="I17" s="7"/>
    </row>
    <row r="18" spans="1:10" ht="12" hidden="1" customHeight="1">
      <c r="A18" s="7" t="s">
        <v>228</v>
      </c>
      <c r="B18" s="7"/>
      <c r="C18" s="7"/>
      <c r="D18" s="295">
        <v>0.5</v>
      </c>
      <c r="E18" s="7"/>
      <c r="F18" s="7"/>
      <c r="G18" s="7"/>
      <c r="H18" s="7"/>
      <c r="I18" s="7"/>
    </row>
    <row r="19" spans="1:10" ht="12" hidden="1" customHeight="1">
      <c r="A19" s="7"/>
      <c r="B19" s="7"/>
      <c r="C19" s="7"/>
      <c r="D19" s="7"/>
      <c r="E19" s="7"/>
      <c r="F19" s="7"/>
      <c r="G19" s="7"/>
      <c r="H19" s="7"/>
      <c r="I19" s="7"/>
    </row>
    <row r="20" spans="1:10" ht="12" hidden="1" customHeight="1">
      <c r="A20" s="7" t="s">
        <v>229</v>
      </c>
      <c r="B20" s="7"/>
      <c r="C20" s="7"/>
      <c r="D20" s="7"/>
      <c r="E20" s="7"/>
      <c r="F20" s="7">
        <f>SUM(H20:I20)</f>
        <v>11253689.310629999</v>
      </c>
      <c r="G20" s="7"/>
      <c r="H20" s="7">
        <f>SUM(H16*D18)</f>
        <v>11253689.310629999</v>
      </c>
      <c r="I20" s="7">
        <f>SUM(I16*D18)</f>
        <v>0</v>
      </c>
    </row>
    <row r="21" spans="1:10" ht="12" hidden="1" customHeight="1">
      <c r="A21" s="7"/>
      <c r="B21" s="7"/>
      <c r="C21" s="7"/>
      <c r="D21" s="7"/>
      <c r="E21" s="7"/>
      <c r="F21" s="7"/>
      <c r="G21" s="7"/>
      <c r="H21" s="7"/>
      <c r="I21" s="7"/>
    </row>
    <row r="22" spans="1:10" hidden="1">
      <c r="A22" s="7" t="s">
        <v>230</v>
      </c>
      <c r="B22" s="7"/>
      <c r="C22" s="7"/>
      <c r="D22" s="93"/>
      <c r="E22" s="7"/>
      <c r="F22" s="7"/>
      <c r="G22" s="7"/>
      <c r="H22" s="61">
        <v>0.04</v>
      </c>
      <c r="I22" s="61">
        <v>0.04</v>
      </c>
    </row>
    <row r="23" spans="1:10" hidden="1">
      <c r="A23" s="7"/>
      <c r="B23" s="7"/>
      <c r="C23" s="7"/>
      <c r="D23" s="7"/>
      <c r="E23" s="7"/>
      <c r="F23" s="7"/>
      <c r="G23" s="7"/>
      <c r="H23" s="7"/>
      <c r="I23" s="7"/>
    </row>
    <row r="24" spans="1:10" hidden="1">
      <c r="A24" s="7" t="s">
        <v>309</v>
      </c>
      <c r="B24" s="7"/>
      <c r="C24" s="7"/>
      <c r="D24" s="7"/>
      <c r="E24" s="7"/>
      <c r="F24" s="7">
        <f>SUM(H24:I24)</f>
        <v>450147.57242519996</v>
      </c>
      <c r="G24" s="7"/>
      <c r="H24" s="7">
        <f>SUM(H20*H22)</f>
        <v>450147.57242519996</v>
      </c>
      <c r="I24" s="7">
        <f>SUM(I20*I22)</f>
        <v>0</v>
      </c>
    </row>
    <row r="25" spans="1:10" hidden="1">
      <c r="A25" s="7"/>
      <c r="B25" s="7"/>
      <c r="C25" s="7"/>
      <c r="D25" s="7"/>
      <c r="E25" s="7"/>
      <c r="F25" s="7"/>
      <c r="G25" s="7"/>
      <c r="H25" s="7"/>
      <c r="I25" s="7"/>
    </row>
    <row r="26" spans="1:10" hidden="1">
      <c r="A26" s="7" t="s">
        <v>310</v>
      </c>
      <c r="B26" s="7"/>
      <c r="C26" s="7" t="s">
        <v>552</v>
      </c>
      <c r="E26" s="7"/>
      <c r="F26" s="7">
        <f>SUM(H26:I26)</f>
        <v>450147.57242519996</v>
      </c>
      <c r="G26" s="7"/>
      <c r="H26" s="99">
        <f>+IF(H24&gt;H38,H38,H24)</f>
        <v>450147.57242519996</v>
      </c>
      <c r="I26" s="7">
        <f>+I24</f>
        <v>0</v>
      </c>
    </row>
    <row r="27" spans="1:10" hidden="1">
      <c r="A27" s="7"/>
      <c r="B27" s="7"/>
      <c r="C27" s="7"/>
      <c r="D27" s="7"/>
      <c r="E27" s="7"/>
      <c r="F27" s="7"/>
      <c r="G27" s="7"/>
      <c r="H27" s="7"/>
      <c r="I27" s="7"/>
    </row>
    <row r="28" spans="1:10" hidden="1">
      <c r="A28" s="7" t="s">
        <v>307</v>
      </c>
      <c r="B28" s="7"/>
      <c r="C28" s="7"/>
      <c r="D28" s="7"/>
      <c r="E28" s="7"/>
      <c r="F28" s="7"/>
      <c r="G28" s="7"/>
      <c r="H28" s="96">
        <v>0.99990000000000001</v>
      </c>
      <c r="I28" s="96">
        <v>0.99990000000000001</v>
      </c>
    </row>
    <row r="29" spans="1:10" hidden="1">
      <c r="A29" s="7"/>
      <c r="B29" s="7"/>
      <c r="C29" s="252"/>
      <c r="D29" s="252"/>
      <c r="E29" s="252"/>
      <c r="F29" s="252"/>
      <c r="G29" s="252"/>
      <c r="H29" s="252"/>
      <c r="I29" s="252"/>
      <c r="J29" s="253"/>
    </row>
    <row r="30" spans="1:10" hidden="1">
      <c r="A30" s="7" t="s">
        <v>308</v>
      </c>
      <c r="B30" s="7"/>
      <c r="C30" s="252"/>
      <c r="D30" s="254">
        <v>0.85</v>
      </c>
      <c r="E30" s="252"/>
      <c r="F30" s="252">
        <f>SUM(F26*D33*D34)*D30/100</f>
        <v>3825871.7401776379</v>
      </c>
      <c r="G30" s="252"/>
      <c r="H30" s="252">
        <f>SUM(H26*H28*D30*10)</f>
        <v>3825871.7401776379</v>
      </c>
      <c r="I30" s="252">
        <f>SUM(I26*I28*D30*10)</f>
        <v>0</v>
      </c>
      <c r="J30" s="253"/>
    </row>
    <row r="31" spans="1:10">
      <c r="A31" s="7"/>
      <c r="B31" s="7"/>
      <c r="C31" s="252"/>
      <c r="D31" s="252"/>
      <c r="E31" s="252"/>
      <c r="F31" s="252"/>
      <c r="G31" s="252"/>
      <c r="H31" s="252"/>
      <c r="I31" s="252"/>
      <c r="J31" s="253"/>
    </row>
    <row r="32" spans="1:10">
      <c r="A32" s="7"/>
      <c r="B32" s="7"/>
      <c r="C32" s="252"/>
      <c r="D32" s="255"/>
      <c r="E32" s="252"/>
      <c r="F32" s="252"/>
      <c r="G32" s="252"/>
      <c r="H32" s="252"/>
      <c r="I32" s="252"/>
      <c r="J32" s="253"/>
    </row>
    <row r="33" spans="1:9" hidden="1">
      <c r="A33" s="7" t="s">
        <v>428</v>
      </c>
      <c r="B33" s="7"/>
      <c r="C33" s="7"/>
      <c r="D33" s="146">
        <v>10</v>
      </c>
      <c r="E33" s="7"/>
      <c r="F33" s="7"/>
      <c r="G33" s="7"/>
      <c r="H33" s="7"/>
      <c r="I33" s="7"/>
    </row>
    <row r="34" spans="1:9" hidden="1">
      <c r="A34" s="7" t="s">
        <v>429</v>
      </c>
      <c r="B34" s="7"/>
      <c r="C34" s="7"/>
      <c r="D34" s="146">
        <v>99.99</v>
      </c>
      <c r="E34" s="7"/>
      <c r="F34" s="7"/>
      <c r="G34" s="7"/>
      <c r="H34" s="7"/>
      <c r="I34" s="7"/>
    </row>
    <row r="35" spans="1:9" hidden="1">
      <c r="A35" s="7"/>
      <c r="B35" s="7"/>
      <c r="C35" s="7"/>
      <c r="D35" s="7"/>
      <c r="E35" s="7"/>
      <c r="F35" s="7"/>
      <c r="G35" s="7"/>
      <c r="H35" s="7">
        <f>SUM(H26/H22)</f>
        <v>11253689.310629999</v>
      </c>
      <c r="I35" s="7"/>
    </row>
    <row r="36" spans="1:9" hidden="1">
      <c r="A36" s="7"/>
      <c r="B36" s="7"/>
      <c r="C36" s="7"/>
      <c r="D36" s="7"/>
      <c r="E36" s="7"/>
      <c r="F36" s="7"/>
      <c r="G36" s="7"/>
      <c r="H36" s="7">
        <f>+H20-H35</f>
        <v>0</v>
      </c>
      <c r="I36" s="7"/>
    </row>
    <row r="37" spans="1:9" hidden="1"/>
    <row r="38" spans="1:9" hidden="1">
      <c r="C38" s="7" t="s">
        <v>693</v>
      </c>
      <c r="H38" s="1">
        <f>+F24</f>
        <v>450147.57242519996</v>
      </c>
    </row>
    <row r="39" spans="1:9" hidden="1">
      <c r="C39" s="1" t="s">
        <v>597</v>
      </c>
      <c r="H39" s="1">
        <f>SUM(H24-H38)/H22</f>
        <v>0</v>
      </c>
    </row>
    <row r="40" spans="1:9" hidden="1">
      <c r="C40" s="1" t="s">
        <v>694</v>
      </c>
      <c r="E40" s="1" t="e">
        <f>+'Sources &amp; Uses'!#REF!+'Sources &amp; Uses'!#REF!</f>
        <v>#REF!</v>
      </c>
    </row>
    <row r="41" spans="1:9" hidden="1"/>
    <row r="42" spans="1:9" hidden="1"/>
    <row r="43" spans="1:9" hidden="1">
      <c r="E43" s="1">
        <v>70</v>
      </c>
    </row>
    <row r="44" spans="1:9" hidden="1">
      <c r="A44" s="7" t="s">
        <v>659</v>
      </c>
      <c r="C44" s="1">
        <v>1500000</v>
      </c>
    </row>
    <row r="45" spans="1:9" hidden="1">
      <c r="A45" s="7" t="s">
        <v>660</v>
      </c>
      <c r="C45" s="1">
        <v>823000</v>
      </c>
    </row>
    <row r="46" spans="1:9" hidden="1">
      <c r="C46" s="1">
        <f>+C44-C45</f>
        <v>677000</v>
      </c>
    </row>
    <row r="47" spans="1:9" hidden="1"/>
    <row r="48" spans="1:9" hidden="1">
      <c r="F48" s="1">
        <v>5062647</v>
      </c>
    </row>
    <row r="49" spans="1:6" hidden="1"/>
    <row r="50" spans="1:6" hidden="1"/>
    <row r="51" spans="1:6" hidden="1">
      <c r="C51" s="1" t="s">
        <v>705</v>
      </c>
      <c r="F51" s="1">
        <v>750000</v>
      </c>
    </row>
    <row r="52" spans="1:6" hidden="1"/>
    <row r="53" spans="1:6">
      <c r="A53" s="5" t="s">
        <v>1217</v>
      </c>
    </row>
    <row r="55" spans="1:6">
      <c r="A55" s="300" t="s">
        <v>225</v>
      </c>
      <c r="F55" s="1">
        <f>+F6</f>
        <v>17313368.170199998</v>
      </c>
    </row>
    <row r="57" spans="1:6">
      <c r="A57" s="300" t="s">
        <v>1218</v>
      </c>
      <c r="E57" s="33">
        <v>0.2</v>
      </c>
      <c r="F57" s="1">
        <f>+F55*0.2</f>
        <v>3462673.6340399999</v>
      </c>
    </row>
    <row r="59" spans="1:6">
      <c r="A59" s="300" t="s">
        <v>308</v>
      </c>
      <c r="D59" s="33">
        <v>0.8</v>
      </c>
      <c r="F59" s="1">
        <f>+F57*D59</f>
        <v>2770138.907232</v>
      </c>
    </row>
    <row r="62" spans="1:6">
      <c r="A62" s="5" t="s">
        <v>1219</v>
      </c>
    </row>
    <row r="64" spans="1:6">
      <c r="A64" s="300" t="s">
        <v>225</v>
      </c>
      <c r="F64" s="1">
        <f>+F55</f>
        <v>17313368.170199998</v>
      </c>
    </row>
    <row r="66" spans="1:6">
      <c r="A66" s="300" t="s">
        <v>1218</v>
      </c>
      <c r="E66" s="33">
        <v>0.25</v>
      </c>
      <c r="F66" s="1">
        <f>+F64*0.25</f>
        <v>4328342.0425499994</v>
      </c>
    </row>
    <row r="68" spans="1:6">
      <c r="A68" s="300" t="s">
        <v>308</v>
      </c>
      <c r="D68" s="33">
        <v>0.8</v>
      </c>
      <c r="F68" s="1">
        <f>+F66*D68</f>
        <v>3462673.6340399999</v>
      </c>
    </row>
    <row r="71" spans="1:6">
      <c r="A71" s="5" t="s">
        <v>1220</v>
      </c>
      <c r="F71" s="1">
        <f>+F59+F68</f>
        <v>6232812.5412719995</v>
      </c>
    </row>
    <row r="73" spans="1:6">
      <c r="A73" s="1" t="s">
        <v>1229</v>
      </c>
      <c r="F73" s="1">
        <v>6616331</v>
      </c>
    </row>
    <row r="75" spans="1:6">
      <c r="A75" s="1" t="s">
        <v>1230</v>
      </c>
      <c r="F75" s="1">
        <f>+F71-F73</f>
        <v>-383518.45872800052</v>
      </c>
    </row>
  </sheetData>
  <phoneticPr fontId="0" type="noConversion"/>
  <pageMargins left="0.75" right="0.75" top="1" bottom="1" header="0.5" footer="0.5"/>
  <pageSetup scale="83" orientation="portrait" horizontalDpi="4294967292" r:id="rId1"/>
  <headerFooter alignWithMargins="0">
    <oddFooter>&amp;L
&amp;D&amp;CThis presentation is for internal use only and should not be used for any other purposes.
&amp;T&amp;R
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L65"/>
  <sheetViews>
    <sheetView workbookViewId="0"/>
  </sheetViews>
  <sheetFormatPr defaultColWidth="9.140625" defaultRowHeight="12.75"/>
  <cols>
    <col min="1" max="1" width="9.140625" style="1"/>
    <col min="2" max="2" width="11.42578125" style="1" customWidth="1"/>
    <col min="3" max="3" width="9.140625" style="1"/>
    <col min="4" max="4" width="14.42578125" style="1" customWidth="1"/>
    <col min="5" max="5" width="15.28515625" style="1" customWidth="1"/>
    <col min="6" max="6" width="15.140625" style="1" customWidth="1"/>
    <col min="7" max="9" width="16" style="1" customWidth="1"/>
    <col min="10" max="10" width="13.42578125" style="1" customWidth="1"/>
    <col min="11" max="11" width="14" style="1" customWidth="1"/>
    <col min="12" max="16384" width="9.140625" style="1"/>
  </cols>
  <sheetData>
    <row r="1" spans="1:12">
      <c r="B1" s="5" t="str">
        <f>+'Sources &amp; Uses'!A1</f>
        <v>Lamar Building</v>
      </c>
    </row>
    <row r="2" spans="1:12">
      <c r="B2" s="5" t="s">
        <v>60</v>
      </c>
    </row>
    <row r="4" spans="1:12">
      <c r="B4" s="1" t="s">
        <v>441</v>
      </c>
      <c r="F4" s="7">
        <f>+'Sources &amp; Uses'!E24</f>
        <v>14451334</v>
      </c>
    </row>
    <row r="6" spans="1:12">
      <c r="G6" s="158">
        <f>+'Sources &amp; Uses'!F34</f>
        <v>0</v>
      </c>
      <c r="H6" s="158">
        <f>+'Sources &amp; Uses'!F59</f>
        <v>0</v>
      </c>
      <c r="I6" s="158" t="e">
        <f>SUM('Sources &amp; Uses'!H67-'Sources &amp; Uses'!#REF!-'Sources &amp; Uses'!#REF!)*0</f>
        <v>#REF!</v>
      </c>
      <c r="J6" s="158"/>
    </row>
    <row r="7" spans="1:12">
      <c r="E7" s="153">
        <v>0.05</v>
      </c>
      <c r="F7" s="12" t="s">
        <v>442</v>
      </c>
      <c r="G7" s="12" t="s">
        <v>447</v>
      </c>
      <c r="H7" s="12" t="s">
        <v>540</v>
      </c>
      <c r="I7" s="12" t="s">
        <v>599</v>
      </c>
      <c r="J7" s="12" t="s">
        <v>454</v>
      </c>
      <c r="K7" s="12" t="s">
        <v>449</v>
      </c>
    </row>
    <row r="8" spans="1:12">
      <c r="B8" s="2" t="s">
        <v>231</v>
      </c>
      <c r="D8" s="14" t="s">
        <v>63</v>
      </c>
      <c r="E8" s="152" t="s">
        <v>539</v>
      </c>
      <c r="F8" s="152" t="s">
        <v>443</v>
      </c>
      <c r="G8" s="14" t="s">
        <v>448</v>
      </c>
      <c r="H8" s="14" t="s">
        <v>320</v>
      </c>
      <c r="I8" s="14" t="s">
        <v>600</v>
      </c>
      <c r="J8" s="14" t="s">
        <v>457</v>
      </c>
      <c r="K8" s="14" t="s">
        <v>450</v>
      </c>
    </row>
    <row r="9" spans="1:12">
      <c r="B9" s="1" t="s">
        <v>464</v>
      </c>
      <c r="D9" s="12"/>
      <c r="E9" s="153"/>
      <c r="F9" s="153"/>
      <c r="G9" s="12"/>
      <c r="H9" s="12"/>
      <c r="I9" s="12"/>
      <c r="J9" s="12"/>
      <c r="K9" s="12" t="e">
        <f>+'Application of Funds'!G26</f>
        <v>#REF!</v>
      </c>
    </row>
    <row r="10" spans="1:12">
      <c r="A10" s="33">
        <f>+C10</f>
        <v>0.03</v>
      </c>
      <c r="B10" s="1">
        <v>1</v>
      </c>
      <c r="C10" s="62">
        <v>0.03</v>
      </c>
      <c r="D10" s="13">
        <f>SUM(C10*F$4)</f>
        <v>433540.01999999996</v>
      </c>
      <c r="E10" s="154">
        <f>SUM(D10*E$7)*-1</f>
        <v>-21677.001</v>
      </c>
      <c r="F10" s="13">
        <f>SUM(D10:E10)</f>
        <v>411863.01899999997</v>
      </c>
      <c r="G10" s="13">
        <f t="shared" ref="G10:G27" si="0">SUM(G$6/D$57)</f>
        <v>0</v>
      </c>
      <c r="H10" s="13">
        <f t="shared" ref="H10:H23" si="1">SUM(H$6/D$57)</f>
        <v>0</v>
      </c>
      <c r="I10" s="13" t="e">
        <f t="shared" ref="I10:I23" si="2">SUM(I$6/D$57)</f>
        <v>#REF!</v>
      </c>
      <c r="J10" s="1" t="e">
        <f>+'Construction Loan'!E10</f>
        <v>#REF!</v>
      </c>
      <c r="K10" s="1" t="e">
        <f>SUM(F10:J10)</f>
        <v>#REF!</v>
      </c>
      <c r="L10" s="156">
        <f>+'Application of Funds'!E30</f>
        <v>43770</v>
      </c>
    </row>
    <row r="11" spans="1:12">
      <c r="A11" s="33">
        <f>+A10+C11</f>
        <v>0.06</v>
      </c>
      <c r="B11" s="1">
        <f>+B10+1</f>
        <v>2</v>
      </c>
      <c r="C11" s="62">
        <v>0.03</v>
      </c>
      <c r="D11" s="13">
        <f t="shared" ref="D11:D21" si="3">SUM(C11*F$4)</f>
        <v>433540.01999999996</v>
      </c>
      <c r="E11" s="154">
        <f t="shared" ref="E11:E29" si="4">SUM(D11*E$7)*-1</f>
        <v>-21677.001</v>
      </c>
      <c r="F11" s="13">
        <f t="shared" ref="F11:F23" si="5">SUM(D11:E11)</f>
        <v>411863.01899999997</v>
      </c>
      <c r="G11" s="13">
        <f t="shared" si="0"/>
        <v>0</v>
      </c>
      <c r="H11" s="13">
        <f t="shared" si="1"/>
        <v>0</v>
      </c>
      <c r="I11" s="13" t="e">
        <f t="shared" si="2"/>
        <v>#REF!</v>
      </c>
      <c r="J11" s="1" t="e">
        <f>+'Construction Loan'!E11</f>
        <v>#REF!</v>
      </c>
      <c r="K11" s="1" t="e">
        <f t="shared" ref="K11:K21" si="6">SUM(F11:J11)</f>
        <v>#REF!</v>
      </c>
      <c r="L11" s="156">
        <f>+'Application of Funds'!E31</f>
        <v>43800</v>
      </c>
    </row>
    <row r="12" spans="1:12">
      <c r="A12" s="189">
        <f t="shared" ref="A12:A27" si="7">+A11+C12</f>
        <v>0.09</v>
      </c>
      <c r="B12" s="1">
        <f t="shared" ref="B12:B23" si="8">+B11+1</f>
        <v>3</v>
      </c>
      <c r="C12" s="62">
        <v>0.03</v>
      </c>
      <c r="D12" s="13">
        <f t="shared" si="3"/>
        <v>433540.01999999996</v>
      </c>
      <c r="E12" s="154">
        <f t="shared" si="4"/>
        <v>-21677.001</v>
      </c>
      <c r="F12" s="13">
        <f t="shared" si="5"/>
        <v>411863.01899999997</v>
      </c>
      <c r="G12" s="13">
        <f t="shared" si="0"/>
        <v>0</v>
      </c>
      <c r="H12" s="13">
        <f t="shared" si="1"/>
        <v>0</v>
      </c>
      <c r="I12" s="13" t="e">
        <f t="shared" si="2"/>
        <v>#REF!</v>
      </c>
      <c r="J12" s="1" t="e">
        <f>+'Construction Loan'!E12</f>
        <v>#REF!</v>
      </c>
      <c r="K12" s="1" t="e">
        <f t="shared" si="6"/>
        <v>#REF!</v>
      </c>
      <c r="L12" s="156">
        <f>+'Application of Funds'!E32</f>
        <v>43831</v>
      </c>
    </row>
    <row r="13" spans="1:12">
      <c r="A13" s="33">
        <f t="shared" si="7"/>
        <v>0.12</v>
      </c>
      <c r="B13" s="1">
        <f t="shared" si="8"/>
        <v>4</v>
      </c>
      <c r="C13" s="62">
        <v>0.03</v>
      </c>
      <c r="D13" s="13">
        <f t="shared" si="3"/>
        <v>433540.01999999996</v>
      </c>
      <c r="E13" s="154">
        <f t="shared" si="4"/>
        <v>-21677.001</v>
      </c>
      <c r="F13" s="13">
        <f t="shared" si="5"/>
        <v>411863.01899999997</v>
      </c>
      <c r="G13" s="13">
        <f t="shared" si="0"/>
        <v>0</v>
      </c>
      <c r="H13" s="13">
        <f t="shared" si="1"/>
        <v>0</v>
      </c>
      <c r="I13" s="13" t="e">
        <f t="shared" si="2"/>
        <v>#REF!</v>
      </c>
      <c r="J13" s="1" t="e">
        <f>+'Construction Loan'!E13</f>
        <v>#REF!</v>
      </c>
      <c r="K13" s="1" t="e">
        <f t="shared" si="6"/>
        <v>#REF!</v>
      </c>
      <c r="L13" s="156">
        <f>+'Application of Funds'!E34</f>
        <v>43862</v>
      </c>
    </row>
    <row r="14" spans="1:12">
      <c r="A14" s="33">
        <f t="shared" si="7"/>
        <v>0.16999999999999998</v>
      </c>
      <c r="B14" s="1">
        <f t="shared" si="8"/>
        <v>5</v>
      </c>
      <c r="C14" s="62">
        <v>0.05</v>
      </c>
      <c r="D14" s="13">
        <f t="shared" si="3"/>
        <v>722566.70000000007</v>
      </c>
      <c r="E14" s="154">
        <f t="shared" si="4"/>
        <v>-36128.335000000006</v>
      </c>
      <c r="F14" s="13">
        <f t="shared" si="5"/>
        <v>686438.36500000011</v>
      </c>
      <c r="G14" s="13">
        <f t="shared" si="0"/>
        <v>0</v>
      </c>
      <c r="H14" s="13">
        <f t="shared" si="1"/>
        <v>0</v>
      </c>
      <c r="I14" s="13" t="e">
        <f t="shared" si="2"/>
        <v>#REF!</v>
      </c>
      <c r="J14" s="1" t="e">
        <f>+'Construction Loan'!E14</f>
        <v>#REF!</v>
      </c>
      <c r="K14" s="1" t="e">
        <f t="shared" si="6"/>
        <v>#REF!</v>
      </c>
      <c r="L14" s="156">
        <f>+'Application of Funds'!E35</f>
        <v>43892</v>
      </c>
    </row>
    <row r="15" spans="1:12">
      <c r="A15" s="189">
        <f t="shared" si="7"/>
        <v>0.24</v>
      </c>
      <c r="B15" s="1">
        <f t="shared" si="8"/>
        <v>6</v>
      </c>
      <c r="C15" s="63">
        <v>7.0000000000000007E-2</v>
      </c>
      <c r="D15" s="13">
        <f t="shared" si="3"/>
        <v>1011593.3800000001</v>
      </c>
      <c r="E15" s="154">
        <f t="shared" si="4"/>
        <v>-50579.669000000009</v>
      </c>
      <c r="F15" s="13">
        <f t="shared" si="5"/>
        <v>961013.71100000013</v>
      </c>
      <c r="G15" s="13">
        <f t="shared" si="0"/>
        <v>0</v>
      </c>
      <c r="H15" s="13">
        <f t="shared" si="1"/>
        <v>0</v>
      </c>
      <c r="I15" s="13" t="e">
        <f t="shared" si="2"/>
        <v>#REF!</v>
      </c>
      <c r="J15" s="1" t="e">
        <f>+'Construction Loan'!E15</f>
        <v>#REF!</v>
      </c>
      <c r="K15" s="1" t="e">
        <f t="shared" si="6"/>
        <v>#REF!</v>
      </c>
      <c r="L15" s="156">
        <f>+'Application of Funds'!E37</f>
        <v>43922</v>
      </c>
    </row>
    <row r="16" spans="1:12">
      <c r="A16" s="33">
        <f t="shared" si="7"/>
        <v>0.32</v>
      </c>
      <c r="B16" s="1">
        <f t="shared" si="8"/>
        <v>7</v>
      </c>
      <c r="C16" s="62">
        <v>0.08</v>
      </c>
      <c r="D16" s="13">
        <f t="shared" si="3"/>
        <v>1156106.72</v>
      </c>
      <c r="E16" s="154">
        <f t="shared" si="4"/>
        <v>-57805.336000000003</v>
      </c>
      <c r="F16" s="13">
        <f t="shared" si="5"/>
        <v>1098301.3840000001</v>
      </c>
      <c r="G16" s="13">
        <f t="shared" si="0"/>
        <v>0</v>
      </c>
      <c r="H16" s="13">
        <f t="shared" si="1"/>
        <v>0</v>
      </c>
      <c r="I16" s="13" t="e">
        <f t="shared" si="2"/>
        <v>#REF!</v>
      </c>
      <c r="J16" s="1" t="e">
        <f>+'Construction Loan'!E16</f>
        <v>#REF!</v>
      </c>
      <c r="K16" s="1" t="e">
        <f t="shared" si="6"/>
        <v>#REF!</v>
      </c>
      <c r="L16" s="156">
        <f>+'Application of Funds'!E38</f>
        <v>43953</v>
      </c>
    </row>
    <row r="17" spans="1:12">
      <c r="A17" s="189">
        <f t="shared" si="7"/>
        <v>0.41000000000000003</v>
      </c>
      <c r="B17" s="1">
        <f t="shared" si="8"/>
        <v>8</v>
      </c>
      <c r="C17" s="62">
        <v>0.09</v>
      </c>
      <c r="D17" s="13">
        <f t="shared" si="3"/>
        <v>1300620.06</v>
      </c>
      <c r="E17" s="154">
        <f t="shared" si="4"/>
        <v>-65031.003000000004</v>
      </c>
      <c r="F17" s="13">
        <f t="shared" si="5"/>
        <v>1235589.057</v>
      </c>
      <c r="G17" s="13">
        <f t="shared" si="0"/>
        <v>0</v>
      </c>
      <c r="H17" s="13">
        <f t="shared" si="1"/>
        <v>0</v>
      </c>
      <c r="I17" s="13" t="e">
        <f t="shared" si="2"/>
        <v>#REF!</v>
      </c>
      <c r="J17" s="1" t="e">
        <f>+'Construction Loan'!E17</f>
        <v>#REF!</v>
      </c>
      <c r="K17" s="1" t="e">
        <f t="shared" si="6"/>
        <v>#REF!</v>
      </c>
      <c r="L17" s="156">
        <f>+'Application of Funds'!E39</f>
        <v>43983</v>
      </c>
    </row>
    <row r="18" spans="1:12">
      <c r="A18" s="33">
        <f t="shared" si="7"/>
        <v>0.5</v>
      </c>
      <c r="B18" s="1">
        <f t="shared" si="8"/>
        <v>9</v>
      </c>
      <c r="C18" s="62">
        <v>0.09</v>
      </c>
      <c r="D18" s="13">
        <f t="shared" si="3"/>
        <v>1300620.06</v>
      </c>
      <c r="E18" s="154">
        <f t="shared" si="4"/>
        <v>-65031.003000000004</v>
      </c>
      <c r="F18" s="13">
        <f t="shared" si="5"/>
        <v>1235589.057</v>
      </c>
      <c r="G18" s="13">
        <f t="shared" si="0"/>
        <v>0</v>
      </c>
      <c r="H18" s="13">
        <f t="shared" si="1"/>
        <v>0</v>
      </c>
      <c r="I18" s="13" t="e">
        <f t="shared" si="2"/>
        <v>#REF!</v>
      </c>
      <c r="J18" s="1" t="e">
        <f>+'Construction Loan'!E18</f>
        <v>#REF!</v>
      </c>
      <c r="K18" s="1" t="e">
        <f t="shared" si="6"/>
        <v>#REF!</v>
      </c>
      <c r="L18" s="156">
        <f>+'Application of Funds'!E42</f>
        <v>44013</v>
      </c>
    </row>
    <row r="19" spans="1:12">
      <c r="A19" s="33">
        <f t="shared" si="7"/>
        <v>0.57999999999999996</v>
      </c>
      <c r="B19" s="1">
        <f t="shared" si="8"/>
        <v>10</v>
      </c>
      <c r="C19" s="62">
        <v>0.08</v>
      </c>
      <c r="D19" s="13">
        <f t="shared" si="3"/>
        <v>1156106.72</v>
      </c>
      <c r="E19" s="154">
        <f t="shared" si="4"/>
        <v>-57805.336000000003</v>
      </c>
      <c r="F19" s="13">
        <f t="shared" si="5"/>
        <v>1098301.3840000001</v>
      </c>
      <c r="G19" s="13">
        <f t="shared" si="0"/>
        <v>0</v>
      </c>
      <c r="H19" s="13">
        <f t="shared" si="1"/>
        <v>0</v>
      </c>
      <c r="I19" s="13" t="e">
        <f t="shared" si="2"/>
        <v>#REF!</v>
      </c>
      <c r="J19" s="1" t="e">
        <f>+'Construction Loan'!E19</f>
        <v>#REF!</v>
      </c>
      <c r="K19" s="1" t="e">
        <f t="shared" si="6"/>
        <v>#REF!</v>
      </c>
      <c r="L19" s="156">
        <f>+'Application of Funds'!E45</f>
        <v>44044</v>
      </c>
    </row>
    <row r="20" spans="1:12">
      <c r="A20" s="33">
        <f t="shared" si="7"/>
        <v>0.65999999999999992</v>
      </c>
      <c r="B20" s="1">
        <f t="shared" si="8"/>
        <v>11</v>
      </c>
      <c r="C20" s="62">
        <v>0.08</v>
      </c>
      <c r="D20" s="13">
        <f t="shared" si="3"/>
        <v>1156106.72</v>
      </c>
      <c r="E20" s="154">
        <f t="shared" si="4"/>
        <v>-57805.336000000003</v>
      </c>
      <c r="F20" s="13">
        <f t="shared" si="5"/>
        <v>1098301.3840000001</v>
      </c>
      <c r="G20" s="13">
        <f t="shared" si="0"/>
        <v>0</v>
      </c>
      <c r="H20" s="13">
        <f t="shared" si="1"/>
        <v>0</v>
      </c>
      <c r="I20" s="13" t="e">
        <f t="shared" si="2"/>
        <v>#REF!</v>
      </c>
      <c r="J20" s="1" t="e">
        <f>+'Construction Loan'!E20</f>
        <v>#REF!</v>
      </c>
      <c r="K20" s="1" t="e">
        <f t="shared" si="6"/>
        <v>#REF!</v>
      </c>
      <c r="L20" s="156">
        <f>+'Application of Funds'!E46</f>
        <v>44075</v>
      </c>
    </row>
    <row r="21" spans="1:12">
      <c r="A21" s="33">
        <f t="shared" si="7"/>
        <v>0.73</v>
      </c>
      <c r="B21" s="1">
        <f t="shared" si="8"/>
        <v>12</v>
      </c>
      <c r="C21" s="62">
        <v>7.0000000000000007E-2</v>
      </c>
      <c r="D21" s="13">
        <f t="shared" si="3"/>
        <v>1011593.3800000001</v>
      </c>
      <c r="E21" s="154">
        <f t="shared" si="4"/>
        <v>-50579.669000000009</v>
      </c>
      <c r="F21" s="13">
        <f t="shared" si="5"/>
        <v>961013.71100000013</v>
      </c>
      <c r="G21" s="13">
        <f t="shared" si="0"/>
        <v>0</v>
      </c>
      <c r="H21" s="13">
        <f t="shared" si="1"/>
        <v>0</v>
      </c>
      <c r="I21" s="13" t="e">
        <f t="shared" si="2"/>
        <v>#REF!</v>
      </c>
      <c r="J21" s="1" t="e">
        <f>+'Construction Loan'!E21</f>
        <v>#REF!</v>
      </c>
      <c r="K21" s="1" t="e">
        <f t="shared" si="6"/>
        <v>#REF!</v>
      </c>
      <c r="L21" s="156">
        <f>+'Application of Funds'!E47</f>
        <v>44106</v>
      </c>
    </row>
    <row r="22" spans="1:12">
      <c r="A22" s="33">
        <f t="shared" si="7"/>
        <v>0.8</v>
      </c>
      <c r="B22" s="1">
        <f t="shared" si="8"/>
        <v>13</v>
      </c>
      <c r="C22" s="62">
        <v>7.0000000000000007E-2</v>
      </c>
      <c r="D22" s="13">
        <f t="shared" ref="D22:D29" si="9">SUM(C22*$F$4)</f>
        <v>1011593.3800000001</v>
      </c>
      <c r="E22" s="154">
        <f t="shared" si="4"/>
        <v>-50579.669000000009</v>
      </c>
      <c r="F22" s="13">
        <f t="shared" si="5"/>
        <v>961013.71100000013</v>
      </c>
      <c r="G22" s="13">
        <f t="shared" si="0"/>
        <v>0</v>
      </c>
      <c r="H22" s="13">
        <f t="shared" si="1"/>
        <v>0</v>
      </c>
      <c r="I22" s="13" t="e">
        <f t="shared" si="2"/>
        <v>#REF!</v>
      </c>
      <c r="J22" s="1" t="e">
        <f>+'Construction Loan'!E22</f>
        <v>#REF!</v>
      </c>
      <c r="K22" s="1" t="e">
        <f t="shared" ref="K22:K32" si="10">SUM(F22:J22)</f>
        <v>#REF!</v>
      </c>
      <c r="L22" s="156">
        <f>+'Application of Funds'!E48</f>
        <v>44136</v>
      </c>
    </row>
    <row r="23" spans="1:12">
      <c r="A23" s="33">
        <f t="shared" si="7"/>
        <v>0.8600000000000001</v>
      </c>
      <c r="B23" s="1">
        <f t="shared" si="8"/>
        <v>14</v>
      </c>
      <c r="C23" s="62">
        <v>0.06</v>
      </c>
      <c r="D23" s="13">
        <f t="shared" si="9"/>
        <v>867080.03999999992</v>
      </c>
      <c r="E23" s="154">
        <f t="shared" si="4"/>
        <v>-43354.002</v>
      </c>
      <c r="F23" s="13">
        <f t="shared" si="5"/>
        <v>823726.03799999994</v>
      </c>
      <c r="G23" s="13">
        <f t="shared" si="0"/>
        <v>0</v>
      </c>
      <c r="H23" s="13">
        <f t="shared" si="1"/>
        <v>0</v>
      </c>
      <c r="I23" s="13" t="e">
        <f t="shared" si="2"/>
        <v>#REF!</v>
      </c>
      <c r="J23" s="1" t="e">
        <f>+'Construction Loan'!E23</f>
        <v>#REF!</v>
      </c>
      <c r="K23" s="1" t="e">
        <f t="shared" si="10"/>
        <v>#REF!</v>
      </c>
      <c r="L23" s="156">
        <f>+'Application of Funds'!E49</f>
        <v>44166</v>
      </c>
    </row>
    <row r="24" spans="1:12">
      <c r="A24" s="33">
        <f t="shared" si="7"/>
        <v>0.93000000000000016</v>
      </c>
      <c r="B24" s="1">
        <v>15</v>
      </c>
      <c r="C24" s="62">
        <v>7.0000000000000007E-2</v>
      </c>
      <c r="D24" s="13">
        <f t="shared" si="9"/>
        <v>1011593.3800000001</v>
      </c>
      <c r="E24" s="154">
        <f t="shared" si="4"/>
        <v>-50579.669000000009</v>
      </c>
      <c r="F24" s="13">
        <f t="shared" ref="F24:F29" si="11">SUM(D24:E24)</f>
        <v>961013.71100000013</v>
      </c>
      <c r="G24" s="13">
        <f t="shared" si="0"/>
        <v>0</v>
      </c>
      <c r="H24" s="13">
        <f t="shared" ref="H24:H27" si="12">SUM(H$6/D$57)</f>
        <v>0</v>
      </c>
      <c r="J24" s="1" t="e">
        <f>+'Construction Loan'!E24</f>
        <v>#REF!</v>
      </c>
      <c r="K24" s="1" t="e">
        <f t="shared" si="10"/>
        <v>#REF!</v>
      </c>
      <c r="L24" s="156">
        <f>+'Application of Funds'!E51</f>
        <v>44197</v>
      </c>
    </row>
    <row r="25" spans="1:12">
      <c r="A25" s="33">
        <f t="shared" si="7"/>
        <v>0.96000000000000019</v>
      </c>
      <c r="B25" s="1">
        <v>16</v>
      </c>
      <c r="C25" s="62">
        <v>0.03</v>
      </c>
      <c r="D25" s="13">
        <f t="shared" si="9"/>
        <v>433540.01999999996</v>
      </c>
      <c r="E25" s="154">
        <f t="shared" si="4"/>
        <v>-21677.001</v>
      </c>
      <c r="F25" s="13">
        <f t="shared" si="11"/>
        <v>411863.01899999997</v>
      </c>
      <c r="G25" s="13">
        <f t="shared" si="0"/>
        <v>0</v>
      </c>
      <c r="H25" s="13">
        <f t="shared" si="12"/>
        <v>0</v>
      </c>
      <c r="J25" s="1" t="e">
        <f>+'Construction Loan'!E25</f>
        <v>#REF!</v>
      </c>
      <c r="K25" s="1" t="e">
        <f t="shared" si="10"/>
        <v>#REF!</v>
      </c>
      <c r="L25" s="156">
        <f>+'Application of Funds'!E53</f>
        <v>44228</v>
      </c>
    </row>
    <row r="26" spans="1:12">
      <c r="A26" s="33">
        <f t="shared" si="7"/>
        <v>0.9800000000000002</v>
      </c>
      <c r="B26" s="1">
        <v>17</v>
      </c>
      <c r="C26" s="62">
        <v>0.02</v>
      </c>
      <c r="D26" s="13">
        <f t="shared" si="9"/>
        <v>289026.68</v>
      </c>
      <c r="E26" s="154">
        <f t="shared" si="4"/>
        <v>-14451.334000000001</v>
      </c>
      <c r="F26" s="13">
        <f t="shared" si="11"/>
        <v>274575.34600000002</v>
      </c>
      <c r="G26" s="13">
        <f t="shared" si="0"/>
        <v>0</v>
      </c>
      <c r="H26" s="13">
        <f t="shared" si="12"/>
        <v>0</v>
      </c>
      <c r="J26" s="1" t="e">
        <f>+'Construction Loan'!E26</f>
        <v>#REF!</v>
      </c>
      <c r="K26" s="1" t="e">
        <f t="shared" si="10"/>
        <v>#REF!</v>
      </c>
      <c r="L26" s="156">
        <f>+'Application of Funds'!E55</f>
        <v>44258</v>
      </c>
    </row>
    <row r="27" spans="1:12">
      <c r="A27" s="33">
        <f t="shared" si="7"/>
        <v>1.0000000000000002</v>
      </c>
      <c r="B27" s="1">
        <v>18</v>
      </c>
      <c r="C27" s="62">
        <v>0.02</v>
      </c>
      <c r="D27" s="13">
        <f t="shared" si="9"/>
        <v>289026.68</v>
      </c>
      <c r="E27" s="154">
        <f t="shared" si="4"/>
        <v>-14451.334000000001</v>
      </c>
      <c r="F27" s="13">
        <f t="shared" si="11"/>
        <v>274575.34600000002</v>
      </c>
      <c r="G27" s="13">
        <f t="shared" si="0"/>
        <v>0</v>
      </c>
      <c r="H27" s="13">
        <f t="shared" si="12"/>
        <v>0</v>
      </c>
      <c r="J27" s="1" t="e">
        <f>+'Construction Loan'!E27</f>
        <v>#REF!</v>
      </c>
      <c r="K27" s="1" t="e">
        <f t="shared" si="10"/>
        <v>#REF!</v>
      </c>
      <c r="L27" s="156">
        <f>+'Application of Funds'!E57</f>
        <v>44288</v>
      </c>
    </row>
    <row r="28" spans="1:12">
      <c r="B28" s="1">
        <v>19</v>
      </c>
      <c r="C28" s="62"/>
      <c r="D28" s="13">
        <f t="shared" si="9"/>
        <v>0</v>
      </c>
      <c r="E28" s="154">
        <f t="shared" si="4"/>
        <v>0</v>
      </c>
      <c r="F28" s="13">
        <f t="shared" si="11"/>
        <v>0</v>
      </c>
      <c r="J28" s="1" t="e">
        <f>+'Construction Loan'!E28</f>
        <v>#REF!</v>
      </c>
      <c r="K28" s="1" t="e">
        <f t="shared" si="10"/>
        <v>#REF!</v>
      </c>
      <c r="L28" s="156">
        <f t="shared" ref="L28" si="13">+L27+31</f>
        <v>44319</v>
      </c>
    </row>
    <row r="29" spans="1:12">
      <c r="B29" s="1">
        <v>20</v>
      </c>
      <c r="C29" s="62"/>
      <c r="D29" s="13">
        <f t="shared" si="9"/>
        <v>0</v>
      </c>
      <c r="E29" s="154">
        <f t="shared" si="4"/>
        <v>0</v>
      </c>
      <c r="F29" s="13">
        <f t="shared" si="11"/>
        <v>0</v>
      </c>
      <c r="J29" s="1" t="e">
        <f>+'Construction Loan'!E29</f>
        <v>#REF!</v>
      </c>
      <c r="K29" s="1" t="e">
        <f t="shared" si="10"/>
        <v>#REF!</v>
      </c>
      <c r="L29" s="156">
        <f>+L28+30</f>
        <v>44349</v>
      </c>
    </row>
    <row r="30" spans="1:12">
      <c r="B30" s="1">
        <v>21</v>
      </c>
      <c r="C30" s="62"/>
      <c r="D30" s="13"/>
      <c r="E30" s="154"/>
      <c r="F30" s="13"/>
      <c r="J30" s="1" t="e">
        <f>+'Construction Loan'!E30</f>
        <v>#REF!</v>
      </c>
      <c r="K30" s="1" t="e">
        <f t="shared" si="10"/>
        <v>#REF!</v>
      </c>
      <c r="L30" s="156">
        <f>+L29+30</f>
        <v>44379</v>
      </c>
    </row>
    <row r="31" spans="1:12">
      <c r="B31" s="1">
        <v>22</v>
      </c>
      <c r="C31" s="62"/>
      <c r="D31" s="13"/>
      <c r="E31" s="154"/>
      <c r="F31" s="13"/>
      <c r="J31" s="1" t="e">
        <f>+'Construction Loan'!E31</f>
        <v>#REF!</v>
      </c>
      <c r="K31" s="1" t="e">
        <f t="shared" si="10"/>
        <v>#REF!</v>
      </c>
      <c r="L31" s="156">
        <f>+'Application of Funds'!E67</f>
        <v>44409</v>
      </c>
    </row>
    <row r="32" spans="1:12">
      <c r="B32" s="1">
        <v>23</v>
      </c>
      <c r="C32" s="62"/>
      <c r="D32" s="13"/>
      <c r="E32" s="154"/>
      <c r="F32" s="13"/>
      <c r="J32" s="1" t="e">
        <f>+'Construction Loan'!E32</f>
        <v>#REF!</v>
      </c>
      <c r="K32" s="1" t="e">
        <f t="shared" si="10"/>
        <v>#REF!</v>
      </c>
      <c r="L32" s="156">
        <f>+'Application of Funds'!E73</f>
        <v>44440</v>
      </c>
    </row>
    <row r="33" spans="2:12">
      <c r="B33" s="1">
        <v>24</v>
      </c>
      <c r="C33" s="62"/>
      <c r="D33" s="13"/>
      <c r="E33" s="154"/>
      <c r="F33" s="13"/>
      <c r="L33" s="156"/>
    </row>
    <row r="34" spans="2:12">
      <c r="C34" s="62"/>
      <c r="D34" s="13"/>
      <c r="E34" s="154"/>
      <c r="F34" s="13"/>
      <c r="L34" s="156"/>
    </row>
    <row r="35" spans="2:12">
      <c r="C35" s="62"/>
      <c r="D35" s="13"/>
      <c r="E35" s="154"/>
      <c r="F35" s="13"/>
      <c r="L35" s="156"/>
    </row>
    <row r="36" spans="2:12">
      <c r="C36" s="62">
        <f>SUM(C10:C27)</f>
        <v>1.0000000000000002</v>
      </c>
      <c r="D36" s="13">
        <f t="shared" ref="D36:I36" si="14">SUM(D10:D33)</f>
        <v>14451334</v>
      </c>
      <c r="E36" s="13">
        <f t="shared" si="14"/>
        <v>-722566.70000000019</v>
      </c>
      <c r="F36" s="13">
        <f t="shared" si="14"/>
        <v>13728767.300000003</v>
      </c>
      <c r="G36" s="13">
        <f t="shared" si="14"/>
        <v>0</v>
      </c>
      <c r="H36" s="13">
        <f t="shared" si="14"/>
        <v>0</v>
      </c>
      <c r="I36" s="13" t="e">
        <f t="shared" si="14"/>
        <v>#REF!</v>
      </c>
      <c r="J36" s="13" t="e">
        <f>SUM(J10:J33)</f>
        <v>#REF!</v>
      </c>
      <c r="K36" s="13" t="e">
        <f>SUM(K10:K23)</f>
        <v>#REF!</v>
      </c>
    </row>
    <row r="37" spans="2:12">
      <c r="D37" s="13"/>
    </row>
    <row r="38" spans="2:12" hidden="1">
      <c r="D38" s="1" t="s">
        <v>67</v>
      </c>
    </row>
    <row r="39" spans="2:12" hidden="1">
      <c r="D39" s="1" t="s">
        <v>68</v>
      </c>
    </row>
    <row r="40" spans="2:12" hidden="1"/>
    <row r="41" spans="2:12" hidden="1">
      <c r="B41" s="1" t="s">
        <v>232</v>
      </c>
      <c r="D41" s="1">
        <v>360</v>
      </c>
    </row>
    <row r="42" spans="2:12" hidden="1">
      <c r="B42" s="1" t="s">
        <v>233</v>
      </c>
      <c r="D42" s="1">
        <v>30</v>
      </c>
    </row>
    <row r="43" spans="2:12" hidden="1"/>
    <row r="44" spans="2:12" hidden="1"/>
    <row r="45" spans="2:12" hidden="1"/>
    <row r="46" spans="2:12" hidden="1">
      <c r="B46" s="98" t="s">
        <v>316</v>
      </c>
      <c r="C46" s="2"/>
      <c r="D46" s="2"/>
    </row>
    <row r="47" spans="2:12" ht="13.35" hidden="1" customHeight="1"/>
    <row r="48" spans="2:12" ht="13.35" hidden="1" customHeight="1">
      <c r="B48" s="1" t="s">
        <v>313</v>
      </c>
    </row>
    <row r="49" spans="2:11" ht="13.35" hidden="1" customHeight="1"/>
    <row r="50" spans="2:11" ht="13.35" hidden="1" customHeight="1">
      <c r="B50" s="1" t="s">
        <v>317</v>
      </c>
    </row>
    <row r="51" spans="2:11" ht="13.35" hidden="1" customHeight="1">
      <c r="B51" s="1" t="s">
        <v>435</v>
      </c>
      <c r="K51" s="63"/>
    </row>
    <row r="52" spans="2:11" ht="13.35" hidden="1" customHeight="1">
      <c r="B52" s="1" t="s">
        <v>436</v>
      </c>
      <c r="K52" s="63"/>
    </row>
    <row r="53" spans="2:11" ht="13.35" hidden="1" customHeight="1">
      <c r="B53" s="1" t="s">
        <v>318</v>
      </c>
    </row>
    <row r="54" spans="2:11" ht="13.35" hidden="1" customHeight="1"/>
    <row r="55" spans="2:11" ht="13.35" customHeight="1"/>
    <row r="56" spans="2:11" ht="13.35" customHeight="1"/>
    <row r="57" spans="2:11" ht="13.35" customHeight="1">
      <c r="B57" s="1" t="s">
        <v>601</v>
      </c>
      <c r="D57" s="1">
        <f>+B27</f>
        <v>18</v>
      </c>
    </row>
    <row r="58" spans="2:11" ht="13.35" customHeight="1"/>
    <row r="59" spans="2:11" ht="13.35" customHeight="1"/>
    <row r="60" spans="2:11" ht="13.35" customHeight="1"/>
    <row r="61" spans="2:11" ht="13.35" customHeight="1"/>
    <row r="62" spans="2:11" ht="13.35" customHeight="1"/>
    <row r="63" spans="2:11" ht="13.35" customHeight="1"/>
    <row r="64" spans="2:11" ht="13.35" customHeight="1"/>
    <row r="65" ht="13.35" customHeight="1"/>
  </sheetData>
  <phoneticPr fontId="20" type="noConversion"/>
  <pageMargins left="0.75" right="0.75" top="1" bottom="1" header="0.5" footer="0.5"/>
  <pageSetup scale="57" orientation="portrait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AE347"/>
  <sheetViews>
    <sheetView topLeftCell="F1" workbookViewId="0"/>
  </sheetViews>
  <sheetFormatPr defaultColWidth="8.85546875" defaultRowHeight="12.75"/>
  <cols>
    <col min="2" max="2" width="33" customWidth="1"/>
    <col min="3" max="3" width="29.85546875" customWidth="1"/>
    <col min="4" max="4" width="14" customWidth="1"/>
    <col min="5" max="5" width="12.42578125" customWidth="1"/>
    <col min="6" max="6" width="13.85546875" customWidth="1"/>
    <col min="7" max="7" width="16.140625" customWidth="1"/>
    <col min="8" max="8" width="15.85546875" customWidth="1"/>
    <col min="9" max="11" width="15.7109375" customWidth="1"/>
    <col min="12" max="12" width="14.85546875" style="113" customWidth="1"/>
    <col min="13" max="13" width="14.85546875" customWidth="1"/>
    <col min="14" max="14" width="14.85546875" style="113" customWidth="1"/>
    <col min="15" max="15" width="14.85546875" customWidth="1"/>
    <col min="16" max="16" width="19.85546875" customWidth="1"/>
    <col min="17" max="17" width="17.85546875" customWidth="1"/>
    <col min="18" max="18" width="15.7109375" style="113" customWidth="1"/>
    <col min="19" max="19" width="17.85546875" customWidth="1"/>
    <col min="20" max="20" width="18.7109375" customWidth="1"/>
    <col min="21" max="21" width="14" hidden="1" customWidth="1"/>
    <col min="23" max="26" width="14.42578125" hidden="1" customWidth="1"/>
    <col min="27" max="27" width="13.85546875" hidden="1" customWidth="1"/>
    <col min="28" max="28" width="16.7109375" hidden="1" customWidth="1"/>
    <col min="29" max="29" width="0" hidden="1" customWidth="1"/>
    <col min="30" max="30" width="17.28515625" hidden="1" customWidth="1"/>
    <col min="31" max="31" width="19.42578125" hidden="1" customWidth="1"/>
  </cols>
  <sheetData>
    <row r="1" spans="1:30">
      <c r="H1" s="542" t="s">
        <v>1142</v>
      </c>
      <c r="I1" s="543"/>
      <c r="J1" s="542" t="s">
        <v>1143</v>
      </c>
      <c r="K1" s="543"/>
      <c r="L1" s="544" t="s">
        <v>1144</v>
      </c>
      <c r="M1" s="545"/>
      <c r="N1" s="544" t="s">
        <v>1145</v>
      </c>
      <c r="O1" s="545"/>
      <c r="P1" s="542" t="s">
        <v>1146</v>
      </c>
      <c r="Q1" s="543"/>
      <c r="R1" s="544" t="s">
        <v>446</v>
      </c>
      <c r="S1" s="545"/>
    </row>
    <row r="2" spans="1:30">
      <c r="A2" s="5" t="str">
        <f>+'Sources &amp; Uses'!A1</f>
        <v>Lamar Building</v>
      </c>
      <c r="D2" s="89" t="s">
        <v>470</v>
      </c>
      <c r="E2" s="89" t="s">
        <v>471</v>
      </c>
      <c r="G2" s="89" t="s">
        <v>449</v>
      </c>
      <c r="H2" s="456"/>
      <c r="I2" s="457" t="s">
        <v>451</v>
      </c>
      <c r="J2" s="456"/>
      <c r="K2" s="457" t="s">
        <v>1135</v>
      </c>
      <c r="L2" s="460"/>
      <c r="M2" s="457" t="s">
        <v>466</v>
      </c>
      <c r="N2" s="460"/>
      <c r="O2" s="457" t="s">
        <v>466</v>
      </c>
      <c r="P2" s="456"/>
      <c r="Q2" s="457" t="s">
        <v>466</v>
      </c>
      <c r="R2" s="460"/>
      <c r="S2" s="457" t="s">
        <v>466</v>
      </c>
      <c r="T2" s="89"/>
      <c r="W2" s="546" t="s">
        <v>1136</v>
      </c>
      <c r="X2" s="546"/>
      <c r="Y2" s="546"/>
      <c r="Z2" s="546"/>
      <c r="AA2" s="546"/>
      <c r="AB2" s="306" t="s">
        <v>1154</v>
      </c>
      <c r="AC2" s="306" t="s">
        <v>1151</v>
      </c>
      <c r="AD2" s="306" t="s">
        <v>1135</v>
      </c>
    </row>
    <row r="3" spans="1:30">
      <c r="A3" s="30" t="s">
        <v>437</v>
      </c>
      <c r="D3" s="157" t="s">
        <v>338</v>
      </c>
      <c r="E3" s="157" t="s">
        <v>472</v>
      </c>
      <c r="F3" s="25"/>
      <c r="G3" s="157" t="s">
        <v>469</v>
      </c>
      <c r="H3" s="458" t="s">
        <v>1147</v>
      </c>
      <c r="I3" s="459" t="s">
        <v>452</v>
      </c>
      <c r="J3" s="458" t="s">
        <v>1147</v>
      </c>
      <c r="K3" s="459" t="s">
        <v>458</v>
      </c>
      <c r="L3" s="461" t="s">
        <v>1147</v>
      </c>
      <c r="M3" s="459" t="s">
        <v>467</v>
      </c>
      <c r="N3" s="461"/>
      <c r="O3" s="459" t="s">
        <v>467</v>
      </c>
      <c r="P3" s="458"/>
      <c r="Q3" s="459" t="s">
        <v>467</v>
      </c>
      <c r="R3" s="461" t="s">
        <v>1147</v>
      </c>
      <c r="S3" s="459" t="s">
        <v>467</v>
      </c>
      <c r="T3" s="157" t="s">
        <v>468</v>
      </c>
      <c r="W3" s="157" t="s">
        <v>1137</v>
      </c>
      <c r="X3" s="157" t="s">
        <v>445</v>
      </c>
      <c r="Y3" s="157" t="s">
        <v>1138</v>
      </c>
      <c r="Z3" s="157" t="s">
        <v>1139</v>
      </c>
      <c r="AA3" s="157" t="s">
        <v>1151</v>
      </c>
      <c r="AB3" s="89" t="s">
        <v>452</v>
      </c>
      <c r="AC3" s="89" t="s">
        <v>1155</v>
      </c>
      <c r="AD3" s="89" t="s">
        <v>1156</v>
      </c>
    </row>
    <row r="4" spans="1:30">
      <c r="H4" s="110"/>
      <c r="I4" s="13">
        <v>0</v>
      </c>
      <c r="J4" s="165"/>
      <c r="K4" s="138"/>
      <c r="L4" s="288"/>
      <c r="M4" s="113">
        <v>0</v>
      </c>
      <c r="N4" s="288"/>
      <c r="O4" s="113">
        <f>+'Sources &amp; Uses'!V7</f>
        <v>0</v>
      </c>
      <c r="P4" s="165"/>
      <c r="Q4" s="113"/>
      <c r="R4" s="288"/>
      <c r="S4" s="52" t="e">
        <f>+#REF!</f>
        <v>#REF!</v>
      </c>
      <c r="T4" s="186" t="e">
        <f>+'Sources &amp; Uses'!#REF!+'Sources &amp; Uses'!#REF!+'Sources &amp; Uses'!V8</f>
        <v>#REF!</v>
      </c>
    </row>
    <row r="5" spans="1:30">
      <c r="H5" s="162"/>
      <c r="I5" s="206">
        <f>+I4+H5</f>
        <v>0</v>
      </c>
      <c r="J5" s="169"/>
      <c r="K5" s="173">
        <v>0</v>
      </c>
      <c r="L5" s="289"/>
      <c r="M5" s="206">
        <f>+M4+L5</f>
        <v>0</v>
      </c>
      <c r="N5" s="289"/>
      <c r="O5" s="245">
        <f>+O4+N5</f>
        <v>0</v>
      </c>
      <c r="P5" s="166"/>
      <c r="Q5" s="173">
        <v>0</v>
      </c>
      <c r="R5" s="289"/>
      <c r="S5" s="173" t="e">
        <f>+S4-R5</f>
        <v>#REF!</v>
      </c>
      <c r="T5" s="166"/>
      <c r="U5" s="155">
        <f>SUM(+G5+H5+J5+L5+P5+T5+N5+R5)</f>
        <v>0</v>
      </c>
    </row>
    <row r="6" spans="1:30">
      <c r="A6" t="s">
        <v>438</v>
      </c>
      <c r="D6" s="51">
        <v>0.1</v>
      </c>
      <c r="E6" s="156">
        <v>43739</v>
      </c>
      <c r="H6" s="204">
        <f>SUM('CR Calculation'!F30*'Application of Funds'!D6)</f>
        <v>382587.17401776381</v>
      </c>
      <c r="I6" s="207">
        <f t="shared" ref="I6:I80" si="0">+I5+H6</f>
        <v>382587.17401776381</v>
      </c>
      <c r="J6" s="169"/>
      <c r="K6" s="174">
        <f t="shared" ref="K6:K83" si="1">+K5+J6</f>
        <v>0</v>
      </c>
      <c r="L6" s="289"/>
      <c r="M6" s="174">
        <f t="shared" ref="M6:M83" si="2">+M5+L6</f>
        <v>0</v>
      </c>
      <c r="N6" s="289"/>
      <c r="O6" s="245">
        <f t="shared" ref="O6:O83" si="3">+O5+N6</f>
        <v>0</v>
      </c>
      <c r="P6" s="166"/>
      <c r="Q6" s="174">
        <f>+Q5+P6</f>
        <v>0</v>
      </c>
      <c r="R6" s="289"/>
      <c r="S6" s="174" t="e">
        <f>+S5+R6</f>
        <v>#REF!</v>
      </c>
      <c r="T6" s="166"/>
      <c r="U6" s="155">
        <f t="shared" ref="U6:U77" si="4">SUM(+G6+H6+J6+L6+P6+T6+N6+R6)</f>
        <v>382587.17401776381</v>
      </c>
    </row>
    <row r="7" spans="1:30">
      <c r="H7" s="205"/>
      <c r="I7" s="207">
        <f t="shared" si="0"/>
        <v>382587.17401776381</v>
      </c>
      <c r="J7" s="169"/>
      <c r="K7" s="174">
        <f t="shared" si="1"/>
        <v>0</v>
      </c>
      <c r="L7" s="289"/>
      <c r="M7" s="174">
        <f t="shared" si="2"/>
        <v>0</v>
      </c>
      <c r="N7" s="289"/>
      <c r="O7" s="245">
        <f t="shared" si="3"/>
        <v>0</v>
      </c>
      <c r="P7" s="166"/>
      <c r="Q7" s="174">
        <f t="shared" ref="Q7:Q76" si="5">+Q6+P7</f>
        <v>0</v>
      </c>
      <c r="R7" s="289"/>
      <c r="S7" s="174" t="e">
        <f t="shared" ref="S7:S64" si="6">+S6+R7</f>
        <v>#REF!</v>
      </c>
      <c r="T7" s="166"/>
      <c r="U7" s="155">
        <f t="shared" si="4"/>
        <v>0</v>
      </c>
    </row>
    <row r="8" spans="1:30">
      <c r="A8" t="s">
        <v>439</v>
      </c>
      <c r="H8" s="205"/>
      <c r="I8" s="207">
        <f t="shared" si="0"/>
        <v>382587.17401776381</v>
      </c>
      <c r="J8" s="169"/>
      <c r="K8" s="174">
        <f t="shared" si="1"/>
        <v>0</v>
      </c>
      <c r="L8" s="289"/>
      <c r="M8" s="174">
        <f t="shared" si="2"/>
        <v>0</v>
      </c>
      <c r="N8" s="289"/>
      <c r="O8" s="245">
        <f t="shared" si="3"/>
        <v>0</v>
      </c>
      <c r="P8" s="166"/>
      <c r="Q8" s="174">
        <f t="shared" si="5"/>
        <v>0</v>
      </c>
      <c r="R8" s="289"/>
      <c r="S8" s="174" t="e">
        <f t="shared" si="6"/>
        <v>#REF!</v>
      </c>
      <c r="T8" s="166"/>
      <c r="U8" s="155">
        <f t="shared" si="4"/>
        <v>0</v>
      </c>
    </row>
    <row r="9" spans="1:30">
      <c r="H9" s="205"/>
      <c r="I9" s="207">
        <f t="shared" si="0"/>
        <v>382587.17401776381</v>
      </c>
      <c r="J9" s="169"/>
      <c r="K9" s="174">
        <f t="shared" si="1"/>
        <v>0</v>
      </c>
      <c r="L9" s="289"/>
      <c r="M9" s="174">
        <f t="shared" si="2"/>
        <v>0</v>
      </c>
      <c r="N9" s="289"/>
      <c r="O9" s="245">
        <f t="shared" si="3"/>
        <v>0</v>
      </c>
      <c r="P9" s="166"/>
      <c r="Q9" s="174">
        <f t="shared" si="5"/>
        <v>0</v>
      </c>
      <c r="R9" s="289"/>
      <c r="S9" s="174" t="e">
        <f t="shared" si="6"/>
        <v>#REF!</v>
      </c>
      <c r="T9" s="166"/>
      <c r="U9" s="155">
        <f t="shared" si="4"/>
        <v>0</v>
      </c>
    </row>
    <row r="10" spans="1:30">
      <c r="A10" s="219" t="s">
        <v>612</v>
      </c>
      <c r="B10" s="220" t="s">
        <v>704</v>
      </c>
      <c r="C10" s="212"/>
      <c r="D10" s="212"/>
      <c r="E10" s="221">
        <f>+E6</f>
        <v>43739</v>
      </c>
      <c r="F10" s="15">
        <f>+'Sources &amp; Uses'!H16+'Sources &amp; Uses'!H17</f>
        <v>0</v>
      </c>
      <c r="G10" s="186"/>
      <c r="H10" s="208"/>
      <c r="I10" s="207">
        <f t="shared" si="0"/>
        <v>382587.17401776381</v>
      </c>
      <c r="J10" s="169"/>
      <c r="K10" s="174">
        <f t="shared" si="1"/>
        <v>0</v>
      </c>
      <c r="L10" s="289"/>
      <c r="M10" s="174">
        <f t="shared" si="2"/>
        <v>0</v>
      </c>
      <c r="N10" s="289"/>
      <c r="O10" s="245">
        <f t="shared" si="3"/>
        <v>0</v>
      </c>
      <c r="P10" s="222"/>
      <c r="Q10" s="174">
        <f t="shared" si="5"/>
        <v>0</v>
      </c>
      <c r="R10" s="289"/>
      <c r="S10" s="174" t="e">
        <f t="shared" si="6"/>
        <v>#REF!</v>
      </c>
      <c r="T10" s="166"/>
      <c r="U10" s="155">
        <f t="shared" si="4"/>
        <v>0</v>
      </c>
    </row>
    <row r="11" spans="1:30">
      <c r="A11" s="110"/>
      <c r="B11" s="208" t="str">
        <f>+'Sources &amp; Uses'!A33</f>
        <v>Architects Fee-Design</v>
      </c>
      <c r="E11" s="156">
        <f>+E10</f>
        <v>43739</v>
      </c>
      <c r="F11" s="1">
        <f>+'Sources &amp; Uses'!F33</f>
        <v>400000</v>
      </c>
      <c r="G11" s="222"/>
      <c r="H11" s="208"/>
      <c r="I11" s="207">
        <f t="shared" si="0"/>
        <v>382587.17401776381</v>
      </c>
      <c r="J11" s="169"/>
      <c r="K11" s="174">
        <f t="shared" si="1"/>
        <v>0</v>
      </c>
      <c r="L11" s="289"/>
      <c r="M11" s="174">
        <f t="shared" si="2"/>
        <v>0</v>
      </c>
      <c r="N11" s="289"/>
      <c r="O11" s="245">
        <f t="shared" si="3"/>
        <v>0</v>
      </c>
      <c r="P11" s="166"/>
      <c r="Q11" s="174">
        <f t="shared" si="5"/>
        <v>0</v>
      </c>
      <c r="R11" s="289"/>
      <c r="S11" s="174" t="e">
        <f t="shared" si="6"/>
        <v>#REF!</v>
      </c>
      <c r="T11" s="166"/>
      <c r="U11" s="155">
        <f t="shared" si="4"/>
        <v>0</v>
      </c>
    </row>
    <row r="12" spans="1:30">
      <c r="A12" s="162"/>
      <c r="B12" s="208" t="str">
        <f>+'Sources &amp; Uses'!A35</f>
        <v>Other- CM</v>
      </c>
      <c r="E12" s="156">
        <f t="shared" ref="E12:E26" si="7">+E11</f>
        <v>43739</v>
      </c>
      <c r="F12" s="1">
        <f>+'Sources &amp; Uses'!F35</f>
        <v>722566.70000000007</v>
      </c>
      <c r="G12" s="222"/>
      <c r="H12" s="208"/>
      <c r="I12" s="207">
        <f t="shared" si="0"/>
        <v>382587.17401776381</v>
      </c>
      <c r="J12" s="169"/>
      <c r="K12" s="174">
        <f t="shared" si="1"/>
        <v>0</v>
      </c>
      <c r="L12" s="289"/>
      <c r="M12" s="174">
        <f t="shared" si="2"/>
        <v>0</v>
      </c>
      <c r="N12" s="289"/>
      <c r="O12" s="245">
        <f t="shared" si="3"/>
        <v>0</v>
      </c>
      <c r="P12" s="166"/>
      <c r="Q12" s="174">
        <f t="shared" si="5"/>
        <v>0</v>
      </c>
      <c r="R12" s="289"/>
      <c r="S12" s="174" t="e">
        <f t="shared" si="6"/>
        <v>#REF!</v>
      </c>
      <c r="T12" s="166"/>
      <c r="U12" s="155">
        <f t="shared" si="4"/>
        <v>0</v>
      </c>
    </row>
    <row r="13" spans="1:30">
      <c r="A13" s="162"/>
      <c r="B13" s="208" t="e">
        <f>+'Sources &amp; Uses'!#REF!</f>
        <v>#REF!</v>
      </c>
      <c r="E13" s="156">
        <f t="shared" si="7"/>
        <v>43739</v>
      </c>
      <c r="F13" s="1" t="e">
        <f>+'Sources &amp; Uses'!#REF!</f>
        <v>#REF!</v>
      </c>
      <c r="G13" s="222"/>
      <c r="H13" s="208"/>
      <c r="I13" s="207">
        <f t="shared" si="0"/>
        <v>382587.17401776381</v>
      </c>
      <c r="J13" s="169"/>
      <c r="K13" s="174">
        <f t="shared" si="1"/>
        <v>0</v>
      </c>
      <c r="L13" s="289"/>
      <c r="M13" s="174">
        <f t="shared" si="2"/>
        <v>0</v>
      </c>
      <c r="N13" s="289"/>
      <c r="O13" s="245">
        <f t="shared" si="3"/>
        <v>0</v>
      </c>
      <c r="P13" s="166"/>
      <c r="Q13" s="174">
        <f t="shared" si="5"/>
        <v>0</v>
      </c>
      <c r="R13" s="289"/>
      <c r="S13" s="174" t="e">
        <f t="shared" si="6"/>
        <v>#REF!</v>
      </c>
      <c r="T13" s="166"/>
      <c r="U13" s="155">
        <f t="shared" si="4"/>
        <v>0</v>
      </c>
    </row>
    <row r="14" spans="1:30">
      <c r="A14" s="162"/>
      <c r="B14" s="208" t="str">
        <f>+'Sources &amp; Uses'!A41</f>
        <v>Bond Cost of Issuance</v>
      </c>
      <c r="E14" s="156">
        <f t="shared" si="7"/>
        <v>43739</v>
      </c>
      <c r="F14" s="1">
        <f>+'Sources &amp; Uses'!F41</f>
        <v>20000</v>
      </c>
      <c r="G14" s="222"/>
      <c r="H14" s="208"/>
      <c r="I14" s="207">
        <f t="shared" ref="I14:I15" si="8">+I13+H14</f>
        <v>382587.17401776381</v>
      </c>
      <c r="J14" s="169"/>
      <c r="K14" s="174">
        <f t="shared" ref="K14:K15" si="9">+K13+J14</f>
        <v>0</v>
      </c>
      <c r="L14" s="289"/>
      <c r="M14" s="174">
        <f t="shared" ref="M14:M15" si="10">+M13+L14</f>
        <v>0</v>
      </c>
      <c r="N14" s="289"/>
      <c r="O14" s="245">
        <f t="shared" ref="O14:O15" si="11">+O13+N14</f>
        <v>0</v>
      </c>
      <c r="P14" s="166"/>
      <c r="Q14" s="174">
        <f t="shared" ref="Q14:Q15" si="12">+Q13+P14</f>
        <v>0</v>
      </c>
      <c r="R14" s="289"/>
      <c r="S14" s="174" t="e">
        <f t="shared" ref="S14:S15" si="13">+S13+R14</f>
        <v>#REF!</v>
      </c>
      <c r="T14" s="166"/>
      <c r="U14" s="155">
        <f t="shared" si="4"/>
        <v>0</v>
      </c>
    </row>
    <row r="15" spans="1:30">
      <c r="A15" s="162"/>
      <c r="B15" s="208" t="str">
        <f>+'Sources &amp; Uses'!A42</f>
        <v>Taxes</v>
      </c>
      <c r="E15" s="156">
        <f>+E13</f>
        <v>43739</v>
      </c>
      <c r="F15" s="1">
        <f>+'Sources &amp; Uses'!F42</f>
        <v>0</v>
      </c>
      <c r="G15" s="222"/>
      <c r="H15" s="208"/>
      <c r="I15" s="207">
        <f t="shared" si="8"/>
        <v>382587.17401776381</v>
      </c>
      <c r="J15" s="169"/>
      <c r="K15" s="174">
        <f t="shared" si="9"/>
        <v>0</v>
      </c>
      <c r="L15" s="289"/>
      <c r="M15" s="174">
        <f t="shared" si="10"/>
        <v>0</v>
      </c>
      <c r="N15" s="289"/>
      <c r="O15" s="245">
        <f t="shared" si="11"/>
        <v>0</v>
      </c>
      <c r="P15" s="166"/>
      <c r="Q15" s="174">
        <f t="shared" si="12"/>
        <v>0</v>
      </c>
      <c r="R15" s="289"/>
      <c r="S15" s="174" t="e">
        <f t="shared" si="13"/>
        <v>#REF!</v>
      </c>
      <c r="T15" s="166"/>
      <c r="U15" s="155">
        <f t="shared" si="4"/>
        <v>0</v>
      </c>
    </row>
    <row r="16" spans="1:30">
      <c r="A16" s="162"/>
      <c r="B16" s="208" t="str">
        <f>+'Sources &amp; Uses'!A43</f>
        <v>Insurance</v>
      </c>
      <c r="E16" s="156">
        <f t="shared" si="7"/>
        <v>43739</v>
      </c>
      <c r="F16" s="1">
        <f>+'Sources &amp; Uses'!F43</f>
        <v>120000</v>
      </c>
      <c r="G16" s="222"/>
      <c r="H16" s="208"/>
      <c r="I16" s="207">
        <f t="shared" si="0"/>
        <v>382587.17401776381</v>
      </c>
      <c r="J16" s="169"/>
      <c r="K16" s="174">
        <f t="shared" si="1"/>
        <v>0</v>
      </c>
      <c r="L16" s="289"/>
      <c r="M16" s="174">
        <f t="shared" si="2"/>
        <v>0</v>
      </c>
      <c r="N16" s="289"/>
      <c r="O16" s="245">
        <f t="shared" si="3"/>
        <v>0</v>
      </c>
      <c r="P16" s="166"/>
      <c r="Q16" s="174">
        <f t="shared" si="5"/>
        <v>0</v>
      </c>
      <c r="R16" s="289"/>
      <c r="S16" s="174" t="e">
        <f t="shared" si="6"/>
        <v>#REF!</v>
      </c>
      <c r="T16" s="166"/>
      <c r="U16" s="155">
        <f t="shared" si="4"/>
        <v>0</v>
      </c>
    </row>
    <row r="17" spans="1:29">
      <c r="A17" s="162"/>
      <c r="B17" s="208" t="str">
        <f>+'Sources &amp; Uses'!A44</f>
        <v>Title/Recording</v>
      </c>
      <c r="E17" s="156">
        <f t="shared" si="7"/>
        <v>43739</v>
      </c>
      <c r="F17" s="1">
        <f>+'Sources &amp; Uses'!F44</f>
        <v>7000</v>
      </c>
      <c r="G17" s="222"/>
      <c r="H17" s="208"/>
      <c r="I17" s="207">
        <f t="shared" si="0"/>
        <v>382587.17401776381</v>
      </c>
      <c r="J17" s="169"/>
      <c r="K17" s="174">
        <f t="shared" si="1"/>
        <v>0</v>
      </c>
      <c r="L17" s="289"/>
      <c r="M17" s="174">
        <f t="shared" si="2"/>
        <v>0</v>
      </c>
      <c r="N17" s="289"/>
      <c r="O17" s="245">
        <f t="shared" si="3"/>
        <v>0</v>
      </c>
      <c r="P17" s="166"/>
      <c r="Q17" s="174">
        <f t="shared" si="5"/>
        <v>0</v>
      </c>
      <c r="R17" s="289"/>
      <c r="S17" s="174" t="e">
        <f t="shared" si="6"/>
        <v>#REF!</v>
      </c>
      <c r="T17" s="166"/>
      <c r="U17" s="155">
        <f t="shared" si="4"/>
        <v>0</v>
      </c>
    </row>
    <row r="18" spans="1:29">
      <c r="A18" s="162"/>
      <c r="B18" s="208" t="str">
        <f>+'Sources &amp; Uses'!A48</f>
        <v>Legal</v>
      </c>
      <c r="E18" s="156">
        <f t="shared" si="7"/>
        <v>43739</v>
      </c>
      <c r="F18" s="1">
        <f>+'Sources &amp; Uses'!F48</f>
        <v>50000</v>
      </c>
      <c r="G18" s="222"/>
      <c r="H18" s="243"/>
      <c r="I18" s="207">
        <f t="shared" si="0"/>
        <v>382587.17401776381</v>
      </c>
      <c r="J18" s="169"/>
      <c r="K18" s="174">
        <f t="shared" si="1"/>
        <v>0</v>
      </c>
      <c r="L18" s="289"/>
      <c r="M18" s="174">
        <f t="shared" si="2"/>
        <v>0</v>
      </c>
      <c r="N18" s="289"/>
      <c r="O18" s="245">
        <f t="shared" si="3"/>
        <v>0</v>
      </c>
      <c r="P18" s="166"/>
      <c r="Q18" s="174">
        <f t="shared" si="5"/>
        <v>0</v>
      </c>
      <c r="R18" s="289"/>
      <c r="S18" s="174" t="e">
        <f t="shared" si="6"/>
        <v>#REF!</v>
      </c>
      <c r="T18" s="166"/>
      <c r="U18" s="155">
        <f t="shared" si="4"/>
        <v>0</v>
      </c>
    </row>
    <row r="19" spans="1:29">
      <c r="A19" s="162"/>
      <c r="B19" s="208" t="str">
        <f>+'Sources &amp; Uses'!A49</f>
        <v>CPA Fees</v>
      </c>
      <c r="E19" s="156">
        <f t="shared" si="7"/>
        <v>43739</v>
      </c>
      <c r="F19" s="1">
        <f>+'Sources &amp; Uses'!F49</f>
        <v>25000</v>
      </c>
      <c r="G19" s="222"/>
      <c r="H19" s="208"/>
      <c r="I19" s="207">
        <f t="shared" si="0"/>
        <v>382587.17401776381</v>
      </c>
      <c r="J19" s="169"/>
      <c r="K19" s="174">
        <f t="shared" si="1"/>
        <v>0</v>
      </c>
      <c r="L19" s="289"/>
      <c r="M19" s="174">
        <f t="shared" si="2"/>
        <v>0</v>
      </c>
      <c r="N19" s="289"/>
      <c r="O19" s="245">
        <f t="shared" si="3"/>
        <v>0</v>
      </c>
      <c r="P19" s="166"/>
      <c r="Q19" s="174">
        <f t="shared" si="5"/>
        <v>0</v>
      </c>
      <c r="R19" s="289"/>
      <c r="S19" s="174" t="e">
        <f t="shared" si="6"/>
        <v>#REF!</v>
      </c>
      <c r="T19" s="166"/>
      <c r="U19" s="155">
        <f t="shared" si="4"/>
        <v>0</v>
      </c>
    </row>
    <row r="20" spans="1:29">
      <c r="A20" s="162"/>
      <c r="B20" s="208" t="str">
        <f>+'Sources &amp; Uses'!A56</f>
        <v>LIHTC Application Fee</v>
      </c>
      <c r="E20" s="156">
        <f t="shared" si="7"/>
        <v>43739</v>
      </c>
      <c r="F20" s="1">
        <f>+'Sources &amp; Uses'!F56</f>
        <v>0</v>
      </c>
      <c r="G20" s="222"/>
      <c r="H20" s="208"/>
      <c r="I20" s="207">
        <f t="shared" si="0"/>
        <v>382587.17401776381</v>
      </c>
      <c r="J20" s="169"/>
      <c r="K20" s="174">
        <f t="shared" si="1"/>
        <v>0</v>
      </c>
      <c r="L20" s="289"/>
      <c r="M20" s="174">
        <f t="shared" si="2"/>
        <v>0</v>
      </c>
      <c r="N20" s="289"/>
      <c r="O20" s="245">
        <f t="shared" si="3"/>
        <v>0</v>
      </c>
      <c r="P20" s="166"/>
      <c r="Q20" s="174">
        <f t="shared" si="5"/>
        <v>0</v>
      </c>
      <c r="R20" s="289"/>
      <c r="S20" s="174" t="e">
        <f t="shared" si="6"/>
        <v>#REF!</v>
      </c>
      <c r="T20" s="166"/>
      <c r="U20" s="155">
        <f t="shared" si="4"/>
        <v>0</v>
      </c>
    </row>
    <row r="21" spans="1:29">
      <c r="A21" s="162"/>
      <c r="B21" s="208" t="str">
        <f>+'Sources &amp; Uses'!A57</f>
        <v>Tax Credit Commitment Fees</v>
      </c>
      <c r="E21" s="156">
        <f t="shared" si="7"/>
        <v>43739</v>
      </c>
      <c r="F21" s="21">
        <f>+'Sources &amp; Uses'!F57</f>
        <v>0</v>
      </c>
      <c r="G21" s="223"/>
      <c r="H21" s="244"/>
      <c r="I21" s="207">
        <f t="shared" si="0"/>
        <v>382587.17401776381</v>
      </c>
      <c r="J21" s="169"/>
      <c r="K21" s="174">
        <f t="shared" si="1"/>
        <v>0</v>
      </c>
      <c r="L21" s="289"/>
      <c r="M21" s="174">
        <f t="shared" si="2"/>
        <v>0</v>
      </c>
      <c r="N21" s="289"/>
      <c r="O21" s="245">
        <f t="shared" si="3"/>
        <v>0</v>
      </c>
      <c r="P21" s="166"/>
      <c r="Q21" s="174">
        <f t="shared" si="5"/>
        <v>0</v>
      </c>
      <c r="R21" s="289"/>
      <c r="S21" s="174" t="e">
        <f t="shared" si="6"/>
        <v>#REF!</v>
      </c>
      <c r="T21" s="166"/>
      <c r="U21" s="155">
        <f t="shared" si="4"/>
        <v>0</v>
      </c>
    </row>
    <row r="22" spans="1:29">
      <c r="A22" s="162"/>
      <c r="B22" s="208" t="str">
        <f>+'Sources &amp; Uses'!A58</f>
        <v>Other Third Party Costs</v>
      </c>
      <c r="E22" s="156">
        <f t="shared" si="7"/>
        <v>43739</v>
      </c>
      <c r="F22" s="1">
        <f>+'Sources &amp; Uses'!F58</f>
        <v>217742</v>
      </c>
      <c r="G22" s="222"/>
      <c r="H22" s="208"/>
      <c r="I22" s="207">
        <f t="shared" si="0"/>
        <v>382587.17401776381</v>
      </c>
      <c r="J22" s="169"/>
      <c r="K22" s="174">
        <f t="shared" si="1"/>
        <v>0</v>
      </c>
      <c r="L22" s="289"/>
      <c r="M22" s="174">
        <f t="shared" si="2"/>
        <v>0</v>
      </c>
      <c r="N22" s="289"/>
      <c r="O22" s="245">
        <f t="shared" si="3"/>
        <v>0</v>
      </c>
      <c r="P22" s="166"/>
      <c r="Q22" s="174">
        <f t="shared" si="5"/>
        <v>0</v>
      </c>
      <c r="R22" s="289"/>
      <c r="S22" s="174" t="e">
        <f t="shared" si="6"/>
        <v>#REF!</v>
      </c>
      <c r="T22" s="166"/>
      <c r="U22" s="155">
        <f t="shared" si="4"/>
        <v>0</v>
      </c>
    </row>
    <row r="23" spans="1:29">
      <c r="A23" s="162"/>
      <c r="B23" s="334" t="s">
        <v>1140</v>
      </c>
      <c r="E23" s="156">
        <f t="shared" si="7"/>
        <v>43739</v>
      </c>
      <c r="F23" s="1">
        <f>+'Sources &amp; Uses'!H64</f>
        <v>0</v>
      </c>
      <c r="G23" s="222"/>
      <c r="H23" s="208"/>
      <c r="I23" s="207">
        <f t="shared" si="0"/>
        <v>382587.17401776381</v>
      </c>
      <c r="J23" s="169"/>
      <c r="K23" s="174">
        <f t="shared" ref="K23:K24" si="14">+K22+J23</f>
        <v>0</v>
      </c>
      <c r="L23" s="289"/>
      <c r="M23" s="174">
        <f t="shared" ref="M23:M24" si="15">+M22+L23</f>
        <v>0</v>
      </c>
      <c r="N23" s="289"/>
      <c r="O23" s="245">
        <f t="shared" ref="O23:O24" si="16">+O22+N23</f>
        <v>0</v>
      </c>
      <c r="P23" s="166"/>
      <c r="Q23" s="174">
        <f t="shared" ref="Q23:Q24" si="17">+Q22+P23</f>
        <v>0</v>
      </c>
      <c r="R23" s="289"/>
      <c r="S23" s="174" t="e">
        <f t="shared" ref="S23:S24" si="18">+S22+R23</f>
        <v>#REF!</v>
      </c>
      <c r="T23" s="166"/>
      <c r="U23" s="155">
        <f t="shared" si="4"/>
        <v>0</v>
      </c>
    </row>
    <row r="24" spans="1:29">
      <c r="A24" s="162"/>
      <c r="B24" s="208" t="str">
        <f>+'Sources &amp; Uses'!A70</f>
        <v>Syndication/ Other Expenses</v>
      </c>
      <c r="E24" s="156">
        <f>+E22</f>
        <v>43739</v>
      </c>
      <c r="F24" s="1">
        <f>+'Sources &amp; Uses'!F73</f>
        <v>0</v>
      </c>
      <c r="G24" s="222"/>
      <c r="H24" s="208"/>
      <c r="I24" s="207">
        <f t="shared" si="0"/>
        <v>382587.17401776381</v>
      </c>
      <c r="J24" s="169"/>
      <c r="K24" s="174">
        <f t="shared" si="14"/>
        <v>0</v>
      </c>
      <c r="L24" s="289"/>
      <c r="M24" s="174">
        <f t="shared" si="15"/>
        <v>0</v>
      </c>
      <c r="N24" s="289"/>
      <c r="O24" s="245">
        <f t="shared" si="16"/>
        <v>0</v>
      </c>
      <c r="P24" s="166"/>
      <c r="Q24" s="174">
        <f t="shared" si="17"/>
        <v>0</v>
      </c>
      <c r="R24" s="289"/>
      <c r="S24" s="174" t="e">
        <f t="shared" si="18"/>
        <v>#REF!</v>
      </c>
      <c r="T24" s="166"/>
      <c r="U24" s="155">
        <f t="shared" si="4"/>
        <v>0</v>
      </c>
      <c r="Z24" s="462"/>
    </row>
    <row r="25" spans="1:29">
      <c r="A25" s="226"/>
      <c r="B25" s="214" t="s">
        <v>463</v>
      </c>
      <c r="C25" s="224" t="s">
        <v>602</v>
      </c>
      <c r="D25" s="235">
        <v>0</v>
      </c>
      <c r="E25" s="225">
        <f>+E22</f>
        <v>43739</v>
      </c>
      <c r="F25" s="20">
        <f>+D25*'Sources &amp; Uses'!H67</f>
        <v>0</v>
      </c>
      <c r="G25" s="211"/>
      <c r="H25" s="204"/>
      <c r="I25" s="207">
        <f t="shared" si="0"/>
        <v>382587.17401776381</v>
      </c>
      <c r="J25" s="169"/>
      <c r="K25" s="174">
        <f>+K24+J25</f>
        <v>0</v>
      </c>
      <c r="L25" s="289"/>
      <c r="M25" s="174">
        <f t="shared" si="2"/>
        <v>0</v>
      </c>
      <c r="N25" s="289"/>
      <c r="O25" s="245">
        <f t="shared" si="3"/>
        <v>0</v>
      </c>
      <c r="P25" s="166"/>
      <c r="Q25" s="174">
        <f t="shared" si="5"/>
        <v>0</v>
      </c>
      <c r="R25" s="289"/>
      <c r="S25" s="174" t="e">
        <f t="shared" si="6"/>
        <v>#REF!</v>
      </c>
      <c r="T25" s="166"/>
      <c r="U25" s="155">
        <f t="shared" si="4"/>
        <v>0</v>
      </c>
      <c r="Z25" s="162"/>
    </row>
    <row r="26" spans="1:29">
      <c r="A26" t="s">
        <v>444</v>
      </c>
      <c r="E26" s="156">
        <f t="shared" si="7"/>
        <v>43739</v>
      </c>
      <c r="G26" s="52" t="e">
        <f>SUM(F10:F25)</f>
        <v>#REF!</v>
      </c>
      <c r="H26" s="204">
        <f>-I25</f>
        <v>-382587.17401776381</v>
      </c>
      <c r="I26" s="207">
        <f t="shared" si="0"/>
        <v>0</v>
      </c>
      <c r="J26" s="169" t="e">
        <f>-Y26</f>
        <v>#REF!</v>
      </c>
      <c r="K26" s="174" t="e">
        <f t="shared" si="1"/>
        <v>#REF!</v>
      </c>
      <c r="L26" s="289" t="e">
        <f>-Z26</f>
        <v>#REF!</v>
      </c>
      <c r="M26" s="174" t="e">
        <f t="shared" si="2"/>
        <v>#REF!</v>
      </c>
      <c r="N26" s="289" t="e">
        <f>+L26</f>
        <v>#REF!</v>
      </c>
      <c r="O26" s="245" t="e">
        <f t="shared" si="3"/>
        <v>#REF!</v>
      </c>
      <c r="P26" s="169" t="e">
        <f>-N26</f>
        <v>#REF!</v>
      </c>
      <c r="Q26" s="174" t="e">
        <f t="shared" si="5"/>
        <v>#REF!</v>
      </c>
      <c r="R26" s="289"/>
      <c r="S26" s="174" t="e">
        <f t="shared" si="6"/>
        <v>#REF!</v>
      </c>
      <c r="T26" s="166"/>
      <c r="U26" s="155" t="e">
        <f t="shared" si="4"/>
        <v>#REF!</v>
      </c>
      <c r="W26" s="52" t="e">
        <f>G26*0.5</f>
        <v>#REF!</v>
      </c>
      <c r="X26" s="52">
        <f>-H26</f>
        <v>382587.17401776381</v>
      </c>
      <c r="Y26" s="52" t="e">
        <f>+W26-X26</f>
        <v>#REF!</v>
      </c>
      <c r="Z26" s="160" t="e">
        <f t="shared" ref="Z26:Z52" si="19">+G26-X26-Y26+AD26</f>
        <v>#REF!</v>
      </c>
      <c r="AA26" s="52" t="e">
        <f>-N26</f>
        <v>#REF!</v>
      </c>
      <c r="AB26" s="52" t="e">
        <f>+AA26</f>
        <v>#REF!</v>
      </c>
      <c r="AC26" t="e">
        <f>IF(AB26&lt;=D$97,"OK","ERROR")</f>
        <v>#REF!</v>
      </c>
    </row>
    <row r="27" spans="1:29">
      <c r="A27" s="201" t="s">
        <v>765</v>
      </c>
      <c r="B27" s="212"/>
      <c r="C27" s="212"/>
      <c r="D27" s="212"/>
      <c r="E27" s="165"/>
      <c r="F27" s="212"/>
      <c r="G27" s="213">
        <f>SUM(H7:H25)+SUM(J5:J25)+SUM(N5:N25)+SUM(L5:L25)-P10</f>
        <v>0</v>
      </c>
      <c r="H27" s="209"/>
      <c r="I27" s="207">
        <f t="shared" si="0"/>
        <v>0</v>
      </c>
      <c r="J27" s="210"/>
      <c r="K27" s="174" t="e">
        <f t="shared" si="1"/>
        <v>#REF!</v>
      </c>
      <c r="L27" s="289"/>
      <c r="M27" s="174" t="e">
        <f t="shared" si="2"/>
        <v>#REF!</v>
      </c>
      <c r="N27" s="289">
        <f t="shared" ref="N27:N29" si="20">+L27</f>
        <v>0</v>
      </c>
      <c r="O27" s="245" t="e">
        <f t="shared" si="3"/>
        <v>#REF!</v>
      </c>
      <c r="P27" s="169">
        <f t="shared" ref="P27" si="21">-N27</f>
        <v>0</v>
      </c>
      <c r="Q27" s="174" t="e">
        <f t="shared" si="5"/>
        <v>#REF!</v>
      </c>
      <c r="R27" s="289"/>
      <c r="S27" s="174" t="e">
        <f t="shared" si="6"/>
        <v>#REF!</v>
      </c>
      <c r="T27" s="166"/>
      <c r="U27" s="155">
        <f t="shared" si="4"/>
        <v>0</v>
      </c>
      <c r="Z27" s="160">
        <f t="shared" si="19"/>
        <v>0</v>
      </c>
      <c r="AA27" s="52">
        <f t="shared" ref="AA27:AA60" si="22">-N27</f>
        <v>0</v>
      </c>
      <c r="AB27" s="52" t="e">
        <f>+AB26+AA27</f>
        <v>#REF!</v>
      </c>
      <c r="AC27" t="e">
        <f t="shared" ref="AC27:AC60" si="23">IF(AB27&lt;=D$97,"OK","ERROR")</f>
        <v>#REF!</v>
      </c>
    </row>
    <row r="28" spans="1:29">
      <c r="A28" s="214" t="s">
        <v>603</v>
      </c>
      <c r="B28" s="25"/>
      <c r="C28" s="25"/>
      <c r="D28" s="25"/>
      <c r="E28" s="216"/>
      <c r="F28" s="25"/>
      <c r="G28" s="215" t="e">
        <f>+G26+G27</f>
        <v>#REF!</v>
      </c>
      <c r="H28" s="209"/>
      <c r="I28" s="207">
        <f t="shared" si="0"/>
        <v>0</v>
      </c>
      <c r="J28" s="210"/>
      <c r="K28" s="174" t="e">
        <f>+K27+J28</f>
        <v>#REF!</v>
      </c>
      <c r="L28" s="289"/>
      <c r="M28" s="174" t="e">
        <f t="shared" si="2"/>
        <v>#REF!</v>
      </c>
      <c r="N28" s="289">
        <f t="shared" si="20"/>
        <v>0</v>
      </c>
      <c r="O28" s="245" t="e">
        <f t="shared" si="3"/>
        <v>#REF!</v>
      </c>
      <c r="P28" s="169">
        <f t="shared" ref="P28:P52" si="24">-N28+AD28</f>
        <v>0</v>
      </c>
      <c r="Q28" s="174" t="e">
        <f t="shared" si="5"/>
        <v>#REF!</v>
      </c>
      <c r="R28" s="289"/>
      <c r="S28" s="174" t="e">
        <f t="shared" si="6"/>
        <v>#REF!</v>
      </c>
      <c r="T28" s="166"/>
      <c r="U28" s="155" t="e">
        <f t="shared" si="4"/>
        <v>#REF!</v>
      </c>
      <c r="Z28" s="160" t="e">
        <f t="shared" si="19"/>
        <v>#REF!</v>
      </c>
      <c r="AA28" s="52">
        <f t="shared" si="22"/>
        <v>0</v>
      </c>
      <c r="AB28" s="52" t="e">
        <f t="shared" ref="AB28:AB45" si="25">+AB27+AA28</f>
        <v>#REF!</v>
      </c>
      <c r="AC28" t="e">
        <f t="shared" si="23"/>
        <v>#REF!</v>
      </c>
    </row>
    <row r="29" spans="1:29">
      <c r="A29" s="165" t="s">
        <v>465</v>
      </c>
      <c r="B29" s="547" t="s">
        <v>1141</v>
      </c>
      <c r="C29" s="548"/>
      <c r="D29" s="549"/>
      <c r="H29" s="162"/>
      <c r="I29" s="207">
        <f t="shared" si="0"/>
        <v>0</v>
      </c>
      <c r="J29" s="169"/>
      <c r="K29" s="174" t="e">
        <f>+K27+J29</f>
        <v>#REF!</v>
      </c>
      <c r="L29" s="289"/>
      <c r="M29" s="174" t="e">
        <f t="shared" si="2"/>
        <v>#REF!</v>
      </c>
      <c r="N29" s="289">
        <f t="shared" si="20"/>
        <v>0</v>
      </c>
      <c r="O29" s="245" t="e">
        <f t="shared" si="3"/>
        <v>#REF!</v>
      </c>
      <c r="P29" s="169">
        <f t="shared" si="24"/>
        <v>0</v>
      </c>
      <c r="Q29" s="174" t="e">
        <f t="shared" si="5"/>
        <v>#REF!</v>
      </c>
      <c r="R29" s="289"/>
      <c r="S29" s="174" t="e">
        <f t="shared" si="6"/>
        <v>#REF!</v>
      </c>
      <c r="T29" s="166"/>
      <c r="U29" s="155">
        <f t="shared" si="4"/>
        <v>0</v>
      </c>
      <c r="Z29" s="160">
        <f t="shared" si="19"/>
        <v>0</v>
      </c>
      <c r="AA29" s="52">
        <f t="shared" si="22"/>
        <v>0</v>
      </c>
      <c r="AB29" s="52" t="e">
        <f t="shared" si="25"/>
        <v>#REF!</v>
      </c>
      <c r="AC29" t="e">
        <f t="shared" si="23"/>
        <v>#REF!</v>
      </c>
    </row>
    <row r="30" spans="1:29">
      <c r="A30" s="227">
        <v>1</v>
      </c>
      <c r="B30" s="24" t="s">
        <v>440</v>
      </c>
      <c r="C30" s="24" t="s">
        <v>473</v>
      </c>
      <c r="D30" s="24"/>
      <c r="E30" s="228">
        <f>+E26+31</f>
        <v>43770</v>
      </c>
      <c r="F30" s="24"/>
      <c r="G30" s="229" t="e">
        <f>+' Draw Schedule'!K10</f>
        <v>#REF!</v>
      </c>
      <c r="H30" s="164">
        <f>-I29</f>
        <v>0</v>
      </c>
      <c r="I30" s="207">
        <f t="shared" si="0"/>
        <v>0</v>
      </c>
      <c r="J30" s="169" t="e">
        <f t="shared" ref="J30:J81" si="26">-Y30</f>
        <v>#REF!</v>
      </c>
      <c r="K30" s="174" t="e">
        <f t="shared" si="1"/>
        <v>#REF!</v>
      </c>
      <c r="L30" s="289" t="e">
        <f t="shared" ref="L30:L83" si="27">-Z30</f>
        <v>#REF!</v>
      </c>
      <c r="M30" s="174" t="e">
        <f t="shared" si="2"/>
        <v>#REF!</v>
      </c>
      <c r="N30" s="289" t="e">
        <f>+L30+AD30</f>
        <v>#REF!</v>
      </c>
      <c r="O30" s="245" t="e">
        <f t="shared" si="3"/>
        <v>#REF!</v>
      </c>
      <c r="P30" s="169" t="e">
        <f t="shared" si="24"/>
        <v>#REF!</v>
      </c>
      <c r="Q30" s="174" t="e">
        <f t="shared" si="5"/>
        <v>#REF!</v>
      </c>
      <c r="R30" s="289"/>
      <c r="S30" s="174" t="e">
        <f t="shared" si="6"/>
        <v>#REF!</v>
      </c>
      <c r="T30" s="166"/>
      <c r="U30" s="155" t="e">
        <f t="shared" si="4"/>
        <v>#REF!</v>
      </c>
      <c r="W30" s="52" t="e">
        <f>G30*0.5</f>
        <v>#REF!</v>
      </c>
      <c r="X30" s="52">
        <f>-H30</f>
        <v>0</v>
      </c>
      <c r="Y30" s="52" t="e">
        <f>+W30-X30</f>
        <v>#REF!</v>
      </c>
      <c r="Z30" s="160" t="e">
        <f t="shared" si="19"/>
        <v>#REF!</v>
      </c>
      <c r="AA30" s="52" t="e">
        <f t="shared" si="22"/>
        <v>#REF!</v>
      </c>
      <c r="AB30" s="52" t="e">
        <f t="shared" si="25"/>
        <v>#REF!</v>
      </c>
      <c r="AC30" t="e">
        <f t="shared" si="23"/>
        <v>#REF!</v>
      </c>
    </row>
    <row r="31" spans="1:29">
      <c r="A31" s="227">
        <v>2</v>
      </c>
      <c r="B31" s="24" t="s">
        <v>440</v>
      </c>
      <c r="C31" s="24" t="s">
        <v>473</v>
      </c>
      <c r="D31" s="24"/>
      <c r="E31" s="228">
        <f>+E30+30</f>
        <v>43800</v>
      </c>
      <c r="F31" s="24"/>
      <c r="G31" s="229" t="e">
        <f>+' Draw Schedule'!K11</f>
        <v>#REF!</v>
      </c>
      <c r="H31" s="164"/>
      <c r="I31" s="207">
        <f t="shared" si="0"/>
        <v>0</v>
      </c>
      <c r="J31" s="169" t="e">
        <f t="shared" si="26"/>
        <v>#REF!</v>
      </c>
      <c r="K31" s="174" t="e">
        <f t="shared" si="1"/>
        <v>#REF!</v>
      </c>
      <c r="L31" s="289" t="e">
        <f t="shared" si="27"/>
        <v>#REF!</v>
      </c>
      <c r="M31" s="174" t="e">
        <f t="shared" si="2"/>
        <v>#REF!</v>
      </c>
      <c r="N31" s="289" t="e">
        <f t="shared" ref="N31:N60" si="28">+L31+AD31</f>
        <v>#REF!</v>
      </c>
      <c r="O31" s="245" t="e">
        <f t="shared" si="3"/>
        <v>#REF!</v>
      </c>
      <c r="P31" s="169" t="e">
        <f t="shared" si="24"/>
        <v>#REF!</v>
      </c>
      <c r="Q31" s="174" t="e">
        <f t="shared" si="5"/>
        <v>#REF!</v>
      </c>
      <c r="R31" s="289"/>
      <c r="S31" s="174" t="e">
        <f t="shared" si="6"/>
        <v>#REF!</v>
      </c>
      <c r="T31" s="166"/>
      <c r="U31" s="155" t="e">
        <f t="shared" si="4"/>
        <v>#REF!</v>
      </c>
      <c r="W31" s="52" t="e">
        <f t="shared" ref="W31:W32" si="29">G31*0.5</f>
        <v>#REF!</v>
      </c>
      <c r="X31" s="52">
        <f t="shared" ref="X31:X32" si="30">-H31</f>
        <v>0</v>
      </c>
      <c r="Y31" s="52" t="e">
        <f t="shared" ref="Y31:Y32" si="31">+W31-X31</f>
        <v>#REF!</v>
      </c>
      <c r="Z31" s="160" t="e">
        <f t="shared" si="19"/>
        <v>#REF!</v>
      </c>
      <c r="AA31" s="52" t="e">
        <f t="shared" si="22"/>
        <v>#REF!</v>
      </c>
      <c r="AB31" s="52" t="e">
        <f t="shared" si="25"/>
        <v>#REF!</v>
      </c>
      <c r="AC31" t="e">
        <f t="shared" si="23"/>
        <v>#REF!</v>
      </c>
    </row>
    <row r="32" spans="1:29">
      <c r="A32" s="201">
        <v>3</v>
      </c>
      <c r="B32" s="212" t="s">
        <v>440</v>
      </c>
      <c r="C32" s="212" t="s">
        <v>473</v>
      </c>
      <c r="D32" s="212"/>
      <c r="E32" s="221">
        <f>+E31+31</f>
        <v>43831</v>
      </c>
      <c r="F32" s="212"/>
      <c r="G32" s="230" t="e">
        <f>+' Draw Schedule'!K12</f>
        <v>#REF!</v>
      </c>
      <c r="H32" s="164"/>
      <c r="I32" s="207">
        <f t="shared" si="0"/>
        <v>0</v>
      </c>
      <c r="J32" s="169" t="e">
        <f t="shared" si="26"/>
        <v>#REF!</v>
      </c>
      <c r="K32" s="174" t="e">
        <f t="shared" si="1"/>
        <v>#REF!</v>
      </c>
      <c r="L32" s="289" t="e">
        <f t="shared" si="27"/>
        <v>#REF!</v>
      </c>
      <c r="M32" s="174" t="e">
        <f t="shared" si="2"/>
        <v>#REF!</v>
      </c>
      <c r="N32" s="289" t="e">
        <f t="shared" si="28"/>
        <v>#REF!</v>
      </c>
      <c r="O32" s="245" t="e">
        <f t="shared" si="3"/>
        <v>#REF!</v>
      </c>
      <c r="P32" s="169" t="e">
        <f t="shared" si="24"/>
        <v>#REF!</v>
      </c>
      <c r="Q32" s="174" t="e">
        <f t="shared" si="5"/>
        <v>#REF!</v>
      </c>
      <c r="R32" s="289"/>
      <c r="S32" s="174" t="e">
        <f t="shared" si="6"/>
        <v>#REF!</v>
      </c>
      <c r="T32" s="166"/>
      <c r="U32" s="155" t="e">
        <f t="shared" si="4"/>
        <v>#REF!</v>
      </c>
      <c r="W32" s="52" t="e">
        <f t="shared" si="29"/>
        <v>#REF!</v>
      </c>
      <c r="X32" s="52">
        <f t="shared" si="30"/>
        <v>0</v>
      </c>
      <c r="Y32" s="52" t="e">
        <f t="shared" si="31"/>
        <v>#REF!</v>
      </c>
      <c r="Z32" s="160" t="e">
        <f t="shared" si="19"/>
        <v>#REF!</v>
      </c>
      <c r="AA32" s="52" t="e">
        <f t="shared" si="22"/>
        <v>#REF!</v>
      </c>
      <c r="AB32" s="52" t="e">
        <f t="shared" si="25"/>
        <v>#REF!</v>
      </c>
      <c r="AC32" t="e">
        <f t="shared" si="23"/>
        <v>#REF!</v>
      </c>
    </row>
    <row r="33" spans="1:31">
      <c r="A33" s="214"/>
      <c r="B33" s="224"/>
      <c r="C33" s="212" t="s">
        <v>473</v>
      </c>
      <c r="D33" s="231"/>
      <c r="E33" s="225">
        <f>+E32</f>
        <v>43831</v>
      </c>
      <c r="F33" s="25"/>
      <c r="G33" s="168"/>
      <c r="H33" s="164"/>
      <c r="I33" s="207">
        <f t="shared" si="0"/>
        <v>0</v>
      </c>
      <c r="J33" s="169">
        <f t="shared" si="26"/>
        <v>0</v>
      </c>
      <c r="K33" s="174" t="e">
        <f t="shared" si="1"/>
        <v>#REF!</v>
      </c>
      <c r="L33" s="289">
        <f t="shared" si="27"/>
        <v>0</v>
      </c>
      <c r="M33" s="174" t="e">
        <f t="shared" si="2"/>
        <v>#REF!</v>
      </c>
      <c r="N33" s="289">
        <f t="shared" si="28"/>
        <v>0</v>
      </c>
      <c r="O33" s="245" t="e">
        <f t="shared" si="3"/>
        <v>#REF!</v>
      </c>
      <c r="P33" s="169">
        <f t="shared" si="24"/>
        <v>0</v>
      </c>
      <c r="Q33" s="174" t="e">
        <f t="shared" si="5"/>
        <v>#REF!</v>
      </c>
      <c r="R33" s="289"/>
      <c r="S33" s="174" t="e">
        <f t="shared" si="6"/>
        <v>#REF!</v>
      </c>
      <c r="T33" s="166"/>
      <c r="U33" s="155">
        <f t="shared" si="4"/>
        <v>0</v>
      </c>
      <c r="Z33" s="160">
        <f t="shared" si="19"/>
        <v>0</v>
      </c>
      <c r="AA33" s="52">
        <f t="shared" si="22"/>
        <v>0</v>
      </c>
      <c r="AB33" s="52" t="e">
        <f t="shared" si="25"/>
        <v>#REF!</v>
      </c>
      <c r="AC33" t="e">
        <f t="shared" si="23"/>
        <v>#REF!</v>
      </c>
    </row>
    <row r="34" spans="1:31">
      <c r="A34" s="227">
        <v>4</v>
      </c>
      <c r="B34" s="24" t="s">
        <v>440</v>
      </c>
      <c r="C34" s="24" t="s">
        <v>473</v>
      </c>
      <c r="D34" s="232"/>
      <c r="E34" s="228">
        <f>+E32+31</f>
        <v>43862</v>
      </c>
      <c r="F34" s="24"/>
      <c r="G34" s="229" t="e">
        <f>+' Draw Schedule'!K13</f>
        <v>#REF!</v>
      </c>
      <c r="H34" s="164"/>
      <c r="I34" s="207">
        <f t="shared" si="0"/>
        <v>0</v>
      </c>
      <c r="J34" s="169" t="e">
        <f t="shared" si="26"/>
        <v>#REF!</v>
      </c>
      <c r="K34" s="174" t="e">
        <f t="shared" si="1"/>
        <v>#REF!</v>
      </c>
      <c r="L34" s="289" t="e">
        <f t="shared" si="27"/>
        <v>#REF!</v>
      </c>
      <c r="M34" s="174" t="e">
        <f t="shared" si="2"/>
        <v>#REF!</v>
      </c>
      <c r="N34" s="289" t="e">
        <f t="shared" si="28"/>
        <v>#REF!</v>
      </c>
      <c r="O34" s="245" t="e">
        <f t="shared" si="3"/>
        <v>#REF!</v>
      </c>
      <c r="P34" s="169" t="e">
        <f t="shared" si="24"/>
        <v>#REF!</v>
      </c>
      <c r="Q34" s="174" t="e">
        <f t="shared" si="5"/>
        <v>#REF!</v>
      </c>
      <c r="R34" s="289"/>
      <c r="S34" s="174" t="e">
        <f t="shared" si="6"/>
        <v>#REF!</v>
      </c>
      <c r="T34" s="166"/>
      <c r="U34" s="155" t="e">
        <f t="shared" si="4"/>
        <v>#REF!</v>
      </c>
      <c r="W34" s="52" t="e">
        <f t="shared" ref="W34:W35" si="32">G34*0.5</f>
        <v>#REF!</v>
      </c>
      <c r="X34" s="52">
        <f t="shared" ref="X34:X35" si="33">-H34</f>
        <v>0</v>
      </c>
      <c r="Y34" s="52" t="e">
        <f t="shared" ref="Y34:Y35" si="34">+W34-X34</f>
        <v>#REF!</v>
      </c>
      <c r="Z34" s="160" t="e">
        <f t="shared" si="19"/>
        <v>#REF!</v>
      </c>
      <c r="AA34" s="52" t="e">
        <f t="shared" si="22"/>
        <v>#REF!</v>
      </c>
      <c r="AB34" s="52" t="e">
        <f t="shared" si="25"/>
        <v>#REF!</v>
      </c>
      <c r="AC34" t="e">
        <f t="shared" si="23"/>
        <v>#REF!</v>
      </c>
    </row>
    <row r="35" spans="1:31">
      <c r="A35" s="201">
        <v>5</v>
      </c>
      <c r="B35" s="212" t="s">
        <v>440</v>
      </c>
      <c r="C35" s="212" t="s">
        <v>473</v>
      </c>
      <c r="D35" s="212"/>
      <c r="E35" s="221">
        <f>+E34+30</f>
        <v>43892</v>
      </c>
      <c r="F35" s="212"/>
      <c r="G35" s="230" t="e">
        <f>+' Draw Schedule'!K14</f>
        <v>#REF!</v>
      </c>
      <c r="H35" s="164"/>
      <c r="I35" s="207">
        <f t="shared" si="0"/>
        <v>0</v>
      </c>
      <c r="J35" s="169" t="e">
        <f t="shared" si="26"/>
        <v>#REF!</v>
      </c>
      <c r="K35" s="174" t="e">
        <f t="shared" si="1"/>
        <v>#REF!</v>
      </c>
      <c r="L35" s="289" t="e">
        <f t="shared" si="27"/>
        <v>#REF!</v>
      </c>
      <c r="M35" s="174" t="e">
        <f t="shared" si="2"/>
        <v>#REF!</v>
      </c>
      <c r="N35" s="289" t="e">
        <f t="shared" si="28"/>
        <v>#REF!</v>
      </c>
      <c r="O35" s="245" t="e">
        <f t="shared" si="3"/>
        <v>#REF!</v>
      </c>
      <c r="P35" s="169" t="e">
        <f t="shared" si="24"/>
        <v>#REF!</v>
      </c>
      <c r="Q35" s="174" t="e">
        <f t="shared" si="5"/>
        <v>#REF!</v>
      </c>
      <c r="R35" s="289"/>
      <c r="S35" s="174" t="e">
        <f t="shared" si="6"/>
        <v>#REF!</v>
      </c>
      <c r="T35" s="166"/>
      <c r="U35" s="155" t="e">
        <f t="shared" si="4"/>
        <v>#REF!</v>
      </c>
      <c r="W35" s="52" t="e">
        <f t="shared" si="32"/>
        <v>#REF!</v>
      </c>
      <c r="X35" s="52">
        <f t="shared" si="33"/>
        <v>0</v>
      </c>
      <c r="Y35" s="52" t="e">
        <f t="shared" si="34"/>
        <v>#REF!</v>
      </c>
      <c r="Z35" s="160" t="e">
        <f t="shared" si="19"/>
        <v>#REF!</v>
      </c>
      <c r="AA35" s="52" t="e">
        <f t="shared" si="22"/>
        <v>#REF!</v>
      </c>
      <c r="AB35" s="52" t="e">
        <f t="shared" si="25"/>
        <v>#REF!</v>
      </c>
      <c r="AC35" t="e">
        <f t="shared" si="23"/>
        <v>#REF!</v>
      </c>
    </row>
    <row r="36" spans="1:31">
      <c r="A36" s="214"/>
      <c r="B36" s="25"/>
      <c r="C36" s="212" t="s">
        <v>473</v>
      </c>
      <c r="D36" s="231">
        <v>0</v>
      </c>
      <c r="E36" s="225">
        <f>+E35</f>
        <v>43892</v>
      </c>
      <c r="F36" s="25"/>
      <c r="G36" s="168"/>
      <c r="H36" s="164"/>
      <c r="I36" s="207">
        <f t="shared" si="0"/>
        <v>0</v>
      </c>
      <c r="J36" s="169">
        <f t="shared" si="26"/>
        <v>0</v>
      </c>
      <c r="K36" s="174" t="e">
        <f t="shared" si="1"/>
        <v>#REF!</v>
      </c>
      <c r="L36" s="289">
        <f t="shared" si="27"/>
        <v>0</v>
      </c>
      <c r="M36" s="174" t="e">
        <f t="shared" si="2"/>
        <v>#REF!</v>
      </c>
      <c r="N36" s="289">
        <f t="shared" si="28"/>
        <v>0</v>
      </c>
      <c r="O36" s="245" t="e">
        <f t="shared" si="3"/>
        <v>#REF!</v>
      </c>
      <c r="P36" s="169">
        <f t="shared" si="24"/>
        <v>0</v>
      </c>
      <c r="Q36" s="174" t="e">
        <f t="shared" si="5"/>
        <v>#REF!</v>
      </c>
      <c r="R36" s="289"/>
      <c r="S36" s="174" t="e">
        <f t="shared" si="6"/>
        <v>#REF!</v>
      </c>
      <c r="T36" s="166"/>
      <c r="U36" s="155">
        <f t="shared" si="4"/>
        <v>0</v>
      </c>
      <c r="Z36" s="160">
        <f t="shared" si="19"/>
        <v>0</v>
      </c>
      <c r="AA36" s="52">
        <f t="shared" si="22"/>
        <v>0</v>
      </c>
      <c r="AB36" s="52" t="e">
        <f t="shared" si="25"/>
        <v>#REF!</v>
      </c>
      <c r="AC36" t="e">
        <f t="shared" si="23"/>
        <v>#REF!</v>
      </c>
    </row>
    <row r="37" spans="1:31">
      <c r="A37" s="227">
        <v>6</v>
      </c>
      <c r="B37" s="24" t="s">
        <v>440</v>
      </c>
      <c r="C37" s="24" t="s">
        <v>473</v>
      </c>
      <c r="D37" s="16"/>
      <c r="E37" s="228">
        <f>+E36+30</f>
        <v>43922</v>
      </c>
      <c r="F37" s="24"/>
      <c r="G37" s="229" t="e">
        <f>+' Draw Schedule'!K15</f>
        <v>#REF!</v>
      </c>
      <c r="H37" s="163"/>
      <c r="I37" s="207">
        <f t="shared" si="0"/>
        <v>0</v>
      </c>
      <c r="J37" s="169" t="e">
        <f t="shared" si="26"/>
        <v>#REF!</v>
      </c>
      <c r="K37" s="174" t="e">
        <f>+K35+J37</f>
        <v>#REF!</v>
      </c>
      <c r="L37" s="289" t="e">
        <f t="shared" si="27"/>
        <v>#REF!</v>
      </c>
      <c r="M37" s="174" t="e">
        <f t="shared" si="2"/>
        <v>#REF!</v>
      </c>
      <c r="N37" s="289" t="e">
        <f t="shared" si="28"/>
        <v>#REF!</v>
      </c>
      <c r="O37" s="245" t="e">
        <f t="shared" si="3"/>
        <v>#REF!</v>
      </c>
      <c r="P37" s="169" t="e">
        <f t="shared" si="24"/>
        <v>#REF!</v>
      </c>
      <c r="Q37" s="174" t="e">
        <f t="shared" si="5"/>
        <v>#REF!</v>
      </c>
      <c r="R37" s="289"/>
      <c r="S37" s="174" t="e">
        <f t="shared" si="6"/>
        <v>#REF!</v>
      </c>
      <c r="T37" s="166"/>
      <c r="U37" s="155" t="e">
        <f t="shared" si="4"/>
        <v>#REF!</v>
      </c>
      <c r="W37" s="52" t="e">
        <f t="shared" ref="W37:W39" si="35">G37*0.5</f>
        <v>#REF!</v>
      </c>
      <c r="X37" s="52">
        <f t="shared" ref="X37:X39" si="36">-H37</f>
        <v>0</v>
      </c>
      <c r="Y37" s="52" t="e">
        <f t="shared" ref="Y37:Y39" si="37">+W37-X37</f>
        <v>#REF!</v>
      </c>
      <c r="Z37" s="160" t="e">
        <f t="shared" si="19"/>
        <v>#REF!</v>
      </c>
      <c r="AA37" s="52" t="e">
        <f t="shared" si="22"/>
        <v>#REF!</v>
      </c>
      <c r="AB37" s="52" t="e">
        <f t="shared" si="25"/>
        <v>#REF!</v>
      </c>
      <c r="AC37" t="e">
        <f t="shared" si="23"/>
        <v>#REF!</v>
      </c>
    </row>
    <row r="38" spans="1:31">
      <c r="A38" s="214">
        <v>7</v>
      </c>
      <c r="B38" s="25" t="s">
        <v>440</v>
      </c>
      <c r="C38" s="25" t="s">
        <v>473</v>
      </c>
      <c r="D38" s="25"/>
      <c r="E38" s="225">
        <f>+E37+31</f>
        <v>43953</v>
      </c>
      <c r="F38" s="25"/>
      <c r="G38" s="168" t="e">
        <f>+' Draw Schedule'!K16</f>
        <v>#REF!</v>
      </c>
      <c r="H38" s="163"/>
      <c r="I38" s="207">
        <f t="shared" si="0"/>
        <v>0</v>
      </c>
      <c r="J38" s="169" t="e">
        <f t="shared" si="26"/>
        <v>#REF!</v>
      </c>
      <c r="K38" s="174" t="e">
        <f t="shared" si="1"/>
        <v>#REF!</v>
      </c>
      <c r="L38" s="289" t="e">
        <f t="shared" si="27"/>
        <v>#REF!</v>
      </c>
      <c r="M38" s="174" t="e">
        <f t="shared" si="2"/>
        <v>#REF!</v>
      </c>
      <c r="N38" s="289" t="e">
        <f t="shared" si="28"/>
        <v>#REF!</v>
      </c>
      <c r="O38" s="245" t="e">
        <f t="shared" si="3"/>
        <v>#REF!</v>
      </c>
      <c r="P38" s="169" t="e">
        <f t="shared" si="24"/>
        <v>#REF!</v>
      </c>
      <c r="Q38" s="174" t="e">
        <f t="shared" si="5"/>
        <v>#REF!</v>
      </c>
      <c r="R38" s="289"/>
      <c r="S38" s="174" t="e">
        <f t="shared" si="6"/>
        <v>#REF!</v>
      </c>
      <c r="T38" s="166"/>
      <c r="U38" s="155" t="e">
        <f t="shared" si="4"/>
        <v>#REF!</v>
      </c>
      <c r="W38" s="52" t="e">
        <f t="shared" si="35"/>
        <v>#REF!</v>
      </c>
      <c r="X38" s="52">
        <f t="shared" si="36"/>
        <v>0</v>
      </c>
      <c r="Y38" s="52" t="e">
        <f t="shared" si="37"/>
        <v>#REF!</v>
      </c>
      <c r="Z38" s="160" t="e">
        <f t="shared" si="19"/>
        <v>#REF!</v>
      </c>
      <c r="AA38" s="52" t="e">
        <f t="shared" si="22"/>
        <v>#REF!</v>
      </c>
      <c r="AB38" s="52" t="e">
        <f t="shared" si="25"/>
        <v>#REF!</v>
      </c>
      <c r="AC38" t="e">
        <f t="shared" si="23"/>
        <v>#REF!</v>
      </c>
    </row>
    <row r="39" spans="1:31">
      <c r="A39" s="201">
        <v>8</v>
      </c>
      <c r="B39" s="212" t="s">
        <v>440</v>
      </c>
      <c r="C39" s="212" t="s">
        <v>473</v>
      </c>
      <c r="D39" s="212"/>
      <c r="E39" s="221">
        <f>+E38+30</f>
        <v>43983</v>
      </c>
      <c r="F39" s="212"/>
      <c r="G39" s="230" t="e">
        <f>+' Draw Schedule'!K17</f>
        <v>#REF!</v>
      </c>
      <c r="H39" s="163"/>
      <c r="I39" s="207">
        <f t="shared" si="0"/>
        <v>0</v>
      </c>
      <c r="J39" s="169" t="e">
        <f t="shared" si="26"/>
        <v>#REF!</v>
      </c>
      <c r="K39" s="174" t="e">
        <f t="shared" si="1"/>
        <v>#REF!</v>
      </c>
      <c r="L39" s="289" t="e">
        <f t="shared" si="27"/>
        <v>#REF!</v>
      </c>
      <c r="M39" s="174" t="e">
        <f t="shared" si="2"/>
        <v>#REF!</v>
      </c>
      <c r="N39" s="289" t="e">
        <f t="shared" si="28"/>
        <v>#REF!</v>
      </c>
      <c r="O39" s="245" t="e">
        <f t="shared" si="3"/>
        <v>#REF!</v>
      </c>
      <c r="P39" s="169" t="e">
        <f t="shared" si="24"/>
        <v>#REF!</v>
      </c>
      <c r="Q39" s="174" t="e">
        <f t="shared" si="5"/>
        <v>#REF!</v>
      </c>
      <c r="R39" s="289"/>
      <c r="S39" s="174" t="e">
        <f t="shared" si="6"/>
        <v>#REF!</v>
      </c>
      <c r="T39" s="166"/>
      <c r="U39" s="155" t="e">
        <f t="shared" si="4"/>
        <v>#REF!</v>
      </c>
      <c r="W39" s="52" t="e">
        <f t="shared" si="35"/>
        <v>#REF!</v>
      </c>
      <c r="X39" s="52">
        <f t="shared" si="36"/>
        <v>0</v>
      </c>
      <c r="Y39" s="52" t="e">
        <f t="shared" si="37"/>
        <v>#REF!</v>
      </c>
      <c r="Z39" s="160" t="e">
        <f t="shared" si="19"/>
        <v>#REF!</v>
      </c>
      <c r="AA39" s="52" t="e">
        <f t="shared" si="22"/>
        <v>#REF!</v>
      </c>
      <c r="AB39" s="52" t="e">
        <f t="shared" si="25"/>
        <v>#REF!</v>
      </c>
      <c r="AC39" t="e">
        <f t="shared" si="23"/>
        <v>#REF!</v>
      </c>
    </row>
    <row r="40" spans="1:31">
      <c r="A40" s="205"/>
      <c r="B40" s="32"/>
      <c r="C40" s="32"/>
      <c r="D40" s="9">
        <v>0</v>
      </c>
      <c r="E40" s="156">
        <f>+E39</f>
        <v>43983</v>
      </c>
      <c r="G40" s="167"/>
      <c r="H40" s="163"/>
      <c r="I40" s="207">
        <f t="shared" si="0"/>
        <v>0</v>
      </c>
      <c r="J40" s="169">
        <f t="shared" si="26"/>
        <v>0</v>
      </c>
      <c r="K40" s="174" t="e">
        <f t="shared" si="1"/>
        <v>#REF!</v>
      </c>
      <c r="L40" s="289">
        <f t="shared" si="27"/>
        <v>0</v>
      </c>
      <c r="M40" s="174" t="e">
        <f t="shared" si="2"/>
        <v>#REF!</v>
      </c>
      <c r="N40" s="289">
        <f t="shared" si="28"/>
        <v>0</v>
      </c>
      <c r="O40" s="245" t="e">
        <f t="shared" si="3"/>
        <v>#REF!</v>
      </c>
      <c r="P40" s="169">
        <f t="shared" si="24"/>
        <v>0</v>
      </c>
      <c r="Q40" s="174" t="e">
        <f t="shared" si="5"/>
        <v>#REF!</v>
      </c>
      <c r="R40" s="289"/>
      <c r="S40" s="174" t="e">
        <f t="shared" si="6"/>
        <v>#REF!</v>
      </c>
      <c r="T40" s="166"/>
      <c r="U40" s="155">
        <f t="shared" si="4"/>
        <v>0</v>
      </c>
      <c r="Z40" s="160">
        <f t="shared" si="19"/>
        <v>0</v>
      </c>
      <c r="AA40" s="52">
        <f t="shared" si="22"/>
        <v>0</v>
      </c>
      <c r="AB40" s="52" t="e">
        <f t="shared" si="25"/>
        <v>#REF!</v>
      </c>
      <c r="AC40" t="e">
        <f t="shared" si="23"/>
        <v>#REF!</v>
      </c>
    </row>
    <row r="41" spans="1:31">
      <c r="A41" s="214"/>
      <c r="B41" s="224"/>
      <c r="C41" s="224"/>
      <c r="D41" s="231"/>
      <c r="E41" s="225">
        <f>+E40</f>
        <v>43983</v>
      </c>
      <c r="F41" s="25"/>
      <c r="G41" s="168"/>
      <c r="H41" s="163"/>
      <c r="I41" s="207">
        <f t="shared" si="0"/>
        <v>0</v>
      </c>
      <c r="J41" s="169">
        <f t="shared" si="26"/>
        <v>0</v>
      </c>
      <c r="K41" s="174" t="e">
        <f t="shared" si="1"/>
        <v>#REF!</v>
      </c>
      <c r="L41" s="289">
        <f t="shared" si="27"/>
        <v>0</v>
      </c>
      <c r="M41" s="174" t="e">
        <f t="shared" si="2"/>
        <v>#REF!</v>
      </c>
      <c r="N41" s="289">
        <f t="shared" si="28"/>
        <v>0</v>
      </c>
      <c r="O41" s="245" t="e">
        <f t="shared" si="3"/>
        <v>#REF!</v>
      </c>
      <c r="P41" s="169">
        <f t="shared" si="24"/>
        <v>0</v>
      </c>
      <c r="Q41" s="174" t="e">
        <f t="shared" si="5"/>
        <v>#REF!</v>
      </c>
      <c r="R41" s="289"/>
      <c r="S41" s="174" t="e">
        <f t="shared" si="6"/>
        <v>#REF!</v>
      </c>
      <c r="T41" s="166"/>
      <c r="U41" s="155">
        <f t="shared" si="4"/>
        <v>0</v>
      </c>
      <c r="Z41" s="160">
        <f t="shared" si="19"/>
        <v>0</v>
      </c>
      <c r="AA41" s="52">
        <f t="shared" si="22"/>
        <v>0</v>
      </c>
      <c r="AB41" s="52" t="e">
        <f t="shared" si="25"/>
        <v>#REF!</v>
      </c>
      <c r="AC41" t="e">
        <f t="shared" si="23"/>
        <v>#REF!</v>
      </c>
    </row>
    <row r="42" spans="1:31">
      <c r="A42" s="201">
        <v>9</v>
      </c>
      <c r="B42" s="212" t="s">
        <v>440</v>
      </c>
      <c r="C42" s="212" t="s">
        <v>473</v>
      </c>
      <c r="D42" s="212"/>
      <c r="E42" s="221">
        <f>+E41+30</f>
        <v>44013</v>
      </c>
      <c r="F42" s="212"/>
      <c r="G42" s="230" t="e">
        <f>+' Draw Schedule'!K18</f>
        <v>#REF!</v>
      </c>
      <c r="H42" s="160"/>
      <c r="I42" s="207">
        <f t="shared" si="0"/>
        <v>0</v>
      </c>
      <c r="J42" s="169" t="e">
        <f t="shared" si="26"/>
        <v>#REF!</v>
      </c>
      <c r="K42" s="174" t="e">
        <f t="shared" si="1"/>
        <v>#REF!</v>
      </c>
      <c r="L42" s="289" t="e">
        <f t="shared" si="27"/>
        <v>#REF!</v>
      </c>
      <c r="M42" s="174" t="e">
        <f t="shared" si="2"/>
        <v>#REF!</v>
      </c>
      <c r="N42" s="289" t="e">
        <f t="shared" si="28"/>
        <v>#REF!</v>
      </c>
      <c r="O42" s="245" t="e">
        <f t="shared" si="3"/>
        <v>#REF!</v>
      </c>
      <c r="P42" s="169" t="e">
        <f t="shared" si="24"/>
        <v>#REF!</v>
      </c>
      <c r="Q42" s="174" t="e">
        <f t="shared" si="5"/>
        <v>#REF!</v>
      </c>
      <c r="R42" s="289"/>
      <c r="S42" s="174" t="e">
        <f t="shared" si="6"/>
        <v>#REF!</v>
      </c>
      <c r="T42" s="166"/>
      <c r="U42" s="155" t="e">
        <f t="shared" si="4"/>
        <v>#REF!</v>
      </c>
      <c r="W42" s="52" t="e">
        <f t="shared" ref="W42" si="38">G42*0.5</f>
        <v>#REF!</v>
      </c>
      <c r="X42" s="52">
        <f t="shared" ref="X42" si="39">-H42</f>
        <v>0</v>
      </c>
      <c r="Y42" s="52" t="e">
        <f t="shared" ref="Y42" si="40">+W42-X42</f>
        <v>#REF!</v>
      </c>
      <c r="Z42" s="160" t="e">
        <f t="shared" si="19"/>
        <v>#REF!</v>
      </c>
      <c r="AA42" s="52" t="e">
        <f t="shared" si="22"/>
        <v>#REF!</v>
      </c>
      <c r="AB42" s="52" t="e">
        <f t="shared" si="25"/>
        <v>#REF!</v>
      </c>
      <c r="AC42" t="e">
        <f t="shared" si="23"/>
        <v>#REF!</v>
      </c>
    </row>
    <row r="43" spans="1:31">
      <c r="A43" s="205"/>
      <c r="C43" s="30"/>
      <c r="E43" s="156">
        <f>+E42</f>
        <v>44013</v>
      </c>
      <c r="G43" s="167"/>
      <c r="H43" s="160"/>
      <c r="I43" s="207">
        <f t="shared" si="0"/>
        <v>0</v>
      </c>
      <c r="J43" s="169">
        <f t="shared" si="26"/>
        <v>0</v>
      </c>
      <c r="K43" s="174" t="e">
        <f t="shared" si="1"/>
        <v>#REF!</v>
      </c>
      <c r="L43" s="289">
        <f t="shared" si="27"/>
        <v>0</v>
      </c>
      <c r="M43" s="174" t="e">
        <f t="shared" si="2"/>
        <v>#REF!</v>
      </c>
      <c r="N43" s="289">
        <f t="shared" si="28"/>
        <v>0</v>
      </c>
      <c r="O43" s="245" t="e">
        <f t="shared" si="3"/>
        <v>#REF!</v>
      </c>
      <c r="P43" s="169">
        <f t="shared" si="24"/>
        <v>0</v>
      </c>
      <c r="Q43" s="174" t="e">
        <f t="shared" si="5"/>
        <v>#REF!</v>
      </c>
      <c r="R43" s="289"/>
      <c r="S43" s="174" t="e">
        <f t="shared" si="6"/>
        <v>#REF!</v>
      </c>
      <c r="T43" s="166"/>
      <c r="U43" s="155">
        <f t="shared" si="4"/>
        <v>0</v>
      </c>
      <c r="Z43" s="160">
        <f t="shared" si="19"/>
        <v>0</v>
      </c>
      <c r="AA43" s="52">
        <f t="shared" si="22"/>
        <v>0</v>
      </c>
      <c r="AB43" s="52" t="e">
        <f t="shared" si="25"/>
        <v>#REF!</v>
      </c>
      <c r="AC43" t="e">
        <f t="shared" si="23"/>
        <v>#REF!</v>
      </c>
    </row>
    <row r="44" spans="1:31">
      <c r="A44" s="214"/>
      <c r="B44" s="25"/>
      <c r="C44" s="224"/>
      <c r="D44" s="25"/>
      <c r="E44" s="225">
        <f>+E43</f>
        <v>44013</v>
      </c>
      <c r="F44" s="25"/>
      <c r="G44" s="168"/>
      <c r="H44" s="160"/>
      <c r="I44" s="207">
        <f t="shared" si="0"/>
        <v>0</v>
      </c>
      <c r="J44" s="169">
        <f t="shared" si="26"/>
        <v>0</v>
      </c>
      <c r="K44" s="174" t="e">
        <f t="shared" si="1"/>
        <v>#REF!</v>
      </c>
      <c r="L44" s="289">
        <f t="shared" si="27"/>
        <v>0</v>
      </c>
      <c r="M44" s="174" t="e">
        <f t="shared" si="2"/>
        <v>#REF!</v>
      </c>
      <c r="N44" s="289">
        <f t="shared" si="28"/>
        <v>0</v>
      </c>
      <c r="O44" s="245" t="e">
        <f t="shared" si="3"/>
        <v>#REF!</v>
      </c>
      <c r="P44" s="169">
        <f t="shared" si="24"/>
        <v>0</v>
      </c>
      <c r="Q44" s="174" t="e">
        <f t="shared" si="5"/>
        <v>#REF!</v>
      </c>
      <c r="R44" s="289"/>
      <c r="S44" s="174" t="e">
        <f t="shared" si="6"/>
        <v>#REF!</v>
      </c>
      <c r="T44" s="166"/>
      <c r="U44" s="155">
        <f t="shared" si="4"/>
        <v>0</v>
      </c>
      <c r="Z44" s="160">
        <f t="shared" si="19"/>
        <v>0</v>
      </c>
      <c r="AA44" s="52">
        <f t="shared" si="22"/>
        <v>0</v>
      </c>
      <c r="AB44" s="52" t="e">
        <f t="shared" si="25"/>
        <v>#REF!</v>
      </c>
      <c r="AC44" t="e">
        <f t="shared" si="23"/>
        <v>#REF!</v>
      </c>
    </row>
    <row r="45" spans="1:31">
      <c r="A45" s="227">
        <v>10</v>
      </c>
      <c r="B45" s="24" t="s">
        <v>440</v>
      </c>
      <c r="C45" s="24" t="s">
        <v>473</v>
      </c>
      <c r="D45" s="24"/>
      <c r="E45" s="228">
        <f>+E42+31</f>
        <v>44044</v>
      </c>
      <c r="F45" s="24"/>
      <c r="G45" s="229" t="e">
        <f>+' Draw Schedule'!K19</f>
        <v>#REF!</v>
      </c>
      <c r="H45" s="163"/>
      <c r="I45" s="207">
        <f t="shared" si="0"/>
        <v>0</v>
      </c>
      <c r="J45" s="169" t="e">
        <f t="shared" si="26"/>
        <v>#REF!</v>
      </c>
      <c r="K45" s="174" t="e">
        <f t="shared" si="1"/>
        <v>#REF!</v>
      </c>
      <c r="L45" s="289" t="e">
        <f t="shared" si="27"/>
        <v>#REF!</v>
      </c>
      <c r="M45" s="174" t="e">
        <f t="shared" si="2"/>
        <v>#REF!</v>
      </c>
      <c r="N45" s="289" t="e">
        <f t="shared" si="28"/>
        <v>#REF!</v>
      </c>
      <c r="O45" s="245" t="e">
        <f t="shared" si="3"/>
        <v>#REF!</v>
      </c>
      <c r="P45" s="169" t="e">
        <f t="shared" si="24"/>
        <v>#REF!</v>
      </c>
      <c r="Q45" s="174" t="e">
        <f t="shared" si="5"/>
        <v>#REF!</v>
      </c>
      <c r="R45" s="289"/>
      <c r="S45" s="174" t="e">
        <f t="shared" si="6"/>
        <v>#REF!</v>
      </c>
      <c r="T45" s="166"/>
      <c r="U45" s="155" t="e">
        <f t="shared" si="4"/>
        <v>#REF!</v>
      </c>
      <c r="W45" s="52" t="e">
        <f t="shared" ref="W45" si="41">G45*0.5</f>
        <v>#REF!</v>
      </c>
      <c r="X45" s="52">
        <f t="shared" ref="X45" si="42">-H45</f>
        <v>0</v>
      </c>
      <c r="Y45" s="52" t="e">
        <f t="shared" ref="Y45" si="43">+W45-X45</f>
        <v>#REF!</v>
      </c>
      <c r="Z45" s="160" t="e">
        <f t="shared" si="19"/>
        <v>#REF!</v>
      </c>
      <c r="AA45" s="52" t="e">
        <f t="shared" si="22"/>
        <v>#REF!</v>
      </c>
      <c r="AB45" s="52" t="e">
        <f t="shared" si="25"/>
        <v>#REF!</v>
      </c>
      <c r="AC45" t="e">
        <f t="shared" si="23"/>
        <v>#REF!</v>
      </c>
    </row>
    <row r="46" spans="1:31">
      <c r="A46" s="227">
        <v>11</v>
      </c>
      <c r="B46" s="24" t="s">
        <v>440</v>
      </c>
      <c r="C46" s="24" t="s">
        <v>473</v>
      </c>
      <c r="D46" s="24"/>
      <c r="E46" s="228">
        <f>+E45+31</f>
        <v>44075</v>
      </c>
      <c r="F46" s="24"/>
      <c r="G46" s="229" t="e">
        <f>+' Draw Schedule'!K20</f>
        <v>#REF!</v>
      </c>
      <c r="H46" s="160"/>
      <c r="I46" s="207">
        <f t="shared" si="0"/>
        <v>0</v>
      </c>
      <c r="J46" s="169" t="e">
        <f t="shared" si="26"/>
        <v>#REF!</v>
      </c>
      <c r="K46" s="174" t="e">
        <f t="shared" si="1"/>
        <v>#REF!</v>
      </c>
      <c r="L46" s="289" t="e">
        <f t="shared" si="27"/>
        <v>#REF!</v>
      </c>
      <c r="M46" s="174" t="e">
        <f t="shared" si="2"/>
        <v>#REF!</v>
      </c>
      <c r="N46" s="289" t="e">
        <f t="shared" si="28"/>
        <v>#REF!</v>
      </c>
      <c r="O46" s="245" t="e">
        <f t="shared" si="3"/>
        <v>#REF!</v>
      </c>
      <c r="P46" s="169" t="e">
        <f t="shared" si="24"/>
        <v>#REF!</v>
      </c>
      <c r="Q46" s="174" t="e">
        <f t="shared" si="5"/>
        <v>#REF!</v>
      </c>
      <c r="R46" s="289"/>
      <c r="S46" s="174" t="e">
        <f t="shared" si="6"/>
        <v>#REF!</v>
      </c>
      <c r="T46" s="166"/>
      <c r="U46" s="155" t="e">
        <f t="shared" si="4"/>
        <v>#REF!</v>
      </c>
      <c r="W46" s="52" t="e">
        <f t="shared" ref="W46:W51" si="44">G46*0.5</f>
        <v>#REF!</v>
      </c>
      <c r="X46" s="52">
        <f t="shared" ref="X46:X51" si="45">-H46</f>
        <v>0</v>
      </c>
      <c r="Y46" s="52" t="e">
        <f t="shared" ref="Y46:Y51" si="46">+W46-X46</f>
        <v>#REF!</v>
      </c>
      <c r="Z46" s="160" t="e">
        <f t="shared" si="19"/>
        <v>#REF!</v>
      </c>
      <c r="AA46" s="52" t="e">
        <f t="shared" si="22"/>
        <v>#REF!</v>
      </c>
      <c r="AB46" s="52" t="e">
        <f t="shared" ref="AB46:AB51" si="47">+AB45+AA46</f>
        <v>#REF!</v>
      </c>
      <c r="AC46" t="e">
        <f t="shared" si="23"/>
        <v>#REF!</v>
      </c>
    </row>
    <row r="47" spans="1:31">
      <c r="A47" s="227">
        <v>12</v>
      </c>
      <c r="B47" s="24" t="s">
        <v>440</v>
      </c>
      <c r="C47" s="24" t="s">
        <v>473</v>
      </c>
      <c r="D47" s="24"/>
      <c r="E47" s="228">
        <f>+E46+31</f>
        <v>44106</v>
      </c>
      <c r="F47" s="24"/>
      <c r="G47" s="229" t="e">
        <f>+' Draw Schedule'!K21</f>
        <v>#REF!</v>
      </c>
      <c r="H47" s="163"/>
      <c r="I47" s="207">
        <f t="shared" si="0"/>
        <v>0</v>
      </c>
      <c r="J47" s="169" t="e">
        <f t="shared" si="26"/>
        <v>#REF!</v>
      </c>
      <c r="K47" s="174" t="e">
        <f t="shared" si="1"/>
        <v>#REF!</v>
      </c>
      <c r="L47" s="289" t="e">
        <f t="shared" si="27"/>
        <v>#REF!</v>
      </c>
      <c r="M47" s="174" t="e">
        <f t="shared" si="2"/>
        <v>#REF!</v>
      </c>
      <c r="N47" s="289" t="e">
        <f t="shared" si="28"/>
        <v>#REF!</v>
      </c>
      <c r="O47" s="245" t="e">
        <f t="shared" si="3"/>
        <v>#REF!</v>
      </c>
      <c r="P47" s="169" t="e">
        <f t="shared" si="24"/>
        <v>#REF!</v>
      </c>
      <c r="Q47" s="174" t="e">
        <f t="shared" si="5"/>
        <v>#REF!</v>
      </c>
      <c r="R47" s="289"/>
      <c r="S47" s="174" t="e">
        <f t="shared" si="6"/>
        <v>#REF!</v>
      </c>
      <c r="T47" s="166"/>
      <c r="U47" s="155" t="e">
        <f t="shared" si="4"/>
        <v>#REF!</v>
      </c>
      <c r="W47" s="52" t="e">
        <f t="shared" si="44"/>
        <v>#REF!</v>
      </c>
      <c r="X47" s="52">
        <f t="shared" si="45"/>
        <v>0</v>
      </c>
      <c r="Y47" s="52" t="e">
        <f t="shared" si="46"/>
        <v>#REF!</v>
      </c>
      <c r="Z47" s="160" t="e">
        <f t="shared" si="19"/>
        <v>#REF!</v>
      </c>
      <c r="AA47" s="52" t="e">
        <f t="shared" si="22"/>
        <v>#REF!</v>
      </c>
      <c r="AB47" s="52" t="e">
        <f t="shared" si="47"/>
        <v>#REF!</v>
      </c>
      <c r="AC47" t="e">
        <f t="shared" si="23"/>
        <v>#REF!</v>
      </c>
    </row>
    <row r="48" spans="1:31">
      <c r="A48" s="201">
        <v>13</v>
      </c>
      <c r="B48" s="212" t="s">
        <v>440</v>
      </c>
      <c r="C48" s="212" t="s">
        <v>473</v>
      </c>
      <c r="D48" s="212"/>
      <c r="E48" s="221">
        <f>+E47+30</f>
        <v>44136</v>
      </c>
      <c r="F48" s="212"/>
      <c r="G48" s="230" t="e">
        <f>+' Draw Schedule'!K22</f>
        <v>#REF!</v>
      </c>
      <c r="H48" s="163"/>
      <c r="I48" s="207">
        <f t="shared" si="0"/>
        <v>0</v>
      </c>
      <c r="J48" s="169" t="e">
        <f t="shared" si="26"/>
        <v>#REF!</v>
      </c>
      <c r="K48" s="174" t="e">
        <f t="shared" si="1"/>
        <v>#REF!</v>
      </c>
      <c r="L48" s="289" t="e">
        <f t="shared" si="27"/>
        <v>#REF!</v>
      </c>
      <c r="M48" s="174" t="e">
        <f t="shared" si="2"/>
        <v>#REF!</v>
      </c>
      <c r="N48" s="289" t="e">
        <f t="shared" si="28"/>
        <v>#REF!</v>
      </c>
      <c r="O48" s="245" t="e">
        <f t="shared" si="3"/>
        <v>#REF!</v>
      </c>
      <c r="P48" s="169" t="e">
        <f t="shared" si="24"/>
        <v>#REF!</v>
      </c>
      <c r="Q48" s="174" t="e">
        <f t="shared" si="5"/>
        <v>#REF!</v>
      </c>
      <c r="R48" s="289"/>
      <c r="S48" s="174" t="e">
        <f t="shared" si="6"/>
        <v>#REF!</v>
      </c>
      <c r="T48" s="166"/>
      <c r="U48" s="155" t="e">
        <f>SUM(+G48+H48+J48+L48+P48+T48+N48+R48)</f>
        <v>#REF!</v>
      </c>
      <c r="W48" s="52" t="e">
        <f t="shared" si="44"/>
        <v>#REF!</v>
      </c>
      <c r="X48" s="52">
        <f t="shared" si="45"/>
        <v>0</v>
      </c>
      <c r="Y48" s="52" t="e">
        <f t="shared" si="46"/>
        <v>#REF!</v>
      </c>
      <c r="Z48" s="160" t="e">
        <f t="shared" si="19"/>
        <v>#REF!</v>
      </c>
      <c r="AA48" s="52" t="e">
        <f t="shared" si="22"/>
        <v>#REF!</v>
      </c>
      <c r="AB48" s="52" t="e">
        <f t="shared" si="47"/>
        <v>#REF!</v>
      </c>
      <c r="AC48" t="e">
        <f t="shared" si="23"/>
        <v>#REF!</v>
      </c>
      <c r="AE48" s="52"/>
    </row>
    <row r="49" spans="1:30">
      <c r="A49" s="201">
        <v>14</v>
      </c>
      <c r="B49" s="212" t="s">
        <v>440</v>
      </c>
      <c r="C49" s="212" t="s">
        <v>473</v>
      </c>
      <c r="D49" s="247"/>
      <c r="E49" s="221">
        <f>+E48+30</f>
        <v>44166</v>
      </c>
      <c r="F49" s="212"/>
      <c r="G49" s="230" t="e">
        <f>+' Draw Schedule'!K23</f>
        <v>#REF!</v>
      </c>
      <c r="H49" s="167"/>
      <c r="I49" s="207">
        <f t="shared" si="0"/>
        <v>0</v>
      </c>
      <c r="J49" s="169" t="e">
        <f t="shared" si="26"/>
        <v>#REF!</v>
      </c>
      <c r="K49" s="174" t="e">
        <f t="shared" si="1"/>
        <v>#REF!</v>
      </c>
      <c r="L49" s="289" t="e">
        <f t="shared" si="27"/>
        <v>#REF!</v>
      </c>
      <c r="M49" s="174" t="e">
        <f t="shared" si="2"/>
        <v>#REF!</v>
      </c>
      <c r="N49" s="289" t="e">
        <f t="shared" si="28"/>
        <v>#REF!</v>
      </c>
      <c r="O49" s="245" t="e">
        <f t="shared" si="3"/>
        <v>#REF!</v>
      </c>
      <c r="P49" s="169" t="e">
        <f t="shared" si="24"/>
        <v>#REF!</v>
      </c>
      <c r="Q49" s="174" t="e">
        <f t="shared" si="5"/>
        <v>#REF!</v>
      </c>
      <c r="R49" s="289"/>
      <c r="S49" s="174" t="e">
        <f t="shared" si="6"/>
        <v>#REF!</v>
      </c>
      <c r="T49" s="166"/>
      <c r="U49" s="155" t="e">
        <f t="shared" si="4"/>
        <v>#REF!</v>
      </c>
      <c r="W49" s="52" t="e">
        <f t="shared" si="44"/>
        <v>#REF!</v>
      </c>
      <c r="X49" s="52">
        <f t="shared" si="45"/>
        <v>0</v>
      </c>
      <c r="Y49" s="52" t="e">
        <f t="shared" si="46"/>
        <v>#REF!</v>
      </c>
      <c r="Z49" s="160" t="e">
        <f t="shared" si="19"/>
        <v>#REF!</v>
      </c>
      <c r="AA49" s="52" t="e">
        <f t="shared" si="22"/>
        <v>#REF!</v>
      </c>
      <c r="AB49" s="52" t="e">
        <f t="shared" si="47"/>
        <v>#REF!</v>
      </c>
      <c r="AC49" t="e">
        <f t="shared" si="23"/>
        <v>#REF!</v>
      </c>
    </row>
    <row r="50" spans="1:30">
      <c r="A50" s="214"/>
      <c r="B50" s="25"/>
      <c r="C50" s="224"/>
      <c r="D50" s="25"/>
      <c r="E50" s="225">
        <f>+E49</f>
        <v>44166</v>
      </c>
      <c r="F50" s="25"/>
      <c r="G50" s="168"/>
      <c r="H50" s="167"/>
      <c r="I50" s="207">
        <f t="shared" si="0"/>
        <v>0</v>
      </c>
      <c r="J50" s="169">
        <f t="shared" si="26"/>
        <v>0</v>
      </c>
      <c r="K50" s="174" t="e">
        <f t="shared" si="1"/>
        <v>#REF!</v>
      </c>
      <c r="L50" s="289">
        <f t="shared" si="27"/>
        <v>0</v>
      </c>
      <c r="M50" s="174" t="e">
        <f t="shared" si="2"/>
        <v>#REF!</v>
      </c>
      <c r="N50" s="289">
        <f t="shared" si="28"/>
        <v>0</v>
      </c>
      <c r="O50" s="245" t="e">
        <f t="shared" si="3"/>
        <v>#REF!</v>
      </c>
      <c r="P50" s="169">
        <f t="shared" si="24"/>
        <v>0</v>
      </c>
      <c r="Q50" s="174" t="e">
        <f t="shared" si="5"/>
        <v>#REF!</v>
      </c>
      <c r="R50" s="289"/>
      <c r="S50" s="174" t="e">
        <f t="shared" si="6"/>
        <v>#REF!</v>
      </c>
      <c r="T50" s="166"/>
      <c r="U50" s="155">
        <f t="shared" si="4"/>
        <v>0</v>
      </c>
      <c r="W50" s="52">
        <f t="shared" si="44"/>
        <v>0</v>
      </c>
      <c r="X50" s="52">
        <f t="shared" si="45"/>
        <v>0</v>
      </c>
      <c r="Y50" s="52">
        <f t="shared" si="46"/>
        <v>0</v>
      </c>
      <c r="Z50" s="160">
        <f t="shared" si="19"/>
        <v>0</v>
      </c>
      <c r="AA50" s="52">
        <f t="shared" si="22"/>
        <v>0</v>
      </c>
      <c r="AB50" s="52" t="e">
        <f t="shared" si="47"/>
        <v>#REF!</v>
      </c>
      <c r="AC50" t="e">
        <f t="shared" si="23"/>
        <v>#REF!</v>
      </c>
    </row>
    <row r="51" spans="1:30">
      <c r="A51" s="201">
        <v>15</v>
      </c>
      <c r="B51" s="212" t="s">
        <v>440</v>
      </c>
      <c r="C51" s="212" t="s">
        <v>473</v>
      </c>
      <c r="D51" s="247"/>
      <c r="E51" s="221">
        <f>+E50+31</f>
        <v>44197</v>
      </c>
      <c r="F51" s="212"/>
      <c r="G51" s="230" t="e">
        <f>+' Draw Schedule'!K24</f>
        <v>#REF!</v>
      </c>
      <c r="H51" s="167"/>
      <c r="I51" s="207">
        <f t="shared" si="0"/>
        <v>0</v>
      </c>
      <c r="J51" s="169" t="e">
        <f t="shared" si="26"/>
        <v>#REF!</v>
      </c>
      <c r="K51" s="174" t="e">
        <f t="shared" si="1"/>
        <v>#REF!</v>
      </c>
      <c r="L51" s="289" t="e">
        <f t="shared" si="27"/>
        <v>#REF!</v>
      </c>
      <c r="M51" s="174" t="e">
        <f t="shared" si="2"/>
        <v>#REF!</v>
      </c>
      <c r="N51" s="289" t="e">
        <f t="shared" si="28"/>
        <v>#REF!</v>
      </c>
      <c r="O51" s="245" t="e">
        <f t="shared" si="3"/>
        <v>#REF!</v>
      </c>
      <c r="P51" s="169" t="e">
        <f t="shared" si="24"/>
        <v>#REF!</v>
      </c>
      <c r="Q51" s="174" t="e">
        <f t="shared" si="5"/>
        <v>#REF!</v>
      </c>
      <c r="R51" s="289"/>
      <c r="S51" s="174" t="e">
        <f t="shared" si="6"/>
        <v>#REF!</v>
      </c>
      <c r="T51" s="166"/>
      <c r="U51" s="155" t="e">
        <f t="shared" si="4"/>
        <v>#REF!</v>
      </c>
      <c r="W51" s="52" t="e">
        <f t="shared" si="44"/>
        <v>#REF!</v>
      </c>
      <c r="X51" s="52">
        <f t="shared" si="45"/>
        <v>0</v>
      </c>
      <c r="Y51" s="52" t="e">
        <f t="shared" si="46"/>
        <v>#REF!</v>
      </c>
      <c r="Z51" s="160" t="e">
        <f t="shared" si="19"/>
        <v>#REF!</v>
      </c>
      <c r="AA51" s="52" t="e">
        <f t="shared" si="22"/>
        <v>#REF!</v>
      </c>
      <c r="AB51" s="52" t="e">
        <f t="shared" si="47"/>
        <v>#REF!</v>
      </c>
      <c r="AC51" t="e">
        <f t="shared" si="23"/>
        <v>#REF!</v>
      </c>
      <c r="AD51" s="52" t="e">
        <f>+Y51</f>
        <v>#REF!</v>
      </c>
    </row>
    <row r="52" spans="1:30">
      <c r="A52" s="214"/>
      <c r="B52" s="25"/>
      <c r="C52" s="224"/>
      <c r="D52" s="25"/>
      <c r="E52" s="225">
        <f t="shared" ref="E52" si="48">+E51</f>
        <v>44197</v>
      </c>
      <c r="F52" s="25"/>
      <c r="G52" s="168"/>
      <c r="H52" s="167"/>
      <c r="I52" s="207">
        <f t="shared" si="0"/>
        <v>0</v>
      </c>
      <c r="J52" s="169">
        <f t="shared" si="26"/>
        <v>0</v>
      </c>
      <c r="K52" s="174" t="e">
        <f t="shared" si="1"/>
        <v>#REF!</v>
      </c>
      <c r="L52" s="289">
        <f t="shared" si="27"/>
        <v>0</v>
      </c>
      <c r="M52" s="174" t="e">
        <f t="shared" si="2"/>
        <v>#REF!</v>
      </c>
      <c r="N52" s="289">
        <f t="shared" si="28"/>
        <v>0</v>
      </c>
      <c r="O52" s="245" t="e">
        <f t="shared" si="3"/>
        <v>#REF!</v>
      </c>
      <c r="P52" s="169">
        <f t="shared" si="24"/>
        <v>0</v>
      </c>
      <c r="Q52" s="174" t="e">
        <f t="shared" si="5"/>
        <v>#REF!</v>
      </c>
      <c r="R52" s="289"/>
      <c r="S52" s="174" t="e">
        <f t="shared" si="6"/>
        <v>#REF!</v>
      </c>
      <c r="T52" s="166"/>
      <c r="U52" s="155">
        <f t="shared" si="4"/>
        <v>0</v>
      </c>
      <c r="W52" s="52">
        <f t="shared" ref="W52:W53" si="49">G52*0.5</f>
        <v>0</v>
      </c>
      <c r="X52" s="52">
        <f t="shared" ref="X52:X53" si="50">-H52</f>
        <v>0</v>
      </c>
      <c r="Y52" s="52">
        <f t="shared" ref="Y52:Y53" si="51">+W52-X52</f>
        <v>0</v>
      </c>
      <c r="Z52" s="160">
        <f t="shared" si="19"/>
        <v>0</v>
      </c>
      <c r="AA52" s="52">
        <f t="shared" si="22"/>
        <v>0</v>
      </c>
      <c r="AB52" s="52" t="e">
        <f t="shared" ref="AB52:AB53" si="52">+AB51+AA52</f>
        <v>#REF!</v>
      </c>
      <c r="AC52" t="e">
        <f t="shared" si="23"/>
        <v>#REF!</v>
      </c>
    </row>
    <row r="53" spans="1:30">
      <c r="A53" s="201">
        <v>16</v>
      </c>
      <c r="B53" s="212" t="s">
        <v>440</v>
      </c>
      <c r="C53" s="212" t="s">
        <v>473</v>
      </c>
      <c r="D53" s="247"/>
      <c r="E53" s="221">
        <f>+E52+31</f>
        <v>44228</v>
      </c>
      <c r="F53" s="212"/>
      <c r="G53" s="230" t="e">
        <f>+' Draw Schedule'!K25</f>
        <v>#REF!</v>
      </c>
      <c r="H53" s="167"/>
      <c r="I53" s="207">
        <f t="shared" si="0"/>
        <v>0</v>
      </c>
      <c r="J53" s="169" t="e">
        <f t="shared" si="26"/>
        <v>#REF!</v>
      </c>
      <c r="K53" s="174" t="e">
        <f t="shared" si="1"/>
        <v>#REF!</v>
      </c>
      <c r="L53" s="289" t="e">
        <f t="shared" si="27"/>
        <v>#REF!</v>
      </c>
      <c r="M53" s="174" t="e">
        <f t="shared" si="2"/>
        <v>#REF!</v>
      </c>
      <c r="N53" s="289" t="e">
        <f t="shared" si="28"/>
        <v>#REF!</v>
      </c>
      <c r="O53" s="245" t="e">
        <f t="shared" si="3"/>
        <v>#REF!</v>
      </c>
      <c r="P53" s="169" t="e">
        <f>-N53+AD53</f>
        <v>#REF!</v>
      </c>
      <c r="Q53" s="174" t="e">
        <f t="shared" si="5"/>
        <v>#REF!</v>
      </c>
      <c r="R53" s="289"/>
      <c r="S53" s="174" t="e">
        <f t="shared" si="6"/>
        <v>#REF!</v>
      </c>
      <c r="T53" s="166"/>
      <c r="U53" s="155" t="e">
        <f>SUM(+G53+H53+J53+L53+P53+T53+N53+R53)</f>
        <v>#REF!</v>
      </c>
      <c r="W53" s="52" t="e">
        <f t="shared" si="49"/>
        <v>#REF!</v>
      </c>
      <c r="X53" s="52">
        <f t="shared" si="50"/>
        <v>0</v>
      </c>
      <c r="Y53" s="52" t="e">
        <f t="shared" si="51"/>
        <v>#REF!</v>
      </c>
      <c r="Z53" s="160" t="e">
        <f>+G53-X53-Y53+AD53</f>
        <v>#REF!</v>
      </c>
      <c r="AA53" s="52" t="e">
        <f t="shared" si="22"/>
        <v>#REF!</v>
      </c>
      <c r="AB53" s="52" t="e">
        <f t="shared" si="52"/>
        <v>#REF!</v>
      </c>
      <c r="AC53" t="e">
        <f t="shared" si="23"/>
        <v>#REF!</v>
      </c>
      <c r="AD53" s="52" t="e">
        <f>+Y53</f>
        <v>#REF!</v>
      </c>
    </row>
    <row r="54" spans="1:30">
      <c r="A54" s="214"/>
      <c r="B54" s="25"/>
      <c r="C54" s="224"/>
      <c r="D54" s="25"/>
      <c r="E54" s="225">
        <f t="shared" ref="E54" si="53">+E53</f>
        <v>44228</v>
      </c>
      <c r="F54" s="25"/>
      <c r="G54" s="168"/>
      <c r="H54" s="167"/>
      <c r="I54" s="207">
        <f t="shared" si="0"/>
        <v>0</v>
      </c>
      <c r="J54" s="169">
        <f t="shared" si="26"/>
        <v>0</v>
      </c>
      <c r="K54" s="174" t="e">
        <f t="shared" si="1"/>
        <v>#REF!</v>
      </c>
      <c r="L54" s="289">
        <f t="shared" si="27"/>
        <v>0</v>
      </c>
      <c r="M54" s="174" t="e">
        <f t="shared" si="2"/>
        <v>#REF!</v>
      </c>
      <c r="N54" s="289">
        <f t="shared" si="28"/>
        <v>0</v>
      </c>
      <c r="O54" s="245" t="e">
        <f t="shared" si="3"/>
        <v>#REF!</v>
      </c>
      <c r="P54" s="169">
        <f t="shared" ref="P54:P81" si="54">-N54+AD54</f>
        <v>0</v>
      </c>
      <c r="Q54" s="174" t="e">
        <f t="shared" si="5"/>
        <v>#REF!</v>
      </c>
      <c r="R54" s="289"/>
      <c r="S54" s="174" t="e">
        <f t="shared" si="6"/>
        <v>#REF!</v>
      </c>
      <c r="T54" s="166"/>
      <c r="U54" s="155">
        <f t="shared" si="4"/>
        <v>0</v>
      </c>
      <c r="W54" s="52">
        <f t="shared" ref="W54:W60" si="55">G54*0.5</f>
        <v>0</v>
      </c>
      <c r="X54" s="52">
        <f t="shared" ref="X54:X60" si="56">-H54</f>
        <v>0</v>
      </c>
      <c r="Y54" s="52">
        <f t="shared" ref="Y54:Y60" si="57">+W54-X54</f>
        <v>0</v>
      </c>
      <c r="Z54" s="160">
        <f t="shared" ref="Z54:Z73" si="58">+G54-X54-Y54+AD54</f>
        <v>0</v>
      </c>
      <c r="AA54" s="52">
        <f t="shared" si="22"/>
        <v>0</v>
      </c>
      <c r="AB54" s="52" t="e">
        <f t="shared" ref="AB54:AB60" si="59">+AB53+AA54</f>
        <v>#REF!</v>
      </c>
      <c r="AC54" t="e">
        <f t="shared" si="23"/>
        <v>#REF!</v>
      </c>
      <c r="AD54" s="52">
        <f t="shared" ref="AD54:AD58" si="60">+Y54</f>
        <v>0</v>
      </c>
    </row>
    <row r="55" spans="1:30">
      <c r="A55" s="201">
        <v>17</v>
      </c>
      <c r="B55" s="212" t="s">
        <v>440</v>
      </c>
      <c r="C55" s="212" t="s">
        <v>473</v>
      </c>
      <c r="D55" s="247"/>
      <c r="E55" s="221">
        <f t="shared" ref="E55" si="61">+E54+30</f>
        <v>44258</v>
      </c>
      <c r="F55" s="212"/>
      <c r="G55" s="230" t="e">
        <f>+' Draw Schedule'!K26</f>
        <v>#REF!</v>
      </c>
      <c r="H55" s="167"/>
      <c r="I55" s="207">
        <f t="shared" si="0"/>
        <v>0</v>
      </c>
      <c r="J55" s="169" t="e">
        <f t="shared" si="26"/>
        <v>#REF!</v>
      </c>
      <c r="K55" s="174" t="e">
        <f t="shared" si="1"/>
        <v>#REF!</v>
      </c>
      <c r="L55" s="289" t="e">
        <f t="shared" si="27"/>
        <v>#REF!</v>
      </c>
      <c r="M55" s="174" t="e">
        <f t="shared" si="2"/>
        <v>#REF!</v>
      </c>
      <c r="N55" s="289" t="e">
        <f t="shared" si="28"/>
        <v>#REF!</v>
      </c>
      <c r="O55" s="245" t="e">
        <f t="shared" si="3"/>
        <v>#REF!</v>
      </c>
      <c r="P55" s="169" t="e">
        <f t="shared" si="54"/>
        <v>#REF!</v>
      </c>
      <c r="Q55" s="174" t="e">
        <f t="shared" si="5"/>
        <v>#REF!</v>
      </c>
      <c r="R55" s="289"/>
      <c r="S55" s="174" t="e">
        <f t="shared" si="6"/>
        <v>#REF!</v>
      </c>
      <c r="T55" s="166"/>
      <c r="U55" s="155" t="e">
        <f t="shared" si="4"/>
        <v>#REF!</v>
      </c>
      <c r="W55" s="52" t="e">
        <f t="shared" si="55"/>
        <v>#REF!</v>
      </c>
      <c r="X55" s="52">
        <f t="shared" si="56"/>
        <v>0</v>
      </c>
      <c r="Y55" s="52" t="e">
        <f t="shared" si="57"/>
        <v>#REF!</v>
      </c>
      <c r="Z55" s="160" t="e">
        <f t="shared" si="58"/>
        <v>#REF!</v>
      </c>
      <c r="AA55" s="52" t="e">
        <f t="shared" si="22"/>
        <v>#REF!</v>
      </c>
      <c r="AB55" s="52" t="e">
        <f t="shared" si="59"/>
        <v>#REF!</v>
      </c>
      <c r="AC55" t="e">
        <f t="shared" si="23"/>
        <v>#REF!</v>
      </c>
      <c r="AD55" s="52" t="e">
        <f t="shared" si="60"/>
        <v>#REF!</v>
      </c>
    </row>
    <row r="56" spans="1:30">
      <c r="A56" s="214"/>
      <c r="B56" s="25"/>
      <c r="C56" s="224"/>
      <c r="D56" s="25"/>
      <c r="E56" s="225">
        <f t="shared" ref="E56" si="62">+E55</f>
        <v>44258</v>
      </c>
      <c r="F56" s="25"/>
      <c r="G56" s="168"/>
      <c r="H56" s="167"/>
      <c r="I56" s="207">
        <f t="shared" si="0"/>
        <v>0</v>
      </c>
      <c r="J56" s="169">
        <f t="shared" si="26"/>
        <v>0</v>
      </c>
      <c r="K56" s="174" t="e">
        <f t="shared" si="1"/>
        <v>#REF!</v>
      </c>
      <c r="L56" s="289">
        <f t="shared" si="27"/>
        <v>0</v>
      </c>
      <c r="M56" s="174" t="e">
        <f t="shared" si="2"/>
        <v>#REF!</v>
      </c>
      <c r="N56" s="289">
        <f t="shared" si="28"/>
        <v>0</v>
      </c>
      <c r="O56" s="245" t="e">
        <f t="shared" si="3"/>
        <v>#REF!</v>
      </c>
      <c r="P56" s="169">
        <f t="shared" si="54"/>
        <v>0</v>
      </c>
      <c r="Q56" s="174" t="e">
        <f t="shared" si="5"/>
        <v>#REF!</v>
      </c>
      <c r="R56" s="289"/>
      <c r="S56" s="174" t="e">
        <f t="shared" si="6"/>
        <v>#REF!</v>
      </c>
      <c r="T56" s="166"/>
      <c r="U56" s="155">
        <f t="shared" si="4"/>
        <v>0</v>
      </c>
      <c r="W56" s="52">
        <f t="shared" si="55"/>
        <v>0</v>
      </c>
      <c r="X56" s="52">
        <f t="shared" si="56"/>
        <v>0</v>
      </c>
      <c r="Y56" s="52">
        <f t="shared" si="57"/>
        <v>0</v>
      </c>
      <c r="Z56" s="160">
        <f t="shared" si="58"/>
        <v>0</v>
      </c>
      <c r="AA56" s="52">
        <f t="shared" si="22"/>
        <v>0</v>
      </c>
      <c r="AB56" s="52" t="e">
        <f t="shared" si="59"/>
        <v>#REF!</v>
      </c>
      <c r="AC56" t="e">
        <f t="shared" si="23"/>
        <v>#REF!</v>
      </c>
      <c r="AD56" s="52">
        <f t="shared" si="60"/>
        <v>0</v>
      </c>
    </row>
    <row r="57" spans="1:30">
      <c r="A57" s="201">
        <v>18</v>
      </c>
      <c r="B57" s="212" t="s">
        <v>440</v>
      </c>
      <c r="C57" s="212" t="s">
        <v>473</v>
      </c>
      <c r="D57" s="247"/>
      <c r="E57" s="221">
        <f t="shared" ref="E57" si="63">+E56+30</f>
        <v>44288</v>
      </c>
      <c r="F57" s="212"/>
      <c r="G57" s="230" t="e">
        <f>+' Draw Schedule'!K27</f>
        <v>#REF!</v>
      </c>
      <c r="H57" s="167"/>
      <c r="I57" s="207">
        <f t="shared" si="0"/>
        <v>0</v>
      </c>
      <c r="J57" s="169" t="e">
        <f t="shared" si="26"/>
        <v>#REF!</v>
      </c>
      <c r="K57" s="174" t="e">
        <f t="shared" si="1"/>
        <v>#REF!</v>
      </c>
      <c r="L57" s="289" t="e">
        <f t="shared" si="27"/>
        <v>#REF!</v>
      </c>
      <c r="M57" s="174" t="e">
        <f t="shared" si="2"/>
        <v>#REF!</v>
      </c>
      <c r="N57" s="289" t="e">
        <f t="shared" si="28"/>
        <v>#REF!</v>
      </c>
      <c r="O57" s="245" t="e">
        <f t="shared" si="3"/>
        <v>#REF!</v>
      </c>
      <c r="P57" s="169" t="e">
        <f t="shared" si="54"/>
        <v>#REF!</v>
      </c>
      <c r="Q57" s="174" t="e">
        <f t="shared" si="5"/>
        <v>#REF!</v>
      </c>
      <c r="R57" s="289"/>
      <c r="S57" s="174" t="e">
        <f t="shared" si="6"/>
        <v>#REF!</v>
      </c>
      <c r="T57" s="166"/>
      <c r="U57" s="155" t="e">
        <f t="shared" si="4"/>
        <v>#REF!</v>
      </c>
      <c r="W57" s="52" t="e">
        <f t="shared" si="55"/>
        <v>#REF!</v>
      </c>
      <c r="X57" s="52">
        <f t="shared" si="56"/>
        <v>0</v>
      </c>
      <c r="Y57" s="52" t="e">
        <f t="shared" si="57"/>
        <v>#REF!</v>
      </c>
      <c r="Z57" s="160" t="e">
        <f t="shared" si="58"/>
        <v>#REF!</v>
      </c>
      <c r="AA57" s="52" t="e">
        <f t="shared" si="22"/>
        <v>#REF!</v>
      </c>
      <c r="AB57" s="52" t="e">
        <f t="shared" si="59"/>
        <v>#REF!</v>
      </c>
      <c r="AC57" t="e">
        <f t="shared" si="23"/>
        <v>#REF!</v>
      </c>
      <c r="AD57" s="52" t="e">
        <f t="shared" si="60"/>
        <v>#REF!</v>
      </c>
    </row>
    <row r="58" spans="1:30">
      <c r="A58" s="214"/>
      <c r="B58" s="25"/>
      <c r="C58" s="466" t="s">
        <v>648</v>
      </c>
      <c r="D58" s="25"/>
      <c r="E58" s="225">
        <f t="shared" ref="E58" si="64">+E57</f>
        <v>44288</v>
      </c>
      <c r="F58" s="25"/>
      <c r="G58" s="168"/>
      <c r="H58" s="167"/>
      <c r="I58" s="207">
        <f t="shared" si="0"/>
        <v>0</v>
      </c>
      <c r="J58" s="169">
        <f t="shared" si="26"/>
        <v>0</v>
      </c>
      <c r="K58" s="174" t="e">
        <f t="shared" si="1"/>
        <v>#REF!</v>
      </c>
      <c r="L58" s="289">
        <f t="shared" si="27"/>
        <v>0</v>
      </c>
      <c r="M58" s="174" t="e">
        <f t="shared" si="2"/>
        <v>#REF!</v>
      </c>
      <c r="N58" s="289">
        <f t="shared" si="28"/>
        <v>0</v>
      </c>
      <c r="O58" s="245" t="e">
        <f t="shared" si="3"/>
        <v>#REF!</v>
      </c>
      <c r="P58" s="169">
        <f t="shared" si="54"/>
        <v>0</v>
      </c>
      <c r="Q58" s="174" t="e">
        <f t="shared" si="5"/>
        <v>#REF!</v>
      </c>
      <c r="R58" s="289"/>
      <c r="S58" s="174" t="e">
        <f t="shared" si="6"/>
        <v>#REF!</v>
      </c>
      <c r="T58" s="166"/>
      <c r="U58" s="155">
        <f t="shared" si="4"/>
        <v>0</v>
      </c>
      <c r="W58" s="52">
        <f t="shared" si="55"/>
        <v>0</v>
      </c>
      <c r="X58" s="52">
        <f t="shared" si="56"/>
        <v>0</v>
      </c>
      <c r="Y58" s="52">
        <f t="shared" si="57"/>
        <v>0</v>
      </c>
      <c r="Z58" s="160">
        <f t="shared" si="58"/>
        <v>0</v>
      </c>
      <c r="AA58" s="52">
        <f t="shared" si="22"/>
        <v>0</v>
      </c>
      <c r="AB58" s="52" t="e">
        <f t="shared" si="59"/>
        <v>#REF!</v>
      </c>
      <c r="AC58" t="e">
        <f t="shared" si="23"/>
        <v>#REF!</v>
      </c>
      <c r="AD58" s="52">
        <f t="shared" si="60"/>
        <v>0</v>
      </c>
    </row>
    <row r="59" spans="1:30">
      <c r="A59" s="205"/>
      <c r="B59" t="s">
        <v>649</v>
      </c>
      <c r="C59" s="32"/>
      <c r="E59" s="156">
        <f>+E58+31</f>
        <v>44319</v>
      </c>
      <c r="G59" s="167" t="e">
        <f>+' Draw Schedule'!K28</f>
        <v>#REF!</v>
      </c>
      <c r="H59" s="163"/>
      <c r="I59" s="207">
        <f t="shared" si="0"/>
        <v>0</v>
      </c>
      <c r="J59" s="169" t="e">
        <f t="shared" si="26"/>
        <v>#REF!</v>
      </c>
      <c r="K59" s="174" t="e">
        <f t="shared" si="1"/>
        <v>#REF!</v>
      </c>
      <c r="L59" s="289" t="e">
        <f t="shared" si="27"/>
        <v>#REF!</v>
      </c>
      <c r="M59" s="174" t="e">
        <f t="shared" si="2"/>
        <v>#REF!</v>
      </c>
      <c r="N59" s="289" t="e">
        <f t="shared" si="28"/>
        <v>#REF!</v>
      </c>
      <c r="O59" s="245" t="e">
        <f t="shared" si="3"/>
        <v>#REF!</v>
      </c>
      <c r="P59" s="169" t="e">
        <f t="shared" si="54"/>
        <v>#REF!</v>
      </c>
      <c r="Q59" s="174" t="e">
        <f t="shared" si="5"/>
        <v>#REF!</v>
      </c>
      <c r="R59" s="289"/>
      <c r="S59" s="174" t="e">
        <f t="shared" si="6"/>
        <v>#REF!</v>
      </c>
      <c r="T59" s="166"/>
      <c r="U59" s="155" t="e">
        <f t="shared" si="4"/>
        <v>#REF!</v>
      </c>
      <c r="W59" s="52" t="e">
        <f t="shared" si="55"/>
        <v>#REF!</v>
      </c>
      <c r="X59" s="52">
        <f t="shared" si="56"/>
        <v>0</v>
      </c>
      <c r="Y59" s="52" t="e">
        <f t="shared" si="57"/>
        <v>#REF!</v>
      </c>
      <c r="Z59" s="160" t="e">
        <f t="shared" si="58"/>
        <v>#REF!</v>
      </c>
      <c r="AA59" s="52" t="e">
        <f t="shared" si="22"/>
        <v>#REF!</v>
      </c>
      <c r="AB59" s="52" t="e">
        <f t="shared" si="59"/>
        <v>#REF!</v>
      </c>
      <c r="AC59" t="e">
        <f t="shared" si="23"/>
        <v>#REF!</v>
      </c>
    </row>
    <row r="60" spans="1:30">
      <c r="A60" s="214"/>
      <c r="B60" s="32"/>
      <c r="E60" s="156">
        <f>+E59</f>
        <v>44319</v>
      </c>
      <c r="G60" s="167"/>
      <c r="H60" s="163"/>
      <c r="I60" s="207">
        <f t="shared" si="0"/>
        <v>0</v>
      </c>
      <c r="J60" s="169">
        <f t="shared" si="26"/>
        <v>0</v>
      </c>
      <c r="K60" s="174" t="e">
        <f t="shared" si="1"/>
        <v>#REF!</v>
      </c>
      <c r="L60" s="289">
        <f t="shared" si="27"/>
        <v>0</v>
      </c>
      <c r="M60" s="174" t="e">
        <f t="shared" si="2"/>
        <v>#REF!</v>
      </c>
      <c r="N60" s="289">
        <f t="shared" si="28"/>
        <v>0</v>
      </c>
      <c r="O60" s="245" t="e">
        <f t="shared" si="3"/>
        <v>#REF!</v>
      </c>
      <c r="P60" s="169">
        <f t="shared" si="54"/>
        <v>0</v>
      </c>
      <c r="Q60" s="174" t="e">
        <f t="shared" si="5"/>
        <v>#REF!</v>
      </c>
      <c r="R60" s="289"/>
      <c r="S60" s="174" t="e">
        <f t="shared" si="6"/>
        <v>#REF!</v>
      </c>
      <c r="T60" s="166"/>
      <c r="U60" s="155">
        <f t="shared" si="4"/>
        <v>0</v>
      </c>
      <c r="W60" s="52">
        <f t="shared" si="55"/>
        <v>0</v>
      </c>
      <c r="X60" s="52">
        <f t="shared" si="56"/>
        <v>0</v>
      </c>
      <c r="Y60" s="52">
        <f t="shared" si="57"/>
        <v>0</v>
      </c>
      <c r="Z60" s="160">
        <f t="shared" si="58"/>
        <v>0</v>
      </c>
      <c r="AA60" s="52">
        <f t="shared" si="22"/>
        <v>0</v>
      </c>
      <c r="AB60" s="52" t="e">
        <f t="shared" si="59"/>
        <v>#REF!</v>
      </c>
      <c r="AC60" t="e">
        <f t="shared" si="23"/>
        <v>#REF!</v>
      </c>
    </row>
    <row r="61" spans="1:30">
      <c r="A61" s="227"/>
      <c r="B61" s="292" t="s">
        <v>551</v>
      </c>
      <c r="C61" s="212"/>
      <c r="D61" s="234">
        <v>0.6</v>
      </c>
      <c r="E61" s="221">
        <f>+E60+30</f>
        <v>44349</v>
      </c>
      <c r="F61" s="212"/>
      <c r="G61" s="230"/>
      <c r="H61" s="169">
        <f>SUM('CR Calculation'!F30*'Application of Funds'!D61)</f>
        <v>2295523.0441065826</v>
      </c>
      <c r="I61" s="207">
        <f t="shared" si="0"/>
        <v>2295523.0441065826</v>
      </c>
      <c r="J61" s="169">
        <f t="shared" si="26"/>
        <v>0</v>
      </c>
      <c r="K61" s="174" t="e">
        <f t="shared" si="1"/>
        <v>#REF!</v>
      </c>
      <c r="L61" s="289">
        <f t="shared" si="27"/>
        <v>0</v>
      </c>
      <c r="M61" s="174" t="e">
        <f t="shared" si="2"/>
        <v>#REF!</v>
      </c>
      <c r="N61" s="289">
        <f t="shared" ref="N61:N83" si="65">-AA61</f>
        <v>0</v>
      </c>
      <c r="O61" s="245" t="e">
        <f t="shared" si="3"/>
        <v>#REF!</v>
      </c>
      <c r="P61" s="169">
        <f t="shared" si="54"/>
        <v>0</v>
      </c>
      <c r="Q61" s="174" t="e">
        <f t="shared" si="5"/>
        <v>#REF!</v>
      </c>
      <c r="R61" s="289"/>
      <c r="S61" s="174" t="e">
        <f t="shared" si="6"/>
        <v>#REF!</v>
      </c>
      <c r="T61" s="166"/>
      <c r="U61" s="155">
        <f t="shared" si="4"/>
        <v>2295523.0441065826</v>
      </c>
      <c r="W61" s="52"/>
      <c r="X61" s="52"/>
      <c r="Y61" s="52"/>
      <c r="Z61" s="160">
        <f t="shared" si="58"/>
        <v>0</v>
      </c>
      <c r="AA61" s="52"/>
      <c r="AB61" s="52" t="e">
        <f t="shared" ref="AB61:AB73" si="66">+AB60+AA61</f>
        <v>#REF!</v>
      </c>
      <c r="AC61" t="e">
        <f t="shared" ref="AC61:AC73" si="67">IF(AB61&lt;=D$97,"OK","ERROR")</f>
        <v>#REF!</v>
      </c>
    </row>
    <row r="62" spans="1:30">
      <c r="A62" s="341"/>
      <c r="B62" s="340" t="s">
        <v>1158</v>
      </c>
      <c r="D62" s="72"/>
      <c r="E62" s="156">
        <f>+E61</f>
        <v>44349</v>
      </c>
      <c r="G62" s="167"/>
      <c r="H62" s="169">
        <v>-1300000</v>
      </c>
      <c r="I62" s="207">
        <f t="shared" si="0"/>
        <v>995523.04410658265</v>
      </c>
      <c r="J62" s="169">
        <f t="shared" si="26"/>
        <v>1300000</v>
      </c>
      <c r="K62" s="174" t="e">
        <f t="shared" si="1"/>
        <v>#REF!</v>
      </c>
      <c r="L62" s="289">
        <f t="shared" si="27"/>
        <v>0</v>
      </c>
      <c r="M62" s="174" t="e">
        <f t="shared" si="2"/>
        <v>#REF!</v>
      </c>
      <c r="N62" s="289">
        <f t="shared" ca="1" si="65"/>
        <v>0</v>
      </c>
      <c r="O62" s="245">
        <f t="shared" ca="1" si="3"/>
        <v>-13755012.788960446</v>
      </c>
      <c r="P62" s="169">
        <f t="shared" ca="1" si="54"/>
        <v>0</v>
      </c>
      <c r="Q62" s="174">
        <f t="shared" ca="1" si="5"/>
        <v>14323092.540279899</v>
      </c>
      <c r="R62" s="289"/>
      <c r="S62" s="174" t="e">
        <f t="shared" si="6"/>
        <v>#REF!</v>
      </c>
      <c r="T62" s="166"/>
      <c r="U62" s="155">
        <f t="shared" ca="1" si="4"/>
        <v>0</v>
      </c>
      <c r="W62" s="52">
        <f t="shared" ref="W62:W73" si="68">G62*0.5</f>
        <v>0</v>
      </c>
      <c r="X62" s="52">
        <f t="shared" ref="X62:X73" si="69">-H62</f>
        <v>1300000</v>
      </c>
      <c r="Y62" s="52">
        <f t="shared" ref="Y62:Y72" si="70">+W62-X62</f>
        <v>-1300000</v>
      </c>
      <c r="Z62" s="160">
        <f t="shared" si="58"/>
        <v>0</v>
      </c>
      <c r="AA62" s="52">
        <f t="shared" ref="AA62:AA73" ca="1" si="71">-N62</f>
        <v>0</v>
      </c>
      <c r="AB62" s="52">
        <f t="shared" ca="1" si="66"/>
        <v>13755012.788960446</v>
      </c>
      <c r="AC62" t="str">
        <f t="shared" ca="1" si="67"/>
        <v>ERROR</v>
      </c>
    </row>
    <row r="63" spans="1:30">
      <c r="A63" s="201"/>
      <c r="B63" s="246" t="s">
        <v>649</v>
      </c>
      <c r="C63" s="25"/>
      <c r="D63" s="235"/>
      <c r="E63" s="225">
        <f>+E61</f>
        <v>44349</v>
      </c>
      <c r="F63" s="25"/>
      <c r="G63" s="168" t="e">
        <f>+' Draw Schedule'!K29</f>
        <v>#REF!</v>
      </c>
      <c r="H63" s="169" t="e">
        <f>-G63</f>
        <v>#REF!</v>
      </c>
      <c r="I63" s="207" t="e">
        <f t="shared" si="0"/>
        <v>#REF!</v>
      </c>
      <c r="J63" s="169">
        <f t="shared" si="26"/>
        <v>0</v>
      </c>
      <c r="K63" s="174" t="e">
        <f t="shared" si="1"/>
        <v>#REF!</v>
      </c>
      <c r="L63" s="289" t="e">
        <f t="shared" si="27"/>
        <v>#REF!</v>
      </c>
      <c r="M63" s="174" t="e">
        <f t="shared" si="2"/>
        <v>#REF!</v>
      </c>
      <c r="N63" s="289">
        <f t="shared" ca="1" si="65"/>
        <v>0</v>
      </c>
      <c r="O63" s="245">
        <f ca="1">+O61+N63</f>
        <v>-13755012.788960446</v>
      </c>
      <c r="P63" s="169">
        <f t="shared" ca="1" si="54"/>
        <v>0</v>
      </c>
      <c r="Q63" s="174">
        <f ca="1">+Q61+P63</f>
        <v>14323092.540279899</v>
      </c>
      <c r="R63" s="289"/>
      <c r="S63" s="174" t="e">
        <f>+S61+R63</f>
        <v>#REF!</v>
      </c>
      <c r="T63" s="166"/>
      <c r="U63" s="155">
        <f t="shared" ca="1" si="4"/>
        <v>0</v>
      </c>
      <c r="W63" s="52" t="e">
        <f t="shared" si="68"/>
        <v>#REF!</v>
      </c>
      <c r="X63" s="52" t="e">
        <f t="shared" si="69"/>
        <v>#REF!</v>
      </c>
      <c r="Y63" s="52">
        <v>0</v>
      </c>
      <c r="Z63" s="160" t="e">
        <f t="shared" si="58"/>
        <v>#REF!</v>
      </c>
      <c r="AA63" s="52">
        <f t="shared" ca="1" si="71"/>
        <v>0</v>
      </c>
      <c r="AB63" s="52">
        <f t="shared" ca="1" si="66"/>
        <v>13755012.788960446</v>
      </c>
      <c r="AC63" t="str">
        <f t="shared" ca="1" si="67"/>
        <v>ERROR</v>
      </c>
    </row>
    <row r="64" spans="1:30">
      <c r="A64" s="201"/>
      <c r="B64" s="32" t="s">
        <v>649</v>
      </c>
      <c r="D64" s="72"/>
      <c r="E64" s="156">
        <f>+E63+30</f>
        <v>44379</v>
      </c>
      <c r="G64" s="167" t="e">
        <f>+' Draw Schedule'!K30</f>
        <v>#REF!</v>
      </c>
      <c r="H64" s="169" t="e">
        <f>-G64</f>
        <v>#REF!</v>
      </c>
      <c r="I64" s="207" t="e">
        <f t="shared" si="0"/>
        <v>#REF!</v>
      </c>
      <c r="J64" s="169">
        <f t="shared" si="26"/>
        <v>0</v>
      </c>
      <c r="K64" s="174" t="e">
        <f t="shared" si="1"/>
        <v>#REF!</v>
      </c>
      <c r="L64" s="289" t="e">
        <f t="shared" si="27"/>
        <v>#REF!</v>
      </c>
      <c r="M64" s="174" t="e">
        <f t="shared" si="2"/>
        <v>#REF!</v>
      </c>
      <c r="N64" s="289">
        <f t="shared" ca="1" si="65"/>
        <v>0</v>
      </c>
      <c r="O64" s="245">
        <f t="shared" ca="1" si="3"/>
        <v>-13755012.788960446</v>
      </c>
      <c r="P64" s="169">
        <f t="shared" ca="1" si="54"/>
        <v>0</v>
      </c>
      <c r="Q64" s="174">
        <f t="shared" ca="1" si="5"/>
        <v>14323092.540279899</v>
      </c>
      <c r="R64" s="289"/>
      <c r="S64" s="174" t="e">
        <f t="shared" si="6"/>
        <v>#REF!</v>
      </c>
      <c r="T64" s="166"/>
      <c r="U64" s="155">
        <f t="shared" ca="1" si="4"/>
        <v>0</v>
      </c>
      <c r="W64" s="52" t="e">
        <f t="shared" si="68"/>
        <v>#REF!</v>
      </c>
      <c r="X64" s="52" t="e">
        <f t="shared" si="69"/>
        <v>#REF!</v>
      </c>
      <c r="Y64" s="52">
        <v>0</v>
      </c>
      <c r="Z64" s="160" t="e">
        <f t="shared" si="58"/>
        <v>#REF!</v>
      </c>
      <c r="AA64" s="52">
        <f t="shared" ca="1" si="71"/>
        <v>0</v>
      </c>
      <c r="AB64" s="52">
        <f t="shared" ca="1" si="66"/>
        <v>13755012.788960446</v>
      </c>
      <c r="AC64" t="str">
        <f t="shared" ca="1" si="67"/>
        <v>ERROR</v>
      </c>
    </row>
    <row r="65" spans="1:31">
      <c r="A65" s="201"/>
      <c r="B65" t="s">
        <v>609</v>
      </c>
      <c r="C65" s="32" t="s">
        <v>610</v>
      </c>
      <c r="D65" s="72"/>
      <c r="E65" s="156">
        <f>+E64</f>
        <v>44379</v>
      </c>
      <c r="G65" s="167">
        <f>+'Sources &amp; Uses'!F51</f>
        <v>0</v>
      </c>
      <c r="H65" s="160">
        <f>-G65</f>
        <v>0</v>
      </c>
      <c r="I65" s="342" t="e">
        <f t="shared" si="0"/>
        <v>#REF!</v>
      </c>
      <c r="J65" s="169">
        <f t="shared" si="26"/>
        <v>0</v>
      </c>
      <c r="K65" s="174" t="e">
        <f t="shared" si="1"/>
        <v>#REF!</v>
      </c>
      <c r="L65" s="289">
        <f t="shared" si="27"/>
        <v>0</v>
      </c>
      <c r="M65" s="174" t="e">
        <f>+M61+L65</f>
        <v>#REF!</v>
      </c>
      <c r="N65" s="289">
        <f t="shared" ca="1" si="65"/>
        <v>0</v>
      </c>
      <c r="O65" s="245">
        <f ca="1">+O61+N65</f>
        <v>-13755012.788960446</v>
      </c>
      <c r="P65" s="169">
        <f t="shared" ca="1" si="54"/>
        <v>0</v>
      </c>
      <c r="Q65" s="174">
        <f ca="1">+Q61+P65</f>
        <v>14323092.540279899</v>
      </c>
      <c r="R65" s="289"/>
      <c r="S65" s="174" t="e">
        <f>+S61+R65</f>
        <v>#REF!</v>
      </c>
      <c r="T65" s="166"/>
      <c r="U65" s="155">
        <f t="shared" ca="1" si="4"/>
        <v>0</v>
      </c>
      <c r="W65" s="52">
        <f t="shared" si="68"/>
        <v>0</v>
      </c>
      <c r="X65" s="52">
        <f t="shared" si="69"/>
        <v>0</v>
      </c>
      <c r="Y65" s="52">
        <v>0</v>
      </c>
      <c r="Z65" s="160">
        <f t="shared" si="58"/>
        <v>0</v>
      </c>
      <c r="AA65" s="52">
        <f t="shared" ca="1" si="71"/>
        <v>0</v>
      </c>
      <c r="AB65" s="52">
        <f t="shared" ca="1" si="66"/>
        <v>13755012.788960446</v>
      </c>
      <c r="AC65" t="str">
        <f t="shared" ca="1" si="67"/>
        <v>ERROR</v>
      </c>
    </row>
    <row r="66" spans="1:31">
      <c r="A66" s="214"/>
      <c r="B66" s="32" t="s">
        <v>611</v>
      </c>
      <c r="C66" t="str">
        <f>+C65</f>
        <v>90 Days Post PIS Date</v>
      </c>
      <c r="D66" s="235"/>
      <c r="E66" s="225">
        <f>+E65</f>
        <v>44379</v>
      </c>
      <c r="F66" s="25"/>
      <c r="G66" s="168">
        <f>-' Draw Schedule'!E36</f>
        <v>722566.70000000019</v>
      </c>
      <c r="H66" s="160">
        <v>0</v>
      </c>
      <c r="I66" s="342" t="e">
        <f t="shared" si="0"/>
        <v>#REF!</v>
      </c>
      <c r="J66" s="169">
        <f>-Y66</f>
        <v>-722566.70000000019</v>
      </c>
      <c r="K66" s="174" t="e">
        <f t="shared" ref="K66:K79" si="72">+K65+J66</f>
        <v>#REF!</v>
      </c>
      <c r="L66" s="289">
        <f t="shared" si="27"/>
        <v>-229821.9</v>
      </c>
      <c r="M66" s="174" t="e">
        <f t="shared" si="2"/>
        <v>#REF!</v>
      </c>
      <c r="N66" s="289">
        <f t="shared" ca="1" si="65"/>
        <v>0</v>
      </c>
      <c r="O66" s="245">
        <f t="shared" ca="1" si="3"/>
        <v>-13755012.788960446</v>
      </c>
      <c r="P66" s="169">
        <f t="shared" ca="1" si="54"/>
        <v>229821.9</v>
      </c>
      <c r="Q66" s="174">
        <f t="shared" ca="1" si="5"/>
        <v>14552914.440279899</v>
      </c>
      <c r="R66" s="289"/>
      <c r="S66" s="174" t="e">
        <f t="shared" ref="S66:S76" si="73">+S65+R66</f>
        <v>#REF!</v>
      </c>
      <c r="T66" s="166"/>
      <c r="U66" s="155">
        <f t="shared" ca="1" si="4"/>
        <v>0</v>
      </c>
      <c r="W66" s="52">
        <f t="shared" si="68"/>
        <v>361283.35000000009</v>
      </c>
      <c r="X66" s="52">
        <f t="shared" si="69"/>
        <v>0</v>
      </c>
      <c r="Y66" s="52">
        <f>+W66*2</f>
        <v>722566.70000000019</v>
      </c>
      <c r="Z66" s="160">
        <f t="shared" si="58"/>
        <v>229821.9</v>
      </c>
      <c r="AA66" s="52">
        <f t="shared" ca="1" si="71"/>
        <v>0</v>
      </c>
      <c r="AB66" s="52">
        <f t="shared" ca="1" si="66"/>
        <v>13755012.788960446</v>
      </c>
      <c r="AC66" t="str">
        <f t="shared" ca="1" si="67"/>
        <v>ERROR</v>
      </c>
      <c r="AD66">
        <v>229821.9</v>
      </c>
    </row>
    <row r="67" spans="1:31">
      <c r="A67" s="201"/>
      <c r="B67" s="233" t="s">
        <v>649</v>
      </c>
      <c r="C67" s="233"/>
      <c r="D67" s="212"/>
      <c r="E67" s="221">
        <f>+E65+30</f>
        <v>44409</v>
      </c>
      <c r="F67" s="212"/>
      <c r="G67" s="230" t="e">
        <f>+' Draw Schedule'!K31</f>
        <v>#REF!</v>
      </c>
      <c r="H67" s="163" t="e">
        <f>-G67</f>
        <v>#REF!</v>
      </c>
      <c r="I67" s="342" t="e">
        <f t="shared" si="0"/>
        <v>#REF!</v>
      </c>
      <c r="J67" s="169">
        <f t="shared" si="26"/>
        <v>0</v>
      </c>
      <c r="K67" s="174" t="e">
        <f t="shared" si="72"/>
        <v>#REF!</v>
      </c>
      <c r="L67" s="289" t="e">
        <f t="shared" si="27"/>
        <v>#REF!</v>
      </c>
      <c r="M67" s="174" t="e">
        <f t="shared" si="2"/>
        <v>#REF!</v>
      </c>
      <c r="N67" s="289">
        <f t="shared" ca="1" si="65"/>
        <v>0</v>
      </c>
      <c r="O67" s="245">
        <f t="shared" ca="1" si="3"/>
        <v>-13755012.788960446</v>
      </c>
      <c r="P67" s="169">
        <f t="shared" ca="1" si="54"/>
        <v>0</v>
      </c>
      <c r="Q67" s="174">
        <f t="shared" ca="1" si="5"/>
        <v>14552914.440279899</v>
      </c>
      <c r="R67" s="289"/>
      <c r="S67" s="174" t="e">
        <f t="shared" si="73"/>
        <v>#REF!</v>
      </c>
      <c r="T67" s="166"/>
      <c r="U67" s="155">
        <f t="shared" ca="1" si="4"/>
        <v>0</v>
      </c>
      <c r="W67" s="52" t="e">
        <f t="shared" si="68"/>
        <v>#REF!</v>
      </c>
      <c r="X67" s="52" t="e">
        <f t="shared" si="69"/>
        <v>#REF!</v>
      </c>
      <c r="Y67" s="52">
        <v>0</v>
      </c>
      <c r="Z67" s="160" t="e">
        <f t="shared" si="58"/>
        <v>#REF!</v>
      </c>
      <c r="AA67" s="52">
        <f t="shared" ca="1" si="71"/>
        <v>0</v>
      </c>
      <c r="AB67" s="52">
        <f t="shared" ca="1" si="66"/>
        <v>13755012.788960446</v>
      </c>
      <c r="AC67" t="str">
        <f t="shared" ca="1" si="67"/>
        <v>ERROR</v>
      </c>
    </row>
    <row r="68" spans="1:31">
      <c r="A68" s="205"/>
      <c r="B68" s="293" t="s">
        <v>1157</v>
      </c>
      <c r="C68" s="32"/>
      <c r="E68" s="156">
        <f>+E67</f>
        <v>44409</v>
      </c>
      <c r="G68" s="167"/>
      <c r="H68" s="163"/>
      <c r="I68" s="342" t="e">
        <f t="shared" si="0"/>
        <v>#REF!</v>
      </c>
      <c r="J68" s="169"/>
      <c r="K68" s="174" t="e">
        <f t="shared" si="72"/>
        <v>#REF!</v>
      </c>
      <c r="L68" s="289">
        <f t="shared" si="27"/>
        <v>0</v>
      </c>
      <c r="M68" s="174" t="e">
        <f t="shared" si="2"/>
        <v>#REF!</v>
      </c>
      <c r="N68" s="289">
        <f t="shared" ca="1" si="65"/>
        <v>0</v>
      </c>
      <c r="O68" s="245">
        <f t="shared" ca="1" si="3"/>
        <v>-13755012.788960446</v>
      </c>
      <c r="P68" s="169">
        <f t="shared" ca="1" si="54"/>
        <v>0</v>
      </c>
      <c r="Q68" s="174">
        <f t="shared" ca="1" si="5"/>
        <v>14552914.440279899</v>
      </c>
      <c r="R68" s="289"/>
      <c r="S68" s="174" t="e">
        <f t="shared" si="73"/>
        <v>#REF!</v>
      </c>
      <c r="T68" s="166"/>
      <c r="U68" s="155">
        <f t="shared" ca="1" si="4"/>
        <v>0</v>
      </c>
      <c r="W68" s="52">
        <f t="shared" si="68"/>
        <v>0</v>
      </c>
      <c r="X68" s="52">
        <f t="shared" si="69"/>
        <v>0</v>
      </c>
      <c r="Y68" s="52">
        <f t="shared" si="70"/>
        <v>0</v>
      </c>
      <c r="Z68" s="160">
        <f t="shared" si="58"/>
        <v>0</v>
      </c>
      <c r="AA68" s="52">
        <f t="shared" ca="1" si="71"/>
        <v>0</v>
      </c>
      <c r="AB68" s="52">
        <f t="shared" ca="1" si="66"/>
        <v>13755012.788960446</v>
      </c>
      <c r="AC68" t="str">
        <f t="shared" ca="1" si="67"/>
        <v>ERROR</v>
      </c>
    </row>
    <row r="69" spans="1:31" hidden="1">
      <c r="A69" s="205"/>
      <c r="E69" s="156">
        <f>+E67</f>
        <v>44409</v>
      </c>
      <c r="G69" s="167"/>
      <c r="H69" s="163"/>
      <c r="I69" s="342" t="e">
        <f t="shared" si="0"/>
        <v>#REF!</v>
      </c>
      <c r="J69" s="169">
        <f t="shared" si="26"/>
        <v>0</v>
      </c>
      <c r="K69" s="174" t="e">
        <f t="shared" si="72"/>
        <v>#REF!</v>
      </c>
      <c r="L69" s="289">
        <f t="shared" si="27"/>
        <v>0</v>
      </c>
      <c r="M69" s="174" t="e">
        <f t="shared" si="2"/>
        <v>#REF!</v>
      </c>
      <c r="N69" s="289">
        <f t="shared" ca="1" si="65"/>
        <v>0</v>
      </c>
      <c r="O69" s="245">
        <f t="shared" ca="1" si="3"/>
        <v>-13755012.788960446</v>
      </c>
      <c r="P69" s="169">
        <f t="shared" ca="1" si="54"/>
        <v>0</v>
      </c>
      <c r="Q69" s="174">
        <f t="shared" ca="1" si="5"/>
        <v>14552914.440279899</v>
      </c>
      <c r="R69" s="289"/>
      <c r="S69" s="174" t="e">
        <f t="shared" si="73"/>
        <v>#REF!</v>
      </c>
      <c r="T69" s="166"/>
      <c r="U69" s="155">
        <f t="shared" ca="1" si="4"/>
        <v>0</v>
      </c>
      <c r="W69" s="52">
        <f t="shared" si="68"/>
        <v>0</v>
      </c>
      <c r="X69" s="52">
        <f t="shared" si="69"/>
        <v>0</v>
      </c>
      <c r="Y69" s="52">
        <f t="shared" si="70"/>
        <v>0</v>
      </c>
      <c r="Z69" s="160">
        <f t="shared" si="58"/>
        <v>0</v>
      </c>
      <c r="AA69" s="52">
        <f t="shared" ca="1" si="71"/>
        <v>0</v>
      </c>
      <c r="AB69" s="52">
        <f t="shared" ca="1" si="66"/>
        <v>13755012.788960446</v>
      </c>
      <c r="AC69" t="str">
        <f t="shared" ca="1" si="67"/>
        <v>ERROR</v>
      </c>
    </row>
    <row r="70" spans="1:31" hidden="1">
      <c r="A70" s="205"/>
      <c r="B70" s="32"/>
      <c r="E70" s="156">
        <f>+E69</f>
        <v>44409</v>
      </c>
      <c r="G70" s="167"/>
      <c r="H70" s="163"/>
      <c r="I70" s="342" t="e">
        <f t="shared" si="0"/>
        <v>#REF!</v>
      </c>
      <c r="J70" s="169">
        <f t="shared" si="26"/>
        <v>0</v>
      </c>
      <c r="K70" s="174" t="e">
        <f t="shared" si="72"/>
        <v>#REF!</v>
      </c>
      <c r="L70" s="289">
        <f t="shared" si="27"/>
        <v>0</v>
      </c>
      <c r="M70" s="174" t="e">
        <f t="shared" si="2"/>
        <v>#REF!</v>
      </c>
      <c r="N70" s="289">
        <f t="shared" ca="1" si="65"/>
        <v>0</v>
      </c>
      <c r="O70" s="245">
        <f t="shared" ca="1" si="3"/>
        <v>-13755012.788960446</v>
      </c>
      <c r="P70" s="169">
        <f t="shared" ca="1" si="54"/>
        <v>0</v>
      </c>
      <c r="Q70" s="174">
        <f t="shared" ca="1" si="5"/>
        <v>14552914.440279899</v>
      </c>
      <c r="R70" s="289"/>
      <c r="S70" s="174" t="e">
        <f t="shared" si="73"/>
        <v>#REF!</v>
      </c>
      <c r="T70" s="166"/>
      <c r="U70" s="155">
        <f t="shared" ca="1" si="4"/>
        <v>0</v>
      </c>
      <c r="W70" s="52">
        <f t="shared" si="68"/>
        <v>0</v>
      </c>
      <c r="X70" s="52">
        <f t="shared" si="69"/>
        <v>0</v>
      </c>
      <c r="Y70" s="52">
        <f t="shared" si="70"/>
        <v>0</v>
      </c>
      <c r="Z70" s="160">
        <f t="shared" si="58"/>
        <v>0</v>
      </c>
      <c r="AA70" s="52">
        <f t="shared" ca="1" si="71"/>
        <v>0</v>
      </c>
      <c r="AB70" s="52">
        <f t="shared" ca="1" si="66"/>
        <v>13755012.788960446</v>
      </c>
      <c r="AC70" t="str">
        <f t="shared" ca="1" si="67"/>
        <v>ERROR</v>
      </c>
    </row>
    <row r="71" spans="1:31" hidden="1">
      <c r="A71" s="205"/>
      <c r="B71" s="32"/>
      <c r="E71" s="156">
        <f>+E70</f>
        <v>44409</v>
      </c>
      <c r="G71" s="167"/>
      <c r="H71" s="163"/>
      <c r="I71" s="342" t="e">
        <f t="shared" si="0"/>
        <v>#REF!</v>
      </c>
      <c r="J71" s="169">
        <f t="shared" si="26"/>
        <v>0</v>
      </c>
      <c r="K71" s="174" t="e">
        <f t="shared" si="72"/>
        <v>#REF!</v>
      </c>
      <c r="L71" s="289">
        <f t="shared" si="27"/>
        <v>0</v>
      </c>
      <c r="M71" s="174" t="e">
        <f t="shared" si="2"/>
        <v>#REF!</v>
      </c>
      <c r="N71" s="289">
        <f t="shared" ca="1" si="65"/>
        <v>0</v>
      </c>
      <c r="O71" s="245">
        <f t="shared" ca="1" si="3"/>
        <v>-13755012.788960446</v>
      </c>
      <c r="P71" s="169">
        <f t="shared" ca="1" si="54"/>
        <v>0</v>
      </c>
      <c r="Q71" s="174">
        <f t="shared" ca="1" si="5"/>
        <v>14552914.440279899</v>
      </c>
      <c r="R71" s="289"/>
      <c r="S71" s="174" t="e">
        <f t="shared" si="73"/>
        <v>#REF!</v>
      </c>
      <c r="T71" s="166"/>
      <c r="U71" s="155">
        <f t="shared" ca="1" si="4"/>
        <v>0</v>
      </c>
      <c r="W71" s="52">
        <f t="shared" si="68"/>
        <v>0</v>
      </c>
      <c r="X71" s="52">
        <f t="shared" si="69"/>
        <v>0</v>
      </c>
      <c r="Y71" s="52">
        <f t="shared" si="70"/>
        <v>0</v>
      </c>
      <c r="Z71" s="160">
        <f t="shared" si="58"/>
        <v>0</v>
      </c>
      <c r="AA71" s="52">
        <f t="shared" ca="1" si="71"/>
        <v>0</v>
      </c>
      <c r="AB71" s="52">
        <f t="shared" ca="1" si="66"/>
        <v>13755012.788960446</v>
      </c>
      <c r="AC71" t="str">
        <f t="shared" ca="1" si="67"/>
        <v>ERROR</v>
      </c>
    </row>
    <row r="72" spans="1:31" hidden="1">
      <c r="A72" s="214"/>
      <c r="B72" s="25"/>
      <c r="C72" s="25"/>
      <c r="D72" s="25"/>
      <c r="E72" s="225">
        <f>+E70</f>
        <v>44409</v>
      </c>
      <c r="F72" s="25"/>
      <c r="G72" s="168"/>
      <c r="H72" s="163"/>
      <c r="I72" s="342" t="e">
        <f t="shared" si="0"/>
        <v>#REF!</v>
      </c>
      <c r="J72" s="169">
        <f t="shared" si="26"/>
        <v>0</v>
      </c>
      <c r="K72" s="174" t="e">
        <f t="shared" si="72"/>
        <v>#REF!</v>
      </c>
      <c r="L72" s="289">
        <f t="shared" si="27"/>
        <v>0</v>
      </c>
      <c r="M72" s="174" t="e">
        <f t="shared" si="2"/>
        <v>#REF!</v>
      </c>
      <c r="N72" s="289">
        <f t="shared" ca="1" si="65"/>
        <v>0</v>
      </c>
      <c r="O72" s="245">
        <f t="shared" ca="1" si="3"/>
        <v>-13755012.788960446</v>
      </c>
      <c r="P72" s="169">
        <f t="shared" ca="1" si="54"/>
        <v>0</v>
      </c>
      <c r="Q72" s="174">
        <f t="shared" ca="1" si="5"/>
        <v>14552914.440279899</v>
      </c>
      <c r="R72" s="289"/>
      <c r="S72" s="174" t="e">
        <f t="shared" si="73"/>
        <v>#REF!</v>
      </c>
      <c r="T72" s="166"/>
      <c r="U72" s="155">
        <f t="shared" ca="1" si="4"/>
        <v>0</v>
      </c>
      <c r="W72" s="52">
        <f t="shared" si="68"/>
        <v>0</v>
      </c>
      <c r="X72" s="52">
        <f t="shared" si="69"/>
        <v>0</v>
      </c>
      <c r="Y72" s="52">
        <f t="shared" si="70"/>
        <v>0</v>
      </c>
      <c r="Z72" s="160">
        <f t="shared" si="58"/>
        <v>0</v>
      </c>
      <c r="AA72" s="52">
        <f t="shared" ca="1" si="71"/>
        <v>0</v>
      </c>
      <c r="AB72" s="52">
        <f t="shared" ca="1" si="66"/>
        <v>13755012.788960446</v>
      </c>
      <c r="AC72" t="str">
        <f t="shared" ca="1" si="67"/>
        <v>ERROR</v>
      </c>
    </row>
    <row r="73" spans="1:31">
      <c r="A73" s="201"/>
      <c r="B73" s="233" t="s">
        <v>649</v>
      </c>
      <c r="C73" s="212"/>
      <c r="D73" s="212"/>
      <c r="E73" s="221">
        <f>+E72+31</f>
        <v>44440</v>
      </c>
      <c r="F73" s="212"/>
      <c r="G73" s="230" t="e">
        <f>+' Draw Schedule'!K32</f>
        <v>#REF!</v>
      </c>
      <c r="H73" s="163" t="e">
        <f>-G73</f>
        <v>#REF!</v>
      </c>
      <c r="I73" s="342" t="e">
        <f t="shared" si="0"/>
        <v>#REF!</v>
      </c>
      <c r="J73" s="169">
        <f t="shared" si="26"/>
        <v>0</v>
      </c>
      <c r="K73" s="174" t="e">
        <f t="shared" si="72"/>
        <v>#REF!</v>
      </c>
      <c r="L73" s="289" t="e">
        <f t="shared" si="27"/>
        <v>#REF!</v>
      </c>
      <c r="M73" s="174" t="e">
        <f t="shared" si="2"/>
        <v>#REF!</v>
      </c>
      <c r="N73" s="289">
        <f t="shared" ca="1" si="65"/>
        <v>0</v>
      </c>
      <c r="O73" s="245">
        <f t="shared" ca="1" si="3"/>
        <v>-13755012.788960446</v>
      </c>
      <c r="P73" s="169">
        <f t="shared" ca="1" si="54"/>
        <v>0</v>
      </c>
      <c r="Q73" s="174">
        <f t="shared" ca="1" si="5"/>
        <v>14552914.440279899</v>
      </c>
      <c r="R73" s="289"/>
      <c r="S73" s="174" t="e">
        <f t="shared" si="73"/>
        <v>#REF!</v>
      </c>
      <c r="T73" s="167"/>
      <c r="U73" s="155">
        <f t="shared" ca="1" si="4"/>
        <v>0</v>
      </c>
      <c r="W73" s="52" t="e">
        <f t="shared" si="68"/>
        <v>#REF!</v>
      </c>
      <c r="X73" s="52" t="e">
        <f t="shared" si="69"/>
        <v>#REF!</v>
      </c>
      <c r="Y73" s="52">
        <v>0</v>
      </c>
      <c r="Z73" s="160" t="e">
        <f t="shared" si="58"/>
        <v>#REF!</v>
      </c>
      <c r="AA73" s="52">
        <f t="shared" ca="1" si="71"/>
        <v>0</v>
      </c>
      <c r="AB73" s="52">
        <f t="shared" ca="1" si="66"/>
        <v>13755012.788960446</v>
      </c>
      <c r="AC73" t="str">
        <f t="shared" ca="1" si="67"/>
        <v>ERROR</v>
      </c>
    </row>
    <row r="74" spans="1:31" hidden="1">
      <c r="A74" s="201"/>
      <c r="B74" s="233" t="s">
        <v>613</v>
      </c>
      <c r="C74" s="233" t="s">
        <v>614</v>
      </c>
      <c r="D74" s="212"/>
      <c r="E74" s="221">
        <f>+E73+30</f>
        <v>44470</v>
      </c>
      <c r="F74" s="212"/>
      <c r="G74" s="230"/>
      <c r="H74" s="167"/>
      <c r="I74" s="342" t="e">
        <f t="shared" si="0"/>
        <v>#REF!</v>
      </c>
      <c r="J74" s="169">
        <f t="shared" si="26"/>
        <v>0</v>
      </c>
      <c r="K74" s="174" t="e">
        <f t="shared" si="72"/>
        <v>#REF!</v>
      </c>
      <c r="L74" s="289">
        <f t="shared" si="27"/>
        <v>0</v>
      </c>
      <c r="M74" s="174" t="e">
        <f t="shared" si="2"/>
        <v>#REF!</v>
      </c>
      <c r="N74" s="289">
        <f t="shared" si="65"/>
        <v>0</v>
      </c>
      <c r="O74" s="245">
        <f t="shared" ca="1" si="3"/>
        <v>-13755012.788960446</v>
      </c>
      <c r="P74" s="169">
        <f t="shared" si="54"/>
        <v>0</v>
      </c>
      <c r="Q74" s="174">
        <f t="shared" ca="1" si="5"/>
        <v>14552914.440279899</v>
      </c>
      <c r="R74" s="289"/>
      <c r="S74" s="174" t="e">
        <f t="shared" si="73"/>
        <v>#REF!</v>
      </c>
      <c r="T74" s="167"/>
      <c r="U74" s="155">
        <f t="shared" si="4"/>
        <v>0</v>
      </c>
    </row>
    <row r="75" spans="1:31">
      <c r="A75" s="205"/>
      <c r="B75" s="32" t="s">
        <v>615</v>
      </c>
      <c r="C75" s="32"/>
      <c r="E75" s="156">
        <f>+E73</f>
        <v>44440</v>
      </c>
      <c r="G75" s="167">
        <f>+'Sources &amp; Uses'!F40</f>
        <v>52500</v>
      </c>
      <c r="H75" s="167">
        <f>-G75</f>
        <v>-52500</v>
      </c>
      <c r="I75" s="342" t="e">
        <f t="shared" si="0"/>
        <v>#REF!</v>
      </c>
      <c r="J75" s="169">
        <f t="shared" si="26"/>
        <v>0</v>
      </c>
      <c r="K75" s="174" t="e">
        <f t="shared" si="72"/>
        <v>#REF!</v>
      </c>
      <c r="L75" s="289">
        <f t="shared" si="27"/>
        <v>0</v>
      </c>
      <c r="M75" s="174" t="e">
        <f t="shared" si="2"/>
        <v>#REF!</v>
      </c>
      <c r="N75" s="289">
        <f t="shared" si="65"/>
        <v>0</v>
      </c>
      <c r="O75" s="245">
        <f t="shared" ca="1" si="3"/>
        <v>-13755012.788960446</v>
      </c>
      <c r="P75" s="169">
        <f t="shared" si="54"/>
        <v>0</v>
      </c>
      <c r="Q75" s="174">
        <f t="shared" ca="1" si="5"/>
        <v>14552914.440279899</v>
      </c>
      <c r="R75" s="289"/>
      <c r="S75" s="174" t="e">
        <f t="shared" si="73"/>
        <v>#REF!</v>
      </c>
      <c r="T75" s="167"/>
      <c r="U75" s="155">
        <f t="shared" si="4"/>
        <v>0</v>
      </c>
    </row>
    <row r="76" spans="1:31">
      <c r="A76" s="205"/>
      <c r="B76" s="32"/>
      <c r="C76" s="32"/>
      <c r="E76" s="156">
        <f>+E75</f>
        <v>44440</v>
      </c>
      <c r="G76" s="167"/>
      <c r="H76" s="167">
        <f>-G76</f>
        <v>0</v>
      </c>
      <c r="I76" s="342" t="e">
        <f t="shared" si="0"/>
        <v>#REF!</v>
      </c>
      <c r="J76" s="169">
        <f t="shared" si="26"/>
        <v>0</v>
      </c>
      <c r="K76" s="174" t="e">
        <f t="shared" si="72"/>
        <v>#REF!</v>
      </c>
      <c r="L76" s="289">
        <f t="shared" si="27"/>
        <v>0</v>
      </c>
      <c r="M76" s="174" t="e">
        <f t="shared" si="2"/>
        <v>#REF!</v>
      </c>
      <c r="N76" s="289">
        <f t="shared" si="65"/>
        <v>0</v>
      </c>
      <c r="O76" s="245">
        <f t="shared" ca="1" si="3"/>
        <v>-13755012.788960446</v>
      </c>
      <c r="P76" s="169">
        <f t="shared" si="54"/>
        <v>0</v>
      </c>
      <c r="Q76" s="174">
        <f t="shared" ca="1" si="5"/>
        <v>14552914.440279899</v>
      </c>
      <c r="R76" s="289"/>
      <c r="S76" s="174" t="e">
        <f t="shared" si="73"/>
        <v>#REF!</v>
      </c>
      <c r="T76" s="167"/>
      <c r="U76" s="155">
        <f t="shared" si="4"/>
        <v>0</v>
      </c>
    </row>
    <row r="77" spans="1:31">
      <c r="A77" s="205"/>
      <c r="B77" s="293" t="s">
        <v>768</v>
      </c>
      <c r="E77" s="156">
        <f>+E75</f>
        <v>44440</v>
      </c>
      <c r="G77" s="167"/>
      <c r="H77" s="223"/>
      <c r="I77" s="342" t="e">
        <f t="shared" si="0"/>
        <v>#REF!</v>
      </c>
      <c r="J77" s="169">
        <f t="shared" si="26"/>
        <v>0</v>
      </c>
      <c r="K77" s="174" t="e">
        <f t="shared" si="72"/>
        <v>#REF!</v>
      </c>
      <c r="L77" s="289">
        <f t="shared" si="27"/>
        <v>0</v>
      </c>
      <c r="M77" s="174" t="e">
        <f>+M75+L77</f>
        <v>#REF!</v>
      </c>
      <c r="N77" s="289">
        <f t="shared" si="65"/>
        <v>0</v>
      </c>
      <c r="O77" s="245">
        <f ca="1">+O75+N77</f>
        <v>-13755012.788960446</v>
      </c>
      <c r="P77" s="169">
        <f t="shared" si="54"/>
        <v>0</v>
      </c>
      <c r="Q77" s="174">
        <f t="shared" ref="Q77:Q82" ca="1" si="74">+Q75+P77</f>
        <v>14552914.440279899</v>
      </c>
      <c r="R77" s="289"/>
      <c r="S77" s="174" t="e">
        <f t="shared" ref="S77:S82" si="75">+S75+R77</f>
        <v>#REF!</v>
      </c>
      <c r="T77" s="167"/>
      <c r="U77" s="155">
        <f t="shared" si="4"/>
        <v>0</v>
      </c>
    </row>
    <row r="78" spans="1:31" hidden="1">
      <c r="A78" s="214"/>
      <c r="B78" s="224"/>
      <c r="C78" s="25"/>
      <c r="D78" s="25"/>
      <c r="E78" s="225">
        <f>+E77</f>
        <v>44440</v>
      </c>
      <c r="F78" s="25"/>
      <c r="G78" s="168" t="e">
        <f>SUM('Sources &amp; Uses'!H67-'Application of Funds'!G25-' Draw Schedule'!I36)*0</f>
        <v>#REF!</v>
      </c>
      <c r="H78" s="167"/>
      <c r="I78" s="342" t="e">
        <f t="shared" si="0"/>
        <v>#REF!</v>
      </c>
      <c r="J78" s="169">
        <f t="shared" si="26"/>
        <v>0</v>
      </c>
      <c r="K78" s="174" t="e">
        <f t="shared" si="72"/>
        <v>#REF!</v>
      </c>
      <c r="L78" s="289">
        <f t="shared" si="27"/>
        <v>0</v>
      </c>
      <c r="M78" s="174" t="e">
        <f>+M73+L78</f>
        <v>#REF!</v>
      </c>
      <c r="N78" s="289">
        <f t="shared" si="65"/>
        <v>0</v>
      </c>
      <c r="O78" s="245">
        <f ca="1">+O73+N78</f>
        <v>-13755012.788960446</v>
      </c>
      <c r="P78" s="169">
        <f t="shared" si="54"/>
        <v>0</v>
      </c>
      <c r="Q78" s="174">
        <f t="shared" ca="1" si="74"/>
        <v>14552914.440279899</v>
      </c>
      <c r="R78" s="289"/>
      <c r="S78" s="174" t="e">
        <f t="shared" si="75"/>
        <v>#REF!</v>
      </c>
      <c r="T78" s="166"/>
      <c r="U78" s="155" t="e">
        <f t="shared" ref="U78:U83" si="76">SUM(+G78+H78+J78+L78+P78+T78+N78+R78)</f>
        <v>#REF!</v>
      </c>
    </row>
    <row r="79" spans="1:31">
      <c r="A79" s="205"/>
      <c r="B79" s="293"/>
      <c r="E79" s="156">
        <f>+E77</f>
        <v>44440</v>
      </c>
      <c r="G79" s="167"/>
      <c r="H79" s="163"/>
      <c r="I79" s="342" t="e">
        <f t="shared" si="0"/>
        <v>#REF!</v>
      </c>
      <c r="J79" s="169">
        <f t="shared" si="26"/>
        <v>0</v>
      </c>
      <c r="K79" s="174" t="e">
        <f t="shared" si="72"/>
        <v>#REF!</v>
      </c>
      <c r="L79" s="289">
        <f t="shared" si="27"/>
        <v>0</v>
      </c>
      <c r="M79" s="174" t="e">
        <f t="shared" si="2"/>
        <v>#REF!</v>
      </c>
      <c r="N79" s="289">
        <f t="shared" si="65"/>
        <v>0</v>
      </c>
      <c r="O79" s="245">
        <f t="shared" ca="1" si="3"/>
        <v>-13755012.788960446</v>
      </c>
      <c r="P79" s="169">
        <f t="shared" si="54"/>
        <v>0</v>
      </c>
      <c r="Q79" s="174">
        <f t="shared" ca="1" si="74"/>
        <v>14552914.440279899</v>
      </c>
      <c r="R79" s="289"/>
      <c r="S79" s="174" t="e">
        <f t="shared" si="75"/>
        <v>#REF!</v>
      </c>
      <c r="T79" s="167"/>
      <c r="U79" s="155">
        <f t="shared" si="76"/>
        <v>0</v>
      </c>
    </row>
    <row r="80" spans="1:31">
      <c r="A80" s="205"/>
      <c r="B80" t="s">
        <v>459</v>
      </c>
      <c r="D80" s="72">
        <v>0.3</v>
      </c>
      <c r="E80" s="156">
        <f>+E79</f>
        <v>44440</v>
      </c>
      <c r="G80" s="167"/>
      <c r="H80" s="163">
        <f>SUM('CR Calculation'!F30*'Application of Funds'!D80)</f>
        <v>1147761.5220532913</v>
      </c>
      <c r="I80" s="342" t="e">
        <f t="shared" si="0"/>
        <v>#REF!</v>
      </c>
      <c r="J80" s="169">
        <f t="shared" si="26"/>
        <v>0</v>
      </c>
      <c r="K80" s="174" t="e">
        <f t="shared" si="1"/>
        <v>#REF!</v>
      </c>
      <c r="L80" s="289">
        <f t="shared" si="27"/>
        <v>0</v>
      </c>
      <c r="M80" s="174" t="e">
        <f t="shared" si="2"/>
        <v>#REF!</v>
      </c>
      <c r="N80" s="289">
        <f t="shared" si="65"/>
        <v>0</v>
      </c>
      <c r="O80" s="245">
        <f t="shared" ca="1" si="3"/>
        <v>-13755012.788960446</v>
      </c>
      <c r="P80" s="169">
        <f t="shared" si="54"/>
        <v>0</v>
      </c>
      <c r="Q80" s="174">
        <f t="shared" ca="1" si="74"/>
        <v>14552914.440279899</v>
      </c>
      <c r="R80" s="289"/>
      <c r="S80" s="174" t="e">
        <f t="shared" si="75"/>
        <v>#REF!</v>
      </c>
      <c r="T80" s="167"/>
      <c r="U80" s="155">
        <f t="shared" si="76"/>
        <v>1147761.5220532913</v>
      </c>
      <c r="V80" s="155"/>
      <c r="W80" s="155"/>
      <c r="X80" s="155"/>
      <c r="Y80" s="155"/>
      <c r="Z80" s="155"/>
      <c r="AA80" s="155"/>
      <c r="AB80" s="155"/>
      <c r="AC80" s="155"/>
      <c r="AD80" s="155"/>
      <c r="AE80" s="155"/>
    </row>
    <row r="81" spans="1:31">
      <c r="A81" s="205"/>
      <c r="B81" t="s">
        <v>541</v>
      </c>
      <c r="D81" s="72"/>
      <c r="E81" s="156">
        <f>+E80</f>
        <v>44440</v>
      </c>
      <c r="G81" s="167">
        <f>+'Sources &amp; Uses'!H63</f>
        <v>0</v>
      </c>
      <c r="H81" s="163">
        <f>-G81+G79</f>
        <v>0</v>
      </c>
      <c r="I81" s="342" t="e">
        <f>+I80+H81</f>
        <v>#REF!</v>
      </c>
      <c r="J81" s="169">
        <f t="shared" si="26"/>
        <v>0</v>
      </c>
      <c r="K81" s="174" t="e">
        <f t="shared" si="1"/>
        <v>#REF!</v>
      </c>
      <c r="L81" s="289">
        <f t="shared" si="27"/>
        <v>0</v>
      </c>
      <c r="M81" s="174" t="e">
        <f t="shared" si="2"/>
        <v>#REF!</v>
      </c>
      <c r="N81" s="289">
        <f t="shared" si="65"/>
        <v>0</v>
      </c>
      <c r="O81" s="245">
        <f t="shared" ca="1" si="3"/>
        <v>-13755012.788960446</v>
      </c>
      <c r="P81" s="169">
        <f t="shared" si="54"/>
        <v>0</v>
      </c>
      <c r="Q81" s="174">
        <f t="shared" ca="1" si="74"/>
        <v>14552914.440279899</v>
      </c>
      <c r="R81" s="289"/>
      <c r="S81" s="174" t="e">
        <f t="shared" si="75"/>
        <v>#REF!</v>
      </c>
      <c r="T81" s="167"/>
      <c r="U81" s="155">
        <f t="shared" si="76"/>
        <v>0</v>
      </c>
      <c r="V81" s="155"/>
      <c r="W81" s="155"/>
      <c r="X81" s="155"/>
      <c r="Y81" s="155"/>
      <c r="Z81" s="155"/>
      <c r="AA81" s="155"/>
      <c r="AB81" s="155"/>
      <c r="AC81" s="155"/>
      <c r="AD81" s="155"/>
      <c r="AE81" s="155"/>
    </row>
    <row r="82" spans="1:31">
      <c r="A82" s="205"/>
      <c r="B82" s="293" t="s">
        <v>1164</v>
      </c>
      <c r="E82" s="156">
        <f>+E81</f>
        <v>44440</v>
      </c>
      <c r="G82" s="167"/>
      <c r="H82" s="163" t="e">
        <f>-I81</f>
        <v>#REF!</v>
      </c>
      <c r="I82" s="342" t="e">
        <f>+I81+H82</f>
        <v>#REF!</v>
      </c>
      <c r="J82" s="167" t="e">
        <f>-K81</f>
        <v>#REF!</v>
      </c>
      <c r="K82" s="174" t="e">
        <f t="shared" si="1"/>
        <v>#REF!</v>
      </c>
      <c r="L82" s="289" t="e">
        <f>-M81</f>
        <v>#REF!</v>
      </c>
      <c r="M82" s="174" t="e">
        <f t="shared" si="2"/>
        <v>#REF!</v>
      </c>
      <c r="N82" s="289">
        <f ca="1">-D95-O81</f>
        <v>13755012.788960446</v>
      </c>
      <c r="O82" s="245">
        <f t="shared" ca="1" si="3"/>
        <v>0</v>
      </c>
      <c r="P82" s="169">
        <f ca="1">-Q81</f>
        <v>-14552914.440279899</v>
      </c>
      <c r="Q82" s="174">
        <f t="shared" ca="1" si="74"/>
        <v>0</v>
      </c>
      <c r="R82" s="289">
        <v>-1036344.58</v>
      </c>
      <c r="S82" s="174" t="e">
        <f t="shared" si="75"/>
        <v>#REF!</v>
      </c>
      <c r="T82" s="167"/>
      <c r="U82" s="155">
        <f t="shared" ca="1" si="76"/>
        <v>19575130.587193996</v>
      </c>
      <c r="V82" s="155"/>
      <c r="W82" s="155"/>
      <c r="X82" s="155"/>
      <c r="Y82" s="155"/>
      <c r="Z82" s="155"/>
      <c r="AA82" s="155"/>
      <c r="AB82" s="155"/>
      <c r="AC82" s="155"/>
      <c r="AD82" s="155"/>
      <c r="AE82" s="155"/>
    </row>
    <row r="83" spans="1:31">
      <c r="A83" s="214"/>
      <c r="B83" s="25" t="s">
        <v>460</v>
      </c>
      <c r="C83" s="25"/>
      <c r="D83" s="25"/>
      <c r="E83" s="225">
        <f>+E82</f>
        <v>44440</v>
      </c>
      <c r="F83" s="25"/>
      <c r="G83" s="168" t="e">
        <f>SUM('Sources &amp; Uses'!H67+'Sources &amp; Uses'!H68-' Draw Schedule'!I36-'Application of Funds'!F25)</f>
        <v>#REF!</v>
      </c>
      <c r="H83" s="161"/>
      <c r="I83" s="342" t="e">
        <f>+I82+H83</f>
        <v>#REF!</v>
      </c>
      <c r="J83" s="168" t="e">
        <f>-K82</f>
        <v>#REF!</v>
      </c>
      <c r="K83" s="174" t="e">
        <f t="shared" si="1"/>
        <v>#REF!</v>
      </c>
      <c r="L83" s="289">
        <f t="shared" si="27"/>
        <v>0</v>
      </c>
      <c r="M83" s="174" t="e">
        <f t="shared" si="2"/>
        <v>#REF!</v>
      </c>
      <c r="N83" s="289">
        <f t="shared" si="65"/>
        <v>0</v>
      </c>
      <c r="O83" s="245">
        <f t="shared" ca="1" si="3"/>
        <v>0</v>
      </c>
      <c r="P83" s="168"/>
      <c r="Q83" s="174">
        <f ca="1">+Q82+P83</f>
        <v>0</v>
      </c>
      <c r="R83" s="290" t="e">
        <f>-S82</f>
        <v>#REF!</v>
      </c>
      <c r="S83" s="174" t="e">
        <f>+S82+R83</f>
        <v>#REF!</v>
      </c>
      <c r="T83" s="168" t="e">
        <f>-T4</f>
        <v>#REF!</v>
      </c>
      <c r="U83" s="155" t="e">
        <f t="shared" si="76"/>
        <v>#REF!</v>
      </c>
      <c r="V83" s="155"/>
      <c r="W83" s="155"/>
      <c r="X83" s="155"/>
      <c r="Y83" s="155"/>
      <c r="Z83" s="155"/>
      <c r="AA83" s="155"/>
      <c r="AB83" s="155"/>
      <c r="AC83" s="155"/>
      <c r="AD83" s="155"/>
      <c r="AE83" s="155"/>
    </row>
    <row r="84" spans="1:31" ht="13.5" thickBot="1">
      <c r="D84" s="9">
        <f>SUM(D6:D83)-D25</f>
        <v>1</v>
      </c>
      <c r="F84" s="156"/>
      <c r="G84" s="236" t="e">
        <f>SUM(G26:G83)-G28</f>
        <v>#REF!</v>
      </c>
      <c r="H84" s="170" t="e">
        <f>SUM(H4:H83)</f>
        <v>#REF!</v>
      </c>
      <c r="I84" s="171"/>
      <c r="J84" s="170" t="e">
        <f>SUM(J5:J83)</f>
        <v>#REF!</v>
      </c>
      <c r="K84" s="170"/>
      <c r="L84" s="291" t="e">
        <f>SUM(L5:L83)</f>
        <v>#REF!</v>
      </c>
      <c r="M84" s="170"/>
      <c r="N84" s="291"/>
      <c r="O84" s="170"/>
      <c r="P84" s="170" t="e">
        <f>SUM(P34:P83)</f>
        <v>#REF!</v>
      </c>
      <c r="Q84" s="172"/>
      <c r="R84" s="291" t="e">
        <f>SUM(R34:R83)</f>
        <v>#REF!</v>
      </c>
      <c r="S84" s="172"/>
      <c r="T84" s="170" t="e">
        <f>SUM(T4:T83)</f>
        <v>#REF!</v>
      </c>
      <c r="U84" s="155"/>
      <c r="V84" s="155"/>
      <c r="W84" s="155"/>
      <c r="X84" s="155"/>
      <c r="Y84" s="155"/>
      <c r="Z84" s="155"/>
      <c r="AA84" s="155"/>
      <c r="AB84" s="155"/>
      <c r="AC84" s="155"/>
      <c r="AD84" s="155"/>
      <c r="AE84" s="155"/>
    </row>
    <row r="85" spans="1:31" ht="13.5" thickTop="1">
      <c r="F85" s="156"/>
      <c r="G85" s="155"/>
      <c r="H85" s="155"/>
      <c r="I85" s="155"/>
      <c r="Q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  <c r="AC85" s="155"/>
      <c r="AD85" s="155"/>
      <c r="AE85" s="155"/>
    </row>
    <row r="86" spans="1:31">
      <c r="B86" s="32"/>
      <c r="C86" s="9"/>
      <c r="F86" s="155"/>
      <c r="G86" s="155"/>
      <c r="H86" s="155"/>
      <c r="I86" s="155"/>
      <c r="J86" s="155"/>
      <c r="K86" s="155"/>
      <c r="M86" s="155"/>
      <c r="O86" s="155"/>
      <c r="P86" s="155"/>
      <c r="Q86" s="155"/>
      <c r="S86" s="155"/>
      <c r="T86" s="155"/>
      <c r="U86" s="155" t="e">
        <f>SUM(U4:U85)</f>
        <v>#REF!</v>
      </c>
      <c r="V86" s="155"/>
      <c r="W86" s="155"/>
      <c r="X86" s="155"/>
      <c r="Y86" s="155"/>
      <c r="Z86" s="155"/>
      <c r="AA86" s="155"/>
      <c r="AB86" s="155"/>
      <c r="AC86" s="155"/>
      <c r="AD86" s="155"/>
      <c r="AE86" s="155"/>
    </row>
    <row r="87" spans="1:31">
      <c r="B87" s="32"/>
      <c r="C87" s="52"/>
      <c r="F87" s="155"/>
      <c r="G87" s="155"/>
      <c r="H87" s="155"/>
      <c r="I87" s="155"/>
      <c r="J87" s="155"/>
      <c r="K87" s="155"/>
      <c r="M87" s="155"/>
      <c r="O87" s="155"/>
      <c r="P87" s="155"/>
      <c r="Q87" s="155"/>
      <c r="S87" s="155"/>
      <c r="T87" s="155"/>
      <c r="U87" s="155">
        <f>-U74</f>
        <v>0</v>
      </c>
      <c r="V87" s="155"/>
      <c r="W87" s="155"/>
      <c r="X87" s="155"/>
      <c r="Y87" s="155"/>
      <c r="Z87" s="155"/>
      <c r="AA87" s="155"/>
      <c r="AB87" s="155"/>
      <c r="AC87" s="155"/>
      <c r="AD87" s="155"/>
      <c r="AE87" s="155"/>
    </row>
    <row r="88" spans="1:31">
      <c r="B88" s="32" t="s">
        <v>616</v>
      </c>
      <c r="C88" s="52"/>
      <c r="F88" s="155"/>
      <c r="G88" s="465" t="e">
        <f>SUM('Sources &amp; Uses'!I75-'Application of Funds'!G84)</f>
        <v>#REF!</v>
      </c>
      <c r="H88" s="155"/>
      <c r="I88" s="155"/>
      <c r="J88" s="155"/>
      <c r="K88" s="155"/>
      <c r="M88" s="155"/>
      <c r="O88" s="155"/>
      <c r="P88" s="155"/>
      <c r="Q88" s="155"/>
      <c r="S88" s="155"/>
      <c r="T88" s="155"/>
      <c r="U88" s="155"/>
      <c r="V88" s="155"/>
      <c r="W88" s="155"/>
      <c r="X88" s="155"/>
      <c r="Y88" s="155"/>
      <c r="Z88" s="155"/>
      <c r="AA88" s="155"/>
      <c r="AB88" s="155"/>
      <c r="AC88" s="155"/>
      <c r="AD88" s="155"/>
      <c r="AE88" s="155"/>
    </row>
    <row r="89" spans="1:31" hidden="1">
      <c r="D89" t="s">
        <v>542</v>
      </c>
      <c r="F89" s="155"/>
      <c r="G89" s="155">
        <f>SUM(H6+H61+H80+P80)</f>
        <v>3825871.7401776379</v>
      </c>
      <c r="H89" s="155"/>
      <c r="I89" s="155"/>
      <c r="J89" s="155"/>
      <c r="K89" s="155"/>
      <c r="M89" s="155"/>
      <c r="O89" s="155"/>
      <c r="P89" s="155"/>
      <c r="Q89" s="155"/>
      <c r="S89" s="155"/>
      <c r="T89" s="155"/>
      <c r="U89" s="155"/>
      <c r="V89" s="155"/>
      <c r="W89" s="155"/>
      <c r="X89" s="155"/>
      <c r="Y89" s="155"/>
      <c r="Z89" s="155"/>
      <c r="AA89" s="155"/>
      <c r="AB89" s="155"/>
      <c r="AC89" s="155"/>
      <c r="AD89" s="155"/>
      <c r="AE89" s="155"/>
    </row>
    <row r="90" spans="1:31" hidden="1">
      <c r="F90" s="155"/>
      <c r="G90" s="52" t="e">
        <f>SUM(H26+H30+H31+H32+H34+H65+H66+H67+H70+H81+H83+J34+J35+J37+J38+J39+J42+J45+J46+J47)</f>
        <v>#REF!</v>
      </c>
      <c r="H90" s="155"/>
      <c r="I90" s="155"/>
      <c r="J90" s="155"/>
      <c r="K90" s="155"/>
      <c r="M90" s="155"/>
      <c r="O90" s="155"/>
      <c r="P90" s="155"/>
      <c r="Q90" s="155"/>
      <c r="S90" s="155"/>
      <c r="T90" s="155"/>
      <c r="U90" s="155"/>
      <c r="V90" s="155"/>
      <c r="W90" s="155"/>
      <c r="X90" s="155"/>
      <c r="Y90" s="155"/>
      <c r="Z90" s="155"/>
      <c r="AA90" s="155"/>
      <c r="AB90" s="155"/>
      <c r="AC90" s="155"/>
      <c r="AD90" s="155"/>
      <c r="AE90" s="155"/>
    </row>
    <row r="91" spans="1:31">
      <c r="F91" s="155"/>
      <c r="G91" s="155"/>
      <c r="H91" s="155"/>
      <c r="I91" s="155"/>
      <c r="J91" s="155"/>
      <c r="K91" s="155"/>
      <c r="M91" s="155"/>
      <c r="O91" s="155"/>
      <c r="P91" s="155"/>
      <c r="Q91" s="155"/>
      <c r="S91" s="155"/>
      <c r="T91" s="155"/>
      <c r="U91" s="155" t="e">
        <f>SUM(U86:U87)</f>
        <v>#REF!</v>
      </c>
      <c r="V91" s="155"/>
      <c r="W91" s="155"/>
      <c r="X91" s="155"/>
      <c r="Y91" s="155"/>
      <c r="Z91" s="155"/>
      <c r="AA91" s="155"/>
      <c r="AB91" s="155"/>
      <c r="AC91" s="155"/>
      <c r="AD91" s="155"/>
      <c r="AE91" s="155"/>
    </row>
    <row r="92" spans="1:31" hidden="1">
      <c r="B92" t="s">
        <v>766</v>
      </c>
      <c r="C92" s="32"/>
      <c r="E92" s="9">
        <v>0</v>
      </c>
      <c r="F92" s="155"/>
      <c r="G92" s="155">
        <f>SUM(M4*E92)</f>
        <v>0</v>
      </c>
      <c r="H92" s="155"/>
      <c r="I92" s="155"/>
      <c r="J92" s="155"/>
      <c r="K92" s="155"/>
      <c r="M92" s="155"/>
      <c r="O92" s="155"/>
      <c r="P92" s="155"/>
      <c r="Q92" s="155"/>
      <c r="S92" s="155"/>
      <c r="T92" s="155"/>
      <c r="U92" s="155" t="e">
        <f>SUM(U91-'CR Calculation'!F30)</f>
        <v>#REF!</v>
      </c>
      <c r="V92" s="155"/>
      <c r="W92" s="155"/>
      <c r="X92" s="155"/>
      <c r="Y92" s="155"/>
      <c r="Z92" s="155"/>
      <c r="AA92" s="155"/>
      <c r="AB92" s="155"/>
      <c r="AC92" s="155"/>
      <c r="AD92" s="155"/>
      <c r="AE92" s="155"/>
    </row>
    <row r="93" spans="1:31" hidden="1">
      <c r="B93" t="s">
        <v>767</v>
      </c>
      <c r="E93" s="9">
        <v>0</v>
      </c>
      <c r="F93" s="155"/>
      <c r="G93" s="155">
        <f>SUM(E93*O4)</f>
        <v>0</v>
      </c>
      <c r="H93" s="155"/>
      <c r="I93" s="155"/>
      <c r="J93" s="155"/>
      <c r="K93" s="155"/>
      <c r="M93" s="155"/>
      <c r="O93" s="155"/>
      <c r="P93" s="155"/>
      <c r="Q93" s="155"/>
      <c r="S93" s="155"/>
      <c r="T93" s="155"/>
      <c r="U93" s="155"/>
      <c r="V93" s="155"/>
      <c r="W93" s="155"/>
      <c r="X93" s="155"/>
      <c r="Y93" s="155"/>
      <c r="Z93" s="155"/>
      <c r="AA93" s="155"/>
      <c r="AB93" s="155"/>
      <c r="AC93" s="155"/>
      <c r="AD93" s="155"/>
      <c r="AE93" s="155"/>
    </row>
    <row r="94" spans="1:31" hidden="1">
      <c r="F94" s="155"/>
      <c r="G94" s="155"/>
      <c r="H94" s="155"/>
      <c r="I94" s="155"/>
      <c r="J94" s="155"/>
      <c r="K94" s="155"/>
      <c r="M94" s="155"/>
      <c r="O94" s="155"/>
      <c r="P94" s="155"/>
      <c r="Q94" s="155"/>
      <c r="S94" s="155"/>
      <c r="T94" s="155"/>
      <c r="U94" s="155"/>
      <c r="V94" s="155"/>
      <c r="W94" s="155"/>
      <c r="X94" s="155"/>
      <c r="Y94" s="155"/>
      <c r="Z94" s="155"/>
      <c r="AA94" s="155"/>
      <c r="AB94" s="155"/>
      <c r="AC94" s="155"/>
      <c r="AD94" s="155"/>
      <c r="AE94" s="155"/>
    </row>
    <row r="95" spans="1:31">
      <c r="B95" s="293" t="s">
        <v>1148</v>
      </c>
      <c r="D95" s="52">
        <f>+'Interest Calculation'!C4</f>
        <v>18500000</v>
      </c>
      <c r="F95" s="155"/>
      <c r="G95" s="155"/>
      <c r="H95" s="155"/>
      <c r="I95" s="155"/>
      <c r="J95" s="155"/>
      <c r="K95" s="155"/>
      <c r="M95" s="155"/>
      <c r="O95" s="155"/>
      <c r="P95" s="155"/>
      <c r="Q95" s="155"/>
      <c r="S95" s="155"/>
      <c r="T95" s="155"/>
      <c r="U95" s="155"/>
      <c r="V95" s="155"/>
      <c r="W95" s="155"/>
      <c r="X95" s="155"/>
      <c r="Y95" s="155"/>
      <c r="Z95" s="155"/>
      <c r="AA95" s="155"/>
      <c r="AB95" s="155"/>
      <c r="AC95" s="155"/>
      <c r="AD95" s="155"/>
      <c r="AE95" s="155"/>
    </row>
    <row r="96" spans="1:31">
      <c r="B96" s="293" t="s">
        <v>1149</v>
      </c>
      <c r="D96">
        <v>0.95</v>
      </c>
      <c r="F96" s="155"/>
      <c r="G96" s="155"/>
      <c r="H96" s="155"/>
      <c r="I96" s="155"/>
      <c r="J96" s="155"/>
      <c r="K96" s="155"/>
      <c r="M96" s="155"/>
      <c r="O96" s="155"/>
      <c r="P96" s="155"/>
      <c r="Q96" s="155"/>
      <c r="S96" s="155"/>
      <c r="T96" s="155"/>
      <c r="U96" s="155"/>
      <c r="V96" s="155"/>
      <c r="W96" s="155"/>
      <c r="X96" s="155"/>
      <c r="Y96" s="155"/>
      <c r="Z96" s="155"/>
      <c r="AA96" s="155"/>
      <c r="AB96" s="155"/>
      <c r="AC96" s="155"/>
      <c r="AD96" s="155"/>
      <c r="AE96" s="155"/>
    </row>
    <row r="97" spans="2:31">
      <c r="B97" s="293" t="s">
        <v>1150</v>
      </c>
      <c r="D97" s="52">
        <f>+D95*D96</f>
        <v>17575000</v>
      </c>
      <c r="F97" s="155"/>
      <c r="G97" s="155"/>
      <c r="H97" s="155"/>
      <c r="I97" s="155"/>
      <c r="J97" s="155"/>
      <c r="K97" s="155"/>
      <c r="M97" s="155"/>
      <c r="O97" s="155"/>
      <c r="P97" s="155"/>
      <c r="Q97" s="155"/>
      <c r="S97" s="155"/>
      <c r="T97" s="155"/>
      <c r="U97" s="155"/>
      <c r="V97" s="155"/>
      <c r="W97" s="155"/>
      <c r="X97" s="155"/>
      <c r="Y97" s="155"/>
      <c r="Z97" s="155"/>
      <c r="AA97" s="155"/>
      <c r="AB97" s="155"/>
      <c r="AC97" s="155"/>
      <c r="AD97" s="155"/>
      <c r="AE97" s="155"/>
    </row>
    <row r="98" spans="2:31">
      <c r="F98" s="155"/>
      <c r="G98" s="155"/>
      <c r="H98" s="155"/>
      <c r="I98" s="155"/>
      <c r="J98" s="155"/>
      <c r="K98" s="155"/>
      <c r="M98" s="155"/>
      <c r="O98" s="155"/>
      <c r="P98" s="155"/>
      <c r="Q98" s="155"/>
      <c r="S98" s="155"/>
      <c r="T98" s="155"/>
      <c r="U98" s="155"/>
      <c r="V98" s="155"/>
      <c r="W98" s="155"/>
      <c r="X98" s="155"/>
      <c r="Y98" s="155"/>
      <c r="Z98" s="155"/>
      <c r="AA98" s="155"/>
      <c r="AB98" s="155"/>
      <c r="AC98" s="155"/>
      <c r="AD98" s="155"/>
      <c r="AE98" s="155"/>
    </row>
    <row r="99" spans="2:31">
      <c r="F99" s="155"/>
      <c r="G99" s="155"/>
      <c r="H99" s="155"/>
      <c r="I99" s="155"/>
      <c r="J99" s="155"/>
      <c r="K99" s="155"/>
      <c r="M99" s="155"/>
      <c r="O99" s="155"/>
      <c r="P99" s="155"/>
      <c r="Q99" s="155"/>
      <c r="S99" s="155"/>
      <c r="T99" s="155"/>
      <c r="U99" s="155"/>
      <c r="V99" s="155"/>
      <c r="W99" s="155"/>
      <c r="X99" s="155"/>
      <c r="Y99" s="155"/>
      <c r="Z99" s="155"/>
      <c r="AA99" s="155"/>
      <c r="AB99" s="155"/>
      <c r="AC99" s="155"/>
      <c r="AD99" s="155"/>
      <c r="AE99" s="155"/>
    </row>
    <row r="100" spans="2:31">
      <c r="F100" s="155"/>
      <c r="G100" s="155"/>
      <c r="H100" s="155"/>
      <c r="I100" s="155"/>
      <c r="J100" s="155"/>
      <c r="K100" s="155"/>
      <c r="M100" s="155"/>
      <c r="O100" s="155"/>
      <c r="P100" s="155"/>
      <c r="Q100" s="155"/>
      <c r="S100" s="155"/>
      <c r="T100" s="155"/>
      <c r="U100" s="155"/>
      <c r="V100" s="155"/>
      <c r="W100" s="155"/>
      <c r="X100" s="155"/>
      <c r="Y100" s="155"/>
      <c r="Z100" s="155"/>
      <c r="AA100" s="155"/>
      <c r="AB100" s="155"/>
      <c r="AC100" s="155"/>
      <c r="AD100" s="155"/>
      <c r="AE100" s="155"/>
    </row>
    <row r="101" spans="2:31">
      <c r="F101" s="155"/>
      <c r="G101" s="155"/>
      <c r="H101" s="155"/>
      <c r="I101" s="155"/>
      <c r="J101" s="155"/>
      <c r="K101" s="155"/>
      <c r="M101" s="155"/>
      <c r="O101" s="155"/>
      <c r="P101" s="155"/>
      <c r="Q101" s="155"/>
      <c r="S101" s="155"/>
      <c r="T101" s="155"/>
      <c r="U101" s="155"/>
      <c r="V101" s="155"/>
      <c r="W101" s="155"/>
      <c r="X101" s="155"/>
      <c r="Y101" s="155"/>
      <c r="Z101" s="155"/>
      <c r="AA101" s="155"/>
      <c r="AB101" s="155"/>
      <c r="AC101" s="155"/>
      <c r="AD101" s="155"/>
      <c r="AE101" s="155"/>
    </row>
    <row r="102" spans="2:31">
      <c r="F102" s="155"/>
      <c r="G102" s="155"/>
      <c r="H102" s="155"/>
      <c r="I102" s="155"/>
      <c r="J102" s="155"/>
      <c r="K102" s="155"/>
      <c r="M102" s="155"/>
      <c r="O102" s="155"/>
      <c r="P102" s="155"/>
      <c r="Q102" s="155"/>
      <c r="S102" s="155"/>
      <c r="T102" s="155"/>
      <c r="U102" s="155"/>
      <c r="V102" s="155"/>
      <c r="W102" s="155"/>
      <c r="X102" s="155"/>
      <c r="Y102" s="155"/>
      <c r="Z102" s="155"/>
      <c r="AA102" s="155"/>
      <c r="AB102" s="155"/>
      <c r="AC102" s="155"/>
      <c r="AD102" s="155"/>
      <c r="AE102" s="155"/>
    </row>
    <row r="103" spans="2:31">
      <c r="F103" s="155"/>
      <c r="G103" s="155"/>
      <c r="H103" s="155"/>
      <c r="I103" s="155"/>
      <c r="J103" s="155"/>
      <c r="K103" s="155"/>
      <c r="M103" s="155"/>
      <c r="O103" s="155"/>
      <c r="P103" s="155"/>
      <c r="Q103" s="155"/>
      <c r="S103" s="155"/>
      <c r="T103" s="155"/>
      <c r="U103" s="155"/>
      <c r="V103" s="155"/>
      <c r="W103" s="155"/>
      <c r="X103" s="155"/>
      <c r="Y103" s="155"/>
      <c r="Z103" s="155"/>
      <c r="AA103" s="155"/>
      <c r="AB103" s="155"/>
      <c r="AC103" s="155"/>
      <c r="AD103" s="155"/>
      <c r="AE103" s="155"/>
    </row>
    <row r="104" spans="2:31">
      <c r="F104" s="155"/>
      <c r="G104" s="155"/>
      <c r="H104" s="155"/>
      <c r="I104" s="155"/>
      <c r="J104" s="155"/>
      <c r="K104" s="155"/>
      <c r="M104" s="155"/>
      <c r="O104" s="155"/>
      <c r="P104" s="155"/>
      <c r="Q104" s="155"/>
      <c r="S104" s="155"/>
      <c r="T104" s="155"/>
      <c r="U104" s="155"/>
      <c r="V104" s="155"/>
      <c r="W104" s="155"/>
      <c r="X104" s="155"/>
      <c r="Y104" s="155"/>
      <c r="Z104" s="155"/>
      <c r="AA104" s="155"/>
      <c r="AB104" s="155"/>
      <c r="AC104" s="155"/>
      <c r="AD104" s="155"/>
      <c r="AE104" s="155"/>
    </row>
    <row r="105" spans="2:31">
      <c r="F105" s="155"/>
      <c r="G105" s="155"/>
      <c r="H105" s="155"/>
      <c r="I105" s="155"/>
      <c r="J105" s="155"/>
      <c r="K105" s="155"/>
      <c r="M105" s="155"/>
      <c r="O105" s="155"/>
      <c r="P105" s="155"/>
      <c r="Q105" s="155"/>
      <c r="S105" s="155"/>
      <c r="T105" s="155"/>
      <c r="U105" s="155"/>
      <c r="V105" s="155"/>
      <c r="W105" s="155"/>
      <c r="X105" s="155"/>
      <c r="Y105" s="155"/>
      <c r="Z105" s="155"/>
      <c r="AA105" s="155"/>
      <c r="AB105" s="155"/>
      <c r="AC105" s="155"/>
      <c r="AD105" s="155"/>
      <c r="AE105" s="155"/>
    </row>
    <row r="106" spans="2:31">
      <c r="F106" s="155"/>
      <c r="G106" s="155"/>
      <c r="H106" s="155"/>
      <c r="I106" s="155"/>
      <c r="J106" s="155"/>
      <c r="K106" s="155"/>
      <c r="M106" s="155"/>
      <c r="O106" s="155"/>
      <c r="P106" s="155"/>
      <c r="Q106" s="155"/>
      <c r="S106" s="155"/>
      <c r="T106" s="155"/>
      <c r="U106" s="155"/>
      <c r="V106" s="155"/>
      <c r="W106" s="155"/>
      <c r="X106" s="155"/>
      <c r="Y106" s="155"/>
      <c r="Z106" s="155"/>
      <c r="AA106" s="155"/>
      <c r="AB106" s="155"/>
      <c r="AC106" s="155"/>
      <c r="AD106" s="155"/>
      <c r="AE106" s="155"/>
    </row>
    <row r="107" spans="2:31">
      <c r="F107" s="155"/>
      <c r="G107" s="155"/>
      <c r="H107" s="155"/>
      <c r="I107" s="155"/>
      <c r="J107" s="155"/>
      <c r="K107" s="155"/>
      <c r="M107" s="155"/>
      <c r="O107" s="155"/>
      <c r="P107" s="155"/>
      <c r="Q107" s="155"/>
      <c r="S107" s="155"/>
      <c r="T107" s="155"/>
      <c r="U107" s="155"/>
      <c r="V107" s="155"/>
      <c r="W107" s="155"/>
      <c r="X107" s="155"/>
      <c r="Y107" s="155"/>
      <c r="Z107" s="155"/>
      <c r="AA107" s="155"/>
      <c r="AB107" s="155"/>
      <c r="AC107" s="155"/>
      <c r="AD107" s="155"/>
      <c r="AE107" s="155"/>
    </row>
    <row r="108" spans="2:31">
      <c r="F108" s="155"/>
      <c r="G108" s="155"/>
      <c r="H108" s="155"/>
      <c r="I108" s="155"/>
      <c r="J108" s="155"/>
      <c r="K108" s="155"/>
      <c r="M108" s="155"/>
      <c r="O108" s="155"/>
      <c r="P108" s="155"/>
      <c r="Q108" s="155"/>
      <c r="S108" s="155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</row>
    <row r="109" spans="2:31">
      <c r="F109" s="155"/>
      <c r="G109" s="155"/>
      <c r="H109" s="155"/>
      <c r="I109" s="155"/>
      <c r="J109" s="155"/>
      <c r="K109" s="155"/>
      <c r="M109" s="155"/>
      <c r="O109" s="155"/>
      <c r="P109" s="155"/>
      <c r="Q109" s="155"/>
      <c r="S109" s="155"/>
      <c r="T109" s="155"/>
      <c r="U109" s="155"/>
      <c r="V109" s="155"/>
      <c r="W109" s="155"/>
      <c r="X109" s="155"/>
      <c r="Y109" s="155"/>
      <c r="Z109" s="155"/>
      <c r="AA109" s="155"/>
      <c r="AB109" s="155"/>
      <c r="AC109" s="155"/>
      <c r="AD109" s="155"/>
      <c r="AE109" s="155"/>
    </row>
    <row r="110" spans="2:31">
      <c r="F110" s="155"/>
      <c r="G110" s="155"/>
      <c r="H110" s="155"/>
      <c r="I110" s="155"/>
      <c r="J110" s="155"/>
      <c r="K110" s="155"/>
      <c r="M110" s="155"/>
      <c r="O110" s="155"/>
      <c r="P110" s="155"/>
      <c r="Q110" s="155"/>
      <c r="S110" s="155"/>
      <c r="T110" s="155"/>
      <c r="U110" s="155"/>
      <c r="V110" s="155"/>
      <c r="W110" s="155"/>
      <c r="X110" s="155"/>
      <c r="Y110" s="155"/>
      <c r="Z110" s="155"/>
      <c r="AA110" s="155"/>
      <c r="AB110" s="155"/>
      <c r="AC110" s="155"/>
      <c r="AD110" s="155"/>
      <c r="AE110" s="155"/>
    </row>
    <row r="111" spans="2:31">
      <c r="F111" s="155"/>
      <c r="G111" s="155"/>
      <c r="H111" s="155"/>
      <c r="I111" s="155"/>
      <c r="J111" s="155"/>
      <c r="K111" s="155"/>
      <c r="M111" s="155"/>
      <c r="O111" s="155"/>
      <c r="P111" s="155"/>
      <c r="Q111" s="155"/>
      <c r="S111" s="155"/>
      <c r="T111" s="155"/>
      <c r="U111" s="155"/>
      <c r="V111" s="155"/>
      <c r="W111" s="155"/>
      <c r="X111" s="155"/>
      <c r="Y111" s="155"/>
      <c r="Z111" s="155"/>
      <c r="AA111" s="155"/>
      <c r="AB111" s="155"/>
      <c r="AC111" s="155"/>
      <c r="AD111" s="155"/>
      <c r="AE111" s="155"/>
    </row>
    <row r="112" spans="2:31">
      <c r="F112" s="155"/>
      <c r="G112" s="155"/>
      <c r="H112" s="155"/>
      <c r="I112" s="155"/>
      <c r="J112" s="155"/>
      <c r="K112" s="155"/>
      <c r="M112" s="155"/>
      <c r="O112" s="155"/>
      <c r="P112" s="155"/>
      <c r="Q112" s="155"/>
      <c r="S112" s="155"/>
      <c r="T112" s="155"/>
      <c r="U112" s="155"/>
      <c r="V112" s="155"/>
      <c r="W112" s="155"/>
      <c r="X112" s="155"/>
      <c r="Y112" s="155"/>
      <c r="Z112" s="155"/>
      <c r="AA112" s="155"/>
      <c r="AB112" s="155"/>
      <c r="AC112" s="155"/>
      <c r="AD112" s="155"/>
      <c r="AE112" s="155"/>
    </row>
    <row r="113" spans="6:31">
      <c r="F113" s="155"/>
      <c r="G113" s="155"/>
      <c r="H113" s="155"/>
      <c r="I113" s="155"/>
      <c r="J113" s="155"/>
      <c r="K113" s="155"/>
      <c r="M113" s="155"/>
      <c r="O113" s="155"/>
      <c r="P113" s="155"/>
      <c r="Q113" s="155"/>
      <c r="S113" s="155"/>
      <c r="T113" s="155"/>
      <c r="U113" s="155"/>
      <c r="V113" s="155"/>
      <c r="W113" s="155"/>
      <c r="X113" s="155"/>
      <c r="Y113" s="155"/>
      <c r="Z113" s="155"/>
      <c r="AA113" s="155"/>
      <c r="AB113" s="155"/>
      <c r="AC113" s="155"/>
      <c r="AD113" s="155"/>
      <c r="AE113" s="155"/>
    </row>
    <row r="114" spans="6:31">
      <c r="F114" s="155"/>
      <c r="G114" s="155"/>
      <c r="H114" s="155"/>
      <c r="I114" s="155"/>
      <c r="J114" s="155"/>
      <c r="K114" s="155"/>
      <c r="M114" s="155"/>
      <c r="O114" s="155"/>
      <c r="P114" s="155"/>
      <c r="Q114" s="155"/>
      <c r="S114" s="155"/>
      <c r="T114" s="155"/>
      <c r="U114" s="155"/>
      <c r="V114" s="155"/>
      <c r="W114" s="155"/>
      <c r="X114" s="155"/>
      <c r="Y114" s="155"/>
      <c r="Z114" s="155"/>
      <c r="AA114" s="155"/>
      <c r="AB114" s="155"/>
      <c r="AC114" s="155"/>
      <c r="AD114" s="155"/>
      <c r="AE114" s="155"/>
    </row>
    <row r="115" spans="6:31">
      <c r="F115" s="155"/>
      <c r="G115" s="155"/>
      <c r="H115" s="155"/>
      <c r="I115" s="155"/>
      <c r="J115" s="155"/>
      <c r="K115" s="155"/>
      <c r="M115" s="155"/>
      <c r="O115" s="155"/>
      <c r="P115" s="155"/>
      <c r="Q115" s="155"/>
      <c r="S115" s="155"/>
      <c r="T115" s="155"/>
      <c r="U115" s="155"/>
      <c r="V115" s="155"/>
      <c r="W115" s="155"/>
      <c r="X115" s="155"/>
      <c r="Y115" s="155"/>
      <c r="Z115" s="155"/>
      <c r="AA115" s="155"/>
      <c r="AB115" s="155"/>
      <c r="AC115" s="155"/>
      <c r="AD115" s="155"/>
      <c r="AE115" s="155"/>
    </row>
    <row r="116" spans="6:31">
      <c r="F116" s="155"/>
      <c r="G116" s="155"/>
      <c r="H116" s="155"/>
      <c r="I116" s="155"/>
      <c r="J116" s="155"/>
      <c r="K116" s="155"/>
      <c r="M116" s="155"/>
      <c r="O116" s="155"/>
      <c r="P116" s="155"/>
      <c r="Q116" s="155"/>
      <c r="S116" s="155"/>
      <c r="T116" s="155"/>
      <c r="U116" s="155"/>
      <c r="V116" s="155"/>
      <c r="W116" s="155"/>
      <c r="X116" s="155"/>
      <c r="Y116" s="155"/>
      <c r="Z116" s="155"/>
      <c r="AA116" s="155"/>
      <c r="AB116" s="155"/>
      <c r="AC116" s="155"/>
      <c r="AD116" s="155"/>
      <c r="AE116" s="155"/>
    </row>
    <row r="117" spans="6:31">
      <c r="F117" s="155"/>
      <c r="G117" s="155"/>
      <c r="H117" s="155"/>
      <c r="I117" s="155"/>
      <c r="J117" s="155"/>
      <c r="K117" s="155"/>
      <c r="M117" s="155"/>
      <c r="O117" s="155"/>
      <c r="P117" s="155"/>
      <c r="Q117" s="155"/>
      <c r="S117" s="155"/>
      <c r="T117" s="155"/>
      <c r="U117" s="155"/>
      <c r="V117" s="155"/>
      <c r="W117" s="155"/>
      <c r="X117" s="155"/>
      <c r="Y117" s="155"/>
      <c r="Z117" s="155"/>
      <c r="AA117" s="155"/>
      <c r="AB117" s="155"/>
      <c r="AC117" s="155"/>
      <c r="AD117" s="155"/>
      <c r="AE117" s="155"/>
    </row>
    <row r="118" spans="6:31">
      <c r="F118" s="155"/>
      <c r="G118" s="155"/>
      <c r="H118" s="155"/>
      <c r="I118" s="155"/>
      <c r="J118" s="155"/>
      <c r="K118" s="155"/>
      <c r="M118" s="155"/>
      <c r="O118" s="155"/>
      <c r="P118" s="155"/>
      <c r="Q118" s="155"/>
      <c r="S118" s="155"/>
      <c r="T118" s="155"/>
      <c r="U118" s="155"/>
      <c r="V118" s="155"/>
      <c r="W118" s="155"/>
      <c r="X118" s="155"/>
      <c r="Y118" s="155"/>
      <c r="Z118" s="155"/>
      <c r="AA118" s="155"/>
      <c r="AB118" s="155"/>
      <c r="AC118" s="155"/>
      <c r="AD118" s="155"/>
      <c r="AE118" s="155"/>
    </row>
    <row r="119" spans="6:31">
      <c r="F119" s="155"/>
      <c r="G119" s="155"/>
      <c r="H119" s="155"/>
      <c r="I119" s="155"/>
      <c r="J119" s="155"/>
      <c r="K119" s="155"/>
      <c r="M119" s="155"/>
      <c r="O119" s="155"/>
      <c r="P119" s="155"/>
      <c r="Q119" s="155"/>
      <c r="S119" s="155"/>
      <c r="T119" s="155"/>
      <c r="U119" s="155"/>
      <c r="V119" s="155"/>
      <c r="W119" s="155"/>
      <c r="X119" s="155"/>
      <c r="Y119" s="155"/>
      <c r="Z119" s="155"/>
      <c r="AA119" s="155"/>
      <c r="AB119" s="155"/>
      <c r="AC119" s="155"/>
      <c r="AD119" s="155"/>
      <c r="AE119" s="155"/>
    </row>
    <row r="120" spans="6:31">
      <c r="F120" s="155"/>
      <c r="G120" s="155"/>
      <c r="H120" s="155"/>
      <c r="I120" s="155"/>
      <c r="J120" s="155"/>
      <c r="K120" s="155"/>
      <c r="M120" s="155"/>
      <c r="O120" s="155"/>
      <c r="P120" s="155"/>
      <c r="Q120" s="155"/>
      <c r="S120" s="155"/>
      <c r="T120" s="155"/>
      <c r="U120" s="155"/>
      <c r="V120" s="155"/>
      <c r="W120" s="155"/>
      <c r="X120" s="155"/>
      <c r="Y120" s="155"/>
      <c r="Z120" s="155"/>
      <c r="AA120" s="155"/>
      <c r="AB120" s="155"/>
      <c r="AC120" s="155"/>
      <c r="AD120" s="155"/>
      <c r="AE120" s="155"/>
    </row>
    <row r="121" spans="6:31">
      <c r="F121" s="155"/>
      <c r="G121" s="155"/>
      <c r="H121" s="155"/>
      <c r="I121" s="155"/>
      <c r="J121" s="155"/>
      <c r="K121" s="155"/>
      <c r="M121" s="155"/>
      <c r="O121" s="155"/>
      <c r="P121" s="155"/>
      <c r="Q121" s="155"/>
      <c r="S121" s="155"/>
      <c r="T121" s="155"/>
      <c r="U121" s="155"/>
      <c r="V121" s="155"/>
      <c r="W121" s="155"/>
      <c r="X121" s="155"/>
      <c r="Y121" s="155"/>
      <c r="Z121" s="155"/>
      <c r="AA121" s="155"/>
      <c r="AB121" s="155"/>
      <c r="AC121" s="155"/>
      <c r="AD121" s="155"/>
      <c r="AE121" s="155"/>
    </row>
    <row r="122" spans="6:31">
      <c r="F122" s="155"/>
      <c r="G122" s="155"/>
      <c r="H122" s="155"/>
      <c r="I122" s="155"/>
      <c r="J122" s="155"/>
      <c r="K122" s="155"/>
      <c r="M122" s="155"/>
      <c r="O122" s="155"/>
      <c r="P122" s="155"/>
      <c r="Q122" s="155"/>
      <c r="S122" s="155"/>
      <c r="T122" s="155"/>
      <c r="U122" s="155"/>
      <c r="V122" s="155"/>
      <c r="W122" s="155"/>
      <c r="X122" s="155"/>
      <c r="Y122" s="155"/>
      <c r="Z122" s="155"/>
      <c r="AA122" s="155"/>
      <c r="AB122" s="155"/>
      <c r="AC122" s="155"/>
      <c r="AD122" s="155"/>
      <c r="AE122" s="155"/>
    </row>
    <row r="123" spans="6:31">
      <c r="F123" s="155"/>
      <c r="G123" s="155"/>
      <c r="H123" s="155"/>
      <c r="I123" s="155"/>
      <c r="J123" s="155"/>
      <c r="K123" s="155"/>
      <c r="M123" s="155"/>
      <c r="O123" s="155"/>
      <c r="P123" s="155"/>
      <c r="Q123" s="155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  <c r="AC123" s="155"/>
      <c r="AD123" s="155"/>
      <c r="AE123" s="155"/>
    </row>
    <row r="124" spans="6:31">
      <c r="F124" s="155"/>
      <c r="G124" s="155"/>
      <c r="H124" s="155"/>
      <c r="I124" s="155"/>
      <c r="J124" s="155"/>
      <c r="K124" s="155"/>
      <c r="M124" s="155"/>
      <c r="O124" s="155"/>
      <c r="P124" s="155"/>
      <c r="Q124" s="155"/>
      <c r="S124" s="155"/>
      <c r="T124" s="155"/>
      <c r="U124" s="155"/>
      <c r="V124" s="155"/>
      <c r="W124" s="155"/>
      <c r="X124" s="155"/>
      <c r="Y124" s="155"/>
      <c r="Z124" s="155"/>
      <c r="AA124" s="155"/>
      <c r="AB124" s="155"/>
      <c r="AC124" s="155"/>
      <c r="AD124" s="155"/>
      <c r="AE124" s="155"/>
    </row>
    <row r="125" spans="6:31">
      <c r="F125" s="155"/>
      <c r="G125" s="155"/>
      <c r="H125" s="155"/>
      <c r="I125" s="155"/>
      <c r="J125" s="155"/>
      <c r="K125" s="155"/>
      <c r="M125" s="155"/>
      <c r="O125" s="155"/>
      <c r="P125" s="155"/>
      <c r="Q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  <c r="AC125" s="155"/>
      <c r="AD125" s="155"/>
      <c r="AE125" s="155"/>
    </row>
    <row r="126" spans="6:31">
      <c r="F126" s="155"/>
      <c r="G126" s="155"/>
      <c r="H126" s="155"/>
      <c r="I126" s="155"/>
      <c r="J126" s="155"/>
      <c r="K126" s="155"/>
      <c r="M126" s="155"/>
      <c r="O126" s="155"/>
      <c r="P126" s="155"/>
      <c r="Q126" s="155"/>
      <c r="S126" s="155"/>
      <c r="T126" s="155"/>
      <c r="U126" s="155"/>
      <c r="V126" s="155"/>
      <c r="W126" s="155"/>
      <c r="X126" s="155"/>
      <c r="Y126" s="155"/>
      <c r="Z126" s="155"/>
      <c r="AA126" s="155"/>
      <c r="AB126" s="155"/>
      <c r="AC126" s="155"/>
      <c r="AD126" s="155"/>
      <c r="AE126" s="155"/>
    </row>
    <row r="127" spans="6:31">
      <c r="F127" s="155"/>
      <c r="G127" s="155"/>
      <c r="H127" s="155"/>
      <c r="I127" s="155"/>
      <c r="J127" s="155"/>
      <c r="K127" s="155"/>
      <c r="M127" s="155"/>
      <c r="O127" s="155"/>
      <c r="P127" s="155"/>
      <c r="Q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  <c r="AC127" s="155"/>
      <c r="AD127" s="155"/>
      <c r="AE127" s="155"/>
    </row>
    <row r="128" spans="6:31">
      <c r="F128" s="155"/>
      <c r="G128" s="155"/>
      <c r="H128" s="155"/>
      <c r="I128" s="155"/>
      <c r="J128" s="155"/>
      <c r="K128" s="155"/>
      <c r="M128" s="155"/>
      <c r="O128" s="155"/>
      <c r="P128" s="155"/>
      <c r="Q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  <c r="AC128" s="155"/>
      <c r="AD128" s="155"/>
      <c r="AE128" s="155"/>
    </row>
    <row r="129" spans="6:31">
      <c r="F129" s="155"/>
      <c r="G129" s="155"/>
      <c r="H129" s="155"/>
      <c r="I129" s="155"/>
      <c r="J129" s="155"/>
      <c r="K129" s="155"/>
      <c r="M129" s="155"/>
      <c r="O129" s="155"/>
      <c r="P129" s="155"/>
      <c r="Q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  <c r="AC129" s="155"/>
      <c r="AD129" s="155"/>
      <c r="AE129" s="155"/>
    </row>
    <row r="130" spans="6:31">
      <c r="F130" s="155"/>
      <c r="G130" s="155"/>
      <c r="H130" s="155"/>
      <c r="I130" s="155"/>
      <c r="J130" s="155"/>
      <c r="K130" s="155"/>
      <c r="M130" s="155"/>
      <c r="O130" s="155"/>
      <c r="P130" s="155"/>
      <c r="Q130" s="155"/>
      <c r="S130" s="155"/>
      <c r="T130" s="155"/>
      <c r="U130" s="155"/>
      <c r="V130" s="155"/>
      <c r="W130" s="155"/>
      <c r="X130" s="155"/>
      <c r="Y130" s="155"/>
      <c r="Z130" s="155"/>
      <c r="AA130" s="155"/>
      <c r="AB130" s="155"/>
      <c r="AC130" s="155"/>
      <c r="AD130" s="155"/>
      <c r="AE130" s="155"/>
    </row>
    <row r="131" spans="6:31">
      <c r="F131" s="155"/>
      <c r="G131" s="155"/>
      <c r="H131" s="155"/>
      <c r="I131" s="155"/>
      <c r="J131" s="155"/>
      <c r="K131" s="155"/>
      <c r="M131" s="155"/>
      <c r="O131" s="155"/>
      <c r="P131" s="155"/>
      <c r="Q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  <c r="AC131" s="155"/>
      <c r="AD131" s="155"/>
      <c r="AE131" s="155"/>
    </row>
    <row r="132" spans="6:31">
      <c r="F132" s="155"/>
      <c r="G132" s="155"/>
      <c r="H132" s="155"/>
      <c r="I132" s="155"/>
      <c r="J132" s="155"/>
      <c r="K132" s="155"/>
      <c r="M132" s="155"/>
      <c r="O132" s="155"/>
      <c r="P132" s="155"/>
      <c r="Q132" s="155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  <c r="AC132" s="155"/>
      <c r="AD132" s="155"/>
      <c r="AE132" s="155"/>
    </row>
    <row r="133" spans="6:31">
      <c r="F133" s="155"/>
      <c r="G133" s="155"/>
      <c r="H133" s="155"/>
      <c r="I133" s="155"/>
      <c r="J133" s="155"/>
      <c r="K133" s="155"/>
      <c r="M133" s="155"/>
      <c r="O133" s="155"/>
      <c r="P133" s="155"/>
      <c r="Q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</row>
    <row r="134" spans="6:31">
      <c r="F134" s="155"/>
      <c r="G134" s="155"/>
      <c r="H134" s="155"/>
      <c r="I134" s="155"/>
      <c r="J134" s="155"/>
      <c r="K134" s="155"/>
      <c r="M134" s="155"/>
      <c r="O134" s="155"/>
      <c r="P134" s="155"/>
      <c r="Q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</row>
    <row r="135" spans="6:31">
      <c r="F135" s="155"/>
      <c r="G135" s="155"/>
      <c r="H135" s="155"/>
      <c r="I135" s="155"/>
      <c r="J135" s="155"/>
      <c r="K135" s="155"/>
      <c r="M135" s="155"/>
      <c r="O135" s="155"/>
      <c r="P135" s="155"/>
      <c r="Q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</row>
    <row r="136" spans="6:31">
      <c r="F136" s="155"/>
      <c r="G136" s="155"/>
      <c r="H136" s="155"/>
      <c r="I136" s="155"/>
      <c r="J136" s="155"/>
      <c r="K136" s="155"/>
      <c r="M136" s="155"/>
      <c r="O136" s="155"/>
      <c r="P136" s="155"/>
      <c r="Q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  <c r="AD136" s="155"/>
      <c r="AE136" s="155"/>
    </row>
    <row r="137" spans="6:31">
      <c r="F137" s="155"/>
      <c r="G137" s="155"/>
      <c r="H137" s="155"/>
      <c r="I137" s="155"/>
      <c r="J137" s="155"/>
      <c r="K137" s="155"/>
      <c r="M137" s="155"/>
      <c r="O137" s="155"/>
      <c r="P137" s="155"/>
      <c r="Q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  <c r="AC137" s="155"/>
      <c r="AD137" s="155"/>
      <c r="AE137" s="155"/>
    </row>
    <row r="138" spans="6:31">
      <c r="F138" s="155"/>
      <c r="G138" s="155"/>
      <c r="H138" s="155"/>
      <c r="I138" s="155"/>
      <c r="J138" s="155"/>
      <c r="K138" s="155"/>
      <c r="M138" s="155"/>
      <c r="O138" s="155"/>
      <c r="P138" s="155"/>
      <c r="Q138" s="155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  <c r="AC138" s="155"/>
      <c r="AD138" s="155"/>
      <c r="AE138" s="155"/>
    </row>
    <row r="139" spans="6:31">
      <c r="F139" s="155"/>
      <c r="G139" s="155"/>
      <c r="H139" s="155"/>
      <c r="I139" s="155"/>
      <c r="J139" s="155"/>
      <c r="K139" s="155"/>
      <c r="M139" s="155"/>
      <c r="O139" s="155"/>
      <c r="P139" s="155"/>
      <c r="Q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  <c r="AC139" s="155"/>
      <c r="AD139" s="155"/>
      <c r="AE139" s="155"/>
    </row>
    <row r="140" spans="6:31">
      <c r="F140" s="155"/>
      <c r="G140" s="155"/>
      <c r="H140" s="155"/>
      <c r="I140" s="155"/>
      <c r="J140" s="155"/>
      <c r="K140" s="155"/>
      <c r="M140" s="155"/>
      <c r="O140" s="155"/>
      <c r="P140" s="155"/>
      <c r="Q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  <c r="AC140" s="155"/>
      <c r="AD140" s="155"/>
      <c r="AE140" s="155"/>
    </row>
    <row r="141" spans="6:31">
      <c r="F141" s="155"/>
      <c r="G141" s="155"/>
      <c r="H141" s="155"/>
      <c r="I141" s="155"/>
      <c r="J141" s="155"/>
      <c r="K141" s="155"/>
      <c r="M141" s="155"/>
      <c r="O141" s="155"/>
      <c r="P141" s="155"/>
      <c r="Q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  <c r="AC141" s="155"/>
      <c r="AD141" s="155"/>
      <c r="AE141" s="155"/>
    </row>
    <row r="142" spans="6:31">
      <c r="F142" s="155"/>
      <c r="G142" s="155"/>
      <c r="H142" s="155"/>
      <c r="I142" s="155"/>
      <c r="J142" s="155"/>
      <c r="K142" s="155"/>
      <c r="M142" s="155"/>
      <c r="O142" s="155"/>
      <c r="P142" s="155"/>
      <c r="Q142" s="155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  <c r="AC142" s="155"/>
      <c r="AD142" s="155"/>
      <c r="AE142" s="155"/>
    </row>
    <row r="143" spans="6:31">
      <c r="F143" s="155"/>
      <c r="G143" s="155"/>
      <c r="H143" s="155"/>
      <c r="I143" s="155"/>
      <c r="J143" s="155"/>
      <c r="K143" s="155"/>
      <c r="M143" s="155"/>
      <c r="O143" s="155"/>
      <c r="P143" s="155"/>
      <c r="Q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  <c r="AD143" s="155"/>
      <c r="AE143" s="155"/>
    </row>
    <row r="144" spans="6:31">
      <c r="F144" s="155"/>
      <c r="G144" s="155"/>
      <c r="H144" s="155"/>
      <c r="I144" s="155"/>
      <c r="J144" s="155"/>
      <c r="K144" s="155"/>
      <c r="M144" s="155"/>
      <c r="O144" s="155"/>
      <c r="P144" s="155"/>
      <c r="Q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  <c r="AD144" s="155"/>
      <c r="AE144" s="155"/>
    </row>
    <row r="145" spans="6:31">
      <c r="F145" s="155"/>
      <c r="G145" s="155"/>
      <c r="H145" s="155"/>
      <c r="I145" s="155"/>
      <c r="J145" s="155"/>
      <c r="K145" s="155"/>
      <c r="M145" s="155"/>
      <c r="O145" s="155"/>
      <c r="P145" s="155"/>
      <c r="Q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</row>
    <row r="146" spans="6:31">
      <c r="F146" s="155"/>
      <c r="G146" s="155"/>
      <c r="H146" s="155"/>
      <c r="I146" s="155"/>
      <c r="J146" s="155"/>
      <c r="K146" s="155"/>
      <c r="M146" s="155"/>
      <c r="O146" s="155"/>
      <c r="P146" s="155"/>
      <c r="Q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  <c r="AC146" s="155"/>
      <c r="AD146" s="155"/>
      <c r="AE146" s="155"/>
    </row>
    <row r="147" spans="6:31">
      <c r="F147" s="155"/>
      <c r="G147" s="155"/>
      <c r="H147" s="155"/>
      <c r="I147" s="155"/>
      <c r="J147" s="155"/>
      <c r="K147" s="155"/>
      <c r="M147" s="155"/>
      <c r="O147" s="155"/>
      <c r="P147" s="155"/>
      <c r="Q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</row>
    <row r="148" spans="6:31">
      <c r="F148" s="155"/>
      <c r="G148" s="155"/>
      <c r="H148" s="155"/>
      <c r="I148" s="155"/>
      <c r="J148" s="155"/>
      <c r="K148" s="155"/>
      <c r="M148" s="155"/>
      <c r="O148" s="155"/>
      <c r="P148" s="155"/>
      <c r="Q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  <c r="AC148" s="155"/>
      <c r="AD148" s="155"/>
      <c r="AE148" s="155"/>
    </row>
    <row r="149" spans="6:31">
      <c r="F149" s="155"/>
      <c r="G149" s="155"/>
      <c r="H149" s="155"/>
      <c r="I149" s="155"/>
      <c r="J149" s="155"/>
      <c r="K149" s="155"/>
      <c r="M149" s="155"/>
      <c r="O149" s="155"/>
      <c r="P149" s="155"/>
      <c r="Q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  <c r="AC149" s="155"/>
      <c r="AD149" s="155"/>
      <c r="AE149" s="155"/>
    </row>
    <row r="150" spans="6:31">
      <c r="F150" s="155"/>
      <c r="G150" s="155"/>
      <c r="H150" s="155"/>
      <c r="I150" s="155"/>
      <c r="J150" s="155"/>
      <c r="K150" s="155"/>
      <c r="M150" s="155"/>
      <c r="O150" s="155"/>
      <c r="P150" s="155"/>
      <c r="Q150" s="155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  <c r="AC150" s="155"/>
      <c r="AD150" s="155"/>
      <c r="AE150" s="155"/>
    </row>
    <row r="151" spans="6:31">
      <c r="F151" s="155"/>
      <c r="G151" s="155"/>
      <c r="H151" s="155"/>
      <c r="I151" s="155"/>
      <c r="J151" s="155"/>
      <c r="K151" s="155"/>
      <c r="M151" s="155"/>
      <c r="O151" s="155"/>
      <c r="P151" s="155"/>
      <c r="Q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  <c r="AC151" s="155"/>
      <c r="AD151" s="155"/>
      <c r="AE151" s="155"/>
    </row>
    <row r="152" spans="6:31">
      <c r="F152" s="155"/>
      <c r="G152" s="155"/>
      <c r="H152" s="155"/>
      <c r="I152" s="155"/>
      <c r="J152" s="155"/>
      <c r="K152" s="155"/>
      <c r="M152" s="155"/>
      <c r="O152" s="155"/>
      <c r="P152" s="155"/>
      <c r="Q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</row>
    <row r="153" spans="6:31">
      <c r="F153" s="155"/>
      <c r="G153" s="155"/>
      <c r="H153" s="155"/>
      <c r="I153" s="155"/>
      <c r="J153" s="155"/>
      <c r="K153" s="155"/>
      <c r="M153" s="155"/>
      <c r="O153" s="155"/>
      <c r="P153" s="155"/>
      <c r="Q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  <c r="AD153" s="155"/>
      <c r="AE153" s="155"/>
    </row>
    <row r="154" spans="6:31">
      <c r="F154" s="155"/>
      <c r="G154" s="155"/>
      <c r="H154" s="155"/>
      <c r="I154" s="155"/>
      <c r="J154" s="155"/>
      <c r="K154" s="155"/>
      <c r="M154" s="155"/>
      <c r="O154" s="155"/>
      <c r="P154" s="155"/>
      <c r="Q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  <c r="AC154" s="155"/>
      <c r="AD154" s="155"/>
      <c r="AE154" s="155"/>
    </row>
    <row r="155" spans="6:31">
      <c r="F155" s="155"/>
      <c r="G155" s="155"/>
      <c r="H155" s="155"/>
      <c r="I155" s="155"/>
      <c r="J155" s="155"/>
      <c r="K155" s="155"/>
      <c r="M155" s="155"/>
      <c r="O155" s="155"/>
      <c r="P155" s="155"/>
      <c r="Q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</row>
    <row r="156" spans="6:31">
      <c r="F156" s="155"/>
      <c r="G156" s="155"/>
      <c r="H156" s="155"/>
      <c r="I156" s="155"/>
      <c r="J156" s="155"/>
      <c r="K156" s="155"/>
      <c r="M156" s="155"/>
      <c r="O156" s="155"/>
      <c r="P156" s="155"/>
      <c r="Q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155"/>
      <c r="AD156" s="155"/>
      <c r="AE156" s="155"/>
    </row>
    <row r="157" spans="6:31">
      <c r="F157" s="155"/>
      <c r="G157" s="155"/>
      <c r="H157" s="155"/>
      <c r="I157" s="155"/>
      <c r="J157" s="155"/>
      <c r="K157" s="155"/>
      <c r="M157" s="155"/>
      <c r="O157" s="155"/>
      <c r="P157" s="155"/>
      <c r="Q157" s="155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  <c r="AC157" s="155"/>
      <c r="AD157" s="155"/>
      <c r="AE157" s="155"/>
    </row>
    <row r="158" spans="6:31">
      <c r="F158" s="155"/>
      <c r="G158" s="155"/>
      <c r="H158" s="155"/>
      <c r="I158" s="155"/>
      <c r="J158" s="155"/>
      <c r="K158" s="155"/>
      <c r="M158" s="155"/>
      <c r="O158" s="155"/>
      <c r="P158" s="155"/>
      <c r="Q158" s="155"/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  <c r="AC158" s="155"/>
      <c r="AD158" s="155"/>
      <c r="AE158" s="155"/>
    </row>
    <row r="159" spans="6:31">
      <c r="F159" s="155"/>
      <c r="G159" s="155"/>
      <c r="H159" s="155"/>
      <c r="I159" s="155"/>
      <c r="J159" s="155"/>
      <c r="K159" s="155"/>
      <c r="M159" s="155"/>
      <c r="O159" s="155"/>
      <c r="P159" s="155"/>
      <c r="Q159" s="155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  <c r="AC159" s="155"/>
      <c r="AD159" s="155"/>
      <c r="AE159" s="155"/>
    </row>
    <row r="160" spans="6:31">
      <c r="F160" s="155"/>
      <c r="G160" s="155"/>
      <c r="H160" s="155"/>
      <c r="I160" s="155"/>
      <c r="J160" s="155"/>
      <c r="K160" s="155"/>
      <c r="M160" s="155"/>
      <c r="O160" s="155"/>
      <c r="P160" s="155"/>
      <c r="Q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5"/>
      <c r="AD160" s="155"/>
      <c r="AE160" s="155"/>
    </row>
    <row r="161" spans="6:31">
      <c r="F161" s="155"/>
      <c r="G161" s="155"/>
      <c r="H161" s="155"/>
      <c r="I161" s="155"/>
      <c r="J161" s="155"/>
      <c r="K161" s="155"/>
      <c r="M161" s="155"/>
      <c r="O161" s="155"/>
      <c r="P161" s="155"/>
      <c r="Q161" s="155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  <c r="AC161" s="155"/>
      <c r="AD161" s="155"/>
      <c r="AE161" s="155"/>
    </row>
    <row r="162" spans="6:31">
      <c r="F162" s="155"/>
      <c r="G162" s="155"/>
      <c r="H162" s="155"/>
      <c r="I162" s="155"/>
      <c r="J162" s="155"/>
      <c r="K162" s="155"/>
      <c r="M162" s="155"/>
      <c r="O162" s="155"/>
      <c r="P162" s="155"/>
      <c r="Q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  <c r="AC162" s="155"/>
      <c r="AD162" s="155"/>
      <c r="AE162" s="155"/>
    </row>
    <row r="163" spans="6:31">
      <c r="F163" s="155"/>
      <c r="G163" s="155"/>
      <c r="H163" s="155"/>
      <c r="I163" s="155"/>
      <c r="J163" s="155"/>
      <c r="K163" s="155"/>
      <c r="M163" s="155"/>
      <c r="O163" s="155"/>
      <c r="P163" s="155"/>
      <c r="Q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  <c r="AD163" s="155"/>
      <c r="AE163" s="155"/>
    </row>
    <row r="164" spans="6:31">
      <c r="F164" s="155"/>
      <c r="G164" s="155"/>
      <c r="H164" s="155"/>
      <c r="I164" s="155"/>
      <c r="J164" s="155"/>
      <c r="K164" s="155"/>
      <c r="M164" s="155"/>
      <c r="O164" s="155"/>
      <c r="P164" s="155"/>
      <c r="Q164" s="155"/>
      <c r="S164" s="155"/>
      <c r="T164" s="155"/>
      <c r="U164" s="155"/>
      <c r="V164" s="155"/>
      <c r="W164" s="155"/>
      <c r="X164" s="155"/>
      <c r="Y164" s="155"/>
      <c r="Z164" s="155"/>
      <c r="AA164" s="155"/>
      <c r="AB164" s="155"/>
      <c r="AC164" s="155"/>
      <c r="AD164" s="155"/>
      <c r="AE164" s="155"/>
    </row>
    <row r="165" spans="6:31">
      <c r="F165" s="155"/>
      <c r="G165" s="155"/>
      <c r="H165" s="155"/>
      <c r="I165" s="155"/>
      <c r="J165" s="155"/>
      <c r="K165" s="155"/>
      <c r="M165" s="155"/>
      <c r="O165" s="155"/>
      <c r="P165" s="155"/>
      <c r="Q165" s="155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  <c r="AC165" s="155"/>
      <c r="AD165" s="155"/>
      <c r="AE165" s="155"/>
    </row>
    <row r="166" spans="6:31">
      <c r="F166" s="155"/>
      <c r="G166" s="155"/>
      <c r="H166" s="155"/>
      <c r="I166" s="155"/>
      <c r="J166" s="155"/>
      <c r="K166" s="155"/>
      <c r="M166" s="155"/>
      <c r="O166" s="155"/>
      <c r="P166" s="155"/>
      <c r="Q166" s="155"/>
      <c r="S166" s="155"/>
      <c r="T166" s="155"/>
      <c r="U166" s="155"/>
      <c r="V166" s="155"/>
      <c r="W166" s="155"/>
      <c r="X166" s="155"/>
      <c r="Y166" s="155"/>
      <c r="Z166" s="155"/>
      <c r="AA166" s="155"/>
      <c r="AB166" s="155"/>
      <c r="AC166" s="155"/>
      <c r="AD166" s="155"/>
      <c r="AE166" s="155"/>
    </row>
    <row r="167" spans="6:31">
      <c r="F167" s="155"/>
      <c r="G167" s="155"/>
      <c r="H167" s="155"/>
      <c r="I167" s="155"/>
      <c r="J167" s="155"/>
      <c r="K167" s="155"/>
      <c r="M167" s="155"/>
      <c r="O167" s="155"/>
      <c r="P167" s="155"/>
      <c r="Q167" s="155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  <c r="AC167" s="155"/>
      <c r="AD167" s="155"/>
      <c r="AE167" s="155"/>
    </row>
    <row r="168" spans="6:31">
      <c r="F168" s="155"/>
      <c r="G168" s="155"/>
      <c r="H168" s="155"/>
      <c r="I168" s="155"/>
      <c r="J168" s="155"/>
      <c r="K168" s="155"/>
      <c r="M168" s="155"/>
      <c r="O168" s="155"/>
      <c r="P168" s="155"/>
      <c r="Q168" s="155"/>
      <c r="S168" s="155"/>
      <c r="T168" s="155"/>
      <c r="U168" s="155"/>
      <c r="V168" s="155"/>
      <c r="W168" s="155"/>
      <c r="X168" s="155"/>
      <c r="Y168" s="155"/>
      <c r="Z168" s="155"/>
      <c r="AA168" s="155"/>
      <c r="AB168" s="155"/>
      <c r="AC168" s="155"/>
      <c r="AD168" s="155"/>
      <c r="AE168" s="155"/>
    </row>
    <row r="169" spans="6:31">
      <c r="F169" s="155"/>
      <c r="G169" s="155"/>
      <c r="H169" s="155"/>
      <c r="I169" s="155"/>
      <c r="J169" s="155"/>
      <c r="K169" s="155"/>
      <c r="M169" s="155"/>
      <c r="O169" s="155"/>
      <c r="P169" s="155"/>
      <c r="Q169" s="155"/>
      <c r="S169" s="155"/>
      <c r="T169" s="155"/>
      <c r="U169" s="155"/>
      <c r="V169" s="155"/>
      <c r="W169" s="155"/>
      <c r="X169" s="155"/>
      <c r="Y169" s="155"/>
      <c r="Z169" s="155"/>
      <c r="AA169" s="155"/>
      <c r="AB169" s="155"/>
      <c r="AC169" s="155"/>
      <c r="AD169" s="155"/>
      <c r="AE169" s="155"/>
    </row>
    <row r="170" spans="6:31">
      <c r="F170" s="155"/>
      <c r="G170" s="155"/>
      <c r="H170" s="155"/>
      <c r="I170" s="155"/>
      <c r="J170" s="155"/>
      <c r="K170" s="155"/>
      <c r="M170" s="155"/>
      <c r="O170" s="155"/>
      <c r="P170" s="155"/>
      <c r="Q170" s="155"/>
      <c r="S170" s="155"/>
      <c r="T170" s="155"/>
      <c r="U170" s="155"/>
      <c r="V170" s="155"/>
      <c r="W170" s="155"/>
      <c r="X170" s="155"/>
      <c r="Y170" s="155"/>
      <c r="Z170" s="155"/>
      <c r="AA170" s="155"/>
      <c r="AB170" s="155"/>
      <c r="AC170" s="155"/>
      <c r="AD170" s="155"/>
      <c r="AE170" s="155"/>
    </row>
    <row r="171" spans="6:31">
      <c r="F171" s="155"/>
      <c r="G171" s="155"/>
      <c r="H171" s="155"/>
      <c r="I171" s="155"/>
      <c r="J171" s="155"/>
      <c r="K171" s="155"/>
      <c r="M171" s="155"/>
      <c r="O171" s="155"/>
      <c r="P171" s="155"/>
      <c r="Q171" s="155"/>
      <c r="S171" s="155"/>
      <c r="T171" s="155"/>
      <c r="U171" s="155"/>
      <c r="V171" s="155"/>
      <c r="W171" s="155"/>
      <c r="X171" s="155"/>
      <c r="Y171" s="155"/>
      <c r="Z171" s="155"/>
      <c r="AA171" s="155"/>
      <c r="AB171" s="155"/>
      <c r="AC171" s="155"/>
      <c r="AD171" s="155"/>
      <c r="AE171" s="155"/>
    </row>
    <row r="172" spans="6:31">
      <c r="F172" s="155"/>
      <c r="G172" s="155"/>
      <c r="H172" s="155"/>
      <c r="I172" s="155"/>
      <c r="J172" s="155"/>
      <c r="K172" s="155"/>
      <c r="M172" s="155"/>
      <c r="O172" s="155"/>
      <c r="P172" s="155"/>
      <c r="Q172" s="155"/>
      <c r="S172" s="155"/>
      <c r="T172" s="155"/>
      <c r="U172" s="155"/>
      <c r="V172" s="155"/>
      <c r="W172" s="155"/>
      <c r="X172" s="155"/>
      <c r="Y172" s="155"/>
      <c r="Z172" s="155"/>
      <c r="AA172" s="155"/>
      <c r="AB172" s="155"/>
      <c r="AC172" s="155"/>
      <c r="AD172" s="155"/>
      <c r="AE172" s="155"/>
    </row>
    <row r="173" spans="6:31">
      <c r="F173" s="155"/>
      <c r="G173" s="155"/>
      <c r="H173" s="155"/>
      <c r="I173" s="155"/>
      <c r="J173" s="155"/>
      <c r="K173" s="155"/>
      <c r="M173" s="155"/>
      <c r="O173" s="155"/>
      <c r="P173" s="155"/>
      <c r="Q173" s="155"/>
      <c r="S173" s="155"/>
      <c r="T173" s="155"/>
      <c r="U173" s="155"/>
      <c r="V173" s="155"/>
      <c r="W173" s="155"/>
      <c r="X173" s="155"/>
      <c r="Y173" s="155"/>
      <c r="Z173" s="155"/>
      <c r="AA173" s="155"/>
      <c r="AB173" s="155"/>
      <c r="AC173" s="155"/>
      <c r="AD173" s="155"/>
      <c r="AE173" s="155"/>
    </row>
    <row r="174" spans="6:31">
      <c r="F174" s="155"/>
      <c r="G174" s="155"/>
      <c r="H174" s="155"/>
      <c r="I174" s="155"/>
      <c r="J174" s="155"/>
      <c r="K174" s="155"/>
      <c r="M174" s="155"/>
      <c r="O174" s="155"/>
      <c r="P174" s="155"/>
      <c r="Q174" s="155"/>
      <c r="S174" s="155"/>
      <c r="T174" s="155"/>
      <c r="U174" s="155"/>
      <c r="V174" s="155"/>
      <c r="W174" s="155"/>
      <c r="X174" s="155"/>
      <c r="Y174" s="155"/>
      <c r="Z174" s="155"/>
      <c r="AA174" s="155"/>
      <c r="AB174" s="155"/>
      <c r="AC174" s="155"/>
      <c r="AD174" s="155"/>
      <c r="AE174" s="155"/>
    </row>
    <row r="175" spans="6:31">
      <c r="F175" s="155"/>
      <c r="G175" s="155"/>
      <c r="H175" s="155"/>
      <c r="I175" s="155"/>
      <c r="J175" s="155"/>
      <c r="K175" s="155"/>
      <c r="M175" s="155"/>
      <c r="O175" s="155"/>
      <c r="P175" s="155"/>
      <c r="Q175" s="155"/>
      <c r="S175" s="155"/>
      <c r="T175" s="155"/>
      <c r="U175" s="155"/>
      <c r="V175" s="155"/>
      <c r="W175" s="155"/>
      <c r="X175" s="155"/>
      <c r="Y175" s="155"/>
      <c r="Z175" s="155"/>
      <c r="AA175" s="155"/>
      <c r="AB175" s="155"/>
      <c r="AC175" s="155"/>
      <c r="AD175" s="155"/>
      <c r="AE175" s="155"/>
    </row>
    <row r="176" spans="6:31">
      <c r="F176" s="155"/>
      <c r="G176" s="155"/>
      <c r="H176" s="155"/>
      <c r="I176" s="155"/>
      <c r="J176" s="155"/>
      <c r="K176" s="155"/>
      <c r="M176" s="155"/>
      <c r="O176" s="155"/>
      <c r="P176" s="155"/>
      <c r="Q176" s="155"/>
      <c r="S176" s="155"/>
      <c r="T176" s="155"/>
      <c r="U176" s="155"/>
      <c r="V176" s="155"/>
      <c r="W176" s="155"/>
      <c r="X176" s="155"/>
      <c r="Y176" s="155"/>
      <c r="Z176" s="155"/>
      <c r="AA176" s="155"/>
      <c r="AB176" s="155"/>
      <c r="AC176" s="155"/>
      <c r="AD176" s="155"/>
      <c r="AE176" s="155"/>
    </row>
    <row r="177" spans="6:31">
      <c r="F177" s="155"/>
      <c r="G177" s="155"/>
      <c r="H177" s="155"/>
      <c r="I177" s="155"/>
      <c r="J177" s="155"/>
      <c r="K177" s="155"/>
      <c r="M177" s="155"/>
      <c r="O177" s="155"/>
      <c r="P177" s="155"/>
      <c r="Q177" s="155"/>
      <c r="S177" s="155"/>
      <c r="T177" s="155"/>
      <c r="U177" s="155"/>
      <c r="V177" s="155"/>
      <c r="W177" s="155"/>
      <c r="X177" s="155"/>
      <c r="Y177" s="155"/>
      <c r="Z177" s="155"/>
      <c r="AA177" s="155"/>
      <c r="AB177" s="155"/>
      <c r="AC177" s="155"/>
      <c r="AD177" s="155"/>
      <c r="AE177" s="155"/>
    </row>
    <row r="178" spans="6:31">
      <c r="F178" s="155"/>
      <c r="G178" s="155"/>
      <c r="H178" s="155"/>
      <c r="I178" s="155"/>
      <c r="J178" s="155"/>
      <c r="K178" s="155"/>
      <c r="M178" s="155"/>
      <c r="O178" s="155"/>
      <c r="P178" s="155"/>
      <c r="Q178" s="155"/>
      <c r="S178" s="155"/>
      <c r="T178" s="155"/>
      <c r="U178" s="155"/>
      <c r="V178" s="155"/>
      <c r="W178" s="155"/>
      <c r="X178" s="155"/>
      <c r="Y178" s="155"/>
      <c r="Z178" s="155"/>
      <c r="AA178" s="155"/>
      <c r="AB178" s="155"/>
      <c r="AC178" s="155"/>
      <c r="AD178" s="155"/>
      <c r="AE178" s="155"/>
    </row>
    <row r="179" spans="6:31">
      <c r="F179" s="155"/>
      <c r="G179" s="155"/>
      <c r="H179" s="155"/>
      <c r="I179" s="155"/>
      <c r="J179" s="155"/>
      <c r="K179" s="155"/>
      <c r="M179" s="155"/>
      <c r="O179" s="155"/>
      <c r="P179" s="155"/>
      <c r="Q179" s="155"/>
      <c r="S179" s="155"/>
      <c r="T179" s="155"/>
      <c r="U179" s="155"/>
      <c r="V179" s="155"/>
      <c r="W179" s="155"/>
      <c r="X179" s="155"/>
      <c r="Y179" s="155"/>
      <c r="Z179" s="155"/>
      <c r="AA179" s="155"/>
      <c r="AB179" s="155"/>
      <c r="AC179" s="155"/>
      <c r="AD179" s="155"/>
      <c r="AE179" s="155"/>
    </row>
    <row r="180" spans="6:31">
      <c r="F180" s="155"/>
      <c r="G180" s="155"/>
      <c r="H180" s="155"/>
      <c r="I180" s="155"/>
      <c r="J180" s="155"/>
      <c r="K180" s="155"/>
      <c r="M180" s="155"/>
      <c r="O180" s="155"/>
      <c r="P180" s="155"/>
      <c r="Q180" s="155"/>
      <c r="S180" s="155"/>
      <c r="T180" s="155"/>
      <c r="U180" s="155"/>
      <c r="V180" s="155"/>
      <c r="W180" s="155"/>
      <c r="X180" s="155"/>
      <c r="Y180" s="155"/>
      <c r="Z180" s="155"/>
      <c r="AA180" s="155"/>
      <c r="AB180" s="155"/>
      <c r="AC180" s="155"/>
      <c r="AD180" s="155"/>
      <c r="AE180" s="155"/>
    </row>
    <row r="181" spans="6:31">
      <c r="F181" s="155"/>
      <c r="G181" s="155"/>
      <c r="H181" s="155"/>
      <c r="I181" s="155"/>
      <c r="J181" s="155"/>
      <c r="K181" s="155"/>
      <c r="M181" s="155"/>
      <c r="O181" s="155"/>
      <c r="P181" s="155"/>
      <c r="Q181" s="155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  <c r="AC181" s="155"/>
      <c r="AD181" s="155"/>
      <c r="AE181" s="155"/>
    </row>
    <row r="182" spans="6:31">
      <c r="F182" s="155"/>
      <c r="G182" s="155"/>
      <c r="H182" s="155"/>
      <c r="I182" s="155"/>
      <c r="J182" s="155"/>
      <c r="K182" s="155"/>
      <c r="M182" s="155"/>
      <c r="O182" s="155"/>
      <c r="P182" s="155"/>
      <c r="Q182" s="155"/>
      <c r="S182" s="155"/>
      <c r="T182" s="155"/>
      <c r="U182" s="155"/>
      <c r="V182" s="155"/>
      <c r="W182" s="155"/>
      <c r="X182" s="155"/>
      <c r="Y182" s="155"/>
      <c r="Z182" s="155"/>
      <c r="AA182" s="155"/>
      <c r="AB182" s="155"/>
      <c r="AC182" s="155"/>
      <c r="AD182" s="155"/>
      <c r="AE182" s="155"/>
    </row>
    <row r="183" spans="6:31">
      <c r="F183" s="155"/>
      <c r="G183" s="155"/>
      <c r="H183" s="155"/>
      <c r="I183" s="155"/>
      <c r="J183" s="155"/>
      <c r="K183" s="155"/>
      <c r="M183" s="155"/>
      <c r="O183" s="155"/>
      <c r="P183" s="155"/>
      <c r="Q183" s="155"/>
      <c r="S183" s="155"/>
      <c r="T183" s="155"/>
      <c r="U183" s="155"/>
      <c r="V183" s="155"/>
      <c r="W183" s="155"/>
      <c r="X183" s="155"/>
      <c r="Y183" s="155"/>
      <c r="Z183" s="155"/>
      <c r="AA183" s="155"/>
      <c r="AB183" s="155"/>
      <c r="AC183" s="155"/>
      <c r="AD183" s="155"/>
      <c r="AE183" s="155"/>
    </row>
    <row r="184" spans="6:31">
      <c r="F184" s="155"/>
      <c r="G184" s="155"/>
      <c r="H184" s="155"/>
      <c r="I184" s="155"/>
      <c r="J184" s="155"/>
      <c r="K184" s="155"/>
      <c r="M184" s="155"/>
      <c r="O184" s="155"/>
      <c r="P184" s="155"/>
      <c r="Q184" s="155"/>
      <c r="S184" s="155"/>
      <c r="T184" s="155"/>
      <c r="U184" s="155"/>
      <c r="V184" s="155"/>
      <c r="W184" s="155"/>
      <c r="X184" s="155"/>
      <c r="Y184" s="155"/>
      <c r="Z184" s="155"/>
      <c r="AA184" s="155"/>
      <c r="AB184" s="155"/>
      <c r="AC184" s="155"/>
      <c r="AD184" s="155"/>
      <c r="AE184" s="155"/>
    </row>
    <row r="185" spans="6:31">
      <c r="F185" s="155"/>
      <c r="G185" s="155"/>
      <c r="H185" s="155"/>
      <c r="I185" s="155"/>
      <c r="J185" s="155"/>
      <c r="K185" s="155"/>
      <c r="M185" s="155"/>
      <c r="O185" s="155"/>
      <c r="P185" s="155"/>
      <c r="Q185" s="155"/>
      <c r="S185" s="155"/>
      <c r="T185" s="155"/>
      <c r="U185" s="155"/>
      <c r="V185" s="155"/>
      <c r="W185" s="155"/>
      <c r="X185" s="155"/>
      <c r="Y185" s="155"/>
      <c r="Z185" s="155"/>
      <c r="AA185" s="155"/>
      <c r="AB185" s="155"/>
      <c r="AC185" s="155"/>
      <c r="AD185" s="155"/>
      <c r="AE185" s="155"/>
    </row>
    <row r="186" spans="6:31">
      <c r="F186" s="155"/>
      <c r="G186" s="155"/>
      <c r="H186" s="155"/>
      <c r="I186" s="155"/>
      <c r="J186" s="155"/>
      <c r="K186" s="155"/>
      <c r="M186" s="155"/>
      <c r="O186" s="155"/>
      <c r="P186" s="155"/>
      <c r="Q186" s="155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  <c r="AC186" s="155"/>
      <c r="AD186" s="155"/>
      <c r="AE186" s="155"/>
    </row>
    <row r="187" spans="6:31">
      <c r="F187" s="155"/>
      <c r="G187" s="155"/>
      <c r="H187" s="155"/>
      <c r="I187" s="155"/>
      <c r="J187" s="155"/>
      <c r="K187" s="155"/>
      <c r="M187" s="155"/>
      <c r="O187" s="155"/>
      <c r="P187" s="155"/>
      <c r="Q187" s="155"/>
      <c r="S187" s="155"/>
      <c r="T187" s="155"/>
      <c r="U187" s="155"/>
      <c r="V187" s="155"/>
      <c r="W187" s="155"/>
      <c r="X187" s="155"/>
      <c r="Y187" s="155"/>
      <c r="Z187" s="155"/>
      <c r="AA187" s="155"/>
      <c r="AB187" s="155"/>
      <c r="AC187" s="155"/>
      <c r="AD187" s="155"/>
      <c r="AE187" s="155"/>
    </row>
    <row r="188" spans="6:31">
      <c r="F188" s="155"/>
      <c r="G188" s="155"/>
      <c r="H188" s="155"/>
      <c r="I188" s="155"/>
      <c r="J188" s="155"/>
      <c r="K188" s="155"/>
      <c r="M188" s="155"/>
      <c r="O188" s="155"/>
      <c r="P188" s="155"/>
      <c r="Q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  <c r="AC188" s="155"/>
      <c r="AD188" s="155"/>
      <c r="AE188" s="155"/>
    </row>
    <row r="189" spans="6:31">
      <c r="F189" s="155"/>
      <c r="G189" s="155"/>
      <c r="H189" s="155"/>
      <c r="I189" s="155"/>
      <c r="J189" s="155"/>
      <c r="K189" s="155"/>
      <c r="M189" s="155"/>
      <c r="O189" s="155"/>
      <c r="P189" s="155"/>
      <c r="Q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  <c r="AC189" s="155"/>
      <c r="AD189" s="155"/>
      <c r="AE189" s="155"/>
    </row>
    <row r="190" spans="6:31">
      <c r="F190" s="155"/>
      <c r="G190" s="155"/>
      <c r="H190" s="155"/>
      <c r="I190" s="155"/>
      <c r="J190" s="155"/>
      <c r="K190" s="155"/>
      <c r="M190" s="155"/>
      <c r="O190" s="155"/>
      <c r="P190" s="155"/>
      <c r="Q190" s="155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  <c r="AC190" s="155"/>
      <c r="AD190" s="155"/>
      <c r="AE190" s="155"/>
    </row>
    <row r="191" spans="6:31">
      <c r="F191" s="155"/>
      <c r="G191" s="155"/>
      <c r="H191" s="155"/>
      <c r="I191" s="155"/>
      <c r="J191" s="155"/>
      <c r="K191" s="155"/>
      <c r="M191" s="155"/>
      <c r="O191" s="155"/>
      <c r="P191" s="155"/>
      <c r="Q191" s="155"/>
      <c r="S191" s="155"/>
      <c r="T191" s="155"/>
      <c r="U191" s="155"/>
      <c r="V191" s="155"/>
      <c r="W191" s="155"/>
      <c r="X191" s="155"/>
      <c r="Y191" s="155"/>
      <c r="Z191" s="155"/>
      <c r="AA191" s="155"/>
      <c r="AB191" s="155"/>
      <c r="AC191" s="155"/>
      <c r="AD191" s="155"/>
      <c r="AE191" s="155"/>
    </row>
    <row r="192" spans="6:31">
      <c r="F192" s="155"/>
      <c r="G192" s="155"/>
      <c r="H192" s="155"/>
      <c r="I192" s="155"/>
      <c r="J192" s="155"/>
      <c r="K192" s="155"/>
      <c r="M192" s="155"/>
      <c r="O192" s="155"/>
      <c r="P192" s="155"/>
      <c r="Q192" s="155"/>
      <c r="S192" s="155"/>
      <c r="T192" s="155"/>
      <c r="U192" s="155"/>
      <c r="V192" s="155"/>
      <c r="W192" s="155"/>
      <c r="X192" s="155"/>
      <c r="Y192" s="155"/>
      <c r="Z192" s="155"/>
      <c r="AA192" s="155"/>
      <c r="AB192" s="155"/>
      <c r="AC192" s="155"/>
      <c r="AD192" s="155"/>
      <c r="AE192" s="155"/>
    </row>
    <row r="193" spans="6:31">
      <c r="F193" s="155"/>
      <c r="G193" s="155"/>
      <c r="H193" s="155"/>
      <c r="I193" s="155"/>
      <c r="J193" s="155"/>
      <c r="K193" s="155"/>
      <c r="M193" s="155"/>
      <c r="O193" s="155"/>
      <c r="P193" s="155"/>
      <c r="Q193" s="155"/>
      <c r="S193" s="155"/>
      <c r="T193" s="155"/>
      <c r="U193" s="155"/>
      <c r="V193" s="155"/>
      <c r="W193" s="155"/>
      <c r="X193" s="155"/>
      <c r="Y193" s="155"/>
      <c r="Z193" s="155"/>
      <c r="AA193" s="155"/>
      <c r="AB193" s="155"/>
      <c r="AC193" s="155"/>
      <c r="AD193" s="155"/>
      <c r="AE193" s="155"/>
    </row>
    <row r="194" spans="6:31">
      <c r="F194" s="155"/>
      <c r="G194" s="155"/>
      <c r="H194" s="155"/>
      <c r="I194" s="155"/>
      <c r="J194" s="155"/>
      <c r="K194" s="155"/>
      <c r="M194" s="155"/>
      <c r="O194" s="155"/>
      <c r="P194" s="155"/>
      <c r="Q194" s="155"/>
      <c r="S194" s="155"/>
      <c r="T194" s="155"/>
      <c r="U194" s="155"/>
      <c r="V194" s="155"/>
      <c r="W194" s="155"/>
      <c r="X194" s="155"/>
      <c r="Y194" s="155"/>
      <c r="Z194" s="155"/>
      <c r="AA194" s="155"/>
      <c r="AB194" s="155"/>
      <c r="AC194" s="155"/>
      <c r="AD194" s="155"/>
      <c r="AE194" s="155"/>
    </row>
    <row r="195" spans="6:31">
      <c r="F195" s="155"/>
      <c r="G195" s="155"/>
      <c r="H195" s="155"/>
      <c r="I195" s="155"/>
      <c r="J195" s="155"/>
      <c r="K195" s="155"/>
      <c r="M195" s="155"/>
      <c r="O195" s="155"/>
      <c r="P195" s="155"/>
      <c r="Q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  <c r="AC195" s="155"/>
      <c r="AD195" s="155"/>
      <c r="AE195" s="155"/>
    </row>
    <row r="196" spans="6:31">
      <c r="F196" s="155"/>
      <c r="G196" s="155"/>
      <c r="H196" s="155"/>
      <c r="I196" s="155"/>
      <c r="J196" s="155"/>
      <c r="K196" s="155"/>
      <c r="M196" s="155"/>
      <c r="O196" s="155"/>
      <c r="P196" s="155"/>
      <c r="Q196" s="155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  <c r="AC196" s="155"/>
      <c r="AD196" s="155"/>
      <c r="AE196" s="155"/>
    </row>
    <row r="197" spans="6:31">
      <c r="F197" s="155"/>
      <c r="G197" s="155"/>
      <c r="H197" s="155"/>
      <c r="I197" s="155"/>
      <c r="J197" s="155"/>
      <c r="K197" s="155"/>
      <c r="M197" s="155"/>
      <c r="O197" s="155"/>
      <c r="P197" s="155"/>
      <c r="Q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  <c r="AC197" s="155"/>
      <c r="AD197" s="155"/>
      <c r="AE197" s="155"/>
    </row>
    <row r="198" spans="6:31">
      <c r="F198" s="155"/>
      <c r="G198" s="155"/>
      <c r="H198" s="155"/>
      <c r="I198" s="155"/>
      <c r="J198" s="155"/>
      <c r="K198" s="155"/>
      <c r="M198" s="155"/>
      <c r="O198" s="155"/>
      <c r="P198" s="155"/>
      <c r="Q198" s="155"/>
      <c r="S198" s="155"/>
      <c r="T198" s="155"/>
      <c r="U198" s="155"/>
      <c r="V198" s="155"/>
      <c r="W198" s="155"/>
      <c r="X198" s="155"/>
      <c r="Y198" s="155"/>
      <c r="Z198" s="155"/>
      <c r="AA198" s="155"/>
      <c r="AB198" s="155"/>
      <c r="AC198" s="155"/>
      <c r="AD198" s="155"/>
      <c r="AE198" s="155"/>
    </row>
    <row r="199" spans="6:31">
      <c r="F199" s="155"/>
      <c r="G199" s="155"/>
      <c r="H199" s="155"/>
      <c r="I199" s="155"/>
      <c r="J199" s="155"/>
      <c r="K199" s="155"/>
      <c r="M199" s="155"/>
      <c r="O199" s="155"/>
      <c r="P199" s="155"/>
      <c r="Q199" s="155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  <c r="AC199" s="155"/>
      <c r="AD199" s="155"/>
      <c r="AE199" s="155"/>
    </row>
    <row r="200" spans="6:31">
      <c r="F200" s="155"/>
      <c r="G200" s="155"/>
      <c r="H200" s="155"/>
      <c r="I200" s="155"/>
      <c r="J200" s="155"/>
      <c r="K200" s="155"/>
      <c r="M200" s="155"/>
      <c r="O200" s="155"/>
      <c r="P200" s="155"/>
      <c r="Q200" s="155"/>
      <c r="S200" s="155"/>
      <c r="T200" s="155"/>
      <c r="U200" s="155"/>
      <c r="V200" s="155"/>
      <c r="W200" s="155"/>
      <c r="X200" s="155"/>
      <c r="Y200" s="155"/>
      <c r="Z200" s="155"/>
      <c r="AA200" s="155"/>
      <c r="AB200" s="155"/>
      <c r="AC200" s="155"/>
      <c r="AD200" s="155"/>
      <c r="AE200" s="155"/>
    </row>
    <row r="201" spans="6:31">
      <c r="F201" s="155"/>
      <c r="G201" s="155"/>
      <c r="H201" s="155"/>
      <c r="I201" s="155"/>
      <c r="J201" s="155"/>
      <c r="K201" s="155"/>
      <c r="M201" s="155"/>
      <c r="O201" s="155"/>
      <c r="P201" s="155"/>
      <c r="Q201" s="155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  <c r="AC201" s="155"/>
      <c r="AD201" s="155"/>
      <c r="AE201" s="155"/>
    </row>
    <row r="202" spans="6:31">
      <c r="F202" s="155"/>
      <c r="G202" s="155"/>
      <c r="H202" s="155"/>
      <c r="I202" s="155"/>
      <c r="J202" s="155"/>
      <c r="K202" s="155"/>
      <c r="M202" s="155"/>
      <c r="O202" s="155"/>
      <c r="P202" s="155"/>
      <c r="Q202" s="155"/>
      <c r="S202" s="155"/>
      <c r="T202" s="155"/>
      <c r="U202" s="155"/>
      <c r="V202" s="155"/>
      <c r="W202" s="155"/>
      <c r="X202" s="155"/>
      <c r="Y202" s="155"/>
      <c r="Z202" s="155"/>
      <c r="AA202" s="155"/>
      <c r="AB202" s="155"/>
      <c r="AC202" s="155"/>
      <c r="AD202" s="155"/>
      <c r="AE202" s="155"/>
    </row>
    <row r="203" spans="6:31">
      <c r="F203" s="155"/>
      <c r="G203" s="155"/>
      <c r="H203" s="155"/>
      <c r="I203" s="155"/>
      <c r="J203" s="155"/>
      <c r="K203" s="155"/>
      <c r="M203" s="155"/>
      <c r="O203" s="155"/>
      <c r="P203" s="155"/>
      <c r="Q203" s="155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  <c r="AC203" s="155"/>
      <c r="AD203" s="155"/>
      <c r="AE203" s="155"/>
    </row>
    <row r="204" spans="6:31">
      <c r="F204" s="155"/>
      <c r="G204" s="155"/>
      <c r="H204" s="155"/>
      <c r="I204" s="155"/>
      <c r="J204" s="155"/>
      <c r="K204" s="155"/>
      <c r="M204" s="155"/>
      <c r="O204" s="155"/>
      <c r="P204" s="155"/>
      <c r="Q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  <c r="AC204" s="155"/>
      <c r="AD204" s="155"/>
      <c r="AE204" s="155"/>
    </row>
    <row r="205" spans="6:31">
      <c r="F205" s="155"/>
      <c r="G205" s="155"/>
      <c r="H205" s="155"/>
      <c r="I205" s="155"/>
      <c r="J205" s="155"/>
      <c r="K205" s="155"/>
      <c r="M205" s="155"/>
      <c r="O205" s="155"/>
      <c r="P205" s="155"/>
      <c r="Q205" s="155"/>
      <c r="S205" s="155"/>
      <c r="T205" s="155"/>
      <c r="U205" s="155"/>
      <c r="V205" s="155"/>
      <c r="W205" s="155"/>
      <c r="X205" s="155"/>
      <c r="Y205" s="155"/>
      <c r="Z205" s="155"/>
      <c r="AA205" s="155"/>
      <c r="AB205" s="155"/>
      <c r="AC205" s="155"/>
      <c r="AD205" s="155"/>
      <c r="AE205" s="155"/>
    </row>
    <row r="206" spans="6:31">
      <c r="F206" s="155"/>
      <c r="G206" s="155"/>
      <c r="H206" s="155"/>
      <c r="I206" s="155"/>
      <c r="J206" s="155"/>
      <c r="K206" s="155"/>
      <c r="M206" s="155"/>
      <c r="O206" s="155"/>
      <c r="P206" s="155"/>
      <c r="Q206" s="155"/>
      <c r="S206" s="155"/>
      <c r="T206" s="155"/>
      <c r="U206" s="155"/>
      <c r="V206" s="155"/>
      <c r="W206" s="155"/>
      <c r="X206" s="155"/>
      <c r="Y206" s="155"/>
      <c r="Z206" s="155"/>
      <c r="AA206" s="155"/>
      <c r="AB206" s="155"/>
      <c r="AC206" s="155"/>
      <c r="AD206" s="155"/>
      <c r="AE206" s="155"/>
    </row>
    <row r="207" spans="6:31">
      <c r="F207" s="155"/>
      <c r="G207" s="155"/>
      <c r="H207" s="155"/>
      <c r="I207" s="155"/>
      <c r="J207" s="155"/>
      <c r="K207" s="155"/>
      <c r="M207" s="155"/>
      <c r="O207" s="155"/>
      <c r="P207" s="155"/>
      <c r="Q207" s="155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  <c r="AC207" s="155"/>
      <c r="AD207" s="155"/>
      <c r="AE207" s="155"/>
    </row>
    <row r="208" spans="6:31">
      <c r="F208" s="155"/>
      <c r="G208" s="155"/>
      <c r="H208" s="155"/>
      <c r="I208" s="155"/>
      <c r="J208" s="155"/>
      <c r="K208" s="155"/>
      <c r="M208" s="155"/>
      <c r="O208" s="155"/>
      <c r="P208" s="155"/>
      <c r="Q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  <c r="AC208" s="155"/>
      <c r="AD208" s="155"/>
      <c r="AE208" s="155"/>
    </row>
    <row r="209" spans="6:31">
      <c r="F209" s="155"/>
      <c r="G209" s="155"/>
      <c r="H209" s="155"/>
      <c r="I209" s="155"/>
      <c r="J209" s="155"/>
      <c r="K209" s="155"/>
      <c r="M209" s="155"/>
      <c r="O209" s="155"/>
      <c r="P209" s="155"/>
      <c r="Q209" s="155"/>
      <c r="S209" s="155"/>
      <c r="T209" s="155"/>
      <c r="U209" s="155"/>
      <c r="V209" s="155"/>
      <c r="W209" s="155"/>
      <c r="X209" s="155"/>
      <c r="Y209" s="155"/>
      <c r="Z209" s="155"/>
      <c r="AA209" s="155"/>
      <c r="AB209" s="155"/>
      <c r="AC209" s="155"/>
      <c r="AD209" s="155"/>
      <c r="AE209" s="155"/>
    </row>
    <row r="210" spans="6:31">
      <c r="F210" s="155"/>
      <c r="G210" s="155"/>
      <c r="H210" s="155"/>
      <c r="I210" s="155"/>
      <c r="J210" s="155"/>
      <c r="K210" s="155"/>
      <c r="M210" s="155"/>
      <c r="O210" s="155"/>
      <c r="P210" s="155"/>
      <c r="Q210" s="155"/>
      <c r="S210" s="155"/>
      <c r="T210" s="155"/>
      <c r="U210" s="155"/>
      <c r="V210" s="155"/>
      <c r="W210" s="155"/>
      <c r="X210" s="155"/>
      <c r="Y210" s="155"/>
      <c r="Z210" s="155"/>
      <c r="AA210" s="155"/>
      <c r="AB210" s="155"/>
      <c r="AC210" s="155"/>
      <c r="AD210" s="155"/>
      <c r="AE210" s="155"/>
    </row>
    <row r="211" spans="6:31">
      <c r="F211" s="155"/>
      <c r="G211" s="155"/>
      <c r="H211" s="155"/>
      <c r="I211" s="155"/>
      <c r="J211" s="155"/>
      <c r="K211" s="155"/>
      <c r="M211" s="155"/>
      <c r="O211" s="155"/>
      <c r="P211" s="155"/>
      <c r="Q211" s="155"/>
      <c r="S211" s="155"/>
      <c r="T211" s="155"/>
      <c r="U211" s="155"/>
      <c r="V211" s="155"/>
      <c r="W211" s="155"/>
      <c r="X211" s="155"/>
      <c r="Y211" s="155"/>
      <c r="Z211" s="155"/>
      <c r="AA211" s="155"/>
      <c r="AB211" s="155"/>
      <c r="AC211" s="155"/>
      <c r="AD211" s="155"/>
      <c r="AE211" s="155"/>
    </row>
    <row r="212" spans="6:31">
      <c r="F212" s="155"/>
      <c r="G212" s="155"/>
      <c r="H212" s="155"/>
      <c r="I212" s="155"/>
      <c r="J212" s="155"/>
      <c r="K212" s="155"/>
      <c r="M212" s="155"/>
      <c r="O212" s="155"/>
      <c r="P212" s="155"/>
      <c r="Q212" s="155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  <c r="AC212" s="155"/>
      <c r="AD212" s="155"/>
      <c r="AE212" s="155"/>
    </row>
    <row r="213" spans="6:31">
      <c r="F213" s="155"/>
      <c r="G213" s="155"/>
      <c r="H213" s="155"/>
      <c r="I213" s="155"/>
      <c r="J213" s="155"/>
      <c r="K213" s="155"/>
      <c r="M213" s="155"/>
      <c r="O213" s="155"/>
      <c r="P213" s="155"/>
      <c r="Q213" s="155"/>
      <c r="S213" s="155"/>
      <c r="T213" s="155"/>
      <c r="U213" s="155"/>
      <c r="V213" s="155"/>
      <c r="W213" s="155"/>
      <c r="X213" s="155"/>
      <c r="Y213" s="155"/>
      <c r="Z213" s="155"/>
      <c r="AA213" s="155"/>
      <c r="AB213" s="155"/>
      <c r="AC213" s="155"/>
      <c r="AD213" s="155"/>
      <c r="AE213" s="155"/>
    </row>
    <row r="214" spans="6:31">
      <c r="F214" s="155"/>
      <c r="G214" s="155"/>
      <c r="H214" s="155"/>
      <c r="I214" s="155"/>
      <c r="J214" s="155"/>
      <c r="K214" s="155"/>
      <c r="M214" s="155"/>
      <c r="O214" s="155"/>
      <c r="P214" s="155"/>
      <c r="Q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  <c r="AC214" s="155"/>
      <c r="AD214" s="155"/>
      <c r="AE214" s="155"/>
    </row>
    <row r="215" spans="6:31">
      <c r="F215" s="155"/>
      <c r="G215" s="155"/>
      <c r="H215" s="155"/>
      <c r="I215" s="155"/>
      <c r="J215" s="155"/>
      <c r="K215" s="155"/>
      <c r="M215" s="155"/>
      <c r="O215" s="155"/>
      <c r="P215" s="155"/>
      <c r="Q215" s="155"/>
      <c r="S215" s="155"/>
      <c r="T215" s="155"/>
      <c r="U215" s="155"/>
      <c r="V215" s="155"/>
      <c r="W215" s="155"/>
      <c r="X215" s="155"/>
      <c r="Y215" s="155"/>
      <c r="Z215" s="155"/>
      <c r="AA215" s="155"/>
      <c r="AB215" s="155"/>
      <c r="AC215" s="155"/>
      <c r="AD215" s="155"/>
      <c r="AE215" s="155"/>
    </row>
    <row r="216" spans="6:31">
      <c r="F216" s="155"/>
      <c r="G216" s="155"/>
      <c r="H216" s="155"/>
      <c r="I216" s="155"/>
      <c r="J216" s="155"/>
      <c r="K216" s="155"/>
      <c r="M216" s="155"/>
      <c r="O216" s="155"/>
      <c r="P216" s="155"/>
      <c r="Q216" s="155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  <c r="AC216" s="155"/>
      <c r="AD216" s="155"/>
      <c r="AE216" s="155"/>
    </row>
    <row r="217" spans="6:31">
      <c r="F217" s="155"/>
      <c r="G217" s="155"/>
      <c r="H217" s="155"/>
      <c r="I217" s="155"/>
      <c r="J217" s="155"/>
      <c r="K217" s="155"/>
      <c r="M217" s="155"/>
      <c r="O217" s="155"/>
      <c r="P217" s="155"/>
      <c r="Q217" s="155"/>
      <c r="S217" s="155"/>
      <c r="T217" s="155"/>
      <c r="U217" s="155"/>
      <c r="V217" s="155"/>
      <c r="W217" s="155"/>
      <c r="X217" s="155"/>
      <c r="Y217" s="155"/>
      <c r="Z217" s="155"/>
      <c r="AA217" s="155"/>
      <c r="AB217" s="155"/>
      <c r="AC217" s="155"/>
      <c r="AD217" s="155"/>
      <c r="AE217" s="155"/>
    </row>
    <row r="218" spans="6:31">
      <c r="F218" s="155"/>
      <c r="G218" s="155"/>
      <c r="H218" s="155"/>
      <c r="I218" s="155"/>
      <c r="J218" s="155"/>
      <c r="K218" s="155"/>
      <c r="M218" s="155"/>
      <c r="O218" s="155"/>
      <c r="P218" s="155"/>
      <c r="Q218" s="155"/>
      <c r="S218" s="155"/>
      <c r="T218" s="155"/>
      <c r="U218" s="155"/>
      <c r="V218" s="155"/>
      <c r="W218" s="155"/>
      <c r="X218" s="155"/>
      <c r="Y218" s="155"/>
      <c r="Z218" s="155"/>
      <c r="AA218" s="155"/>
      <c r="AB218" s="155"/>
      <c r="AC218" s="155"/>
      <c r="AD218" s="155"/>
      <c r="AE218" s="155"/>
    </row>
    <row r="219" spans="6:31">
      <c r="F219" s="155"/>
      <c r="G219" s="155"/>
      <c r="H219" s="155"/>
      <c r="I219" s="155"/>
      <c r="J219" s="155"/>
      <c r="K219" s="155"/>
      <c r="M219" s="155"/>
      <c r="O219" s="155"/>
      <c r="P219" s="155"/>
      <c r="Q219" s="155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  <c r="AC219" s="155"/>
      <c r="AD219" s="155"/>
      <c r="AE219" s="155"/>
    </row>
    <row r="220" spans="6:31">
      <c r="F220" s="155"/>
      <c r="G220" s="155"/>
      <c r="H220" s="155"/>
      <c r="I220" s="155"/>
      <c r="J220" s="155"/>
      <c r="K220" s="155"/>
      <c r="M220" s="155"/>
      <c r="O220" s="155"/>
      <c r="P220" s="155"/>
      <c r="Q220" s="155"/>
      <c r="S220" s="155"/>
      <c r="T220" s="155"/>
      <c r="U220" s="155"/>
      <c r="V220" s="155"/>
      <c r="W220" s="155"/>
      <c r="X220" s="155"/>
      <c r="Y220" s="155"/>
      <c r="Z220" s="155"/>
      <c r="AA220" s="155"/>
      <c r="AB220" s="155"/>
      <c r="AC220" s="155"/>
      <c r="AD220" s="155"/>
      <c r="AE220" s="155"/>
    </row>
    <row r="221" spans="6:31">
      <c r="F221" s="155"/>
      <c r="G221" s="155"/>
      <c r="H221" s="155"/>
      <c r="I221" s="155"/>
      <c r="J221" s="155"/>
      <c r="K221" s="155"/>
      <c r="M221" s="155"/>
      <c r="O221" s="155"/>
      <c r="P221" s="155"/>
      <c r="Q221" s="155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  <c r="AC221" s="155"/>
      <c r="AD221" s="155"/>
      <c r="AE221" s="155"/>
    </row>
    <row r="222" spans="6:31">
      <c r="F222" s="155"/>
      <c r="G222" s="155"/>
      <c r="H222" s="155"/>
      <c r="I222" s="155"/>
      <c r="J222" s="155"/>
      <c r="K222" s="155"/>
      <c r="M222" s="155"/>
      <c r="O222" s="155"/>
      <c r="P222" s="155"/>
      <c r="Q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  <c r="AC222" s="155"/>
      <c r="AD222" s="155"/>
      <c r="AE222" s="155"/>
    </row>
    <row r="223" spans="6:31">
      <c r="F223" s="155"/>
      <c r="G223" s="155"/>
      <c r="H223" s="155"/>
      <c r="I223" s="155"/>
      <c r="J223" s="155"/>
      <c r="K223" s="155"/>
      <c r="M223" s="155"/>
      <c r="O223" s="155"/>
      <c r="P223" s="155"/>
      <c r="Q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  <c r="AC223" s="155"/>
      <c r="AD223" s="155"/>
      <c r="AE223" s="155"/>
    </row>
    <row r="224" spans="6:31">
      <c r="F224" s="155"/>
      <c r="G224" s="155"/>
      <c r="H224" s="155"/>
      <c r="I224" s="155"/>
      <c r="J224" s="155"/>
      <c r="K224" s="155"/>
      <c r="M224" s="155"/>
      <c r="O224" s="155"/>
      <c r="P224" s="155"/>
      <c r="Q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  <c r="AC224" s="155"/>
      <c r="AD224" s="155"/>
      <c r="AE224" s="155"/>
    </row>
    <row r="225" spans="6:31">
      <c r="F225" s="155"/>
      <c r="G225" s="155"/>
      <c r="H225" s="155"/>
      <c r="I225" s="155"/>
      <c r="J225" s="155"/>
      <c r="K225" s="155"/>
      <c r="M225" s="155"/>
      <c r="O225" s="155"/>
      <c r="P225" s="155"/>
      <c r="Q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  <c r="AC225" s="155"/>
      <c r="AD225" s="155"/>
      <c r="AE225" s="155"/>
    </row>
    <row r="226" spans="6:31">
      <c r="F226" s="155"/>
      <c r="G226" s="155"/>
      <c r="H226" s="155"/>
      <c r="I226" s="155"/>
      <c r="J226" s="155"/>
      <c r="K226" s="155"/>
      <c r="M226" s="155"/>
      <c r="O226" s="155"/>
      <c r="P226" s="155"/>
      <c r="Q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  <c r="AD226" s="155"/>
      <c r="AE226" s="155"/>
    </row>
    <row r="227" spans="6:31">
      <c r="F227" s="155"/>
      <c r="G227" s="155"/>
      <c r="H227" s="155"/>
      <c r="I227" s="155"/>
      <c r="J227" s="155"/>
      <c r="K227" s="155"/>
      <c r="M227" s="155"/>
      <c r="O227" s="155"/>
      <c r="P227" s="155"/>
      <c r="Q227" s="155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  <c r="AC227" s="155"/>
      <c r="AD227" s="155"/>
      <c r="AE227" s="155"/>
    </row>
    <row r="228" spans="6:31">
      <c r="F228" s="155"/>
      <c r="G228" s="155"/>
      <c r="H228" s="155"/>
      <c r="I228" s="155"/>
      <c r="J228" s="155"/>
      <c r="K228" s="155"/>
      <c r="M228" s="155"/>
      <c r="O228" s="155"/>
      <c r="P228" s="155"/>
      <c r="Q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  <c r="AC228" s="155"/>
      <c r="AD228" s="155"/>
      <c r="AE228" s="155"/>
    </row>
    <row r="229" spans="6:31">
      <c r="F229" s="155"/>
      <c r="G229" s="155"/>
      <c r="H229" s="155"/>
      <c r="I229" s="155"/>
      <c r="J229" s="155"/>
      <c r="K229" s="155"/>
      <c r="M229" s="155"/>
      <c r="O229" s="155"/>
      <c r="P229" s="155"/>
      <c r="Q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  <c r="AD229" s="155"/>
      <c r="AE229" s="155"/>
    </row>
    <row r="230" spans="6:31">
      <c r="F230" s="155"/>
      <c r="G230" s="155"/>
      <c r="H230" s="155"/>
      <c r="I230" s="155"/>
      <c r="J230" s="155"/>
      <c r="K230" s="155"/>
      <c r="M230" s="155"/>
      <c r="O230" s="155"/>
      <c r="P230" s="155"/>
      <c r="Q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  <c r="AD230" s="155"/>
      <c r="AE230" s="155"/>
    </row>
    <row r="231" spans="6:31">
      <c r="F231" s="155"/>
      <c r="G231" s="155"/>
      <c r="H231" s="155"/>
      <c r="I231" s="155"/>
      <c r="J231" s="155"/>
      <c r="K231" s="155"/>
      <c r="M231" s="155"/>
      <c r="O231" s="155"/>
      <c r="P231" s="155"/>
      <c r="Q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  <c r="AD231" s="155"/>
      <c r="AE231" s="155"/>
    </row>
    <row r="232" spans="6:31">
      <c r="F232" s="155"/>
      <c r="G232" s="155"/>
      <c r="H232" s="155"/>
      <c r="I232" s="155"/>
      <c r="J232" s="155"/>
      <c r="K232" s="155"/>
      <c r="M232" s="155"/>
      <c r="O232" s="155"/>
      <c r="P232" s="155"/>
      <c r="Q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  <c r="AD232" s="155"/>
      <c r="AE232" s="155"/>
    </row>
    <row r="233" spans="6:31">
      <c r="F233" s="155"/>
      <c r="G233" s="155"/>
      <c r="H233" s="155"/>
      <c r="I233" s="155"/>
      <c r="J233" s="155"/>
      <c r="K233" s="155"/>
      <c r="M233" s="155"/>
      <c r="O233" s="155"/>
      <c r="P233" s="155"/>
      <c r="Q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  <c r="AD233" s="155"/>
      <c r="AE233" s="155"/>
    </row>
    <row r="234" spans="6:31">
      <c r="F234" s="155"/>
      <c r="G234" s="155"/>
      <c r="H234" s="155"/>
      <c r="I234" s="155"/>
      <c r="J234" s="155"/>
      <c r="K234" s="155"/>
      <c r="M234" s="155"/>
      <c r="O234" s="155"/>
      <c r="P234" s="155"/>
      <c r="Q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  <c r="AC234" s="155"/>
      <c r="AD234" s="155"/>
      <c r="AE234" s="155"/>
    </row>
    <row r="235" spans="6:31">
      <c r="F235" s="155"/>
      <c r="G235" s="155"/>
      <c r="H235" s="155"/>
      <c r="I235" s="155"/>
      <c r="J235" s="155"/>
      <c r="K235" s="155"/>
      <c r="M235" s="155"/>
      <c r="O235" s="155"/>
      <c r="P235" s="155"/>
      <c r="Q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  <c r="AD235" s="155"/>
      <c r="AE235" s="155"/>
    </row>
    <row r="236" spans="6:31">
      <c r="F236" s="155"/>
      <c r="G236" s="155"/>
      <c r="H236" s="155"/>
      <c r="I236" s="155"/>
      <c r="J236" s="155"/>
      <c r="K236" s="155"/>
      <c r="M236" s="155"/>
      <c r="O236" s="155"/>
      <c r="P236" s="155"/>
      <c r="Q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  <c r="AC236" s="155"/>
      <c r="AD236" s="155"/>
      <c r="AE236" s="155"/>
    </row>
    <row r="237" spans="6:31">
      <c r="F237" s="155"/>
      <c r="G237" s="155"/>
      <c r="H237" s="155"/>
      <c r="I237" s="155"/>
      <c r="J237" s="155"/>
      <c r="K237" s="155"/>
      <c r="M237" s="155"/>
      <c r="O237" s="155"/>
      <c r="P237" s="155"/>
      <c r="Q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  <c r="AD237" s="155"/>
      <c r="AE237" s="155"/>
    </row>
    <row r="238" spans="6:31">
      <c r="F238" s="155"/>
      <c r="G238" s="155"/>
      <c r="H238" s="155"/>
      <c r="I238" s="155"/>
      <c r="J238" s="155"/>
      <c r="K238" s="155"/>
      <c r="M238" s="155"/>
      <c r="O238" s="155"/>
      <c r="P238" s="155"/>
      <c r="Q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  <c r="AC238" s="155"/>
      <c r="AD238" s="155"/>
      <c r="AE238" s="155"/>
    </row>
    <row r="239" spans="6:31">
      <c r="F239" s="155"/>
      <c r="G239" s="155"/>
      <c r="H239" s="155"/>
      <c r="I239" s="155"/>
      <c r="J239" s="155"/>
      <c r="K239" s="155"/>
      <c r="M239" s="155"/>
      <c r="O239" s="155"/>
      <c r="P239" s="155"/>
      <c r="Q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</row>
    <row r="240" spans="6:31">
      <c r="F240" s="155"/>
      <c r="G240" s="155"/>
      <c r="H240" s="155"/>
      <c r="I240" s="155"/>
      <c r="J240" s="155"/>
      <c r="K240" s="155"/>
      <c r="M240" s="155"/>
      <c r="O240" s="155"/>
      <c r="P240" s="155"/>
      <c r="Q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</row>
    <row r="241" spans="6:31">
      <c r="F241" s="155"/>
      <c r="G241" s="155"/>
      <c r="H241" s="155"/>
      <c r="I241" s="155"/>
      <c r="J241" s="155"/>
      <c r="K241" s="155"/>
      <c r="M241" s="155"/>
      <c r="O241" s="155"/>
      <c r="P241" s="155"/>
      <c r="Q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</row>
    <row r="242" spans="6:31">
      <c r="F242" s="155"/>
      <c r="G242" s="155"/>
      <c r="H242" s="155"/>
      <c r="I242" s="155"/>
      <c r="J242" s="155"/>
      <c r="K242" s="155"/>
      <c r="M242" s="155"/>
      <c r="O242" s="155"/>
      <c r="P242" s="155"/>
      <c r="Q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</row>
    <row r="243" spans="6:31">
      <c r="F243" s="155"/>
      <c r="G243" s="155"/>
      <c r="H243" s="155"/>
      <c r="I243" s="155"/>
      <c r="J243" s="155"/>
      <c r="K243" s="155"/>
      <c r="M243" s="155"/>
      <c r="O243" s="155"/>
      <c r="P243" s="155"/>
      <c r="Q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  <c r="AD243" s="155"/>
      <c r="AE243" s="155"/>
    </row>
    <row r="244" spans="6:31">
      <c r="F244" s="155"/>
      <c r="G244" s="155"/>
      <c r="H244" s="155"/>
      <c r="I244" s="155"/>
      <c r="J244" s="155"/>
      <c r="K244" s="155"/>
      <c r="M244" s="155"/>
      <c r="O244" s="155"/>
      <c r="P244" s="155"/>
      <c r="Q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  <c r="AD244" s="155"/>
      <c r="AE244" s="155"/>
    </row>
    <row r="245" spans="6:31">
      <c r="F245" s="155"/>
      <c r="G245" s="155"/>
      <c r="H245" s="155"/>
      <c r="I245" s="155"/>
      <c r="J245" s="155"/>
      <c r="K245" s="155"/>
      <c r="M245" s="155"/>
      <c r="O245" s="155"/>
      <c r="P245" s="155"/>
      <c r="Q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  <c r="AD245" s="155"/>
      <c r="AE245" s="155"/>
    </row>
    <row r="246" spans="6:31">
      <c r="F246" s="155"/>
      <c r="G246" s="155"/>
      <c r="H246" s="155"/>
      <c r="I246" s="155"/>
      <c r="J246" s="155"/>
      <c r="K246" s="155"/>
      <c r="M246" s="155"/>
      <c r="O246" s="155"/>
      <c r="P246" s="155"/>
      <c r="Q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  <c r="AC246" s="155"/>
      <c r="AD246" s="155"/>
      <c r="AE246" s="155"/>
    </row>
    <row r="247" spans="6:31">
      <c r="F247" s="155"/>
      <c r="G247" s="155"/>
      <c r="H247" s="155"/>
      <c r="I247" s="155"/>
      <c r="J247" s="155"/>
      <c r="K247" s="155"/>
      <c r="M247" s="155"/>
      <c r="O247" s="155"/>
      <c r="P247" s="155"/>
      <c r="Q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  <c r="AC247" s="155"/>
      <c r="AD247" s="155"/>
      <c r="AE247" s="155"/>
    </row>
    <row r="248" spans="6:31">
      <c r="F248" s="155"/>
      <c r="G248" s="155"/>
      <c r="H248" s="155"/>
      <c r="I248" s="155"/>
      <c r="J248" s="155"/>
      <c r="K248" s="155"/>
      <c r="M248" s="155"/>
      <c r="O248" s="155"/>
      <c r="P248" s="155"/>
      <c r="Q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  <c r="AC248" s="155"/>
      <c r="AD248" s="155"/>
      <c r="AE248" s="155"/>
    </row>
    <row r="249" spans="6:31">
      <c r="F249" s="155"/>
      <c r="G249" s="155"/>
      <c r="H249" s="155"/>
      <c r="I249" s="155"/>
      <c r="J249" s="155"/>
      <c r="K249" s="155"/>
      <c r="M249" s="155"/>
      <c r="O249" s="155"/>
      <c r="P249" s="155"/>
      <c r="Q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155"/>
    </row>
    <row r="250" spans="6:31">
      <c r="F250" s="155"/>
      <c r="G250" s="155"/>
      <c r="H250" s="155"/>
      <c r="I250" s="155"/>
      <c r="J250" s="155"/>
      <c r="K250" s="155"/>
      <c r="M250" s="155"/>
      <c r="O250" s="155"/>
      <c r="P250" s="155"/>
      <c r="Q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155"/>
    </row>
    <row r="251" spans="6:31">
      <c r="F251" s="155"/>
      <c r="G251" s="155"/>
      <c r="H251" s="155"/>
      <c r="I251" s="155"/>
      <c r="J251" s="155"/>
      <c r="K251" s="155"/>
      <c r="M251" s="155"/>
      <c r="O251" s="155"/>
      <c r="P251" s="155"/>
      <c r="Q251" s="155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  <c r="AC251" s="155"/>
      <c r="AD251" s="155"/>
      <c r="AE251" s="155"/>
    </row>
    <row r="252" spans="6:31">
      <c r="F252" s="155"/>
      <c r="G252" s="155"/>
      <c r="H252" s="155"/>
      <c r="I252" s="155"/>
      <c r="J252" s="155"/>
      <c r="K252" s="155"/>
      <c r="M252" s="155"/>
      <c r="O252" s="155"/>
      <c r="P252" s="155"/>
      <c r="Q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  <c r="AD252" s="155"/>
      <c r="AE252" s="155"/>
    </row>
    <row r="253" spans="6:31">
      <c r="F253" s="155"/>
      <c r="G253" s="155"/>
      <c r="H253" s="155"/>
      <c r="I253" s="155"/>
      <c r="J253" s="155"/>
      <c r="K253" s="155"/>
      <c r="M253" s="155"/>
      <c r="O253" s="155"/>
      <c r="P253" s="155"/>
      <c r="Q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  <c r="AD253" s="155"/>
      <c r="AE253" s="155"/>
    </row>
    <row r="254" spans="6:31">
      <c r="F254" s="155"/>
      <c r="G254" s="155"/>
      <c r="H254" s="155"/>
      <c r="I254" s="155"/>
      <c r="J254" s="155"/>
      <c r="K254" s="155"/>
      <c r="M254" s="155"/>
      <c r="O254" s="155"/>
      <c r="P254" s="155"/>
      <c r="Q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  <c r="AD254" s="155"/>
      <c r="AE254" s="155"/>
    </row>
    <row r="255" spans="6:31">
      <c r="F255" s="155"/>
      <c r="G255" s="155"/>
      <c r="H255" s="155"/>
      <c r="I255" s="155"/>
      <c r="J255" s="155"/>
      <c r="K255" s="155"/>
      <c r="M255" s="155"/>
      <c r="O255" s="155"/>
      <c r="P255" s="155"/>
      <c r="Q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  <c r="AD255" s="155"/>
      <c r="AE255" s="155"/>
    </row>
    <row r="256" spans="6:31">
      <c r="F256" s="155"/>
      <c r="G256" s="155"/>
      <c r="H256" s="155"/>
      <c r="I256" s="155"/>
      <c r="J256" s="155"/>
      <c r="K256" s="155"/>
      <c r="M256" s="155"/>
      <c r="O256" s="155"/>
      <c r="P256" s="155"/>
      <c r="Q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  <c r="AD256" s="155"/>
      <c r="AE256" s="155"/>
    </row>
    <row r="257" spans="6:31">
      <c r="F257" s="155"/>
      <c r="G257" s="155"/>
      <c r="H257" s="155"/>
      <c r="I257" s="155"/>
      <c r="J257" s="155"/>
      <c r="K257" s="155"/>
      <c r="M257" s="155"/>
      <c r="O257" s="155"/>
      <c r="P257" s="155"/>
      <c r="Q257" s="155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  <c r="AC257" s="155"/>
      <c r="AD257" s="155"/>
      <c r="AE257" s="155"/>
    </row>
    <row r="258" spans="6:31">
      <c r="F258" s="155"/>
      <c r="G258" s="155"/>
      <c r="H258" s="155"/>
      <c r="I258" s="155"/>
      <c r="J258" s="155"/>
      <c r="K258" s="155"/>
      <c r="M258" s="155"/>
      <c r="O258" s="155"/>
      <c r="P258" s="155"/>
      <c r="Q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  <c r="AD258" s="155"/>
      <c r="AE258" s="155"/>
    </row>
    <row r="259" spans="6:31">
      <c r="F259" s="155"/>
      <c r="G259" s="155"/>
      <c r="H259" s="155"/>
      <c r="I259" s="155"/>
      <c r="J259" s="155"/>
      <c r="K259" s="155"/>
      <c r="M259" s="155"/>
      <c r="O259" s="155"/>
      <c r="P259" s="155"/>
      <c r="Q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</row>
    <row r="260" spans="6:31">
      <c r="F260" s="155"/>
      <c r="G260" s="155"/>
      <c r="H260" s="155"/>
      <c r="I260" s="155"/>
      <c r="J260" s="155"/>
      <c r="K260" s="155"/>
      <c r="M260" s="155"/>
      <c r="O260" s="155"/>
      <c r="P260" s="155"/>
      <c r="Q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  <c r="AD260" s="155"/>
      <c r="AE260" s="155"/>
    </row>
    <row r="261" spans="6:31">
      <c r="F261" s="155"/>
      <c r="G261" s="155"/>
      <c r="H261" s="155"/>
      <c r="I261" s="155"/>
      <c r="J261" s="155"/>
      <c r="K261" s="155"/>
      <c r="M261" s="155"/>
      <c r="O261" s="155"/>
      <c r="P261" s="155"/>
      <c r="Q261" s="155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  <c r="AC261" s="155"/>
      <c r="AD261" s="155"/>
      <c r="AE261" s="155"/>
    </row>
    <row r="262" spans="6:31">
      <c r="F262" s="155"/>
      <c r="G262" s="155"/>
      <c r="H262" s="155"/>
      <c r="I262" s="155"/>
      <c r="J262" s="155"/>
      <c r="K262" s="155"/>
      <c r="M262" s="155"/>
      <c r="O262" s="155"/>
      <c r="P262" s="155"/>
      <c r="Q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  <c r="AD262" s="155"/>
      <c r="AE262" s="155"/>
    </row>
    <row r="263" spans="6:31">
      <c r="F263" s="155"/>
      <c r="G263" s="155"/>
      <c r="H263" s="155"/>
      <c r="I263" s="155"/>
      <c r="J263" s="155"/>
      <c r="K263" s="155"/>
      <c r="M263" s="155"/>
      <c r="O263" s="155"/>
      <c r="P263" s="155"/>
      <c r="Q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  <c r="AD263" s="155"/>
      <c r="AE263" s="155"/>
    </row>
    <row r="264" spans="6:31">
      <c r="F264" s="155"/>
      <c r="G264" s="155"/>
      <c r="H264" s="155"/>
      <c r="I264" s="155"/>
      <c r="J264" s="155"/>
      <c r="K264" s="155"/>
      <c r="M264" s="155"/>
      <c r="O264" s="155"/>
      <c r="P264" s="155"/>
      <c r="Q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  <c r="AD264" s="155"/>
      <c r="AE264" s="155"/>
    </row>
    <row r="265" spans="6:31">
      <c r="F265" s="155"/>
      <c r="G265" s="155"/>
      <c r="H265" s="155"/>
      <c r="I265" s="155"/>
      <c r="J265" s="155"/>
      <c r="K265" s="155"/>
      <c r="M265" s="155"/>
      <c r="O265" s="155"/>
      <c r="P265" s="155"/>
      <c r="Q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  <c r="AD265" s="155"/>
      <c r="AE265" s="155"/>
    </row>
    <row r="266" spans="6:31">
      <c r="F266" s="155"/>
      <c r="G266" s="155"/>
      <c r="H266" s="155"/>
      <c r="I266" s="155"/>
      <c r="J266" s="155"/>
      <c r="K266" s="155"/>
      <c r="M266" s="155"/>
      <c r="O266" s="155"/>
      <c r="P266" s="155"/>
      <c r="Q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  <c r="AD266" s="155"/>
      <c r="AE266" s="155"/>
    </row>
    <row r="267" spans="6:31">
      <c r="F267" s="155"/>
      <c r="G267" s="155"/>
      <c r="H267" s="155"/>
      <c r="I267" s="155"/>
      <c r="J267" s="155"/>
      <c r="K267" s="155"/>
      <c r="M267" s="155"/>
      <c r="O267" s="155"/>
      <c r="P267" s="155"/>
      <c r="Q267" s="155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  <c r="AC267" s="155"/>
      <c r="AD267" s="155"/>
      <c r="AE267" s="155"/>
    </row>
    <row r="268" spans="6:31">
      <c r="F268" s="155"/>
      <c r="G268" s="155"/>
      <c r="H268" s="155"/>
      <c r="I268" s="155"/>
      <c r="J268" s="155"/>
      <c r="K268" s="155"/>
      <c r="M268" s="155"/>
      <c r="O268" s="155"/>
      <c r="P268" s="155"/>
      <c r="Q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  <c r="AD268" s="155"/>
      <c r="AE268" s="155"/>
    </row>
    <row r="269" spans="6:31">
      <c r="F269" s="155"/>
      <c r="G269" s="155"/>
      <c r="H269" s="155"/>
      <c r="I269" s="155"/>
      <c r="J269" s="155"/>
      <c r="K269" s="155"/>
      <c r="M269" s="155"/>
      <c r="O269" s="155"/>
      <c r="P269" s="155"/>
      <c r="Q269" s="155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  <c r="AC269" s="155"/>
      <c r="AD269" s="155"/>
      <c r="AE269" s="155"/>
    </row>
    <row r="270" spans="6:31">
      <c r="F270" s="155"/>
      <c r="G270" s="155"/>
      <c r="H270" s="155"/>
      <c r="I270" s="155"/>
      <c r="J270" s="155"/>
      <c r="K270" s="155"/>
      <c r="M270" s="155"/>
      <c r="O270" s="155"/>
      <c r="P270" s="155"/>
      <c r="Q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  <c r="AD270" s="155"/>
      <c r="AE270" s="155"/>
    </row>
    <row r="271" spans="6:31">
      <c r="F271" s="155"/>
      <c r="G271" s="155"/>
      <c r="H271" s="155"/>
      <c r="I271" s="155"/>
      <c r="J271" s="155"/>
      <c r="K271" s="155"/>
      <c r="M271" s="155"/>
      <c r="O271" s="155"/>
      <c r="P271" s="155"/>
      <c r="Q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  <c r="AD271" s="155"/>
      <c r="AE271" s="155"/>
    </row>
    <row r="272" spans="6:31">
      <c r="F272" s="155"/>
      <c r="G272" s="155"/>
      <c r="H272" s="155"/>
      <c r="I272" s="155"/>
      <c r="J272" s="155"/>
      <c r="K272" s="155"/>
      <c r="M272" s="155"/>
      <c r="O272" s="155"/>
      <c r="P272" s="155"/>
      <c r="Q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  <c r="AD272" s="155"/>
      <c r="AE272" s="155"/>
    </row>
    <row r="273" spans="6:31">
      <c r="F273" s="155"/>
      <c r="G273" s="155"/>
      <c r="H273" s="155"/>
      <c r="I273" s="155"/>
      <c r="J273" s="155"/>
      <c r="K273" s="155"/>
      <c r="M273" s="155"/>
      <c r="O273" s="155"/>
      <c r="P273" s="155"/>
      <c r="Q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  <c r="AD273" s="155"/>
      <c r="AE273" s="155"/>
    </row>
    <row r="274" spans="6:31">
      <c r="F274" s="155"/>
      <c r="G274" s="155"/>
      <c r="H274" s="155"/>
      <c r="I274" s="155"/>
      <c r="J274" s="155"/>
      <c r="K274" s="155"/>
      <c r="M274" s="155"/>
      <c r="O274" s="155"/>
      <c r="P274" s="155"/>
      <c r="Q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  <c r="AD274" s="155"/>
      <c r="AE274" s="155"/>
    </row>
    <row r="275" spans="6:31">
      <c r="F275" s="155"/>
      <c r="G275" s="155"/>
      <c r="H275" s="155"/>
      <c r="I275" s="155"/>
      <c r="J275" s="155"/>
      <c r="K275" s="155"/>
      <c r="M275" s="155"/>
      <c r="O275" s="155"/>
      <c r="P275" s="155"/>
      <c r="Q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  <c r="AD275" s="155"/>
      <c r="AE275" s="155"/>
    </row>
    <row r="276" spans="6:31">
      <c r="F276" s="155"/>
      <c r="G276" s="155"/>
      <c r="H276" s="155"/>
      <c r="I276" s="155"/>
      <c r="J276" s="155"/>
      <c r="K276" s="155"/>
      <c r="M276" s="155"/>
      <c r="O276" s="155"/>
      <c r="P276" s="155"/>
      <c r="Q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  <c r="AD276" s="155"/>
      <c r="AE276" s="155"/>
    </row>
    <row r="277" spans="6:31">
      <c r="F277" s="155"/>
      <c r="G277" s="155"/>
      <c r="H277" s="155"/>
      <c r="I277" s="155"/>
      <c r="J277" s="155"/>
      <c r="K277" s="155"/>
      <c r="M277" s="155"/>
      <c r="O277" s="155"/>
      <c r="P277" s="155"/>
      <c r="Q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  <c r="AD277" s="155"/>
      <c r="AE277" s="155"/>
    </row>
    <row r="278" spans="6:31">
      <c r="F278" s="155"/>
      <c r="G278" s="155"/>
      <c r="H278" s="155"/>
      <c r="I278" s="155"/>
      <c r="J278" s="155"/>
      <c r="K278" s="155"/>
      <c r="M278" s="155"/>
      <c r="O278" s="155"/>
      <c r="P278" s="155"/>
      <c r="Q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  <c r="AC278" s="155"/>
      <c r="AD278" s="155"/>
      <c r="AE278" s="155"/>
    </row>
    <row r="279" spans="6:31">
      <c r="F279" s="155"/>
      <c r="G279" s="155"/>
      <c r="H279" s="155"/>
      <c r="I279" s="155"/>
      <c r="J279" s="155"/>
      <c r="K279" s="155"/>
      <c r="M279" s="155"/>
      <c r="O279" s="155"/>
      <c r="P279" s="155"/>
      <c r="Q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  <c r="AD279" s="155"/>
      <c r="AE279" s="155"/>
    </row>
    <row r="280" spans="6:31">
      <c r="F280" s="155"/>
      <c r="G280" s="155"/>
      <c r="H280" s="155"/>
      <c r="I280" s="155"/>
      <c r="J280" s="155"/>
      <c r="K280" s="155"/>
      <c r="M280" s="155"/>
      <c r="O280" s="155"/>
      <c r="P280" s="155"/>
      <c r="Q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  <c r="AD280" s="155"/>
      <c r="AE280" s="155"/>
    </row>
    <row r="281" spans="6:31">
      <c r="F281" s="155"/>
      <c r="G281" s="155"/>
      <c r="H281" s="155"/>
      <c r="I281" s="155"/>
      <c r="J281" s="155"/>
      <c r="K281" s="155"/>
      <c r="M281" s="155"/>
      <c r="O281" s="155"/>
      <c r="P281" s="155"/>
      <c r="Q281" s="155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  <c r="AC281" s="155"/>
      <c r="AD281" s="155"/>
      <c r="AE281" s="155"/>
    </row>
    <row r="282" spans="6:31">
      <c r="F282" s="155"/>
      <c r="G282" s="155"/>
      <c r="H282" s="155"/>
      <c r="I282" s="155"/>
      <c r="J282" s="155"/>
      <c r="K282" s="155"/>
      <c r="M282" s="155"/>
      <c r="O282" s="155"/>
      <c r="P282" s="155"/>
      <c r="Q282" s="155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  <c r="AC282" s="155"/>
      <c r="AD282" s="155"/>
      <c r="AE282" s="155"/>
    </row>
    <row r="283" spans="6:31">
      <c r="F283" s="155"/>
      <c r="G283" s="155"/>
      <c r="H283" s="155"/>
      <c r="I283" s="155"/>
      <c r="J283" s="155"/>
      <c r="K283" s="155"/>
      <c r="M283" s="155"/>
      <c r="O283" s="155"/>
      <c r="P283" s="155"/>
      <c r="Q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  <c r="AC283" s="155"/>
      <c r="AD283" s="155"/>
      <c r="AE283" s="155"/>
    </row>
    <row r="284" spans="6:31">
      <c r="F284" s="155"/>
      <c r="G284" s="155"/>
      <c r="H284" s="155"/>
      <c r="I284" s="155"/>
      <c r="J284" s="155"/>
      <c r="K284" s="155"/>
      <c r="M284" s="155"/>
      <c r="O284" s="155"/>
      <c r="P284" s="155"/>
      <c r="Q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  <c r="AC284" s="155"/>
      <c r="AD284" s="155"/>
      <c r="AE284" s="155"/>
    </row>
    <row r="285" spans="6:31">
      <c r="F285" s="155"/>
      <c r="G285" s="155"/>
      <c r="H285" s="155"/>
      <c r="I285" s="155"/>
      <c r="J285" s="155"/>
      <c r="K285" s="155"/>
      <c r="M285" s="155"/>
      <c r="O285" s="155"/>
      <c r="P285" s="155"/>
      <c r="Q285" s="155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  <c r="AC285" s="155"/>
      <c r="AD285" s="155"/>
      <c r="AE285" s="155"/>
    </row>
    <row r="286" spans="6:31">
      <c r="F286" s="155"/>
      <c r="G286" s="155"/>
      <c r="H286" s="155"/>
      <c r="I286" s="155"/>
      <c r="J286" s="155"/>
      <c r="K286" s="155"/>
      <c r="M286" s="155"/>
      <c r="O286" s="155"/>
      <c r="P286" s="155"/>
      <c r="Q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  <c r="AC286" s="155"/>
      <c r="AD286" s="155"/>
      <c r="AE286" s="155"/>
    </row>
    <row r="287" spans="6:31">
      <c r="F287" s="155"/>
      <c r="G287" s="155"/>
      <c r="H287" s="155"/>
      <c r="I287" s="155"/>
      <c r="J287" s="155"/>
      <c r="K287" s="155"/>
      <c r="M287" s="155"/>
      <c r="O287" s="155"/>
      <c r="P287" s="155"/>
      <c r="Q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  <c r="AD287" s="155"/>
      <c r="AE287" s="155"/>
    </row>
    <row r="288" spans="6:31">
      <c r="F288" s="155"/>
      <c r="G288" s="155"/>
      <c r="H288" s="155"/>
      <c r="I288" s="155"/>
      <c r="J288" s="155"/>
      <c r="K288" s="155"/>
      <c r="M288" s="155"/>
      <c r="O288" s="155"/>
      <c r="P288" s="155"/>
      <c r="Q288" s="155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  <c r="AC288" s="155"/>
      <c r="AD288" s="155"/>
      <c r="AE288" s="155"/>
    </row>
    <row r="289" spans="6:31">
      <c r="F289" s="155"/>
      <c r="G289" s="155"/>
      <c r="H289" s="155"/>
      <c r="I289" s="155"/>
      <c r="J289" s="155"/>
      <c r="K289" s="155"/>
      <c r="M289" s="155"/>
      <c r="O289" s="155"/>
      <c r="P289" s="155"/>
      <c r="Q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  <c r="AD289" s="155"/>
      <c r="AE289" s="155"/>
    </row>
    <row r="290" spans="6:31">
      <c r="F290" s="155"/>
      <c r="G290" s="155"/>
      <c r="H290" s="155"/>
      <c r="I290" s="155"/>
      <c r="J290" s="155"/>
      <c r="K290" s="155"/>
      <c r="M290" s="155"/>
      <c r="O290" s="155"/>
      <c r="P290" s="155"/>
      <c r="Q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155"/>
    </row>
    <row r="291" spans="6:31">
      <c r="F291" s="155"/>
      <c r="G291" s="155"/>
      <c r="H291" s="155"/>
      <c r="I291" s="155"/>
      <c r="J291" s="155"/>
      <c r="K291" s="155"/>
      <c r="M291" s="155"/>
      <c r="O291" s="155"/>
      <c r="P291" s="155"/>
      <c r="Q291" s="155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  <c r="AC291" s="155"/>
      <c r="AD291" s="155"/>
      <c r="AE291" s="155"/>
    </row>
    <row r="292" spans="6:31">
      <c r="F292" s="155"/>
      <c r="G292" s="155"/>
      <c r="H292" s="155"/>
      <c r="I292" s="155"/>
      <c r="J292" s="155"/>
      <c r="K292" s="155"/>
      <c r="M292" s="155"/>
      <c r="O292" s="155"/>
      <c r="P292" s="155"/>
      <c r="Q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  <c r="AC292" s="155"/>
      <c r="AD292" s="155"/>
      <c r="AE292" s="155"/>
    </row>
    <row r="293" spans="6:31">
      <c r="F293" s="155"/>
      <c r="G293" s="155"/>
      <c r="H293" s="155"/>
      <c r="I293" s="155"/>
      <c r="J293" s="155"/>
      <c r="K293" s="155"/>
      <c r="M293" s="155"/>
      <c r="O293" s="155"/>
      <c r="P293" s="155"/>
      <c r="Q293" s="155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  <c r="AC293" s="155"/>
      <c r="AD293" s="155"/>
      <c r="AE293" s="155"/>
    </row>
    <row r="294" spans="6:31">
      <c r="F294" s="155"/>
      <c r="G294" s="155"/>
      <c r="H294" s="155"/>
      <c r="I294" s="155"/>
      <c r="J294" s="155"/>
      <c r="K294" s="155"/>
      <c r="M294" s="155"/>
      <c r="O294" s="155"/>
      <c r="P294" s="155"/>
      <c r="Q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  <c r="AC294" s="155"/>
      <c r="AD294" s="155"/>
      <c r="AE294" s="155"/>
    </row>
    <row r="295" spans="6:31">
      <c r="F295" s="155"/>
      <c r="G295" s="155"/>
      <c r="H295" s="155"/>
      <c r="I295" s="155"/>
      <c r="J295" s="155"/>
      <c r="K295" s="155"/>
      <c r="M295" s="155"/>
      <c r="O295" s="155"/>
      <c r="P295" s="155"/>
      <c r="Q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  <c r="AD295" s="155"/>
      <c r="AE295" s="155"/>
    </row>
    <row r="296" spans="6:31">
      <c r="F296" s="155"/>
      <c r="G296" s="155"/>
      <c r="H296" s="155"/>
      <c r="I296" s="155"/>
      <c r="J296" s="155"/>
      <c r="K296" s="155"/>
      <c r="M296" s="155"/>
      <c r="O296" s="155"/>
      <c r="P296" s="155"/>
      <c r="Q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  <c r="AD296" s="155"/>
      <c r="AE296" s="155"/>
    </row>
    <row r="297" spans="6:31">
      <c r="F297" s="155"/>
      <c r="G297" s="155"/>
      <c r="H297" s="155"/>
      <c r="I297" s="155"/>
      <c r="J297" s="155"/>
      <c r="K297" s="155"/>
      <c r="M297" s="155"/>
      <c r="O297" s="155"/>
      <c r="P297" s="155"/>
      <c r="Q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  <c r="AC297" s="155"/>
      <c r="AD297" s="155"/>
      <c r="AE297" s="155"/>
    </row>
    <row r="298" spans="6:31">
      <c r="F298" s="155"/>
      <c r="G298" s="155"/>
      <c r="H298" s="155"/>
      <c r="I298" s="155"/>
      <c r="J298" s="155"/>
      <c r="K298" s="155"/>
      <c r="M298" s="155"/>
      <c r="O298" s="155"/>
      <c r="P298" s="155"/>
      <c r="Q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  <c r="AD298" s="155"/>
      <c r="AE298" s="155"/>
    </row>
    <row r="299" spans="6:31">
      <c r="F299" s="155"/>
      <c r="G299" s="155"/>
      <c r="H299" s="155"/>
      <c r="I299" s="155"/>
      <c r="J299" s="155"/>
      <c r="K299" s="155"/>
      <c r="M299" s="155"/>
      <c r="O299" s="155"/>
      <c r="P299" s="155"/>
      <c r="Q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  <c r="AD299" s="155"/>
      <c r="AE299" s="155"/>
    </row>
    <row r="300" spans="6:31">
      <c r="F300" s="155"/>
      <c r="G300" s="155"/>
      <c r="H300" s="155"/>
      <c r="I300" s="155"/>
      <c r="J300" s="155"/>
      <c r="K300" s="155"/>
      <c r="M300" s="155"/>
      <c r="O300" s="155"/>
      <c r="P300" s="155"/>
      <c r="Q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  <c r="AC300" s="155"/>
      <c r="AD300" s="155"/>
      <c r="AE300" s="155"/>
    </row>
    <row r="301" spans="6:31">
      <c r="F301" s="155"/>
      <c r="G301" s="155"/>
      <c r="H301" s="155"/>
      <c r="I301" s="155"/>
      <c r="J301" s="155"/>
      <c r="K301" s="155"/>
      <c r="M301" s="155"/>
      <c r="O301" s="155"/>
      <c r="P301" s="155"/>
      <c r="Q301" s="155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  <c r="AC301" s="155"/>
      <c r="AD301" s="155"/>
      <c r="AE301" s="155"/>
    </row>
    <row r="302" spans="6:31">
      <c r="F302" s="155"/>
      <c r="G302" s="155"/>
      <c r="H302" s="155"/>
      <c r="I302" s="155"/>
      <c r="J302" s="155"/>
      <c r="K302" s="155"/>
      <c r="M302" s="155"/>
      <c r="O302" s="155"/>
      <c r="P302" s="155"/>
      <c r="Q302" s="155"/>
      <c r="S302" s="155"/>
      <c r="T302" s="155"/>
      <c r="U302" s="155"/>
      <c r="V302" s="155"/>
      <c r="W302" s="155"/>
      <c r="X302" s="155"/>
      <c r="Y302" s="155"/>
      <c r="Z302" s="155"/>
      <c r="AA302" s="155"/>
      <c r="AB302" s="155"/>
      <c r="AC302" s="155"/>
      <c r="AD302" s="155"/>
      <c r="AE302" s="155"/>
    </row>
    <row r="303" spans="6:31">
      <c r="F303" s="155"/>
      <c r="G303" s="155"/>
      <c r="H303" s="155"/>
      <c r="I303" s="155"/>
      <c r="J303" s="155"/>
      <c r="K303" s="155"/>
      <c r="M303" s="155"/>
      <c r="O303" s="155"/>
      <c r="P303" s="155"/>
      <c r="Q303" s="155"/>
      <c r="S303" s="155"/>
      <c r="T303" s="155"/>
      <c r="U303" s="155"/>
      <c r="V303" s="155"/>
      <c r="W303" s="155"/>
      <c r="X303" s="155"/>
      <c r="Y303" s="155"/>
      <c r="Z303" s="155"/>
      <c r="AA303" s="155"/>
      <c r="AB303" s="155"/>
      <c r="AC303" s="155"/>
      <c r="AD303" s="155"/>
      <c r="AE303" s="155"/>
    </row>
    <row r="304" spans="6:31">
      <c r="F304" s="155"/>
      <c r="G304" s="155"/>
      <c r="H304" s="155"/>
      <c r="I304" s="155"/>
      <c r="J304" s="155"/>
      <c r="K304" s="155"/>
      <c r="M304" s="155"/>
      <c r="O304" s="155"/>
      <c r="P304" s="155"/>
      <c r="Q304" s="155"/>
      <c r="S304" s="155"/>
      <c r="T304" s="155"/>
      <c r="U304" s="155"/>
      <c r="V304" s="155"/>
      <c r="W304" s="155"/>
      <c r="X304" s="155"/>
      <c r="Y304" s="155"/>
      <c r="Z304" s="155"/>
      <c r="AA304" s="155"/>
      <c r="AB304" s="155"/>
      <c r="AC304" s="155"/>
      <c r="AD304" s="155"/>
      <c r="AE304" s="155"/>
    </row>
    <row r="305" spans="6:31">
      <c r="F305" s="155"/>
      <c r="G305" s="155"/>
      <c r="H305" s="155"/>
      <c r="I305" s="155"/>
      <c r="J305" s="155"/>
      <c r="K305" s="155"/>
      <c r="M305" s="155"/>
      <c r="O305" s="155"/>
      <c r="P305" s="155"/>
      <c r="Q305" s="155"/>
      <c r="S305" s="155"/>
      <c r="T305" s="155"/>
      <c r="U305" s="155"/>
      <c r="V305" s="155"/>
      <c r="W305" s="155"/>
      <c r="X305" s="155"/>
      <c r="Y305" s="155"/>
      <c r="Z305" s="155"/>
      <c r="AA305" s="155"/>
      <c r="AB305" s="155"/>
      <c r="AC305" s="155"/>
      <c r="AD305" s="155"/>
      <c r="AE305" s="155"/>
    </row>
    <row r="306" spans="6:31">
      <c r="F306" s="155"/>
      <c r="G306" s="155"/>
      <c r="H306" s="155"/>
      <c r="I306" s="155"/>
      <c r="J306" s="155"/>
      <c r="K306" s="155"/>
      <c r="M306" s="155"/>
      <c r="O306" s="155"/>
      <c r="P306" s="155"/>
      <c r="Q306" s="155"/>
      <c r="S306" s="155"/>
      <c r="T306" s="155"/>
      <c r="U306" s="155"/>
      <c r="V306" s="155"/>
      <c r="W306" s="155"/>
      <c r="X306" s="155"/>
      <c r="Y306" s="155"/>
      <c r="Z306" s="155"/>
      <c r="AA306" s="155"/>
      <c r="AB306" s="155"/>
      <c r="AC306" s="155"/>
      <c r="AD306" s="155"/>
      <c r="AE306" s="155"/>
    </row>
    <row r="307" spans="6:31">
      <c r="F307" s="155"/>
      <c r="G307" s="155"/>
      <c r="H307" s="155"/>
      <c r="I307" s="155"/>
      <c r="J307" s="155"/>
      <c r="K307" s="155"/>
      <c r="M307" s="155"/>
      <c r="O307" s="155"/>
      <c r="P307" s="155"/>
      <c r="Q307" s="155"/>
      <c r="S307" s="155"/>
      <c r="T307" s="155"/>
      <c r="U307" s="155"/>
      <c r="V307" s="155"/>
      <c r="W307" s="155"/>
      <c r="X307" s="155"/>
      <c r="Y307" s="155"/>
      <c r="Z307" s="155"/>
      <c r="AA307" s="155"/>
      <c r="AB307" s="155"/>
      <c r="AC307" s="155"/>
      <c r="AD307" s="155"/>
      <c r="AE307" s="155"/>
    </row>
    <row r="308" spans="6:31">
      <c r="F308" s="155"/>
      <c r="G308" s="155"/>
      <c r="H308" s="155"/>
      <c r="I308" s="155"/>
      <c r="J308" s="155"/>
      <c r="K308" s="155"/>
      <c r="M308" s="155"/>
      <c r="O308" s="155"/>
      <c r="P308" s="155"/>
      <c r="Q308" s="155"/>
      <c r="S308" s="155"/>
      <c r="T308" s="155"/>
      <c r="U308" s="155"/>
      <c r="V308" s="155"/>
      <c r="W308" s="155"/>
      <c r="X308" s="155"/>
      <c r="Y308" s="155"/>
      <c r="Z308" s="155"/>
      <c r="AA308" s="155"/>
      <c r="AB308" s="155"/>
      <c r="AC308" s="155"/>
      <c r="AD308" s="155"/>
      <c r="AE308" s="155"/>
    </row>
    <row r="309" spans="6:31">
      <c r="F309" s="155"/>
      <c r="G309" s="155"/>
      <c r="H309" s="155"/>
      <c r="I309" s="155"/>
      <c r="J309" s="155"/>
      <c r="K309" s="155"/>
      <c r="M309" s="155"/>
      <c r="O309" s="155"/>
      <c r="P309" s="155"/>
      <c r="Q309" s="155"/>
      <c r="S309" s="155"/>
      <c r="T309" s="155"/>
      <c r="U309" s="155"/>
      <c r="V309" s="155"/>
      <c r="W309" s="155"/>
      <c r="X309" s="155"/>
      <c r="Y309" s="155"/>
      <c r="Z309" s="155"/>
      <c r="AA309" s="155"/>
      <c r="AB309" s="155"/>
      <c r="AC309" s="155"/>
      <c r="AD309" s="155"/>
      <c r="AE309" s="155"/>
    </row>
    <row r="310" spans="6:31">
      <c r="F310" s="155"/>
      <c r="G310" s="155"/>
      <c r="H310" s="155"/>
      <c r="I310" s="155"/>
      <c r="J310" s="155"/>
      <c r="K310" s="155"/>
      <c r="M310" s="155"/>
      <c r="O310" s="155"/>
      <c r="P310" s="155"/>
      <c r="Q310" s="155"/>
      <c r="S310" s="155"/>
      <c r="T310" s="155"/>
      <c r="U310" s="155"/>
      <c r="V310" s="155"/>
      <c r="W310" s="155"/>
      <c r="X310" s="155"/>
      <c r="Y310" s="155"/>
      <c r="Z310" s="155"/>
      <c r="AA310" s="155"/>
      <c r="AB310" s="155"/>
      <c r="AC310" s="155"/>
      <c r="AD310" s="155"/>
      <c r="AE310" s="155"/>
    </row>
    <row r="311" spans="6:31">
      <c r="F311" s="155"/>
      <c r="G311" s="155"/>
      <c r="H311" s="155"/>
      <c r="I311" s="155"/>
      <c r="J311" s="155"/>
      <c r="K311" s="155"/>
      <c r="M311" s="155"/>
      <c r="O311" s="155"/>
      <c r="P311" s="155"/>
      <c r="Q311" s="155"/>
      <c r="S311" s="155"/>
      <c r="T311" s="155"/>
      <c r="U311" s="155"/>
      <c r="V311" s="155"/>
      <c r="W311" s="155"/>
      <c r="X311" s="155"/>
      <c r="Y311" s="155"/>
      <c r="Z311" s="155"/>
      <c r="AA311" s="155"/>
      <c r="AB311" s="155"/>
      <c r="AC311" s="155"/>
      <c r="AD311" s="155"/>
      <c r="AE311" s="155"/>
    </row>
    <row r="312" spans="6:31">
      <c r="F312" s="155"/>
      <c r="G312" s="155"/>
      <c r="H312" s="155"/>
      <c r="I312" s="155"/>
      <c r="J312" s="155"/>
      <c r="K312" s="155"/>
      <c r="M312" s="155"/>
      <c r="O312" s="155"/>
      <c r="P312" s="155"/>
      <c r="Q312" s="155"/>
      <c r="S312" s="155"/>
      <c r="T312" s="155"/>
      <c r="U312" s="155"/>
      <c r="V312" s="155"/>
      <c r="W312" s="155"/>
      <c r="X312" s="155"/>
      <c r="Y312" s="155"/>
      <c r="Z312" s="155"/>
      <c r="AA312" s="155"/>
      <c r="AB312" s="155"/>
      <c r="AC312" s="155"/>
      <c r="AD312" s="155"/>
      <c r="AE312" s="155"/>
    </row>
    <row r="313" spans="6:31">
      <c r="F313" s="155"/>
      <c r="G313" s="155"/>
      <c r="H313" s="155"/>
      <c r="I313" s="155"/>
      <c r="J313" s="155"/>
      <c r="K313" s="155"/>
      <c r="M313" s="155"/>
      <c r="O313" s="155"/>
      <c r="P313" s="155"/>
      <c r="Q313" s="155"/>
      <c r="S313" s="155"/>
      <c r="T313" s="155"/>
      <c r="U313" s="155"/>
      <c r="V313" s="155"/>
      <c r="W313" s="155"/>
      <c r="X313" s="155"/>
      <c r="Y313" s="155"/>
      <c r="Z313" s="155"/>
      <c r="AA313" s="155"/>
      <c r="AB313" s="155"/>
      <c r="AC313" s="155"/>
      <c r="AD313" s="155"/>
      <c r="AE313" s="155"/>
    </row>
    <row r="314" spans="6:31">
      <c r="F314" s="155"/>
      <c r="G314" s="155"/>
      <c r="H314" s="155"/>
      <c r="I314" s="155"/>
      <c r="J314" s="155"/>
      <c r="K314" s="155"/>
      <c r="M314" s="155"/>
      <c r="O314" s="155"/>
      <c r="P314" s="155"/>
      <c r="Q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  <c r="AD314" s="155"/>
      <c r="AE314" s="155"/>
    </row>
    <row r="315" spans="6:31">
      <c r="F315" s="155"/>
      <c r="G315" s="155"/>
      <c r="H315" s="155"/>
      <c r="I315" s="155"/>
      <c r="J315" s="155"/>
      <c r="K315" s="155"/>
      <c r="M315" s="155"/>
      <c r="O315" s="155"/>
      <c r="P315" s="155"/>
      <c r="Q315" s="155"/>
      <c r="S315" s="155"/>
      <c r="T315" s="155"/>
      <c r="U315" s="155"/>
      <c r="V315" s="155"/>
      <c r="W315" s="155"/>
      <c r="X315" s="155"/>
      <c r="Y315" s="155"/>
      <c r="Z315" s="155"/>
      <c r="AA315" s="155"/>
      <c r="AB315" s="155"/>
      <c r="AC315" s="155"/>
      <c r="AD315" s="155"/>
      <c r="AE315" s="155"/>
    </row>
    <row r="316" spans="6:31">
      <c r="F316" s="155"/>
      <c r="G316" s="155"/>
      <c r="H316" s="155"/>
      <c r="I316" s="155"/>
      <c r="J316" s="155"/>
      <c r="K316" s="155"/>
      <c r="M316" s="155"/>
      <c r="O316" s="155"/>
      <c r="P316" s="155"/>
      <c r="Q316" s="155"/>
      <c r="S316" s="155"/>
      <c r="T316" s="155"/>
      <c r="U316" s="155"/>
      <c r="V316" s="155"/>
      <c r="W316" s="155"/>
      <c r="X316" s="155"/>
      <c r="Y316" s="155"/>
      <c r="Z316" s="155"/>
      <c r="AA316" s="155"/>
      <c r="AB316" s="155"/>
      <c r="AC316" s="155"/>
      <c r="AD316" s="155"/>
      <c r="AE316" s="155"/>
    </row>
    <row r="317" spans="6:31">
      <c r="F317" s="155"/>
      <c r="G317" s="155"/>
      <c r="H317" s="155"/>
      <c r="I317" s="155"/>
      <c r="J317" s="155"/>
      <c r="K317" s="155"/>
      <c r="M317" s="155"/>
      <c r="O317" s="155"/>
      <c r="P317" s="155"/>
      <c r="Q317" s="155"/>
      <c r="S317" s="155"/>
      <c r="T317" s="155"/>
      <c r="U317" s="155"/>
      <c r="V317" s="155"/>
      <c r="W317" s="155"/>
      <c r="X317" s="155"/>
      <c r="Y317" s="155"/>
      <c r="Z317" s="155"/>
      <c r="AA317" s="155"/>
      <c r="AB317" s="155"/>
      <c r="AC317" s="155"/>
      <c r="AD317" s="155"/>
      <c r="AE317" s="155"/>
    </row>
    <row r="318" spans="6:31">
      <c r="F318" s="155"/>
      <c r="G318" s="155"/>
      <c r="H318" s="155"/>
      <c r="I318" s="155"/>
      <c r="J318" s="155"/>
      <c r="K318" s="155"/>
      <c r="M318" s="155"/>
      <c r="O318" s="155"/>
      <c r="P318" s="155"/>
      <c r="Q318" s="155"/>
      <c r="S318" s="155"/>
      <c r="T318" s="155"/>
      <c r="U318" s="155"/>
      <c r="V318" s="155"/>
      <c r="W318" s="155"/>
      <c r="X318" s="155"/>
      <c r="Y318" s="155"/>
      <c r="Z318" s="155"/>
      <c r="AA318" s="155"/>
      <c r="AB318" s="155"/>
      <c r="AC318" s="155"/>
      <c r="AD318" s="155"/>
      <c r="AE318" s="155"/>
    </row>
    <row r="319" spans="6:31">
      <c r="F319" s="155"/>
      <c r="G319" s="155"/>
      <c r="H319" s="155"/>
      <c r="I319" s="155"/>
      <c r="J319" s="155"/>
      <c r="K319" s="155"/>
      <c r="M319" s="155"/>
      <c r="O319" s="155"/>
      <c r="P319" s="155"/>
      <c r="Q319" s="155"/>
      <c r="S319" s="155"/>
      <c r="T319" s="155"/>
      <c r="U319" s="155"/>
      <c r="V319" s="155"/>
      <c r="W319" s="155"/>
      <c r="X319" s="155"/>
      <c r="Y319" s="155"/>
      <c r="Z319" s="155"/>
      <c r="AA319" s="155"/>
      <c r="AB319" s="155"/>
      <c r="AC319" s="155"/>
      <c r="AD319" s="155"/>
      <c r="AE319" s="155"/>
    </row>
    <row r="320" spans="6:31">
      <c r="F320" s="155"/>
      <c r="G320" s="155"/>
      <c r="H320" s="155"/>
      <c r="I320" s="155"/>
      <c r="J320" s="155"/>
      <c r="K320" s="155"/>
      <c r="M320" s="155"/>
      <c r="O320" s="155"/>
      <c r="P320" s="155"/>
      <c r="Q320" s="155"/>
      <c r="S320" s="155"/>
      <c r="T320" s="155"/>
      <c r="U320" s="155"/>
      <c r="V320" s="155"/>
      <c r="W320" s="155"/>
      <c r="X320" s="155"/>
      <c r="Y320" s="155"/>
      <c r="Z320" s="155"/>
      <c r="AA320" s="155"/>
      <c r="AB320" s="155"/>
      <c r="AC320" s="155"/>
      <c r="AD320" s="155"/>
      <c r="AE320" s="155"/>
    </row>
    <row r="321" spans="6:31">
      <c r="F321" s="155"/>
      <c r="G321" s="155"/>
      <c r="H321" s="155"/>
      <c r="I321" s="155"/>
      <c r="J321" s="155"/>
      <c r="K321" s="155"/>
      <c r="M321" s="155"/>
      <c r="O321" s="155"/>
      <c r="P321" s="155"/>
      <c r="Q321" s="155"/>
      <c r="S321" s="155"/>
      <c r="T321" s="155"/>
      <c r="U321" s="155"/>
      <c r="V321" s="155"/>
      <c r="W321" s="155"/>
      <c r="X321" s="155"/>
      <c r="Y321" s="155"/>
      <c r="Z321" s="155"/>
      <c r="AA321" s="155"/>
      <c r="AB321" s="155"/>
      <c r="AC321" s="155"/>
      <c r="AD321" s="155"/>
      <c r="AE321" s="155"/>
    </row>
    <row r="322" spans="6:31">
      <c r="F322" s="155"/>
      <c r="G322" s="155"/>
      <c r="H322" s="155"/>
      <c r="I322" s="155"/>
      <c r="J322" s="155"/>
      <c r="K322" s="155"/>
      <c r="M322" s="155"/>
      <c r="O322" s="155"/>
      <c r="P322" s="155"/>
      <c r="Q322" s="155"/>
      <c r="S322" s="155"/>
      <c r="T322" s="155"/>
      <c r="U322" s="155"/>
      <c r="V322" s="155"/>
      <c r="W322" s="155"/>
      <c r="X322" s="155"/>
      <c r="Y322" s="155"/>
      <c r="Z322" s="155"/>
      <c r="AA322" s="155"/>
      <c r="AB322" s="155"/>
      <c r="AC322" s="155"/>
      <c r="AD322" s="155"/>
      <c r="AE322" s="155"/>
    </row>
    <row r="323" spans="6:31">
      <c r="F323" s="155"/>
      <c r="G323" s="155"/>
      <c r="H323" s="155"/>
      <c r="I323" s="155"/>
      <c r="J323" s="155"/>
      <c r="K323" s="155"/>
      <c r="M323" s="155"/>
      <c r="O323" s="155"/>
      <c r="P323" s="155"/>
      <c r="Q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  <c r="AD323" s="155"/>
      <c r="AE323" s="155"/>
    </row>
    <row r="324" spans="6:31">
      <c r="F324" s="155"/>
      <c r="G324" s="155"/>
      <c r="H324" s="155"/>
      <c r="I324" s="155"/>
      <c r="J324" s="155"/>
      <c r="K324" s="155"/>
      <c r="M324" s="155"/>
      <c r="O324" s="155"/>
      <c r="P324" s="155"/>
      <c r="Q324" s="155"/>
      <c r="S324" s="155"/>
      <c r="T324" s="155"/>
      <c r="U324" s="155"/>
      <c r="V324" s="155"/>
      <c r="W324" s="155"/>
      <c r="X324" s="155"/>
      <c r="Y324" s="155"/>
      <c r="Z324" s="155"/>
      <c r="AA324" s="155"/>
      <c r="AB324" s="155"/>
      <c r="AC324" s="155"/>
      <c r="AD324" s="155"/>
      <c r="AE324" s="155"/>
    </row>
    <row r="325" spans="6:31">
      <c r="F325" s="155"/>
      <c r="G325" s="155"/>
      <c r="H325" s="155"/>
      <c r="I325" s="155"/>
      <c r="J325" s="155"/>
      <c r="K325" s="155"/>
      <c r="M325" s="155"/>
      <c r="O325" s="155"/>
      <c r="P325" s="155"/>
      <c r="Q325" s="155"/>
      <c r="S325" s="155"/>
      <c r="T325" s="155"/>
      <c r="U325" s="155"/>
      <c r="V325" s="155"/>
      <c r="W325" s="155"/>
      <c r="X325" s="155"/>
      <c r="Y325" s="155"/>
      <c r="Z325" s="155"/>
      <c r="AA325" s="155"/>
      <c r="AB325" s="155"/>
      <c r="AC325" s="155"/>
      <c r="AD325" s="155"/>
      <c r="AE325" s="155"/>
    </row>
    <row r="326" spans="6:31">
      <c r="F326" s="155"/>
      <c r="G326" s="155"/>
      <c r="H326" s="155"/>
      <c r="I326" s="155"/>
      <c r="J326" s="155"/>
      <c r="K326" s="155"/>
      <c r="M326" s="155"/>
      <c r="O326" s="155"/>
      <c r="P326" s="155"/>
      <c r="Q326" s="155"/>
      <c r="S326" s="155"/>
      <c r="T326" s="155"/>
      <c r="U326" s="155"/>
      <c r="V326" s="155"/>
      <c r="W326" s="155"/>
      <c r="X326" s="155"/>
      <c r="Y326" s="155"/>
      <c r="Z326" s="155"/>
      <c r="AA326" s="155"/>
      <c r="AB326" s="155"/>
      <c r="AC326" s="155"/>
      <c r="AD326" s="155"/>
      <c r="AE326" s="155"/>
    </row>
    <row r="327" spans="6:31">
      <c r="F327" s="155"/>
      <c r="G327" s="155"/>
      <c r="H327" s="155"/>
      <c r="I327" s="155"/>
      <c r="J327" s="155"/>
      <c r="K327" s="155"/>
      <c r="M327" s="155"/>
      <c r="O327" s="155"/>
      <c r="P327" s="155"/>
      <c r="Q327" s="155"/>
      <c r="S327" s="155"/>
      <c r="T327" s="155"/>
      <c r="U327" s="155"/>
      <c r="V327" s="155"/>
      <c r="W327" s="155"/>
      <c r="X327" s="155"/>
      <c r="Y327" s="155"/>
      <c r="Z327" s="155"/>
      <c r="AA327" s="155"/>
      <c r="AB327" s="155"/>
      <c r="AC327" s="155"/>
      <c r="AD327" s="155"/>
      <c r="AE327" s="155"/>
    </row>
    <row r="328" spans="6:31">
      <c r="F328" s="155"/>
      <c r="G328" s="155"/>
      <c r="H328" s="155"/>
      <c r="I328" s="155"/>
      <c r="J328" s="155"/>
      <c r="K328" s="155"/>
      <c r="M328" s="155"/>
      <c r="O328" s="155"/>
      <c r="P328" s="155"/>
      <c r="Q328" s="155"/>
      <c r="S328" s="155"/>
      <c r="T328" s="155"/>
      <c r="U328" s="155"/>
      <c r="V328" s="155"/>
      <c r="W328" s="155"/>
      <c r="X328" s="155"/>
      <c r="Y328" s="155"/>
      <c r="Z328" s="155"/>
      <c r="AA328" s="155"/>
      <c r="AB328" s="155"/>
      <c r="AC328" s="155"/>
      <c r="AD328" s="155"/>
      <c r="AE328" s="155"/>
    </row>
    <row r="329" spans="6:31">
      <c r="F329" s="155"/>
      <c r="G329" s="155"/>
      <c r="H329" s="155"/>
      <c r="I329" s="155"/>
      <c r="J329" s="155"/>
      <c r="K329" s="155"/>
      <c r="M329" s="155"/>
      <c r="O329" s="155"/>
      <c r="P329" s="155"/>
      <c r="Q329" s="155"/>
      <c r="S329" s="155"/>
      <c r="T329" s="155"/>
      <c r="U329" s="155"/>
      <c r="V329" s="155"/>
      <c r="W329" s="155"/>
      <c r="X329" s="155"/>
      <c r="Y329" s="155"/>
      <c r="Z329" s="155"/>
      <c r="AA329" s="155"/>
      <c r="AB329" s="155"/>
      <c r="AC329" s="155"/>
      <c r="AD329" s="155"/>
      <c r="AE329" s="155"/>
    </row>
    <row r="330" spans="6:31">
      <c r="F330" s="155"/>
      <c r="G330" s="155"/>
      <c r="H330" s="155"/>
      <c r="I330" s="155"/>
      <c r="J330" s="155"/>
      <c r="K330" s="155"/>
      <c r="M330" s="155"/>
      <c r="O330" s="155"/>
      <c r="P330" s="155"/>
      <c r="Q330" s="155"/>
      <c r="S330" s="155"/>
      <c r="T330" s="155"/>
      <c r="U330" s="155"/>
      <c r="V330" s="155"/>
      <c r="W330" s="155"/>
      <c r="X330" s="155"/>
      <c r="Y330" s="155"/>
      <c r="Z330" s="155"/>
      <c r="AA330" s="155"/>
      <c r="AB330" s="155"/>
      <c r="AC330" s="155"/>
      <c r="AD330" s="155"/>
      <c r="AE330" s="155"/>
    </row>
    <row r="331" spans="6:31">
      <c r="F331" s="155"/>
      <c r="G331" s="155"/>
      <c r="H331" s="155"/>
      <c r="I331" s="155"/>
      <c r="J331" s="155"/>
      <c r="K331" s="155"/>
      <c r="M331" s="155"/>
      <c r="O331" s="155"/>
      <c r="P331" s="155"/>
      <c r="Q331" s="155"/>
      <c r="S331" s="155"/>
      <c r="T331" s="155"/>
      <c r="U331" s="155"/>
      <c r="V331" s="155"/>
      <c r="W331" s="155"/>
      <c r="X331" s="155"/>
      <c r="Y331" s="155"/>
      <c r="Z331" s="155"/>
      <c r="AA331" s="155"/>
      <c r="AB331" s="155"/>
      <c r="AC331" s="155"/>
      <c r="AD331" s="155"/>
      <c r="AE331" s="155"/>
    </row>
    <row r="332" spans="6:31">
      <c r="F332" s="155"/>
      <c r="G332" s="155"/>
      <c r="H332" s="155"/>
      <c r="I332" s="155"/>
      <c r="J332" s="155"/>
      <c r="K332" s="155"/>
      <c r="M332" s="155"/>
      <c r="O332" s="155"/>
      <c r="P332" s="155"/>
      <c r="Q332" s="155"/>
      <c r="S332" s="155"/>
      <c r="T332" s="155"/>
      <c r="U332" s="155"/>
      <c r="V332" s="155"/>
      <c r="W332" s="155"/>
      <c r="X332" s="155"/>
      <c r="Y332" s="155"/>
      <c r="Z332" s="155"/>
      <c r="AA332" s="155"/>
      <c r="AB332" s="155"/>
      <c r="AC332" s="155"/>
      <c r="AD332" s="155"/>
      <c r="AE332" s="155"/>
    </row>
    <row r="333" spans="6:31">
      <c r="F333" s="155"/>
      <c r="G333" s="155"/>
      <c r="H333" s="155"/>
      <c r="I333" s="155"/>
      <c r="J333" s="155"/>
      <c r="K333" s="155"/>
      <c r="M333" s="155"/>
      <c r="O333" s="155"/>
      <c r="P333" s="155"/>
      <c r="Q333" s="155"/>
      <c r="S333" s="155"/>
      <c r="T333" s="155"/>
      <c r="U333" s="155"/>
      <c r="V333" s="155"/>
      <c r="W333" s="155"/>
      <c r="X333" s="155"/>
      <c r="Y333" s="155"/>
      <c r="Z333" s="155"/>
      <c r="AA333" s="155"/>
      <c r="AB333" s="155"/>
      <c r="AC333" s="155"/>
      <c r="AD333" s="155"/>
      <c r="AE333" s="155"/>
    </row>
    <row r="334" spans="6:31">
      <c r="F334" s="155"/>
      <c r="G334" s="155"/>
      <c r="H334" s="155"/>
      <c r="I334" s="155"/>
      <c r="J334" s="155"/>
      <c r="K334" s="155"/>
      <c r="M334" s="155"/>
      <c r="O334" s="155"/>
      <c r="P334" s="155"/>
      <c r="Q334" s="155"/>
      <c r="S334" s="155"/>
      <c r="T334" s="155"/>
      <c r="U334" s="155"/>
      <c r="V334" s="155"/>
      <c r="W334" s="155"/>
      <c r="X334" s="155"/>
      <c r="Y334" s="155"/>
      <c r="Z334" s="155"/>
      <c r="AA334" s="155"/>
      <c r="AB334" s="155"/>
      <c r="AC334" s="155"/>
      <c r="AD334" s="155"/>
      <c r="AE334" s="155"/>
    </row>
    <row r="335" spans="6:31">
      <c r="F335" s="155"/>
      <c r="G335" s="155"/>
      <c r="H335" s="155"/>
      <c r="I335" s="155"/>
      <c r="J335" s="155"/>
      <c r="K335" s="155"/>
      <c r="M335" s="155"/>
      <c r="O335" s="155"/>
      <c r="P335" s="155"/>
      <c r="Q335" s="155"/>
      <c r="S335" s="155"/>
      <c r="T335" s="155"/>
      <c r="U335" s="155"/>
      <c r="V335" s="155"/>
      <c r="W335" s="155"/>
      <c r="X335" s="155"/>
      <c r="Y335" s="155"/>
      <c r="Z335" s="155"/>
      <c r="AA335" s="155"/>
      <c r="AB335" s="155"/>
      <c r="AC335" s="155"/>
      <c r="AD335" s="155"/>
      <c r="AE335" s="155"/>
    </row>
    <row r="336" spans="6:31">
      <c r="F336" s="155"/>
      <c r="G336" s="155"/>
      <c r="H336" s="155"/>
      <c r="I336" s="155"/>
      <c r="J336" s="155"/>
      <c r="K336" s="155"/>
      <c r="M336" s="155"/>
      <c r="O336" s="155"/>
      <c r="P336" s="155"/>
      <c r="Q336" s="155"/>
      <c r="S336" s="155"/>
      <c r="T336" s="155"/>
      <c r="U336" s="155"/>
      <c r="V336" s="155"/>
      <c r="W336" s="155"/>
      <c r="X336" s="155"/>
      <c r="Y336" s="155"/>
      <c r="Z336" s="155"/>
      <c r="AA336" s="155"/>
      <c r="AB336" s="155"/>
      <c r="AC336" s="155"/>
      <c r="AD336" s="155"/>
      <c r="AE336" s="155"/>
    </row>
    <row r="337" spans="6:31">
      <c r="F337" s="155"/>
      <c r="G337" s="155"/>
      <c r="H337" s="155"/>
      <c r="I337" s="155"/>
      <c r="J337" s="155"/>
      <c r="K337" s="155"/>
      <c r="M337" s="155"/>
      <c r="O337" s="155"/>
      <c r="P337" s="155"/>
      <c r="Q337" s="155"/>
      <c r="S337" s="155"/>
      <c r="T337" s="155"/>
      <c r="U337" s="155"/>
      <c r="V337" s="155"/>
      <c r="W337" s="155"/>
      <c r="X337" s="155"/>
      <c r="Y337" s="155"/>
      <c r="Z337" s="155"/>
      <c r="AA337" s="155"/>
      <c r="AB337" s="155"/>
      <c r="AC337" s="155"/>
      <c r="AD337" s="155"/>
      <c r="AE337" s="155"/>
    </row>
    <row r="338" spans="6:31">
      <c r="F338" s="155"/>
      <c r="G338" s="155"/>
      <c r="H338" s="155"/>
      <c r="I338" s="155"/>
      <c r="J338" s="155"/>
      <c r="K338" s="155"/>
      <c r="M338" s="155"/>
      <c r="O338" s="155"/>
      <c r="P338" s="155"/>
      <c r="Q338" s="155"/>
      <c r="S338" s="155"/>
      <c r="T338" s="155"/>
      <c r="U338" s="155"/>
      <c r="V338" s="155"/>
      <c r="W338" s="155"/>
      <c r="X338" s="155"/>
      <c r="Y338" s="155"/>
      <c r="Z338" s="155"/>
      <c r="AA338" s="155"/>
      <c r="AB338" s="155"/>
      <c r="AC338" s="155"/>
      <c r="AD338" s="155"/>
      <c r="AE338" s="155"/>
    </row>
    <row r="339" spans="6:31">
      <c r="F339" s="155"/>
      <c r="G339" s="155"/>
      <c r="H339" s="155"/>
      <c r="I339" s="155"/>
      <c r="J339" s="155"/>
      <c r="K339" s="155"/>
      <c r="M339" s="155"/>
      <c r="O339" s="155"/>
      <c r="P339" s="155"/>
      <c r="Q339" s="155"/>
      <c r="S339" s="155"/>
      <c r="T339" s="155"/>
      <c r="U339" s="155"/>
      <c r="V339" s="155"/>
      <c r="W339" s="155"/>
      <c r="X339" s="155"/>
      <c r="Y339" s="155"/>
      <c r="Z339" s="155"/>
      <c r="AA339" s="155"/>
      <c r="AB339" s="155"/>
      <c r="AC339" s="155"/>
      <c r="AD339" s="155"/>
      <c r="AE339" s="155"/>
    </row>
    <row r="340" spans="6:31">
      <c r="F340" s="155"/>
      <c r="G340" s="155"/>
      <c r="H340" s="155"/>
      <c r="I340" s="155"/>
      <c r="J340" s="155"/>
      <c r="K340" s="155"/>
      <c r="M340" s="155"/>
      <c r="O340" s="155"/>
      <c r="P340" s="155"/>
      <c r="Q340" s="155"/>
      <c r="S340" s="155"/>
      <c r="T340" s="155"/>
      <c r="U340" s="155"/>
      <c r="V340" s="155"/>
      <c r="W340" s="155"/>
      <c r="X340" s="155"/>
      <c r="Y340" s="155"/>
      <c r="Z340" s="155"/>
      <c r="AA340" s="155"/>
      <c r="AB340" s="155"/>
      <c r="AC340" s="155"/>
      <c r="AD340" s="155"/>
      <c r="AE340" s="155"/>
    </row>
    <row r="341" spans="6:31">
      <c r="F341" s="155"/>
      <c r="G341" s="155"/>
      <c r="H341" s="155"/>
      <c r="I341" s="155"/>
      <c r="J341" s="155"/>
      <c r="K341" s="155"/>
      <c r="M341" s="155"/>
      <c r="O341" s="155"/>
      <c r="P341" s="155"/>
      <c r="Q341" s="155"/>
      <c r="S341" s="155"/>
      <c r="T341" s="155"/>
      <c r="U341" s="155"/>
      <c r="V341" s="155"/>
      <c r="W341" s="155"/>
      <c r="X341" s="155"/>
      <c r="Y341" s="155"/>
      <c r="Z341" s="155"/>
      <c r="AA341" s="155"/>
      <c r="AB341" s="155"/>
      <c r="AC341" s="155"/>
      <c r="AD341" s="155"/>
      <c r="AE341" s="155"/>
    </row>
    <row r="342" spans="6:31">
      <c r="F342" s="155"/>
      <c r="G342" s="155"/>
      <c r="H342" s="155"/>
      <c r="I342" s="155"/>
      <c r="J342" s="155"/>
      <c r="K342" s="155"/>
      <c r="M342" s="155"/>
      <c r="O342" s="155"/>
      <c r="P342" s="155"/>
      <c r="Q342" s="155"/>
      <c r="S342" s="155"/>
      <c r="T342" s="155"/>
      <c r="U342" s="155"/>
      <c r="V342" s="155"/>
      <c r="W342" s="155"/>
      <c r="X342" s="155"/>
      <c r="Y342" s="155"/>
      <c r="Z342" s="155"/>
      <c r="AA342" s="155"/>
      <c r="AB342" s="155"/>
      <c r="AC342" s="155"/>
      <c r="AD342" s="155"/>
      <c r="AE342" s="155"/>
    </row>
    <row r="343" spans="6:31">
      <c r="F343" s="155"/>
      <c r="G343" s="155"/>
      <c r="H343" s="155"/>
      <c r="I343" s="155"/>
      <c r="J343" s="155"/>
      <c r="K343" s="155"/>
      <c r="M343" s="155"/>
      <c r="O343" s="155"/>
      <c r="P343" s="155"/>
      <c r="Q343" s="155"/>
      <c r="S343" s="155"/>
      <c r="T343" s="155"/>
      <c r="U343" s="155"/>
      <c r="V343" s="155"/>
      <c r="W343" s="155"/>
      <c r="X343" s="155"/>
      <c r="Y343" s="155"/>
      <c r="Z343" s="155"/>
      <c r="AA343" s="155"/>
      <c r="AB343" s="155"/>
      <c r="AC343" s="155"/>
      <c r="AD343" s="155"/>
      <c r="AE343" s="155"/>
    </row>
    <row r="344" spans="6:31">
      <c r="F344" s="155"/>
      <c r="G344" s="155"/>
      <c r="H344" s="155"/>
      <c r="I344" s="155"/>
      <c r="J344" s="155"/>
      <c r="K344" s="155"/>
      <c r="M344" s="155"/>
      <c r="O344" s="155"/>
      <c r="P344" s="155"/>
      <c r="Q344" s="155"/>
      <c r="S344" s="155"/>
      <c r="T344" s="155"/>
      <c r="U344" s="155"/>
      <c r="V344" s="155"/>
      <c r="W344" s="155"/>
      <c r="X344" s="155"/>
      <c r="Y344" s="155"/>
      <c r="Z344" s="155"/>
      <c r="AA344" s="155"/>
      <c r="AB344" s="155"/>
      <c r="AC344" s="155"/>
      <c r="AD344" s="155"/>
      <c r="AE344" s="155"/>
    </row>
    <row r="345" spans="6:31">
      <c r="F345" s="155"/>
      <c r="G345" s="155"/>
      <c r="H345" s="155"/>
      <c r="I345" s="155"/>
      <c r="J345" s="155"/>
      <c r="K345" s="155"/>
      <c r="M345" s="155"/>
      <c r="O345" s="155"/>
      <c r="P345" s="155"/>
      <c r="Q345" s="155"/>
      <c r="S345" s="155"/>
      <c r="T345" s="155"/>
      <c r="U345" s="155"/>
      <c r="V345" s="155"/>
      <c r="W345" s="155"/>
      <c r="X345" s="155"/>
      <c r="Y345" s="155"/>
      <c r="Z345" s="155"/>
      <c r="AA345" s="155"/>
      <c r="AB345" s="155"/>
      <c r="AC345" s="155"/>
      <c r="AD345" s="155"/>
      <c r="AE345" s="155"/>
    </row>
    <row r="346" spans="6:31">
      <c r="F346" s="155"/>
      <c r="G346" s="155"/>
      <c r="H346" s="155"/>
      <c r="I346" s="155"/>
      <c r="J346" s="155"/>
      <c r="K346" s="155"/>
      <c r="M346" s="155"/>
      <c r="O346" s="155"/>
      <c r="P346" s="155"/>
      <c r="Q346" s="155"/>
      <c r="S346" s="155"/>
      <c r="T346" s="155"/>
      <c r="U346" s="155"/>
      <c r="V346" s="155"/>
      <c r="W346" s="155"/>
      <c r="X346" s="155"/>
      <c r="Y346" s="155"/>
      <c r="Z346" s="155"/>
      <c r="AA346" s="155"/>
      <c r="AB346" s="155"/>
      <c r="AC346" s="155"/>
      <c r="AD346" s="155"/>
      <c r="AE346" s="155"/>
    </row>
    <row r="347" spans="6:31">
      <c r="F347" s="155"/>
      <c r="G347" s="155"/>
      <c r="H347" s="155"/>
      <c r="I347" s="155"/>
      <c r="J347" s="155"/>
      <c r="K347" s="155"/>
      <c r="M347" s="155"/>
      <c r="O347" s="155"/>
      <c r="P347" s="155"/>
      <c r="Q347" s="155"/>
      <c r="S347" s="155"/>
      <c r="T347" s="155"/>
      <c r="U347" s="155"/>
      <c r="V347" s="155"/>
      <c r="W347" s="155"/>
      <c r="X347" s="155"/>
      <c r="Y347" s="155"/>
      <c r="Z347" s="155"/>
      <c r="AA347" s="155"/>
      <c r="AB347" s="155"/>
      <c r="AC347" s="155"/>
      <c r="AD347" s="155"/>
      <c r="AE347" s="155"/>
    </row>
  </sheetData>
  <mergeCells count="8">
    <mergeCell ref="P1:Q1"/>
    <mergeCell ref="R1:S1"/>
    <mergeCell ref="W2:AA2"/>
    <mergeCell ref="B29:D29"/>
    <mergeCell ref="H1:I1"/>
    <mergeCell ref="J1:K1"/>
    <mergeCell ref="L1:M1"/>
    <mergeCell ref="N1:O1"/>
  </mergeCells>
  <phoneticPr fontId="20" type="noConversion"/>
  <pageMargins left="0.75" right="0.75" top="1" bottom="1" header="0.5" footer="0.5"/>
  <pageSetup scale="36" orientation="landscape" horizontalDpi="4294967292" verticalDpi="4294967292" r:id="rId1"/>
  <headerFooter alignWithMargins="0">
    <oddFooter>&amp;C&amp;D &amp;T
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O63"/>
  <sheetViews>
    <sheetView workbookViewId="0"/>
  </sheetViews>
  <sheetFormatPr defaultColWidth="9.140625" defaultRowHeight="12.75"/>
  <cols>
    <col min="1" max="1" width="11.42578125" style="1" customWidth="1"/>
    <col min="2" max="3" width="12.7109375" style="1" customWidth="1"/>
    <col min="4" max="4" width="11.42578125" style="1" hidden="1" customWidth="1"/>
    <col min="5" max="5" width="12.7109375" style="1" customWidth="1"/>
    <col min="6" max="6" width="12.140625" style="1" hidden="1" customWidth="1"/>
    <col min="7" max="7" width="6.42578125" style="1" hidden="1" customWidth="1"/>
    <col min="8" max="8" width="16" style="1" hidden="1" customWidth="1"/>
    <col min="9" max="9" width="9.140625" style="1" customWidth="1"/>
    <col min="10" max="11" width="0" style="1" hidden="1" customWidth="1"/>
    <col min="12" max="14" width="9.140625" style="1"/>
    <col min="15" max="15" width="10.28515625" style="1" customWidth="1"/>
    <col min="16" max="16384" width="9.140625" style="1"/>
  </cols>
  <sheetData>
    <row r="1" spans="1:15">
      <c r="A1" s="5" t="str">
        <f>+'Sources &amp; Uses'!A1</f>
        <v>Lamar Building</v>
      </c>
    </row>
    <row r="2" spans="1:15">
      <c r="A2" s="5" t="s">
        <v>60</v>
      </c>
    </row>
    <row r="3" spans="1:15">
      <c r="I3" s="300" t="s">
        <v>961</v>
      </c>
    </row>
    <row r="4" spans="1:15">
      <c r="A4" s="1" t="s">
        <v>61</v>
      </c>
      <c r="E4" s="65">
        <v>4000000</v>
      </c>
      <c r="I4" s="7" t="s">
        <v>617</v>
      </c>
      <c r="J4" s="1">
        <v>2.5000000000000001E-3</v>
      </c>
      <c r="K4" s="1">
        <f>SUM(E4*J4)</f>
        <v>10000</v>
      </c>
    </row>
    <row r="5" spans="1:15">
      <c r="A5" s="1" t="s">
        <v>62</v>
      </c>
      <c r="E5" s="53">
        <f>+O5/100</f>
        <v>4.9800000000000004E-2</v>
      </c>
      <c r="I5" s="300" t="s">
        <v>1165</v>
      </c>
      <c r="M5" s="13">
        <v>2.23</v>
      </c>
      <c r="N5" s="13">
        <v>2.75</v>
      </c>
      <c r="O5" s="13">
        <f>+M5+N5</f>
        <v>4.9800000000000004</v>
      </c>
    </row>
    <row r="6" spans="1:15">
      <c r="A6" s="1" t="s">
        <v>453</v>
      </c>
      <c r="E6" s="1">
        <v>30</v>
      </c>
    </row>
    <row r="7" spans="1:15">
      <c r="A7" s="1" t="s">
        <v>456</v>
      </c>
      <c r="E7" s="1">
        <v>360</v>
      </c>
    </row>
    <row r="8" spans="1:15">
      <c r="C8" s="1" t="s">
        <v>455</v>
      </c>
      <c r="D8" s="12" t="s">
        <v>91</v>
      </c>
      <c r="E8" s="12" t="s">
        <v>454</v>
      </c>
      <c r="I8" s="12" t="s">
        <v>462</v>
      </c>
    </row>
    <row r="9" spans="1:15">
      <c r="A9" s="2" t="s">
        <v>231</v>
      </c>
      <c r="B9" s="14" t="s">
        <v>63</v>
      </c>
      <c r="C9" s="14" t="s">
        <v>452</v>
      </c>
      <c r="D9" s="14" t="s">
        <v>64</v>
      </c>
      <c r="E9" s="14" t="s">
        <v>29</v>
      </c>
      <c r="F9" s="14" t="s">
        <v>29</v>
      </c>
      <c r="G9" s="14" t="s">
        <v>65</v>
      </c>
      <c r="H9" s="14" t="s">
        <v>66</v>
      </c>
      <c r="I9" s="14" t="s">
        <v>461</v>
      </c>
    </row>
    <row r="10" spans="1:15">
      <c r="A10" s="1">
        <v>1</v>
      </c>
      <c r="B10" s="12" t="e">
        <f>-'Application of Funds'!J26</f>
        <v>#REF!</v>
      </c>
      <c r="C10" s="12" t="e">
        <f>+B10</f>
        <v>#REF!</v>
      </c>
      <c r="D10" s="12"/>
      <c r="E10" s="159" t="e">
        <f t="shared" ref="E10:E25" si="0">SUM(C10*E$6/E$7*E$5)</f>
        <v>#REF!</v>
      </c>
      <c r="F10" s="12"/>
      <c r="G10" s="14"/>
      <c r="H10" s="12"/>
      <c r="I10" s="190">
        <f>+'Application of Funds'!E26</f>
        <v>43739</v>
      </c>
    </row>
    <row r="11" spans="1:15">
      <c r="A11" s="1">
        <f>+A10+1</f>
        <v>2</v>
      </c>
      <c r="B11" s="1" t="e">
        <f>-'Application of Funds'!J30</f>
        <v>#REF!</v>
      </c>
      <c r="C11" s="1" t="e">
        <f>+C10+B11</f>
        <v>#REF!</v>
      </c>
      <c r="D11" s="64">
        <v>330</v>
      </c>
      <c r="E11" s="159" t="e">
        <f t="shared" si="0"/>
        <v>#REF!</v>
      </c>
      <c r="F11" s="1" t="e">
        <f>SUM(D11/360*B11*E5)</f>
        <v>#REF!</v>
      </c>
      <c r="G11" s="16">
        <f t="shared" ref="G11:G24" si="1">SUM(D11/B$40)</f>
        <v>11</v>
      </c>
      <c r="H11" s="15">
        <v>100000</v>
      </c>
      <c r="I11" s="156">
        <f>+'Application of Funds'!E30</f>
        <v>43770</v>
      </c>
    </row>
    <row r="12" spans="1:15">
      <c r="A12" s="1">
        <f t="shared" ref="A12:A22" si="2">+A11+1</f>
        <v>3</v>
      </c>
      <c r="B12" s="1" t="e">
        <f>-'Application of Funds'!J31</f>
        <v>#REF!</v>
      </c>
      <c r="C12" s="1" t="e">
        <f>+C11+B12</f>
        <v>#REF!</v>
      </c>
      <c r="D12" s="12">
        <f t="shared" ref="D12:D22" si="3">+D11-B$40</f>
        <v>300</v>
      </c>
      <c r="E12" s="159" t="e">
        <f t="shared" si="0"/>
        <v>#REF!</v>
      </c>
      <c r="F12" s="1" t="e">
        <f>SUM(D12/360*B12*E5)</f>
        <v>#REF!</v>
      </c>
      <c r="G12" s="16">
        <f t="shared" si="1"/>
        <v>10</v>
      </c>
      <c r="H12" s="1">
        <v>112500</v>
      </c>
      <c r="I12" s="156">
        <f>+'Application of Funds'!E31</f>
        <v>43800</v>
      </c>
    </row>
    <row r="13" spans="1:15">
      <c r="A13" s="1">
        <f t="shared" si="2"/>
        <v>4</v>
      </c>
      <c r="B13" s="1" t="e">
        <f>-'Application of Funds'!J32</f>
        <v>#REF!</v>
      </c>
      <c r="C13" s="1" t="e">
        <f t="shared" ref="C13:C19" si="4">+C12+B13</f>
        <v>#REF!</v>
      </c>
      <c r="D13" s="12">
        <f t="shared" si="3"/>
        <v>270</v>
      </c>
      <c r="E13" s="159" t="e">
        <f t="shared" si="0"/>
        <v>#REF!</v>
      </c>
      <c r="F13" s="1" t="e">
        <f>SUM(D13/360*B13*E5)</f>
        <v>#REF!</v>
      </c>
      <c r="G13" s="16">
        <f t="shared" si="1"/>
        <v>9</v>
      </c>
      <c r="H13" s="1">
        <v>93750</v>
      </c>
      <c r="I13" s="156">
        <f>+'Application of Funds'!E32</f>
        <v>43831</v>
      </c>
    </row>
    <row r="14" spans="1:15">
      <c r="A14" s="1">
        <f t="shared" si="2"/>
        <v>5</v>
      </c>
      <c r="B14" s="1" t="e">
        <f>-'Application of Funds'!J34</f>
        <v>#REF!</v>
      </c>
      <c r="C14" s="1" t="e">
        <f t="shared" si="4"/>
        <v>#REF!</v>
      </c>
      <c r="D14" s="12">
        <f t="shared" si="3"/>
        <v>240</v>
      </c>
      <c r="E14" s="159" t="e">
        <f t="shared" si="0"/>
        <v>#REF!</v>
      </c>
      <c r="F14" s="1" t="e">
        <f>SUM(D14/360*B14*E5)</f>
        <v>#REF!</v>
      </c>
      <c r="G14" s="16">
        <f t="shared" si="1"/>
        <v>8</v>
      </c>
      <c r="H14" s="1">
        <v>125000</v>
      </c>
      <c r="I14" s="156">
        <f>+'Application of Funds'!E34</f>
        <v>43862</v>
      </c>
    </row>
    <row r="15" spans="1:15">
      <c r="A15" s="1">
        <f t="shared" si="2"/>
        <v>6</v>
      </c>
      <c r="B15" s="1" t="e">
        <f>-'Application of Funds'!J35</f>
        <v>#REF!</v>
      </c>
      <c r="C15" s="1" t="e">
        <f t="shared" si="4"/>
        <v>#REF!</v>
      </c>
      <c r="D15" s="12">
        <f t="shared" si="3"/>
        <v>210</v>
      </c>
      <c r="E15" s="159" t="e">
        <f t="shared" si="0"/>
        <v>#REF!</v>
      </c>
      <c r="F15" s="1" t="e">
        <f>SUM(D15/360*B15*E5)</f>
        <v>#REF!</v>
      </c>
      <c r="G15" s="16">
        <f t="shared" si="1"/>
        <v>7</v>
      </c>
      <c r="H15" s="1">
        <v>56250</v>
      </c>
      <c r="I15" s="156">
        <f>+'Application of Funds'!E35</f>
        <v>43892</v>
      </c>
    </row>
    <row r="16" spans="1:15">
      <c r="A16" s="1">
        <f t="shared" si="2"/>
        <v>7</v>
      </c>
      <c r="B16" s="1" t="e">
        <f>-'Application of Funds'!J37</f>
        <v>#REF!</v>
      </c>
      <c r="C16" s="1" t="e">
        <f t="shared" si="4"/>
        <v>#REF!</v>
      </c>
      <c r="D16" s="12">
        <f t="shared" si="3"/>
        <v>180</v>
      </c>
      <c r="E16" s="159" t="e">
        <f t="shared" si="0"/>
        <v>#REF!</v>
      </c>
      <c r="F16" s="1" t="e">
        <f>SUM(D16/360*B16*E$5)</f>
        <v>#REF!</v>
      </c>
      <c r="G16" s="16">
        <f t="shared" si="1"/>
        <v>6</v>
      </c>
      <c r="H16" s="1">
        <v>50000</v>
      </c>
      <c r="I16" s="156">
        <f>+'Application of Funds'!E37</f>
        <v>43922</v>
      </c>
    </row>
    <row r="17" spans="1:9">
      <c r="A17" s="1">
        <f t="shared" si="2"/>
        <v>8</v>
      </c>
      <c r="B17" s="1" t="e">
        <f>-'Application of Funds'!J38</f>
        <v>#REF!</v>
      </c>
      <c r="C17" s="1" t="e">
        <f t="shared" si="4"/>
        <v>#REF!</v>
      </c>
      <c r="D17" s="12">
        <f t="shared" si="3"/>
        <v>150</v>
      </c>
      <c r="E17" s="159" t="e">
        <f t="shared" si="0"/>
        <v>#REF!</v>
      </c>
      <c r="F17" s="1" t="e">
        <f>SUM(D17/360*B17*E$5)</f>
        <v>#REF!</v>
      </c>
      <c r="G17" s="16">
        <f t="shared" si="1"/>
        <v>5</v>
      </c>
      <c r="I17" s="156">
        <f>+'Application of Funds'!E38</f>
        <v>43953</v>
      </c>
    </row>
    <row r="18" spans="1:9">
      <c r="A18" s="1">
        <f t="shared" si="2"/>
        <v>9</v>
      </c>
      <c r="B18" s="1" t="e">
        <f>-'Application of Funds'!J39</f>
        <v>#REF!</v>
      </c>
      <c r="C18" s="1" t="e">
        <f t="shared" si="4"/>
        <v>#REF!</v>
      </c>
      <c r="D18" s="12">
        <f t="shared" si="3"/>
        <v>120</v>
      </c>
      <c r="E18" s="159" t="e">
        <f t="shared" si="0"/>
        <v>#REF!</v>
      </c>
      <c r="F18" s="1" t="e">
        <f>SUM(D18/360*B18*E$5)</f>
        <v>#REF!</v>
      </c>
      <c r="G18" s="16">
        <f t="shared" si="1"/>
        <v>4</v>
      </c>
      <c r="I18" s="156">
        <f>+'Application of Funds'!E39</f>
        <v>43983</v>
      </c>
    </row>
    <row r="19" spans="1:9">
      <c r="A19" s="1">
        <f t="shared" si="2"/>
        <v>10</v>
      </c>
      <c r="B19" s="1" t="e">
        <f>SUM('Application of Funds'!J42:J44)*-1</f>
        <v>#REF!</v>
      </c>
      <c r="C19" s="1" t="e">
        <f t="shared" si="4"/>
        <v>#REF!</v>
      </c>
      <c r="D19" s="12">
        <f t="shared" si="3"/>
        <v>90</v>
      </c>
      <c r="E19" s="159" t="e">
        <f t="shared" si="0"/>
        <v>#REF!</v>
      </c>
      <c r="G19" s="16">
        <f t="shared" si="1"/>
        <v>3</v>
      </c>
      <c r="I19" s="156">
        <f>+'Application of Funds'!E42</f>
        <v>44013</v>
      </c>
    </row>
    <row r="20" spans="1:9">
      <c r="A20" s="1">
        <f t="shared" si="2"/>
        <v>11</v>
      </c>
      <c r="B20" s="1" t="e">
        <f>SUM('Application of Funds'!J45)*-1</f>
        <v>#REF!</v>
      </c>
      <c r="C20" s="1" t="e">
        <f>SUM(C19+B20)</f>
        <v>#REF!</v>
      </c>
      <c r="D20" s="12">
        <f t="shared" si="3"/>
        <v>60</v>
      </c>
      <c r="E20" s="159" t="e">
        <f t="shared" si="0"/>
        <v>#REF!</v>
      </c>
      <c r="G20" s="16">
        <f t="shared" si="1"/>
        <v>2</v>
      </c>
      <c r="I20" s="156">
        <f>+'Application of Funds'!E45</f>
        <v>44044</v>
      </c>
    </row>
    <row r="21" spans="1:9">
      <c r="A21" s="1">
        <f t="shared" si="2"/>
        <v>12</v>
      </c>
      <c r="B21" s="1" t="e">
        <f>-'Application of Funds'!J46</f>
        <v>#REF!</v>
      </c>
      <c r="C21" s="1" t="e">
        <f t="shared" ref="C21:C29" si="5">+C20+B21</f>
        <v>#REF!</v>
      </c>
      <c r="D21" s="12">
        <f t="shared" si="3"/>
        <v>30</v>
      </c>
      <c r="E21" s="159" t="e">
        <f t="shared" si="0"/>
        <v>#REF!</v>
      </c>
      <c r="G21" s="16">
        <f t="shared" si="1"/>
        <v>1</v>
      </c>
      <c r="I21" s="156">
        <f>+'Application of Funds'!E46</f>
        <v>44075</v>
      </c>
    </row>
    <row r="22" spans="1:9">
      <c r="A22" s="1">
        <f t="shared" si="2"/>
        <v>13</v>
      </c>
      <c r="B22" s="1" t="e">
        <f>-'Application of Funds'!J47</f>
        <v>#REF!</v>
      </c>
      <c r="C22" s="1" t="e">
        <f t="shared" si="5"/>
        <v>#REF!</v>
      </c>
      <c r="D22" s="12">
        <f t="shared" si="3"/>
        <v>0</v>
      </c>
      <c r="E22" s="159" t="e">
        <f t="shared" si="0"/>
        <v>#REF!</v>
      </c>
      <c r="G22" s="16">
        <f t="shared" si="1"/>
        <v>0</v>
      </c>
      <c r="I22" s="156">
        <f>+'Application of Funds'!E47</f>
        <v>44106</v>
      </c>
    </row>
    <row r="23" spans="1:9">
      <c r="A23" s="1">
        <f>+A22+1</f>
        <v>14</v>
      </c>
      <c r="B23" s="1" t="e">
        <f>-'Application of Funds'!J48</f>
        <v>#REF!</v>
      </c>
      <c r="C23" s="1" t="e">
        <f t="shared" si="5"/>
        <v>#REF!</v>
      </c>
      <c r="D23" s="12"/>
      <c r="E23" s="159" t="e">
        <f t="shared" si="0"/>
        <v>#REF!</v>
      </c>
      <c r="G23" s="16">
        <f t="shared" si="1"/>
        <v>0</v>
      </c>
      <c r="I23" s="156">
        <f>+'Application of Funds'!E48</f>
        <v>44136</v>
      </c>
    </row>
    <row r="24" spans="1:9">
      <c r="A24" s="1">
        <f>+A23+1</f>
        <v>15</v>
      </c>
      <c r="B24" s="1" t="e">
        <f>-'Application of Funds'!J49</f>
        <v>#REF!</v>
      </c>
      <c r="C24" s="1" t="e">
        <f t="shared" si="5"/>
        <v>#REF!</v>
      </c>
      <c r="D24" s="12"/>
      <c r="E24" s="159" t="e">
        <f t="shared" si="0"/>
        <v>#REF!</v>
      </c>
      <c r="G24" s="16">
        <f t="shared" si="1"/>
        <v>0</v>
      </c>
      <c r="I24" s="156">
        <f>+'Application of Funds'!E49</f>
        <v>44166</v>
      </c>
    </row>
    <row r="25" spans="1:9">
      <c r="A25" s="1">
        <v>16</v>
      </c>
      <c r="B25" s="1" t="e">
        <f>-'Application of Funds'!J51</f>
        <v>#REF!</v>
      </c>
      <c r="C25" s="1" t="e">
        <f t="shared" si="5"/>
        <v>#REF!</v>
      </c>
      <c r="E25" s="159" t="e">
        <f t="shared" si="0"/>
        <v>#REF!</v>
      </c>
      <c r="F25" s="2"/>
      <c r="H25" s="2"/>
      <c r="I25" s="156">
        <f>+'Application of Funds'!E51</f>
        <v>44197</v>
      </c>
    </row>
    <row r="26" spans="1:9">
      <c r="A26" s="1">
        <v>17</v>
      </c>
      <c r="B26" s="1" t="e">
        <f>-'Application of Funds'!J53</f>
        <v>#REF!</v>
      </c>
      <c r="C26" s="1" t="e">
        <f t="shared" si="5"/>
        <v>#REF!</v>
      </c>
      <c r="E26" s="159" t="e">
        <f>SUM(C26*E$6/E$7*E$5)</f>
        <v>#REF!</v>
      </c>
      <c r="I26" s="156">
        <f>+'Application of Funds'!E53</f>
        <v>44228</v>
      </c>
    </row>
    <row r="27" spans="1:9">
      <c r="A27" s="1">
        <v>18</v>
      </c>
      <c r="B27" s="1" t="e">
        <f>-'Application of Funds'!J55</f>
        <v>#REF!</v>
      </c>
      <c r="C27" s="1" t="e">
        <f t="shared" si="5"/>
        <v>#REF!</v>
      </c>
      <c r="E27" s="159" t="e">
        <f>SUM(C27*E$6/E$7*E$5)</f>
        <v>#REF!</v>
      </c>
      <c r="I27" s="156">
        <f>+'Application of Funds'!E55</f>
        <v>44258</v>
      </c>
    </row>
    <row r="28" spans="1:9">
      <c r="A28" s="1">
        <v>19</v>
      </c>
      <c r="B28" s="1" t="e">
        <f>-'Application of Funds'!J57</f>
        <v>#REF!</v>
      </c>
      <c r="C28" s="1" t="e">
        <f t="shared" si="5"/>
        <v>#REF!</v>
      </c>
      <c r="E28" s="159" t="e">
        <f>SUM(C28*E$6/E$7*E$5)</f>
        <v>#REF!</v>
      </c>
      <c r="I28" s="156">
        <f>+'Application of Funds'!E57</f>
        <v>44288</v>
      </c>
    </row>
    <row r="29" spans="1:9">
      <c r="A29" s="1">
        <v>20</v>
      </c>
      <c r="B29" s="1" t="e">
        <f>-'Application of Funds'!J59</f>
        <v>#REF!</v>
      </c>
      <c r="C29" s="1" t="e">
        <f t="shared" si="5"/>
        <v>#REF!</v>
      </c>
      <c r="E29" s="159" t="e">
        <f>SUM(C29*E$6/E$7*E$5)</f>
        <v>#REF!</v>
      </c>
      <c r="I29" s="156">
        <f>+'Application of Funds'!E59</f>
        <v>44319</v>
      </c>
    </row>
    <row r="30" spans="1:9">
      <c r="A30" s="1">
        <v>21</v>
      </c>
      <c r="B30" s="300">
        <f>-'Application of Funds'!J62</f>
        <v>-1300000</v>
      </c>
      <c r="C30" s="1" t="e">
        <f t="shared" ref="C30:C31" si="6">+C29+B30</f>
        <v>#REF!</v>
      </c>
      <c r="E30" s="159" t="e">
        <f t="shared" ref="E30:E31" si="7">SUM(C30*E$6/E$7*E$5)</f>
        <v>#REF!</v>
      </c>
      <c r="I30" s="156">
        <f>+'Application of Funds'!E62</f>
        <v>44349</v>
      </c>
    </row>
    <row r="31" spans="1:9">
      <c r="A31" s="1">
        <v>22</v>
      </c>
      <c r="B31" s="1">
        <f>-'Application of Funds'!J66</f>
        <v>722566.70000000019</v>
      </c>
      <c r="C31" s="1" t="e">
        <f t="shared" si="6"/>
        <v>#REF!</v>
      </c>
      <c r="E31" s="159" t="e">
        <f t="shared" si="7"/>
        <v>#REF!</v>
      </c>
      <c r="I31" s="156">
        <f>+'Application of Funds'!E66</f>
        <v>44379</v>
      </c>
    </row>
    <row r="32" spans="1:9">
      <c r="A32" s="1">
        <v>23</v>
      </c>
      <c r="C32" s="1" t="e">
        <f t="shared" ref="C32:C33" si="8">+C31+B32</f>
        <v>#REF!</v>
      </c>
      <c r="E32" s="159" t="e">
        <f t="shared" ref="E32:E33" si="9">SUM(C32*E$6/E$7*E$5)</f>
        <v>#REF!</v>
      </c>
      <c r="I32" s="156">
        <f>+'Application of Funds'!E67</f>
        <v>44409</v>
      </c>
    </row>
    <row r="33" spans="1:9">
      <c r="A33" s="1">
        <v>24</v>
      </c>
      <c r="B33" s="2" t="e">
        <f>-'Application of Funds'!J82</f>
        <v>#REF!</v>
      </c>
      <c r="C33" s="1" t="e">
        <f t="shared" si="8"/>
        <v>#REF!</v>
      </c>
      <c r="E33" s="183" t="e">
        <f t="shared" si="9"/>
        <v>#REF!</v>
      </c>
      <c r="I33" s="156">
        <f>+'Application of Funds'!E83</f>
        <v>44440</v>
      </c>
    </row>
    <row r="34" spans="1:9">
      <c r="B34" s="1" t="e">
        <f>SUM(B10:B33)</f>
        <v>#REF!</v>
      </c>
      <c r="E34" s="1" t="e">
        <f>SUM(E10:E33)</f>
        <v>#REF!</v>
      </c>
      <c r="F34" s="1" t="e">
        <f>SUM(F11:F24)</f>
        <v>#REF!</v>
      </c>
      <c r="H34" s="1">
        <f>SUM(H11:H24)</f>
        <v>537500</v>
      </c>
    </row>
    <row r="36" spans="1:9" hidden="1">
      <c r="B36" s="1" t="s">
        <v>67</v>
      </c>
      <c r="H36" s="1" t="e">
        <f>F34</f>
        <v>#REF!</v>
      </c>
    </row>
    <row r="37" spans="1:9" hidden="1">
      <c r="B37" s="1" t="s">
        <v>68</v>
      </c>
      <c r="H37" s="1">
        <v>0</v>
      </c>
    </row>
    <row r="38" spans="1:9" hidden="1"/>
    <row r="39" spans="1:9" hidden="1">
      <c r="A39" s="1" t="s">
        <v>232</v>
      </c>
      <c r="B39" s="1">
        <v>360</v>
      </c>
    </row>
    <row r="40" spans="1:9" hidden="1">
      <c r="A40" s="1" t="s">
        <v>233</v>
      </c>
      <c r="B40" s="1">
        <v>30</v>
      </c>
    </row>
    <row r="41" spans="1:9" hidden="1"/>
    <row r="42" spans="1:9" hidden="1"/>
    <row r="43" spans="1:9" hidden="1"/>
    <row r="44" spans="1:9" hidden="1">
      <c r="A44" s="98" t="s">
        <v>316</v>
      </c>
      <c r="B44" s="2"/>
    </row>
    <row r="45" spans="1:9" ht="13.35" hidden="1" customHeight="1"/>
    <row r="46" spans="1:9" ht="13.35" hidden="1" customHeight="1">
      <c r="A46" s="1" t="s">
        <v>313</v>
      </c>
      <c r="H46" s="1">
        <f>+'Sources &amp; Uses'!I75</f>
        <v>24500000</v>
      </c>
    </row>
    <row r="47" spans="1:9" ht="13.35" hidden="1" customHeight="1"/>
    <row r="48" spans="1:9" ht="13.35" hidden="1" customHeight="1">
      <c r="A48" s="1" t="s">
        <v>317</v>
      </c>
      <c r="H48" s="1">
        <f>704940+704940</f>
        <v>1409880</v>
      </c>
    </row>
    <row r="49" spans="1:10" ht="13.35" hidden="1" customHeight="1">
      <c r="A49" s="1" t="s">
        <v>435</v>
      </c>
      <c r="H49" s="1" t="e">
        <f>SUM('Sources &amp; Uses'!#REF!-'Sources &amp; Uses'!#REF!)*'Construction Loan'!I49</f>
        <v>#REF!</v>
      </c>
      <c r="I49" s="62">
        <v>0.75</v>
      </c>
    </row>
    <row r="50" spans="1:10" ht="13.35" hidden="1" customHeight="1">
      <c r="A50" s="1" t="s">
        <v>436</v>
      </c>
      <c r="H50" s="1">
        <f>SUM('Sources &amp; Uses'!E24*'Construction Loan'!I50)</f>
        <v>1445133.4000000001</v>
      </c>
      <c r="I50" s="62">
        <v>0.1</v>
      </c>
    </row>
    <row r="51" spans="1:10" ht="13.35" hidden="1" customHeight="1">
      <c r="A51" s="1" t="s">
        <v>318</v>
      </c>
      <c r="H51" s="1" t="e">
        <f>SUM(H46-H48-H49-H50)</f>
        <v>#REF!</v>
      </c>
    </row>
    <row r="52" spans="1:10" ht="13.35" hidden="1" customHeight="1"/>
    <row r="53" spans="1:10" ht="13.35" customHeight="1"/>
    <row r="54" spans="1:10" ht="13.35" hidden="1" customHeight="1">
      <c r="E54" s="1">
        <v>131978</v>
      </c>
      <c r="I54" s="185">
        <v>8.5000000000000006E-2</v>
      </c>
    </row>
    <row r="55" spans="1:10" ht="13.35" hidden="1" customHeight="1">
      <c r="E55" s="1">
        <v>135943</v>
      </c>
    </row>
    <row r="56" spans="1:10" ht="13.35" hidden="1" customHeight="1">
      <c r="J56" s="1">
        <f>SUM(E54-E55)</f>
        <v>-3965</v>
      </c>
    </row>
    <row r="57" spans="1:10" ht="13.35" customHeight="1"/>
    <row r="58" spans="1:10" ht="13.35" customHeight="1"/>
    <row r="59" spans="1:10" ht="13.35" customHeight="1">
      <c r="A59" s="300"/>
    </row>
    <row r="60" spans="1:10" ht="13.35" customHeight="1">
      <c r="A60" s="300"/>
    </row>
    <row r="61" spans="1:10" ht="13.35" customHeight="1">
      <c r="A61" s="300"/>
    </row>
    <row r="62" spans="1:10" ht="13.35" customHeight="1"/>
    <row r="63" spans="1:10" ht="13.35" customHeight="1"/>
  </sheetData>
  <phoneticPr fontId="0" type="noConversion"/>
  <pageMargins left="0.75" right="0.75" top="1" bottom="1" header="0.5" footer="0.5"/>
  <pageSetup scale="94" orientation="portrait" r:id="rId1"/>
  <headerFooter alignWithMargins="0">
    <oddFooter>&amp;L
&amp;D&amp;CThis presentation is for internal use only and should not be used for any other purposes.
&amp;T&amp;R
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pageSetUpPr fitToPage="1"/>
  </sheetPr>
  <dimension ref="A1:S59"/>
  <sheetViews>
    <sheetView workbookViewId="0"/>
  </sheetViews>
  <sheetFormatPr defaultColWidth="9.140625" defaultRowHeight="12.75"/>
  <cols>
    <col min="1" max="1" width="9.140625" style="1"/>
    <col min="2" max="2" width="10.42578125" style="1" bestFit="1" customWidth="1"/>
    <col min="3" max="3" width="19.7109375" style="1" customWidth="1"/>
    <col min="4" max="19" width="12.7109375" style="1" customWidth="1"/>
    <col min="20" max="16384" width="9.140625" style="1"/>
  </cols>
  <sheetData>
    <row r="1" spans="1:19">
      <c r="A1" s="1" t="s">
        <v>319</v>
      </c>
      <c r="G1" s="1" t="s">
        <v>70</v>
      </c>
      <c r="J1" s="68">
        <v>0.02</v>
      </c>
      <c r="K1" s="1" t="s">
        <v>71</v>
      </c>
    </row>
    <row r="2" spans="1:19">
      <c r="A2" s="1" t="s">
        <v>69</v>
      </c>
      <c r="D2" s="2" t="str">
        <f>+'Sources &amp; Uses'!A1</f>
        <v>Lamar Building</v>
      </c>
      <c r="E2" s="2"/>
      <c r="J2" s="68">
        <v>0.03</v>
      </c>
      <c r="K2" s="1" t="s">
        <v>72</v>
      </c>
    </row>
    <row r="3" spans="1:19">
      <c r="J3" s="70">
        <v>7.0000000000000007E-2</v>
      </c>
      <c r="K3" s="1" t="s">
        <v>235</v>
      </c>
    </row>
    <row r="4" spans="1:19">
      <c r="J4" s="71">
        <v>0.02</v>
      </c>
      <c r="K4" s="1" t="s">
        <v>74</v>
      </c>
    </row>
    <row r="5" spans="1:19" ht="13.5" customHeight="1"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</row>
    <row r="7" spans="1:19">
      <c r="D7" s="12" t="s">
        <v>75</v>
      </c>
      <c r="E7" s="12" t="s">
        <v>75</v>
      </c>
      <c r="F7" s="12" t="s">
        <v>75</v>
      </c>
      <c r="G7" s="12" t="s">
        <v>75</v>
      </c>
      <c r="H7" s="12" t="s">
        <v>75</v>
      </c>
      <c r="I7" s="12" t="s">
        <v>75</v>
      </c>
      <c r="J7" s="12" t="s">
        <v>75</v>
      </c>
      <c r="K7" s="12" t="s">
        <v>75</v>
      </c>
      <c r="L7" s="12" t="s">
        <v>75</v>
      </c>
      <c r="M7" s="12" t="s">
        <v>75</v>
      </c>
      <c r="N7" s="12" t="s">
        <v>75</v>
      </c>
      <c r="O7" s="12" t="s">
        <v>75</v>
      </c>
      <c r="P7" s="12" t="s">
        <v>75</v>
      </c>
      <c r="Q7" s="12" t="s">
        <v>75</v>
      </c>
      <c r="R7" s="12" t="s">
        <v>75</v>
      </c>
      <c r="S7" s="12"/>
    </row>
    <row r="8" spans="1:19">
      <c r="D8" s="17" t="s">
        <v>76</v>
      </c>
      <c r="E8" s="17" t="s">
        <v>77</v>
      </c>
      <c r="F8" s="17" t="s">
        <v>78</v>
      </c>
      <c r="G8" s="17" t="s">
        <v>79</v>
      </c>
      <c r="H8" s="17" t="s">
        <v>80</v>
      </c>
      <c r="I8" s="17" t="s">
        <v>81</v>
      </c>
      <c r="J8" s="17" t="s">
        <v>82</v>
      </c>
      <c r="K8" s="17" t="s">
        <v>83</v>
      </c>
      <c r="L8" s="17" t="s">
        <v>84</v>
      </c>
      <c r="M8" s="17" t="s">
        <v>85</v>
      </c>
      <c r="N8" s="17" t="s">
        <v>86</v>
      </c>
      <c r="O8" s="17" t="s">
        <v>87</v>
      </c>
      <c r="P8" s="17" t="s">
        <v>88</v>
      </c>
      <c r="Q8" s="17" t="s">
        <v>89</v>
      </c>
      <c r="R8" s="17" t="s">
        <v>90</v>
      </c>
      <c r="S8" s="17" t="s">
        <v>91</v>
      </c>
    </row>
    <row r="9" spans="1:19" ht="18">
      <c r="A9" s="18" t="s">
        <v>71</v>
      </c>
    </row>
    <row r="10" spans="1:19">
      <c r="A10" s="1" t="s">
        <v>73</v>
      </c>
      <c r="D10" s="1">
        <f>+Rent!I44</f>
        <v>1833000</v>
      </c>
      <c r="E10" s="11">
        <f t="shared" ref="E10:R10" si="0">D10*(1+($J1))</f>
        <v>1869660</v>
      </c>
      <c r="F10" s="11">
        <f t="shared" si="0"/>
        <v>1907053.2</v>
      </c>
      <c r="G10" s="11">
        <f t="shared" si="0"/>
        <v>1945194.264</v>
      </c>
      <c r="H10" s="11">
        <f t="shared" si="0"/>
        <v>1984098.14928</v>
      </c>
      <c r="I10" s="11">
        <f t="shared" si="0"/>
        <v>2023780.1122656001</v>
      </c>
      <c r="J10" s="11">
        <f t="shared" si="0"/>
        <v>2064255.7145109121</v>
      </c>
      <c r="K10" s="11">
        <f t="shared" si="0"/>
        <v>2105540.8288011304</v>
      </c>
      <c r="L10" s="11">
        <f t="shared" si="0"/>
        <v>2147651.6453771531</v>
      </c>
      <c r="M10" s="11">
        <f t="shared" si="0"/>
        <v>2190604.6782846963</v>
      </c>
      <c r="N10" s="11">
        <f t="shared" si="0"/>
        <v>2234416.7718503904</v>
      </c>
      <c r="O10" s="11">
        <f t="shared" si="0"/>
        <v>2279105.1072873981</v>
      </c>
      <c r="P10" s="11">
        <f t="shared" si="0"/>
        <v>2324687.2094331463</v>
      </c>
      <c r="Q10" s="11">
        <f t="shared" si="0"/>
        <v>2371180.9536218094</v>
      </c>
      <c r="R10" s="11">
        <f t="shared" si="0"/>
        <v>2418604.5726942457</v>
      </c>
      <c r="S10" s="1">
        <f>SUM(D10:R10)</f>
        <v>31698833.207406484</v>
      </c>
    </row>
    <row r="11" spans="1:19">
      <c r="A11" s="1" t="s">
        <v>408</v>
      </c>
      <c r="C11" s="13">
        <v>0</v>
      </c>
      <c r="D11" s="1">
        <f>SUM($C11*D23)</f>
        <v>0</v>
      </c>
      <c r="E11" s="1">
        <f t="shared" ref="E11:R11" si="1">SUM($C11*E23)</f>
        <v>0</v>
      </c>
      <c r="F11" s="1">
        <f t="shared" si="1"/>
        <v>0</v>
      </c>
      <c r="G11" s="1">
        <f t="shared" si="1"/>
        <v>0</v>
      </c>
      <c r="H11" s="1">
        <f t="shared" si="1"/>
        <v>0</v>
      </c>
      <c r="I11" s="1">
        <f t="shared" si="1"/>
        <v>0</v>
      </c>
      <c r="J11" s="1">
        <f t="shared" si="1"/>
        <v>0</v>
      </c>
      <c r="K11" s="1">
        <f t="shared" si="1"/>
        <v>0</v>
      </c>
      <c r="L11" s="1">
        <f t="shared" si="1"/>
        <v>0</v>
      </c>
      <c r="M11" s="1">
        <f t="shared" si="1"/>
        <v>0</v>
      </c>
      <c r="N11" s="1">
        <f t="shared" si="1"/>
        <v>0</v>
      </c>
      <c r="O11" s="1">
        <f t="shared" si="1"/>
        <v>0</v>
      </c>
      <c r="P11" s="1">
        <f t="shared" si="1"/>
        <v>0</v>
      </c>
      <c r="Q11" s="1">
        <f t="shared" si="1"/>
        <v>0</v>
      </c>
      <c r="R11" s="1">
        <f t="shared" si="1"/>
        <v>0</v>
      </c>
    </row>
    <row r="12" spans="1:19">
      <c r="A12" s="1" t="s">
        <v>74</v>
      </c>
      <c r="D12" s="2">
        <f t="shared" ref="D12:R12" si="2">SUM(D10*$J$4)</f>
        <v>36660</v>
      </c>
      <c r="E12" s="2">
        <f t="shared" si="2"/>
        <v>37393.200000000004</v>
      </c>
      <c r="F12" s="2">
        <f t="shared" si="2"/>
        <v>38141.063999999998</v>
      </c>
      <c r="G12" s="2">
        <f t="shared" si="2"/>
        <v>38903.885280000002</v>
      </c>
      <c r="H12" s="2">
        <f t="shared" si="2"/>
        <v>39681.962985600003</v>
      </c>
      <c r="I12" s="2">
        <f t="shared" si="2"/>
        <v>40475.602245312002</v>
      </c>
      <c r="J12" s="2">
        <f t="shared" si="2"/>
        <v>41285.11429021824</v>
      </c>
      <c r="K12" s="2">
        <f t="shared" si="2"/>
        <v>42110.816576022611</v>
      </c>
      <c r="L12" s="2">
        <f t="shared" si="2"/>
        <v>42953.032907543064</v>
      </c>
      <c r="M12" s="2">
        <f t="shared" si="2"/>
        <v>43812.093565693925</v>
      </c>
      <c r="N12" s="2">
        <f t="shared" si="2"/>
        <v>44688.335437007809</v>
      </c>
      <c r="O12" s="2">
        <f t="shared" si="2"/>
        <v>45582.102145747966</v>
      </c>
      <c r="P12" s="2">
        <f t="shared" si="2"/>
        <v>46493.744188662924</v>
      </c>
      <c r="Q12" s="2">
        <f t="shared" si="2"/>
        <v>47423.619072436188</v>
      </c>
      <c r="R12" s="2">
        <f t="shared" si="2"/>
        <v>48372.091453884917</v>
      </c>
      <c r="S12" s="2">
        <f>SUM(D12:R12)</f>
        <v>633976.66414812976</v>
      </c>
    </row>
    <row r="13" spans="1:19">
      <c r="A13" s="1" t="s">
        <v>321</v>
      </c>
      <c r="D13" s="1">
        <f>SUM(D10:D12)</f>
        <v>1869660</v>
      </c>
      <c r="E13" s="1">
        <f t="shared" ref="E13:S13" si="3">SUM(E10:E12)</f>
        <v>1907053.2</v>
      </c>
      <c r="F13" s="1">
        <f t="shared" si="3"/>
        <v>1945194.264</v>
      </c>
      <c r="G13" s="1">
        <f t="shared" si="3"/>
        <v>1984098.14928</v>
      </c>
      <c r="H13" s="1">
        <f t="shared" si="3"/>
        <v>2023780.1122656001</v>
      </c>
      <c r="I13" s="1">
        <f t="shared" si="3"/>
        <v>2064255.7145109121</v>
      </c>
      <c r="J13" s="1">
        <f t="shared" si="3"/>
        <v>2105540.8288011304</v>
      </c>
      <c r="K13" s="1">
        <f t="shared" si="3"/>
        <v>2147651.6453771531</v>
      </c>
      <c r="L13" s="1">
        <f t="shared" si="3"/>
        <v>2190604.6782846963</v>
      </c>
      <c r="M13" s="1">
        <f t="shared" si="3"/>
        <v>2234416.7718503904</v>
      </c>
      <c r="N13" s="1">
        <f t="shared" si="3"/>
        <v>2279105.1072873981</v>
      </c>
      <c r="O13" s="1">
        <f t="shared" si="3"/>
        <v>2324687.2094331458</v>
      </c>
      <c r="P13" s="1">
        <f t="shared" si="3"/>
        <v>2371180.9536218094</v>
      </c>
      <c r="Q13" s="1">
        <f t="shared" si="3"/>
        <v>2418604.5726942457</v>
      </c>
      <c r="R13" s="1">
        <f t="shared" si="3"/>
        <v>2466976.6641481305</v>
      </c>
      <c r="S13" s="1">
        <f t="shared" si="3"/>
        <v>32332809.871554613</v>
      </c>
    </row>
    <row r="14" spans="1:19">
      <c r="A14" s="1" t="s">
        <v>234</v>
      </c>
      <c r="D14" s="1">
        <f>SUM(D13*$J$3)*-1</f>
        <v>-130876.20000000001</v>
      </c>
      <c r="E14" s="1">
        <f>SUM(E13*$J$3)*-1</f>
        <v>-133493.72400000002</v>
      </c>
      <c r="F14" s="1">
        <f t="shared" ref="F14:R14" si="4">SUM(F13*$J$3)*-1</f>
        <v>-136163.59848000002</v>
      </c>
      <c r="G14" s="1">
        <f t="shared" si="4"/>
        <v>-138886.87044960001</v>
      </c>
      <c r="H14" s="1">
        <f t="shared" si="4"/>
        <v>-141664.60785859203</v>
      </c>
      <c r="I14" s="1">
        <f t="shared" si="4"/>
        <v>-144497.90001576385</v>
      </c>
      <c r="J14" s="1">
        <f t="shared" si="4"/>
        <v>-147387.85801607915</v>
      </c>
      <c r="K14" s="1">
        <f t="shared" si="4"/>
        <v>-150335.61517640072</v>
      </c>
      <c r="L14" s="1">
        <f t="shared" si="4"/>
        <v>-153342.32747992876</v>
      </c>
      <c r="M14" s="1">
        <f t="shared" si="4"/>
        <v>-156409.17402952735</v>
      </c>
      <c r="N14" s="1">
        <f t="shared" si="4"/>
        <v>-159537.35751011787</v>
      </c>
      <c r="O14" s="1">
        <f t="shared" si="4"/>
        <v>-162728.10466032021</v>
      </c>
      <c r="P14" s="1">
        <f t="shared" si="4"/>
        <v>-165982.66675352666</v>
      </c>
      <c r="Q14" s="1">
        <f t="shared" si="4"/>
        <v>-169302.32008859722</v>
      </c>
      <c r="R14" s="1">
        <f t="shared" si="4"/>
        <v>-172688.36649036914</v>
      </c>
      <c r="S14" s="1">
        <f>SUM(D14:R14)</f>
        <v>-2263296.691008823</v>
      </c>
    </row>
    <row r="16" spans="1:19">
      <c r="A16" s="1" t="s">
        <v>92</v>
      </c>
      <c r="D16" s="1">
        <f>SUM(D13:D15)</f>
        <v>1738783.8</v>
      </c>
      <c r="E16" s="1">
        <f t="shared" ref="E16:R16" si="5">SUM(E13:E15)</f>
        <v>1773559.476</v>
      </c>
      <c r="F16" s="1">
        <f t="shared" si="5"/>
        <v>1809030.66552</v>
      </c>
      <c r="G16" s="1">
        <f t="shared" si="5"/>
        <v>1845211.2788304</v>
      </c>
      <c r="H16" s="1">
        <f t="shared" si="5"/>
        <v>1882115.5044070082</v>
      </c>
      <c r="I16" s="1">
        <f t="shared" si="5"/>
        <v>1919757.8144951481</v>
      </c>
      <c r="J16" s="1">
        <f t="shared" si="5"/>
        <v>1958152.9707850514</v>
      </c>
      <c r="K16" s="1">
        <f t="shared" si="5"/>
        <v>1997316.0302007524</v>
      </c>
      <c r="L16" s="1">
        <f t="shared" si="5"/>
        <v>2037262.3508047676</v>
      </c>
      <c r="M16" s="1">
        <f t="shared" si="5"/>
        <v>2078007.5978208631</v>
      </c>
      <c r="N16" s="1">
        <f t="shared" si="5"/>
        <v>2119567.7497772803</v>
      </c>
      <c r="O16" s="1">
        <f t="shared" si="5"/>
        <v>2161959.1047728257</v>
      </c>
      <c r="P16" s="1">
        <f t="shared" si="5"/>
        <v>2205198.2868682826</v>
      </c>
      <c r="Q16" s="1">
        <f t="shared" si="5"/>
        <v>2249302.2526056487</v>
      </c>
      <c r="R16" s="1">
        <f t="shared" si="5"/>
        <v>2294288.2976577613</v>
      </c>
      <c r="S16" s="1">
        <f>SUM(S10:S14)</f>
        <v>62402323.052100405</v>
      </c>
    </row>
    <row r="19" spans="1:19" ht="18">
      <c r="A19" s="18" t="s">
        <v>93</v>
      </c>
    </row>
    <row r="20" spans="1:19">
      <c r="A20" s="1" t="s">
        <v>94</v>
      </c>
      <c r="D20" s="1">
        <f>SUM(H47*$D$53)</f>
        <v>70848</v>
      </c>
      <c r="E20" s="11">
        <f t="shared" ref="E20:R20" si="6">D20*(1+($J2))</f>
        <v>72973.440000000002</v>
      </c>
      <c r="F20" s="11">
        <f t="shared" si="6"/>
        <v>75162.643200000006</v>
      </c>
      <c r="G20" s="11">
        <f t="shared" si="6"/>
        <v>77417.522496000005</v>
      </c>
      <c r="H20" s="11">
        <f t="shared" si="6"/>
        <v>79740.048170880007</v>
      </c>
      <c r="I20" s="11">
        <f t="shared" si="6"/>
        <v>82132.249616006404</v>
      </c>
      <c r="J20" s="11">
        <f t="shared" si="6"/>
        <v>84596.217104486597</v>
      </c>
      <c r="K20" s="11">
        <f t="shared" si="6"/>
        <v>87134.103617621193</v>
      </c>
      <c r="L20" s="11">
        <f t="shared" si="6"/>
        <v>89748.126726149829</v>
      </c>
      <c r="M20" s="11">
        <f t="shared" si="6"/>
        <v>92440.570527934324</v>
      </c>
      <c r="N20" s="11">
        <f t="shared" si="6"/>
        <v>95213.787643772361</v>
      </c>
      <c r="O20" s="11">
        <f t="shared" si="6"/>
        <v>98070.201273085535</v>
      </c>
      <c r="P20" s="11">
        <f t="shared" si="6"/>
        <v>101012.3073112781</v>
      </c>
      <c r="Q20" s="11">
        <f t="shared" si="6"/>
        <v>104042.67653061645</v>
      </c>
      <c r="R20" s="11">
        <f t="shared" si="6"/>
        <v>107163.95682653494</v>
      </c>
      <c r="S20" s="1">
        <f>SUM(D20:R20)</f>
        <v>1317695.8510443657</v>
      </c>
    </row>
    <row r="21" spans="1:19">
      <c r="A21" s="1" t="s">
        <v>95</v>
      </c>
      <c r="D21" s="1">
        <f t="shared" ref="D21:D26" si="7">SUM(H48*$D$53)</f>
        <v>82656.000000000015</v>
      </c>
      <c r="E21" s="11">
        <f t="shared" ref="E21:R21" si="8">D21*(1+($J2))</f>
        <v>85135.680000000022</v>
      </c>
      <c r="F21" s="11">
        <f t="shared" si="8"/>
        <v>87689.750400000019</v>
      </c>
      <c r="G21" s="11">
        <f t="shared" si="8"/>
        <v>90320.442912000028</v>
      </c>
      <c r="H21" s="11">
        <f t="shared" si="8"/>
        <v>93030.056199360028</v>
      </c>
      <c r="I21" s="11">
        <f t="shared" si="8"/>
        <v>95820.957885340831</v>
      </c>
      <c r="J21" s="11">
        <f t="shared" si="8"/>
        <v>98695.586621901064</v>
      </c>
      <c r="K21" s="11">
        <f t="shared" si="8"/>
        <v>101656.45422055809</v>
      </c>
      <c r="L21" s="11">
        <f t="shared" si="8"/>
        <v>104706.14784717484</v>
      </c>
      <c r="M21" s="11">
        <f t="shared" si="8"/>
        <v>107847.33228259008</v>
      </c>
      <c r="N21" s="11">
        <f t="shared" si="8"/>
        <v>111082.7522510678</v>
      </c>
      <c r="O21" s="11">
        <f t="shared" si="8"/>
        <v>114415.23481859983</v>
      </c>
      <c r="P21" s="11">
        <f t="shared" si="8"/>
        <v>117847.69186315783</v>
      </c>
      <c r="Q21" s="11">
        <f t="shared" si="8"/>
        <v>121383.12261905256</v>
      </c>
      <c r="R21" s="11">
        <f t="shared" si="8"/>
        <v>125024.61629762415</v>
      </c>
      <c r="S21" s="1">
        <f t="shared" ref="S21:S26" si="9">SUM(D21:R21)</f>
        <v>1537311.8262184272</v>
      </c>
    </row>
    <row r="22" spans="1:19">
      <c r="A22" s="1" t="s">
        <v>96</v>
      </c>
      <c r="D22" s="1">
        <f t="shared" si="7"/>
        <v>41328.000000000007</v>
      </c>
      <c r="E22" s="11">
        <f t="shared" ref="E22:R22" si="10">D22*(1+($J2))</f>
        <v>42567.840000000011</v>
      </c>
      <c r="F22" s="11">
        <f t="shared" si="10"/>
        <v>43844.875200000009</v>
      </c>
      <c r="G22" s="11">
        <f t="shared" si="10"/>
        <v>45160.221456000014</v>
      </c>
      <c r="H22" s="11">
        <f t="shared" si="10"/>
        <v>46515.028099680014</v>
      </c>
      <c r="I22" s="11">
        <f t="shared" si="10"/>
        <v>47910.478942670416</v>
      </c>
      <c r="J22" s="11">
        <f t="shared" si="10"/>
        <v>49347.793310950532</v>
      </c>
      <c r="K22" s="11">
        <f t="shared" si="10"/>
        <v>50828.227110279047</v>
      </c>
      <c r="L22" s="11">
        <f t="shared" si="10"/>
        <v>52353.073923587421</v>
      </c>
      <c r="M22" s="11">
        <f t="shared" si="10"/>
        <v>53923.666141295042</v>
      </c>
      <c r="N22" s="11">
        <f t="shared" si="10"/>
        <v>55541.376125533898</v>
      </c>
      <c r="O22" s="11">
        <f t="shared" si="10"/>
        <v>57207.617409299914</v>
      </c>
      <c r="P22" s="11">
        <f t="shared" si="10"/>
        <v>58923.845931578915</v>
      </c>
      <c r="Q22" s="11">
        <f t="shared" si="10"/>
        <v>60691.561309526282</v>
      </c>
      <c r="R22" s="11">
        <f t="shared" si="10"/>
        <v>62512.308148812073</v>
      </c>
      <c r="S22" s="1">
        <f t="shared" si="9"/>
        <v>768655.91310921358</v>
      </c>
    </row>
    <row r="23" spans="1:19">
      <c r="A23" s="1" t="s">
        <v>97</v>
      </c>
      <c r="D23" s="1">
        <f t="shared" si="7"/>
        <v>35424</v>
      </c>
      <c r="E23" s="11">
        <f t="shared" ref="E23:R23" si="11">D23*(1+($J2))</f>
        <v>36486.720000000001</v>
      </c>
      <c r="F23" s="11">
        <f t="shared" si="11"/>
        <v>37581.321600000003</v>
      </c>
      <c r="G23" s="11">
        <f t="shared" si="11"/>
        <v>38708.761248000003</v>
      </c>
      <c r="H23" s="11">
        <f t="shared" si="11"/>
        <v>39870.024085440004</v>
      </c>
      <c r="I23" s="11">
        <f t="shared" si="11"/>
        <v>41066.124808003202</v>
      </c>
      <c r="J23" s="11">
        <f t="shared" si="11"/>
        <v>42298.108552243299</v>
      </c>
      <c r="K23" s="11">
        <f t="shared" si="11"/>
        <v>43567.051808810596</v>
      </c>
      <c r="L23" s="11">
        <f t="shared" si="11"/>
        <v>44874.063363074914</v>
      </c>
      <c r="M23" s="11">
        <f t="shared" si="11"/>
        <v>46220.285263967162</v>
      </c>
      <c r="N23" s="11">
        <f t="shared" si="11"/>
        <v>47606.89382188618</v>
      </c>
      <c r="O23" s="11">
        <f t="shared" si="11"/>
        <v>49035.100636542767</v>
      </c>
      <c r="P23" s="11">
        <f t="shared" si="11"/>
        <v>50506.153655639049</v>
      </c>
      <c r="Q23" s="11">
        <f t="shared" si="11"/>
        <v>52021.338265308223</v>
      </c>
      <c r="R23" s="11">
        <f t="shared" si="11"/>
        <v>53581.978413267469</v>
      </c>
      <c r="S23" s="1">
        <f t="shared" si="9"/>
        <v>658847.92552218284</v>
      </c>
    </row>
    <row r="24" spans="1:19">
      <c r="A24" s="1" t="s">
        <v>31</v>
      </c>
      <c r="D24" s="1">
        <f t="shared" si="7"/>
        <v>59040</v>
      </c>
      <c r="E24" s="11">
        <f t="shared" ref="E24:R24" si="12">D24*(1+($J2))</f>
        <v>60811.200000000004</v>
      </c>
      <c r="F24" s="11">
        <f t="shared" si="12"/>
        <v>62635.536000000007</v>
      </c>
      <c r="G24" s="11">
        <f t="shared" si="12"/>
        <v>64514.602080000011</v>
      </c>
      <c r="H24" s="11">
        <f t="shared" si="12"/>
        <v>66450.040142400016</v>
      </c>
      <c r="I24" s="11">
        <f t="shared" si="12"/>
        <v>68443.54134667202</v>
      </c>
      <c r="J24" s="11">
        <f t="shared" si="12"/>
        <v>70496.847587072189</v>
      </c>
      <c r="K24" s="11">
        <f t="shared" si="12"/>
        <v>72611.753014684349</v>
      </c>
      <c r="L24" s="11">
        <f t="shared" si="12"/>
        <v>74790.105605124889</v>
      </c>
      <c r="M24" s="11">
        <f t="shared" si="12"/>
        <v>77033.808773278637</v>
      </c>
      <c r="N24" s="11">
        <f t="shared" si="12"/>
        <v>79344.823036476999</v>
      </c>
      <c r="O24" s="11">
        <f t="shared" si="12"/>
        <v>81725.167727571315</v>
      </c>
      <c r="P24" s="11">
        <f t="shared" si="12"/>
        <v>84176.922759398454</v>
      </c>
      <c r="Q24" s="11">
        <f t="shared" si="12"/>
        <v>86702.230442180415</v>
      </c>
      <c r="R24" s="11">
        <f t="shared" si="12"/>
        <v>89303.297355445829</v>
      </c>
      <c r="S24" s="1">
        <f t="shared" si="9"/>
        <v>1098079.8758703051</v>
      </c>
    </row>
    <row r="25" spans="1:19">
      <c r="A25" s="1" t="s">
        <v>98</v>
      </c>
      <c r="D25" s="1">
        <f>SUM(D51*Rent!C44)</f>
        <v>21600</v>
      </c>
      <c r="E25" s="11">
        <f>D25*(1+($J2))</f>
        <v>22248</v>
      </c>
      <c r="F25" s="11">
        <f t="shared" ref="F25:R25" si="13">E25*(1+($J2))</f>
        <v>22915.440000000002</v>
      </c>
      <c r="G25" s="11">
        <f t="shared" si="13"/>
        <v>23602.903200000004</v>
      </c>
      <c r="H25" s="11">
        <f t="shared" si="13"/>
        <v>24310.990296000004</v>
      </c>
      <c r="I25" s="11">
        <f t="shared" si="13"/>
        <v>25040.320004880003</v>
      </c>
      <c r="J25" s="11">
        <f t="shared" si="13"/>
        <v>25791.529605026404</v>
      </c>
      <c r="K25" s="11">
        <f t="shared" si="13"/>
        <v>26565.275493177196</v>
      </c>
      <c r="L25" s="11">
        <f t="shared" si="13"/>
        <v>27362.233757972514</v>
      </c>
      <c r="M25" s="11">
        <f t="shared" si="13"/>
        <v>28183.100770711691</v>
      </c>
      <c r="N25" s="11">
        <f t="shared" si="13"/>
        <v>29028.593793833043</v>
      </c>
      <c r="O25" s="11">
        <f t="shared" si="13"/>
        <v>29899.451607648036</v>
      </c>
      <c r="P25" s="11">
        <f t="shared" si="13"/>
        <v>30796.435155877476</v>
      </c>
      <c r="Q25" s="11">
        <f t="shared" si="13"/>
        <v>31720.328210553802</v>
      </c>
      <c r="R25" s="11">
        <f t="shared" si="13"/>
        <v>32671.938056870418</v>
      </c>
      <c r="S25" s="1">
        <f t="shared" si="9"/>
        <v>401736.53995255061</v>
      </c>
    </row>
    <row r="26" spans="1:19">
      <c r="A26" s="1" t="s">
        <v>345</v>
      </c>
      <c r="D26" s="2">
        <f t="shared" si="7"/>
        <v>5904</v>
      </c>
      <c r="E26" s="20">
        <f t="shared" ref="E26:R26" si="14">D26*(1+($J2))</f>
        <v>6081.12</v>
      </c>
      <c r="F26" s="20">
        <f t="shared" si="14"/>
        <v>6263.5536000000002</v>
      </c>
      <c r="G26" s="20">
        <f t="shared" si="14"/>
        <v>6451.4602080000004</v>
      </c>
      <c r="H26" s="20">
        <f t="shared" si="14"/>
        <v>6645.0040142400003</v>
      </c>
      <c r="I26" s="20">
        <f t="shared" si="14"/>
        <v>6844.3541346672009</v>
      </c>
      <c r="J26" s="20">
        <f t="shared" si="14"/>
        <v>7049.684758707217</v>
      </c>
      <c r="K26" s="20">
        <f t="shared" si="14"/>
        <v>7261.1753014684336</v>
      </c>
      <c r="L26" s="20">
        <f t="shared" si="14"/>
        <v>7479.0105605124872</v>
      </c>
      <c r="M26" s="20">
        <f t="shared" si="14"/>
        <v>7703.3808773278624</v>
      </c>
      <c r="N26" s="20">
        <f t="shared" si="14"/>
        <v>7934.4823036476982</v>
      </c>
      <c r="O26" s="20">
        <f t="shared" si="14"/>
        <v>8172.5167727571297</v>
      </c>
      <c r="P26" s="20">
        <f t="shared" si="14"/>
        <v>8417.692275939844</v>
      </c>
      <c r="Q26" s="20">
        <f t="shared" si="14"/>
        <v>8670.2230442180389</v>
      </c>
      <c r="R26" s="20">
        <f t="shared" si="14"/>
        <v>8930.3297355445811</v>
      </c>
      <c r="S26" s="2">
        <f t="shared" si="9"/>
        <v>109807.9875870305</v>
      </c>
    </row>
    <row r="28" spans="1:19">
      <c r="A28" s="19" t="s">
        <v>100</v>
      </c>
      <c r="D28" s="1">
        <f>SUM(D20:D26)</f>
        <v>316800</v>
      </c>
      <c r="E28" s="1">
        <f t="shared" ref="E28:R28" si="15">SUM(E20:E26)</f>
        <v>326304</v>
      </c>
      <c r="F28" s="1">
        <f t="shared" si="15"/>
        <v>336093.12</v>
      </c>
      <c r="G28" s="1">
        <f t="shared" si="15"/>
        <v>346175.91360000003</v>
      </c>
      <c r="H28" s="1">
        <f t="shared" si="15"/>
        <v>356561.19100800005</v>
      </c>
      <c r="I28" s="1">
        <f t="shared" si="15"/>
        <v>367258.02673824009</v>
      </c>
      <c r="J28" s="1">
        <f t="shared" si="15"/>
        <v>378275.76754038734</v>
      </c>
      <c r="K28" s="1">
        <f t="shared" si="15"/>
        <v>389624.04056659888</v>
      </c>
      <c r="L28" s="1">
        <f t="shared" si="15"/>
        <v>401312.76178359688</v>
      </c>
      <c r="M28" s="1">
        <f t="shared" si="15"/>
        <v>413352.14463710482</v>
      </c>
      <c r="N28" s="1">
        <f t="shared" si="15"/>
        <v>425752.70897621789</v>
      </c>
      <c r="O28" s="1">
        <f t="shared" si="15"/>
        <v>438525.29024550453</v>
      </c>
      <c r="P28" s="1">
        <f t="shared" si="15"/>
        <v>451681.04895286966</v>
      </c>
      <c r="Q28" s="1">
        <f t="shared" si="15"/>
        <v>465231.48042145575</v>
      </c>
      <c r="R28" s="1">
        <f t="shared" si="15"/>
        <v>479188.42483409948</v>
      </c>
      <c r="S28" s="1">
        <f>SUM(D28:R28)</f>
        <v>5892135.9193040766</v>
      </c>
    </row>
    <row r="29" spans="1:19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19" t="s">
        <v>101</v>
      </c>
      <c r="D30" s="1">
        <f>D16-D28</f>
        <v>1421983.8</v>
      </c>
      <c r="E30" s="1">
        <f t="shared" ref="E30:R30" si="16">E16-E28</f>
        <v>1447255.476</v>
      </c>
      <c r="F30" s="1">
        <f t="shared" si="16"/>
        <v>1472937.5455200002</v>
      </c>
      <c r="G30" s="1">
        <f t="shared" si="16"/>
        <v>1499035.3652303999</v>
      </c>
      <c r="H30" s="1">
        <f t="shared" si="16"/>
        <v>1525554.313399008</v>
      </c>
      <c r="I30" s="1">
        <f t="shared" si="16"/>
        <v>1552499.787756908</v>
      </c>
      <c r="J30" s="1">
        <f t="shared" si="16"/>
        <v>1579877.203244664</v>
      </c>
      <c r="K30" s="1">
        <f t="shared" si="16"/>
        <v>1607691.9896341534</v>
      </c>
      <c r="L30" s="1">
        <f t="shared" si="16"/>
        <v>1635949.5890211707</v>
      </c>
      <c r="M30" s="1">
        <f t="shared" si="16"/>
        <v>1664655.4531837583</v>
      </c>
      <c r="N30" s="1">
        <f t="shared" si="16"/>
        <v>1693815.0408010622</v>
      </c>
      <c r="O30" s="1">
        <f t="shared" si="16"/>
        <v>1723433.8145273211</v>
      </c>
      <c r="P30" s="1">
        <f t="shared" si="16"/>
        <v>1753517.237915413</v>
      </c>
      <c r="Q30" s="1">
        <f t="shared" si="16"/>
        <v>1784070.7721841929</v>
      </c>
      <c r="R30" s="1">
        <f t="shared" si="16"/>
        <v>1815099.8728236617</v>
      </c>
      <c r="S30" s="1">
        <f>SUM(D30:R30)</f>
        <v>24177377.261241715</v>
      </c>
    </row>
    <row r="31" spans="1:19">
      <c r="A31" s="10" t="s">
        <v>103</v>
      </c>
      <c r="D31" s="67" t="e">
        <f>+#REF!</f>
        <v>#REF!</v>
      </c>
      <c r="E31" s="1" t="e">
        <f>+D31</f>
        <v>#REF!</v>
      </c>
      <c r="F31" s="1" t="e">
        <f t="shared" ref="F31:R32" si="17">+E31</f>
        <v>#REF!</v>
      </c>
      <c r="G31" s="1" t="e">
        <f t="shared" si="17"/>
        <v>#REF!</v>
      </c>
      <c r="H31" s="1" t="e">
        <f t="shared" si="17"/>
        <v>#REF!</v>
      </c>
      <c r="I31" s="1" t="e">
        <f t="shared" si="17"/>
        <v>#REF!</v>
      </c>
      <c r="J31" s="1" t="e">
        <f t="shared" si="17"/>
        <v>#REF!</v>
      </c>
      <c r="K31" s="1" t="e">
        <f t="shared" si="17"/>
        <v>#REF!</v>
      </c>
      <c r="L31" s="1" t="e">
        <f t="shared" si="17"/>
        <v>#REF!</v>
      </c>
      <c r="M31" s="1" t="e">
        <f t="shared" si="17"/>
        <v>#REF!</v>
      </c>
      <c r="N31" s="1" t="e">
        <f t="shared" si="17"/>
        <v>#REF!</v>
      </c>
      <c r="O31" s="1" t="e">
        <f t="shared" si="17"/>
        <v>#REF!</v>
      </c>
      <c r="P31" s="1" t="e">
        <f t="shared" si="17"/>
        <v>#REF!</v>
      </c>
      <c r="Q31" s="1" t="e">
        <f t="shared" si="17"/>
        <v>#REF!</v>
      </c>
      <c r="R31" s="1" t="e">
        <f t="shared" si="17"/>
        <v>#REF!</v>
      </c>
      <c r="S31" s="1" t="e">
        <f>SUM(D31:R31)</f>
        <v>#REF!</v>
      </c>
    </row>
    <row r="32" spans="1:19" ht="15.75" customHeight="1">
      <c r="A32" s="10" t="s">
        <v>102</v>
      </c>
      <c r="D32" s="67">
        <f>+'Interest Calculation'!G6</f>
        <v>0</v>
      </c>
      <c r="E32" s="1">
        <f>+D32</f>
        <v>0</v>
      </c>
      <c r="F32" s="1">
        <f t="shared" si="17"/>
        <v>0</v>
      </c>
      <c r="G32" s="1">
        <f t="shared" si="17"/>
        <v>0</v>
      </c>
      <c r="H32" s="1">
        <f t="shared" si="17"/>
        <v>0</v>
      </c>
      <c r="I32" s="1">
        <f t="shared" si="17"/>
        <v>0</v>
      </c>
      <c r="J32" s="1">
        <f t="shared" si="17"/>
        <v>0</v>
      </c>
      <c r="K32" s="1">
        <f t="shared" si="17"/>
        <v>0</v>
      </c>
      <c r="L32" s="1">
        <f t="shared" si="17"/>
        <v>0</v>
      </c>
      <c r="M32" s="1">
        <f t="shared" si="17"/>
        <v>0</v>
      </c>
      <c r="N32" s="1">
        <f t="shared" si="17"/>
        <v>0</v>
      </c>
      <c r="O32" s="1">
        <f t="shared" si="17"/>
        <v>0</v>
      </c>
      <c r="P32" s="1">
        <f t="shared" si="17"/>
        <v>0</v>
      </c>
      <c r="Q32" s="1">
        <f t="shared" si="17"/>
        <v>0</v>
      </c>
      <c r="R32" s="1">
        <f t="shared" si="17"/>
        <v>0</v>
      </c>
      <c r="S32" s="1">
        <f>SUM(D32:R32)</f>
        <v>0</v>
      </c>
    </row>
    <row r="33" spans="1:19">
      <c r="A33" s="10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>
      <c r="A34" s="19" t="s">
        <v>104</v>
      </c>
      <c r="D34" s="1" t="e">
        <f t="shared" ref="D34:R34" si="18">D30-D31</f>
        <v>#REF!</v>
      </c>
      <c r="E34" s="1" t="e">
        <f t="shared" si="18"/>
        <v>#REF!</v>
      </c>
      <c r="F34" s="1" t="e">
        <f t="shared" si="18"/>
        <v>#REF!</v>
      </c>
      <c r="G34" s="1" t="e">
        <f t="shared" si="18"/>
        <v>#REF!</v>
      </c>
      <c r="H34" s="1" t="e">
        <f t="shared" si="18"/>
        <v>#REF!</v>
      </c>
      <c r="I34" s="1" t="e">
        <f t="shared" si="18"/>
        <v>#REF!</v>
      </c>
      <c r="J34" s="1" t="e">
        <f t="shared" si="18"/>
        <v>#REF!</v>
      </c>
      <c r="K34" s="1" t="e">
        <f t="shared" si="18"/>
        <v>#REF!</v>
      </c>
      <c r="L34" s="1" t="e">
        <f t="shared" si="18"/>
        <v>#REF!</v>
      </c>
      <c r="M34" s="1" t="e">
        <f t="shared" si="18"/>
        <v>#REF!</v>
      </c>
      <c r="N34" s="1" t="e">
        <f t="shared" si="18"/>
        <v>#REF!</v>
      </c>
      <c r="O34" s="1" t="e">
        <f t="shared" si="18"/>
        <v>#REF!</v>
      </c>
      <c r="P34" s="1" t="e">
        <f t="shared" si="18"/>
        <v>#REF!</v>
      </c>
      <c r="Q34" s="1" t="e">
        <f t="shared" si="18"/>
        <v>#REF!</v>
      </c>
      <c r="R34" s="1" t="e">
        <f t="shared" si="18"/>
        <v>#REF!</v>
      </c>
      <c r="S34" s="1" t="e">
        <f>S30-S31</f>
        <v>#REF!</v>
      </c>
    </row>
    <row r="36" spans="1:19">
      <c r="A36" s="1" t="s">
        <v>105</v>
      </c>
      <c r="D36" s="13" t="e">
        <f>SUM(D30/D31)</f>
        <v>#REF!</v>
      </c>
      <c r="E36" s="13" t="e">
        <f t="shared" ref="E36:R36" si="19">SUM(E30/E31)</f>
        <v>#REF!</v>
      </c>
      <c r="F36" s="13" t="e">
        <f t="shared" si="19"/>
        <v>#REF!</v>
      </c>
      <c r="G36" s="13" t="e">
        <f t="shared" si="19"/>
        <v>#REF!</v>
      </c>
      <c r="H36" s="13" t="e">
        <f t="shared" si="19"/>
        <v>#REF!</v>
      </c>
      <c r="I36" s="13" t="e">
        <f t="shared" si="19"/>
        <v>#REF!</v>
      </c>
      <c r="J36" s="13" t="e">
        <f t="shared" si="19"/>
        <v>#REF!</v>
      </c>
      <c r="K36" s="13" t="e">
        <f t="shared" si="19"/>
        <v>#REF!</v>
      </c>
      <c r="L36" s="13" t="e">
        <f t="shared" si="19"/>
        <v>#REF!</v>
      </c>
      <c r="M36" s="13" t="e">
        <f t="shared" si="19"/>
        <v>#REF!</v>
      </c>
      <c r="N36" s="13" t="e">
        <f t="shared" si="19"/>
        <v>#REF!</v>
      </c>
      <c r="O36" s="13" t="e">
        <f t="shared" si="19"/>
        <v>#REF!</v>
      </c>
      <c r="P36" s="13" t="e">
        <f t="shared" si="19"/>
        <v>#REF!</v>
      </c>
      <c r="Q36" s="13" t="e">
        <f t="shared" si="19"/>
        <v>#REF!</v>
      </c>
      <c r="R36" s="13" t="e">
        <f t="shared" si="19"/>
        <v>#REF!</v>
      </c>
    </row>
    <row r="37" spans="1:19" ht="13.5" hidden="1" customHeight="1">
      <c r="A37" s="1" t="s">
        <v>106</v>
      </c>
      <c r="D37" s="13" t="e">
        <f>SUM(D30/(D31+D32))</f>
        <v>#REF!</v>
      </c>
      <c r="E37" s="13" t="e">
        <f t="shared" ref="E37:R37" si="20">SUM(E30/(E31+E32))</f>
        <v>#REF!</v>
      </c>
      <c r="F37" s="13" t="e">
        <f t="shared" si="20"/>
        <v>#REF!</v>
      </c>
      <c r="G37" s="13" t="e">
        <f t="shared" si="20"/>
        <v>#REF!</v>
      </c>
      <c r="H37" s="13" t="e">
        <f t="shared" si="20"/>
        <v>#REF!</v>
      </c>
      <c r="I37" s="13" t="e">
        <f t="shared" si="20"/>
        <v>#REF!</v>
      </c>
      <c r="J37" s="13" t="e">
        <f t="shared" si="20"/>
        <v>#REF!</v>
      </c>
      <c r="K37" s="13" t="e">
        <f t="shared" si="20"/>
        <v>#REF!</v>
      </c>
      <c r="L37" s="13" t="e">
        <f t="shared" si="20"/>
        <v>#REF!</v>
      </c>
      <c r="M37" s="13" t="e">
        <f t="shared" si="20"/>
        <v>#REF!</v>
      </c>
      <c r="N37" s="13" t="e">
        <f t="shared" si="20"/>
        <v>#REF!</v>
      </c>
      <c r="O37" s="13" t="e">
        <f t="shared" si="20"/>
        <v>#REF!</v>
      </c>
      <c r="P37" s="13" t="e">
        <f t="shared" si="20"/>
        <v>#REF!</v>
      </c>
      <c r="Q37" s="13" t="e">
        <f t="shared" si="20"/>
        <v>#REF!</v>
      </c>
      <c r="R37" s="13" t="e">
        <f t="shared" si="20"/>
        <v>#REF!</v>
      </c>
    </row>
    <row r="39" spans="1:19">
      <c r="A39" s="1" t="s">
        <v>406</v>
      </c>
      <c r="D39" s="1" t="e">
        <f>SUM(D34:M34)</f>
        <v>#REF!</v>
      </c>
    </row>
    <row r="40" spans="1:19">
      <c r="A40" s="1" t="s">
        <v>407</v>
      </c>
      <c r="D40" s="1" t="e">
        <f>SUM(D34:R34)</f>
        <v>#REF!</v>
      </c>
    </row>
    <row r="41" spans="1:19" hidden="1">
      <c r="L41" s="1" t="e">
        <f>+L31*1.15</f>
        <v>#REF!</v>
      </c>
      <c r="M41" s="1" t="e">
        <f t="shared" ref="M41:R41" si="21">+M31*1.15</f>
        <v>#REF!</v>
      </c>
      <c r="N41" s="1" t="e">
        <f t="shared" si="21"/>
        <v>#REF!</v>
      </c>
      <c r="O41" s="1" t="e">
        <f t="shared" si="21"/>
        <v>#REF!</v>
      </c>
      <c r="P41" s="1" t="e">
        <f t="shared" si="21"/>
        <v>#REF!</v>
      </c>
      <c r="Q41" s="1" t="e">
        <f t="shared" si="21"/>
        <v>#REF!</v>
      </c>
      <c r="R41" s="1" t="e">
        <f t="shared" si="21"/>
        <v>#REF!</v>
      </c>
    </row>
    <row r="42" spans="1:19" hidden="1">
      <c r="M42" s="1" t="e">
        <f t="shared" ref="M42:R42" si="22">+M30-M41</f>
        <v>#REF!</v>
      </c>
      <c r="N42" s="1" t="e">
        <f t="shared" si="22"/>
        <v>#REF!</v>
      </c>
      <c r="O42" s="1" t="e">
        <f t="shared" si="22"/>
        <v>#REF!</v>
      </c>
      <c r="P42" s="1" t="e">
        <f t="shared" si="22"/>
        <v>#REF!</v>
      </c>
      <c r="Q42" s="1" t="e">
        <f t="shared" si="22"/>
        <v>#REF!</v>
      </c>
      <c r="R42" s="1" t="e">
        <f t="shared" si="22"/>
        <v>#REF!</v>
      </c>
    </row>
    <row r="44" spans="1:19">
      <c r="A44" s="2" t="s">
        <v>236</v>
      </c>
      <c r="B44" s="2"/>
      <c r="C44" s="2"/>
    </row>
    <row r="47" spans="1:19">
      <c r="D47" s="1">
        <v>531000</v>
      </c>
      <c r="F47" s="1" t="s">
        <v>94</v>
      </c>
      <c r="H47" s="53">
        <v>0.24</v>
      </c>
    </row>
    <row r="48" spans="1:19">
      <c r="A48" s="1" t="s">
        <v>109</v>
      </c>
      <c r="D48" s="1" t="e">
        <f>D31</f>
        <v>#REF!</v>
      </c>
      <c r="F48" s="1" t="s">
        <v>95</v>
      </c>
      <c r="H48" s="53">
        <v>0.28000000000000003</v>
      </c>
    </row>
    <row r="49" spans="1:10">
      <c r="A49" s="1" t="s">
        <v>110</v>
      </c>
      <c r="D49" s="1">
        <f>D32</f>
        <v>0</v>
      </c>
      <c r="F49" s="1" t="s">
        <v>96</v>
      </c>
      <c r="H49" s="53">
        <v>0.14000000000000001</v>
      </c>
    </row>
    <row r="50" spans="1:10">
      <c r="A50" s="1" t="s">
        <v>107</v>
      </c>
      <c r="D50" s="65">
        <v>4400</v>
      </c>
      <c r="F50" s="1" t="s">
        <v>97</v>
      </c>
      <c r="H50" s="73">
        <v>0.12</v>
      </c>
      <c r="I50" s="1">
        <f>SUM(D23/Rent!C44)</f>
        <v>492</v>
      </c>
      <c r="J50" s="1" t="s">
        <v>702</v>
      </c>
    </row>
    <row r="51" spans="1:10">
      <c r="A51" s="1" t="s">
        <v>108</v>
      </c>
      <c r="D51" s="1">
        <v>300</v>
      </c>
      <c r="E51" s="12"/>
      <c r="F51" s="1" t="s">
        <v>31</v>
      </c>
      <c r="H51" s="73">
        <v>0.2</v>
      </c>
      <c r="I51" s="1">
        <f>SUM(D24/Rent!C44)</f>
        <v>820</v>
      </c>
      <c r="J51" s="1" t="s">
        <v>703</v>
      </c>
    </row>
    <row r="52" spans="1:10">
      <c r="A52" s="1" t="s">
        <v>241</v>
      </c>
      <c r="C52" s="22"/>
      <c r="D52" s="1">
        <f>SUM(D50-D51)</f>
        <v>4100</v>
      </c>
      <c r="E52" s="22"/>
      <c r="F52" s="1" t="s">
        <v>98</v>
      </c>
      <c r="G52" s="22"/>
      <c r="H52" s="73"/>
      <c r="I52" s="21"/>
    </row>
    <row r="53" spans="1:10">
      <c r="A53" s="1" t="s">
        <v>242</v>
      </c>
      <c r="C53" s="22"/>
      <c r="D53" s="1">
        <f>SUM(D52*Rent!C44)</f>
        <v>295200</v>
      </c>
      <c r="E53" s="22"/>
      <c r="F53" s="1" t="s">
        <v>99</v>
      </c>
      <c r="G53" s="22"/>
      <c r="H53" s="70">
        <v>0.02</v>
      </c>
      <c r="I53" s="21"/>
    </row>
    <row r="54" spans="1:10">
      <c r="A54" s="8"/>
      <c r="C54" s="22"/>
      <c r="E54" s="22"/>
      <c r="G54" s="22"/>
      <c r="H54" s="72">
        <f>SUM(H47:H53)</f>
        <v>1</v>
      </c>
      <c r="I54" s="21"/>
    </row>
    <row r="55" spans="1:10">
      <c r="A55" s="8"/>
      <c r="C55" s="22"/>
      <c r="E55" s="22"/>
      <c r="G55" s="22"/>
      <c r="I55" s="21"/>
    </row>
    <row r="56" spans="1:10">
      <c r="A56" s="8"/>
      <c r="B56" s="7" t="s">
        <v>607</v>
      </c>
      <c r="C56" s="22"/>
      <c r="E56" s="22">
        <v>5000</v>
      </c>
      <c r="G56" s="22"/>
      <c r="I56" s="21"/>
    </row>
    <row r="57" spans="1:10">
      <c r="A57" s="8"/>
      <c r="B57" s="7" t="s">
        <v>608</v>
      </c>
      <c r="C57" s="22"/>
      <c r="E57" s="22">
        <f>+E56/'Sources &amp; Uses'!B77</f>
        <v>69.444444444444443</v>
      </c>
      <c r="G57" s="22"/>
      <c r="I57" s="21"/>
    </row>
    <row r="58" spans="1:10">
      <c r="A58" s="8"/>
      <c r="C58" s="22"/>
      <c r="E58" s="22"/>
      <c r="G58" s="22"/>
      <c r="I58" s="21"/>
    </row>
    <row r="59" spans="1:10">
      <c r="C59" s="22"/>
      <c r="E59" s="22"/>
      <c r="G59" s="22"/>
    </row>
  </sheetData>
  <pageMargins left="0.75" right="0.75" top="1" bottom="1" header="0.5" footer="0.5"/>
  <pageSetup scale="51" orientation="landscape" horizontalDpi="4294967292" r:id="rId1"/>
  <headerFooter alignWithMargins="0">
    <oddFooter>&amp;L
&amp;D&amp;CThis presentation is for internal use only and should not be used for any other purposes.
&amp;T&amp;R
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1:J23"/>
  <sheetViews>
    <sheetView workbookViewId="0"/>
  </sheetViews>
  <sheetFormatPr defaultColWidth="8.85546875" defaultRowHeight="12.75"/>
  <sheetData>
    <row r="1" spans="1:10">
      <c r="A1" s="1" t="s">
        <v>279</v>
      </c>
    </row>
    <row r="2" spans="1:10">
      <c r="A2" t="s">
        <v>322</v>
      </c>
    </row>
    <row r="6" spans="1:10" ht="13.5" thickBot="1"/>
    <row r="7" spans="1:10" ht="13.5" thickBot="1">
      <c r="A7" s="106" t="s">
        <v>323</v>
      </c>
      <c r="B7" s="103"/>
      <c r="C7" s="104"/>
      <c r="D7" s="104"/>
      <c r="E7" s="104" t="s">
        <v>340</v>
      </c>
      <c r="F7" s="104"/>
      <c r="G7" s="104"/>
      <c r="H7" s="105"/>
      <c r="I7" s="106" t="s">
        <v>323</v>
      </c>
      <c r="J7" s="106" t="s">
        <v>338</v>
      </c>
    </row>
    <row r="8" spans="1:10" ht="13.5" thickBot="1">
      <c r="A8" s="109"/>
      <c r="B8" s="102" t="s">
        <v>331</v>
      </c>
      <c r="C8" s="102" t="s">
        <v>332</v>
      </c>
      <c r="D8" s="102" t="s">
        <v>333</v>
      </c>
      <c r="E8" s="102" t="s">
        <v>334</v>
      </c>
      <c r="F8" s="102" t="s">
        <v>335</v>
      </c>
      <c r="G8" s="102" t="s">
        <v>336</v>
      </c>
      <c r="H8" s="102" t="s">
        <v>26</v>
      </c>
      <c r="I8" s="107" t="s">
        <v>337</v>
      </c>
      <c r="J8" s="107" t="s">
        <v>339</v>
      </c>
    </row>
    <row r="9" spans="1:10" ht="13.5" thickBot="1">
      <c r="A9" s="108"/>
      <c r="B9" s="108"/>
      <c r="C9" s="108"/>
      <c r="D9" s="108"/>
      <c r="E9" s="108"/>
      <c r="F9" s="108"/>
      <c r="G9" s="108"/>
      <c r="H9" s="108"/>
      <c r="I9" s="108"/>
      <c r="J9" s="108"/>
    </row>
    <row r="10" spans="1:10">
      <c r="A10" t="s">
        <v>324</v>
      </c>
      <c r="B10" s="40">
        <v>0</v>
      </c>
      <c r="C10" s="40">
        <v>13</v>
      </c>
      <c r="D10" s="40">
        <v>15</v>
      </c>
      <c r="E10" s="40">
        <v>0</v>
      </c>
      <c r="F10" s="40">
        <v>0</v>
      </c>
      <c r="G10" s="40">
        <v>0</v>
      </c>
      <c r="H10" s="40"/>
      <c r="I10" s="40" t="s">
        <v>698</v>
      </c>
      <c r="J10" s="40"/>
    </row>
    <row r="11" spans="1:10">
      <c r="A11" t="s">
        <v>325</v>
      </c>
      <c r="B11" s="40">
        <v>0</v>
      </c>
      <c r="C11" s="40">
        <v>21</v>
      </c>
      <c r="D11" s="40">
        <v>27</v>
      </c>
      <c r="E11" s="40">
        <v>0</v>
      </c>
      <c r="F11" s="40">
        <v>0</v>
      </c>
      <c r="G11" s="40">
        <v>0</v>
      </c>
      <c r="H11" s="40"/>
      <c r="I11" s="40" t="s">
        <v>698</v>
      </c>
      <c r="J11" s="40"/>
    </row>
    <row r="12" spans="1:10">
      <c r="A12" t="s">
        <v>326</v>
      </c>
      <c r="B12" s="40">
        <v>0</v>
      </c>
      <c r="C12" s="40">
        <v>7</v>
      </c>
      <c r="D12" s="40">
        <v>9</v>
      </c>
      <c r="E12" s="40">
        <v>0</v>
      </c>
      <c r="F12" s="40">
        <v>0</v>
      </c>
      <c r="G12" s="40">
        <v>0</v>
      </c>
      <c r="H12" s="40"/>
      <c r="I12" s="40" t="s">
        <v>698</v>
      </c>
      <c r="J12" s="40"/>
    </row>
    <row r="13" spans="1:10">
      <c r="A13" t="s">
        <v>327</v>
      </c>
      <c r="B13" s="40">
        <v>0</v>
      </c>
      <c r="C13" s="40">
        <v>32</v>
      </c>
      <c r="D13" s="40">
        <v>38</v>
      </c>
      <c r="E13" s="40">
        <v>0</v>
      </c>
      <c r="F13" s="40">
        <v>0</v>
      </c>
      <c r="G13" s="40">
        <v>0</v>
      </c>
      <c r="H13" s="40"/>
      <c r="I13" s="40" t="s">
        <v>698</v>
      </c>
      <c r="J13" s="40"/>
    </row>
    <row r="14" spans="1:10">
      <c r="A14" t="s">
        <v>328</v>
      </c>
      <c r="B14" s="40">
        <v>0</v>
      </c>
      <c r="C14" s="40">
        <v>16</v>
      </c>
      <c r="D14" s="40">
        <v>21</v>
      </c>
      <c r="E14" s="40">
        <v>0</v>
      </c>
      <c r="F14" s="40">
        <v>0</v>
      </c>
      <c r="G14" s="40">
        <v>0</v>
      </c>
      <c r="H14" s="40"/>
      <c r="I14" s="40" t="s">
        <v>698</v>
      </c>
      <c r="J14" s="40"/>
    </row>
    <row r="15" spans="1:10">
      <c r="A15" t="s">
        <v>190</v>
      </c>
      <c r="B15" s="40"/>
      <c r="C15" s="40">
        <v>11</v>
      </c>
      <c r="D15" s="40">
        <v>15</v>
      </c>
      <c r="E15" s="40"/>
      <c r="F15" s="40"/>
      <c r="G15" s="40"/>
      <c r="H15" s="40"/>
      <c r="I15" s="40"/>
      <c r="J15" s="40" t="s">
        <v>699</v>
      </c>
    </row>
    <row r="16" spans="1:10">
      <c r="A16" t="s">
        <v>329</v>
      </c>
      <c r="B16" s="40"/>
      <c r="C16" s="40">
        <v>23</v>
      </c>
      <c r="D16" s="40">
        <v>35</v>
      </c>
      <c r="E16" s="40"/>
      <c r="F16" s="40"/>
      <c r="G16" s="40"/>
      <c r="H16" s="40"/>
      <c r="I16" s="40"/>
      <c r="J16" s="40" t="s">
        <v>699</v>
      </c>
    </row>
    <row r="17" spans="1:10">
      <c r="A17" t="s">
        <v>330</v>
      </c>
      <c r="B17" s="40"/>
      <c r="C17" s="40">
        <v>20</v>
      </c>
      <c r="D17" s="40">
        <v>20</v>
      </c>
      <c r="E17" s="40"/>
      <c r="F17" s="40"/>
      <c r="G17" s="40"/>
      <c r="H17" s="40"/>
      <c r="I17" s="40"/>
      <c r="J17" s="40" t="s">
        <v>699</v>
      </c>
    </row>
    <row r="18" spans="1:10" ht="13.5" thickBot="1">
      <c r="A18" t="s">
        <v>26</v>
      </c>
      <c r="B18" s="110"/>
      <c r="C18" s="40"/>
      <c r="D18" s="40"/>
      <c r="E18" s="40"/>
      <c r="F18" s="40"/>
      <c r="G18" s="40"/>
      <c r="H18" s="40"/>
      <c r="I18" s="40"/>
      <c r="J18" s="40" t="s">
        <v>699</v>
      </c>
    </row>
    <row r="19" spans="1:10" ht="12.75" customHeight="1" thickBot="1">
      <c r="A19" s="34" t="s">
        <v>91</v>
      </c>
      <c r="B19" s="108">
        <f>SUM(B10:B18)</f>
        <v>0</v>
      </c>
      <c r="C19" s="108">
        <f t="shared" ref="C19:H19" si="0">SUM(C10:C18)</f>
        <v>143</v>
      </c>
      <c r="D19" s="108">
        <f t="shared" si="0"/>
        <v>180</v>
      </c>
      <c r="E19" s="108">
        <f t="shared" si="0"/>
        <v>0</v>
      </c>
      <c r="F19" s="108">
        <f t="shared" si="0"/>
        <v>0</v>
      </c>
      <c r="G19" s="108">
        <f t="shared" si="0"/>
        <v>0</v>
      </c>
      <c r="H19" s="108">
        <f t="shared" si="0"/>
        <v>0</v>
      </c>
    </row>
    <row r="22" spans="1:10">
      <c r="A22" t="s">
        <v>700</v>
      </c>
      <c r="B22" s="394" t="s">
        <v>1075</v>
      </c>
      <c r="C22" s="25"/>
      <c r="D22" s="25"/>
      <c r="E22" s="25"/>
      <c r="F22" s="25"/>
      <c r="G22" s="25"/>
    </row>
    <row r="23" spans="1:10">
      <c r="A23" t="s">
        <v>701</v>
      </c>
      <c r="B23" s="395" t="s">
        <v>1076</v>
      </c>
      <c r="C23" s="24"/>
    </row>
  </sheetData>
  <phoneticPr fontId="0" type="noConversion"/>
  <pageMargins left="0.75" right="0.75" top="1" bottom="1" header="0.5" footer="0.5"/>
  <pageSetup orientation="portrait" r:id="rId1"/>
  <headerFooter alignWithMargins="0">
    <oddFooter>&amp;L
&amp;D&amp;CThis presentation is for internal use only and should not be used for any other purposes.
&amp;T&amp;R
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pageSetUpPr fitToPage="1"/>
  </sheetPr>
  <dimension ref="A1:W86"/>
  <sheetViews>
    <sheetView workbookViewId="0">
      <selection activeCell="I93" sqref="I93"/>
    </sheetView>
  </sheetViews>
  <sheetFormatPr defaultColWidth="8.85546875" defaultRowHeight="12.75"/>
  <cols>
    <col min="1" max="1" width="9.140625" style="1" customWidth="1"/>
    <col min="2" max="2" width="14" style="1" customWidth="1"/>
    <col min="3" max="3" width="9.42578125" style="1" bestFit="1" customWidth="1"/>
    <col min="4" max="4" width="12.42578125" style="1" customWidth="1"/>
    <col min="5" max="10" width="14.42578125" style="1" customWidth="1"/>
    <col min="11" max="12" width="9.140625" style="1" hidden="1" customWidth="1"/>
    <col min="13" max="13" width="10.28515625" style="1" hidden="1" customWidth="1"/>
    <col min="14" max="14" width="9.140625" style="1" customWidth="1"/>
    <col min="15" max="15" width="3.28515625" style="1" hidden="1" customWidth="1"/>
    <col min="16" max="17" width="9.140625" style="1" hidden="1" customWidth="1"/>
    <col min="18" max="20" width="12.28515625" style="1" hidden="1" customWidth="1"/>
    <col min="21" max="21" width="3.140625" style="1" hidden="1" customWidth="1"/>
    <col min="22" max="22" width="12.42578125" style="1" hidden="1" customWidth="1"/>
    <col min="23" max="23" width="0" style="1" hidden="1" customWidth="1"/>
    <col min="24" max="16384" width="8.85546875" style="1"/>
  </cols>
  <sheetData>
    <row r="1" spans="1:10">
      <c r="A1" s="1" t="s">
        <v>111</v>
      </c>
    </row>
    <row r="2" spans="1:10">
      <c r="A2" s="1" t="s">
        <v>117</v>
      </c>
      <c r="C2" s="2" t="str">
        <f>+'Sources &amp; Uses'!A1</f>
        <v>Lamar Building</v>
      </c>
      <c r="D2" s="2"/>
      <c r="E2" s="2"/>
    </row>
    <row r="3" spans="1:10">
      <c r="A3" s="1" t="s">
        <v>118</v>
      </c>
      <c r="C3" s="69" t="s">
        <v>1216</v>
      </c>
      <c r="D3" s="2"/>
      <c r="E3" s="2"/>
    </row>
    <row r="4" spans="1:10" ht="13.5" thickBot="1">
      <c r="A4" s="1" t="s">
        <v>656</v>
      </c>
      <c r="B4"/>
      <c r="C4" s="377" t="s">
        <v>1045</v>
      </c>
      <c r="D4" s="256" t="s">
        <v>657</v>
      </c>
      <c r="F4"/>
      <c r="G4"/>
    </row>
    <row r="5" spans="1:10" s="28" customFormat="1" ht="7.5" customHeight="1" thickBot="1">
      <c r="A5" s="26"/>
      <c r="B5" s="27"/>
      <c r="C5" s="27"/>
      <c r="D5" s="27"/>
      <c r="E5" s="27"/>
      <c r="F5" s="27"/>
      <c r="G5" s="27"/>
      <c r="H5" s="27"/>
      <c r="I5" s="27"/>
      <c r="J5" s="27"/>
    </row>
    <row r="6" spans="1:10" hidden="1">
      <c r="A6" s="1" t="s">
        <v>543</v>
      </c>
      <c r="C6">
        <v>2019</v>
      </c>
    </row>
    <row r="7" spans="1:10" ht="15" hidden="1">
      <c r="A7" s="1" t="s">
        <v>119</v>
      </c>
      <c r="C7" s="2">
        <v>73500</v>
      </c>
      <c r="E7" s="29" t="s">
        <v>120</v>
      </c>
      <c r="F7" s="29" t="s">
        <v>121</v>
      </c>
      <c r="G7" s="29" t="s">
        <v>122</v>
      </c>
      <c r="H7" s="29" t="s">
        <v>123</v>
      </c>
      <c r="I7" s="29" t="s">
        <v>124</v>
      </c>
      <c r="J7" s="29" t="s">
        <v>125</v>
      </c>
    </row>
    <row r="8" spans="1:10" hidden="1"/>
    <row r="9" spans="1:10" hidden="1">
      <c r="A9" s="7" t="s">
        <v>606</v>
      </c>
      <c r="E9" s="218">
        <v>11770</v>
      </c>
      <c r="F9" s="218">
        <v>15930</v>
      </c>
      <c r="G9" s="218">
        <v>20090</v>
      </c>
      <c r="H9" s="218">
        <v>24250</v>
      </c>
      <c r="I9" s="218">
        <v>28410</v>
      </c>
      <c r="J9" s="218">
        <v>31800</v>
      </c>
    </row>
    <row r="10" spans="1:10" hidden="1"/>
    <row r="11" spans="1:10" hidden="1">
      <c r="A11" s="1" t="s">
        <v>663</v>
      </c>
      <c r="D11" s="1" t="s">
        <v>664</v>
      </c>
      <c r="E11" s="1">
        <f t="shared" ref="E11:J11" si="0">+E15*0.5</f>
        <v>15450</v>
      </c>
      <c r="F11" s="1">
        <f t="shared" si="0"/>
        <v>17640</v>
      </c>
      <c r="G11" s="1">
        <f t="shared" si="0"/>
        <v>19860</v>
      </c>
      <c r="H11" s="1">
        <f t="shared" si="0"/>
        <v>20250</v>
      </c>
      <c r="I11" s="1">
        <f t="shared" si="0"/>
        <v>23820</v>
      </c>
      <c r="J11" s="1">
        <f t="shared" si="0"/>
        <v>25590</v>
      </c>
    </row>
    <row r="12" spans="1:10" hidden="1"/>
    <row r="13" spans="1:10" hidden="1">
      <c r="A13" s="1" t="s">
        <v>126</v>
      </c>
      <c r="D13" s="1" t="s">
        <v>127</v>
      </c>
      <c r="E13" s="65">
        <v>25750</v>
      </c>
      <c r="F13" s="65">
        <v>29400</v>
      </c>
      <c r="G13" s="65">
        <v>33100</v>
      </c>
      <c r="H13" s="65">
        <v>33750</v>
      </c>
      <c r="I13" s="65">
        <v>39700</v>
      </c>
      <c r="J13" s="65">
        <v>42650</v>
      </c>
    </row>
    <row r="14" spans="1:10" hidden="1"/>
    <row r="15" spans="1:10" hidden="1">
      <c r="A15" s="1" t="s">
        <v>128</v>
      </c>
      <c r="D15" s="1" t="s">
        <v>129</v>
      </c>
      <c r="E15" s="1">
        <f t="shared" ref="E15:J15" si="1">SUM(E13*1.2)</f>
        <v>30900</v>
      </c>
      <c r="F15" s="1">
        <f t="shared" si="1"/>
        <v>35280</v>
      </c>
      <c r="G15" s="1">
        <f t="shared" si="1"/>
        <v>39720</v>
      </c>
      <c r="H15" s="1">
        <f t="shared" si="1"/>
        <v>40500</v>
      </c>
      <c r="I15" s="1">
        <f t="shared" si="1"/>
        <v>47640</v>
      </c>
      <c r="J15" s="1">
        <f t="shared" si="1"/>
        <v>51180</v>
      </c>
    </row>
    <row r="16" spans="1:10" hidden="1"/>
    <row r="17" spans="1:23" ht="15" hidden="1">
      <c r="E17" s="29" t="s">
        <v>131</v>
      </c>
      <c r="F17" s="29" t="s">
        <v>132</v>
      </c>
      <c r="G17" s="29" t="s">
        <v>133</v>
      </c>
      <c r="H17" s="29" t="s">
        <v>134</v>
      </c>
    </row>
    <row r="18" spans="1:23" hidden="1">
      <c r="A18" s="1" t="s">
        <v>130</v>
      </c>
      <c r="E18" s="74">
        <f>+'Utility Allowance'!C19</f>
        <v>143</v>
      </c>
      <c r="F18" s="74">
        <f>+'Utility Allowance'!D19</f>
        <v>180</v>
      </c>
      <c r="G18" s="74">
        <f>+'Utility Allowance'!E19</f>
        <v>0</v>
      </c>
      <c r="H18" s="74">
        <f>+'Utility Allowance'!F19</f>
        <v>0</v>
      </c>
      <c r="I18" s="512"/>
      <c r="J18" s="512"/>
    </row>
    <row r="19" spans="1:23" hidden="1">
      <c r="G19" s="22"/>
      <c r="I19" s="12" t="s">
        <v>346</v>
      </c>
    </row>
    <row r="20" spans="1:23" hidden="1">
      <c r="A20" s="7" t="s">
        <v>605</v>
      </c>
      <c r="D20" s="396" t="s">
        <v>1078</v>
      </c>
      <c r="E20" s="396" t="s">
        <v>1077</v>
      </c>
      <c r="F20" s="57" t="s">
        <v>604</v>
      </c>
      <c r="G20" s="14" t="s">
        <v>139</v>
      </c>
      <c r="H20" s="14" t="s">
        <v>140</v>
      </c>
      <c r="I20" s="14" t="s">
        <v>347</v>
      </c>
      <c r="J20" s="14" t="s">
        <v>662</v>
      </c>
    </row>
    <row r="21" spans="1:23" hidden="1"/>
    <row r="22" spans="1:23" hidden="1">
      <c r="A22" s="1" t="s">
        <v>135</v>
      </c>
      <c r="E22" s="13">
        <f>SUM((($E$9+F9)/2*0.3)/12)-$E$18</f>
        <v>203.25</v>
      </c>
      <c r="F22" s="13">
        <f>SUM((($E$13+F13)/2*0.3)/12)-$E$18</f>
        <v>546.375</v>
      </c>
      <c r="G22" s="13">
        <f>SUM((($E$15+F15)/2*0.3)/12)-$E$18</f>
        <v>684.25</v>
      </c>
      <c r="H22" s="66">
        <v>827</v>
      </c>
      <c r="I22" s="1">
        <f>+H22-E18</f>
        <v>684</v>
      </c>
      <c r="J22" s="13">
        <f>SUM(((E9+F9)/2)*0.3)/12-E18</f>
        <v>203.25</v>
      </c>
    </row>
    <row r="23" spans="1:23" hidden="1">
      <c r="G23" s="13"/>
      <c r="H23" s="66"/>
    </row>
    <row r="24" spans="1:23" hidden="1">
      <c r="A24" s="1" t="s">
        <v>136</v>
      </c>
      <c r="E24" s="13">
        <f>SUM(($G$9*0.3)/12)-$F$18</f>
        <v>322.25</v>
      </c>
      <c r="F24" s="13">
        <f>SUM(($G$13*0.3)/12)-$F$18</f>
        <v>647.5</v>
      </c>
      <c r="G24" s="13">
        <f>SUM(($G$15*0.3)/12)-$F$18</f>
        <v>813</v>
      </c>
      <c r="H24" s="66">
        <v>996</v>
      </c>
      <c r="I24" s="1">
        <f>+H24-F18</f>
        <v>816</v>
      </c>
      <c r="J24" s="13">
        <f>SUM(G11*0.3)/12-F18</f>
        <v>316.5</v>
      </c>
    </row>
    <row r="25" spans="1:23" hidden="1">
      <c r="F25" s="13"/>
      <c r="G25" s="13"/>
      <c r="H25" s="66"/>
    </row>
    <row r="26" spans="1:23" hidden="1">
      <c r="A26" s="1" t="s">
        <v>137</v>
      </c>
      <c r="E26" s="13">
        <f>SUM((($H$9+$I9)/2*0.3)/12)-$G$18</f>
        <v>658.25</v>
      </c>
      <c r="F26" s="13">
        <f>SUM((($H$13+$I13)/2*0.3)/12)-$G$18</f>
        <v>918.125</v>
      </c>
      <c r="G26" s="13">
        <f>SUM((($H$15+$I15)/2*0.3)/12)-$G$18</f>
        <v>1101.75</v>
      </c>
      <c r="H26" s="66">
        <v>1277</v>
      </c>
      <c r="I26" s="1">
        <f>+H26-G18</f>
        <v>1277</v>
      </c>
      <c r="J26" s="13">
        <f>SUM(((H11+I11)/2)*0.3)/12-G18</f>
        <v>550.875</v>
      </c>
    </row>
    <row r="27" spans="1:23" hidden="1">
      <c r="F27" s="13"/>
      <c r="G27" s="13"/>
      <c r="H27" s="66"/>
    </row>
    <row r="28" spans="1:23" hidden="1">
      <c r="A28" s="1" t="s">
        <v>138</v>
      </c>
      <c r="E28" s="13">
        <f>SUM(($J$9*0.3)/12)-$H$18</f>
        <v>795</v>
      </c>
      <c r="F28" s="13">
        <f>SUM(($J$13*0.3)/12)-$H$18</f>
        <v>1066.25</v>
      </c>
      <c r="G28" s="13">
        <f>SUM(($J$15*0.3)/12)-$H$18</f>
        <v>1279.5</v>
      </c>
      <c r="H28" s="66">
        <v>1477</v>
      </c>
      <c r="I28" s="1">
        <f>+H28-H18</f>
        <v>1477</v>
      </c>
      <c r="J28" s="13">
        <f>SUM(J11*0.3)/12-H18</f>
        <v>639.75</v>
      </c>
    </row>
    <row r="29" spans="1:23" ht="13.5" thickBot="1"/>
    <row r="30" spans="1:23">
      <c r="A30" s="1" t="s">
        <v>111</v>
      </c>
      <c r="E30" s="121"/>
      <c r="F30" s="122"/>
      <c r="G30" s="12"/>
      <c r="H30" s="12"/>
      <c r="I30" s="12"/>
      <c r="J30" s="12"/>
      <c r="S30" s="301" t="s">
        <v>792</v>
      </c>
      <c r="T30" s="301"/>
    </row>
    <row r="31" spans="1:23">
      <c r="C31" s="14" t="s">
        <v>113</v>
      </c>
      <c r="D31" s="317"/>
      <c r="E31" s="300"/>
      <c r="F31" s="123" t="s">
        <v>141</v>
      </c>
      <c r="G31" s="14" t="s">
        <v>115</v>
      </c>
      <c r="H31" s="373"/>
      <c r="I31" s="14" t="s">
        <v>116</v>
      </c>
      <c r="J31" s="14"/>
      <c r="K31" s="14" t="s">
        <v>349</v>
      </c>
      <c r="S31" s="300" t="s">
        <v>790</v>
      </c>
      <c r="T31" s="300"/>
      <c r="W31" s="301" t="s">
        <v>794</v>
      </c>
    </row>
    <row r="32" spans="1:23" hidden="1">
      <c r="A32" s="8" t="s">
        <v>112</v>
      </c>
      <c r="C32" s="22">
        <v>0</v>
      </c>
      <c r="F32" s="124">
        <v>0</v>
      </c>
      <c r="G32" s="22">
        <f t="shared" ref="G32:G43" si="2">SUM(C32*F32)</f>
        <v>0</v>
      </c>
      <c r="I32" s="21">
        <f t="shared" ref="I32:I43" si="3">G32*12</f>
        <v>0</v>
      </c>
      <c r="K32" s="13">
        <f>'Proforma (Application)'!D79</f>
        <v>9359</v>
      </c>
      <c r="Q32" s="1">
        <v>12</v>
      </c>
      <c r="W32" s="12"/>
    </row>
    <row r="33" spans="1:23" hidden="1">
      <c r="A33" s="8" t="s">
        <v>405</v>
      </c>
      <c r="C33" s="22">
        <v>0</v>
      </c>
      <c r="F33" s="124">
        <v>0</v>
      </c>
      <c r="G33" s="22">
        <f t="shared" si="2"/>
        <v>0</v>
      </c>
      <c r="I33" s="21">
        <f t="shared" si="3"/>
        <v>0</v>
      </c>
      <c r="K33" s="13"/>
      <c r="W33" s="12"/>
    </row>
    <row r="34" spans="1:23" ht="15">
      <c r="A34" s="284"/>
      <c r="C34" s="22">
        <v>0</v>
      </c>
      <c r="F34" s="124">
        <v>0</v>
      </c>
      <c r="G34" s="22">
        <f t="shared" si="2"/>
        <v>0</v>
      </c>
      <c r="I34" s="21">
        <f t="shared" si="3"/>
        <v>0</v>
      </c>
      <c r="P34" s="302" t="s">
        <v>789</v>
      </c>
      <c r="Q34" s="302">
        <v>12</v>
      </c>
      <c r="R34" s="302" t="s">
        <v>787</v>
      </c>
      <c r="S34" s="302" t="s">
        <v>791</v>
      </c>
      <c r="T34" s="302" t="s">
        <v>793</v>
      </c>
      <c r="U34" s="302"/>
      <c r="V34" s="302" t="s">
        <v>788</v>
      </c>
      <c r="W34" s="302" t="s">
        <v>795</v>
      </c>
    </row>
    <row r="35" spans="1:23">
      <c r="A35" s="284"/>
      <c r="C35" s="22">
        <v>0</v>
      </c>
      <c r="D35" s="301">
        <v>0</v>
      </c>
      <c r="E35" s="1">
        <v>0</v>
      </c>
      <c r="F35" s="124"/>
      <c r="G35" s="22">
        <f t="shared" si="2"/>
        <v>0</v>
      </c>
      <c r="I35" s="21">
        <f t="shared" si="3"/>
        <v>0</v>
      </c>
      <c r="J35" s="7"/>
      <c r="Q35" s="1">
        <v>12</v>
      </c>
    </row>
    <row r="36" spans="1:23">
      <c r="A36" s="284" t="s">
        <v>1225</v>
      </c>
      <c r="C36" s="22">
        <v>23</v>
      </c>
      <c r="D36" s="12"/>
      <c r="F36" s="124">
        <v>1900</v>
      </c>
      <c r="G36" s="22">
        <f t="shared" si="2"/>
        <v>43700</v>
      </c>
      <c r="I36" s="21">
        <f t="shared" si="3"/>
        <v>524400</v>
      </c>
    </row>
    <row r="37" spans="1:23">
      <c r="A37" s="284" t="s">
        <v>1226</v>
      </c>
      <c r="C37" s="22">
        <v>21</v>
      </c>
      <c r="D37" s="12"/>
      <c r="E37" s="1">
        <v>0</v>
      </c>
      <c r="F37" s="124">
        <v>2100</v>
      </c>
      <c r="G37" s="22">
        <f t="shared" si="2"/>
        <v>44100</v>
      </c>
      <c r="I37" s="21">
        <f t="shared" si="3"/>
        <v>529200</v>
      </c>
      <c r="J37" s="5" t="s">
        <v>1297</v>
      </c>
      <c r="K37" s="1">
        <v>1050</v>
      </c>
      <c r="M37" s="1">
        <f>+K37*C37</f>
        <v>22050</v>
      </c>
      <c r="P37" s="301" t="s">
        <v>332</v>
      </c>
      <c r="Q37" s="1">
        <v>12</v>
      </c>
      <c r="R37" s="1">
        <f>((373-153)*12)+(6*526)+(24*626)+(18*652)+(2*652)+(10*652)</f>
        <v>40380</v>
      </c>
      <c r="S37" s="1">
        <f>+R37*0.95</f>
        <v>38361</v>
      </c>
      <c r="T37" s="1">
        <f>+S37*12</f>
        <v>460332</v>
      </c>
      <c r="V37" s="1">
        <f>7584+28880+6170</f>
        <v>42634</v>
      </c>
      <c r="W37" s="52">
        <f>+V37/S37</f>
        <v>1.1113891712937618</v>
      </c>
    </row>
    <row r="38" spans="1:23">
      <c r="A38" s="284" t="s">
        <v>1227</v>
      </c>
      <c r="C38" s="22">
        <v>15</v>
      </c>
      <c r="D38" s="301"/>
      <c r="E38" s="1">
        <v>0</v>
      </c>
      <c r="F38" s="74">
        <v>2250</v>
      </c>
      <c r="G38" s="22">
        <f t="shared" si="2"/>
        <v>33750</v>
      </c>
      <c r="I38" s="21">
        <f t="shared" si="3"/>
        <v>405000</v>
      </c>
      <c r="P38" s="301" t="s">
        <v>333</v>
      </c>
      <c r="Q38" s="1">
        <v>12</v>
      </c>
      <c r="R38" s="1">
        <f>((478-174)*42)+(28*(708-174))+(2*882)</f>
        <v>29484</v>
      </c>
      <c r="S38" s="1">
        <f t="shared" ref="S38:S41" si="4">+R38*0.95</f>
        <v>28009.8</v>
      </c>
      <c r="T38" s="1">
        <f t="shared" ref="T38:T41" si="5">+S38*12</f>
        <v>336117.6</v>
      </c>
      <c r="V38" s="1">
        <f>34440+22176+1584</f>
        <v>58200</v>
      </c>
      <c r="W38" s="52">
        <f t="shared" ref="W38:W41" si="6">+V38/S38</f>
        <v>2.0778441831073411</v>
      </c>
    </row>
    <row r="39" spans="1:23">
      <c r="A39" s="8" t="s">
        <v>1228</v>
      </c>
      <c r="C39" s="22">
        <v>13</v>
      </c>
      <c r="D39" s="12"/>
      <c r="F39" s="124">
        <v>2400</v>
      </c>
      <c r="G39" s="22">
        <f t="shared" si="2"/>
        <v>31200</v>
      </c>
      <c r="I39" s="21">
        <f t="shared" si="3"/>
        <v>374400</v>
      </c>
      <c r="J39" s="5" t="s">
        <v>1297</v>
      </c>
      <c r="P39" s="12"/>
      <c r="S39" s="1">
        <f t="shared" si="4"/>
        <v>0</v>
      </c>
      <c r="T39" s="1">
        <f t="shared" si="5"/>
        <v>0</v>
      </c>
      <c r="W39" s="52"/>
    </row>
    <row r="40" spans="1:23">
      <c r="A40" s="284"/>
      <c r="C40" s="22">
        <v>0</v>
      </c>
      <c r="D40" s="12"/>
      <c r="F40" s="124"/>
      <c r="G40" s="22">
        <f t="shared" si="2"/>
        <v>0</v>
      </c>
      <c r="I40" s="21">
        <f t="shared" si="3"/>
        <v>0</v>
      </c>
      <c r="K40" s="1">
        <v>1250</v>
      </c>
      <c r="M40" s="1">
        <f>+K40*C40</f>
        <v>0</v>
      </c>
      <c r="P40" s="301" t="s">
        <v>334</v>
      </c>
      <c r="Q40" s="1">
        <v>12</v>
      </c>
      <c r="R40" s="1">
        <f>((888-210)*36)+(4*(888-210))</f>
        <v>27120</v>
      </c>
      <c r="S40" s="1">
        <f t="shared" si="4"/>
        <v>25764</v>
      </c>
      <c r="T40" s="1">
        <f t="shared" si="5"/>
        <v>309168</v>
      </c>
      <c r="V40" s="1">
        <f>37584+3808</f>
        <v>41392</v>
      </c>
      <c r="W40" s="52">
        <f t="shared" si="6"/>
        <v>1.6065828287532993</v>
      </c>
    </row>
    <row r="41" spans="1:23">
      <c r="A41" s="284"/>
      <c r="C41" s="22">
        <v>0</v>
      </c>
      <c r="D41" s="12"/>
      <c r="F41" s="124"/>
      <c r="G41" s="22">
        <f t="shared" si="2"/>
        <v>0</v>
      </c>
      <c r="I41" s="21">
        <f t="shared" si="3"/>
        <v>0</v>
      </c>
      <c r="P41" s="301" t="s">
        <v>335</v>
      </c>
      <c r="Q41" s="1">
        <v>12</v>
      </c>
      <c r="R41" s="1">
        <f>((958-221)*9)</f>
        <v>6633</v>
      </c>
      <c r="S41" s="1">
        <f t="shared" si="4"/>
        <v>6301.3499999999995</v>
      </c>
      <c r="T41" s="1">
        <f t="shared" si="5"/>
        <v>75616.2</v>
      </c>
      <c r="V41" s="1">
        <f>12490</f>
        <v>12490</v>
      </c>
      <c r="W41" s="52">
        <f t="shared" si="6"/>
        <v>1.982114943623192</v>
      </c>
    </row>
    <row r="42" spans="1:23">
      <c r="A42" s="8"/>
      <c r="C42" s="22">
        <v>0</v>
      </c>
      <c r="D42" s="12"/>
      <c r="F42" s="124"/>
      <c r="G42" s="22">
        <f t="shared" si="2"/>
        <v>0</v>
      </c>
      <c r="I42" s="21">
        <f t="shared" si="3"/>
        <v>0</v>
      </c>
    </row>
    <row r="43" spans="1:23">
      <c r="A43" s="284"/>
      <c r="C43" s="23">
        <v>0</v>
      </c>
      <c r="D43" s="12"/>
      <c r="F43" s="125"/>
      <c r="G43" s="139">
        <f t="shared" si="2"/>
        <v>0</v>
      </c>
      <c r="H43" s="2"/>
      <c r="I43" s="140">
        <f t="shared" si="3"/>
        <v>0</v>
      </c>
      <c r="J43" s="2"/>
      <c r="K43" s="1">
        <v>1350</v>
      </c>
      <c r="M43" s="1">
        <f>+K43*C43</f>
        <v>0</v>
      </c>
      <c r="Q43" s="1">
        <v>12</v>
      </c>
      <c r="R43" s="15">
        <f>SUM(R37:R41)</f>
        <v>103617</v>
      </c>
      <c r="S43" s="15">
        <f>SUM(S37:S41)</f>
        <v>98436.150000000009</v>
      </c>
      <c r="T43" s="15">
        <f>SUM(T37:T41)</f>
        <v>1181233.8</v>
      </c>
      <c r="V43" s="15">
        <f>SUM(V37:V41)</f>
        <v>154716</v>
      </c>
      <c r="W43" s="303">
        <f>SUM(W37:W41)</f>
        <v>6.7779311267775944</v>
      </c>
    </row>
    <row r="44" spans="1:23">
      <c r="A44" s="1" t="s">
        <v>114</v>
      </c>
      <c r="C44" s="22">
        <f>SUM(C32:C43)</f>
        <v>72</v>
      </c>
      <c r="F44" s="126">
        <f>SUM(F32:F43)</f>
        <v>8650</v>
      </c>
      <c r="G44" s="22">
        <f>SUM(G32:G43)</f>
        <v>152750</v>
      </c>
      <c r="H44" s="22"/>
      <c r="I44" s="1">
        <f>SUM(I32:I43)</f>
        <v>1833000</v>
      </c>
    </row>
    <row r="45" spans="1:23" ht="13.5" thickBot="1">
      <c r="E45" s="127"/>
      <c r="F45" s="128"/>
      <c r="M45" s="1">
        <f>SUM(M37:M43)</f>
        <v>22050</v>
      </c>
    </row>
    <row r="46" spans="1:23" hidden="1">
      <c r="A46" s="1" t="s">
        <v>427</v>
      </c>
      <c r="C46" s="113">
        <f>+'Proforma (Application)'!D79</f>
        <v>9359</v>
      </c>
      <c r="M46" s="1">
        <v>85</v>
      </c>
    </row>
    <row r="47" spans="1:23" hidden="1">
      <c r="A47" s="1" t="s">
        <v>392</v>
      </c>
      <c r="C47" s="1">
        <f>SUM(C32+C35+C38+C41)</f>
        <v>15</v>
      </c>
      <c r="E47" s="1" t="s">
        <v>403</v>
      </c>
      <c r="H47" s="1">
        <f>+G69</f>
        <v>14</v>
      </c>
      <c r="I47" s="1" t="s">
        <v>420</v>
      </c>
      <c r="M47" s="1">
        <f>+M45*M46</f>
        <v>1874250</v>
      </c>
      <c r="N47" s="143">
        <f>SUM(C41:C43)</f>
        <v>0</v>
      </c>
      <c r="O47" s="143"/>
    </row>
    <row r="48" spans="1:23" hidden="1">
      <c r="A48" s="1" t="s">
        <v>393</v>
      </c>
      <c r="C48" s="1">
        <f>+E58</f>
        <v>2.8000000000000003</v>
      </c>
      <c r="E48" s="1" t="s">
        <v>404</v>
      </c>
      <c r="H48" s="1">
        <f>SUM(E57-C47)</f>
        <v>-1</v>
      </c>
      <c r="I48" s="1" t="s">
        <v>421</v>
      </c>
      <c r="N48" s="143">
        <v>0</v>
      </c>
      <c r="O48" s="143"/>
    </row>
    <row r="49" spans="1:15" hidden="1">
      <c r="A49" s="1" t="s">
        <v>395</v>
      </c>
      <c r="C49" s="136" t="str">
        <f>IF(C47&gt;=C48,"TEST MET","SET ASIDE ERROR")</f>
        <v>TEST MET</v>
      </c>
      <c r="E49" s="1" t="s">
        <v>395</v>
      </c>
      <c r="H49" s="136" t="str">
        <f>IF(H47&gt;=H48,"TEST MET","TEST NOT MET")</f>
        <v>TEST MET</v>
      </c>
      <c r="N49" s="136" t="str">
        <f>IF(N47&gt;=N48,"TEST MET","TEST NOT MET")</f>
        <v>TEST MET</v>
      </c>
      <c r="O49" s="136"/>
    </row>
    <row r="50" spans="1:15" hidden="1">
      <c r="E50" s="137">
        <v>0.2</v>
      </c>
      <c r="G50" s="1" t="s">
        <v>394</v>
      </c>
      <c r="I50" s="137">
        <v>0.2</v>
      </c>
    </row>
    <row r="51" spans="1:15" hidden="1"/>
    <row r="52" spans="1:15" hidden="1">
      <c r="A52" s="98" t="s">
        <v>397</v>
      </c>
      <c r="B52" s="98"/>
      <c r="C52" s="2"/>
    </row>
    <row r="53" spans="1:15" hidden="1"/>
    <row r="54" spans="1:15" hidden="1">
      <c r="B54" s="1" t="s">
        <v>398</v>
      </c>
      <c r="E54" s="1">
        <f>'Sources &amp; Uses'!V6</f>
        <v>0</v>
      </c>
    </row>
    <row r="55" spans="1:15" hidden="1">
      <c r="B55" s="1" t="s">
        <v>399</v>
      </c>
      <c r="E55" s="1">
        <f>+'Sources &amp; Uses'!I75</f>
        <v>24500000</v>
      </c>
    </row>
    <row r="56" spans="1:15" hidden="1">
      <c r="B56" s="1" t="s">
        <v>400</v>
      </c>
      <c r="E56" s="51">
        <f>SUM(E54/E55)</f>
        <v>0</v>
      </c>
    </row>
    <row r="57" spans="1:15" hidden="1">
      <c r="B57" s="1" t="s">
        <v>401</v>
      </c>
      <c r="E57" s="13">
        <f>IF(E56*C44&lt;=H69,H69,E56*C44)</f>
        <v>14</v>
      </c>
      <c r="F57" s="13">
        <v>0.2</v>
      </c>
    </row>
    <row r="58" spans="1:15" hidden="1">
      <c r="B58" s="1" t="s">
        <v>392</v>
      </c>
      <c r="E58" s="13">
        <f>SUM(F57*E57)</f>
        <v>2.8000000000000003</v>
      </c>
    </row>
    <row r="59" spans="1:15" hidden="1">
      <c r="B59" s="1" t="s">
        <v>402</v>
      </c>
      <c r="E59" s="1">
        <f>+E57-E58</f>
        <v>11.2</v>
      </c>
    </row>
    <row r="60" spans="1:15" hidden="1"/>
    <row r="61" spans="1:15" hidden="1">
      <c r="A61" s="98" t="s">
        <v>410</v>
      </c>
      <c r="B61" s="2"/>
      <c r="C61" s="2"/>
      <c r="E61" s="136" t="str">
        <f>IF('Interest Calculation'!C4&lt;=Rent!J69,"HOME SUBSIDY PER UNIT TEST MET","HOME SUBSIDY PER UNIT TEST NOT MET")</f>
        <v>HOME SUBSIDY PER UNIT TEST NOT MET</v>
      </c>
      <c r="H61" s="259"/>
    </row>
    <row r="62" spans="1:15" hidden="1">
      <c r="A62" s="5"/>
      <c r="D62" s="1" t="s">
        <v>418</v>
      </c>
      <c r="E62" s="12" t="s">
        <v>419</v>
      </c>
      <c r="F62" s="12" t="s">
        <v>418</v>
      </c>
      <c r="G62" s="12" t="s">
        <v>419</v>
      </c>
      <c r="H62" s="260" t="s">
        <v>422</v>
      </c>
      <c r="I62" s="12" t="s">
        <v>414</v>
      </c>
      <c r="J62" s="12" t="s">
        <v>416</v>
      </c>
    </row>
    <row r="63" spans="1:15" hidden="1">
      <c r="A63" s="5"/>
      <c r="C63" s="14" t="s">
        <v>411</v>
      </c>
      <c r="D63" s="14" t="s">
        <v>412</v>
      </c>
      <c r="E63" s="14" t="s">
        <v>412</v>
      </c>
      <c r="F63" s="142" t="s">
        <v>413</v>
      </c>
      <c r="G63" s="142" t="s">
        <v>413</v>
      </c>
      <c r="H63" s="261" t="s">
        <v>423</v>
      </c>
      <c r="I63" s="14" t="s">
        <v>415</v>
      </c>
      <c r="J63" s="14" t="s">
        <v>417</v>
      </c>
    </row>
    <row r="64" spans="1:15" hidden="1">
      <c r="A64" s="1">
        <v>1</v>
      </c>
      <c r="B64" s="1" t="s">
        <v>351</v>
      </c>
      <c r="C64" s="1">
        <f>SUM(C32:C34)</f>
        <v>0</v>
      </c>
      <c r="D64" s="143">
        <f>SUM($C64/$C$69)*$E$58</f>
        <v>0</v>
      </c>
      <c r="E64" s="1">
        <v>0</v>
      </c>
      <c r="F64" s="143">
        <f>SUM($C64/$C$69)*$E$59</f>
        <v>0</v>
      </c>
      <c r="G64" s="1">
        <v>5</v>
      </c>
      <c r="H64" s="260">
        <f>SUM(E64+G64)</f>
        <v>5</v>
      </c>
      <c r="I64" s="1">
        <v>60597</v>
      </c>
      <c r="J64" s="1">
        <f>SUM(H64*I64)</f>
        <v>302985</v>
      </c>
    </row>
    <row r="65" spans="1:10" hidden="1">
      <c r="A65" s="1">
        <v>2</v>
      </c>
      <c r="B65" s="1" t="s">
        <v>351</v>
      </c>
      <c r="C65" s="1">
        <f>SUM(C35:C37)</f>
        <v>44</v>
      </c>
      <c r="D65" s="143">
        <f>SUM($C65/$C$69)*$E$58</f>
        <v>1.7111111111111115</v>
      </c>
      <c r="E65" s="1">
        <v>0</v>
      </c>
      <c r="F65" s="143">
        <f>SUM($C65/$C$69)*$E$59</f>
        <v>6.844444444444445</v>
      </c>
      <c r="G65" s="1">
        <v>5</v>
      </c>
      <c r="H65" s="260">
        <f>SUM(E65+G65)</f>
        <v>5</v>
      </c>
      <c r="I65" s="1">
        <v>125000</v>
      </c>
      <c r="J65" s="1">
        <f>SUM(H65*I65)</f>
        <v>625000</v>
      </c>
    </row>
    <row r="66" spans="1:10" hidden="1">
      <c r="A66" s="1">
        <v>3</v>
      </c>
      <c r="B66" s="1" t="s">
        <v>351</v>
      </c>
      <c r="C66" s="1">
        <f>SUM(C38:C40)</f>
        <v>28</v>
      </c>
      <c r="D66" s="143">
        <f>SUM($C66/$C$69)*$E$58</f>
        <v>1.088888888888889</v>
      </c>
      <c r="E66" s="1">
        <v>0</v>
      </c>
      <c r="F66" s="143">
        <f>SUM($C66/$C$69)*$E$59</f>
        <v>4.3555555555555552</v>
      </c>
      <c r="G66" s="1">
        <v>3</v>
      </c>
      <c r="H66" s="260">
        <f>SUM(E66+G66)</f>
        <v>3</v>
      </c>
      <c r="I66" s="1">
        <v>95325</v>
      </c>
      <c r="J66" s="1">
        <f>SUM(H66*I66)</f>
        <v>285975</v>
      </c>
    </row>
    <row r="67" spans="1:10" hidden="1">
      <c r="A67" s="1">
        <v>4</v>
      </c>
      <c r="B67" s="1" t="s">
        <v>351</v>
      </c>
      <c r="C67" s="2">
        <f>SUM(C41:C43)</f>
        <v>0</v>
      </c>
      <c r="D67" s="144">
        <f>SUM($C67/$C$69)*$E$58</f>
        <v>0</v>
      </c>
      <c r="E67" s="2">
        <v>0</v>
      </c>
      <c r="F67" s="144">
        <f>SUM($C67/$C$69)*$E$59</f>
        <v>0</v>
      </c>
      <c r="G67" s="2">
        <v>1</v>
      </c>
      <c r="H67" s="261">
        <f>SUM(E67+G67)</f>
        <v>1</v>
      </c>
      <c r="I67" s="2">
        <v>104638</v>
      </c>
      <c r="J67" s="2">
        <f>SUM(H67*I67)</f>
        <v>104638</v>
      </c>
    </row>
    <row r="68" spans="1:10" hidden="1">
      <c r="H68" s="260"/>
    </row>
    <row r="69" spans="1:10" hidden="1">
      <c r="C69" s="1">
        <f t="shared" ref="C69:H69" si="7">SUM(C64:C67)</f>
        <v>72</v>
      </c>
      <c r="D69" s="1">
        <f t="shared" si="7"/>
        <v>2.8000000000000007</v>
      </c>
      <c r="E69" s="1">
        <f t="shared" si="7"/>
        <v>0</v>
      </c>
      <c r="F69" s="1">
        <f>SUM(F64:F67)</f>
        <v>11.2</v>
      </c>
      <c r="G69" s="1">
        <f t="shared" si="7"/>
        <v>14</v>
      </c>
      <c r="H69" s="261">
        <f t="shared" si="7"/>
        <v>14</v>
      </c>
      <c r="J69" s="1">
        <f>SUM(J64:J67)</f>
        <v>1318598</v>
      </c>
    </row>
    <row r="70" spans="1:10" hidden="1"/>
    <row r="71" spans="1:10" hidden="1"/>
    <row r="72" spans="1:10" hidden="1"/>
    <row r="73" spans="1:10" hidden="1"/>
    <row r="74" spans="1:10" hidden="1">
      <c r="C74" s="185">
        <f>+C35/C44</f>
        <v>0</v>
      </c>
    </row>
    <row r="76" spans="1:10" hidden="1"/>
    <row r="77" spans="1:10" hidden="1">
      <c r="A77" s="300" t="s">
        <v>1044</v>
      </c>
      <c r="C77" s="1">
        <v>24</v>
      </c>
    </row>
    <row r="78" spans="1:10" hidden="1"/>
    <row r="79" spans="1:10" hidden="1">
      <c r="A79" s="300" t="s">
        <v>1046</v>
      </c>
      <c r="C79" s="52" t="e">
        <f>SUM('Modeling Assp Wkst'!N79/'Sources &amp; Uses'!I11)*'Sources &amp; Uses'!E1</f>
        <v>#DIV/0!</v>
      </c>
      <c r="E79" s="300" t="s">
        <v>1047</v>
      </c>
    </row>
    <row r="80" spans="1:10" hidden="1">
      <c r="A80" s="550" t="s">
        <v>1064</v>
      </c>
      <c r="B80" s="551"/>
      <c r="C80" s="551"/>
    </row>
    <row r="81" spans="1:4" hidden="1">
      <c r="A81" s="300" t="s">
        <v>1050</v>
      </c>
      <c r="D81" s="1">
        <v>158990</v>
      </c>
    </row>
    <row r="82" spans="1:4" hidden="1">
      <c r="A82" s="300" t="s">
        <v>1051</v>
      </c>
      <c r="D82" s="1">
        <f>+C34</f>
        <v>0</v>
      </c>
    </row>
    <row r="83" spans="1:4" hidden="1">
      <c r="A83" s="300" t="s">
        <v>1052</v>
      </c>
      <c r="D83" s="1">
        <f>+D81*D82</f>
        <v>0</v>
      </c>
    </row>
    <row r="84" spans="1:4" hidden="1">
      <c r="A84" s="300" t="s">
        <v>1053</v>
      </c>
      <c r="D84" s="1">
        <f>+'Sources &amp; Uses'!V19</f>
        <v>1388100</v>
      </c>
    </row>
    <row r="85" spans="1:4" hidden="1">
      <c r="A85" s="300" t="s">
        <v>1063</v>
      </c>
      <c r="D85" s="384" t="str">
        <f>IF(D84&lt;=D83,"OK","ERROR")</f>
        <v>ERROR</v>
      </c>
    </row>
    <row r="86" spans="1:4" hidden="1"/>
  </sheetData>
  <mergeCells count="2">
    <mergeCell ref="I18:J18"/>
    <mergeCell ref="A80:C80"/>
  </mergeCells>
  <phoneticPr fontId="0" type="noConversion"/>
  <pageMargins left="0.75" right="0.75" top="1" bottom="1" header="0.5" footer="0.5"/>
  <pageSetup scale="57" orientation="portrait" horizontalDpi="4294967292" r:id="rId1"/>
  <headerFooter alignWithMargins="0">
    <oddFooter>&amp;L
&amp;D&amp;CThis presentation is for internal use only and should not be used for any other purposes.
&amp;T&amp;R
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pageSetUpPr fitToPage="1"/>
  </sheetPr>
  <dimension ref="A1:H14"/>
  <sheetViews>
    <sheetView workbookViewId="0"/>
  </sheetViews>
  <sheetFormatPr defaultColWidth="8.85546875" defaultRowHeight="12.75"/>
  <cols>
    <col min="5" max="5" width="11" customWidth="1"/>
  </cols>
  <sheetData>
    <row r="1" spans="1:8">
      <c r="A1" s="1" t="str">
        <f>+'Sources &amp; Uses'!A1</f>
        <v>Lamar Building</v>
      </c>
    </row>
    <row r="3" spans="1:8">
      <c r="A3" s="31" t="s">
        <v>142</v>
      </c>
    </row>
    <row r="5" spans="1:8">
      <c r="A5" t="s">
        <v>143</v>
      </c>
    </row>
    <row r="7" spans="1:8">
      <c r="A7" s="32" t="s">
        <v>237</v>
      </c>
      <c r="C7" s="67">
        <v>200</v>
      </c>
      <c r="E7" s="1">
        <f>SUM(C7*Rent!C44)</f>
        <v>14400</v>
      </c>
    </row>
    <row r="8" spans="1:8">
      <c r="E8" s="1"/>
    </row>
    <row r="9" spans="1:8">
      <c r="A9" t="s">
        <v>238</v>
      </c>
      <c r="C9" s="51">
        <v>0.01</v>
      </c>
      <c r="E9" s="11">
        <f>SUM(C9*('Sources &amp; Uses'!F24+'Sources &amp; Uses'!F20+'Sources &amp; Uses'!F25))</f>
        <v>154629.27380000002</v>
      </c>
      <c r="H9" s="33"/>
    </row>
    <row r="12" spans="1:8">
      <c r="A12" t="s">
        <v>239</v>
      </c>
      <c r="E12" s="1">
        <f>+E9</f>
        <v>154629.27380000002</v>
      </c>
    </row>
    <row r="14" spans="1:8">
      <c r="A14" t="s">
        <v>240</v>
      </c>
      <c r="E14" s="87">
        <f>SUM(E12/Rent!C44)</f>
        <v>2147.6288027777782</v>
      </c>
    </row>
  </sheetData>
  <phoneticPr fontId="0" type="noConversion"/>
  <pageMargins left="0.75" right="0.75" top="1" bottom="1" header="0.5" footer="0.5"/>
  <pageSetup orientation="portrait" horizontalDpi="4294967292" r:id="rId1"/>
  <headerFooter alignWithMargins="0">
    <oddFooter>&amp;L&amp;D&amp;T&amp;C&amp;F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pageSetUpPr fitToPage="1"/>
  </sheetPr>
  <dimension ref="A1:V265"/>
  <sheetViews>
    <sheetView workbookViewId="0"/>
  </sheetViews>
  <sheetFormatPr defaultColWidth="8.85546875" defaultRowHeight="12.75"/>
  <cols>
    <col min="1" max="1" width="36.140625" customWidth="1"/>
    <col min="2" max="2" width="4" customWidth="1"/>
    <col min="3" max="3" width="13" customWidth="1"/>
    <col min="4" max="4" width="10.7109375" customWidth="1"/>
    <col min="5" max="5" width="11.42578125" customWidth="1"/>
    <col min="6" max="6" width="10.7109375" customWidth="1"/>
    <col min="7" max="7" width="10.42578125" customWidth="1"/>
    <col min="8" max="9" width="10" customWidth="1"/>
    <col min="12" max="12" width="9.42578125" customWidth="1"/>
    <col min="13" max="13" width="10.42578125" customWidth="1"/>
    <col min="14" max="17" width="10.7109375" customWidth="1"/>
    <col min="19" max="21" width="0" hidden="1" customWidth="1"/>
    <col min="22" max="22" width="14.42578125" customWidth="1"/>
  </cols>
  <sheetData>
    <row r="1" spans="1:7">
      <c r="A1" s="1" t="str">
        <f>+'Sources &amp; Uses'!A1</f>
        <v>Lamar Building</v>
      </c>
    </row>
    <row r="2" spans="1:7">
      <c r="C2" s="34"/>
      <c r="D2" s="34" t="s">
        <v>618</v>
      </c>
      <c r="F2" s="34" t="s">
        <v>276</v>
      </c>
    </row>
    <row r="3" spans="1:7">
      <c r="C3" s="34" t="s">
        <v>243</v>
      </c>
      <c r="D3" s="34" t="s">
        <v>619</v>
      </c>
      <c r="F3" s="34" t="s">
        <v>619</v>
      </c>
    </row>
    <row r="4" spans="1:7">
      <c r="A4" s="78" t="s">
        <v>244</v>
      </c>
      <c r="B4" s="79"/>
      <c r="C4" s="80">
        <f t="shared" ref="C4:C37" si="0">SUM(D4*$F$41)</f>
        <v>1558462.06184806</v>
      </c>
      <c r="D4" s="81">
        <v>0.100787</v>
      </c>
      <c r="E4" s="79"/>
      <c r="F4" s="82">
        <f>+C4/C$41</f>
        <v>0.10078699999999999</v>
      </c>
      <c r="G4" s="79"/>
    </row>
    <row r="5" spans="1:7">
      <c r="A5" s="78" t="s">
        <v>245</v>
      </c>
      <c r="B5" s="79"/>
      <c r="C5" s="80">
        <f t="shared" si="0"/>
        <v>157690.93342124001</v>
      </c>
      <c r="D5" s="81">
        <v>1.0198E-2</v>
      </c>
      <c r="E5" s="79"/>
      <c r="F5" s="82"/>
      <c r="G5" s="79"/>
    </row>
    <row r="6" spans="1:7">
      <c r="A6" s="78" t="s">
        <v>246</v>
      </c>
      <c r="B6" s="79"/>
      <c r="C6" s="80">
        <f t="shared" si="0"/>
        <v>145320.59151724001</v>
      </c>
      <c r="D6" s="81">
        <v>9.3980000000000001E-3</v>
      </c>
      <c r="E6" s="79"/>
      <c r="F6" s="82"/>
      <c r="G6" s="79"/>
    </row>
    <row r="7" spans="1:7">
      <c r="A7" s="78" t="s">
        <v>247</v>
      </c>
      <c r="B7" s="79"/>
      <c r="C7" s="80">
        <f t="shared" si="0"/>
        <v>2966949.1910374998</v>
      </c>
      <c r="D7" s="81">
        <v>0.19187499999999999</v>
      </c>
      <c r="E7" s="79"/>
      <c r="F7" s="82"/>
      <c r="G7" s="79"/>
    </row>
    <row r="8" spans="1:7">
      <c r="A8" s="78" t="s">
        <v>248</v>
      </c>
      <c r="B8" s="79"/>
      <c r="C8" s="80">
        <f t="shared" si="0"/>
        <v>1818208.3159773001</v>
      </c>
      <c r="D8" s="81">
        <v>0.117585</v>
      </c>
      <c r="E8" s="79"/>
      <c r="F8" s="82"/>
      <c r="G8" s="79"/>
    </row>
    <row r="9" spans="1:7">
      <c r="A9" s="78" t="s">
        <v>249</v>
      </c>
      <c r="B9" s="79"/>
      <c r="C9" s="80">
        <f t="shared" si="0"/>
        <v>0</v>
      </c>
      <c r="D9" s="81">
        <v>0</v>
      </c>
      <c r="E9" s="79"/>
      <c r="F9" s="82"/>
      <c r="G9" s="79"/>
    </row>
    <row r="10" spans="1:7">
      <c r="A10" s="78" t="s">
        <v>250</v>
      </c>
      <c r="B10" s="79"/>
      <c r="C10" s="80">
        <f t="shared" si="0"/>
        <v>310758.45155586</v>
      </c>
      <c r="D10" s="81">
        <v>2.0097E-2</v>
      </c>
      <c r="E10" s="79"/>
      <c r="F10" s="82"/>
      <c r="G10" s="79"/>
    </row>
    <row r="11" spans="1:7">
      <c r="A11" s="78" t="s">
        <v>251</v>
      </c>
      <c r="B11" s="79"/>
      <c r="C11" s="80">
        <f t="shared" si="0"/>
        <v>338591.72083986003</v>
      </c>
      <c r="D11" s="81">
        <v>2.1897E-2</v>
      </c>
      <c r="E11" s="79"/>
      <c r="F11" s="82"/>
      <c r="G11" s="79"/>
    </row>
    <row r="12" spans="1:7">
      <c r="A12" s="78" t="s">
        <v>252</v>
      </c>
      <c r="B12" s="79"/>
      <c r="C12" s="80">
        <f t="shared" si="0"/>
        <v>123687.95611262</v>
      </c>
      <c r="D12" s="81">
        <v>7.9989999999999992E-3</v>
      </c>
      <c r="E12" s="79"/>
      <c r="F12" s="82"/>
      <c r="G12" s="79"/>
    </row>
    <row r="13" spans="1:7">
      <c r="A13" s="78" t="s">
        <v>253</v>
      </c>
      <c r="B13" s="79"/>
      <c r="C13" s="80">
        <f t="shared" si="0"/>
        <v>231943.91070000001</v>
      </c>
      <c r="D13" s="81">
        <v>1.4999999999999999E-2</v>
      </c>
      <c r="E13" s="79"/>
      <c r="F13" s="82"/>
      <c r="G13" s="79"/>
    </row>
    <row r="14" spans="1:7">
      <c r="A14" s="78" t="s">
        <v>254</v>
      </c>
      <c r="B14" s="79"/>
      <c r="C14" s="80">
        <f t="shared" si="0"/>
        <v>299934.40238986001</v>
      </c>
      <c r="D14" s="81">
        <v>1.9397000000000001E-2</v>
      </c>
      <c r="E14" s="79"/>
      <c r="F14" s="82"/>
      <c r="G14" s="79"/>
    </row>
    <row r="15" spans="1:7">
      <c r="A15" s="78" t="s">
        <v>255</v>
      </c>
      <c r="B15" s="79"/>
      <c r="C15" s="80">
        <f t="shared" si="0"/>
        <v>0</v>
      </c>
      <c r="D15" s="81">
        <v>0</v>
      </c>
      <c r="E15" s="79"/>
      <c r="F15" s="82"/>
      <c r="G15" s="79"/>
    </row>
    <row r="16" spans="1:7">
      <c r="A16" s="78" t="s">
        <v>256</v>
      </c>
      <c r="B16" s="79"/>
      <c r="C16" s="80">
        <f t="shared" si="0"/>
        <v>927775.64280000003</v>
      </c>
      <c r="D16" s="81">
        <v>0.06</v>
      </c>
      <c r="E16" s="79"/>
      <c r="F16" s="82"/>
      <c r="G16" s="79"/>
    </row>
    <row r="17" spans="1:7">
      <c r="A17" s="78" t="s">
        <v>257</v>
      </c>
      <c r="B17" s="79"/>
      <c r="C17" s="80">
        <f t="shared" si="0"/>
        <v>0</v>
      </c>
      <c r="D17" s="81">
        <v>0</v>
      </c>
      <c r="E17" s="79"/>
      <c r="F17" s="82"/>
      <c r="G17" s="79"/>
    </row>
    <row r="18" spans="1:7">
      <c r="A18" s="78" t="s">
        <v>258</v>
      </c>
      <c r="B18" s="79"/>
      <c r="C18" s="80">
        <f t="shared" si="0"/>
        <v>0</v>
      </c>
      <c r="D18" s="81">
        <v>0</v>
      </c>
      <c r="E18" s="79"/>
      <c r="F18" s="82"/>
      <c r="G18" s="79"/>
    </row>
    <row r="19" spans="1:7">
      <c r="A19" s="78" t="s">
        <v>259</v>
      </c>
      <c r="B19" s="79"/>
      <c r="C19" s="80">
        <f t="shared" si="0"/>
        <v>0</v>
      </c>
      <c r="D19" s="81">
        <v>0</v>
      </c>
      <c r="E19" s="79"/>
      <c r="F19" s="82"/>
      <c r="G19" s="79"/>
    </row>
    <row r="20" spans="1:7">
      <c r="A20" s="78" t="s">
        <v>260</v>
      </c>
      <c r="B20" s="79"/>
      <c r="C20" s="80">
        <f t="shared" si="0"/>
        <v>669451.97798972006</v>
      </c>
      <c r="D20" s="81">
        <v>4.3293999999999999E-2</v>
      </c>
      <c r="E20" s="79"/>
      <c r="F20" s="82"/>
      <c r="G20" s="79"/>
    </row>
    <row r="21" spans="1:7">
      <c r="A21" s="78" t="s">
        <v>651</v>
      </c>
      <c r="B21" s="79"/>
      <c r="C21" s="80">
        <f t="shared" si="0"/>
        <v>0</v>
      </c>
      <c r="D21" s="81">
        <v>0</v>
      </c>
      <c r="E21" s="79"/>
      <c r="F21" s="82"/>
      <c r="G21" s="79"/>
    </row>
    <row r="22" spans="1:7">
      <c r="A22" s="78" t="s">
        <v>261</v>
      </c>
      <c r="B22" s="79"/>
      <c r="C22" s="80">
        <f t="shared" si="0"/>
        <v>0</v>
      </c>
      <c r="D22" s="81">
        <v>0</v>
      </c>
      <c r="E22" s="79"/>
      <c r="F22" s="82"/>
      <c r="G22" s="79"/>
    </row>
    <row r="23" spans="1:7">
      <c r="A23" s="78" t="s">
        <v>262</v>
      </c>
      <c r="B23" s="79"/>
      <c r="C23" s="80">
        <f t="shared" si="0"/>
        <v>355600.94095786003</v>
      </c>
      <c r="D23" s="81">
        <v>2.2997E-2</v>
      </c>
      <c r="E23" s="79"/>
      <c r="F23" s="82"/>
      <c r="G23" s="79"/>
    </row>
    <row r="24" spans="1:7">
      <c r="A24" s="78" t="s">
        <v>263</v>
      </c>
      <c r="B24" s="79"/>
      <c r="C24" s="80">
        <f t="shared" si="0"/>
        <v>315397.32976986002</v>
      </c>
      <c r="D24" s="81">
        <v>2.0396999999999998E-2</v>
      </c>
      <c r="E24" s="79"/>
      <c r="F24" s="82"/>
      <c r="G24" s="79"/>
    </row>
    <row r="25" spans="1:7">
      <c r="A25" s="78" t="s">
        <v>264</v>
      </c>
      <c r="B25" s="79"/>
      <c r="C25" s="80">
        <f t="shared" si="0"/>
        <v>92777.564280000006</v>
      </c>
      <c r="D25" s="81">
        <v>6.0000000000000001E-3</v>
      </c>
      <c r="E25" s="79"/>
      <c r="F25" s="82"/>
      <c r="G25" s="79"/>
    </row>
    <row r="26" spans="1:7">
      <c r="A26" s="78" t="s">
        <v>265</v>
      </c>
      <c r="B26" s="79"/>
      <c r="C26" s="80">
        <f t="shared" si="0"/>
        <v>432900.11493048002</v>
      </c>
      <c r="D26" s="81">
        <v>2.7996E-2</v>
      </c>
      <c r="E26" s="79"/>
      <c r="F26" s="82"/>
      <c r="G26" s="79"/>
    </row>
    <row r="27" spans="1:7">
      <c r="A27" s="78" t="s">
        <v>266</v>
      </c>
      <c r="B27" s="79"/>
      <c r="C27" s="80">
        <f t="shared" si="0"/>
        <v>0</v>
      </c>
      <c r="D27" s="81">
        <v>0</v>
      </c>
      <c r="E27" s="79"/>
      <c r="F27" s="82"/>
      <c r="G27" s="79"/>
    </row>
    <row r="28" spans="1:7">
      <c r="A28" s="78" t="s">
        <v>267</v>
      </c>
      <c r="B28" s="79"/>
      <c r="C28" s="80">
        <f t="shared" si="0"/>
        <v>0</v>
      </c>
      <c r="D28" s="81">
        <v>0</v>
      </c>
      <c r="E28" s="79"/>
      <c r="F28" s="82"/>
      <c r="G28" s="79"/>
    </row>
    <row r="29" spans="1:7">
      <c r="A29" s="78" t="s">
        <v>268</v>
      </c>
      <c r="B29" s="79"/>
      <c r="C29" s="80">
        <f t="shared" si="0"/>
        <v>907550.13378696004</v>
      </c>
      <c r="D29" s="81">
        <v>5.8692000000000001E-2</v>
      </c>
      <c r="E29" s="79"/>
      <c r="F29" s="82"/>
      <c r="G29" s="79"/>
    </row>
    <row r="30" spans="1:7">
      <c r="A30" s="78" t="s">
        <v>269</v>
      </c>
      <c r="B30" s="79"/>
      <c r="C30" s="80">
        <f t="shared" si="0"/>
        <v>298388.10965186002</v>
      </c>
      <c r="D30" s="81">
        <v>1.9297000000000002E-2</v>
      </c>
      <c r="E30" s="79"/>
      <c r="F30" s="82"/>
      <c r="G30" s="79"/>
    </row>
    <row r="31" spans="1:7">
      <c r="A31" s="78" t="s">
        <v>270</v>
      </c>
      <c r="B31" s="79"/>
      <c r="C31" s="80">
        <f t="shared" si="0"/>
        <v>298388.10965186002</v>
      </c>
      <c r="D31" s="81">
        <v>1.9297000000000002E-2</v>
      </c>
      <c r="E31" s="79"/>
      <c r="F31" s="82"/>
      <c r="G31" s="79"/>
    </row>
    <row r="32" spans="1:7">
      <c r="A32" s="78" t="s">
        <v>271</v>
      </c>
      <c r="B32" s="79"/>
      <c r="C32" s="80">
        <f t="shared" si="0"/>
        <v>697285.2472737201</v>
      </c>
      <c r="D32" s="81">
        <v>4.5094000000000002E-2</v>
      </c>
      <c r="E32" s="79"/>
      <c r="F32" s="82"/>
      <c r="G32" s="79"/>
    </row>
    <row r="33" spans="1:7">
      <c r="A33" s="78" t="s">
        <v>272</v>
      </c>
      <c r="B33" s="79"/>
      <c r="C33" s="80">
        <f t="shared" si="0"/>
        <v>853429.88795696001</v>
      </c>
      <c r="D33" s="81">
        <v>5.5191999999999998E-2</v>
      </c>
      <c r="E33" s="79"/>
      <c r="F33" s="82"/>
      <c r="G33" s="79"/>
    </row>
    <row r="34" spans="1:7">
      <c r="A34" s="78" t="s">
        <v>273</v>
      </c>
      <c r="B34" s="79"/>
      <c r="C34" s="80">
        <f t="shared" si="0"/>
        <v>332452.93867</v>
      </c>
      <c r="D34" s="81">
        <v>2.1499999999999998E-2</v>
      </c>
      <c r="E34" s="79"/>
      <c r="F34" s="82"/>
      <c r="G34" s="79"/>
    </row>
    <row r="35" spans="1:7">
      <c r="A35" s="78" t="s">
        <v>274</v>
      </c>
      <c r="B35" s="79"/>
      <c r="C35" s="80">
        <f t="shared" si="0"/>
        <v>961422.97277888004</v>
      </c>
      <c r="D35" s="81">
        <v>6.2176000000000002E-2</v>
      </c>
      <c r="E35" s="79"/>
      <c r="F35" s="82"/>
      <c r="G35" s="79"/>
    </row>
    <row r="36" spans="1:7">
      <c r="A36" s="78" t="s">
        <v>652</v>
      </c>
      <c r="B36" s="79"/>
      <c r="C36" s="80">
        <f t="shared" si="0"/>
        <v>0</v>
      </c>
      <c r="D36" s="81">
        <v>0</v>
      </c>
      <c r="E36" s="79"/>
      <c r="F36" s="82"/>
      <c r="G36" s="79"/>
    </row>
    <row r="37" spans="1:7">
      <c r="A37" s="78" t="s">
        <v>275</v>
      </c>
      <c r="B37" s="79"/>
      <c r="C37" s="80">
        <f t="shared" si="0"/>
        <v>368558.87410229997</v>
      </c>
      <c r="D37" s="81">
        <v>2.3834999999999999E-2</v>
      </c>
      <c r="E37" s="79" t="s">
        <v>276</v>
      </c>
      <c r="F37" s="82"/>
      <c r="G37" s="79"/>
    </row>
    <row r="38" spans="1:7">
      <c r="A38" s="78" t="s">
        <v>277</v>
      </c>
      <c r="B38" s="79"/>
      <c r="C38" s="80"/>
      <c r="D38" s="81"/>
      <c r="E38" s="79"/>
      <c r="F38" s="82"/>
      <c r="G38" s="79"/>
    </row>
    <row r="39" spans="1:7">
      <c r="A39" s="78" t="s">
        <v>278</v>
      </c>
      <c r="B39" s="79"/>
      <c r="C39" s="80" t="s">
        <v>279</v>
      </c>
      <c r="D39" s="81" t="s">
        <v>279</v>
      </c>
      <c r="E39" s="79"/>
      <c r="F39" s="82"/>
      <c r="G39" s="79"/>
    </row>
    <row r="40" spans="1:7">
      <c r="A40" s="78" t="s">
        <v>280</v>
      </c>
      <c r="B40" s="79"/>
      <c r="C40" s="82">
        <v>0</v>
      </c>
      <c r="D40" s="81"/>
      <c r="E40" s="79"/>
      <c r="F40" s="82"/>
      <c r="G40" s="79"/>
    </row>
    <row r="41" spans="1:7">
      <c r="A41" s="78" t="s">
        <v>281</v>
      </c>
      <c r="B41" s="79"/>
      <c r="C41" s="82">
        <f>ROUND(SUM(C4:C40),2)</f>
        <v>15462927.380000001</v>
      </c>
      <c r="D41" s="81">
        <f>SUM(D4:D39)</f>
        <v>1</v>
      </c>
      <c r="E41" s="79"/>
      <c r="F41" s="82">
        <f>+'Sources &amp; Uses'!F24+'Sources &amp; Uses'!F25</f>
        <v>15462927.380000001</v>
      </c>
      <c r="G41" s="79"/>
    </row>
    <row r="42" spans="1:7">
      <c r="A42" s="78" t="s">
        <v>282</v>
      </c>
      <c r="B42" s="79"/>
      <c r="C42" s="82">
        <f>+'Sources &amp; Uses'!F26</f>
        <v>289026.68</v>
      </c>
      <c r="D42" s="81">
        <f>+C42/C41</f>
        <v>1.8691588785046728E-2</v>
      </c>
      <c r="E42" s="79"/>
      <c r="F42" s="82"/>
      <c r="G42" s="79"/>
    </row>
    <row r="43" spans="1:7">
      <c r="A43" s="78" t="s">
        <v>283</v>
      </c>
      <c r="B43" s="79"/>
      <c r="C43" s="82">
        <f>+'Sources &amp; Uses'!F31</f>
        <v>221105.41019999998</v>
      </c>
      <c r="D43" s="81">
        <f>+C43/C41</f>
        <v>1.4299065420560746E-2</v>
      </c>
      <c r="E43" s="79"/>
      <c r="F43" s="82"/>
      <c r="G43" s="79"/>
    </row>
    <row r="44" spans="1:7">
      <c r="A44" s="78" t="s">
        <v>320</v>
      </c>
      <c r="B44" s="79"/>
      <c r="C44" s="82"/>
      <c r="D44" s="81"/>
      <c r="E44" s="79"/>
      <c r="F44" s="82"/>
      <c r="G44" s="79"/>
    </row>
    <row r="45" spans="1:7">
      <c r="A45" s="78"/>
      <c r="B45" s="79"/>
      <c r="C45" s="82" t="s">
        <v>279</v>
      </c>
      <c r="D45" s="81"/>
      <c r="E45" s="79"/>
      <c r="F45" s="82"/>
      <c r="G45" s="79"/>
    </row>
    <row r="46" spans="1:7">
      <c r="A46" t="s">
        <v>243</v>
      </c>
      <c r="B46" s="79"/>
      <c r="C46" s="83">
        <f>SUM(C41:C45)</f>
        <v>15973059.4702</v>
      </c>
      <c r="D46" s="84"/>
      <c r="E46" s="79"/>
      <c r="F46" s="82"/>
      <c r="G46" s="79"/>
    </row>
    <row r="47" spans="1:7">
      <c r="A47" s="78" t="s">
        <v>22</v>
      </c>
      <c r="C47" s="237">
        <f>+'Sources &amp; Uses'!F30</f>
        <v>722566.70000000007</v>
      </c>
      <c r="D47" s="78">
        <f>+C47/C41</f>
        <v>4.6728971962616828E-2</v>
      </c>
      <c r="F47" s="85"/>
    </row>
    <row r="48" spans="1:7">
      <c r="A48" t="s">
        <v>653</v>
      </c>
      <c r="C48" s="49">
        <f>SUM(C46:C47)</f>
        <v>16695626.1702</v>
      </c>
    </row>
    <row r="49" spans="1:6">
      <c r="A49" t="s">
        <v>320</v>
      </c>
      <c r="C49">
        <v>0</v>
      </c>
    </row>
    <row r="50" spans="1:6" ht="13.5" thickBot="1">
      <c r="A50" t="s">
        <v>654</v>
      </c>
      <c r="C50" s="248">
        <f>+C48+C49</f>
        <v>16695626.1702</v>
      </c>
    </row>
    <row r="51" spans="1:6" ht="13.5" thickTop="1"/>
    <row r="52" spans="1:6">
      <c r="A52" t="s">
        <v>284</v>
      </c>
    </row>
    <row r="53" spans="1:6">
      <c r="A53" t="s">
        <v>285</v>
      </c>
      <c r="C53" s="49">
        <f>SUM($F$63*D53)</f>
        <v>179899.58919457239</v>
      </c>
      <c r="D53" s="86">
        <f>SUM(65000/104429)</f>
        <v>0.62243246607743064</v>
      </c>
    </row>
    <row r="54" spans="1:6">
      <c r="A54" t="s">
        <v>286</v>
      </c>
      <c r="C54" s="49">
        <f t="shared" ref="C54:C61" si="1">SUM($F$63*D54)</f>
        <v>17989.95891945724</v>
      </c>
      <c r="D54" s="86">
        <f>SUM(6500/104429)</f>
        <v>6.2243246607743059E-2</v>
      </c>
    </row>
    <row r="55" spans="1:6">
      <c r="A55" t="s">
        <v>287</v>
      </c>
      <c r="C55" s="49">
        <f t="shared" si="1"/>
        <v>20757.644907066042</v>
      </c>
      <c r="D55" s="86">
        <f>SUM(7500/104429)</f>
        <v>7.181913070124199E-2</v>
      </c>
    </row>
    <row r="56" spans="1:6">
      <c r="A56" t="s">
        <v>288</v>
      </c>
      <c r="C56" s="49">
        <f t="shared" si="1"/>
        <v>12454.586944239627</v>
      </c>
      <c r="D56" s="86">
        <f>SUM(4500/104429)</f>
        <v>4.3091478420745198E-2</v>
      </c>
    </row>
    <row r="57" spans="1:6">
      <c r="A57" t="s">
        <v>289</v>
      </c>
      <c r="C57" s="49">
        <f t="shared" si="1"/>
        <v>17989.95891945724</v>
      </c>
      <c r="D57" s="86">
        <f>SUM(6500/104429)</f>
        <v>6.2243246607743059E-2</v>
      </c>
    </row>
    <row r="58" spans="1:6">
      <c r="A58" t="s">
        <v>290</v>
      </c>
      <c r="C58" s="49">
        <f t="shared" si="1"/>
        <v>13423.277039902709</v>
      </c>
      <c r="D58" s="86">
        <f>SUM(4850/104429)</f>
        <v>4.6443037853469822E-2</v>
      </c>
    </row>
    <row r="59" spans="1:6">
      <c r="A59" t="s">
        <v>291</v>
      </c>
      <c r="C59" s="49">
        <f t="shared" si="1"/>
        <v>17989.95891945724</v>
      </c>
      <c r="D59" s="86">
        <f>SUM(6500/104429)</f>
        <v>6.2243246607743059E-2</v>
      </c>
    </row>
    <row r="60" spans="1:6">
      <c r="A60" t="s">
        <v>292</v>
      </c>
      <c r="C60" s="49">
        <f t="shared" si="1"/>
        <v>5754.0191682387076</v>
      </c>
      <c r="D60" s="86">
        <f>SUM(2079/104429)</f>
        <v>1.9908263030384281E-2</v>
      </c>
    </row>
    <row r="61" spans="1:6">
      <c r="A61" t="s">
        <v>293</v>
      </c>
      <c r="C61" s="49">
        <f t="shared" si="1"/>
        <v>2767.685987608806</v>
      </c>
      <c r="D61" s="86">
        <f>SUM(1000/104429)</f>
        <v>9.5758840934989323E-3</v>
      </c>
    </row>
    <row r="63" spans="1:6">
      <c r="A63" t="s">
        <v>91</v>
      </c>
      <c r="C63" s="87">
        <f>SUM(C53:C61)</f>
        <v>289026.67999999993</v>
      </c>
      <c r="D63" s="86">
        <f>SUM(D53:D61)</f>
        <v>1</v>
      </c>
      <c r="F63" s="49">
        <f>SUM(+C42)</f>
        <v>289026.68</v>
      </c>
    </row>
    <row r="65" spans="1:22" hidden="1">
      <c r="C65" s="34"/>
      <c r="D65" s="34"/>
      <c r="E65" s="238" t="s">
        <v>419</v>
      </c>
      <c r="F65" s="238" t="s">
        <v>465</v>
      </c>
      <c r="G65" s="238" t="s">
        <v>465</v>
      </c>
      <c r="H65" s="238" t="s">
        <v>465</v>
      </c>
      <c r="I65" s="238" t="s">
        <v>465</v>
      </c>
      <c r="J65" s="238" t="s">
        <v>465</v>
      </c>
      <c r="K65" s="238" t="s">
        <v>465</v>
      </c>
      <c r="L65" s="238" t="s">
        <v>465</v>
      </c>
      <c r="M65" s="238" t="s">
        <v>465</v>
      </c>
      <c r="N65" s="238" t="s">
        <v>465</v>
      </c>
      <c r="O65" s="238" t="s">
        <v>465</v>
      </c>
      <c r="P65" s="238" t="s">
        <v>465</v>
      </c>
      <c r="Q65" s="238" t="s">
        <v>465</v>
      </c>
      <c r="R65" s="238" t="s">
        <v>465</v>
      </c>
      <c r="S65" s="238" t="s">
        <v>465</v>
      </c>
      <c r="T65" s="238" t="s">
        <v>465</v>
      </c>
      <c r="U65" s="238" t="s">
        <v>465</v>
      </c>
      <c r="V65" s="238" t="s">
        <v>630</v>
      </c>
    </row>
    <row r="66" spans="1:22" hidden="1">
      <c r="A66" t="s">
        <v>620</v>
      </c>
      <c r="C66" s="149" t="s">
        <v>91</v>
      </c>
      <c r="D66" s="149" t="s">
        <v>627</v>
      </c>
      <c r="E66" s="149" t="s">
        <v>91</v>
      </c>
      <c r="F66" s="35">
        <v>1</v>
      </c>
      <c r="G66" s="35">
        <v>2</v>
      </c>
      <c r="H66" s="35">
        <v>3</v>
      </c>
      <c r="I66" s="35">
        <v>4</v>
      </c>
      <c r="J66" s="35">
        <v>5</v>
      </c>
      <c r="K66" s="35">
        <v>6</v>
      </c>
      <c r="L66" s="35">
        <v>7</v>
      </c>
      <c r="M66" s="35">
        <v>8</v>
      </c>
      <c r="N66" s="35">
        <v>9</v>
      </c>
      <c r="O66" s="35">
        <v>10</v>
      </c>
      <c r="P66" s="35">
        <v>11</v>
      </c>
      <c r="Q66" s="35">
        <v>12</v>
      </c>
      <c r="R66" s="35">
        <v>13</v>
      </c>
      <c r="V66" s="149" t="s">
        <v>631</v>
      </c>
    </row>
    <row r="67" spans="1:22" hidden="1"/>
    <row r="68" spans="1:22" hidden="1"/>
    <row r="69" spans="1:22" hidden="1">
      <c r="A69" t="str">
        <f>+A4</f>
        <v>Concrete</v>
      </c>
      <c r="B69" t="s">
        <v>641</v>
      </c>
      <c r="C69" s="21">
        <f>+C4</f>
        <v>1558462.06184806</v>
      </c>
      <c r="D69" s="21"/>
      <c r="E69" s="21">
        <f>SUM(C69:D69)</f>
        <v>1558462.06184806</v>
      </c>
      <c r="F69" s="21"/>
      <c r="G69" s="240"/>
      <c r="H69" s="21">
        <v>180880</v>
      </c>
      <c r="I69" s="21">
        <v>320400</v>
      </c>
      <c r="J69" s="21">
        <v>120460</v>
      </c>
      <c r="K69" s="21">
        <v>67111</v>
      </c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>
        <f>SUM(E69-F69-G69-I69-J69-H69-K69-L69-M69-N69-R69-O69-P69-Q69)</f>
        <v>869611.06184806</v>
      </c>
    </row>
    <row r="70" spans="1:22" hidden="1">
      <c r="A70" t="str">
        <f t="shared" ref="A70:A105" si="2">+A5</f>
        <v>Masonry</v>
      </c>
      <c r="B70" t="s">
        <v>549</v>
      </c>
      <c r="C70" s="21">
        <f t="shared" ref="C70:C105" si="3">+C5</f>
        <v>157690.93342124001</v>
      </c>
      <c r="D70" s="21"/>
      <c r="E70" s="21">
        <f t="shared" ref="E70:E111" si="4">SUM(C70:D70)</f>
        <v>157690.93342124001</v>
      </c>
      <c r="F70" s="21"/>
      <c r="G70" s="21"/>
      <c r="H70" s="240"/>
      <c r="I70" s="21"/>
      <c r="J70" s="21"/>
      <c r="K70" s="21"/>
      <c r="L70" s="21"/>
      <c r="M70" s="21">
        <v>127500</v>
      </c>
      <c r="N70" s="21">
        <v>119085</v>
      </c>
      <c r="O70" s="21"/>
      <c r="P70" s="21"/>
      <c r="Q70" s="21"/>
      <c r="R70" s="21"/>
      <c r="S70" s="21"/>
      <c r="T70" s="21"/>
      <c r="U70" s="21"/>
      <c r="V70" s="21">
        <f t="shared" ref="V70:V111" si="5">SUM(E70-F70-G70-I70-J70-H70-K70-L70-M70-N70-R70-O70-P70-Q70)</f>
        <v>-88894.066578759986</v>
      </c>
    </row>
    <row r="71" spans="1:22" hidden="1">
      <c r="A71" t="str">
        <f t="shared" si="2"/>
        <v>Metals</v>
      </c>
      <c r="B71" t="s">
        <v>549</v>
      </c>
      <c r="C71" s="21">
        <f t="shared" si="3"/>
        <v>145320.59151724001</v>
      </c>
      <c r="D71" s="21"/>
      <c r="E71" s="21">
        <f t="shared" si="4"/>
        <v>145320.59151724001</v>
      </c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>
        <f t="shared" si="5"/>
        <v>145320.59151724001</v>
      </c>
    </row>
    <row r="72" spans="1:22" hidden="1">
      <c r="A72" t="str">
        <f t="shared" si="2"/>
        <v>Rough Carpentry</v>
      </c>
      <c r="C72" s="21">
        <f t="shared" si="3"/>
        <v>2966949.1910374998</v>
      </c>
      <c r="D72" s="21"/>
      <c r="E72" s="21">
        <f t="shared" si="4"/>
        <v>2966949.1910374998</v>
      </c>
      <c r="F72" s="21"/>
      <c r="G72" s="21"/>
      <c r="H72" s="21"/>
      <c r="I72" s="21">
        <v>191757</v>
      </c>
      <c r="J72" s="21">
        <v>345600</v>
      </c>
      <c r="K72" s="21"/>
      <c r="L72" s="21">
        <v>117076</v>
      </c>
      <c r="M72" s="21"/>
      <c r="N72" s="21"/>
      <c r="O72" s="21"/>
      <c r="P72" s="21"/>
      <c r="Q72" s="21"/>
      <c r="R72" s="21"/>
      <c r="S72" s="21"/>
      <c r="T72" s="21"/>
      <c r="U72" s="21"/>
      <c r="V72" s="21">
        <f t="shared" si="5"/>
        <v>2312516.1910374998</v>
      </c>
    </row>
    <row r="73" spans="1:22" hidden="1">
      <c r="A73" t="str">
        <f t="shared" si="2"/>
        <v>Finish Carpentry</v>
      </c>
      <c r="B73" t="s">
        <v>641</v>
      </c>
      <c r="C73" s="21">
        <f t="shared" si="3"/>
        <v>1818208.3159773001</v>
      </c>
      <c r="D73" s="21"/>
      <c r="E73" s="21">
        <f t="shared" si="4"/>
        <v>1818208.3159773001</v>
      </c>
      <c r="F73" s="21"/>
      <c r="G73" s="21"/>
      <c r="H73" s="21"/>
      <c r="I73" s="21"/>
      <c r="J73" s="21"/>
      <c r="K73" s="21"/>
      <c r="L73" s="21"/>
      <c r="M73" s="21">
        <v>85460</v>
      </c>
      <c r="N73" s="21">
        <v>20460</v>
      </c>
      <c r="O73" s="21">
        <v>21460</v>
      </c>
      <c r="P73" s="21">
        <v>8576</v>
      </c>
      <c r="Q73" s="21"/>
      <c r="R73" s="21"/>
      <c r="S73" s="21"/>
      <c r="T73" s="21"/>
      <c r="U73" s="21"/>
      <c r="V73" s="21">
        <f t="shared" si="5"/>
        <v>1682252.3159773001</v>
      </c>
    </row>
    <row r="74" spans="1:22" hidden="1">
      <c r="A74" t="str">
        <f t="shared" si="2"/>
        <v>Waterproofing</v>
      </c>
      <c r="B74" t="s">
        <v>549</v>
      </c>
      <c r="C74" s="21">
        <f t="shared" si="3"/>
        <v>0</v>
      </c>
      <c r="D74" s="21"/>
      <c r="E74" s="21">
        <f t="shared" si="4"/>
        <v>0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>
        <f t="shared" si="5"/>
        <v>0</v>
      </c>
    </row>
    <row r="75" spans="1:22" hidden="1">
      <c r="A75" t="str">
        <f t="shared" si="2"/>
        <v>Insulation</v>
      </c>
      <c r="B75" t="s">
        <v>549</v>
      </c>
      <c r="C75" s="21">
        <f t="shared" si="3"/>
        <v>310758.45155586</v>
      </c>
      <c r="D75" s="21"/>
      <c r="E75" s="21">
        <f t="shared" si="4"/>
        <v>310758.45155586</v>
      </c>
      <c r="F75" s="21"/>
      <c r="G75" s="21"/>
      <c r="H75" s="21"/>
      <c r="I75" s="21"/>
      <c r="J75" s="21"/>
      <c r="K75" s="21"/>
      <c r="L75" s="21">
        <v>13457</v>
      </c>
      <c r="M75" s="21">
        <v>34843</v>
      </c>
      <c r="N75" s="21"/>
      <c r="O75" s="21"/>
      <c r="P75" s="21"/>
      <c r="Q75" s="21"/>
      <c r="R75" s="21"/>
      <c r="S75" s="21"/>
      <c r="T75" s="21"/>
      <c r="U75" s="21"/>
      <c r="V75" s="21">
        <f t="shared" si="5"/>
        <v>262458.45155586</v>
      </c>
    </row>
    <row r="76" spans="1:22" hidden="1">
      <c r="A76" t="str">
        <f t="shared" si="2"/>
        <v>Roofing</v>
      </c>
      <c r="B76" t="s">
        <v>641</v>
      </c>
      <c r="C76" s="21">
        <f t="shared" si="3"/>
        <v>338591.72083986003</v>
      </c>
      <c r="D76" s="21"/>
      <c r="E76" s="21">
        <f t="shared" si="4"/>
        <v>338591.72083986003</v>
      </c>
      <c r="F76" s="21"/>
      <c r="G76" s="21"/>
      <c r="H76" s="21"/>
      <c r="I76" s="21"/>
      <c r="J76" s="21">
        <v>80400</v>
      </c>
      <c r="K76" s="21">
        <v>120460</v>
      </c>
      <c r="L76" s="21">
        <v>62132</v>
      </c>
      <c r="M76" s="21"/>
      <c r="N76" s="21"/>
      <c r="O76" s="21"/>
      <c r="P76" s="21"/>
      <c r="Q76" s="21"/>
      <c r="R76" s="21"/>
      <c r="S76" s="21"/>
      <c r="T76" s="21"/>
      <c r="U76" s="21"/>
      <c r="V76" s="21">
        <f t="shared" si="5"/>
        <v>75599.720839860034</v>
      </c>
    </row>
    <row r="77" spans="1:22" hidden="1">
      <c r="A77" t="str">
        <f t="shared" si="2"/>
        <v>Sheet Metal</v>
      </c>
      <c r="C77" s="21">
        <f t="shared" si="3"/>
        <v>123687.95611262</v>
      </c>
      <c r="D77" s="21"/>
      <c r="E77" s="21">
        <f t="shared" si="4"/>
        <v>123687.95611262</v>
      </c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>
        <f t="shared" si="5"/>
        <v>123687.95611262</v>
      </c>
    </row>
    <row r="78" spans="1:22" hidden="1">
      <c r="A78" t="str">
        <f t="shared" si="2"/>
        <v>Doors</v>
      </c>
      <c r="C78" s="21">
        <f t="shared" si="3"/>
        <v>231943.91070000001</v>
      </c>
      <c r="D78" s="21"/>
      <c r="E78" s="21">
        <f t="shared" si="4"/>
        <v>231943.91070000001</v>
      </c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>
        <f t="shared" si="5"/>
        <v>231943.91070000001</v>
      </c>
    </row>
    <row r="79" spans="1:22" hidden="1">
      <c r="A79" t="str">
        <f t="shared" si="2"/>
        <v>Windows</v>
      </c>
      <c r="C79" s="21">
        <f t="shared" si="3"/>
        <v>299934.40238986001</v>
      </c>
      <c r="D79" s="21"/>
      <c r="E79" s="21">
        <f t="shared" si="4"/>
        <v>299934.40238986001</v>
      </c>
      <c r="F79" s="21"/>
      <c r="G79" s="21"/>
      <c r="H79" s="21"/>
      <c r="I79" s="21"/>
      <c r="J79" s="21">
        <v>59810</v>
      </c>
      <c r="K79" s="21">
        <v>115152</v>
      </c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>
        <f t="shared" si="5"/>
        <v>124972.40238986001</v>
      </c>
    </row>
    <row r="80" spans="1:22" hidden="1">
      <c r="A80" t="str">
        <f t="shared" si="2"/>
        <v>Glass</v>
      </c>
      <c r="C80" s="21">
        <f t="shared" si="3"/>
        <v>0</v>
      </c>
      <c r="D80" s="21"/>
      <c r="E80" s="21">
        <f t="shared" si="4"/>
        <v>0</v>
      </c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>
        <v>12900</v>
      </c>
      <c r="Q80" s="21"/>
      <c r="R80" s="21"/>
      <c r="S80" s="21"/>
      <c r="T80" s="21"/>
      <c r="U80" s="21"/>
      <c r="V80" s="21">
        <f t="shared" si="5"/>
        <v>-12900</v>
      </c>
    </row>
    <row r="81" spans="1:22" hidden="1">
      <c r="A81" t="str">
        <f t="shared" si="2"/>
        <v>Drywall</v>
      </c>
      <c r="C81" s="21">
        <f t="shared" si="3"/>
        <v>927775.64280000003</v>
      </c>
      <c r="D81" s="21"/>
      <c r="E81" s="21">
        <f t="shared" si="4"/>
        <v>927775.64280000003</v>
      </c>
      <c r="F81" s="21"/>
      <c r="G81" s="21"/>
      <c r="H81" s="21"/>
      <c r="I81" s="21"/>
      <c r="J81" s="21"/>
      <c r="K81" s="21">
        <v>140713</v>
      </c>
      <c r="L81" s="21">
        <v>187500</v>
      </c>
      <c r="M81" s="21"/>
      <c r="N81" s="21"/>
      <c r="O81" s="21"/>
      <c r="P81" s="21"/>
      <c r="Q81" s="21"/>
      <c r="R81" s="21"/>
      <c r="S81" s="21"/>
      <c r="T81" s="21"/>
      <c r="U81" s="21"/>
      <c r="V81" s="21">
        <f t="shared" si="5"/>
        <v>599562.64280000003</v>
      </c>
    </row>
    <row r="82" spans="1:22" hidden="1">
      <c r="A82" t="str">
        <f t="shared" si="2"/>
        <v>Tile Work</v>
      </c>
      <c r="C82" s="21">
        <f t="shared" si="3"/>
        <v>0</v>
      </c>
      <c r="D82" s="21"/>
      <c r="E82" s="21">
        <f t="shared" si="4"/>
        <v>0</v>
      </c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>
        <f t="shared" si="5"/>
        <v>0</v>
      </c>
    </row>
    <row r="83" spans="1:22" hidden="1">
      <c r="A83" t="str">
        <f t="shared" si="2"/>
        <v>Acoustical</v>
      </c>
      <c r="C83" s="21">
        <f t="shared" si="3"/>
        <v>0</v>
      </c>
      <c r="D83" s="21"/>
      <c r="E83" s="21">
        <f t="shared" si="4"/>
        <v>0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>
        <f t="shared" si="5"/>
        <v>0</v>
      </c>
    </row>
    <row r="84" spans="1:22" hidden="1">
      <c r="A84" t="str">
        <f t="shared" si="2"/>
        <v>Resilient Flooring</v>
      </c>
      <c r="C84" s="21">
        <f t="shared" si="3"/>
        <v>0</v>
      </c>
      <c r="D84" s="21"/>
      <c r="E84" s="21">
        <f t="shared" si="4"/>
        <v>0</v>
      </c>
      <c r="F84" s="21"/>
      <c r="G84" s="21"/>
      <c r="H84" s="21"/>
      <c r="I84" s="21"/>
      <c r="J84" s="21"/>
      <c r="K84" s="21"/>
      <c r="L84" s="21"/>
      <c r="M84" s="21"/>
      <c r="N84" s="21">
        <v>19545</v>
      </c>
      <c r="O84" s="21">
        <v>114398</v>
      </c>
      <c r="P84" s="21"/>
      <c r="Q84" s="21"/>
      <c r="R84" s="21"/>
      <c r="S84" s="21"/>
      <c r="T84" s="21"/>
      <c r="U84" s="21"/>
      <c r="V84" s="21">
        <f t="shared" si="5"/>
        <v>-133943</v>
      </c>
    </row>
    <row r="85" spans="1:22" hidden="1">
      <c r="A85" t="str">
        <f t="shared" si="2"/>
        <v>Painting and Decorating</v>
      </c>
      <c r="C85" s="21">
        <f t="shared" si="3"/>
        <v>669451.97798972006</v>
      </c>
      <c r="D85" s="21"/>
      <c r="E85" s="21">
        <f t="shared" si="4"/>
        <v>669451.97798972006</v>
      </c>
      <c r="F85" s="21"/>
      <c r="G85" s="21"/>
      <c r="H85" s="21"/>
      <c r="I85" s="21"/>
      <c r="J85" s="21"/>
      <c r="K85" s="21"/>
      <c r="L85" s="21"/>
      <c r="M85" s="21"/>
      <c r="N85" s="21">
        <v>109103</v>
      </c>
      <c r="O85" s="21">
        <v>152376</v>
      </c>
      <c r="P85" s="21"/>
      <c r="Q85" s="21"/>
      <c r="R85" s="21"/>
      <c r="S85" s="21"/>
      <c r="T85" s="21"/>
      <c r="U85" s="21"/>
      <c r="V85" s="21">
        <f t="shared" si="5"/>
        <v>407972.97798972006</v>
      </c>
    </row>
    <row r="86" spans="1:22" hidden="1">
      <c r="A86" t="str">
        <f t="shared" si="2"/>
        <v>Specialties - Siding</v>
      </c>
      <c r="C86" s="21">
        <f t="shared" si="3"/>
        <v>0</v>
      </c>
      <c r="D86" s="21"/>
      <c r="E86" s="21">
        <f t="shared" si="4"/>
        <v>0</v>
      </c>
      <c r="F86" s="21"/>
      <c r="G86" s="21"/>
      <c r="H86" s="21"/>
      <c r="I86" s="21"/>
      <c r="J86" s="21"/>
      <c r="K86" s="21"/>
      <c r="L86" s="21"/>
      <c r="M86" s="21">
        <v>98056</v>
      </c>
      <c r="N86" s="21">
        <v>64742</v>
      </c>
      <c r="O86" s="21"/>
      <c r="P86" s="21"/>
      <c r="Q86" s="21"/>
      <c r="R86" s="21"/>
      <c r="S86" s="21"/>
      <c r="T86" s="21"/>
      <c r="U86" s="21"/>
      <c r="V86" s="21">
        <f t="shared" si="5"/>
        <v>-162798</v>
      </c>
    </row>
    <row r="87" spans="1:22" hidden="1">
      <c r="A87" t="str">
        <f t="shared" si="2"/>
        <v>Special Equipment</v>
      </c>
      <c r="C87" s="21">
        <f t="shared" si="3"/>
        <v>0</v>
      </c>
      <c r="D87" s="21"/>
      <c r="E87" s="21">
        <f t="shared" si="4"/>
        <v>0</v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>
        <f t="shared" si="5"/>
        <v>0</v>
      </c>
    </row>
    <row r="88" spans="1:22" hidden="1">
      <c r="A88" t="str">
        <f t="shared" si="2"/>
        <v>Cabinets</v>
      </c>
      <c r="C88" s="21">
        <f t="shared" si="3"/>
        <v>355600.94095786003</v>
      </c>
      <c r="D88" s="21"/>
      <c r="E88" s="21">
        <f t="shared" si="4"/>
        <v>355600.94095786003</v>
      </c>
      <c r="F88" s="21"/>
      <c r="G88" s="21"/>
      <c r="H88" s="21"/>
      <c r="I88" s="21"/>
      <c r="J88" s="21"/>
      <c r="K88" s="21"/>
      <c r="L88" s="21"/>
      <c r="M88" s="21"/>
      <c r="N88" s="21"/>
      <c r="O88" s="21">
        <v>10395</v>
      </c>
      <c r="P88" s="21">
        <v>115896</v>
      </c>
      <c r="Q88" s="21"/>
      <c r="R88" s="21"/>
      <c r="S88" s="21"/>
      <c r="T88" s="21"/>
      <c r="U88" s="21"/>
      <c r="V88" s="21">
        <f t="shared" si="5"/>
        <v>229309.94095786003</v>
      </c>
    </row>
    <row r="89" spans="1:22" hidden="1">
      <c r="A89" t="str">
        <f t="shared" si="2"/>
        <v>Appliances</v>
      </c>
      <c r="C89" s="21">
        <f t="shared" si="3"/>
        <v>315397.32976986002</v>
      </c>
      <c r="D89" s="21"/>
      <c r="E89" s="21">
        <f t="shared" si="4"/>
        <v>315397.32976986002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>
        <v>37876</v>
      </c>
      <c r="Q89" s="21">
        <v>54389</v>
      </c>
      <c r="R89" s="21"/>
      <c r="S89" s="21"/>
      <c r="T89" s="21"/>
      <c r="U89" s="21"/>
      <c r="V89" s="21">
        <f t="shared" si="5"/>
        <v>223132.32976986002</v>
      </c>
    </row>
    <row r="90" spans="1:22" hidden="1">
      <c r="A90" t="str">
        <f t="shared" si="2"/>
        <v>Blinds, Shades, and Artwork</v>
      </c>
      <c r="C90" s="21">
        <f t="shared" si="3"/>
        <v>92777.564280000006</v>
      </c>
      <c r="D90" s="21"/>
      <c r="E90" s="21">
        <f t="shared" si="4"/>
        <v>92777.564280000006</v>
      </c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>
        <f t="shared" si="5"/>
        <v>92777.564280000006</v>
      </c>
    </row>
    <row r="91" spans="1:22" hidden="1">
      <c r="A91" t="str">
        <f t="shared" si="2"/>
        <v>Carpets</v>
      </c>
      <c r="C91" s="21">
        <f t="shared" si="3"/>
        <v>432900.11493048002</v>
      </c>
      <c r="D91" s="21"/>
      <c r="E91" s="21">
        <f t="shared" si="4"/>
        <v>432900.11493048002</v>
      </c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>
        <f t="shared" si="5"/>
        <v>432900.11493048002</v>
      </c>
    </row>
    <row r="92" spans="1:22" hidden="1">
      <c r="A92" t="str">
        <f t="shared" si="2"/>
        <v>Special Construction</v>
      </c>
      <c r="C92" s="21">
        <f t="shared" si="3"/>
        <v>0</v>
      </c>
      <c r="D92" s="21"/>
      <c r="E92" s="21">
        <f t="shared" si="4"/>
        <v>0</v>
      </c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>
        <f t="shared" si="5"/>
        <v>0</v>
      </c>
    </row>
    <row r="93" spans="1:22" hidden="1">
      <c r="A93" t="str">
        <f t="shared" si="2"/>
        <v>Elevators</v>
      </c>
      <c r="B93" t="s">
        <v>549</v>
      </c>
      <c r="C93" s="21">
        <f t="shared" si="3"/>
        <v>0</v>
      </c>
      <c r="D93" s="21"/>
      <c r="E93" s="21">
        <f t="shared" si="4"/>
        <v>0</v>
      </c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>
        <f t="shared" si="5"/>
        <v>0</v>
      </c>
    </row>
    <row r="94" spans="1:22" hidden="1">
      <c r="A94" t="str">
        <f t="shared" si="2"/>
        <v>Plumbing and Hot Water</v>
      </c>
      <c r="C94" s="21">
        <f t="shared" si="3"/>
        <v>907550.13378696004</v>
      </c>
      <c r="D94" s="21"/>
      <c r="E94" s="21">
        <f t="shared" si="4"/>
        <v>907550.13378696004</v>
      </c>
      <c r="F94" s="21"/>
      <c r="G94" s="21"/>
      <c r="H94" s="21">
        <v>62500</v>
      </c>
      <c r="I94" s="21">
        <v>62500</v>
      </c>
      <c r="J94" s="21">
        <v>62500</v>
      </c>
      <c r="K94" s="21">
        <v>69833</v>
      </c>
      <c r="L94" s="21">
        <v>32500</v>
      </c>
      <c r="M94" s="21">
        <v>21250</v>
      </c>
      <c r="N94" s="21">
        <v>31250</v>
      </c>
      <c r="O94" s="21"/>
      <c r="P94" s="21"/>
      <c r="Q94" s="21"/>
      <c r="R94" s="21"/>
      <c r="S94" s="21"/>
      <c r="T94" s="21"/>
      <c r="U94" s="21"/>
      <c r="V94" s="21">
        <f t="shared" si="5"/>
        <v>565217.13378696004</v>
      </c>
    </row>
    <row r="95" spans="1:22" hidden="1">
      <c r="A95" t="str">
        <f t="shared" si="2"/>
        <v>Heat and Ventilation</v>
      </c>
      <c r="C95" s="21">
        <f t="shared" si="3"/>
        <v>298388.10965186002</v>
      </c>
      <c r="D95" s="21"/>
      <c r="E95" s="21">
        <f t="shared" si="4"/>
        <v>298388.10965186002</v>
      </c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>
        <f t="shared" si="5"/>
        <v>298388.10965186002</v>
      </c>
    </row>
    <row r="96" spans="1:22" hidden="1">
      <c r="A96" t="str">
        <f t="shared" si="2"/>
        <v>Air Conditioning</v>
      </c>
      <c r="C96" s="21">
        <f t="shared" si="3"/>
        <v>298388.10965186002</v>
      </c>
      <c r="D96" s="21"/>
      <c r="E96" s="21">
        <f t="shared" si="4"/>
        <v>298388.10965186002</v>
      </c>
      <c r="F96" s="21"/>
      <c r="G96" s="21"/>
      <c r="H96" s="21"/>
      <c r="I96" s="21"/>
      <c r="J96" s="21"/>
      <c r="K96" s="21">
        <v>85460</v>
      </c>
      <c r="L96" s="21">
        <v>85640</v>
      </c>
      <c r="M96" s="21">
        <v>57660</v>
      </c>
      <c r="N96" s="21"/>
      <c r="O96" s="21"/>
      <c r="P96" s="21"/>
      <c r="Q96" s="21"/>
      <c r="R96" s="21"/>
      <c r="S96" s="21"/>
      <c r="T96" s="21"/>
      <c r="U96" s="21"/>
      <c r="V96" s="21">
        <f t="shared" si="5"/>
        <v>69628.109651860024</v>
      </c>
    </row>
    <row r="97" spans="1:22" hidden="1">
      <c r="A97" t="str">
        <f t="shared" si="2"/>
        <v>Electrical</v>
      </c>
      <c r="C97" s="21">
        <f t="shared" si="3"/>
        <v>697285.2472737201</v>
      </c>
      <c r="D97" s="21"/>
      <c r="E97" s="21">
        <f t="shared" si="4"/>
        <v>697285.2472737201</v>
      </c>
      <c r="F97" s="21"/>
      <c r="G97" s="21"/>
      <c r="H97" s="21"/>
      <c r="I97" s="21"/>
      <c r="J97" s="21"/>
      <c r="K97" s="21">
        <v>70041</v>
      </c>
      <c r="L97" s="21">
        <v>170465</v>
      </c>
      <c r="M97" s="21">
        <v>120620</v>
      </c>
      <c r="N97" s="21">
        <v>57824</v>
      </c>
      <c r="O97" s="21"/>
      <c r="P97" s="21"/>
      <c r="Q97" s="21"/>
      <c r="R97" s="21"/>
      <c r="S97" s="21"/>
      <c r="T97" s="21"/>
      <c r="U97" s="21"/>
      <c r="V97" s="21">
        <f t="shared" si="5"/>
        <v>278335.2472737201</v>
      </c>
    </row>
    <row r="98" spans="1:22" hidden="1">
      <c r="A98" t="str">
        <f t="shared" si="2"/>
        <v>Earth Work</v>
      </c>
      <c r="C98" s="21">
        <v>240000</v>
      </c>
      <c r="D98" s="21"/>
      <c r="E98" s="21">
        <f t="shared" si="4"/>
        <v>240000</v>
      </c>
      <c r="F98" s="21">
        <v>120000</v>
      </c>
      <c r="G98" s="21">
        <v>120000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>
        <f t="shared" si="5"/>
        <v>0</v>
      </c>
    </row>
    <row r="99" spans="1:22" hidden="1">
      <c r="A99" t="str">
        <f t="shared" si="2"/>
        <v>On-Site Utilities</v>
      </c>
      <c r="C99" s="21">
        <f t="shared" si="3"/>
        <v>332452.93867</v>
      </c>
      <c r="D99" s="21"/>
      <c r="E99" s="21">
        <f t="shared" si="4"/>
        <v>332452.93867</v>
      </c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>
        <f t="shared" si="5"/>
        <v>332452.93867</v>
      </c>
    </row>
    <row r="100" spans="1:22" hidden="1">
      <c r="A100" t="str">
        <f t="shared" si="2"/>
        <v>Roads and Walks</v>
      </c>
      <c r="B100" t="s">
        <v>549</v>
      </c>
      <c r="C100" s="21">
        <v>630000</v>
      </c>
      <c r="D100" s="21"/>
      <c r="E100" s="21">
        <f t="shared" si="4"/>
        <v>630000</v>
      </c>
      <c r="F100" s="21">
        <v>178629</v>
      </c>
      <c r="G100" s="21">
        <v>178629</v>
      </c>
      <c r="H100" s="21">
        <v>178629</v>
      </c>
      <c r="I100" s="21">
        <v>94113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>
        <f t="shared" si="5"/>
        <v>0</v>
      </c>
    </row>
    <row r="101" spans="1:22" hidden="1">
      <c r="A101" t="str">
        <f t="shared" si="2"/>
        <v>On-Site Improvements - Fences</v>
      </c>
      <c r="B101" t="s">
        <v>549</v>
      </c>
      <c r="C101" s="21">
        <f t="shared" si="3"/>
        <v>0</v>
      </c>
      <c r="D101" s="21"/>
      <c r="E101" s="21">
        <f t="shared" si="4"/>
        <v>0</v>
      </c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>
        <v>56357</v>
      </c>
      <c r="R101" s="21"/>
      <c r="S101" s="21"/>
      <c r="T101" s="21"/>
      <c r="U101" s="21"/>
      <c r="V101" s="21">
        <f t="shared" si="5"/>
        <v>-56357</v>
      </c>
    </row>
    <row r="102" spans="1:22" hidden="1">
      <c r="A102" t="str">
        <f t="shared" si="2"/>
        <v>Lawns and Planting</v>
      </c>
      <c r="B102" t="s">
        <v>641</v>
      </c>
      <c r="C102" s="21">
        <f t="shared" si="3"/>
        <v>368558.87410229997</v>
      </c>
      <c r="D102" s="21"/>
      <c r="E102" s="21">
        <f t="shared" si="4"/>
        <v>368558.87410229997</v>
      </c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>
        <v>64500</v>
      </c>
      <c r="R102" s="21"/>
      <c r="S102" s="21"/>
      <c r="T102" s="21"/>
      <c r="U102" s="21"/>
      <c r="V102" s="21">
        <f t="shared" si="5"/>
        <v>304058.87410229997</v>
      </c>
    </row>
    <row r="103" spans="1:22" hidden="1">
      <c r="A103" t="str">
        <f t="shared" si="2"/>
        <v>Unusual On-Site Conditions</v>
      </c>
      <c r="B103" t="s">
        <v>549</v>
      </c>
      <c r="C103" s="21">
        <f t="shared" si="3"/>
        <v>0</v>
      </c>
      <c r="D103" s="21"/>
      <c r="E103" s="21">
        <f t="shared" si="4"/>
        <v>0</v>
      </c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>
        <f t="shared" si="5"/>
        <v>0</v>
      </c>
    </row>
    <row r="104" spans="1:22" hidden="1">
      <c r="A104" t="str">
        <f t="shared" si="2"/>
        <v>Off-Site Development</v>
      </c>
      <c r="C104" s="21" t="str">
        <f t="shared" si="3"/>
        <v xml:space="preserve"> </v>
      </c>
      <c r="D104" s="21"/>
      <c r="E104" s="21">
        <f t="shared" si="4"/>
        <v>0</v>
      </c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>
        <f t="shared" si="5"/>
        <v>0</v>
      </c>
    </row>
    <row r="105" spans="1:22" hidden="1">
      <c r="A105" t="str">
        <f t="shared" si="2"/>
        <v>Miscellaneous (Labor and Materials)</v>
      </c>
      <c r="C105" s="21">
        <f t="shared" si="3"/>
        <v>0</v>
      </c>
      <c r="D105" s="21"/>
      <c r="E105" s="21">
        <f t="shared" si="4"/>
        <v>0</v>
      </c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>
        <f t="shared" si="5"/>
        <v>0</v>
      </c>
    </row>
    <row r="106" spans="1:22" hidden="1">
      <c r="C106" s="21"/>
      <c r="D106" s="21"/>
      <c r="E106" s="21">
        <f t="shared" si="4"/>
        <v>0</v>
      </c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>
        <f t="shared" si="5"/>
        <v>0</v>
      </c>
    </row>
    <row r="107" spans="1:22" hidden="1">
      <c r="A107" t="s">
        <v>624</v>
      </c>
      <c r="C107" s="21">
        <f>+C42</f>
        <v>289026.68</v>
      </c>
      <c r="D107" s="21"/>
      <c r="E107" s="21">
        <f t="shared" si="4"/>
        <v>289026.68</v>
      </c>
      <c r="F107" s="21">
        <f>+$E$107/12</f>
        <v>24085.556666666667</v>
      </c>
      <c r="G107" s="21">
        <f t="shared" ref="G107:Q107" si="6">+$E$107/12</f>
        <v>24085.556666666667</v>
      </c>
      <c r="H107" s="21">
        <f t="shared" si="6"/>
        <v>24085.556666666667</v>
      </c>
      <c r="I107" s="21">
        <f t="shared" si="6"/>
        <v>24085.556666666667</v>
      </c>
      <c r="J107" s="21">
        <f t="shared" si="6"/>
        <v>24085.556666666667</v>
      </c>
      <c r="K107" s="21">
        <f t="shared" si="6"/>
        <v>24085.556666666667</v>
      </c>
      <c r="L107" s="21">
        <f t="shared" si="6"/>
        <v>24085.556666666667</v>
      </c>
      <c r="M107" s="21">
        <f t="shared" si="6"/>
        <v>24085.556666666667</v>
      </c>
      <c r="N107" s="21">
        <f t="shared" si="6"/>
        <v>24085.556666666667</v>
      </c>
      <c r="O107" s="21">
        <f t="shared" si="6"/>
        <v>24085.556666666667</v>
      </c>
      <c r="P107" s="21">
        <f t="shared" si="6"/>
        <v>24085.556666666667</v>
      </c>
      <c r="Q107" s="21">
        <f t="shared" si="6"/>
        <v>24085.556666666667</v>
      </c>
      <c r="R107" s="21"/>
      <c r="S107" s="21"/>
      <c r="T107" s="21"/>
      <c r="U107" s="21"/>
      <c r="V107" s="21">
        <f t="shared" si="5"/>
        <v>-2.1827872842550278E-11</v>
      </c>
    </row>
    <row r="108" spans="1:22" hidden="1">
      <c r="A108" t="s">
        <v>625</v>
      </c>
      <c r="C108" s="21">
        <f>+C47</f>
        <v>722566.70000000007</v>
      </c>
      <c r="D108" s="21"/>
      <c r="E108" s="21">
        <f t="shared" si="4"/>
        <v>722566.70000000007</v>
      </c>
      <c r="F108" s="21">
        <f>+$E108/12</f>
        <v>60213.89166666667</v>
      </c>
      <c r="G108" s="21">
        <f t="shared" ref="G108:Q108" si="7">+$E108/12</f>
        <v>60213.89166666667</v>
      </c>
      <c r="H108" s="21">
        <f t="shared" si="7"/>
        <v>60213.89166666667</v>
      </c>
      <c r="I108" s="21">
        <f t="shared" si="7"/>
        <v>60213.89166666667</v>
      </c>
      <c r="J108" s="21">
        <f t="shared" si="7"/>
        <v>60213.89166666667</v>
      </c>
      <c r="K108" s="21">
        <f t="shared" si="7"/>
        <v>60213.89166666667</v>
      </c>
      <c r="L108" s="21">
        <f t="shared" si="7"/>
        <v>60213.89166666667</v>
      </c>
      <c r="M108" s="21">
        <f t="shared" si="7"/>
        <v>60213.89166666667</v>
      </c>
      <c r="N108" s="21">
        <f t="shared" si="7"/>
        <v>60213.89166666667</v>
      </c>
      <c r="O108" s="21">
        <f t="shared" si="7"/>
        <v>60213.89166666667</v>
      </c>
      <c r="P108" s="21">
        <f t="shared" si="7"/>
        <v>60213.89166666667</v>
      </c>
      <c r="Q108" s="21">
        <f t="shared" si="7"/>
        <v>60213.89166666667</v>
      </c>
      <c r="R108" s="21"/>
      <c r="S108" s="21"/>
      <c r="T108" s="21"/>
      <c r="U108" s="21"/>
      <c r="V108" s="21">
        <f t="shared" si="5"/>
        <v>-7.2759576141834259E-11</v>
      </c>
    </row>
    <row r="109" spans="1:22" hidden="1">
      <c r="A109" t="s">
        <v>626</v>
      </c>
      <c r="C109" s="21">
        <f>+C43</f>
        <v>221105.41019999998</v>
      </c>
      <c r="D109" s="21"/>
      <c r="E109" s="21">
        <f t="shared" si="4"/>
        <v>221105.41019999998</v>
      </c>
      <c r="F109" s="21">
        <f>+$E$109/12</f>
        <v>18425.450849999997</v>
      </c>
      <c r="G109" s="21">
        <f t="shared" ref="G109:Q109" si="8">+$E$109/12</f>
        <v>18425.450849999997</v>
      </c>
      <c r="H109" s="21">
        <f t="shared" si="8"/>
        <v>18425.450849999997</v>
      </c>
      <c r="I109" s="21">
        <f t="shared" si="8"/>
        <v>18425.450849999997</v>
      </c>
      <c r="J109" s="21">
        <f t="shared" si="8"/>
        <v>18425.450849999997</v>
      </c>
      <c r="K109" s="21">
        <f t="shared" si="8"/>
        <v>18425.450849999997</v>
      </c>
      <c r="L109" s="21">
        <f t="shared" si="8"/>
        <v>18425.450849999997</v>
      </c>
      <c r="M109" s="21">
        <f t="shared" si="8"/>
        <v>18425.450849999997</v>
      </c>
      <c r="N109" s="21">
        <f t="shared" si="8"/>
        <v>18425.450849999997</v>
      </c>
      <c r="O109" s="21">
        <f t="shared" si="8"/>
        <v>18425.450849999997</v>
      </c>
      <c r="P109" s="21">
        <f t="shared" si="8"/>
        <v>18425.450849999997</v>
      </c>
      <c r="Q109" s="21">
        <f t="shared" si="8"/>
        <v>18425.450849999997</v>
      </c>
      <c r="R109" s="21"/>
      <c r="S109" s="21"/>
      <c r="T109" s="21"/>
      <c r="U109" s="21"/>
      <c r="V109" s="21">
        <f t="shared" si="5"/>
        <v>5.0931703299283981E-11</v>
      </c>
    </row>
    <row r="110" spans="1:22" hidden="1">
      <c r="A110" t="s">
        <v>320</v>
      </c>
      <c r="C110" s="21">
        <f>+C49</f>
        <v>0</v>
      </c>
      <c r="D110" s="21"/>
      <c r="E110" s="21">
        <f t="shared" si="4"/>
        <v>0</v>
      </c>
      <c r="F110" s="21">
        <f>+$E110/12</f>
        <v>0</v>
      </c>
      <c r="G110" s="21">
        <f t="shared" ref="G110:Q110" si="9">+$E110/12</f>
        <v>0</v>
      </c>
      <c r="H110" s="21">
        <f t="shared" si="9"/>
        <v>0</v>
      </c>
      <c r="I110" s="21">
        <f t="shared" si="9"/>
        <v>0</v>
      </c>
      <c r="J110" s="21">
        <f t="shared" si="9"/>
        <v>0</v>
      </c>
      <c r="K110" s="21">
        <f t="shared" si="9"/>
        <v>0</v>
      </c>
      <c r="L110" s="21">
        <f t="shared" si="9"/>
        <v>0</v>
      </c>
      <c r="M110" s="21">
        <f t="shared" si="9"/>
        <v>0</v>
      </c>
      <c r="N110" s="21">
        <f t="shared" si="9"/>
        <v>0</v>
      </c>
      <c r="O110" s="21">
        <f t="shared" si="9"/>
        <v>0</v>
      </c>
      <c r="P110" s="21">
        <f t="shared" si="9"/>
        <v>0</v>
      </c>
      <c r="Q110" s="21">
        <f t="shared" si="9"/>
        <v>0</v>
      </c>
      <c r="R110" s="21"/>
      <c r="S110" s="21"/>
      <c r="T110" s="21"/>
      <c r="U110" s="21"/>
      <c r="V110" s="21">
        <f t="shared" si="5"/>
        <v>0</v>
      </c>
    </row>
    <row r="111" spans="1:22" hidden="1">
      <c r="C111" s="21"/>
      <c r="D111" s="21"/>
      <c r="E111" s="21">
        <f t="shared" si="4"/>
        <v>0</v>
      </c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>
        <f t="shared" si="5"/>
        <v>0</v>
      </c>
    </row>
    <row r="112" spans="1:22" ht="13.5" hidden="1" thickBot="1">
      <c r="A112" t="s">
        <v>91</v>
      </c>
      <c r="C112" s="239">
        <f>SUM(C68:C111)</f>
        <v>15750773.309464158</v>
      </c>
      <c r="D112" s="239">
        <f>SUM(D69:D111)</f>
        <v>0</v>
      </c>
      <c r="E112" s="239">
        <f>SUM(E69:E111)</f>
        <v>15750773.309464158</v>
      </c>
      <c r="F112" s="239">
        <f t="shared" ref="F112:R112" si="10">SUM(F69:F111)</f>
        <v>401353.89918333333</v>
      </c>
      <c r="G112" s="239">
        <f t="shared" si="10"/>
        <v>401353.89918333333</v>
      </c>
      <c r="H112" s="239">
        <f t="shared" si="10"/>
        <v>524733.89918333327</v>
      </c>
      <c r="I112" s="239">
        <f t="shared" si="10"/>
        <v>771494.89918333339</v>
      </c>
      <c r="J112" s="239">
        <f t="shared" si="10"/>
        <v>771494.89918333339</v>
      </c>
      <c r="K112" s="239">
        <f t="shared" si="10"/>
        <v>771494.89918333339</v>
      </c>
      <c r="L112" s="239">
        <f t="shared" si="10"/>
        <v>771494.89918333339</v>
      </c>
      <c r="M112" s="239">
        <f t="shared" si="10"/>
        <v>648113.89918333339</v>
      </c>
      <c r="N112" s="239">
        <f t="shared" si="10"/>
        <v>524733.89918333327</v>
      </c>
      <c r="O112" s="239">
        <f t="shared" si="10"/>
        <v>401353.89918333333</v>
      </c>
      <c r="P112" s="239">
        <f t="shared" si="10"/>
        <v>277972.89918333333</v>
      </c>
      <c r="Q112" s="239">
        <f t="shared" si="10"/>
        <v>277970.89918333333</v>
      </c>
      <c r="R112" s="239">
        <f t="shared" si="10"/>
        <v>0</v>
      </c>
      <c r="S112" s="21"/>
      <c r="T112" s="21"/>
      <c r="U112" s="21"/>
      <c r="V112" s="239">
        <f>SUM(V69:V111)</f>
        <v>9207206.5192641616</v>
      </c>
    </row>
    <row r="113" spans="1:22" ht="13.5" hidden="1" thickTop="1">
      <c r="A113" t="s">
        <v>642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</row>
    <row r="114" spans="1:22" hidden="1">
      <c r="A114" t="s">
        <v>603</v>
      </c>
      <c r="C114" s="21">
        <f>+C112-C113</f>
        <v>15750773.309464158</v>
      </c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</row>
    <row r="115" spans="1:22" hidden="1"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</row>
    <row r="116" spans="1:22" hidden="1">
      <c r="C116" s="552" t="s">
        <v>628</v>
      </c>
      <c r="D116" s="553"/>
      <c r="E116" s="553"/>
      <c r="F116" s="21">
        <f>+' Draw Schedule'!D10+' Draw Schedule'!D11</f>
        <v>867080.03999999992</v>
      </c>
      <c r="G116" s="21">
        <f>+' Draw Schedule'!D12+' Draw Schedule'!D13</f>
        <v>867080.03999999992</v>
      </c>
      <c r="H116" s="21">
        <f>+' Draw Schedule'!D14</f>
        <v>722566.70000000007</v>
      </c>
      <c r="I116" s="21">
        <f>+' Draw Schedule'!D15</f>
        <v>1011593.3800000001</v>
      </c>
      <c r="J116" s="21">
        <f>+' Draw Schedule'!D16</f>
        <v>1156106.72</v>
      </c>
      <c r="K116" s="21">
        <f>+' Draw Schedule'!D17</f>
        <v>1300620.06</v>
      </c>
      <c r="L116" s="21">
        <f>+' Draw Schedule'!D18</f>
        <v>1300620.06</v>
      </c>
      <c r="M116" s="21">
        <f>+' Draw Schedule'!D19</f>
        <v>1156106.72</v>
      </c>
      <c r="N116" s="21">
        <f>+' Draw Schedule'!D20</f>
        <v>1156106.72</v>
      </c>
      <c r="O116" s="21">
        <f>+' Draw Schedule'!D21</f>
        <v>1011593.3800000001</v>
      </c>
      <c r="P116" s="21">
        <f>+' Draw Schedule'!D22</f>
        <v>1011593.3800000001</v>
      </c>
      <c r="Q116" s="21">
        <f>+' Draw Schedule'!D23</f>
        <v>867080.03999999992</v>
      </c>
      <c r="R116" s="21"/>
      <c r="T116" s="21"/>
      <c r="U116" s="21"/>
      <c r="V116" s="21"/>
    </row>
    <row r="117" spans="1:22" hidden="1">
      <c r="C117" s="240" t="s">
        <v>629</v>
      </c>
      <c r="D117" s="21"/>
      <c r="E117" s="21"/>
      <c r="F117" s="21">
        <f>SUM(F116-F112)</f>
        <v>465726.14081666659</v>
      </c>
      <c r="G117" s="21">
        <f t="shared" ref="G117:Q117" si="11">SUM(G116-G112)</f>
        <v>465726.14081666659</v>
      </c>
      <c r="H117" s="21">
        <f t="shared" si="11"/>
        <v>197832.8008166668</v>
      </c>
      <c r="I117" s="21">
        <f t="shared" si="11"/>
        <v>240098.48081666674</v>
      </c>
      <c r="J117" s="21">
        <f t="shared" si="11"/>
        <v>384611.82081666659</v>
      </c>
      <c r="K117" s="21">
        <f t="shared" si="11"/>
        <v>529125.16081666667</v>
      </c>
      <c r="L117" s="21">
        <f t="shared" si="11"/>
        <v>529125.16081666667</v>
      </c>
      <c r="M117" s="21">
        <f t="shared" si="11"/>
        <v>507992.82081666659</v>
      </c>
      <c r="N117" s="21">
        <f t="shared" si="11"/>
        <v>631372.8208166667</v>
      </c>
      <c r="O117" s="21">
        <f t="shared" si="11"/>
        <v>610239.48081666674</v>
      </c>
      <c r="P117" s="21">
        <f t="shared" si="11"/>
        <v>733620.48081666674</v>
      </c>
      <c r="Q117" s="21">
        <f t="shared" si="11"/>
        <v>589109.14081666665</v>
      </c>
      <c r="R117" s="21">
        <f>SUM(F116:R116)-E112</f>
        <v>-3322626.0694641583</v>
      </c>
      <c r="S117" s="21"/>
      <c r="T117" s="21"/>
      <c r="U117" s="21"/>
      <c r="V117" s="21"/>
    </row>
    <row r="118" spans="1:22" hidden="1">
      <c r="C118" s="21" t="s">
        <v>644</v>
      </c>
      <c r="D118" s="21"/>
      <c r="E118" s="21"/>
      <c r="F118" s="21">
        <v>370141</v>
      </c>
      <c r="G118" s="21">
        <v>370141</v>
      </c>
      <c r="H118" s="21">
        <v>493521</v>
      </c>
      <c r="I118" s="21">
        <v>740282</v>
      </c>
      <c r="J118" s="21">
        <v>740282</v>
      </c>
      <c r="K118" s="21">
        <v>740282</v>
      </c>
      <c r="L118" s="21">
        <v>740282</v>
      </c>
      <c r="M118" s="21">
        <v>616901</v>
      </c>
      <c r="N118" s="21">
        <v>493521</v>
      </c>
      <c r="O118" s="21"/>
      <c r="P118" s="21"/>
      <c r="Q118" s="21"/>
      <c r="R118" s="21"/>
      <c r="S118" s="21"/>
      <c r="T118" s="21"/>
      <c r="U118" s="21"/>
      <c r="V118" s="21"/>
    </row>
    <row r="119" spans="1:22" hidden="1">
      <c r="A119" t="s">
        <v>632</v>
      </c>
      <c r="C119" s="21"/>
      <c r="D119" s="21"/>
      <c r="E119" s="21"/>
      <c r="F119" s="21">
        <f>+F112-F118</f>
        <v>31212.899183333328</v>
      </c>
      <c r="G119" s="21">
        <f t="shared" ref="G119:R119" si="12">+G112-G118</f>
        <v>31212.899183333328</v>
      </c>
      <c r="H119" s="21">
        <f t="shared" si="12"/>
        <v>31212.899183333269</v>
      </c>
      <c r="I119" s="21">
        <f t="shared" si="12"/>
        <v>31212.899183333386</v>
      </c>
      <c r="J119" s="21">
        <f t="shared" si="12"/>
        <v>31212.899183333386</v>
      </c>
      <c r="K119" s="21">
        <f t="shared" si="12"/>
        <v>31212.899183333386</v>
      </c>
      <c r="L119" s="21">
        <f t="shared" si="12"/>
        <v>31212.899183333386</v>
      </c>
      <c r="M119" s="21">
        <f t="shared" si="12"/>
        <v>31212.899183333386</v>
      </c>
      <c r="N119" s="21">
        <f>+N112-N118</f>
        <v>31212.899183333269</v>
      </c>
      <c r="O119" s="21">
        <f>+O112-O118</f>
        <v>401353.89918333333</v>
      </c>
      <c r="P119" s="21">
        <f>+P112-P118</f>
        <v>277972.89918333333</v>
      </c>
      <c r="Q119" s="21">
        <f>+Q112-Q118</f>
        <v>277970.89918333333</v>
      </c>
      <c r="R119" s="21">
        <f t="shared" si="12"/>
        <v>0</v>
      </c>
      <c r="S119" s="21"/>
      <c r="T119" s="21"/>
      <c r="U119" s="21"/>
      <c r="V119" s="21"/>
    </row>
    <row r="120" spans="1:22" hidden="1"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</row>
    <row r="121" spans="1:22" hidden="1">
      <c r="A121" s="201" t="s">
        <v>633</v>
      </c>
      <c r="B121" s="212" t="s">
        <v>641</v>
      </c>
      <c r="C121" s="241">
        <v>762424</v>
      </c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</row>
    <row r="122" spans="1:22" hidden="1">
      <c r="A122" s="205"/>
      <c r="C122" s="223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</row>
    <row r="123" spans="1:22" hidden="1">
      <c r="A123" s="205" t="s">
        <v>247</v>
      </c>
      <c r="B123" t="s">
        <v>549</v>
      </c>
      <c r="C123" s="223">
        <v>-562424</v>
      </c>
      <c r="D123" s="21"/>
      <c r="E123" s="21"/>
      <c r="F123" s="21"/>
      <c r="G123" s="21">
        <f>+G73</f>
        <v>0</v>
      </c>
      <c r="H123" s="21"/>
      <c r="I123" s="21">
        <f>+I73</f>
        <v>0</v>
      </c>
      <c r="J123" s="21">
        <v>2067</v>
      </c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</row>
    <row r="124" spans="1:22" hidden="1">
      <c r="A124" s="205" t="s">
        <v>251</v>
      </c>
      <c r="B124" t="s">
        <v>549</v>
      </c>
      <c r="C124" s="223">
        <v>-200000</v>
      </c>
      <c r="D124" s="21"/>
      <c r="E124" s="21"/>
      <c r="F124" s="21"/>
      <c r="G124" s="21"/>
      <c r="H124" s="21"/>
      <c r="I124" s="21"/>
      <c r="J124" s="21">
        <v>200000</v>
      </c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</row>
    <row r="125" spans="1:22" hidden="1">
      <c r="A125" s="205"/>
      <c r="C125" s="223">
        <f>SUM(C121:C124)</f>
        <v>0</v>
      </c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</row>
    <row r="126" spans="1:22" hidden="1">
      <c r="A126" s="214"/>
      <c r="B126" s="25"/>
      <c r="C126" s="24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</row>
    <row r="127" spans="1:22" hidden="1">
      <c r="A127" s="201" t="s">
        <v>622</v>
      </c>
      <c r="B127" s="212" t="s">
        <v>641</v>
      </c>
      <c r="C127" s="241">
        <f>+C76</f>
        <v>338591.72083986003</v>
      </c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</row>
    <row r="128" spans="1:22" hidden="1">
      <c r="A128" s="205" t="s">
        <v>635</v>
      </c>
      <c r="B128" t="s">
        <v>549</v>
      </c>
      <c r="C128" s="223">
        <v>-73400</v>
      </c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>
        <v>73400</v>
      </c>
      <c r="O128" s="21"/>
      <c r="P128" s="21"/>
      <c r="Q128" s="21"/>
      <c r="R128" s="21"/>
      <c r="S128" s="21"/>
      <c r="T128" s="21"/>
      <c r="U128" s="21"/>
      <c r="V128" s="21"/>
    </row>
    <row r="129" spans="1:22" hidden="1">
      <c r="A129" s="205" t="s">
        <v>248</v>
      </c>
      <c r="B129" t="s">
        <v>643</v>
      </c>
      <c r="C129" s="223">
        <v>-216224</v>
      </c>
      <c r="D129" s="21"/>
      <c r="E129" s="21"/>
      <c r="F129" s="21"/>
      <c r="G129" s="21"/>
      <c r="H129" s="21"/>
      <c r="I129" s="21"/>
      <c r="J129" s="21"/>
      <c r="K129" s="21"/>
      <c r="L129" s="21">
        <f>+L76</f>
        <v>62132</v>
      </c>
      <c r="M129" s="21">
        <v>101333</v>
      </c>
      <c r="N129" s="21"/>
      <c r="O129" s="21"/>
      <c r="P129" s="21"/>
      <c r="Q129" s="21"/>
      <c r="R129" s="21"/>
      <c r="S129" s="21"/>
      <c r="T129" s="21"/>
      <c r="U129" s="21"/>
      <c r="V129" s="21"/>
    </row>
    <row r="130" spans="1:22" hidden="1">
      <c r="A130" s="205" t="s">
        <v>634</v>
      </c>
      <c r="B130" t="s">
        <v>549</v>
      </c>
      <c r="C130" s="223">
        <v>-102150</v>
      </c>
      <c r="D130" s="21"/>
      <c r="E130" s="21"/>
      <c r="F130" s="21"/>
      <c r="G130" s="21"/>
      <c r="H130" s="21"/>
      <c r="I130" s="21"/>
      <c r="J130" s="21"/>
      <c r="K130" s="21"/>
      <c r="L130" s="21"/>
      <c r="M130" s="21">
        <v>74480</v>
      </c>
      <c r="N130" s="21">
        <v>27670</v>
      </c>
      <c r="O130" s="21"/>
      <c r="P130" s="21"/>
      <c r="Q130" s="21"/>
      <c r="R130" s="21"/>
      <c r="S130" s="21"/>
      <c r="T130" s="21"/>
      <c r="U130" s="21"/>
      <c r="V130" s="21"/>
    </row>
    <row r="131" spans="1:22" hidden="1">
      <c r="A131" s="214"/>
      <c r="B131" s="25"/>
      <c r="C131" s="242">
        <f>SUM(C127:C130)</f>
        <v>-53182.279160139966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</row>
    <row r="132" spans="1:22" hidden="1">
      <c r="A132" s="201" t="s">
        <v>621</v>
      </c>
      <c r="B132" s="212" t="s">
        <v>641</v>
      </c>
      <c r="C132" s="241">
        <f>+C69</f>
        <v>1558462.06184806</v>
      </c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</row>
    <row r="133" spans="1:22" hidden="1">
      <c r="A133" s="205" t="s">
        <v>638</v>
      </c>
      <c r="B133" t="s">
        <v>549</v>
      </c>
      <c r="C133" s="223">
        <v>-102650</v>
      </c>
      <c r="D133" s="21"/>
      <c r="E133" s="21"/>
      <c r="F133" s="21">
        <v>102650</v>
      </c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</row>
    <row r="134" spans="1:22" hidden="1">
      <c r="A134" s="205" t="s">
        <v>636</v>
      </c>
      <c r="B134" t="s">
        <v>549</v>
      </c>
      <c r="C134" s="223">
        <v>-247350</v>
      </c>
      <c r="D134" s="21"/>
      <c r="E134" s="21"/>
      <c r="F134" s="21">
        <v>247350</v>
      </c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</row>
    <row r="135" spans="1:22" hidden="1">
      <c r="A135" s="205" t="s">
        <v>637</v>
      </c>
      <c r="B135" t="s">
        <v>549</v>
      </c>
      <c r="C135" s="223">
        <v>-467130</v>
      </c>
      <c r="D135" s="21"/>
      <c r="E135" s="21"/>
      <c r="F135" s="21">
        <v>136345</v>
      </c>
      <c r="G135" s="21">
        <v>111995</v>
      </c>
      <c r="H135" s="21">
        <f>+H69</f>
        <v>180880</v>
      </c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</row>
    <row r="136" spans="1:22" hidden="1">
      <c r="A136" s="205"/>
      <c r="C136" s="223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</row>
    <row r="137" spans="1:22" hidden="1">
      <c r="A137" s="214"/>
      <c r="B137" s="25"/>
      <c r="C137" s="242">
        <f>SUM(C132:C136)</f>
        <v>741332.06184806</v>
      </c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</row>
    <row r="138" spans="1:22" hidden="1">
      <c r="A138" s="201" t="s">
        <v>623</v>
      </c>
      <c r="B138" s="212" t="s">
        <v>641</v>
      </c>
      <c r="C138" s="241">
        <f>+C102</f>
        <v>368558.87410229997</v>
      </c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</row>
    <row r="139" spans="1:22" hidden="1">
      <c r="A139" s="205" t="s">
        <v>639</v>
      </c>
      <c r="B139" t="s">
        <v>643</v>
      </c>
      <c r="C139" s="223">
        <v>-214650</v>
      </c>
      <c r="D139" s="21"/>
      <c r="E139" s="21"/>
      <c r="F139" s="21">
        <v>157507</v>
      </c>
      <c r="G139" s="21">
        <v>57143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</row>
    <row r="140" spans="1:22" hidden="1">
      <c r="A140" s="205" t="s">
        <v>324</v>
      </c>
      <c r="B140" t="s">
        <v>549</v>
      </c>
      <c r="C140" s="223">
        <v>-115650</v>
      </c>
      <c r="D140" s="21"/>
      <c r="E140" s="21"/>
      <c r="F140" s="21"/>
      <c r="G140" s="21">
        <v>97857</v>
      </c>
      <c r="H140" s="21"/>
      <c r="I140" s="21">
        <v>17793</v>
      </c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</row>
    <row r="141" spans="1:22" hidden="1">
      <c r="A141" s="205" t="s">
        <v>640</v>
      </c>
      <c r="B141" t="s">
        <v>549</v>
      </c>
      <c r="C141" s="223">
        <v>-106380</v>
      </c>
      <c r="D141" s="21"/>
      <c r="E141" s="21"/>
      <c r="F141" s="21"/>
      <c r="G141" s="21"/>
      <c r="H141" s="21"/>
      <c r="I141" s="21">
        <v>57707</v>
      </c>
      <c r="J141" s="21">
        <v>48672</v>
      </c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</row>
    <row r="142" spans="1:22" hidden="1">
      <c r="A142" s="214"/>
      <c r="B142" s="25"/>
      <c r="C142" s="242">
        <f>SUM(C138:C141)</f>
        <v>-68121.125897700025</v>
      </c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</row>
    <row r="143" spans="1:22" hidden="1">
      <c r="C143" s="21"/>
      <c r="D143" s="21"/>
      <c r="E143" s="21"/>
      <c r="F143" s="21">
        <f>SUM(F121:F142)</f>
        <v>643852</v>
      </c>
      <c r="G143" s="21">
        <f t="shared" ref="G143:R143" si="13">SUM(G121:G142)</f>
        <v>266995</v>
      </c>
      <c r="H143" s="21">
        <f t="shared" si="13"/>
        <v>180880</v>
      </c>
      <c r="I143" s="21">
        <f t="shared" si="13"/>
        <v>75500</v>
      </c>
      <c r="J143" s="21">
        <f t="shared" si="13"/>
        <v>250739</v>
      </c>
      <c r="K143" s="21">
        <f t="shared" si="13"/>
        <v>0</v>
      </c>
      <c r="L143" s="21">
        <f t="shared" si="13"/>
        <v>62132</v>
      </c>
      <c r="M143" s="21">
        <f t="shared" si="13"/>
        <v>175813</v>
      </c>
      <c r="N143" s="21">
        <f t="shared" si="13"/>
        <v>101070</v>
      </c>
      <c r="O143" s="21"/>
      <c r="P143" s="21"/>
      <c r="Q143" s="21"/>
      <c r="R143" s="21">
        <f t="shared" si="13"/>
        <v>0</v>
      </c>
      <c r="S143" s="21"/>
      <c r="T143" s="21"/>
      <c r="U143" s="21"/>
      <c r="V143" s="21"/>
    </row>
    <row r="144" spans="1:22" hidden="1"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</row>
    <row r="145" spans="3:22" hidden="1">
      <c r="C145" s="21" t="s">
        <v>645</v>
      </c>
      <c r="D145" s="21"/>
      <c r="E145" s="21"/>
      <c r="F145" s="21">
        <f>SUM(F69+F73+F76+F102)</f>
        <v>0</v>
      </c>
      <c r="G145" s="21">
        <f t="shared" ref="G145:R145" si="14">SUM(G69+G73+G76+G102)</f>
        <v>0</v>
      </c>
      <c r="H145" s="21">
        <f t="shared" si="14"/>
        <v>180880</v>
      </c>
      <c r="I145" s="21">
        <f t="shared" si="14"/>
        <v>320400</v>
      </c>
      <c r="J145" s="21">
        <f t="shared" si="14"/>
        <v>200860</v>
      </c>
      <c r="K145" s="21">
        <f t="shared" si="14"/>
        <v>187571</v>
      </c>
      <c r="L145" s="21">
        <f t="shared" si="14"/>
        <v>62132</v>
      </c>
      <c r="M145" s="21">
        <f t="shared" si="14"/>
        <v>85460</v>
      </c>
      <c r="N145" s="21">
        <f t="shared" si="14"/>
        <v>20460</v>
      </c>
      <c r="O145" s="21"/>
      <c r="P145" s="21"/>
      <c r="Q145" s="21"/>
      <c r="R145" s="21">
        <f t="shared" si="14"/>
        <v>0</v>
      </c>
      <c r="S145" s="21"/>
      <c r="T145" s="21"/>
      <c r="U145" s="21"/>
      <c r="V145" s="21"/>
    </row>
    <row r="146" spans="3:22" hidden="1">
      <c r="C146" s="21" t="s">
        <v>603</v>
      </c>
      <c r="D146" s="21"/>
      <c r="E146" s="21"/>
      <c r="F146" s="21">
        <f>SUM(F143-F145)</f>
        <v>643852</v>
      </c>
      <c r="G146" s="21">
        <f t="shared" ref="G146:R146" si="15">SUM(G143-G145)</f>
        <v>266995</v>
      </c>
      <c r="H146" s="21">
        <f t="shared" si="15"/>
        <v>0</v>
      </c>
      <c r="I146" s="21">
        <f t="shared" si="15"/>
        <v>-244900</v>
      </c>
      <c r="J146" s="21">
        <f t="shared" si="15"/>
        <v>49879</v>
      </c>
      <c r="K146" s="21">
        <f t="shared" si="15"/>
        <v>-187571</v>
      </c>
      <c r="L146" s="21">
        <f t="shared" si="15"/>
        <v>0</v>
      </c>
      <c r="M146" s="21">
        <f t="shared" si="15"/>
        <v>90353</v>
      </c>
      <c r="N146" s="21">
        <f t="shared" si="15"/>
        <v>80610</v>
      </c>
      <c r="O146" s="21"/>
      <c r="P146" s="21"/>
      <c r="Q146" s="21"/>
      <c r="R146" s="21">
        <f t="shared" si="15"/>
        <v>0</v>
      </c>
      <c r="S146" s="21"/>
      <c r="T146" s="21"/>
      <c r="U146" s="21"/>
      <c r="V146" s="21"/>
    </row>
    <row r="147" spans="3:22" hidden="1"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</row>
    <row r="148" spans="3:22" hidden="1"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</row>
    <row r="149" spans="3:22"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</row>
    <row r="150" spans="3:22"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</row>
    <row r="151" spans="3:22"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</row>
    <row r="152" spans="3:22"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</row>
    <row r="153" spans="3:22"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</row>
    <row r="154" spans="3:22"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</row>
    <row r="155" spans="3:22"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</row>
    <row r="156" spans="3:22"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</row>
    <row r="157" spans="3:22"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</row>
    <row r="158" spans="3:22"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</row>
    <row r="159" spans="3:22"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</row>
    <row r="160" spans="3:22"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</row>
    <row r="161" spans="3:22"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</row>
    <row r="162" spans="3:22"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</row>
    <row r="163" spans="3:22"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</row>
    <row r="164" spans="3:22"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</row>
    <row r="165" spans="3:22"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</row>
    <row r="166" spans="3:22"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</row>
    <row r="167" spans="3:22"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</row>
    <row r="168" spans="3:22"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</row>
    <row r="169" spans="3:22"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</row>
    <row r="170" spans="3:22"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</row>
    <row r="171" spans="3:22"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</row>
    <row r="172" spans="3:22"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</row>
    <row r="173" spans="3:22"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</row>
    <row r="174" spans="3:22"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</row>
    <row r="175" spans="3:22"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</row>
    <row r="176" spans="3:22"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</row>
    <row r="177" spans="3:22"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</row>
    <row r="178" spans="3:22"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</row>
    <row r="179" spans="3:22"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</row>
    <row r="180" spans="3:22"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</row>
    <row r="181" spans="3:22"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</row>
    <row r="182" spans="3:22"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</row>
    <row r="183" spans="3:22"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</row>
    <row r="184" spans="3:22"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</row>
    <row r="185" spans="3:22"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</row>
    <row r="186" spans="3:22"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</row>
    <row r="187" spans="3:22"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</row>
    <row r="188" spans="3:22"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</row>
    <row r="189" spans="3:22"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</row>
    <row r="190" spans="3:22"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</row>
    <row r="191" spans="3:22"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</row>
    <row r="192" spans="3:22"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</row>
    <row r="193" spans="3:22"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</row>
    <row r="194" spans="3:22"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</row>
    <row r="195" spans="3:22"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</row>
    <row r="196" spans="3:22"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</row>
    <row r="197" spans="3:22"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</row>
    <row r="198" spans="3:22"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</row>
    <row r="199" spans="3:22"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</row>
    <row r="200" spans="3:22"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</row>
    <row r="201" spans="3:22"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</row>
    <row r="202" spans="3:22"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</row>
    <row r="203" spans="3:22"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</row>
    <row r="204" spans="3:22"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</row>
    <row r="205" spans="3:22"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</row>
    <row r="206" spans="3:22"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</row>
    <row r="207" spans="3:22"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</row>
    <row r="208" spans="3:22"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</row>
    <row r="209" spans="3:22"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</row>
    <row r="210" spans="3:22"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</row>
    <row r="211" spans="3:22"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</row>
    <row r="212" spans="3:22"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</row>
    <row r="213" spans="3:22"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</row>
    <row r="214" spans="3:22"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</row>
    <row r="215" spans="3:22"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</row>
    <row r="216" spans="3:22"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</row>
    <row r="217" spans="3:22"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</row>
    <row r="218" spans="3:22"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</row>
    <row r="219" spans="3:22"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</row>
    <row r="220" spans="3:22"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</row>
    <row r="221" spans="3:22"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</row>
    <row r="222" spans="3:22"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</row>
    <row r="223" spans="3:22"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</row>
    <row r="224" spans="3:22"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</row>
    <row r="225" spans="3:22"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</row>
    <row r="226" spans="3:22"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</row>
    <row r="227" spans="3:22"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</row>
    <row r="228" spans="3:22"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</row>
    <row r="229" spans="3:22"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</row>
    <row r="230" spans="3:22"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</row>
    <row r="231" spans="3:22"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</row>
    <row r="232" spans="3:22"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</row>
    <row r="233" spans="3:22"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</row>
    <row r="234" spans="3:22"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</row>
    <row r="235" spans="3:22"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</row>
    <row r="236" spans="3:22"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</row>
    <row r="237" spans="3:22"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</row>
    <row r="238" spans="3:22"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</row>
    <row r="239" spans="3:22"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</row>
    <row r="240" spans="3:22"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</row>
    <row r="241" spans="3:22"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</row>
    <row r="242" spans="3:22"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</row>
    <row r="243" spans="3:22"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</row>
    <row r="244" spans="3:22"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</row>
    <row r="245" spans="3:22"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</row>
    <row r="246" spans="3:22"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</row>
    <row r="247" spans="3:22"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</row>
    <row r="248" spans="3:22"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</row>
    <row r="249" spans="3:22"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</row>
    <row r="250" spans="3:22"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</row>
    <row r="251" spans="3:22"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</row>
    <row r="252" spans="3:22"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</row>
    <row r="253" spans="3:22"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</row>
    <row r="254" spans="3:22"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</row>
    <row r="255" spans="3:22"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</row>
    <row r="256" spans="3:22"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</row>
    <row r="257" spans="3:22"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</row>
    <row r="258" spans="3:22"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</row>
    <row r="259" spans="3:22"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</row>
    <row r="260" spans="3:22"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</row>
    <row r="261" spans="3:22"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</row>
    <row r="262" spans="3:22"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</row>
    <row r="263" spans="3:22"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</row>
    <row r="264" spans="3:22"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</row>
    <row r="265" spans="3:22"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</row>
  </sheetData>
  <mergeCells count="1">
    <mergeCell ref="C116:E116"/>
  </mergeCells>
  <phoneticPr fontId="0" type="noConversion"/>
  <pageMargins left="0.75" right="0.75" top="1" bottom="1" header="0.5" footer="0.5"/>
  <pageSetup scale="83" orientation="portrait" r:id="rId1"/>
  <headerFooter alignWithMargins="0">
    <oddFooter>&amp;L&amp;D&amp;T&amp;C&amp;F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pageSetUpPr fitToPage="1"/>
  </sheetPr>
  <dimension ref="A1:X104"/>
  <sheetViews>
    <sheetView workbookViewId="0"/>
  </sheetViews>
  <sheetFormatPr defaultColWidth="8.85546875" defaultRowHeight="12.75"/>
  <cols>
    <col min="1" max="1" width="5.85546875" customWidth="1"/>
    <col min="3" max="3" width="3.28515625" customWidth="1"/>
    <col min="4" max="4" width="52.140625" bestFit="1" customWidth="1"/>
    <col min="5" max="5" width="2.140625" customWidth="1"/>
    <col min="6" max="6" width="15" customWidth="1"/>
    <col min="7" max="7" width="3.140625" customWidth="1"/>
    <col min="8" max="8" width="15.7109375" style="34" customWidth="1"/>
    <col min="9" max="9" width="4" customWidth="1"/>
    <col min="10" max="10" width="11.7109375" style="34" customWidth="1"/>
    <col min="11" max="11" width="2.85546875" customWidth="1"/>
    <col min="12" max="12" width="13.42578125" hidden="1" customWidth="1"/>
    <col min="13" max="13" width="2.42578125" hidden="1" customWidth="1"/>
    <col min="14" max="14" width="13.42578125" customWidth="1"/>
    <col min="15" max="15" width="2" customWidth="1"/>
    <col min="16" max="16" width="15.42578125" customWidth="1"/>
    <col min="17" max="17" width="2.85546875" customWidth="1"/>
    <col min="18" max="18" width="15.42578125" customWidth="1"/>
    <col min="19" max="19" width="2" customWidth="1"/>
    <col min="20" max="20" width="14.42578125" customWidth="1"/>
    <col min="21" max="21" width="1.7109375" customWidth="1"/>
    <col min="22" max="22" width="13.42578125" customWidth="1"/>
  </cols>
  <sheetData>
    <row r="1" spans="1:24">
      <c r="A1" s="5" t="str">
        <f>+'Sources &amp; Uses'!A1</f>
        <v>Lamar Building</v>
      </c>
    </row>
    <row r="2" spans="1:24">
      <c r="A2" s="30" t="s">
        <v>761</v>
      </c>
    </row>
    <row r="3" spans="1:24">
      <c r="A3" s="30"/>
    </row>
    <row r="4" spans="1:24">
      <c r="A4" s="30"/>
      <c r="X4" s="34"/>
    </row>
    <row r="6" spans="1:24">
      <c r="A6" s="151" t="str">
        <f>+A1</f>
        <v>Lamar Building</v>
      </c>
    </row>
    <row r="7" spans="1:24">
      <c r="P7" s="306"/>
      <c r="Q7" s="306"/>
      <c r="R7" s="306"/>
      <c r="V7" s="89" t="s">
        <v>359</v>
      </c>
    </row>
    <row r="8" spans="1:24">
      <c r="H8" s="34" t="s">
        <v>351</v>
      </c>
      <c r="J8" s="34" t="s">
        <v>352</v>
      </c>
      <c r="L8" s="34" t="s">
        <v>353</v>
      </c>
      <c r="M8" s="34"/>
      <c r="N8" s="306" t="s">
        <v>354</v>
      </c>
      <c r="O8" s="306"/>
      <c r="P8" s="306" t="s">
        <v>799</v>
      </c>
      <c r="Q8" s="306"/>
      <c r="R8" s="306" t="s">
        <v>800</v>
      </c>
      <c r="T8" s="34" t="s">
        <v>354</v>
      </c>
      <c r="U8" s="34"/>
      <c r="V8" s="34" t="s">
        <v>354</v>
      </c>
    </row>
    <row r="9" spans="1:24">
      <c r="B9" s="35" t="s">
        <v>775</v>
      </c>
      <c r="D9" s="35" t="s">
        <v>390</v>
      </c>
      <c r="E9" s="34"/>
      <c r="F9" s="304" t="s">
        <v>796</v>
      </c>
      <c r="H9" s="35" t="s">
        <v>355</v>
      </c>
      <c r="J9" s="35" t="s">
        <v>356</v>
      </c>
      <c r="L9" s="14" t="s">
        <v>357</v>
      </c>
      <c r="M9" s="12"/>
      <c r="N9" s="35" t="s">
        <v>797</v>
      </c>
      <c r="O9" s="34"/>
      <c r="P9" s="35" t="s">
        <v>798</v>
      </c>
      <c r="Q9" s="34"/>
      <c r="R9" s="35" t="s">
        <v>210</v>
      </c>
      <c r="T9" s="35" t="s">
        <v>358</v>
      </c>
      <c r="U9" s="34"/>
      <c r="V9" s="35" t="s">
        <v>213</v>
      </c>
    </row>
    <row r="10" spans="1:24">
      <c r="B10" t="str">
        <f>+'Sq Footage'!B9</f>
        <v>Westside</v>
      </c>
      <c r="D10" s="316" t="s">
        <v>849</v>
      </c>
      <c r="F10" s="34">
        <v>9504</v>
      </c>
      <c r="H10" s="34" t="str">
        <f>+'Sq Footage'!C9</f>
        <v xml:space="preserve">3-1BR </v>
      </c>
      <c r="J10" s="305">
        <f>+'Sq Footage'!L9</f>
        <v>1896</v>
      </c>
      <c r="K10" s="34"/>
      <c r="L10" s="34" t="s">
        <v>661</v>
      </c>
      <c r="M10" s="34"/>
      <c r="N10" s="114">
        <f t="shared" ref="N10:R25" si="0">SUM($J10/$J$100)*N$100</f>
        <v>0</v>
      </c>
      <c r="O10" s="114"/>
      <c r="P10" s="114">
        <f t="shared" si="0"/>
        <v>0</v>
      </c>
      <c r="Q10" s="114"/>
      <c r="R10" s="114">
        <f t="shared" si="0"/>
        <v>300240.44054913521</v>
      </c>
      <c r="S10" s="34"/>
      <c r="T10" s="114">
        <f>SUM($J10/$J$100)*T$100</f>
        <v>177096.93415031413</v>
      </c>
      <c r="U10" s="115"/>
      <c r="V10" s="114">
        <f t="shared" ref="V10:V73" si="1">SUM($J10/$J$100)*V$100</f>
        <v>275821.43970829749</v>
      </c>
    </row>
    <row r="11" spans="1:24">
      <c r="B11" t="str">
        <f>+'Sq Footage'!B10</f>
        <v>Westside</v>
      </c>
      <c r="D11" s="316" t="s">
        <v>860</v>
      </c>
      <c r="F11" s="34">
        <v>9504</v>
      </c>
      <c r="H11" s="34" t="str">
        <f>+'Sq Footage'!C10</f>
        <v xml:space="preserve">3-1BR </v>
      </c>
      <c r="J11" s="305">
        <f>+'Sq Footage'!L10</f>
        <v>1896</v>
      </c>
      <c r="K11" s="34"/>
      <c r="L11" s="34" t="s">
        <v>661</v>
      </c>
      <c r="M11" s="34"/>
      <c r="N11" s="114">
        <f t="shared" si="0"/>
        <v>0</v>
      </c>
      <c r="O11" s="34"/>
      <c r="P11" s="114">
        <f t="shared" si="0"/>
        <v>0</v>
      </c>
      <c r="Q11" s="34"/>
      <c r="R11" s="114">
        <f t="shared" si="0"/>
        <v>300240.44054913521</v>
      </c>
      <c r="S11" s="34"/>
      <c r="T11" s="114">
        <f t="shared" ref="T11:T19" si="2">SUM(J11/J$100)*T$100</f>
        <v>177096.93415031413</v>
      </c>
      <c r="U11" s="115"/>
      <c r="V11" s="114">
        <f t="shared" si="1"/>
        <v>275821.43970829749</v>
      </c>
    </row>
    <row r="12" spans="1:24">
      <c r="B12" t="str">
        <f>+'Sq Footage'!B11</f>
        <v>Westside</v>
      </c>
      <c r="D12" s="316" t="s">
        <v>861</v>
      </c>
      <c r="F12" s="34">
        <v>9504</v>
      </c>
      <c r="H12" s="34" t="str">
        <f>+'Sq Footage'!C11</f>
        <v xml:space="preserve">3-1BR </v>
      </c>
      <c r="J12" s="305">
        <f>+'Sq Footage'!L11</f>
        <v>1896</v>
      </c>
      <c r="K12" s="34"/>
      <c r="L12" s="34" t="s">
        <v>661</v>
      </c>
      <c r="M12" s="34"/>
      <c r="N12" s="114">
        <f t="shared" si="0"/>
        <v>0</v>
      </c>
      <c r="O12" s="34"/>
      <c r="P12" s="114">
        <f t="shared" si="0"/>
        <v>0</v>
      </c>
      <c r="Q12" s="34"/>
      <c r="R12" s="114">
        <f t="shared" si="0"/>
        <v>300240.44054913521</v>
      </c>
      <c r="S12" s="34"/>
      <c r="T12" s="114">
        <f t="shared" si="2"/>
        <v>177096.93415031413</v>
      </c>
      <c r="U12" s="115"/>
      <c r="V12" s="114">
        <f t="shared" si="1"/>
        <v>275821.43970829749</v>
      </c>
    </row>
    <row r="13" spans="1:24">
      <c r="B13" t="str">
        <f>+'Sq Footage'!B12</f>
        <v>Westside</v>
      </c>
      <c r="D13" s="316" t="s">
        <v>866</v>
      </c>
      <c r="F13" s="34">
        <v>9504</v>
      </c>
      <c r="H13" s="34" t="str">
        <f>+'Sq Footage'!C12</f>
        <v xml:space="preserve">3-1BR </v>
      </c>
      <c r="J13" s="305">
        <f>+'Sq Footage'!L12</f>
        <v>1896</v>
      </c>
      <c r="K13" s="12"/>
      <c r="L13" s="34" t="s">
        <v>661</v>
      </c>
      <c r="M13" s="34"/>
      <c r="N13" s="114">
        <f t="shared" si="0"/>
        <v>0</v>
      </c>
      <c r="O13" s="34"/>
      <c r="P13" s="114">
        <f t="shared" si="0"/>
        <v>0</v>
      </c>
      <c r="Q13" s="34"/>
      <c r="R13" s="114">
        <f t="shared" si="0"/>
        <v>300240.44054913521</v>
      </c>
      <c r="S13" s="34"/>
      <c r="T13" s="114">
        <f t="shared" si="2"/>
        <v>177096.93415031413</v>
      </c>
      <c r="U13" s="115"/>
      <c r="V13" s="114">
        <f t="shared" si="1"/>
        <v>275821.43970829749</v>
      </c>
    </row>
    <row r="14" spans="1:24">
      <c r="B14" t="str">
        <f>+'Sq Footage'!B13</f>
        <v>Westside</v>
      </c>
      <c r="D14" s="316" t="s">
        <v>828</v>
      </c>
      <c r="F14" s="34">
        <v>9504</v>
      </c>
      <c r="H14" s="34" t="str">
        <f>+'Sq Footage'!C13</f>
        <v>2-2BR</v>
      </c>
      <c r="J14" s="305">
        <f>+'Sq Footage'!L13</f>
        <v>1640</v>
      </c>
      <c r="K14" s="12"/>
      <c r="L14" s="34" t="s">
        <v>661</v>
      </c>
      <c r="M14" s="34"/>
      <c r="N14" s="114">
        <f t="shared" si="0"/>
        <v>0</v>
      </c>
      <c r="O14" s="34"/>
      <c r="P14" s="114">
        <f t="shared" si="0"/>
        <v>0</v>
      </c>
      <c r="Q14" s="34"/>
      <c r="R14" s="114">
        <f t="shared" si="0"/>
        <v>259701.64688849245</v>
      </c>
      <c r="S14" s="34"/>
      <c r="T14" s="114">
        <f t="shared" si="2"/>
        <v>153185.11181778225</v>
      </c>
      <c r="U14" s="115"/>
      <c r="V14" s="114">
        <f t="shared" si="1"/>
        <v>238579.72632996197</v>
      </c>
    </row>
    <row r="15" spans="1:24">
      <c r="B15" t="str">
        <f>+'Sq Footage'!B14</f>
        <v>Westside</v>
      </c>
      <c r="D15" s="316" t="s">
        <v>829</v>
      </c>
      <c r="F15" s="34">
        <v>9504</v>
      </c>
      <c r="H15" s="34" t="str">
        <f>+'Sq Footage'!C14</f>
        <v>2-2BR</v>
      </c>
      <c r="J15" s="305">
        <f>+'Sq Footage'!L14</f>
        <v>1640</v>
      </c>
      <c r="K15" s="34"/>
      <c r="L15" s="34" t="s">
        <v>661</v>
      </c>
      <c r="M15" s="34"/>
      <c r="N15" s="114">
        <f t="shared" si="0"/>
        <v>0</v>
      </c>
      <c r="O15" s="34"/>
      <c r="P15" s="114">
        <f t="shared" si="0"/>
        <v>0</v>
      </c>
      <c r="Q15" s="34"/>
      <c r="R15" s="114">
        <f t="shared" si="0"/>
        <v>259701.64688849245</v>
      </c>
      <c r="S15" s="34"/>
      <c r="T15" s="114">
        <f t="shared" si="2"/>
        <v>153185.11181778225</v>
      </c>
      <c r="U15" s="115"/>
      <c r="V15" s="114">
        <f t="shared" si="1"/>
        <v>238579.72632996197</v>
      </c>
    </row>
    <row r="16" spans="1:24">
      <c r="B16" t="str">
        <f>+'Sq Footage'!B15</f>
        <v>Westside</v>
      </c>
      <c r="D16" s="316" t="s">
        <v>831</v>
      </c>
      <c r="F16" s="34">
        <v>9504</v>
      </c>
      <c r="H16" s="34" t="str">
        <f>+'Sq Footage'!C15</f>
        <v>2-2BR</v>
      </c>
      <c r="J16" s="305">
        <f>+'Sq Footage'!L15</f>
        <v>1640</v>
      </c>
      <c r="K16" s="34"/>
      <c r="L16" s="34" t="s">
        <v>661</v>
      </c>
      <c r="M16" s="34"/>
      <c r="N16" s="114">
        <f t="shared" si="0"/>
        <v>0</v>
      </c>
      <c r="O16" s="34"/>
      <c r="P16" s="114">
        <f t="shared" si="0"/>
        <v>0</v>
      </c>
      <c r="Q16" s="34"/>
      <c r="R16" s="114">
        <f t="shared" si="0"/>
        <v>259701.64688849245</v>
      </c>
      <c r="S16" s="34"/>
      <c r="T16" s="114">
        <f t="shared" si="2"/>
        <v>153185.11181778225</v>
      </c>
      <c r="U16" s="115"/>
      <c r="V16" s="114">
        <f t="shared" si="1"/>
        <v>238579.72632996197</v>
      </c>
    </row>
    <row r="17" spans="2:22">
      <c r="B17" t="str">
        <f>+'Sq Footage'!B16</f>
        <v>Westside</v>
      </c>
      <c r="D17" s="316" t="s">
        <v>833</v>
      </c>
      <c r="F17" s="34">
        <v>9504</v>
      </c>
      <c r="H17" s="34" t="str">
        <f>+'Sq Footage'!C16</f>
        <v>2-2BR</v>
      </c>
      <c r="J17" s="305">
        <f>+'Sq Footage'!L16</f>
        <v>1640</v>
      </c>
      <c r="K17" s="12"/>
      <c r="L17" s="34" t="s">
        <v>661</v>
      </c>
      <c r="M17" s="34"/>
      <c r="N17" s="114">
        <f t="shared" si="0"/>
        <v>0</v>
      </c>
      <c r="O17" s="34"/>
      <c r="P17" s="114">
        <f t="shared" si="0"/>
        <v>0</v>
      </c>
      <c r="Q17" s="34"/>
      <c r="R17" s="114">
        <f t="shared" si="0"/>
        <v>259701.64688849245</v>
      </c>
      <c r="S17" s="34"/>
      <c r="T17" s="114">
        <f t="shared" si="2"/>
        <v>153185.11181778225</v>
      </c>
      <c r="U17" s="115"/>
      <c r="V17" s="114">
        <f t="shared" si="1"/>
        <v>238579.72632996197</v>
      </c>
    </row>
    <row r="18" spans="2:22">
      <c r="B18" t="str">
        <f>+'Sq Footage'!B17</f>
        <v>Westside</v>
      </c>
      <c r="D18" s="316" t="s">
        <v>835</v>
      </c>
      <c r="F18" s="34">
        <v>9504</v>
      </c>
      <c r="H18" s="34" t="str">
        <f>+'Sq Footage'!C17</f>
        <v>2-2BR</v>
      </c>
      <c r="J18" s="305">
        <f>+'Sq Footage'!L17</f>
        <v>1640</v>
      </c>
      <c r="K18" s="34"/>
      <c r="L18" s="34" t="s">
        <v>661</v>
      </c>
      <c r="M18" s="34"/>
      <c r="N18" s="114">
        <f t="shared" si="0"/>
        <v>0</v>
      </c>
      <c r="O18" s="34"/>
      <c r="P18" s="114">
        <f t="shared" si="0"/>
        <v>0</v>
      </c>
      <c r="Q18" s="34"/>
      <c r="R18" s="114">
        <f t="shared" si="0"/>
        <v>259701.64688849245</v>
      </c>
      <c r="S18" s="34"/>
      <c r="T18" s="114">
        <f t="shared" si="2"/>
        <v>153185.11181778225</v>
      </c>
      <c r="U18" s="115"/>
      <c r="V18" s="114">
        <f t="shared" si="1"/>
        <v>238579.72632996197</v>
      </c>
    </row>
    <row r="19" spans="2:22">
      <c r="B19" t="str">
        <f>+'Sq Footage'!B18</f>
        <v>Westside</v>
      </c>
      <c r="D19" s="316" t="s">
        <v>836</v>
      </c>
      <c r="F19" s="34">
        <v>9504</v>
      </c>
      <c r="H19" s="34" t="str">
        <f>+'Sq Footage'!C18</f>
        <v>2-2BR</v>
      </c>
      <c r="J19" s="305">
        <f>+'Sq Footage'!L18</f>
        <v>1640</v>
      </c>
      <c r="K19" s="34"/>
      <c r="L19" s="34" t="s">
        <v>661</v>
      </c>
      <c r="M19" s="34"/>
      <c r="N19" s="114">
        <f t="shared" si="0"/>
        <v>0</v>
      </c>
      <c r="O19" s="34"/>
      <c r="P19" s="114">
        <f t="shared" si="0"/>
        <v>0</v>
      </c>
      <c r="Q19" s="34"/>
      <c r="R19" s="114">
        <f t="shared" si="0"/>
        <v>259701.64688849245</v>
      </c>
      <c r="S19" s="34"/>
      <c r="T19" s="114">
        <f t="shared" si="2"/>
        <v>153185.11181778225</v>
      </c>
      <c r="U19" s="115"/>
      <c r="V19" s="114">
        <f t="shared" si="1"/>
        <v>238579.72632996197</v>
      </c>
    </row>
    <row r="20" spans="2:22">
      <c r="B20" t="str">
        <f>+'Sq Footage'!B19</f>
        <v>Westside</v>
      </c>
      <c r="D20" s="316" t="s">
        <v>840</v>
      </c>
      <c r="F20" s="34">
        <v>9504</v>
      </c>
      <c r="H20" s="34" t="str">
        <f>+'Sq Footage'!C19</f>
        <v>2-2BR</v>
      </c>
      <c r="J20" s="305">
        <f>+'Sq Footage'!L19</f>
        <v>1640</v>
      </c>
      <c r="K20" s="34"/>
      <c r="L20" s="34" t="s">
        <v>661</v>
      </c>
      <c r="M20" s="34"/>
      <c r="N20" s="114">
        <f t="shared" si="0"/>
        <v>0</v>
      </c>
      <c r="O20" s="34"/>
      <c r="P20" s="114">
        <f t="shared" si="0"/>
        <v>0</v>
      </c>
      <c r="Q20" s="34"/>
      <c r="R20" s="114">
        <f t="shared" si="0"/>
        <v>259701.64688849245</v>
      </c>
      <c r="S20" s="34"/>
      <c r="T20" s="114">
        <f t="shared" ref="T20:T83" si="3">SUM(J20/J$100)*T$100</f>
        <v>153185.11181778225</v>
      </c>
      <c r="U20" s="115"/>
      <c r="V20" s="114">
        <f t="shared" si="1"/>
        <v>238579.72632996197</v>
      </c>
    </row>
    <row r="21" spans="2:22">
      <c r="B21" t="str">
        <f>+'Sq Footage'!B20</f>
        <v>Westside</v>
      </c>
      <c r="D21" s="316" t="s">
        <v>841</v>
      </c>
      <c r="F21" s="34">
        <v>9504</v>
      </c>
      <c r="H21" s="34" t="str">
        <f>+'Sq Footage'!C20</f>
        <v>2-2BR</v>
      </c>
      <c r="J21" s="305">
        <f>+'Sq Footage'!L20</f>
        <v>1640</v>
      </c>
      <c r="K21" s="34"/>
      <c r="L21" s="34" t="s">
        <v>661</v>
      </c>
      <c r="M21" s="34"/>
      <c r="N21" s="114">
        <f t="shared" si="0"/>
        <v>0</v>
      </c>
      <c r="O21" s="34"/>
      <c r="P21" s="114">
        <f t="shared" si="0"/>
        <v>0</v>
      </c>
      <c r="Q21" s="34"/>
      <c r="R21" s="114">
        <f t="shared" si="0"/>
        <v>259701.64688849245</v>
      </c>
      <c r="S21" s="34"/>
      <c r="T21" s="114">
        <f t="shared" si="3"/>
        <v>153185.11181778225</v>
      </c>
      <c r="U21" s="115"/>
      <c r="V21" s="114">
        <f t="shared" si="1"/>
        <v>238579.72632996197</v>
      </c>
    </row>
    <row r="22" spans="2:22">
      <c r="B22" t="str">
        <f>+'Sq Footage'!B21</f>
        <v>Westside</v>
      </c>
      <c r="D22" s="316" t="s">
        <v>844</v>
      </c>
      <c r="F22" s="34">
        <v>9504</v>
      </c>
      <c r="H22" s="34" t="str">
        <f>+'Sq Footage'!C21</f>
        <v>2-2BR</v>
      </c>
      <c r="J22" s="305">
        <f>+'Sq Footage'!L21</f>
        <v>1640</v>
      </c>
      <c r="K22" s="34"/>
      <c r="L22" s="34" t="s">
        <v>661</v>
      </c>
      <c r="M22" s="34"/>
      <c r="N22" s="114">
        <f t="shared" si="0"/>
        <v>0</v>
      </c>
      <c r="O22" s="34"/>
      <c r="P22" s="114">
        <f t="shared" si="0"/>
        <v>0</v>
      </c>
      <c r="Q22" s="34"/>
      <c r="R22" s="114">
        <f t="shared" si="0"/>
        <v>259701.64688849245</v>
      </c>
      <c r="S22" s="34"/>
      <c r="T22" s="114">
        <f t="shared" si="3"/>
        <v>153185.11181778225</v>
      </c>
      <c r="U22" s="115"/>
      <c r="V22" s="114">
        <f t="shared" si="1"/>
        <v>238579.72632996197</v>
      </c>
    </row>
    <row r="23" spans="2:22">
      <c r="B23" t="str">
        <f>+'Sq Footage'!B22</f>
        <v>Westside</v>
      </c>
      <c r="D23" s="316" t="s">
        <v>845</v>
      </c>
      <c r="F23" s="34">
        <v>9504</v>
      </c>
      <c r="H23" s="34" t="str">
        <f>+'Sq Footage'!C22</f>
        <v>2-2BR</v>
      </c>
      <c r="J23" s="305">
        <f>+'Sq Footage'!L22</f>
        <v>1640</v>
      </c>
      <c r="K23" s="34"/>
      <c r="L23" s="34" t="s">
        <v>661</v>
      </c>
      <c r="M23" s="34"/>
      <c r="N23" s="114">
        <f t="shared" si="0"/>
        <v>0</v>
      </c>
      <c r="O23" s="34"/>
      <c r="P23" s="114">
        <f t="shared" si="0"/>
        <v>0</v>
      </c>
      <c r="Q23" s="34"/>
      <c r="R23" s="114">
        <f t="shared" si="0"/>
        <v>259701.64688849245</v>
      </c>
      <c r="S23" s="34"/>
      <c r="T23" s="114">
        <f t="shared" si="3"/>
        <v>153185.11181778225</v>
      </c>
      <c r="U23" s="115"/>
      <c r="V23" s="114">
        <f t="shared" si="1"/>
        <v>238579.72632996197</v>
      </c>
    </row>
    <row r="24" spans="2:22">
      <c r="B24" t="str">
        <f>+'Sq Footage'!B23</f>
        <v>Westside</v>
      </c>
      <c r="D24" s="316" t="s">
        <v>846</v>
      </c>
      <c r="F24" s="34">
        <v>9504</v>
      </c>
      <c r="H24" s="34" t="str">
        <f>+'Sq Footage'!C23</f>
        <v>2-2BR</v>
      </c>
      <c r="J24" s="305">
        <f>+'Sq Footage'!L23</f>
        <v>1640</v>
      </c>
      <c r="K24" s="34"/>
      <c r="L24" s="34" t="s">
        <v>661</v>
      </c>
      <c r="M24" s="34"/>
      <c r="N24" s="114">
        <f t="shared" si="0"/>
        <v>0</v>
      </c>
      <c r="O24" s="34"/>
      <c r="P24" s="114">
        <f t="shared" si="0"/>
        <v>0</v>
      </c>
      <c r="Q24" s="34"/>
      <c r="R24" s="114">
        <f t="shared" si="0"/>
        <v>259701.64688849245</v>
      </c>
      <c r="S24" s="34"/>
      <c r="T24" s="114">
        <f t="shared" si="3"/>
        <v>153185.11181778225</v>
      </c>
      <c r="U24" s="115"/>
      <c r="V24" s="114">
        <f t="shared" si="1"/>
        <v>238579.72632996197</v>
      </c>
    </row>
    <row r="25" spans="2:22">
      <c r="B25" t="str">
        <f>+'Sq Footage'!B24</f>
        <v>Westside</v>
      </c>
      <c r="D25" s="316" t="s">
        <v>847</v>
      </c>
      <c r="F25" s="34">
        <v>9504</v>
      </c>
      <c r="H25" s="34" t="str">
        <f>+'Sq Footage'!C24</f>
        <v>2-2BR</v>
      </c>
      <c r="J25" s="305">
        <f>+'Sq Footage'!L24</f>
        <v>1640</v>
      </c>
      <c r="K25" s="34"/>
      <c r="L25" s="34" t="s">
        <v>661</v>
      </c>
      <c r="M25" s="34"/>
      <c r="N25" s="114">
        <f t="shared" si="0"/>
        <v>0</v>
      </c>
      <c r="O25" s="34"/>
      <c r="P25" s="114">
        <f t="shared" si="0"/>
        <v>0</v>
      </c>
      <c r="Q25" s="34"/>
      <c r="R25" s="114">
        <f t="shared" si="0"/>
        <v>259701.64688849245</v>
      </c>
      <c r="S25" s="34"/>
      <c r="T25" s="114">
        <f t="shared" si="3"/>
        <v>153185.11181778225</v>
      </c>
      <c r="U25" s="115"/>
      <c r="V25" s="114">
        <f t="shared" si="1"/>
        <v>238579.72632996197</v>
      </c>
    </row>
    <row r="26" spans="2:22">
      <c r="B26" t="str">
        <f>+'Sq Footage'!B25</f>
        <v>Westside</v>
      </c>
      <c r="D26" s="316" t="s">
        <v>848</v>
      </c>
      <c r="F26" s="34">
        <v>9504</v>
      </c>
      <c r="H26" s="34" t="str">
        <f>+'Sq Footage'!C25</f>
        <v>2-2BR</v>
      </c>
      <c r="J26" s="305">
        <f>+'Sq Footage'!L25</f>
        <v>1640</v>
      </c>
      <c r="K26" s="34"/>
      <c r="L26" s="34" t="s">
        <v>661</v>
      </c>
      <c r="M26" s="34"/>
      <c r="N26" s="114">
        <f t="shared" ref="N26:N89" si="4">SUM($J26/$J$100)*N$100</f>
        <v>0</v>
      </c>
      <c r="O26" s="34"/>
      <c r="P26" s="114">
        <f t="shared" ref="P26:P89" si="5">SUM($J26/$J$100)*P$100</f>
        <v>0</v>
      </c>
      <c r="Q26" s="34"/>
      <c r="R26" s="114">
        <f t="shared" ref="R26:R89" si="6">SUM($J26/$J$100)*R$100</f>
        <v>259701.64688849245</v>
      </c>
      <c r="S26" s="34"/>
      <c r="T26" s="114">
        <f t="shared" si="3"/>
        <v>153185.11181778225</v>
      </c>
      <c r="U26" s="115"/>
      <c r="V26" s="114">
        <f t="shared" si="1"/>
        <v>238579.72632996197</v>
      </c>
    </row>
    <row r="27" spans="2:22">
      <c r="B27" t="str">
        <f>+'Sq Footage'!B26</f>
        <v>Westside</v>
      </c>
      <c r="D27" s="316" t="s">
        <v>850</v>
      </c>
      <c r="F27" s="34">
        <v>9504</v>
      </c>
      <c r="H27" s="34" t="str">
        <f>+'Sq Footage'!C26</f>
        <v>2-2BR</v>
      </c>
      <c r="J27" s="305">
        <f>+'Sq Footage'!L26</f>
        <v>1640</v>
      </c>
      <c r="K27" s="34"/>
      <c r="L27" s="34" t="s">
        <v>661</v>
      </c>
      <c r="M27" s="34"/>
      <c r="N27" s="114">
        <f t="shared" si="4"/>
        <v>0</v>
      </c>
      <c r="O27" s="34"/>
      <c r="P27" s="114">
        <f t="shared" si="5"/>
        <v>0</v>
      </c>
      <c r="Q27" s="34"/>
      <c r="R27" s="114">
        <f t="shared" si="6"/>
        <v>259701.64688849245</v>
      </c>
      <c r="S27" s="34"/>
      <c r="T27" s="114">
        <f t="shared" si="3"/>
        <v>153185.11181778225</v>
      </c>
      <c r="U27" s="115"/>
      <c r="V27" s="114">
        <f t="shared" si="1"/>
        <v>238579.72632996197</v>
      </c>
    </row>
    <row r="28" spans="2:22">
      <c r="B28" t="str">
        <f>+'Sq Footage'!B27</f>
        <v>Westside</v>
      </c>
      <c r="D28" s="316" t="s">
        <v>851</v>
      </c>
      <c r="F28" s="34">
        <v>9504</v>
      </c>
      <c r="H28" s="34" t="str">
        <f>+'Sq Footage'!C27</f>
        <v>2-2BR</v>
      </c>
      <c r="J28" s="305">
        <f>+'Sq Footage'!L27</f>
        <v>1640</v>
      </c>
      <c r="K28" s="34"/>
      <c r="L28" s="34" t="s">
        <v>661</v>
      </c>
      <c r="M28" s="34"/>
      <c r="N28" s="114">
        <f t="shared" si="4"/>
        <v>0</v>
      </c>
      <c r="O28" s="34"/>
      <c r="P28" s="114">
        <f t="shared" si="5"/>
        <v>0</v>
      </c>
      <c r="Q28" s="34"/>
      <c r="R28" s="114">
        <f t="shared" si="6"/>
        <v>259701.64688849245</v>
      </c>
      <c r="S28" s="34"/>
      <c r="T28" s="114">
        <f t="shared" si="3"/>
        <v>153185.11181778225</v>
      </c>
      <c r="U28" s="115"/>
      <c r="V28" s="114">
        <f t="shared" si="1"/>
        <v>238579.72632996197</v>
      </c>
    </row>
    <row r="29" spans="2:22">
      <c r="B29" t="str">
        <f>+'Sq Footage'!B28</f>
        <v>Westside</v>
      </c>
      <c r="D29" s="316" t="s">
        <v>852</v>
      </c>
      <c r="F29" s="34">
        <v>9504</v>
      </c>
      <c r="H29" s="34" t="str">
        <f>+'Sq Footage'!C28</f>
        <v>2-2BR</v>
      </c>
      <c r="J29" s="305">
        <f>+'Sq Footage'!L28</f>
        <v>1640</v>
      </c>
      <c r="K29" s="34"/>
      <c r="L29" s="34" t="s">
        <v>661</v>
      </c>
      <c r="M29" s="34"/>
      <c r="N29" s="114">
        <f t="shared" si="4"/>
        <v>0</v>
      </c>
      <c r="O29" s="34"/>
      <c r="P29" s="114">
        <f t="shared" si="5"/>
        <v>0</v>
      </c>
      <c r="Q29" s="34"/>
      <c r="R29" s="114">
        <f t="shared" si="6"/>
        <v>259701.64688849245</v>
      </c>
      <c r="S29" s="34"/>
      <c r="T29" s="114">
        <f t="shared" si="3"/>
        <v>153185.11181778225</v>
      </c>
      <c r="U29" s="115"/>
      <c r="V29" s="114">
        <f t="shared" si="1"/>
        <v>238579.72632996197</v>
      </c>
    </row>
    <row r="30" spans="2:22">
      <c r="B30" t="str">
        <f>+'Sq Footage'!B29</f>
        <v>Westside</v>
      </c>
      <c r="D30" s="316" t="s">
        <v>853</v>
      </c>
      <c r="F30" s="34">
        <v>9504</v>
      </c>
      <c r="H30" s="34" t="str">
        <f>+'Sq Footage'!C29</f>
        <v>2-2BR</v>
      </c>
      <c r="J30" s="305">
        <f>+'Sq Footage'!L29</f>
        <v>1640</v>
      </c>
      <c r="K30" s="34"/>
      <c r="L30" s="34" t="s">
        <v>661</v>
      </c>
      <c r="M30" s="34"/>
      <c r="N30" s="114">
        <f t="shared" si="4"/>
        <v>0</v>
      </c>
      <c r="O30" s="34"/>
      <c r="P30" s="114">
        <f t="shared" si="5"/>
        <v>0</v>
      </c>
      <c r="Q30" s="34"/>
      <c r="R30" s="114">
        <f t="shared" si="6"/>
        <v>259701.64688849245</v>
      </c>
      <c r="S30" s="34"/>
      <c r="T30" s="114">
        <f t="shared" si="3"/>
        <v>153185.11181778225</v>
      </c>
      <c r="U30" s="115"/>
      <c r="V30" s="114">
        <f t="shared" si="1"/>
        <v>238579.72632996197</v>
      </c>
    </row>
    <row r="31" spans="2:22">
      <c r="B31" t="str">
        <f>+'Sq Footage'!B30</f>
        <v>Westside</v>
      </c>
      <c r="D31" s="316" t="s">
        <v>854</v>
      </c>
      <c r="F31" s="34">
        <v>9504</v>
      </c>
      <c r="H31" s="34" t="str">
        <f>+'Sq Footage'!C30</f>
        <v>2-2BR</v>
      </c>
      <c r="J31" s="305">
        <f>+'Sq Footage'!L30</f>
        <v>1640</v>
      </c>
      <c r="K31" s="34"/>
      <c r="L31" s="34" t="s">
        <v>661</v>
      </c>
      <c r="M31" s="34"/>
      <c r="N31" s="114">
        <f t="shared" si="4"/>
        <v>0</v>
      </c>
      <c r="O31" s="34"/>
      <c r="P31" s="114">
        <f t="shared" si="5"/>
        <v>0</v>
      </c>
      <c r="Q31" s="34"/>
      <c r="R31" s="114">
        <f t="shared" si="6"/>
        <v>259701.64688849245</v>
      </c>
      <c r="S31" s="34"/>
      <c r="T31" s="114">
        <f t="shared" si="3"/>
        <v>153185.11181778225</v>
      </c>
      <c r="U31" s="115"/>
      <c r="V31" s="114">
        <f t="shared" si="1"/>
        <v>238579.72632996197</v>
      </c>
    </row>
    <row r="32" spans="2:22">
      <c r="B32" t="str">
        <f>+'Sq Footage'!B31</f>
        <v>Westside</v>
      </c>
      <c r="D32" s="316" t="s">
        <v>855</v>
      </c>
      <c r="F32" s="34">
        <v>9504</v>
      </c>
      <c r="H32" s="34" t="str">
        <f>+'Sq Footage'!C31</f>
        <v>2-2BR</v>
      </c>
      <c r="J32" s="305">
        <f>+'Sq Footage'!L31</f>
        <v>1640</v>
      </c>
      <c r="K32" s="34"/>
      <c r="L32" s="34" t="s">
        <v>661</v>
      </c>
      <c r="M32" s="34"/>
      <c r="N32" s="114">
        <f t="shared" si="4"/>
        <v>0</v>
      </c>
      <c r="O32" s="34"/>
      <c r="P32" s="114">
        <f t="shared" si="5"/>
        <v>0</v>
      </c>
      <c r="Q32" s="34"/>
      <c r="R32" s="114">
        <f t="shared" si="6"/>
        <v>259701.64688849245</v>
      </c>
      <c r="S32" s="34"/>
      <c r="T32" s="114">
        <f t="shared" si="3"/>
        <v>153185.11181778225</v>
      </c>
      <c r="U32" s="115"/>
      <c r="V32" s="114">
        <f t="shared" si="1"/>
        <v>238579.72632996197</v>
      </c>
    </row>
    <row r="33" spans="2:22">
      <c r="B33" t="str">
        <f>+'Sq Footage'!B32</f>
        <v>Westside</v>
      </c>
      <c r="D33" s="316" t="s">
        <v>857</v>
      </c>
      <c r="F33" s="34">
        <v>9504</v>
      </c>
      <c r="H33" s="34" t="str">
        <f>+'Sq Footage'!C32</f>
        <v>2-2BR</v>
      </c>
      <c r="J33" s="305">
        <f>+'Sq Footage'!L32</f>
        <v>1640</v>
      </c>
      <c r="K33" s="34"/>
      <c r="L33" s="34" t="s">
        <v>661</v>
      </c>
      <c r="M33" s="34"/>
      <c r="N33" s="114">
        <f t="shared" si="4"/>
        <v>0</v>
      </c>
      <c r="O33" s="34"/>
      <c r="P33" s="114">
        <f t="shared" si="5"/>
        <v>0</v>
      </c>
      <c r="Q33" s="34"/>
      <c r="R33" s="114">
        <f t="shared" si="6"/>
        <v>259701.64688849245</v>
      </c>
      <c r="S33" s="34"/>
      <c r="T33" s="114">
        <f t="shared" si="3"/>
        <v>153185.11181778225</v>
      </c>
      <c r="U33" s="115"/>
      <c r="V33" s="114">
        <f t="shared" si="1"/>
        <v>238579.72632996197</v>
      </c>
    </row>
    <row r="34" spans="2:22">
      <c r="B34" t="str">
        <f>+'Sq Footage'!B33</f>
        <v>Westside</v>
      </c>
      <c r="D34" s="293" t="s">
        <v>856</v>
      </c>
      <c r="F34" s="34">
        <v>9504</v>
      </c>
      <c r="H34" s="34" t="str">
        <f>+'Sq Footage'!C33</f>
        <v>2-2BR</v>
      </c>
      <c r="J34" s="305">
        <f>+'Sq Footage'!L33</f>
        <v>1640</v>
      </c>
      <c r="K34" s="34"/>
      <c r="L34" s="34" t="s">
        <v>661</v>
      </c>
      <c r="M34" s="34"/>
      <c r="N34" s="114">
        <f t="shared" si="4"/>
        <v>0</v>
      </c>
      <c r="O34" s="34"/>
      <c r="P34" s="114">
        <f t="shared" si="5"/>
        <v>0</v>
      </c>
      <c r="Q34" s="34"/>
      <c r="R34" s="114">
        <f t="shared" si="6"/>
        <v>259701.64688849245</v>
      </c>
      <c r="S34" s="34"/>
      <c r="T34" s="114">
        <f t="shared" si="3"/>
        <v>153185.11181778225</v>
      </c>
      <c r="U34" s="115"/>
      <c r="V34" s="114">
        <f t="shared" si="1"/>
        <v>238579.72632996197</v>
      </c>
    </row>
    <row r="35" spans="2:22">
      <c r="B35" t="str">
        <f>+'Sq Footage'!B34</f>
        <v>Westside</v>
      </c>
      <c r="D35" s="316" t="s">
        <v>858</v>
      </c>
      <c r="F35" s="34">
        <v>9504</v>
      </c>
      <c r="H35" s="34" t="str">
        <f>+'Sq Footage'!C34</f>
        <v>2-3BR</v>
      </c>
      <c r="J35" s="305">
        <f>+'Sq Footage'!L34</f>
        <v>2088</v>
      </c>
      <c r="K35" s="34"/>
      <c r="L35" s="34" t="s">
        <v>661</v>
      </c>
      <c r="M35" s="34"/>
      <c r="N35" s="114">
        <f t="shared" si="4"/>
        <v>0</v>
      </c>
      <c r="O35" s="34"/>
      <c r="P35" s="114">
        <f t="shared" si="5"/>
        <v>0</v>
      </c>
      <c r="Q35" s="34"/>
      <c r="R35" s="114">
        <f t="shared" si="6"/>
        <v>330644.5357946172</v>
      </c>
      <c r="S35" s="34"/>
      <c r="T35" s="114">
        <f t="shared" si="3"/>
        <v>195030.80089971301</v>
      </c>
      <c r="U35" s="115"/>
      <c r="V35" s="114">
        <f t="shared" si="1"/>
        <v>303752.72474204912</v>
      </c>
    </row>
    <row r="36" spans="2:22">
      <c r="B36" t="str">
        <f>+'Sq Footage'!B35</f>
        <v>Westside</v>
      </c>
      <c r="D36" s="316" t="s">
        <v>859</v>
      </c>
      <c r="F36" s="34">
        <v>9504</v>
      </c>
      <c r="H36" s="34" t="str">
        <f>+'Sq Footage'!C35</f>
        <v>2-3BR</v>
      </c>
      <c r="J36" s="305">
        <f>+'Sq Footage'!L35</f>
        <v>2088</v>
      </c>
      <c r="K36" s="34"/>
      <c r="L36" s="34" t="s">
        <v>661</v>
      </c>
      <c r="M36" s="34"/>
      <c r="N36" s="114">
        <f t="shared" si="4"/>
        <v>0</v>
      </c>
      <c r="O36" s="34"/>
      <c r="P36" s="114">
        <f t="shared" si="5"/>
        <v>0</v>
      </c>
      <c r="Q36" s="34"/>
      <c r="R36" s="114">
        <f t="shared" si="6"/>
        <v>330644.5357946172</v>
      </c>
      <c r="S36" s="34"/>
      <c r="T36" s="114">
        <f t="shared" si="3"/>
        <v>195030.80089971301</v>
      </c>
      <c r="U36" s="115"/>
      <c r="V36" s="114">
        <f t="shared" si="1"/>
        <v>303752.72474204912</v>
      </c>
    </row>
    <row r="37" spans="2:22">
      <c r="B37" t="str">
        <f>+'Sq Footage'!B36</f>
        <v>Westside</v>
      </c>
      <c r="D37" s="316" t="s">
        <v>862</v>
      </c>
      <c r="F37" s="34">
        <v>9504</v>
      </c>
      <c r="H37" s="34" t="str">
        <f>+'Sq Footage'!C36</f>
        <v>2-3BR</v>
      </c>
      <c r="J37" s="305">
        <f>+'Sq Footage'!L36</f>
        <v>2088</v>
      </c>
      <c r="K37" s="34"/>
      <c r="L37" s="34" t="s">
        <v>661</v>
      </c>
      <c r="M37" s="34"/>
      <c r="N37" s="114">
        <f t="shared" si="4"/>
        <v>0</v>
      </c>
      <c r="O37" s="34"/>
      <c r="P37" s="114">
        <f t="shared" si="5"/>
        <v>0</v>
      </c>
      <c r="Q37" s="34"/>
      <c r="R37" s="114">
        <f t="shared" si="6"/>
        <v>330644.5357946172</v>
      </c>
      <c r="S37" s="34"/>
      <c r="T37" s="114">
        <f t="shared" si="3"/>
        <v>195030.80089971301</v>
      </c>
      <c r="U37" s="115"/>
      <c r="V37" s="114">
        <f t="shared" si="1"/>
        <v>303752.72474204912</v>
      </c>
    </row>
    <row r="38" spans="2:22">
      <c r="B38" t="str">
        <f>+'Sq Footage'!B37</f>
        <v>Westside</v>
      </c>
      <c r="D38" s="316" t="s">
        <v>863</v>
      </c>
      <c r="F38" s="34">
        <v>9504</v>
      </c>
      <c r="H38" s="34" t="str">
        <f>+'Sq Footage'!C37</f>
        <v>2-3BR</v>
      </c>
      <c r="J38" s="305">
        <f>+'Sq Footage'!L37</f>
        <v>2088</v>
      </c>
      <c r="K38" s="34"/>
      <c r="L38" s="34" t="s">
        <v>661</v>
      </c>
      <c r="M38" s="34"/>
      <c r="N38" s="114">
        <f t="shared" si="4"/>
        <v>0</v>
      </c>
      <c r="O38" s="34"/>
      <c r="P38" s="114">
        <f t="shared" si="5"/>
        <v>0</v>
      </c>
      <c r="Q38" s="34"/>
      <c r="R38" s="114">
        <f t="shared" si="6"/>
        <v>330644.5357946172</v>
      </c>
      <c r="S38" s="34"/>
      <c r="T38" s="114">
        <f t="shared" si="3"/>
        <v>195030.80089971301</v>
      </c>
      <c r="U38" s="115"/>
      <c r="V38" s="114">
        <f t="shared" si="1"/>
        <v>303752.72474204912</v>
      </c>
    </row>
    <row r="39" spans="2:22">
      <c r="B39" t="str">
        <f>+'Sq Footage'!B38</f>
        <v>Westside</v>
      </c>
      <c r="D39" s="316" t="s">
        <v>864</v>
      </c>
      <c r="F39" s="34">
        <v>9504</v>
      </c>
      <c r="H39" s="34" t="str">
        <f>+'Sq Footage'!C38</f>
        <v>2-3BR</v>
      </c>
      <c r="J39" s="305">
        <f>+'Sq Footage'!L38</f>
        <v>2088</v>
      </c>
      <c r="K39" s="34"/>
      <c r="L39" s="34" t="s">
        <v>661</v>
      </c>
      <c r="M39" s="34"/>
      <c r="N39" s="114">
        <f t="shared" si="4"/>
        <v>0</v>
      </c>
      <c r="O39" s="34"/>
      <c r="P39" s="114">
        <f t="shared" si="5"/>
        <v>0</v>
      </c>
      <c r="Q39" s="34"/>
      <c r="R39" s="114">
        <f t="shared" si="6"/>
        <v>330644.5357946172</v>
      </c>
      <c r="S39" s="34"/>
      <c r="T39" s="114">
        <f t="shared" si="3"/>
        <v>195030.80089971301</v>
      </c>
      <c r="U39" s="115"/>
      <c r="V39" s="114">
        <f t="shared" si="1"/>
        <v>303752.72474204912</v>
      </c>
    </row>
    <row r="40" spans="2:22">
      <c r="B40" t="str">
        <f>+'Sq Footage'!B39</f>
        <v>Westside</v>
      </c>
      <c r="D40" s="316" t="s">
        <v>865</v>
      </c>
      <c r="F40" s="34">
        <v>9504</v>
      </c>
      <c r="H40" s="34" t="str">
        <f>+'Sq Footage'!C39</f>
        <v>2-3BR</v>
      </c>
      <c r="J40" s="305">
        <f>+'Sq Footage'!L39</f>
        <v>2088</v>
      </c>
      <c r="K40" s="34"/>
      <c r="L40" s="34" t="s">
        <v>661</v>
      </c>
      <c r="M40" s="34"/>
      <c r="N40" s="114">
        <f t="shared" si="4"/>
        <v>0</v>
      </c>
      <c r="O40" s="34"/>
      <c r="P40" s="114">
        <f t="shared" si="5"/>
        <v>0</v>
      </c>
      <c r="Q40" s="34"/>
      <c r="R40" s="114">
        <f t="shared" si="6"/>
        <v>330644.5357946172</v>
      </c>
      <c r="S40" s="34"/>
      <c r="T40" s="114">
        <f t="shared" si="3"/>
        <v>195030.80089971301</v>
      </c>
      <c r="U40" s="115"/>
      <c r="V40" s="114">
        <f t="shared" si="1"/>
        <v>303752.72474204912</v>
      </c>
    </row>
    <row r="41" spans="2:22">
      <c r="B41" t="str">
        <f>+'Sq Footage'!B40</f>
        <v>Westside</v>
      </c>
      <c r="D41" s="316" t="s">
        <v>867</v>
      </c>
      <c r="F41" s="34">
        <v>9504</v>
      </c>
      <c r="H41" s="34" t="str">
        <f>+'Sq Footage'!C40</f>
        <v>2-3BR</v>
      </c>
      <c r="J41" s="305">
        <f>+'Sq Footage'!L40</f>
        <v>2088</v>
      </c>
      <c r="K41" s="34"/>
      <c r="L41" s="34" t="s">
        <v>661</v>
      </c>
      <c r="M41" s="34"/>
      <c r="N41" s="114">
        <f t="shared" si="4"/>
        <v>0</v>
      </c>
      <c r="O41" s="34"/>
      <c r="P41" s="114">
        <f t="shared" si="5"/>
        <v>0</v>
      </c>
      <c r="Q41" s="34"/>
      <c r="R41" s="114">
        <f t="shared" si="6"/>
        <v>330644.5357946172</v>
      </c>
      <c r="S41" s="34"/>
      <c r="T41" s="114">
        <f t="shared" si="3"/>
        <v>195030.80089971301</v>
      </c>
      <c r="U41" s="115"/>
      <c r="V41" s="114">
        <f t="shared" si="1"/>
        <v>303752.72474204912</v>
      </c>
    </row>
    <row r="42" spans="2:22">
      <c r="B42" t="str">
        <f>+'Sq Footage'!B41</f>
        <v>Westside</v>
      </c>
      <c r="D42" s="316" t="s">
        <v>868</v>
      </c>
      <c r="F42" s="34">
        <v>9504</v>
      </c>
      <c r="H42" s="34" t="str">
        <f>+'Sq Footage'!C41</f>
        <v>2-3BR</v>
      </c>
      <c r="J42" s="305">
        <f>+'Sq Footage'!L41</f>
        <v>2088</v>
      </c>
      <c r="K42" s="34"/>
      <c r="L42" s="34" t="s">
        <v>661</v>
      </c>
      <c r="M42" s="34"/>
      <c r="N42" s="114">
        <f t="shared" si="4"/>
        <v>0</v>
      </c>
      <c r="O42" s="34"/>
      <c r="P42" s="114">
        <f t="shared" si="5"/>
        <v>0</v>
      </c>
      <c r="Q42" s="34"/>
      <c r="R42" s="114">
        <f t="shared" si="6"/>
        <v>330644.5357946172</v>
      </c>
      <c r="S42" s="34"/>
      <c r="T42" s="114">
        <f t="shared" si="3"/>
        <v>195030.80089971301</v>
      </c>
      <c r="U42" s="115"/>
      <c r="V42" s="114">
        <f t="shared" si="1"/>
        <v>303752.72474204912</v>
      </c>
    </row>
    <row r="43" spans="2:22">
      <c r="B43" t="str">
        <f>+'Sq Footage'!B42</f>
        <v>Westside</v>
      </c>
      <c r="D43" s="316" t="s">
        <v>869</v>
      </c>
      <c r="F43" s="34">
        <v>9504</v>
      </c>
      <c r="H43" s="34" t="str">
        <f>+'Sq Footage'!C42</f>
        <v>2-3BR</v>
      </c>
      <c r="J43" s="305">
        <f>+'Sq Footage'!L42</f>
        <v>2088</v>
      </c>
      <c r="K43" s="34"/>
      <c r="L43" s="34" t="s">
        <v>661</v>
      </c>
      <c r="M43" s="34"/>
      <c r="N43" s="114">
        <f t="shared" si="4"/>
        <v>0</v>
      </c>
      <c r="O43" s="34"/>
      <c r="P43" s="114">
        <f t="shared" si="5"/>
        <v>0</v>
      </c>
      <c r="Q43" s="34"/>
      <c r="R43" s="114">
        <f t="shared" si="6"/>
        <v>330644.5357946172</v>
      </c>
      <c r="S43" s="34"/>
      <c r="T43" s="114">
        <f t="shared" si="3"/>
        <v>195030.80089971301</v>
      </c>
      <c r="U43" s="115"/>
      <c r="V43" s="114">
        <f t="shared" si="1"/>
        <v>303752.72474204912</v>
      </c>
    </row>
    <row r="44" spans="2:22">
      <c r="B44" t="str">
        <f>+'Sq Footage'!B43</f>
        <v>Westside</v>
      </c>
      <c r="D44" s="316" t="s">
        <v>870</v>
      </c>
      <c r="F44" s="34">
        <v>9504</v>
      </c>
      <c r="H44" s="34" t="str">
        <f>+'Sq Footage'!C43</f>
        <v>2-3BR</v>
      </c>
      <c r="J44" s="305">
        <f>+'Sq Footage'!L43</f>
        <v>2088</v>
      </c>
      <c r="K44" s="34"/>
      <c r="L44" s="34" t="s">
        <v>661</v>
      </c>
      <c r="M44" s="34"/>
      <c r="N44" s="114">
        <f t="shared" si="4"/>
        <v>0</v>
      </c>
      <c r="O44" s="34"/>
      <c r="P44" s="114">
        <f t="shared" si="5"/>
        <v>0</v>
      </c>
      <c r="Q44" s="34"/>
      <c r="R44" s="114">
        <f t="shared" si="6"/>
        <v>330644.5357946172</v>
      </c>
      <c r="S44" s="34"/>
      <c r="T44" s="114">
        <f t="shared" si="3"/>
        <v>195030.80089971301</v>
      </c>
      <c r="U44" s="115"/>
      <c r="V44" s="114">
        <f t="shared" si="1"/>
        <v>303752.72474204912</v>
      </c>
    </row>
    <row r="45" spans="2:22">
      <c r="B45" t="str">
        <f>+'Sq Footage'!B44</f>
        <v>Westside</v>
      </c>
      <c r="D45" s="316" t="s">
        <v>871</v>
      </c>
      <c r="F45" s="34">
        <v>9504</v>
      </c>
      <c r="H45" s="34" t="str">
        <f>+'Sq Footage'!C44</f>
        <v>2-3BR</v>
      </c>
      <c r="J45" s="305">
        <f>+'Sq Footage'!L44</f>
        <v>2088</v>
      </c>
      <c r="K45" s="34"/>
      <c r="L45" s="34" t="s">
        <v>661</v>
      </c>
      <c r="M45" s="34"/>
      <c r="N45" s="114">
        <f t="shared" si="4"/>
        <v>0</v>
      </c>
      <c r="O45" s="34"/>
      <c r="P45" s="114">
        <f t="shared" si="5"/>
        <v>0</v>
      </c>
      <c r="Q45" s="34"/>
      <c r="R45" s="114">
        <f t="shared" si="6"/>
        <v>330644.5357946172</v>
      </c>
      <c r="S45" s="34"/>
      <c r="T45" s="114">
        <f t="shared" si="3"/>
        <v>195030.80089971301</v>
      </c>
      <c r="U45" s="115"/>
      <c r="V45" s="114">
        <f t="shared" si="1"/>
        <v>303752.72474204912</v>
      </c>
    </row>
    <row r="46" spans="2:22">
      <c r="B46" t="str">
        <f>+'Sq Footage'!B45</f>
        <v>Westside</v>
      </c>
      <c r="D46" s="316" t="s">
        <v>872</v>
      </c>
      <c r="F46" s="34">
        <v>9504</v>
      </c>
      <c r="H46" s="34" t="str">
        <f>+'Sq Footage'!C45</f>
        <v>2-3BR</v>
      </c>
      <c r="J46" s="305">
        <f>+'Sq Footage'!L45</f>
        <v>2088</v>
      </c>
      <c r="K46" s="34"/>
      <c r="L46" s="34" t="s">
        <v>661</v>
      </c>
      <c r="M46" s="34"/>
      <c r="N46" s="114">
        <f t="shared" si="4"/>
        <v>0</v>
      </c>
      <c r="O46" s="34"/>
      <c r="P46" s="114">
        <f t="shared" si="5"/>
        <v>0</v>
      </c>
      <c r="Q46" s="34"/>
      <c r="R46" s="114">
        <f t="shared" si="6"/>
        <v>330644.5357946172</v>
      </c>
      <c r="S46" s="34"/>
      <c r="T46" s="114">
        <f t="shared" si="3"/>
        <v>195030.80089971301</v>
      </c>
      <c r="U46" s="115"/>
      <c r="V46" s="114">
        <f t="shared" si="1"/>
        <v>303752.72474204912</v>
      </c>
    </row>
    <row r="47" spans="2:22">
      <c r="B47" t="str">
        <f>+'Sq Footage'!B46</f>
        <v>Westside</v>
      </c>
      <c r="D47" s="316" t="s">
        <v>873</v>
      </c>
      <c r="F47" s="34">
        <v>9504</v>
      </c>
      <c r="H47" s="34" t="str">
        <f>+'Sq Footage'!C46</f>
        <v>2-3BR</v>
      </c>
      <c r="J47" s="305">
        <f>+'Sq Footage'!L46</f>
        <v>2088</v>
      </c>
      <c r="K47" s="34"/>
      <c r="L47" s="34" t="s">
        <v>661</v>
      </c>
      <c r="M47" s="34"/>
      <c r="N47" s="114">
        <f t="shared" si="4"/>
        <v>0</v>
      </c>
      <c r="O47" s="34"/>
      <c r="P47" s="114">
        <f t="shared" si="5"/>
        <v>0</v>
      </c>
      <c r="Q47" s="34"/>
      <c r="R47" s="114">
        <f t="shared" si="6"/>
        <v>330644.5357946172</v>
      </c>
      <c r="S47" s="34"/>
      <c r="T47" s="114">
        <f t="shared" si="3"/>
        <v>195030.80089971301</v>
      </c>
      <c r="U47" s="115"/>
      <c r="V47" s="114">
        <f t="shared" si="1"/>
        <v>303752.72474204912</v>
      </c>
    </row>
    <row r="48" spans="2:22">
      <c r="B48" t="str">
        <f>+'Sq Footage'!B47</f>
        <v>Westside</v>
      </c>
      <c r="D48" s="316" t="s">
        <v>874</v>
      </c>
      <c r="F48" s="34">
        <v>9504</v>
      </c>
      <c r="H48" s="34" t="str">
        <f>+'Sq Footage'!C47</f>
        <v>2-3BR</v>
      </c>
      <c r="J48" s="305">
        <f>+'Sq Footage'!L47</f>
        <v>2088</v>
      </c>
      <c r="K48" s="34"/>
      <c r="L48" s="34" t="s">
        <v>661</v>
      </c>
      <c r="M48" s="34"/>
      <c r="N48" s="114">
        <f t="shared" si="4"/>
        <v>0</v>
      </c>
      <c r="O48" s="34"/>
      <c r="P48" s="114">
        <f t="shared" si="5"/>
        <v>0</v>
      </c>
      <c r="Q48" s="34"/>
      <c r="R48" s="114">
        <f t="shared" si="6"/>
        <v>330644.5357946172</v>
      </c>
      <c r="S48" s="34"/>
      <c r="T48" s="114">
        <f t="shared" si="3"/>
        <v>195030.80089971301</v>
      </c>
      <c r="U48" s="115"/>
      <c r="V48" s="114">
        <f t="shared" si="1"/>
        <v>303752.72474204912</v>
      </c>
    </row>
    <row r="49" spans="2:22">
      <c r="B49" t="str">
        <f>+'Sq Footage'!B48</f>
        <v>Westside</v>
      </c>
      <c r="D49" s="316" t="s">
        <v>875</v>
      </c>
      <c r="F49" s="34">
        <v>9504</v>
      </c>
      <c r="H49" s="34" t="str">
        <f>+'Sq Footage'!C48</f>
        <v>2-3BR</v>
      </c>
      <c r="J49" s="305">
        <f>+'Sq Footage'!L48</f>
        <v>2088</v>
      </c>
      <c r="K49" s="34"/>
      <c r="L49" s="34" t="s">
        <v>661</v>
      </c>
      <c r="M49" s="34"/>
      <c r="N49" s="114">
        <f t="shared" si="4"/>
        <v>0</v>
      </c>
      <c r="O49" s="34"/>
      <c r="P49" s="114">
        <f t="shared" si="5"/>
        <v>0</v>
      </c>
      <c r="Q49" s="34"/>
      <c r="R49" s="114">
        <f t="shared" si="6"/>
        <v>330644.5357946172</v>
      </c>
      <c r="S49" s="34"/>
      <c r="T49" s="114">
        <f t="shared" si="3"/>
        <v>195030.80089971301</v>
      </c>
      <c r="U49" s="115"/>
      <c r="V49" s="114">
        <f t="shared" si="1"/>
        <v>303752.72474204912</v>
      </c>
    </row>
    <row r="50" spans="2:22">
      <c r="B50" t="str">
        <f>+'Sq Footage'!B49</f>
        <v>Westside</v>
      </c>
      <c r="D50" s="316" t="s">
        <v>876</v>
      </c>
      <c r="F50" s="34">
        <v>9504</v>
      </c>
      <c r="H50" s="34" t="str">
        <f>+'Sq Footage'!C49</f>
        <v>2-3BR</v>
      </c>
      <c r="J50" s="305">
        <f>+'Sq Footage'!L49</f>
        <v>2088</v>
      </c>
      <c r="K50" s="34"/>
      <c r="L50" s="34" t="s">
        <v>661</v>
      </c>
      <c r="M50" s="34"/>
      <c r="N50" s="114">
        <f t="shared" si="4"/>
        <v>0</v>
      </c>
      <c r="O50" s="34"/>
      <c r="P50" s="114">
        <f t="shared" si="5"/>
        <v>0</v>
      </c>
      <c r="Q50" s="34"/>
      <c r="R50" s="114">
        <f t="shared" si="6"/>
        <v>330644.5357946172</v>
      </c>
      <c r="S50" s="34"/>
      <c r="T50" s="114">
        <f t="shared" si="3"/>
        <v>195030.80089971301</v>
      </c>
      <c r="U50" s="115"/>
      <c r="V50" s="114">
        <f t="shared" si="1"/>
        <v>303752.72474204912</v>
      </c>
    </row>
    <row r="51" spans="2:22">
      <c r="B51" t="str">
        <f>+'Sq Footage'!B50</f>
        <v>Westside</v>
      </c>
      <c r="D51" s="316" t="s">
        <v>877</v>
      </c>
      <c r="F51" s="34">
        <v>9504</v>
      </c>
      <c r="H51" s="34" t="str">
        <f>+'Sq Footage'!C50</f>
        <v>2-3BR</v>
      </c>
      <c r="J51" s="305">
        <f>+'Sq Footage'!L50</f>
        <v>2088</v>
      </c>
      <c r="K51" s="34"/>
      <c r="L51" s="34" t="s">
        <v>661</v>
      </c>
      <c r="M51" s="34"/>
      <c r="N51" s="114">
        <f t="shared" si="4"/>
        <v>0</v>
      </c>
      <c r="O51" s="34"/>
      <c r="P51" s="114">
        <f t="shared" si="5"/>
        <v>0</v>
      </c>
      <c r="Q51" s="34"/>
      <c r="R51" s="114">
        <f t="shared" si="6"/>
        <v>330644.5357946172</v>
      </c>
      <c r="S51" s="34"/>
      <c r="T51" s="114">
        <f t="shared" si="3"/>
        <v>195030.80089971301</v>
      </c>
      <c r="U51" s="115"/>
      <c r="V51" s="114">
        <f t="shared" si="1"/>
        <v>303752.72474204912</v>
      </c>
    </row>
    <row r="52" spans="2:22">
      <c r="B52" t="str">
        <f>+'Sq Footage'!B51</f>
        <v>Westside</v>
      </c>
      <c r="D52" s="316" t="s">
        <v>878</v>
      </c>
      <c r="F52" s="34">
        <v>9504</v>
      </c>
      <c r="H52" s="34" t="str">
        <f>+'Sq Footage'!C51</f>
        <v>2-3BR</v>
      </c>
      <c r="J52" s="305">
        <f>+'Sq Footage'!L51</f>
        <v>2088</v>
      </c>
      <c r="K52" s="34"/>
      <c r="L52" s="34" t="s">
        <v>661</v>
      </c>
      <c r="M52" s="34"/>
      <c r="N52" s="114">
        <f t="shared" si="4"/>
        <v>0</v>
      </c>
      <c r="O52" s="34"/>
      <c r="P52" s="114">
        <f t="shared" si="5"/>
        <v>0</v>
      </c>
      <c r="Q52" s="34"/>
      <c r="R52" s="114">
        <f t="shared" si="6"/>
        <v>330644.5357946172</v>
      </c>
      <c r="S52" s="34"/>
      <c r="T52" s="114">
        <f t="shared" si="3"/>
        <v>195030.80089971301</v>
      </c>
      <c r="U52" s="115"/>
      <c r="V52" s="114">
        <f t="shared" si="1"/>
        <v>303752.72474204912</v>
      </c>
    </row>
    <row r="53" spans="2:22">
      <c r="B53" t="str">
        <f>+'Sq Footage'!B52</f>
        <v>Westside</v>
      </c>
      <c r="D53" s="293" t="s">
        <v>830</v>
      </c>
      <c r="F53" s="34">
        <v>9504</v>
      </c>
      <c r="H53" s="34" t="str">
        <f>+'Sq Footage'!C52</f>
        <v>1-4BR</v>
      </c>
      <c r="J53" s="305">
        <f>+'Sq Footage'!L52</f>
        <v>1249</v>
      </c>
      <c r="K53" s="34"/>
      <c r="L53" s="34" t="s">
        <v>661</v>
      </c>
      <c r="M53" s="34"/>
      <c r="N53" s="114">
        <f t="shared" si="4"/>
        <v>0</v>
      </c>
      <c r="O53" s="34"/>
      <c r="P53" s="114">
        <f t="shared" si="5"/>
        <v>0</v>
      </c>
      <c r="Q53" s="34"/>
      <c r="R53" s="114">
        <f t="shared" si="6"/>
        <v>197784.97375837018</v>
      </c>
      <c r="S53" s="34"/>
      <c r="T53" s="114">
        <f t="shared" si="3"/>
        <v>116663.53942707929</v>
      </c>
      <c r="U53" s="115"/>
      <c r="V53" s="114">
        <f t="shared" si="1"/>
        <v>181698.82816226981</v>
      </c>
    </row>
    <row r="54" spans="2:22">
      <c r="B54" t="str">
        <f>+'Sq Footage'!B53</f>
        <v>Westside</v>
      </c>
      <c r="D54" s="293" t="s">
        <v>832</v>
      </c>
      <c r="F54" s="34">
        <v>9504</v>
      </c>
      <c r="H54" s="34" t="str">
        <f>+'Sq Footage'!C53</f>
        <v>1-4BR</v>
      </c>
      <c r="J54" s="305">
        <f>+'Sq Footage'!L53</f>
        <v>1249</v>
      </c>
      <c r="K54" s="34"/>
      <c r="L54" s="34" t="s">
        <v>661</v>
      </c>
      <c r="M54" s="34"/>
      <c r="N54" s="114">
        <f t="shared" si="4"/>
        <v>0</v>
      </c>
      <c r="O54" s="34"/>
      <c r="P54" s="114">
        <f t="shared" si="5"/>
        <v>0</v>
      </c>
      <c r="Q54" s="34"/>
      <c r="R54" s="114">
        <f t="shared" si="6"/>
        <v>197784.97375837018</v>
      </c>
      <c r="S54" s="34"/>
      <c r="T54" s="114">
        <f t="shared" si="3"/>
        <v>116663.53942707929</v>
      </c>
      <c r="U54" s="115"/>
      <c r="V54" s="114">
        <f t="shared" si="1"/>
        <v>181698.82816226981</v>
      </c>
    </row>
    <row r="55" spans="2:22">
      <c r="B55" t="str">
        <f>+'Sq Footage'!B54</f>
        <v>Westside</v>
      </c>
      <c r="D55" s="293" t="s">
        <v>834</v>
      </c>
      <c r="F55" s="34">
        <v>9504</v>
      </c>
      <c r="H55" s="34" t="str">
        <f>+'Sq Footage'!C54</f>
        <v>1-4BR</v>
      </c>
      <c r="J55" s="305">
        <f>+'Sq Footage'!L54</f>
        <v>1249</v>
      </c>
      <c r="K55" s="34"/>
      <c r="L55" s="34" t="s">
        <v>661</v>
      </c>
      <c r="M55" s="34"/>
      <c r="N55" s="114">
        <f t="shared" si="4"/>
        <v>0</v>
      </c>
      <c r="O55" s="34"/>
      <c r="P55" s="114">
        <f t="shared" si="5"/>
        <v>0</v>
      </c>
      <c r="Q55" s="34"/>
      <c r="R55" s="114">
        <f t="shared" si="6"/>
        <v>197784.97375837018</v>
      </c>
      <c r="S55" s="34"/>
      <c r="T55" s="114">
        <f t="shared" si="3"/>
        <v>116663.53942707929</v>
      </c>
      <c r="U55" s="115"/>
      <c r="V55" s="114">
        <f t="shared" si="1"/>
        <v>181698.82816226981</v>
      </c>
    </row>
    <row r="56" spans="2:22">
      <c r="B56" t="str">
        <f>+'Sq Footage'!B55</f>
        <v>Westside</v>
      </c>
      <c r="D56" s="293" t="s">
        <v>837</v>
      </c>
      <c r="F56" s="34">
        <v>9504</v>
      </c>
      <c r="H56" s="34" t="str">
        <f>+'Sq Footage'!C55</f>
        <v>1-4BR</v>
      </c>
      <c r="J56" s="305">
        <f>+'Sq Footage'!L55</f>
        <v>1249</v>
      </c>
      <c r="K56" s="34"/>
      <c r="L56" s="34" t="s">
        <v>661</v>
      </c>
      <c r="M56" s="34"/>
      <c r="N56" s="114">
        <f t="shared" si="4"/>
        <v>0</v>
      </c>
      <c r="O56" s="34"/>
      <c r="P56" s="114">
        <f t="shared" si="5"/>
        <v>0</v>
      </c>
      <c r="Q56" s="34"/>
      <c r="R56" s="114">
        <f t="shared" si="6"/>
        <v>197784.97375837018</v>
      </c>
      <c r="S56" s="34"/>
      <c r="T56" s="114">
        <f t="shared" si="3"/>
        <v>116663.53942707929</v>
      </c>
      <c r="U56" s="115"/>
      <c r="V56" s="114">
        <f t="shared" si="1"/>
        <v>181698.82816226981</v>
      </c>
    </row>
    <row r="57" spans="2:22">
      <c r="B57" t="str">
        <f>+'Sq Footage'!B56</f>
        <v>Westside</v>
      </c>
      <c r="D57" s="293" t="s">
        <v>838</v>
      </c>
      <c r="F57" s="34">
        <v>9504</v>
      </c>
      <c r="H57" s="34" t="str">
        <f>+'Sq Footage'!C56</f>
        <v>1-4BR</v>
      </c>
      <c r="J57" s="305">
        <f>+'Sq Footage'!L56</f>
        <v>1249</v>
      </c>
      <c r="K57" s="34"/>
      <c r="L57" s="34" t="s">
        <v>661</v>
      </c>
      <c r="M57" s="34"/>
      <c r="N57" s="114">
        <f t="shared" si="4"/>
        <v>0</v>
      </c>
      <c r="O57" s="34"/>
      <c r="P57" s="114">
        <f t="shared" si="5"/>
        <v>0</v>
      </c>
      <c r="Q57" s="34"/>
      <c r="R57" s="114">
        <f t="shared" si="6"/>
        <v>197784.97375837018</v>
      </c>
      <c r="S57" s="34"/>
      <c r="T57" s="114">
        <f t="shared" si="3"/>
        <v>116663.53942707929</v>
      </c>
      <c r="U57" s="115"/>
      <c r="V57" s="114">
        <f t="shared" si="1"/>
        <v>181698.82816226981</v>
      </c>
    </row>
    <row r="58" spans="2:22">
      <c r="B58" t="str">
        <f>+'Sq Footage'!B57</f>
        <v>Westside</v>
      </c>
      <c r="D58" s="293" t="s">
        <v>839</v>
      </c>
      <c r="F58" s="34">
        <v>9504</v>
      </c>
      <c r="H58" s="34" t="str">
        <f>+'Sq Footage'!C57</f>
        <v>1-4BR</v>
      </c>
      <c r="J58" s="305">
        <f>+'Sq Footage'!L57</f>
        <v>1249</v>
      </c>
      <c r="K58" s="34"/>
      <c r="L58" s="34" t="s">
        <v>661</v>
      </c>
      <c r="M58" s="34"/>
      <c r="N58" s="114">
        <f t="shared" si="4"/>
        <v>0</v>
      </c>
      <c r="O58" s="34"/>
      <c r="P58" s="114">
        <f t="shared" si="5"/>
        <v>0</v>
      </c>
      <c r="Q58" s="34"/>
      <c r="R58" s="114">
        <f t="shared" si="6"/>
        <v>197784.97375837018</v>
      </c>
      <c r="S58" s="34"/>
      <c r="T58" s="114">
        <f t="shared" si="3"/>
        <v>116663.53942707929</v>
      </c>
      <c r="U58" s="115"/>
      <c r="V58" s="114">
        <f t="shared" si="1"/>
        <v>181698.82816226981</v>
      </c>
    </row>
    <row r="59" spans="2:22">
      <c r="B59" t="str">
        <f>+'Sq Footage'!B58</f>
        <v>Westside</v>
      </c>
      <c r="D59" s="316" t="s">
        <v>879</v>
      </c>
      <c r="F59" s="34">
        <v>9504</v>
      </c>
      <c r="H59" s="34" t="str">
        <f>+'Sq Footage'!C58</f>
        <v>1-4BR</v>
      </c>
      <c r="J59" s="305">
        <f>+'Sq Footage'!L58</f>
        <v>1249</v>
      </c>
      <c r="K59" s="34"/>
      <c r="L59" s="34" t="s">
        <v>661</v>
      </c>
      <c r="M59" s="34"/>
      <c r="N59" s="114">
        <f t="shared" si="4"/>
        <v>0</v>
      </c>
      <c r="O59" s="34"/>
      <c r="P59" s="114">
        <f t="shared" si="5"/>
        <v>0</v>
      </c>
      <c r="Q59" s="34"/>
      <c r="R59" s="114">
        <f t="shared" si="6"/>
        <v>197784.97375837018</v>
      </c>
      <c r="S59" s="34"/>
      <c r="T59" s="114">
        <f t="shared" si="3"/>
        <v>116663.53942707929</v>
      </c>
      <c r="U59" s="115"/>
      <c r="V59" s="114">
        <f t="shared" si="1"/>
        <v>181698.82816226981</v>
      </c>
    </row>
    <row r="60" spans="2:22">
      <c r="B60" t="str">
        <f>+'Sq Footage'!B59</f>
        <v>Westside</v>
      </c>
      <c r="D60" s="316" t="s">
        <v>880</v>
      </c>
      <c r="F60" s="34">
        <v>9504</v>
      </c>
      <c r="H60" s="34" t="str">
        <f>+'Sq Footage'!C59</f>
        <v>1-4BR</v>
      </c>
      <c r="J60" s="305">
        <f>+'Sq Footage'!L59</f>
        <v>1249</v>
      </c>
      <c r="K60" s="34"/>
      <c r="L60" s="34" t="s">
        <v>661</v>
      </c>
      <c r="M60" s="34"/>
      <c r="N60" s="114">
        <f t="shared" si="4"/>
        <v>0</v>
      </c>
      <c r="O60" s="34"/>
      <c r="P60" s="114">
        <f t="shared" si="5"/>
        <v>0</v>
      </c>
      <c r="Q60" s="34"/>
      <c r="R60" s="114">
        <f t="shared" si="6"/>
        <v>197784.97375837018</v>
      </c>
      <c r="S60" s="34"/>
      <c r="T60" s="114">
        <f t="shared" si="3"/>
        <v>116663.53942707929</v>
      </c>
      <c r="U60" s="115"/>
      <c r="V60" s="114">
        <f t="shared" si="1"/>
        <v>181698.82816226981</v>
      </c>
    </row>
    <row r="61" spans="2:22">
      <c r="B61" t="str">
        <f>+'Sq Footage'!B60</f>
        <v>Westside</v>
      </c>
      <c r="D61" s="293" t="s">
        <v>842</v>
      </c>
      <c r="F61" s="34">
        <v>9504</v>
      </c>
      <c r="H61" s="34" t="str">
        <f>+'Sq Footage'!C60</f>
        <v>1-4BR</v>
      </c>
      <c r="J61" s="305">
        <f>+'Sq Footage'!L60</f>
        <v>1249</v>
      </c>
      <c r="K61" s="34"/>
      <c r="L61" s="34" t="s">
        <v>661</v>
      </c>
      <c r="M61" s="34"/>
      <c r="N61" s="114">
        <f t="shared" si="4"/>
        <v>0</v>
      </c>
      <c r="O61" s="34"/>
      <c r="P61" s="114">
        <f t="shared" si="5"/>
        <v>0</v>
      </c>
      <c r="Q61" s="34"/>
      <c r="R61" s="114">
        <f t="shared" si="6"/>
        <v>197784.97375837018</v>
      </c>
      <c r="S61" s="34"/>
      <c r="T61" s="114">
        <f t="shared" si="3"/>
        <v>116663.53942707929</v>
      </c>
      <c r="U61" s="115"/>
      <c r="V61" s="114">
        <f t="shared" si="1"/>
        <v>181698.82816226981</v>
      </c>
    </row>
    <row r="62" spans="2:22">
      <c r="B62" t="str">
        <f>+'Sq Footage'!B61</f>
        <v>Westside</v>
      </c>
      <c r="D62" s="316" t="s">
        <v>843</v>
      </c>
      <c r="F62" s="34">
        <v>9504</v>
      </c>
      <c r="H62" s="34" t="str">
        <f>+'Sq Footage'!C61</f>
        <v>1-4BR</v>
      </c>
      <c r="J62" s="305">
        <f>+'Sq Footage'!L61</f>
        <v>1249</v>
      </c>
      <c r="K62" s="34"/>
      <c r="L62" s="34" t="s">
        <v>661</v>
      </c>
      <c r="M62" s="34"/>
      <c r="N62" s="114">
        <f t="shared" si="4"/>
        <v>0</v>
      </c>
      <c r="O62" s="34"/>
      <c r="P62" s="114">
        <f t="shared" si="5"/>
        <v>0</v>
      </c>
      <c r="Q62" s="34"/>
      <c r="R62" s="114">
        <f t="shared" si="6"/>
        <v>197784.97375837018</v>
      </c>
      <c r="S62" s="34"/>
      <c r="T62" s="114">
        <f t="shared" si="3"/>
        <v>116663.53942707929</v>
      </c>
      <c r="U62" s="115"/>
      <c r="V62" s="114">
        <f t="shared" si="1"/>
        <v>181698.82816226981</v>
      </c>
    </row>
    <row r="63" spans="2:22">
      <c r="B63" t="str">
        <f>+'Sq Footage'!B62</f>
        <v>Logan</v>
      </c>
      <c r="D63" s="316" t="s">
        <v>827</v>
      </c>
      <c r="F63" s="34">
        <v>9504</v>
      </c>
      <c r="H63" s="34" t="str">
        <f>+'Sq Footage'!C62</f>
        <v>2-1BR</v>
      </c>
      <c r="J63" s="305">
        <f>+'Sq Footage'!L62</f>
        <v>1262</v>
      </c>
      <c r="K63" s="34"/>
      <c r="L63" s="34" t="s">
        <v>661</v>
      </c>
      <c r="M63" s="34"/>
      <c r="N63" s="114">
        <f t="shared" si="4"/>
        <v>0</v>
      </c>
      <c r="O63" s="34"/>
      <c r="P63" s="114">
        <f t="shared" si="5"/>
        <v>0</v>
      </c>
      <c r="Q63" s="34"/>
      <c r="R63" s="114">
        <f t="shared" si="6"/>
        <v>199843.58437394968</v>
      </c>
      <c r="S63" s="34"/>
      <c r="T63" s="114">
        <f t="shared" si="3"/>
        <v>117877.81165490317</v>
      </c>
      <c r="U63" s="115"/>
      <c r="V63" s="114">
        <f t="shared" si="1"/>
        <v>183590.00891976341</v>
      </c>
    </row>
    <row r="64" spans="2:22">
      <c r="B64" t="str">
        <f>+'Sq Footage'!B63</f>
        <v>Logan</v>
      </c>
      <c r="D64" s="316" t="s">
        <v>826</v>
      </c>
      <c r="F64" s="34">
        <v>9504</v>
      </c>
      <c r="H64" s="34" t="str">
        <f>+'Sq Footage'!C63</f>
        <v>3-1BR</v>
      </c>
      <c r="J64" s="305">
        <f>+'Sq Footage'!L63</f>
        <v>1893</v>
      </c>
      <c r="K64" s="34"/>
      <c r="L64" s="34" t="s">
        <v>661</v>
      </c>
      <c r="M64" s="34"/>
      <c r="N64" s="114">
        <f t="shared" si="4"/>
        <v>0</v>
      </c>
      <c r="O64" s="34"/>
      <c r="P64" s="114">
        <f t="shared" si="5"/>
        <v>0</v>
      </c>
      <c r="Q64" s="34"/>
      <c r="R64" s="114">
        <f t="shared" si="6"/>
        <v>299765.37656092452</v>
      </c>
      <c r="S64" s="34"/>
      <c r="T64" s="114">
        <f t="shared" si="3"/>
        <v>176816.71748235475</v>
      </c>
      <c r="U64" s="115"/>
      <c r="V64" s="114">
        <f t="shared" si="1"/>
        <v>275385.01337964513</v>
      </c>
    </row>
    <row r="65" spans="2:22">
      <c r="B65" t="str">
        <f>+'Sq Footage'!B64</f>
        <v>Logan</v>
      </c>
      <c r="D65" s="316" t="s">
        <v>881</v>
      </c>
      <c r="F65" s="34">
        <v>9504</v>
      </c>
      <c r="H65" s="34" t="str">
        <f>+'Sq Footage'!C64</f>
        <v>3-1BR</v>
      </c>
      <c r="J65" s="305">
        <f>+'Sq Footage'!L64</f>
        <v>1893</v>
      </c>
      <c r="K65" s="34"/>
      <c r="L65" s="34" t="s">
        <v>661</v>
      </c>
      <c r="M65" s="34"/>
      <c r="N65" s="114">
        <f t="shared" si="4"/>
        <v>0</v>
      </c>
      <c r="O65" s="34"/>
      <c r="P65" s="114">
        <f t="shared" si="5"/>
        <v>0</v>
      </c>
      <c r="Q65" s="34"/>
      <c r="R65" s="114">
        <f t="shared" si="6"/>
        <v>299765.37656092452</v>
      </c>
      <c r="S65" s="34"/>
      <c r="T65" s="114">
        <f t="shared" si="3"/>
        <v>176816.71748235475</v>
      </c>
      <c r="U65" s="115"/>
      <c r="V65" s="114">
        <f t="shared" si="1"/>
        <v>275385.01337964513</v>
      </c>
    </row>
    <row r="66" spans="2:22">
      <c r="B66" t="str">
        <f>+'Sq Footage'!B65</f>
        <v>Logan</v>
      </c>
      <c r="D66" s="316" t="s">
        <v>882</v>
      </c>
      <c r="F66" s="34">
        <v>9504</v>
      </c>
      <c r="H66" s="34" t="str">
        <f>+'Sq Footage'!C65</f>
        <v>3-1BR</v>
      </c>
      <c r="J66" s="305">
        <f>+'Sq Footage'!L65</f>
        <v>1893</v>
      </c>
      <c r="K66" s="34"/>
      <c r="L66" s="34" t="s">
        <v>661</v>
      </c>
      <c r="M66" s="34"/>
      <c r="N66" s="114">
        <f t="shared" si="4"/>
        <v>0</v>
      </c>
      <c r="O66" s="34"/>
      <c r="P66" s="114">
        <f t="shared" si="5"/>
        <v>0</v>
      </c>
      <c r="Q66" s="34"/>
      <c r="R66" s="114">
        <f t="shared" si="6"/>
        <v>299765.37656092452</v>
      </c>
      <c r="S66" s="34"/>
      <c r="T66" s="114">
        <f t="shared" si="3"/>
        <v>176816.71748235475</v>
      </c>
      <c r="U66" s="115"/>
      <c r="V66" s="114">
        <f t="shared" si="1"/>
        <v>275385.01337964513</v>
      </c>
    </row>
    <row r="67" spans="2:22">
      <c r="B67" t="str">
        <f>+'Sq Footage'!B66</f>
        <v>Logan</v>
      </c>
      <c r="D67" s="316" t="s">
        <v>883</v>
      </c>
      <c r="F67" s="34">
        <v>9504</v>
      </c>
      <c r="H67" s="34" t="str">
        <f>+'Sq Footage'!C66</f>
        <v>3-1BR</v>
      </c>
      <c r="J67" s="305">
        <f>+'Sq Footage'!L66</f>
        <v>1893</v>
      </c>
      <c r="K67" s="34"/>
      <c r="L67" s="34" t="s">
        <v>661</v>
      </c>
      <c r="M67" s="34"/>
      <c r="N67" s="114">
        <f t="shared" si="4"/>
        <v>0</v>
      </c>
      <c r="O67" s="34"/>
      <c r="P67" s="114">
        <f t="shared" si="5"/>
        <v>0</v>
      </c>
      <c r="Q67" s="34"/>
      <c r="R67" s="114">
        <f t="shared" si="6"/>
        <v>299765.37656092452</v>
      </c>
      <c r="S67" s="34"/>
      <c r="T67" s="114">
        <f t="shared" si="3"/>
        <v>176816.71748235475</v>
      </c>
      <c r="U67" s="115"/>
      <c r="V67" s="114">
        <f t="shared" si="1"/>
        <v>275385.01337964513</v>
      </c>
    </row>
    <row r="68" spans="2:22">
      <c r="B68" t="str">
        <f>+'Sq Footage'!B67</f>
        <v>Logan</v>
      </c>
      <c r="D68" s="316" t="s">
        <v>884</v>
      </c>
      <c r="F68" s="34">
        <v>9504</v>
      </c>
      <c r="H68" s="34" t="str">
        <f>+'Sq Footage'!C67</f>
        <v>3-1BR</v>
      </c>
      <c r="J68" s="305">
        <f>+'Sq Footage'!L67</f>
        <v>1893</v>
      </c>
      <c r="K68" s="34"/>
      <c r="L68" s="34" t="s">
        <v>661</v>
      </c>
      <c r="M68" s="34"/>
      <c r="N68" s="114">
        <f t="shared" si="4"/>
        <v>0</v>
      </c>
      <c r="O68" s="34"/>
      <c r="P68" s="114">
        <f t="shared" si="5"/>
        <v>0</v>
      </c>
      <c r="Q68" s="34"/>
      <c r="R68" s="114">
        <f t="shared" si="6"/>
        <v>299765.37656092452</v>
      </c>
      <c r="S68" s="34"/>
      <c r="T68" s="114">
        <f t="shared" si="3"/>
        <v>176816.71748235475</v>
      </c>
      <c r="U68" s="115"/>
      <c r="V68" s="114">
        <f t="shared" si="1"/>
        <v>275385.01337964513</v>
      </c>
    </row>
    <row r="69" spans="2:22">
      <c r="B69" t="str">
        <f>+'Sq Footage'!B68</f>
        <v>Logan</v>
      </c>
      <c r="D69" s="316" t="s">
        <v>885</v>
      </c>
      <c r="F69" s="34">
        <v>9504</v>
      </c>
      <c r="H69" s="34" t="str">
        <f>+'Sq Footage'!C68</f>
        <v>3-1BR</v>
      </c>
      <c r="J69" s="305">
        <f>+'Sq Footage'!L68</f>
        <v>1893</v>
      </c>
      <c r="K69" s="34"/>
      <c r="L69" s="34" t="s">
        <v>661</v>
      </c>
      <c r="M69" s="34"/>
      <c r="N69" s="114">
        <f t="shared" si="4"/>
        <v>0</v>
      </c>
      <c r="O69" s="34"/>
      <c r="P69" s="114">
        <f t="shared" si="5"/>
        <v>0</v>
      </c>
      <c r="Q69" s="34"/>
      <c r="R69" s="114">
        <f t="shared" si="6"/>
        <v>299765.37656092452</v>
      </c>
      <c r="S69" s="34"/>
      <c r="T69" s="114">
        <f t="shared" si="3"/>
        <v>176816.71748235475</v>
      </c>
      <c r="U69" s="115"/>
      <c r="V69" s="114">
        <f t="shared" si="1"/>
        <v>275385.01337964513</v>
      </c>
    </row>
    <row r="70" spans="2:22">
      <c r="B70" t="str">
        <f>+'Sq Footage'!B69</f>
        <v>Logan</v>
      </c>
      <c r="D70" s="316" t="s">
        <v>912</v>
      </c>
      <c r="F70" s="34">
        <v>9504</v>
      </c>
      <c r="H70" s="34" t="str">
        <f>+'Sq Footage'!C69</f>
        <v>4-1BR</v>
      </c>
      <c r="J70" s="305">
        <f>+'Sq Footage'!L69</f>
        <v>2168</v>
      </c>
      <c r="K70" s="34"/>
      <c r="L70" s="34" t="s">
        <v>661</v>
      </c>
      <c r="M70" s="34"/>
      <c r="N70" s="114">
        <f t="shared" si="4"/>
        <v>0</v>
      </c>
      <c r="O70" s="34"/>
      <c r="P70" s="114">
        <f t="shared" si="5"/>
        <v>0</v>
      </c>
      <c r="Q70" s="34"/>
      <c r="R70" s="114">
        <f t="shared" si="6"/>
        <v>343312.90881356806</v>
      </c>
      <c r="S70" s="34"/>
      <c r="T70" s="114">
        <f t="shared" si="3"/>
        <v>202503.24537862922</v>
      </c>
      <c r="U70" s="115"/>
      <c r="V70" s="114">
        <f t="shared" si="1"/>
        <v>315390.76017277897</v>
      </c>
    </row>
    <row r="71" spans="2:22">
      <c r="B71" t="str">
        <f>+'Sq Footage'!B70</f>
        <v>Logan</v>
      </c>
      <c r="D71" s="316" t="s">
        <v>913</v>
      </c>
      <c r="F71" s="34">
        <v>9504</v>
      </c>
      <c r="H71" s="34" t="str">
        <f>+'Sq Footage'!C70</f>
        <v>4-1BR</v>
      </c>
      <c r="J71" s="305">
        <f>+'Sq Footage'!L70</f>
        <v>2168</v>
      </c>
      <c r="K71" s="34"/>
      <c r="L71" s="34" t="s">
        <v>661</v>
      </c>
      <c r="M71" s="34"/>
      <c r="N71" s="114">
        <f t="shared" si="4"/>
        <v>0</v>
      </c>
      <c r="O71" s="34"/>
      <c r="P71" s="114">
        <f t="shared" si="5"/>
        <v>0</v>
      </c>
      <c r="Q71" s="34"/>
      <c r="R71" s="114">
        <f t="shared" si="6"/>
        <v>343312.90881356806</v>
      </c>
      <c r="S71" s="34"/>
      <c r="T71" s="114">
        <f t="shared" si="3"/>
        <v>202503.24537862922</v>
      </c>
      <c r="U71" s="115"/>
      <c r="V71" s="114">
        <f t="shared" si="1"/>
        <v>315390.76017277897</v>
      </c>
    </row>
    <row r="72" spans="2:22">
      <c r="B72" t="str">
        <f>+'Sq Footage'!B71</f>
        <v>Logan</v>
      </c>
      <c r="D72" s="316" t="s">
        <v>914</v>
      </c>
      <c r="F72" s="34">
        <v>9504</v>
      </c>
      <c r="H72" s="34" t="str">
        <f>+'Sq Footage'!C71</f>
        <v>4-1BR</v>
      </c>
      <c r="J72" s="305">
        <f>+'Sq Footage'!L71</f>
        <v>2168</v>
      </c>
      <c r="K72" s="34"/>
      <c r="L72" s="34" t="s">
        <v>661</v>
      </c>
      <c r="M72" s="34"/>
      <c r="N72" s="114">
        <f t="shared" si="4"/>
        <v>0</v>
      </c>
      <c r="O72" s="34"/>
      <c r="P72" s="114">
        <f t="shared" si="5"/>
        <v>0</v>
      </c>
      <c r="Q72" s="34"/>
      <c r="R72" s="114">
        <f t="shared" si="6"/>
        <v>343312.90881356806</v>
      </c>
      <c r="S72" s="34"/>
      <c r="T72" s="114">
        <f t="shared" si="3"/>
        <v>202503.24537862922</v>
      </c>
      <c r="U72" s="115"/>
      <c r="V72" s="114">
        <f t="shared" si="1"/>
        <v>315390.76017277897</v>
      </c>
    </row>
    <row r="73" spans="2:22">
      <c r="B73" t="str">
        <f>+'Sq Footage'!B72</f>
        <v>Logan</v>
      </c>
      <c r="D73" s="316" t="s">
        <v>886</v>
      </c>
      <c r="F73" s="34">
        <v>9504</v>
      </c>
      <c r="H73" s="34" t="str">
        <f>+'Sq Footage'!C72</f>
        <v>4-1BR</v>
      </c>
      <c r="J73" s="305">
        <f>+'Sq Footage'!L72</f>
        <v>2168</v>
      </c>
      <c r="K73" s="34"/>
      <c r="L73" s="34" t="s">
        <v>661</v>
      </c>
      <c r="M73" s="34"/>
      <c r="N73" s="114">
        <f t="shared" si="4"/>
        <v>0</v>
      </c>
      <c r="O73" s="34"/>
      <c r="P73" s="114">
        <f t="shared" si="5"/>
        <v>0</v>
      </c>
      <c r="Q73" s="34"/>
      <c r="R73" s="114">
        <f t="shared" si="6"/>
        <v>343312.90881356806</v>
      </c>
      <c r="S73" s="34"/>
      <c r="T73" s="114">
        <f t="shared" si="3"/>
        <v>202503.24537862922</v>
      </c>
      <c r="U73" s="115"/>
      <c r="V73" s="114">
        <f t="shared" si="1"/>
        <v>315390.76017277897</v>
      </c>
    </row>
    <row r="74" spans="2:22">
      <c r="B74" t="str">
        <f>+'Sq Footage'!B73</f>
        <v>Logan</v>
      </c>
      <c r="D74" s="316" t="s">
        <v>887</v>
      </c>
      <c r="F74" s="34">
        <v>9504</v>
      </c>
      <c r="H74" s="34" t="str">
        <f>+'Sq Footage'!C73</f>
        <v>4-1BR</v>
      </c>
      <c r="J74" s="305">
        <f>+'Sq Footage'!L73</f>
        <v>2168</v>
      </c>
      <c r="K74" s="34"/>
      <c r="L74" s="34" t="s">
        <v>661</v>
      </c>
      <c r="M74" s="34"/>
      <c r="N74" s="114">
        <f t="shared" si="4"/>
        <v>0</v>
      </c>
      <c r="O74" s="34"/>
      <c r="P74" s="114">
        <f t="shared" si="5"/>
        <v>0</v>
      </c>
      <c r="Q74" s="34"/>
      <c r="R74" s="114">
        <f t="shared" si="6"/>
        <v>343312.90881356806</v>
      </c>
      <c r="S74" s="34"/>
      <c r="T74" s="114">
        <f t="shared" si="3"/>
        <v>202503.24537862922</v>
      </c>
      <c r="U74" s="115"/>
      <c r="V74" s="114">
        <f t="shared" ref="V74:V98" si="7">SUM($J74/$J$100)*V$100</f>
        <v>315390.76017277897</v>
      </c>
    </row>
    <row r="75" spans="2:22">
      <c r="B75" t="str">
        <f>+'Sq Footage'!B74</f>
        <v>Logan</v>
      </c>
      <c r="D75" s="316" t="s">
        <v>888</v>
      </c>
      <c r="F75" s="34">
        <v>9504</v>
      </c>
      <c r="H75" s="34" t="str">
        <f>+'Sq Footage'!C74</f>
        <v>4-1BR</v>
      </c>
      <c r="J75" s="305">
        <f>+'Sq Footage'!L74</f>
        <v>2168</v>
      </c>
      <c r="K75" s="34"/>
      <c r="L75" s="34" t="s">
        <v>661</v>
      </c>
      <c r="M75" s="34"/>
      <c r="N75" s="114">
        <f t="shared" si="4"/>
        <v>0</v>
      </c>
      <c r="O75" s="34"/>
      <c r="P75" s="114">
        <f t="shared" si="5"/>
        <v>0</v>
      </c>
      <c r="Q75" s="34"/>
      <c r="R75" s="114">
        <f t="shared" si="6"/>
        <v>343312.90881356806</v>
      </c>
      <c r="S75" s="34"/>
      <c r="T75" s="114">
        <f t="shared" si="3"/>
        <v>202503.24537862922</v>
      </c>
      <c r="U75" s="115"/>
      <c r="V75" s="114">
        <f t="shared" si="7"/>
        <v>315390.76017277897</v>
      </c>
    </row>
    <row r="76" spans="2:22">
      <c r="B76" t="str">
        <f>+'Sq Footage'!B75</f>
        <v>Logan</v>
      </c>
      <c r="D76" s="316" t="s">
        <v>889</v>
      </c>
      <c r="F76" s="34">
        <v>9504</v>
      </c>
      <c r="H76" s="34" t="str">
        <f>+'Sq Footage'!C75</f>
        <v xml:space="preserve">6-1BR </v>
      </c>
      <c r="J76" s="305">
        <f>+'Sq Footage'!L75</f>
        <v>3252</v>
      </c>
      <c r="K76" s="34"/>
      <c r="L76" s="34" t="s">
        <v>661</v>
      </c>
      <c r="M76" s="34"/>
      <c r="N76" s="114">
        <f t="shared" si="4"/>
        <v>0</v>
      </c>
      <c r="O76" s="34"/>
      <c r="P76" s="114">
        <f t="shared" si="5"/>
        <v>0</v>
      </c>
      <c r="Q76" s="34"/>
      <c r="R76" s="114">
        <f t="shared" si="6"/>
        <v>514969.36322035216</v>
      </c>
      <c r="S76" s="34"/>
      <c r="T76" s="114">
        <f t="shared" si="3"/>
        <v>303754.86806794384</v>
      </c>
      <c r="U76" s="115"/>
      <c r="V76" s="114">
        <f t="shared" si="7"/>
        <v>473086.14025916852</v>
      </c>
    </row>
    <row r="77" spans="2:22">
      <c r="B77" t="str">
        <f>+'Sq Footage'!B76</f>
        <v>Campbell</v>
      </c>
      <c r="D77" s="316" t="s">
        <v>890</v>
      </c>
      <c r="F77" s="34">
        <v>9504</v>
      </c>
      <c r="H77" s="34" t="str">
        <f>+'Sq Footage'!C76</f>
        <v>2-2BR</v>
      </c>
      <c r="J77" s="305">
        <f>+'Sq Footage'!L76</f>
        <v>1584</v>
      </c>
      <c r="K77" s="34"/>
      <c r="L77" s="34" t="s">
        <v>661</v>
      </c>
      <c r="M77" s="34"/>
      <c r="N77" s="114">
        <f t="shared" si="4"/>
        <v>0</v>
      </c>
      <c r="O77" s="34"/>
      <c r="P77" s="114">
        <f t="shared" si="5"/>
        <v>0</v>
      </c>
      <c r="Q77" s="34"/>
      <c r="R77" s="114">
        <f t="shared" si="6"/>
        <v>250833.78577522686</v>
      </c>
      <c r="S77" s="34"/>
      <c r="T77" s="114">
        <f t="shared" si="3"/>
        <v>147954.40068254093</v>
      </c>
      <c r="U77" s="115"/>
      <c r="V77" s="114">
        <f t="shared" si="7"/>
        <v>230433.10152845108</v>
      </c>
    </row>
    <row r="78" spans="2:22">
      <c r="B78" t="str">
        <f>+'Sq Footage'!B77</f>
        <v>Campbell</v>
      </c>
      <c r="D78" s="316" t="s">
        <v>891</v>
      </c>
      <c r="F78" s="34">
        <v>9504</v>
      </c>
      <c r="H78" s="34" t="str">
        <f>+'Sq Footage'!C77</f>
        <v>2-2BR</v>
      </c>
      <c r="J78" s="305">
        <f>+'Sq Footage'!L77</f>
        <v>1584</v>
      </c>
      <c r="K78" s="34"/>
      <c r="L78" s="34" t="s">
        <v>661</v>
      </c>
      <c r="M78" s="34"/>
      <c r="N78" s="114">
        <f t="shared" si="4"/>
        <v>0</v>
      </c>
      <c r="O78" s="34"/>
      <c r="P78" s="114">
        <f t="shared" si="5"/>
        <v>0</v>
      </c>
      <c r="Q78" s="34"/>
      <c r="R78" s="114">
        <f t="shared" si="6"/>
        <v>250833.78577522686</v>
      </c>
      <c r="S78" s="34"/>
      <c r="T78" s="114">
        <f t="shared" si="3"/>
        <v>147954.40068254093</v>
      </c>
      <c r="U78" s="115"/>
      <c r="V78" s="114">
        <f t="shared" si="7"/>
        <v>230433.10152845108</v>
      </c>
    </row>
    <row r="79" spans="2:22">
      <c r="B79" t="str">
        <f>+'Sq Footage'!B78</f>
        <v>Campbell</v>
      </c>
      <c r="D79" s="316" t="s">
        <v>892</v>
      </c>
      <c r="F79" s="34">
        <v>9504</v>
      </c>
      <c r="H79" s="34" t="str">
        <f>+'Sq Footage'!C78</f>
        <v>2-2BR</v>
      </c>
      <c r="J79" s="305">
        <f>+'Sq Footage'!L78</f>
        <v>1584</v>
      </c>
      <c r="K79" s="34"/>
      <c r="L79" s="34" t="s">
        <v>661</v>
      </c>
      <c r="M79" s="34"/>
      <c r="N79" s="114">
        <f t="shared" si="4"/>
        <v>0</v>
      </c>
      <c r="O79" s="34"/>
      <c r="P79" s="114">
        <f t="shared" si="5"/>
        <v>0</v>
      </c>
      <c r="Q79" s="34"/>
      <c r="R79" s="114">
        <f t="shared" si="6"/>
        <v>250833.78577522686</v>
      </c>
      <c r="S79" s="34"/>
      <c r="T79" s="114">
        <f t="shared" si="3"/>
        <v>147954.40068254093</v>
      </c>
      <c r="U79" s="115"/>
      <c r="V79" s="114">
        <f t="shared" si="7"/>
        <v>230433.10152845108</v>
      </c>
    </row>
    <row r="80" spans="2:22">
      <c r="B80" t="str">
        <f>+'Sq Footage'!B79</f>
        <v>Campbell</v>
      </c>
      <c r="D80" s="316" t="s">
        <v>893</v>
      </c>
      <c r="F80" s="34">
        <v>9504</v>
      </c>
      <c r="H80" s="34" t="str">
        <f>+'Sq Footage'!C79</f>
        <v>2-2BR</v>
      </c>
      <c r="J80" s="305">
        <f>+'Sq Footage'!L79</f>
        <v>1584</v>
      </c>
      <c r="K80" s="34"/>
      <c r="L80" s="34" t="s">
        <v>661</v>
      </c>
      <c r="M80" s="34"/>
      <c r="N80" s="114">
        <f t="shared" si="4"/>
        <v>0</v>
      </c>
      <c r="O80" s="34"/>
      <c r="P80" s="114">
        <f t="shared" si="5"/>
        <v>0</v>
      </c>
      <c r="Q80" s="34"/>
      <c r="R80" s="114">
        <f t="shared" si="6"/>
        <v>250833.78577522686</v>
      </c>
      <c r="S80" s="34"/>
      <c r="T80" s="114">
        <f t="shared" si="3"/>
        <v>147954.40068254093</v>
      </c>
      <c r="U80" s="115"/>
      <c r="V80" s="114">
        <f t="shared" si="7"/>
        <v>230433.10152845108</v>
      </c>
    </row>
    <row r="81" spans="2:22">
      <c r="B81" t="str">
        <f>+'Sq Footage'!B80</f>
        <v>Campbell</v>
      </c>
      <c r="D81" s="316" t="s">
        <v>894</v>
      </c>
      <c r="F81" s="34">
        <v>9504</v>
      </c>
      <c r="H81" s="34" t="str">
        <f>+'Sq Footage'!C80</f>
        <v>2-2BR</v>
      </c>
      <c r="J81" s="305">
        <f>+'Sq Footage'!L80</f>
        <v>1584</v>
      </c>
      <c r="K81" s="34"/>
      <c r="L81" s="34" t="s">
        <v>661</v>
      </c>
      <c r="M81" s="34"/>
      <c r="N81" s="114">
        <f t="shared" si="4"/>
        <v>0</v>
      </c>
      <c r="O81" s="34"/>
      <c r="P81" s="114">
        <f t="shared" si="5"/>
        <v>0</v>
      </c>
      <c r="Q81" s="34"/>
      <c r="R81" s="114">
        <f t="shared" si="6"/>
        <v>250833.78577522686</v>
      </c>
      <c r="S81" s="34"/>
      <c r="T81" s="114">
        <f t="shared" si="3"/>
        <v>147954.40068254093</v>
      </c>
      <c r="U81" s="115"/>
      <c r="V81" s="114">
        <f t="shared" si="7"/>
        <v>230433.10152845108</v>
      </c>
    </row>
    <row r="82" spans="2:22">
      <c r="B82" t="str">
        <f>+'Sq Footage'!B81</f>
        <v>Campbell</v>
      </c>
      <c r="D82" s="316" t="s">
        <v>895</v>
      </c>
      <c r="F82" s="34">
        <v>9504</v>
      </c>
      <c r="H82" s="34" t="str">
        <f>+'Sq Footage'!C81</f>
        <v>2-2BR</v>
      </c>
      <c r="J82" s="305">
        <f>+'Sq Footage'!L81</f>
        <v>1584</v>
      </c>
      <c r="K82" s="34"/>
      <c r="L82" s="34" t="s">
        <v>661</v>
      </c>
      <c r="M82" s="34"/>
      <c r="N82" s="114">
        <f t="shared" si="4"/>
        <v>0</v>
      </c>
      <c r="O82" s="34"/>
      <c r="P82" s="114">
        <f t="shared" si="5"/>
        <v>0</v>
      </c>
      <c r="Q82" s="34"/>
      <c r="R82" s="114">
        <f t="shared" si="6"/>
        <v>250833.78577522686</v>
      </c>
      <c r="S82" s="34"/>
      <c r="T82" s="114">
        <f t="shared" si="3"/>
        <v>147954.40068254093</v>
      </c>
      <c r="U82" s="115"/>
      <c r="V82" s="114">
        <f t="shared" si="7"/>
        <v>230433.10152845108</v>
      </c>
    </row>
    <row r="83" spans="2:22">
      <c r="B83" t="str">
        <f>+'Sq Footage'!B82</f>
        <v>Campbell</v>
      </c>
      <c r="D83" s="316" t="s">
        <v>896</v>
      </c>
      <c r="F83" s="34">
        <v>9504</v>
      </c>
      <c r="H83" s="34" t="str">
        <f>+'Sq Footage'!C82</f>
        <v>2-2BR</v>
      </c>
      <c r="J83" s="305">
        <f>+'Sq Footage'!L82</f>
        <v>1584</v>
      </c>
      <c r="K83" s="34"/>
      <c r="L83" s="34" t="s">
        <v>661</v>
      </c>
      <c r="M83" s="34"/>
      <c r="N83" s="114">
        <f t="shared" si="4"/>
        <v>0</v>
      </c>
      <c r="O83" s="34"/>
      <c r="P83" s="114">
        <f t="shared" si="5"/>
        <v>0</v>
      </c>
      <c r="Q83" s="34"/>
      <c r="R83" s="114">
        <f t="shared" si="6"/>
        <v>250833.78577522686</v>
      </c>
      <c r="S83" s="34"/>
      <c r="T83" s="114">
        <f t="shared" si="3"/>
        <v>147954.40068254093</v>
      </c>
      <c r="U83" s="115"/>
      <c r="V83" s="114">
        <f t="shared" si="7"/>
        <v>230433.10152845108</v>
      </c>
    </row>
    <row r="84" spans="2:22">
      <c r="B84" t="str">
        <f>+'Sq Footage'!B83</f>
        <v>Campbell</v>
      </c>
      <c r="D84" s="316" t="s">
        <v>897</v>
      </c>
      <c r="F84" s="34">
        <v>9504</v>
      </c>
      <c r="H84" s="34" t="str">
        <f>+'Sq Footage'!C83</f>
        <v>2-2BR</v>
      </c>
      <c r="J84" s="305">
        <f>+'Sq Footage'!L83</f>
        <v>1584</v>
      </c>
      <c r="K84" s="34"/>
      <c r="L84" s="34" t="s">
        <v>661</v>
      </c>
      <c r="M84" s="34"/>
      <c r="N84" s="114">
        <f t="shared" si="4"/>
        <v>0</v>
      </c>
      <c r="O84" s="34"/>
      <c r="P84" s="114">
        <f t="shared" si="5"/>
        <v>0</v>
      </c>
      <c r="Q84" s="34"/>
      <c r="R84" s="114">
        <f t="shared" si="6"/>
        <v>250833.78577522686</v>
      </c>
      <c r="S84" s="34"/>
      <c r="T84" s="114">
        <f t="shared" ref="T84:T91" si="8">SUM(J84/J$100)*T$100</f>
        <v>147954.40068254093</v>
      </c>
      <c r="U84" s="115"/>
      <c r="V84" s="114">
        <f t="shared" si="7"/>
        <v>230433.10152845108</v>
      </c>
    </row>
    <row r="85" spans="2:22">
      <c r="B85" t="str">
        <f>+'Sq Footage'!B84</f>
        <v>Campbell</v>
      </c>
      <c r="D85" s="316" t="s">
        <v>898</v>
      </c>
      <c r="F85" s="34">
        <v>9504</v>
      </c>
      <c r="H85" s="34" t="str">
        <f>+'Sq Footage'!C84</f>
        <v>2-2BR</v>
      </c>
      <c r="J85" s="305">
        <f>+'Sq Footage'!L84</f>
        <v>1584</v>
      </c>
      <c r="K85" s="34"/>
      <c r="L85" s="34" t="s">
        <v>661</v>
      </c>
      <c r="M85" s="34"/>
      <c r="N85" s="114">
        <f t="shared" si="4"/>
        <v>0</v>
      </c>
      <c r="O85" s="34"/>
      <c r="P85" s="114">
        <f t="shared" si="5"/>
        <v>0</v>
      </c>
      <c r="Q85" s="34"/>
      <c r="R85" s="114">
        <f t="shared" si="6"/>
        <v>250833.78577522686</v>
      </c>
      <c r="S85" s="34"/>
      <c r="T85" s="114">
        <f t="shared" si="8"/>
        <v>147954.40068254093</v>
      </c>
      <c r="U85" s="115"/>
      <c r="V85" s="114">
        <f t="shared" si="7"/>
        <v>230433.10152845108</v>
      </c>
    </row>
    <row r="86" spans="2:22">
      <c r="B86" t="str">
        <f>+'Sq Footage'!B85</f>
        <v>Campbell</v>
      </c>
      <c r="D86" s="316" t="s">
        <v>899</v>
      </c>
      <c r="F86" s="34">
        <v>9504</v>
      </c>
      <c r="H86" s="34" t="str">
        <f>+'Sq Footage'!C85</f>
        <v>2-2BR</v>
      </c>
      <c r="J86" s="305">
        <f>+'Sq Footage'!L85</f>
        <v>1584</v>
      </c>
      <c r="K86" s="34"/>
      <c r="L86" s="34" t="s">
        <v>661</v>
      </c>
      <c r="M86" s="34"/>
      <c r="N86" s="114">
        <f t="shared" si="4"/>
        <v>0</v>
      </c>
      <c r="O86" s="34"/>
      <c r="P86" s="114">
        <f t="shared" si="5"/>
        <v>0</v>
      </c>
      <c r="Q86" s="34"/>
      <c r="R86" s="114">
        <f t="shared" si="6"/>
        <v>250833.78577522686</v>
      </c>
      <c r="S86" s="34"/>
      <c r="T86" s="114">
        <f t="shared" si="8"/>
        <v>147954.40068254093</v>
      </c>
      <c r="U86" s="115"/>
      <c r="V86" s="114">
        <f t="shared" si="7"/>
        <v>230433.10152845108</v>
      </c>
    </row>
    <row r="87" spans="2:22">
      <c r="B87" t="str">
        <f>+'Sq Footage'!B86</f>
        <v>Campbell</v>
      </c>
      <c r="D87" s="316" t="s">
        <v>900</v>
      </c>
      <c r="F87" s="34">
        <v>9504</v>
      </c>
      <c r="H87" s="34" t="str">
        <f>+'Sq Footage'!C86</f>
        <v>2-2BR</v>
      </c>
      <c r="J87" s="305">
        <f>+'Sq Footage'!L86</f>
        <v>1584</v>
      </c>
      <c r="K87" s="34"/>
      <c r="L87" s="34" t="s">
        <v>661</v>
      </c>
      <c r="M87" s="34"/>
      <c r="N87" s="114">
        <f t="shared" si="4"/>
        <v>0</v>
      </c>
      <c r="O87" s="34"/>
      <c r="P87" s="114">
        <f t="shared" si="5"/>
        <v>0</v>
      </c>
      <c r="Q87" s="34"/>
      <c r="R87" s="114">
        <f t="shared" si="6"/>
        <v>250833.78577522686</v>
      </c>
      <c r="S87" s="34"/>
      <c r="T87" s="114">
        <f t="shared" si="8"/>
        <v>147954.40068254093</v>
      </c>
      <c r="U87" s="115"/>
      <c r="V87" s="114">
        <f t="shared" si="7"/>
        <v>230433.10152845108</v>
      </c>
    </row>
    <row r="88" spans="2:22">
      <c r="B88" t="str">
        <f>+'Sq Footage'!B87</f>
        <v>Campbell</v>
      </c>
      <c r="D88" s="316" t="s">
        <v>902</v>
      </c>
      <c r="F88" s="34">
        <v>9504</v>
      </c>
      <c r="H88" s="34" t="str">
        <f>+'Sq Footage'!C87</f>
        <v>2-2BR</v>
      </c>
      <c r="J88" s="305">
        <f>+'Sq Footage'!L87</f>
        <v>1584</v>
      </c>
      <c r="K88" s="34"/>
      <c r="L88" s="34" t="s">
        <v>661</v>
      </c>
      <c r="M88" s="34"/>
      <c r="N88" s="114">
        <f t="shared" si="4"/>
        <v>0</v>
      </c>
      <c r="O88" s="34"/>
      <c r="P88" s="114">
        <f t="shared" si="5"/>
        <v>0</v>
      </c>
      <c r="Q88" s="34"/>
      <c r="R88" s="114">
        <f t="shared" si="6"/>
        <v>250833.78577522686</v>
      </c>
      <c r="S88" s="34"/>
      <c r="T88" s="114">
        <f t="shared" si="8"/>
        <v>147954.40068254093</v>
      </c>
      <c r="U88" s="115"/>
      <c r="V88" s="114">
        <f t="shared" si="7"/>
        <v>230433.10152845108</v>
      </c>
    </row>
    <row r="89" spans="2:22">
      <c r="B89" t="str">
        <f>+'Sq Footage'!B88</f>
        <v>Campbell</v>
      </c>
      <c r="D89" s="316" t="s">
        <v>901</v>
      </c>
      <c r="F89" s="34">
        <v>9504</v>
      </c>
      <c r="H89" s="34" t="str">
        <f>+'Sq Footage'!C88</f>
        <v>2-2BR</v>
      </c>
      <c r="J89" s="305">
        <f>+'Sq Footage'!L88</f>
        <v>1584</v>
      </c>
      <c r="K89" s="34"/>
      <c r="L89" s="34" t="s">
        <v>661</v>
      </c>
      <c r="M89" s="34"/>
      <c r="N89" s="114">
        <f t="shared" si="4"/>
        <v>0</v>
      </c>
      <c r="O89" s="34"/>
      <c r="P89" s="114">
        <f t="shared" si="5"/>
        <v>0</v>
      </c>
      <c r="Q89" s="34"/>
      <c r="R89" s="114">
        <f t="shared" si="6"/>
        <v>250833.78577522686</v>
      </c>
      <c r="S89" s="34"/>
      <c r="T89" s="114">
        <f t="shared" si="8"/>
        <v>147954.40068254093</v>
      </c>
      <c r="U89" s="115"/>
      <c r="V89" s="114">
        <f t="shared" si="7"/>
        <v>230433.10152845108</v>
      </c>
    </row>
    <row r="90" spans="2:22">
      <c r="B90" t="str">
        <f>+'Sq Footage'!B89</f>
        <v>Campbell</v>
      </c>
      <c r="D90" s="316" t="s">
        <v>903</v>
      </c>
      <c r="F90" s="34">
        <v>9504</v>
      </c>
      <c r="H90" s="34" t="str">
        <f>+'Sq Footage'!C89</f>
        <v>2-2BR</v>
      </c>
      <c r="J90" s="305">
        <f>+'Sq Footage'!L89</f>
        <v>1584</v>
      </c>
      <c r="K90" s="34"/>
      <c r="L90" s="34" t="s">
        <v>661</v>
      </c>
      <c r="M90" s="34"/>
      <c r="N90" s="114">
        <f t="shared" ref="N90:N98" si="9">SUM($J90/$J$100)*N$100</f>
        <v>0</v>
      </c>
      <c r="O90" s="34"/>
      <c r="P90" s="114">
        <f t="shared" ref="P90:P98" si="10">SUM($J90/$J$100)*P$100</f>
        <v>0</v>
      </c>
      <c r="Q90" s="34"/>
      <c r="R90" s="114">
        <f t="shared" ref="R90:R98" si="11">SUM($J90/$J$100)*R$100</f>
        <v>250833.78577522686</v>
      </c>
      <c r="S90" s="34"/>
      <c r="T90" s="114">
        <f t="shared" si="8"/>
        <v>147954.40068254093</v>
      </c>
      <c r="U90" s="115"/>
      <c r="V90" s="114">
        <f t="shared" si="7"/>
        <v>230433.10152845108</v>
      </c>
    </row>
    <row r="91" spans="2:22">
      <c r="B91" t="str">
        <f>+'Sq Footage'!B90</f>
        <v>Campbell</v>
      </c>
      <c r="D91" s="316" t="s">
        <v>904</v>
      </c>
      <c r="F91" s="34">
        <v>9504</v>
      </c>
      <c r="H91" s="34" t="str">
        <f>+'Sq Footage'!C90</f>
        <v>2-3BR</v>
      </c>
      <c r="J91" s="305">
        <f>+'Sq Footage'!L90</f>
        <v>1904</v>
      </c>
      <c r="K91" s="34"/>
      <c r="L91" s="34" t="s">
        <v>661</v>
      </c>
      <c r="M91" s="34"/>
      <c r="N91" s="114">
        <f t="shared" si="9"/>
        <v>0</v>
      </c>
      <c r="O91" s="34"/>
      <c r="P91" s="114">
        <f t="shared" si="10"/>
        <v>0</v>
      </c>
      <c r="Q91" s="34"/>
      <c r="R91" s="114">
        <f t="shared" si="11"/>
        <v>301507.27785103029</v>
      </c>
      <c r="S91" s="34"/>
      <c r="T91" s="114">
        <f t="shared" si="8"/>
        <v>177844.17859820573</v>
      </c>
      <c r="U91" s="115"/>
      <c r="V91" s="114">
        <f t="shared" si="7"/>
        <v>276985.2432513705</v>
      </c>
    </row>
    <row r="92" spans="2:22">
      <c r="B92" t="str">
        <f>+'Sq Footage'!B91</f>
        <v>Campbell</v>
      </c>
      <c r="D92" s="316" t="s">
        <v>905</v>
      </c>
      <c r="F92" s="34">
        <v>9504</v>
      </c>
      <c r="H92" s="34" t="str">
        <f>+'Sq Footage'!C91</f>
        <v>2-3BR</v>
      </c>
      <c r="J92" s="305">
        <f>+'Sq Footage'!L91</f>
        <v>1904</v>
      </c>
      <c r="K92" s="34"/>
      <c r="L92" s="34" t="s">
        <v>661</v>
      </c>
      <c r="M92" s="34"/>
      <c r="N92" s="114">
        <f t="shared" si="9"/>
        <v>0</v>
      </c>
      <c r="O92" s="34"/>
      <c r="P92" s="114">
        <f t="shared" si="10"/>
        <v>0</v>
      </c>
      <c r="Q92" s="34"/>
      <c r="R92" s="114">
        <f t="shared" si="11"/>
        <v>301507.27785103029</v>
      </c>
      <c r="S92" s="34"/>
      <c r="T92" s="114">
        <f t="shared" ref="T92:T97" si="12">SUM(J92/J$100)*T$100</f>
        <v>177844.17859820573</v>
      </c>
      <c r="U92" s="115"/>
      <c r="V92" s="114">
        <f t="shared" si="7"/>
        <v>276985.2432513705</v>
      </c>
    </row>
    <row r="93" spans="2:22">
      <c r="B93" t="str">
        <f>+'Sq Footage'!B92</f>
        <v>Wesley</v>
      </c>
      <c r="D93" s="316" t="s">
        <v>906</v>
      </c>
      <c r="F93" s="34">
        <v>9504</v>
      </c>
      <c r="H93" s="34" t="str">
        <f>+'Sq Footage'!C92</f>
        <v>2-1BR</v>
      </c>
      <c r="J93" s="305">
        <f>+'Sq Footage'!L92</f>
        <v>1234</v>
      </c>
      <c r="K93" s="34"/>
      <c r="L93" s="34" t="s">
        <v>661</v>
      </c>
      <c r="M93" s="34"/>
      <c r="N93" s="114">
        <f t="shared" si="9"/>
        <v>0</v>
      </c>
      <c r="O93" s="34"/>
      <c r="P93" s="114">
        <f t="shared" si="10"/>
        <v>0</v>
      </c>
      <c r="Q93" s="34"/>
      <c r="R93" s="114">
        <f t="shared" si="11"/>
        <v>195409.6538173169</v>
      </c>
      <c r="S93" s="34"/>
      <c r="T93" s="114">
        <f t="shared" si="12"/>
        <v>115262.45608728251</v>
      </c>
      <c r="U93" s="115"/>
      <c r="V93" s="114">
        <f t="shared" si="7"/>
        <v>179516.69651900799</v>
      </c>
    </row>
    <row r="94" spans="2:22">
      <c r="B94" t="str">
        <f>+'Sq Footage'!B93</f>
        <v>Wesley</v>
      </c>
      <c r="D94" s="316" t="s">
        <v>907</v>
      </c>
      <c r="F94" s="34">
        <v>9504</v>
      </c>
      <c r="H94" s="34" t="str">
        <f>+'Sq Footage'!C93</f>
        <v>2-1BR</v>
      </c>
      <c r="J94" s="305">
        <f>+'Sq Footage'!L93</f>
        <v>1234</v>
      </c>
      <c r="K94" s="34"/>
      <c r="L94" s="34" t="s">
        <v>661</v>
      </c>
      <c r="M94" s="34"/>
      <c r="N94" s="114">
        <f t="shared" si="9"/>
        <v>0</v>
      </c>
      <c r="O94" s="34"/>
      <c r="P94" s="114">
        <f t="shared" si="10"/>
        <v>0</v>
      </c>
      <c r="Q94" s="34"/>
      <c r="R94" s="114">
        <f t="shared" si="11"/>
        <v>195409.6538173169</v>
      </c>
      <c r="S94" s="34"/>
      <c r="T94" s="114">
        <f t="shared" si="12"/>
        <v>115262.45608728251</v>
      </c>
      <c r="U94" s="115"/>
      <c r="V94" s="114">
        <f t="shared" si="7"/>
        <v>179516.69651900799</v>
      </c>
    </row>
    <row r="95" spans="2:22">
      <c r="B95" t="str">
        <f>+'Sq Footage'!B94</f>
        <v>Wesley</v>
      </c>
      <c r="D95" s="316" t="s">
        <v>908</v>
      </c>
      <c r="F95" s="34">
        <v>9504</v>
      </c>
      <c r="H95" s="34" t="str">
        <f>+'Sq Footage'!C94</f>
        <v>2-1BR</v>
      </c>
      <c r="J95" s="305">
        <f>+'Sq Footage'!L94</f>
        <v>1234</v>
      </c>
      <c r="K95" s="34"/>
      <c r="L95" s="34" t="s">
        <v>661</v>
      </c>
      <c r="M95" s="34"/>
      <c r="N95" s="114">
        <f t="shared" si="9"/>
        <v>0</v>
      </c>
      <c r="O95" s="34"/>
      <c r="P95" s="114">
        <f t="shared" si="10"/>
        <v>0</v>
      </c>
      <c r="Q95" s="34"/>
      <c r="R95" s="114">
        <f t="shared" si="11"/>
        <v>195409.6538173169</v>
      </c>
      <c r="S95" s="34"/>
      <c r="T95" s="114">
        <f t="shared" si="12"/>
        <v>115262.45608728251</v>
      </c>
      <c r="U95" s="115"/>
      <c r="V95" s="114">
        <f t="shared" si="7"/>
        <v>179516.69651900799</v>
      </c>
    </row>
    <row r="96" spans="2:22">
      <c r="B96" t="str">
        <f>+'Sq Footage'!B95</f>
        <v>Wesley</v>
      </c>
      <c r="D96" s="316" t="s">
        <v>909</v>
      </c>
      <c r="F96" s="34">
        <v>9504</v>
      </c>
      <c r="H96" s="34" t="str">
        <f>+'Sq Footage'!C95</f>
        <v>2-1BR</v>
      </c>
      <c r="J96" s="305">
        <f>+'Sq Footage'!L95</f>
        <v>1234</v>
      </c>
      <c r="K96" s="34"/>
      <c r="L96" s="34" t="s">
        <v>661</v>
      </c>
      <c r="M96" s="34"/>
      <c r="N96" s="114">
        <f t="shared" si="9"/>
        <v>0</v>
      </c>
      <c r="O96" s="34"/>
      <c r="P96" s="114">
        <f t="shared" si="10"/>
        <v>0</v>
      </c>
      <c r="Q96" s="34"/>
      <c r="R96" s="114">
        <f t="shared" si="11"/>
        <v>195409.6538173169</v>
      </c>
      <c r="S96" s="34"/>
      <c r="T96" s="114">
        <f t="shared" si="12"/>
        <v>115262.45608728251</v>
      </c>
      <c r="U96" s="115"/>
      <c r="V96" s="114">
        <f t="shared" si="7"/>
        <v>179516.69651900799</v>
      </c>
    </row>
    <row r="97" spans="2:22">
      <c r="B97" t="str">
        <f>+'Sq Footage'!B96</f>
        <v>Wesley</v>
      </c>
      <c r="D97" s="316" t="s">
        <v>910</v>
      </c>
      <c r="F97" s="34">
        <v>9504</v>
      </c>
      <c r="H97" s="34" t="str">
        <f>+'Sq Footage'!C96</f>
        <v>2-1BR</v>
      </c>
      <c r="J97" s="305">
        <f>+'Sq Footage'!L96</f>
        <v>1234</v>
      </c>
      <c r="K97" s="34"/>
      <c r="L97" s="34" t="s">
        <v>661</v>
      </c>
      <c r="M97" s="34"/>
      <c r="N97" s="114">
        <f t="shared" si="9"/>
        <v>0</v>
      </c>
      <c r="O97" s="34"/>
      <c r="P97" s="114">
        <f t="shared" si="10"/>
        <v>0</v>
      </c>
      <c r="Q97" s="34"/>
      <c r="R97" s="114">
        <f t="shared" si="11"/>
        <v>195409.6538173169</v>
      </c>
      <c r="S97" s="34"/>
      <c r="T97" s="114">
        <f t="shared" si="12"/>
        <v>115262.45608728251</v>
      </c>
      <c r="U97" s="115"/>
      <c r="V97" s="114">
        <f t="shared" si="7"/>
        <v>179516.69651900799</v>
      </c>
    </row>
    <row r="98" spans="2:22">
      <c r="B98" t="str">
        <f>+'Sq Footage'!B97</f>
        <v>Wesley</v>
      </c>
      <c r="D98" s="316" t="s">
        <v>911</v>
      </c>
      <c r="F98" s="34">
        <v>9504</v>
      </c>
      <c r="H98" s="34" t="str">
        <f>+'Sq Footage'!C97</f>
        <v>2-2BR</v>
      </c>
      <c r="J98" s="305">
        <f>+'Sq Footage'!L97</f>
        <v>1584</v>
      </c>
      <c r="K98" s="34"/>
      <c r="L98" s="34" t="s">
        <v>661</v>
      </c>
      <c r="M98" s="34"/>
      <c r="N98" s="114">
        <f t="shared" si="9"/>
        <v>0</v>
      </c>
      <c r="O98" s="34"/>
      <c r="P98" s="114">
        <f t="shared" si="10"/>
        <v>0</v>
      </c>
      <c r="Q98" s="34"/>
      <c r="R98" s="114">
        <f t="shared" si="11"/>
        <v>250833.78577522686</v>
      </c>
      <c r="S98" s="34"/>
      <c r="T98" s="114">
        <f t="shared" ref="T98" si="13">SUM(J98/J$100)*T$100</f>
        <v>147954.40068254093</v>
      </c>
      <c r="U98" s="115"/>
      <c r="V98" s="114">
        <f t="shared" si="7"/>
        <v>230433.10152845108</v>
      </c>
    </row>
    <row r="99" spans="2:22"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</row>
    <row r="100" spans="2:22" ht="13.5" thickBot="1">
      <c r="J100" s="299">
        <f>SUM(J10:J99)</f>
        <v>154716</v>
      </c>
      <c r="K100" s="34"/>
      <c r="L100" s="34"/>
      <c r="M100" s="34"/>
      <c r="N100" s="117">
        <f>+'Sources &amp; Uses'!H16</f>
        <v>0</v>
      </c>
      <c r="O100" s="34"/>
      <c r="P100" s="117">
        <f>+'Sources &amp; Uses'!H17</f>
        <v>0</v>
      </c>
      <c r="Q100" s="34"/>
      <c r="R100" s="117">
        <f>+'Sources &amp; Uses'!I75-'Sources &amp; Uses'!E16</f>
        <v>24500000</v>
      </c>
      <c r="S100" s="34"/>
      <c r="T100" s="117">
        <f>+'Sources &amp; Uses'!E24</f>
        <v>14451334</v>
      </c>
      <c r="U100" s="34"/>
      <c r="V100" s="117">
        <f>+'CR Calculation'!H16</f>
        <v>22507378.621259999</v>
      </c>
    </row>
    <row r="101" spans="2:22" ht="13.5" thickTop="1"/>
    <row r="102" spans="2:22">
      <c r="B102" s="89"/>
    </row>
    <row r="104" spans="2:22">
      <c r="N104" s="11">
        <f>SUM(N10:N99)</f>
        <v>0</v>
      </c>
      <c r="P104" s="11">
        <f>SUM(P10:P99)</f>
        <v>0</v>
      </c>
      <c r="R104" s="11">
        <f>SUM(R10:R99)</f>
        <v>24500000</v>
      </c>
      <c r="T104" s="11">
        <f>SUM(T10:T99)</f>
        <v>14451333.999999993</v>
      </c>
      <c r="V104" s="11">
        <f>SUM(V10:V99)</f>
        <v>22507378.621260006</v>
      </c>
    </row>
  </sheetData>
  <phoneticPr fontId="0" type="noConversion"/>
  <pageMargins left="0.75" right="0.75" top="1" bottom="1" header="0.5" footer="0.5"/>
  <pageSetup scale="60" fitToHeight="2" orientation="landscape" horizontalDpi="4294967292" r:id="rId1"/>
  <headerFooter alignWithMargins="0">
    <oddFooter>&amp;L&amp;D&amp;T&amp;C&amp;F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pageSetUpPr fitToPage="1"/>
  </sheetPr>
  <dimension ref="A1:R114"/>
  <sheetViews>
    <sheetView workbookViewId="0"/>
  </sheetViews>
  <sheetFormatPr defaultColWidth="8.85546875" defaultRowHeight="12.75"/>
  <cols>
    <col min="1" max="1" width="8.85546875" style="34"/>
    <col min="2" max="2" width="11.42578125" style="34" customWidth="1"/>
    <col min="3" max="3" width="15.7109375" style="34" customWidth="1"/>
    <col min="4" max="4" width="8.7109375" customWidth="1"/>
    <col min="5" max="5" width="8.7109375" style="34" customWidth="1"/>
    <col min="6" max="6" width="8.7109375" customWidth="1"/>
    <col min="7" max="7" width="8.7109375" style="34" customWidth="1"/>
    <col min="8" max="8" width="8.7109375" customWidth="1"/>
    <col min="9" max="9" width="8.7109375" style="34" customWidth="1"/>
    <col min="11" max="11" width="8.85546875" style="34"/>
    <col min="12" max="12" width="11.140625" bestFit="1" customWidth="1"/>
    <col min="13" max="13" width="11" customWidth="1"/>
    <col min="15" max="15" width="16.85546875" customWidth="1"/>
    <col min="16" max="16" width="13.28515625" hidden="1" customWidth="1"/>
  </cols>
  <sheetData>
    <row r="1" spans="1:18">
      <c r="A1" s="296" t="str">
        <f>+'Sources &amp; Uses'!A1</f>
        <v>Lamar Building</v>
      </c>
    </row>
    <row r="2" spans="1:18">
      <c r="A2" s="297" t="s">
        <v>294</v>
      </c>
    </row>
    <row r="5" spans="1:18">
      <c r="D5" s="88" t="s">
        <v>762</v>
      </c>
      <c r="E5" s="298"/>
      <c r="F5" s="88" t="s">
        <v>341</v>
      </c>
      <c r="G5" s="298"/>
      <c r="H5" s="88" t="s">
        <v>348</v>
      </c>
      <c r="I5" s="298"/>
      <c r="J5" s="88" t="s">
        <v>396</v>
      </c>
      <c r="K5" s="298"/>
      <c r="N5" s="34" t="s">
        <v>295</v>
      </c>
      <c r="O5" t="s">
        <v>430</v>
      </c>
      <c r="P5" s="32" t="s">
        <v>430</v>
      </c>
      <c r="Q5" s="89"/>
    </row>
    <row r="6" spans="1:18">
      <c r="A6" s="34" t="s">
        <v>778</v>
      </c>
      <c r="B6" s="34" t="s">
        <v>774</v>
      </c>
      <c r="C6" s="34" t="s">
        <v>296</v>
      </c>
      <c r="D6" s="34" t="s">
        <v>297</v>
      </c>
      <c r="E6" s="34" t="s">
        <v>298</v>
      </c>
      <c r="F6" s="34" t="s">
        <v>297</v>
      </c>
      <c r="G6" s="34" t="s">
        <v>298</v>
      </c>
      <c r="H6" s="34" t="s">
        <v>297</v>
      </c>
      <c r="I6" s="34" t="s">
        <v>298</v>
      </c>
      <c r="J6" s="34" t="s">
        <v>297</v>
      </c>
      <c r="K6" s="34" t="s">
        <v>298</v>
      </c>
      <c r="L6" s="34" t="s">
        <v>91</v>
      </c>
      <c r="M6" s="34" t="s">
        <v>299</v>
      </c>
      <c r="N6" s="34" t="s">
        <v>300</v>
      </c>
      <c r="O6" s="34" t="s">
        <v>431</v>
      </c>
      <c r="P6" s="148" t="s">
        <v>432</v>
      </c>
      <c r="Q6" s="89"/>
      <c r="R6" s="34"/>
    </row>
    <row r="7" spans="1:18">
      <c r="A7" s="35" t="s">
        <v>777</v>
      </c>
      <c r="B7" s="35" t="s">
        <v>775</v>
      </c>
      <c r="C7" s="35" t="s">
        <v>163</v>
      </c>
      <c r="D7" s="35" t="s">
        <v>301</v>
      </c>
      <c r="E7" s="35" t="s">
        <v>302</v>
      </c>
      <c r="F7" s="35" t="s">
        <v>301</v>
      </c>
      <c r="G7" s="35" t="s">
        <v>302</v>
      </c>
      <c r="H7" s="35" t="s">
        <v>301</v>
      </c>
      <c r="I7" s="35" t="s">
        <v>302</v>
      </c>
      <c r="J7" s="35" t="s">
        <v>301</v>
      </c>
      <c r="K7" s="35" t="s">
        <v>302</v>
      </c>
      <c r="L7" s="35" t="s">
        <v>302</v>
      </c>
      <c r="M7" s="35" t="s">
        <v>303</v>
      </c>
      <c r="N7" s="35" t="s">
        <v>304</v>
      </c>
      <c r="O7" s="35" t="s">
        <v>298</v>
      </c>
      <c r="P7" s="149" t="s">
        <v>433</v>
      </c>
      <c r="Q7" s="89"/>
      <c r="R7" s="34"/>
    </row>
    <row r="9" spans="1:18">
      <c r="A9" s="34">
        <v>1</v>
      </c>
      <c r="B9" s="34" t="s">
        <v>776</v>
      </c>
      <c r="C9" s="34" t="s">
        <v>770</v>
      </c>
      <c r="D9">
        <v>3</v>
      </c>
      <c r="E9" s="34">
        <v>632</v>
      </c>
      <c r="G9" s="34">
        <v>820</v>
      </c>
      <c r="I9" s="34">
        <v>1044</v>
      </c>
      <c r="K9" s="34">
        <v>1249</v>
      </c>
      <c r="L9">
        <f>SUM(G9*F9)+(I9*H9)+(K9*J9)+D9*E9</f>
        <v>1896</v>
      </c>
      <c r="M9" s="87">
        <f t="shared" ref="M9:M40" si="0">+L9/$L$100*0</f>
        <v>0</v>
      </c>
      <c r="N9" s="87">
        <f>+L9+M9</f>
        <v>1896</v>
      </c>
      <c r="O9" s="52">
        <f>SUM(N9/N$100*'Sources &amp; Uses'!E$24)</f>
        <v>177096.93415031413</v>
      </c>
      <c r="P9" s="138">
        <f>SUM(O9/N9)</f>
        <v>93.405555986452597</v>
      </c>
    </row>
    <row r="10" spans="1:18">
      <c r="A10" s="34">
        <f>+A9+1</f>
        <v>2</v>
      </c>
      <c r="B10" s="34" t="s">
        <v>776</v>
      </c>
      <c r="C10" s="34" t="s">
        <v>770</v>
      </c>
      <c r="D10">
        <v>3</v>
      </c>
      <c r="E10" s="34">
        <f>+E9</f>
        <v>632</v>
      </c>
      <c r="G10" s="34">
        <f>+G9</f>
        <v>820</v>
      </c>
      <c r="I10" s="34">
        <f>+I9</f>
        <v>1044</v>
      </c>
      <c r="K10" s="34">
        <f t="shared" ref="K10:K73" si="1">+K9</f>
        <v>1249</v>
      </c>
      <c r="L10">
        <f t="shared" ref="L10:L18" si="2">SUM(G10*F10)+(I10*H10)+(K10*J10)+D10*E10</f>
        <v>1896</v>
      </c>
      <c r="M10" s="87">
        <f t="shared" si="0"/>
        <v>0</v>
      </c>
      <c r="N10" s="87">
        <f>+L10+M10</f>
        <v>1896</v>
      </c>
      <c r="O10" s="52">
        <f>SUM(N10/N$100*'Sources &amp; Uses'!E$24)</f>
        <v>177096.93415031413</v>
      </c>
      <c r="P10" s="138">
        <f t="shared" ref="P10:P18" si="3">SUM(O10/N10)</f>
        <v>93.405555986452597</v>
      </c>
    </row>
    <row r="11" spans="1:18">
      <c r="A11" s="34">
        <f t="shared" ref="A11:A18" si="4">+A10+1</f>
        <v>3</v>
      </c>
      <c r="B11" s="34" t="s">
        <v>776</v>
      </c>
      <c r="C11" s="34" t="s">
        <v>770</v>
      </c>
      <c r="D11">
        <v>3</v>
      </c>
      <c r="E11" s="34">
        <f t="shared" ref="E11:G18" si="5">+E10</f>
        <v>632</v>
      </c>
      <c r="G11" s="34">
        <f t="shared" si="5"/>
        <v>820</v>
      </c>
      <c r="I11" s="34">
        <f t="shared" ref="I11:I74" si="6">+I10</f>
        <v>1044</v>
      </c>
      <c r="K11" s="34">
        <f t="shared" si="1"/>
        <v>1249</v>
      </c>
      <c r="L11">
        <f t="shared" si="2"/>
        <v>1896</v>
      </c>
      <c r="M11" s="87">
        <f t="shared" si="0"/>
        <v>0</v>
      </c>
      <c r="N11" s="87">
        <f t="shared" ref="N11:N18" si="7">+L11+M11</f>
        <v>1896</v>
      </c>
      <c r="O11" s="52">
        <f>SUM(N11/N$100*'Sources &amp; Uses'!E$24)</f>
        <v>177096.93415031413</v>
      </c>
      <c r="P11" s="138">
        <f t="shared" si="3"/>
        <v>93.405555986452597</v>
      </c>
    </row>
    <row r="12" spans="1:18">
      <c r="A12" s="34">
        <f t="shared" si="4"/>
        <v>4</v>
      </c>
      <c r="B12" s="34" t="s">
        <v>776</v>
      </c>
      <c r="C12" s="34" t="s">
        <v>770</v>
      </c>
      <c r="D12">
        <v>3</v>
      </c>
      <c r="E12" s="34">
        <f t="shared" si="5"/>
        <v>632</v>
      </c>
      <c r="G12" s="34">
        <f t="shared" si="5"/>
        <v>820</v>
      </c>
      <c r="I12" s="34">
        <f t="shared" si="6"/>
        <v>1044</v>
      </c>
      <c r="K12" s="34">
        <f t="shared" si="1"/>
        <v>1249</v>
      </c>
      <c r="L12">
        <f t="shared" si="2"/>
        <v>1896</v>
      </c>
      <c r="M12" s="87">
        <f t="shared" si="0"/>
        <v>0</v>
      </c>
      <c r="N12" s="87">
        <f t="shared" si="7"/>
        <v>1896</v>
      </c>
      <c r="O12" s="52">
        <f>SUM(N12/N$100*'Sources &amp; Uses'!E$24)</f>
        <v>177096.93415031413</v>
      </c>
      <c r="P12" s="138">
        <f t="shared" si="3"/>
        <v>93.405555986452597</v>
      </c>
    </row>
    <row r="13" spans="1:18">
      <c r="A13" s="34">
        <f t="shared" si="4"/>
        <v>5</v>
      </c>
      <c r="B13" s="34" t="s">
        <v>776</v>
      </c>
      <c r="C13" s="34" t="s">
        <v>771</v>
      </c>
      <c r="E13" s="34">
        <f t="shared" si="5"/>
        <v>632</v>
      </c>
      <c r="F13">
        <v>2</v>
      </c>
      <c r="G13" s="34">
        <v>820</v>
      </c>
      <c r="I13" s="34">
        <f t="shared" si="6"/>
        <v>1044</v>
      </c>
      <c r="K13" s="34">
        <f t="shared" si="1"/>
        <v>1249</v>
      </c>
      <c r="L13">
        <f t="shared" si="2"/>
        <v>1640</v>
      </c>
      <c r="M13" s="87">
        <f t="shared" si="0"/>
        <v>0</v>
      </c>
      <c r="N13" s="87">
        <f t="shared" si="7"/>
        <v>1640</v>
      </c>
      <c r="O13" s="52">
        <f>SUM(N13/N$100*'Sources &amp; Uses'!E$24)</f>
        <v>153185.11181778225</v>
      </c>
      <c r="P13" s="138">
        <f t="shared" si="3"/>
        <v>93.405555986452597</v>
      </c>
    </row>
    <row r="14" spans="1:18">
      <c r="A14" s="34">
        <f t="shared" si="4"/>
        <v>6</v>
      </c>
      <c r="B14" s="34" t="s">
        <v>776</v>
      </c>
      <c r="C14" s="34" t="s">
        <v>771</v>
      </c>
      <c r="E14" s="34">
        <f t="shared" si="5"/>
        <v>632</v>
      </c>
      <c r="F14">
        <v>2</v>
      </c>
      <c r="G14" s="34">
        <f t="shared" si="5"/>
        <v>820</v>
      </c>
      <c r="I14" s="34">
        <f t="shared" si="6"/>
        <v>1044</v>
      </c>
      <c r="K14" s="34">
        <f t="shared" si="1"/>
        <v>1249</v>
      </c>
      <c r="L14">
        <f t="shared" si="2"/>
        <v>1640</v>
      </c>
      <c r="M14" s="87">
        <f t="shared" si="0"/>
        <v>0</v>
      </c>
      <c r="N14" s="87">
        <f t="shared" si="7"/>
        <v>1640</v>
      </c>
      <c r="O14" s="52">
        <f>SUM(N14/N$100*'Sources &amp; Uses'!E$24)</f>
        <v>153185.11181778225</v>
      </c>
      <c r="P14" s="138">
        <f t="shared" si="3"/>
        <v>93.405555986452597</v>
      </c>
    </row>
    <row r="15" spans="1:18">
      <c r="A15" s="34">
        <f t="shared" si="4"/>
        <v>7</v>
      </c>
      <c r="B15" s="34" t="s">
        <v>776</v>
      </c>
      <c r="C15" s="34" t="s">
        <v>771</v>
      </c>
      <c r="E15" s="34">
        <f t="shared" si="5"/>
        <v>632</v>
      </c>
      <c r="F15">
        <v>2</v>
      </c>
      <c r="G15" s="34">
        <f t="shared" si="5"/>
        <v>820</v>
      </c>
      <c r="I15" s="34">
        <f t="shared" si="6"/>
        <v>1044</v>
      </c>
      <c r="K15" s="34">
        <f t="shared" si="1"/>
        <v>1249</v>
      </c>
      <c r="L15">
        <f t="shared" si="2"/>
        <v>1640</v>
      </c>
      <c r="M15" s="87">
        <f t="shared" si="0"/>
        <v>0</v>
      </c>
      <c r="N15" s="87">
        <f t="shared" si="7"/>
        <v>1640</v>
      </c>
      <c r="O15" s="52">
        <f>SUM(N15/N$100*'Sources &amp; Uses'!E$24)</f>
        <v>153185.11181778225</v>
      </c>
      <c r="P15" s="138">
        <f t="shared" si="3"/>
        <v>93.405555986452597</v>
      </c>
    </row>
    <row r="16" spans="1:18">
      <c r="A16" s="34">
        <f t="shared" si="4"/>
        <v>8</v>
      </c>
      <c r="B16" s="34" t="s">
        <v>776</v>
      </c>
      <c r="C16" s="34" t="s">
        <v>771</v>
      </c>
      <c r="E16" s="34">
        <f t="shared" si="5"/>
        <v>632</v>
      </c>
      <c r="F16">
        <v>2</v>
      </c>
      <c r="G16" s="34">
        <f t="shared" si="5"/>
        <v>820</v>
      </c>
      <c r="I16" s="34">
        <f t="shared" si="6"/>
        <v>1044</v>
      </c>
      <c r="K16" s="34">
        <f t="shared" si="1"/>
        <v>1249</v>
      </c>
      <c r="L16">
        <f t="shared" si="2"/>
        <v>1640</v>
      </c>
      <c r="M16" s="87">
        <f t="shared" si="0"/>
        <v>0</v>
      </c>
      <c r="N16" s="87">
        <f t="shared" si="7"/>
        <v>1640</v>
      </c>
      <c r="O16" s="52">
        <f>SUM(N16/N$100*'Sources &amp; Uses'!E$24)</f>
        <v>153185.11181778225</v>
      </c>
      <c r="P16" s="138">
        <f t="shared" si="3"/>
        <v>93.405555986452597</v>
      </c>
    </row>
    <row r="17" spans="1:16">
      <c r="A17" s="34">
        <f t="shared" si="4"/>
        <v>9</v>
      </c>
      <c r="B17" s="34" t="s">
        <v>776</v>
      </c>
      <c r="C17" s="34" t="s">
        <v>771</v>
      </c>
      <c r="E17" s="34">
        <f t="shared" si="5"/>
        <v>632</v>
      </c>
      <c r="F17">
        <v>2</v>
      </c>
      <c r="G17" s="34">
        <f t="shared" si="5"/>
        <v>820</v>
      </c>
      <c r="I17" s="34">
        <f t="shared" si="6"/>
        <v>1044</v>
      </c>
      <c r="K17" s="34">
        <f t="shared" si="1"/>
        <v>1249</v>
      </c>
      <c r="L17">
        <f t="shared" si="2"/>
        <v>1640</v>
      </c>
      <c r="M17" s="87">
        <f t="shared" si="0"/>
        <v>0</v>
      </c>
      <c r="N17" s="87">
        <f t="shared" si="7"/>
        <v>1640</v>
      </c>
      <c r="O17" s="52">
        <f>SUM(N17/N$100*'Sources &amp; Uses'!E$24)</f>
        <v>153185.11181778225</v>
      </c>
      <c r="P17" s="138">
        <f t="shared" si="3"/>
        <v>93.405555986452597</v>
      </c>
    </row>
    <row r="18" spans="1:16">
      <c r="A18" s="34">
        <f t="shared" si="4"/>
        <v>10</v>
      </c>
      <c r="B18" s="34" t="s">
        <v>776</v>
      </c>
      <c r="C18" s="34" t="s">
        <v>771</v>
      </c>
      <c r="E18" s="34">
        <f t="shared" si="5"/>
        <v>632</v>
      </c>
      <c r="F18">
        <v>2</v>
      </c>
      <c r="G18" s="34">
        <f t="shared" si="5"/>
        <v>820</v>
      </c>
      <c r="I18" s="34">
        <f t="shared" si="6"/>
        <v>1044</v>
      </c>
      <c r="K18" s="34">
        <f t="shared" si="1"/>
        <v>1249</v>
      </c>
      <c r="L18">
        <f t="shared" si="2"/>
        <v>1640</v>
      </c>
      <c r="M18" s="87">
        <f t="shared" si="0"/>
        <v>0</v>
      </c>
      <c r="N18" s="87">
        <f t="shared" si="7"/>
        <v>1640</v>
      </c>
      <c r="O18" s="52">
        <f>SUM(N18/N$100*'Sources &amp; Uses'!E$24)</f>
        <v>153185.11181778225</v>
      </c>
      <c r="P18" s="138">
        <f t="shared" si="3"/>
        <v>93.405555986452597</v>
      </c>
    </row>
    <row r="19" spans="1:16">
      <c r="A19" s="34">
        <f t="shared" ref="A19" si="8">+A18+1</f>
        <v>11</v>
      </c>
      <c r="B19" s="34" t="s">
        <v>776</v>
      </c>
      <c r="C19" s="34" t="s">
        <v>771</v>
      </c>
      <c r="E19" s="34">
        <f t="shared" ref="E19" si="9">+E18</f>
        <v>632</v>
      </c>
      <c r="F19">
        <v>2</v>
      </c>
      <c r="G19" s="34">
        <f t="shared" ref="G19" si="10">+G18</f>
        <v>820</v>
      </c>
      <c r="I19" s="34">
        <f t="shared" si="6"/>
        <v>1044</v>
      </c>
      <c r="K19" s="34">
        <f t="shared" si="1"/>
        <v>1249</v>
      </c>
      <c r="L19">
        <f t="shared" ref="L19:L82" si="11">SUM(G19*F19)+(I19*H19)+(K19*J19)+D19*E19</f>
        <v>1640</v>
      </c>
      <c r="M19" s="87">
        <f t="shared" si="0"/>
        <v>0</v>
      </c>
      <c r="N19" s="87">
        <f t="shared" ref="N19:N82" si="12">+L19+M19</f>
        <v>1640</v>
      </c>
      <c r="O19" s="52">
        <f>SUM(N19/N$100*'Sources &amp; Uses'!E$24)</f>
        <v>153185.11181778225</v>
      </c>
      <c r="P19" s="138">
        <f t="shared" ref="P19:P82" si="13">SUM(O19/N19)</f>
        <v>93.405555986452597</v>
      </c>
    </row>
    <row r="20" spans="1:16">
      <c r="A20" s="34">
        <f t="shared" ref="A20" si="14">+A19+1</f>
        <v>12</v>
      </c>
      <c r="B20" s="34" t="s">
        <v>776</v>
      </c>
      <c r="C20" s="34" t="s">
        <v>771</v>
      </c>
      <c r="E20" s="34">
        <f t="shared" ref="E20" si="15">+E19</f>
        <v>632</v>
      </c>
      <c r="F20">
        <v>2</v>
      </c>
      <c r="G20" s="34">
        <f t="shared" ref="G20" si="16">+G19</f>
        <v>820</v>
      </c>
      <c r="I20" s="34">
        <f t="shared" si="6"/>
        <v>1044</v>
      </c>
      <c r="K20" s="34">
        <f t="shared" si="1"/>
        <v>1249</v>
      </c>
      <c r="L20">
        <f t="shared" si="11"/>
        <v>1640</v>
      </c>
      <c r="M20" s="87">
        <f t="shared" si="0"/>
        <v>0</v>
      </c>
      <c r="N20" s="87">
        <f t="shared" si="12"/>
        <v>1640</v>
      </c>
      <c r="O20" s="52">
        <f>SUM(N20/N$100*'Sources &amp; Uses'!E$24)</f>
        <v>153185.11181778225</v>
      </c>
      <c r="P20" s="138">
        <f t="shared" si="13"/>
        <v>93.405555986452597</v>
      </c>
    </row>
    <row r="21" spans="1:16">
      <c r="A21" s="34">
        <f t="shared" ref="A21" si="17">+A20+1</f>
        <v>13</v>
      </c>
      <c r="B21" s="34" t="s">
        <v>776</v>
      </c>
      <c r="C21" s="34" t="s">
        <v>771</v>
      </c>
      <c r="E21" s="34">
        <f t="shared" ref="E21" si="18">+E20</f>
        <v>632</v>
      </c>
      <c r="F21">
        <v>2</v>
      </c>
      <c r="G21" s="34">
        <f t="shared" ref="G21" si="19">+G20</f>
        <v>820</v>
      </c>
      <c r="I21" s="34">
        <f t="shared" si="6"/>
        <v>1044</v>
      </c>
      <c r="K21" s="34">
        <f t="shared" si="1"/>
        <v>1249</v>
      </c>
      <c r="L21">
        <f t="shared" si="11"/>
        <v>1640</v>
      </c>
      <c r="M21" s="87">
        <f t="shared" si="0"/>
        <v>0</v>
      </c>
      <c r="N21" s="87">
        <f t="shared" si="12"/>
        <v>1640</v>
      </c>
      <c r="O21" s="52">
        <f>SUM(N21/N$100*'Sources &amp; Uses'!E$24)</f>
        <v>153185.11181778225</v>
      </c>
      <c r="P21" s="138">
        <f t="shared" si="13"/>
        <v>93.405555986452597</v>
      </c>
    </row>
    <row r="22" spans="1:16">
      <c r="A22" s="34">
        <f t="shared" ref="A22" si="20">+A21+1</f>
        <v>14</v>
      </c>
      <c r="B22" s="34" t="s">
        <v>776</v>
      </c>
      <c r="C22" s="34" t="s">
        <v>771</v>
      </c>
      <c r="E22" s="34">
        <f t="shared" ref="E22" si="21">+E21</f>
        <v>632</v>
      </c>
      <c r="F22">
        <v>2</v>
      </c>
      <c r="G22" s="34">
        <f t="shared" ref="G22" si="22">+G21</f>
        <v>820</v>
      </c>
      <c r="I22" s="34">
        <f t="shared" si="6"/>
        <v>1044</v>
      </c>
      <c r="K22" s="34">
        <f t="shared" si="1"/>
        <v>1249</v>
      </c>
      <c r="L22">
        <f t="shared" si="11"/>
        <v>1640</v>
      </c>
      <c r="M22" s="87">
        <f t="shared" si="0"/>
        <v>0</v>
      </c>
      <c r="N22" s="87">
        <f t="shared" si="12"/>
        <v>1640</v>
      </c>
      <c r="O22" s="52">
        <f>SUM(N22/N$100*'Sources &amp; Uses'!E$24)</f>
        <v>153185.11181778225</v>
      </c>
      <c r="P22" s="138">
        <f t="shared" si="13"/>
        <v>93.405555986452597</v>
      </c>
    </row>
    <row r="23" spans="1:16">
      <c r="A23" s="34">
        <f t="shared" ref="A23" si="23">+A22+1</f>
        <v>15</v>
      </c>
      <c r="B23" s="34" t="s">
        <v>776</v>
      </c>
      <c r="C23" s="34" t="s">
        <v>771</v>
      </c>
      <c r="E23" s="34">
        <f t="shared" ref="E23" si="24">+E22</f>
        <v>632</v>
      </c>
      <c r="F23">
        <v>2</v>
      </c>
      <c r="G23" s="34">
        <f t="shared" ref="G23" si="25">+G22</f>
        <v>820</v>
      </c>
      <c r="I23" s="34">
        <f t="shared" si="6"/>
        <v>1044</v>
      </c>
      <c r="K23" s="34">
        <f t="shared" si="1"/>
        <v>1249</v>
      </c>
      <c r="L23">
        <f t="shared" si="11"/>
        <v>1640</v>
      </c>
      <c r="M23" s="87">
        <f t="shared" si="0"/>
        <v>0</v>
      </c>
      <c r="N23" s="87">
        <f t="shared" si="12"/>
        <v>1640</v>
      </c>
      <c r="O23" s="52">
        <f>SUM(N23/N$100*'Sources &amp; Uses'!E$24)</f>
        <v>153185.11181778225</v>
      </c>
      <c r="P23" s="138">
        <f t="shared" si="13"/>
        <v>93.405555986452597</v>
      </c>
    </row>
    <row r="24" spans="1:16">
      <c r="A24" s="34">
        <f t="shared" ref="A24" si="26">+A23+1</f>
        <v>16</v>
      </c>
      <c r="B24" s="34" t="s">
        <v>776</v>
      </c>
      <c r="C24" s="34" t="s">
        <v>771</v>
      </c>
      <c r="E24" s="34">
        <f t="shared" ref="E24" si="27">+E23</f>
        <v>632</v>
      </c>
      <c r="F24">
        <v>2</v>
      </c>
      <c r="G24" s="34">
        <f t="shared" ref="G24" si="28">+G23</f>
        <v>820</v>
      </c>
      <c r="I24" s="34">
        <f t="shared" si="6"/>
        <v>1044</v>
      </c>
      <c r="K24" s="34">
        <f t="shared" si="1"/>
        <v>1249</v>
      </c>
      <c r="L24">
        <f t="shared" si="11"/>
        <v>1640</v>
      </c>
      <c r="M24" s="87">
        <f t="shared" si="0"/>
        <v>0</v>
      </c>
      <c r="N24" s="87">
        <f t="shared" si="12"/>
        <v>1640</v>
      </c>
      <c r="O24" s="52">
        <f>SUM(N24/N$100*'Sources &amp; Uses'!E$24)</f>
        <v>153185.11181778225</v>
      </c>
      <c r="P24" s="138">
        <f t="shared" si="13"/>
        <v>93.405555986452597</v>
      </c>
    </row>
    <row r="25" spans="1:16">
      <c r="A25" s="34">
        <f t="shared" ref="A25" si="29">+A24+1</f>
        <v>17</v>
      </c>
      <c r="B25" s="34" t="s">
        <v>776</v>
      </c>
      <c r="C25" s="34" t="s">
        <v>771</v>
      </c>
      <c r="E25" s="34">
        <f t="shared" ref="E25" si="30">+E24</f>
        <v>632</v>
      </c>
      <c r="F25">
        <v>2</v>
      </c>
      <c r="G25" s="34">
        <f t="shared" ref="G25" si="31">+G24</f>
        <v>820</v>
      </c>
      <c r="I25" s="34">
        <f t="shared" si="6"/>
        <v>1044</v>
      </c>
      <c r="K25" s="34">
        <f t="shared" si="1"/>
        <v>1249</v>
      </c>
      <c r="L25">
        <f t="shared" si="11"/>
        <v>1640</v>
      </c>
      <c r="M25" s="87">
        <f t="shared" si="0"/>
        <v>0</v>
      </c>
      <c r="N25" s="87">
        <f t="shared" si="12"/>
        <v>1640</v>
      </c>
      <c r="O25" s="52">
        <f>SUM(N25/N$100*'Sources &amp; Uses'!E$24)</f>
        <v>153185.11181778225</v>
      </c>
      <c r="P25" s="138">
        <f t="shared" si="13"/>
        <v>93.405555986452597</v>
      </c>
    </row>
    <row r="26" spans="1:16">
      <c r="A26" s="34">
        <f t="shared" ref="A26" si="32">+A25+1</f>
        <v>18</v>
      </c>
      <c r="B26" s="34" t="s">
        <v>776</v>
      </c>
      <c r="C26" s="34" t="s">
        <v>771</v>
      </c>
      <c r="E26" s="34">
        <f t="shared" ref="E26" si="33">+E25</f>
        <v>632</v>
      </c>
      <c r="F26">
        <v>2</v>
      </c>
      <c r="G26" s="34">
        <f t="shared" ref="G26" si="34">+G25</f>
        <v>820</v>
      </c>
      <c r="I26" s="34">
        <f t="shared" si="6"/>
        <v>1044</v>
      </c>
      <c r="K26" s="34">
        <f t="shared" si="1"/>
        <v>1249</v>
      </c>
      <c r="L26">
        <f t="shared" si="11"/>
        <v>1640</v>
      </c>
      <c r="M26" s="87">
        <f t="shared" si="0"/>
        <v>0</v>
      </c>
      <c r="N26" s="87">
        <f t="shared" si="12"/>
        <v>1640</v>
      </c>
      <c r="O26" s="52">
        <f>SUM(N26/N$100*'Sources &amp; Uses'!E$24)</f>
        <v>153185.11181778225</v>
      </c>
      <c r="P26" s="138">
        <f t="shared" si="13"/>
        <v>93.405555986452597</v>
      </c>
    </row>
    <row r="27" spans="1:16">
      <c r="A27" s="34">
        <f t="shared" ref="A27" si="35">+A26+1</f>
        <v>19</v>
      </c>
      <c r="B27" s="34" t="s">
        <v>776</v>
      </c>
      <c r="C27" s="34" t="s">
        <v>771</v>
      </c>
      <c r="E27" s="34">
        <f t="shared" ref="E27" si="36">+E26</f>
        <v>632</v>
      </c>
      <c r="F27">
        <v>2</v>
      </c>
      <c r="G27" s="34">
        <f t="shared" ref="G27" si="37">+G26</f>
        <v>820</v>
      </c>
      <c r="I27" s="34">
        <f t="shared" si="6"/>
        <v>1044</v>
      </c>
      <c r="K27" s="34">
        <f t="shared" si="1"/>
        <v>1249</v>
      </c>
      <c r="L27">
        <f t="shared" si="11"/>
        <v>1640</v>
      </c>
      <c r="M27" s="87">
        <f t="shared" si="0"/>
        <v>0</v>
      </c>
      <c r="N27" s="87">
        <f t="shared" si="12"/>
        <v>1640</v>
      </c>
      <c r="O27" s="52">
        <f>SUM(N27/N$100*'Sources &amp; Uses'!E$24)</f>
        <v>153185.11181778225</v>
      </c>
      <c r="P27" s="138">
        <f t="shared" si="13"/>
        <v>93.405555986452597</v>
      </c>
    </row>
    <row r="28" spans="1:16">
      <c r="A28" s="34">
        <f t="shared" ref="A28" si="38">+A27+1</f>
        <v>20</v>
      </c>
      <c r="B28" s="34" t="s">
        <v>776</v>
      </c>
      <c r="C28" s="34" t="s">
        <v>771</v>
      </c>
      <c r="E28" s="34">
        <f t="shared" ref="E28" si="39">+E27</f>
        <v>632</v>
      </c>
      <c r="F28">
        <v>2</v>
      </c>
      <c r="G28" s="34">
        <f t="shared" ref="G28" si="40">+G27</f>
        <v>820</v>
      </c>
      <c r="I28" s="34">
        <f t="shared" si="6"/>
        <v>1044</v>
      </c>
      <c r="K28" s="34">
        <f t="shared" si="1"/>
        <v>1249</v>
      </c>
      <c r="L28">
        <f t="shared" si="11"/>
        <v>1640</v>
      </c>
      <c r="M28" s="87">
        <f t="shared" si="0"/>
        <v>0</v>
      </c>
      <c r="N28" s="87">
        <f t="shared" si="12"/>
        <v>1640</v>
      </c>
      <c r="O28" s="52">
        <f>SUM(N28/N$100*'Sources &amp; Uses'!E$24)</f>
        <v>153185.11181778225</v>
      </c>
      <c r="P28" s="138">
        <f t="shared" si="13"/>
        <v>93.405555986452597</v>
      </c>
    </row>
    <row r="29" spans="1:16">
      <c r="A29" s="34">
        <f t="shared" ref="A29" si="41">+A28+1</f>
        <v>21</v>
      </c>
      <c r="B29" s="34" t="s">
        <v>776</v>
      </c>
      <c r="C29" s="34" t="s">
        <v>771</v>
      </c>
      <c r="E29" s="34">
        <f t="shared" ref="E29" si="42">+E28</f>
        <v>632</v>
      </c>
      <c r="F29">
        <v>2</v>
      </c>
      <c r="G29" s="34">
        <f t="shared" ref="G29" si="43">+G28</f>
        <v>820</v>
      </c>
      <c r="I29" s="34">
        <f t="shared" si="6"/>
        <v>1044</v>
      </c>
      <c r="K29" s="34">
        <f t="shared" si="1"/>
        <v>1249</v>
      </c>
      <c r="L29">
        <f t="shared" si="11"/>
        <v>1640</v>
      </c>
      <c r="M29" s="87">
        <f t="shared" si="0"/>
        <v>0</v>
      </c>
      <c r="N29" s="87">
        <f t="shared" si="12"/>
        <v>1640</v>
      </c>
      <c r="O29" s="52">
        <f>SUM(N29/N$100*'Sources &amp; Uses'!E$24)</f>
        <v>153185.11181778225</v>
      </c>
      <c r="P29" s="138">
        <f t="shared" si="13"/>
        <v>93.405555986452597</v>
      </c>
    </row>
    <row r="30" spans="1:16">
      <c r="A30" s="34">
        <f t="shared" ref="A30" si="44">+A29+1</f>
        <v>22</v>
      </c>
      <c r="B30" s="34" t="s">
        <v>776</v>
      </c>
      <c r="C30" s="34" t="s">
        <v>771</v>
      </c>
      <c r="E30" s="34">
        <f t="shared" ref="E30" si="45">+E29</f>
        <v>632</v>
      </c>
      <c r="F30">
        <v>2</v>
      </c>
      <c r="G30" s="34">
        <f t="shared" ref="G30" si="46">+G29</f>
        <v>820</v>
      </c>
      <c r="I30" s="34">
        <f t="shared" si="6"/>
        <v>1044</v>
      </c>
      <c r="K30" s="34">
        <f t="shared" si="1"/>
        <v>1249</v>
      </c>
      <c r="L30">
        <f t="shared" si="11"/>
        <v>1640</v>
      </c>
      <c r="M30" s="87">
        <f t="shared" si="0"/>
        <v>0</v>
      </c>
      <c r="N30" s="87">
        <f t="shared" si="12"/>
        <v>1640</v>
      </c>
      <c r="O30" s="52">
        <f>SUM(N30/N$100*'Sources &amp; Uses'!E$24)</f>
        <v>153185.11181778225</v>
      </c>
      <c r="P30" s="138">
        <f t="shared" si="13"/>
        <v>93.405555986452597</v>
      </c>
    </row>
    <row r="31" spans="1:16">
      <c r="A31" s="34">
        <f t="shared" ref="A31" si="47">+A30+1</f>
        <v>23</v>
      </c>
      <c r="B31" s="34" t="s">
        <v>776</v>
      </c>
      <c r="C31" s="34" t="s">
        <v>771</v>
      </c>
      <c r="E31" s="34">
        <f t="shared" ref="E31" si="48">+E30</f>
        <v>632</v>
      </c>
      <c r="F31">
        <v>2</v>
      </c>
      <c r="G31" s="34">
        <f t="shared" ref="G31" si="49">+G30</f>
        <v>820</v>
      </c>
      <c r="I31" s="34">
        <f t="shared" si="6"/>
        <v>1044</v>
      </c>
      <c r="K31" s="34">
        <f t="shared" si="1"/>
        <v>1249</v>
      </c>
      <c r="L31">
        <f t="shared" si="11"/>
        <v>1640</v>
      </c>
      <c r="M31" s="87">
        <f t="shared" si="0"/>
        <v>0</v>
      </c>
      <c r="N31" s="87">
        <f t="shared" si="12"/>
        <v>1640</v>
      </c>
      <c r="O31" s="52">
        <f>SUM(N31/N$100*'Sources &amp; Uses'!E$24)</f>
        <v>153185.11181778225</v>
      </c>
      <c r="P31" s="138">
        <f t="shared" si="13"/>
        <v>93.405555986452597</v>
      </c>
    </row>
    <row r="32" spans="1:16">
      <c r="A32" s="34">
        <f t="shared" ref="A32" si="50">+A31+1</f>
        <v>24</v>
      </c>
      <c r="B32" s="34" t="s">
        <v>776</v>
      </c>
      <c r="C32" s="34" t="s">
        <v>771</v>
      </c>
      <c r="E32" s="34">
        <f t="shared" ref="E32" si="51">+E31</f>
        <v>632</v>
      </c>
      <c r="F32">
        <v>2</v>
      </c>
      <c r="G32" s="34">
        <f t="shared" ref="G32" si="52">+G31</f>
        <v>820</v>
      </c>
      <c r="I32" s="34">
        <f t="shared" si="6"/>
        <v>1044</v>
      </c>
      <c r="K32" s="34">
        <f t="shared" si="1"/>
        <v>1249</v>
      </c>
      <c r="L32">
        <f t="shared" si="11"/>
        <v>1640</v>
      </c>
      <c r="M32" s="87">
        <f t="shared" si="0"/>
        <v>0</v>
      </c>
      <c r="N32" s="87">
        <f t="shared" si="12"/>
        <v>1640</v>
      </c>
      <c r="O32" s="52">
        <f>SUM(N32/N$100*'Sources &amp; Uses'!E$24)</f>
        <v>153185.11181778225</v>
      </c>
      <c r="P32" s="138">
        <f t="shared" si="13"/>
        <v>93.405555986452597</v>
      </c>
    </row>
    <row r="33" spans="1:16">
      <c r="A33" s="34">
        <f t="shared" ref="A33" si="53">+A32+1</f>
        <v>25</v>
      </c>
      <c r="B33" s="34" t="s">
        <v>776</v>
      </c>
      <c r="C33" s="34" t="s">
        <v>771</v>
      </c>
      <c r="E33" s="34">
        <f t="shared" ref="E33" si="54">+E32</f>
        <v>632</v>
      </c>
      <c r="F33">
        <v>2</v>
      </c>
      <c r="G33" s="34">
        <f t="shared" ref="G33" si="55">+G32</f>
        <v>820</v>
      </c>
      <c r="I33" s="34">
        <f t="shared" si="6"/>
        <v>1044</v>
      </c>
      <c r="K33" s="34">
        <f t="shared" si="1"/>
        <v>1249</v>
      </c>
      <c r="L33">
        <f t="shared" si="11"/>
        <v>1640</v>
      </c>
      <c r="M33" s="87">
        <f t="shared" si="0"/>
        <v>0</v>
      </c>
      <c r="N33" s="87">
        <f t="shared" si="12"/>
        <v>1640</v>
      </c>
      <c r="O33" s="52">
        <f>SUM(N33/N$100*'Sources &amp; Uses'!E$24)</f>
        <v>153185.11181778225</v>
      </c>
      <c r="P33" s="138">
        <f t="shared" si="13"/>
        <v>93.405555986452597</v>
      </c>
    </row>
    <row r="34" spans="1:16">
      <c r="A34" s="34">
        <f t="shared" ref="A34" si="56">+A33+1</f>
        <v>26</v>
      </c>
      <c r="B34" s="34" t="s">
        <v>776</v>
      </c>
      <c r="C34" s="34" t="s">
        <v>772</v>
      </c>
      <c r="E34" s="34">
        <f t="shared" ref="E34" si="57">+E33</f>
        <v>632</v>
      </c>
      <c r="G34" s="34">
        <f t="shared" ref="G34" si="58">+G33</f>
        <v>820</v>
      </c>
      <c r="H34">
        <v>2</v>
      </c>
      <c r="I34" s="34">
        <v>1044</v>
      </c>
      <c r="K34" s="34">
        <f t="shared" si="1"/>
        <v>1249</v>
      </c>
      <c r="L34">
        <f t="shared" si="11"/>
        <v>2088</v>
      </c>
      <c r="M34" s="87">
        <f t="shared" si="0"/>
        <v>0</v>
      </c>
      <c r="N34" s="87">
        <f t="shared" si="12"/>
        <v>2088</v>
      </c>
      <c r="O34" s="52">
        <f>SUM(N34/N$100*'Sources &amp; Uses'!E$24)</f>
        <v>195030.80089971301</v>
      </c>
      <c r="P34" s="138">
        <f t="shared" si="13"/>
        <v>93.405555986452597</v>
      </c>
    </row>
    <row r="35" spans="1:16">
      <c r="A35" s="34">
        <f t="shared" ref="A35" si="59">+A34+1</f>
        <v>27</v>
      </c>
      <c r="B35" s="34" t="s">
        <v>776</v>
      </c>
      <c r="C35" s="34" t="s">
        <v>772</v>
      </c>
      <c r="E35" s="34">
        <f t="shared" ref="E35" si="60">+E34</f>
        <v>632</v>
      </c>
      <c r="G35" s="34">
        <f t="shared" ref="G35" si="61">+G34</f>
        <v>820</v>
      </c>
      <c r="H35">
        <v>2</v>
      </c>
      <c r="I35" s="34">
        <f t="shared" si="6"/>
        <v>1044</v>
      </c>
      <c r="K35" s="34">
        <f t="shared" si="1"/>
        <v>1249</v>
      </c>
      <c r="L35">
        <f t="shared" si="11"/>
        <v>2088</v>
      </c>
      <c r="M35" s="87">
        <f t="shared" si="0"/>
        <v>0</v>
      </c>
      <c r="N35" s="87">
        <f t="shared" si="12"/>
        <v>2088</v>
      </c>
      <c r="O35" s="52">
        <f>SUM(N35/N$100*'Sources &amp; Uses'!E$24)</f>
        <v>195030.80089971301</v>
      </c>
      <c r="P35" s="138">
        <f t="shared" si="13"/>
        <v>93.405555986452597</v>
      </c>
    </row>
    <row r="36" spans="1:16">
      <c r="A36" s="34">
        <f t="shared" ref="A36" si="62">+A35+1</f>
        <v>28</v>
      </c>
      <c r="B36" s="34" t="s">
        <v>776</v>
      </c>
      <c r="C36" s="34" t="s">
        <v>772</v>
      </c>
      <c r="E36" s="34">
        <f t="shared" ref="E36" si="63">+E35</f>
        <v>632</v>
      </c>
      <c r="G36" s="34">
        <f t="shared" ref="G36" si="64">+G35</f>
        <v>820</v>
      </c>
      <c r="H36">
        <v>2</v>
      </c>
      <c r="I36" s="34">
        <f t="shared" si="6"/>
        <v>1044</v>
      </c>
      <c r="K36" s="34">
        <f t="shared" si="1"/>
        <v>1249</v>
      </c>
      <c r="L36">
        <f t="shared" si="11"/>
        <v>2088</v>
      </c>
      <c r="M36" s="87">
        <f t="shared" si="0"/>
        <v>0</v>
      </c>
      <c r="N36" s="87">
        <f t="shared" si="12"/>
        <v>2088</v>
      </c>
      <c r="O36" s="52">
        <f>SUM(N36/N$100*'Sources &amp; Uses'!E$24)</f>
        <v>195030.80089971301</v>
      </c>
      <c r="P36" s="138">
        <f t="shared" si="13"/>
        <v>93.405555986452597</v>
      </c>
    </row>
    <row r="37" spans="1:16">
      <c r="A37" s="34">
        <f t="shared" ref="A37" si="65">+A36+1</f>
        <v>29</v>
      </c>
      <c r="B37" s="34" t="s">
        <v>776</v>
      </c>
      <c r="C37" s="34" t="s">
        <v>772</v>
      </c>
      <c r="E37" s="34">
        <f t="shared" ref="E37" si="66">+E36</f>
        <v>632</v>
      </c>
      <c r="G37" s="34">
        <f t="shared" ref="G37" si="67">+G36</f>
        <v>820</v>
      </c>
      <c r="H37">
        <v>2</v>
      </c>
      <c r="I37" s="34">
        <f t="shared" si="6"/>
        <v>1044</v>
      </c>
      <c r="K37" s="34">
        <f t="shared" si="1"/>
        <v>1249</v>
      </c>
      <c r="L37">
        <f t="shared" si="11"/>
        <v>2088</v>
      </c>
      <c r="M37" s="87">
        <f t="shared" si="0"/>
        <v>0</v>
      </c>
      <c r="N37" s="87">
        <f t="shared" si="12"/>
        <v>2088</v>
      </c>
      <c r="O37" s="52">
        <f>SUM(N37/N$100*'Sources &amp; Uses'!E$24)</f>
        <v>195030.80089971301</v>
      </c>
      <c r="P37" s="138">
        <f t="shared" si="13"/>
        <v>93.405555986452597</v>
      </c>
    </row>
    <row r="38" spans="1:16">
      <c r="A38" s="34">
        <f t="shared" ref="A38" si="68">+A37+1</f>
        <v>30</v>
      </c>
      <c r="B38" s="34" t="s">
        <v>776</v>
      </c>
      <c r="C38" s="34" t="s">
        <v>772</v>
      </c>
      <c r="E38" s="34">
        <f t="shared" ref="E38" si="69">+E37</f>
        <v>632</v>
      </c>
      <c r="G38" s="34">
        <f t="shared" ref="G38" si="70">+G37</f>
        <v>820</v>
      </c>
      <c r="H38">
        <v>2</v>
      </c>
      <c r="I38" s="34">
        <f t="shared" si="6"/>
        <v>1044</v>
      </c>
      <c r="K38" s="34">
        <f t="shared" si="1"/>
        <v>1249</v>
      </c>
      <c r="L38">
        <f t="shared" si="11"/>
        <v>2088</v>
      </c>
      <c r="M38" s="87">
        <f t="shared" si="0"/>
        <v>0</v>
      </c>
      <c r="N38" s="87">
        <f t="shared" si="12"/>
        <v>2088</v>
      </c>
      <c r="O38" s="52">
        <f>SUM(N38/N$100*'Sources &amp; Uses'!E$24)</f>
        <v>195030.80089971301</v>
      </c>
      <c r="P38" s="138">
        <f t="shared" si="13"/>
        <v>93.405555986452597</v>
      </c>
    </row>
    <row r="39" spans="1:16">
      <c r="A39" s="34">
        <f t="shared" ref="A39" si="71">+A38+1</f>
        <v>31</v>
      </c>
      <c r="B39" s="34" t="s">
        <v>776</v>
      </c>
      <c r="C39" s="34" t="s">
        <v>772</v>
      </c>
      <c r="E39" s="34">
        <f t="shared" ref="E39" si="72">+E38</f>
        <v>632</v>
      </c>
      <c r="G39" s="34">
        <f t="shared" ref="G39" si="73">+G38</f>
        <v>820</v>
      </c>
      <c r="H39">
        <v>2</v>
      </c>
      <c r="I39" s="34">
        <f t="shared" si="6"/>
        <v>1044</v>
      </c>
      <c r="K39" s="34">
        <f t="shared" si="1"/>
        <v>1249</v>
      </c>
      <c r="L39">
        <f t="shared" si="11"/>
        <v>2088</v>
      </c>
      <c r="M39" s="87">
        <f t="shared" si="0"/>
        <v>0</v>
      </c>
      <c r="N39" s="87">
        <f t="shared" si="12"/>
        <v>2088</v>
      </c>
      <c r="O39" s="52">
        <f>SUM(N39/N$100*'Sources &amp; Uses'!E$24)</f>
        <v>195030.80089971301</v>
      </c>
      <c r="P39" s="138">
        <f t="shared" si="13"/>
        <v>93.405555986452597</v>
      </c>
    </row>
    <row r="40" spans="1:16">
      <c r="A40" s="34">
        <f t="shared" ref="A40" si="74">+A39+1</f>
        <v>32</v>
      </c>
      <c r="B40" s="34" t="s">
        <v>776</v>
      </c>
      <c r="C40" s="34" t="s">
        <v>772</v>
      </c>
      <c r="E40" s="34">
        <f t="shared" ref="E40" si="75">+E39</f>
        <v>632</v>
      </c>
      <c r="G40" s="34">
        <f t="shared" ref="G40" si="76">+G39</f>
        <v>820</v>
      </c>
      <c r="H40">
        <v>2</v>
      </c>
      <c r="I40" s="34">
        <f t="shared" si="6"/>
        <v>1044</v>
      </c>
      <c r="K40" s="34">
        <f t="shared" si="1"/>
        <v>1249</v>
      </c>
      <c r="L40">
        <f t="shared" si="11"/>
        <v>2088</v>
      </c>
      <c r="M40" s="87">
        <f t="shared" si="0"/>
        <v>0</v>
      </c>
      <c r="N40" s="87">
        <f t="shared" si="12"/>
        <v>2088</v>
      </c>
      <c r="O40" s="52">
        <f>SUM(N40/N$100*'Sources &amp; Uses'!E$24)</f>
        <v>195030.80089971301</v>
      </c>
      <c r="P40" s="138">
        <f t="shared" si="13"/>
        <v>93.405555986452597</v>
      </c>
    </row>
    <row r="41" spans="1:16">
      <c r="A41" s="34">
        <f t="shared" ref="A41" si="77">+A40+1</f>
        <v>33</v>
      </c>
      <c r="B41" s="34" t="s">
        <v>776</v>
      </c>
      <c r="C41" s="34" t="s">
        <v>772</v>
      </c>
      <c r="E41" s="34">
        <f t="shared" ref="E41" si="78">+E40</f>
        <v>632</v>
      </c>
      <c r="G41" s="34">
        <f t="shared" ref="G41" si="79">+G40</f>
        <v>820</v>
      </c>
      <c r="H41">
        <v>2</v>
      </c>
      <c r="I41" s="34">
        <f t="shared" si="6"/>
        <v>1044</v>
      </c>
      <c r="K41" s="34">
        <f t="shared" si="1"/>
        <v>1249</v>
      </c>
      <c r="L41">
        <f t="shared" si="11"/>
        <v>2088</v>
      </c>
      <c r="M41" s="87">
        <f t="shared" ref="M41:M72" si="80">+L41/$L$100*0</f>
        <v>0</v>
      </c>
      <c r="N41" s="87">
        <f t="shared" si="12"/>
        <v>2088</v>
      </c>
      <c r="O41" s="52">
        <f>SUM(N41/N$100*'Sources &amp; Uses'!E$24)</f>
        <v>195030.80089971301</v>
      </c>
      <c r="P41" s="138">
        <f t="shared" si="13"/>
        <v>93.405555986452597</v>
      </c>
    </row>
    <row r="42" spans="1:16">
      <c r="A42" s="34">
        <f t="shared" ref="A42" si="81">+A41+1</f>
        <v>34</v>
      </c>
      <c r="B42" s="34" t="s">
        <v>776</v>
      </c>
      <c r="C42" s="34" t="s">
        <v>772</v>
      </c>
      <c r="E42" s="34">
        <f t="shared" ref="E42" si="82">+E41</f>
        <v>632</v>
      </c>
      <c r="G42" s="34">
        <f t="shared" ref="G42" si="83">+G41</f>
        <v>820</v>
      </c>
      <c r="H42">
        <v>2</v>
      </c>
      <c r="I42" s="34">
        <f t="shared" si="6"/>
        <v>1044</v>
      </c>
      <c r="K42" s="34">
        <f t="shared" si="1"/>
        <v>1249</v>
      </c>
      <c r="L42">
        <f t="shared" si="11"/>
        <v>2088</v>
      </c>
      <c r="M42" s="87">
        <f t="shared" si="80"/>
        <v>0</v>
      </c>
      <c r="N42" s="87">
        <f t="shared" si="12"/>
        <v>2088</v>
      </c>
      <c r="O42" s="52">
        <f>SUM(N42/N$100*'Sources &amp; Uses'!E$24)</f>
        <v>195030.80089971301</v>
      </c>
      <c r="P42" s="138">
        <f t="shared" si="13"/>
        <v>93.405555986452597</v>
      </c>
    </row>
    <row r="43" spans="1:16">
      <c r="A43" s="34">
        <f t="shared" ref="A43" si="84">+A42+1</f>
        <v>35</v>
      </c>
      <c r="B43" s="34" t="s">
        <v>776</v>
      </c>
      <c r="C43" s="34" t="s">
        <v>772</v>
      </c>
      <c r="E43" s="34">
        <f t="shared" ref="E43" si="85">+E42</f>
        <v>632</v>
      </c>
      <c r="G43" s="34">
        <f t="shared" ref="G43" si="86">+G42</f>
        <v>820</v>
      </c>
      <c r="H43">
        <v>2</v>
      </c>
      <c r="I43" s="34">
        <f t="shared" si="6"/>
        <v>1044</v>
      </c>
      <c r="K43" s="34">
        <f t="shared" si="1"/>
        <v>1249</v>
      </c>
      <c r="L43">
        <f t="shared" si="11"/>
        <v>2088</v>
      </c>
      <c r="M43" s="87">
        <f t="shared" si="80"/>
        <v>0</v>
      </c>
      <c r="N43" s="87">
        <f t="shared" si="12"/>
        <v>2088</v>
      </c>
      <c r="O43" s="52">
        <f>SUM(N43/N$100*'Sources &amp; Uses'!E$24)</f>
        <v>195030.80089971301</v>
      </c>
      <c r="P43" s="138">
        <f t="shared" si="13"/>
        <v>93.405555986452597</v>
      </c>
    </row>
    <row r="44" spans="1:16">
      <c r="A44" s="34">
        <f t="shared" ref="A44" si="87">+A43+1</f>
        <v>36</v>
      </c>
      <c r="B44" s="34" t="s">
        <v>776</v>
      </c>
      <c r="C44" s="34" t="s">
        <v>772</v>
      </c>
      <c r="E44" s="34">
        <f t="shared" ref="E44" si="88">+E43</f>
        <v>632</v>
      </c>
      <c r="G44" s="34">
        <f t="shared" ref="G44" si="89">+G43</f>
        <v>820</v>
      </c>
      <c r="H44">
        <v>2</v>
      </c>
      <c r="I44" s="34">
        <f t="shared" si="6"/>
        <v>1044</v>
      </c>
      <c r="K44" s="34">
        <f t="shared" si="1"/>
        <v>1249</v>
      </c>
      <c r="L44">
        <f t="shared" si="11"/>
        <v>2088</v>
      </c>
      <c r="M44" s="87">
        <f t="shared" si="80"/>
        <v>0</v>
      </c>
      <c r="N44" s="87">
        <f t="shared" si="12"/>
        <v>2088</v>
      </c>
      <c r="O44" s="52">
        <f>SUM(N44/N$100*'Sources &amp; Uses'!E$24)</f>
        <v>195030.80089971301</v>
      </c>
      <c r="P44" s="138">
        <f t="shared" si="13"/>
        <v>93.405555986452597</v>
      </c>
    </row>
    <row r="45" spans="1:16">
      <c r="A45" s="34">
        <f t="shared" ref="A45" si="90">+A44+1</f>
        <v>37</v>
      </c>
      <c r="B45" s="34" t="s">
        <v>776</v>
      </c>
      <c r="C45" s="34" t="s">
        <v>772</v>
      </c>
      <c r="E45" s="34">
        <f t="shared" ref="E45" si="91">+E44</f>
        <v>632</v>
      </c>
      <c r="G45" s="34">
        <f t="shared" ref="G45" si="92">+G44</f>
        <v>820</v>
      </c>
      <c r="H45">
        <v>2</v>
      </c>
      <c r="I45" s="34">
        <f t="shared" si="6"/>
        <v>1044</v>
      </c>
      <c r="K45" s="34">
        <f t="shared" si="1"/>
        <v>1249</v>
      </c>
      <c r="L45">
        <f t="shared" si="11"/>
        <v>2088</v>
      </c>
      <c r="M45" s="87">
        <f t="shared" si="80"/>
        <v>0</v>
      </c>
      <c r="N45" s="87">
        <f t="shared" si="12"/>
        <v>2088</v>
      </c>
      <c r="O45" s="52">
        <f>SUM(N45/N$100*'Sources &amp; Uses'!E$24)</f>
        <v>195030.80089971301</v>
      </c>
      <c r="P45" s="138">
        <f t="shared" si="13"/>
        <v>93.405555986452597</v>
      </c>
    </row>
    <row r="46" spans="1:16">
      <c r="A46" s="34">
        <f t="shared" ref="A46" si="93">+A45+1</f>
        <v>38</v>
      </c>
      <c r="B46" s="34" t="s">
        <v>776</v>
      </c>
      <c r="C46" s="34" t="s">
        <v>772</v>
      </c>
      <c r="E46" s="34">
        <f t="shared" ref="E46" si="94">+E45</f>
        <v>632</v>
      </c>
      <c r="G46" s="34">
        <f t="shared" ref="G46" si="95">+G45</f>
        <v>820</v>
      </c>
      <c r="H46">
        <v>2</v>
      </c>
      <c r="I46" s="34">
        <f t="shared" si="6"/>
        <v>1044</v>
      </c>
      <c r="K46" s="34">
        <f t="shared" si="1"/>
        <v>1249</v>
      </c>
      <c r="L46">
        <f t="shared" si="11"/>
        <v>2088</v>
      </c>
      <c r="M46" s="87">
        <f t="shared" si="80"/>
        <v>0</v>
      </c>
      <c r="N46" s="87">
        <f t="shared" si="12"/>
        <v>2088</v>
      </c>
      <c r="O46" s="52">
        <f>SUM(N46/N$100*'Sources &amp; Uses'!E$24)</f>
        <v>195030.80089971301</v>
      </c>
      <c r="P46" s="138">
        <f t="shared" si="13"/>
        <v>93.405555986452597</v>
      </c>
    </row>
    <row r="47" spans="1:16">
      <c r="A47" s="34">
        <f t="shared" ref="A47" si="96">+A46+1</f>
        <v>39</v>
      </c>
      <c r="B47" s="34" t="s">
        <v>776</v>
      </c>
      <c r="C47" s="34" t="s">
        <v>772</v>
      </c>
      <c r="E47" s="34">
        <f t="shared" ref="E47" si="97">+E46</f>
        <v>632</v>
      </c>
      <c r="G47" s="34">
        <f t="shared" ref="G47" si="98">+G46</f>
        <v>820</v>
      </c>
      <c r="H47">
        <v>2</v>
      </c>
      <c r="I47" s="34">
        <f t="shared" si="6"/>
        <v>1044</v>
      </c>
      <c r="K47" s="34">
        <f t="shared" si="1"/>
        <v>1249</v>
      </c>
      <c r="L47">
        <f t="shared" si="11"/>
        <v>2088</v>
      </c>
      <c r="M47" s="87">
        <f t="shared" si="80"/>
        <v>0</v>
      </c>
      <c r="N47" s="87">
        <f t="shared" si="12"/>
        <v>2088</v>
      </c>
      <c r="O47" s="52">
        <f>SUM(N47/N$100*'Sources &amp; Uses'!E$24)</f>
        <v>195030.80089971301</v>
      </c>
      <c r="P47" s="138">
        <f t="shared" si="13"/>
        <v>93.405555986452597</v>
      </c>
    </row>
    <row r="48" spans="1:16">
      <c r="A48" s="34">
        <f t="shared" ref="A48" si="99">+A47+1</f>
        <v>40</v>
      </c>
      <c r="B48" s="34" t="s">
        <v>776</v>
      </c>
      <c r="C48" s="34" t="s">
        <v>772</v>
      </c>
      <c r="E48" s="34">
        <f t="shared" ref="E48" si="100">+E47</f>
        <v>632</v>
      </c>
      <c r="G48" s="34">
        <f t="shared" ref="G48" si="101">+G47</f>
        <v>820</v>
      </c>
      <c r="H48">
        <v>2</v>
      </c>
      <c r="I48" s="34">
        <f t="shared" si="6"/>
        <v>1044</v>
      </c>
      <c r="K48" s="34">
        <f t="shared" si="1"/>
        <v>1249</v>
      </c>
      <c r="L48">
        <f t="shared" si="11"/>
        <v>2088</v>
      </c>
      <c r="M48" s="87">
        <f t="shared" si="80"/>
        <v>0</v>
      </c>
      <c r="N48" s="87">
        <f t="shared" si="12"/>
        <v>2088</v>
      </c>
      <c r="O48" s="52">
        <f>SUM(N48/N$100*'Sources &amp; Uses'!E$24)</f>
        <v>195030.80089971301</v>
      </c>
      <c r="P48" s="138">
        <f t="shared" si="13"/>
        <v>93.405555986452597</v>
      </c>
    </row>
    <row r="49" spans="1:16">
      <c r="A49" s="34">
        <f t="shared" ref="A49" si="102">+A48+1</f>
        <v>41</v>
      </c>
      <c r="B49" s="34" t="s">
        <v>776</v>
      </c>
      <c r="C49" s="34" t="s">
        <v>772</v>
      </c>
      <c r="E49" s="34">
        <f t="shared" ref="E49" si="103">+E48</f>
        <v>632</v>
      </c>
      <c r="G49" s="34">
        <f t="shared" ref="G49" si="104">+G48</f>
        <v>820</v>
      </c>
      <c r="H49">
        <v>2</v>
      </c>
      <c r="I49" s="34">
        <f t="shared" si="6"/>
        <v>1044</v>
      </c>
      <c r="K49" s="34">
        <f t="shared" si="1"/>
        <v>1249</v>
      </c>
      <c r="L49">
        <f t="shared" si="11"/>
        <v>2088</v>
      </c>
      <c r="M49" s="87">
        <f t="shared" si="80"/>
        <v>0</v>
      </c>
      <c r="N49" s="87">
        <f t="shared" si="12"/>
        <v>2088</v>
      </c>
      <c r="O49" s="52">
        <f>SUM(N49/N$100*'Sources &amp; Uses'!E$24)</f>
        <v>195030.80089971301</v>
      </c>
      <c r="P49" s="138">
        <f t="shared" si="13"/>
        <v>93.405555986452597</v>
      </c>
    </row>
    <row r="50" spans="1:16">
      <c r="A50" s="34">
        <f t="shared" ref="A50" si="105">+A49+1</f>
        <v>42</v>
      </c>
      <c r="B50" s="34" t="s">
        <v>776</v>
      </c>
      <c r="C50" s="34" t="s">
        <v>772</v>
      </c>
      <c r="E50" s="34">
        <f t="shared" ref="E50" si="106">+E49</f>
        <v>632</v>
      </c>
      <c r="G50" s="34">
        <f t="shared" ref="G50" si="107">+G49</f>
        <v>820</v>
      </c>
      <c r="H50">
        <v>2</v>
      </c>
      <c r="I50" s="34">
        <f t="shared" si="6"/>
        <v>1044</v>
      </c>
      <c r="K50" s="34">
        <f t="shared" si="1"/>
        <v>1249</v>
      </c>
      <c r="L50">
        <f t="shared" si="11"/>
        <v>2088</v>
      </c>
      <c r="M50" s="87">
        <f t="shared" si="80"/>
        <v>0</v>
      </c>
      <c r="N50" s="87">
        <f t="shared" si="12"/>
        <v>2088</v>
      </c>
      <c r="O50" s="52">
        <f>SUM(N50/N$100*'Sources &amp; Uses'!E$24)</f>
        <v>195030.80089971301</v>
      </c>
      <c r="P50" s="138">
        <f t="shared" si="13"/>
        <v>93.405555986452597</v>
      </c>
    </row>
    <row r="51" spans="1:16">
      <c r="A51" s="34">
        <f t="shared" ref="A51" si="108">+A50+1</f>
        <v>43</v>
      </c>
      <c r="B51" s="34" t="s">
        <v>776</v>
      </c>
      <c r="C51" s="34" t="s">
        <v>772</v>
      </c>
      <c r="E51" s="34">
        <f t="shared" ref="E51" si="109">+E50</f>
        <v>632</v>
      </c>
      <c r="G51" s="34">
        <f t="shared" ref="G51" si="110">+G50</f>
        <v>820</v>
      </c>
      <c r="H51">
        <v>2</v>
      </c>
      <c r="I51" s="34">
        <f t="shared" si="6"/>
        <v>1044</v>
      </c>
      <c r="K51" s="34">
        <f t="shared" si="1"/>
        <v>1249</v>
      </c>
      <c r="L51">
        <f t="shared" si="11"/>
        <v>2088</v>
      </c>
      <c r="M51" s="87">
        <f t="shared" si="80"/>
        <v>0</v>
      </c>
      <c r="N51" s="87">
        <f t="shared" si="12"/>
        <v>2088</v>
      </c>
      <c r="O51" s="52">
        <f>SUM(N51/N$100*'Sources &amp; Uses'!E$24)</f>
        <v>195030.80089971301</v>
      </c>
      <c r="P51" s="138">
        <f t="shared" si="13"/>
        <v>93.405555986452597</v>
      </c>
    </row>
    <row r="52" spans="1:16">
      <c r="A52" s="34">
        <f t="shared" ref="A52" si="111">+A51+1</f>
        <v>44</v>
      </c>
      <c r="B52" s="34" t="s">
        <v>776</v>
      </c>
      <c r="C52" s="34" t="s">
        <v>773</v>
      </c>
      <c r="E52" s="34">
        <f t="shared" ref="E52" si="112">+E51</f>
        <v>632</v>
      </c>
      <c r="G52" s="34">
        <f t="shared" ref="G52" si="113">+G51</f>
        <v>820</v>
      </c>
      <c r="I52" s="34">
        <f t="shared" si="6"/>
        <v>1044</v>
      </c>
      <c r="J52">
        <v>1</v>
      </c>
      <c r="K52" s="34">
        <f t="shared" si="1"/>
        <v>1249</v>
      </c>
      <c r="L52">
        <f t="shared" si="11"/>
        <v>1249</v>
      </c>
      <c r="M52" s="87">
        <f t="shared" si="80"/>
        <v>0</v>
      </c>
      <c r="N52" s="87">
        <f t="shared" si="12"/>
        <v>1249</v>
      </c>
      <c r="O52" s="52">
        <f>SUM(N52/N$100*'Sources &amp; Uses'!E$24)</f>
        <v>116663.53942707929</v>
      </c>
      <c r="P52" s="138">
        <f t="shared" si="13"/>
        <v>93.405555986452597</v>
      </c>
    </row>
    <row r="53" spans="1:16">
      <c r="A53" s="34">
        <f t="shared" ref="A53" si="114">+A52+1</f>
        <v>45</v>
      </c>
      <c r="B53" s="34" t="s">
        <v>776</v>
      </c>
      <c r="C53" s="34" t="s">
        <v>773</v>
      </c>
      <c r="E53" s="34">
        <f t="shared" ref="E53" si="115">+E52</f>
        <v>632</v>
      </c>
      <c r="G53" s="34">
        <f t="shared" ref="G53" si="116">+G52</f>
        <v>820</v>
      </c>
      <c r="I53" s="34">
        <f t="shared" si="6"/>
        <v>1044</v>
      </c>
      <c r="J53">
        <v>1</v>
      </c>
      <c r="K53" s="34">
        <f t="shared" si="1"/>
        <v>1249</v>
      </c>
      <c r="L53">
        <f t="shared" si="11"/>
        <v>1249</v>
      </c>
      <c r="M53" s="87">
        <f t="shared" si="80"/>
        <v>0</v>
      </c>
      <c r="N53" s="87">
        <f t="shared" si="12"/>
        <v>1249</v>
      </c>
      <c r="O53" s="52">
        <f>SUM(N53/N$100*'Sources &amp; Uses'!E$24)</f>
        <v>116663.53942707929</v>
      </c>
      <c r="P53" s="138">
        <f t="shared" si="13"/>
        <v>93.405555986452597</v>
      </c>
    </row>
    <row r="54" spans="1:16">
      <c r="A54" s="34">
        <f t="shared" ref="A54" si="117">+A53+1</f>
        <v>46</v>
      </c>
      <c r="B54" s="34" t="s">
        <v>776</v>
      </c>
      <c r="C54" s="34" t="s">
        <v>773</v>
      </c>
      <c r="E54" s="34">
        <f t="shared" ref="E54" si="118">+E53</f>
        <v>632</v>
      </c>
      <c r="G54" s="34">
        <f t="shared" ref="G54" si="119">+G53</f>
        <v>820</v>
      </c>
      <c r="I54" s="34">
        <f t="shared" si="6"/>
        <v>1044</v>
      </c>
      <c r="J54">
        <v>1</v>
      </c>
      <c r="K54" s="34">
        <f t="shared" si="1"/>
        <v>1249</v>
      </c>
      <c r="L54">
        <f t="shared" si="11"/>
        <v>1249</v>
      </c>
      <c r="M54" s="87">
        <f t="shared" si="80"/>
        <v>0</v>
      </c>
      <c r="N54" s="87">
        <f t="shared" si="12"/>
        <v>1249</v>
      </c>
      <c r="O54" s="52">
        <f>SUM(N54/N$100*'Sources &amp; Uses'!E$24)</f>
        <v>116663.53942707929</v>
      </c>
      <c r="P54" s="138">
        <f t="shared" si="13"/>
        <v>93.405555986452597</v>
      </c>
    </row>
    <row r="55" spans="1:16">
      <c r="A55" s="34">
        <f t="shared" ref="A55" si="120">+A54+1</f>
        <v>47</v>
      </c>
      <c r="B55" s="34" t="s">
        <v>776</v>
      </c>
      <c r="C55" s="34" t="s">
        <v>773</v>
      </c>
      <c r="E55" s="34">
        <f t="shared" ref="E55" si="121">+E54</f>
        <v>632</v>
      </c>
      <c r="G55" s="34">
        <f t="shared" ref="G55" si="122">+G54</f>
        <v>820</v>
      </c>
      <c r="I55" s="34">
        <f t="shared" si="6"/>
        <v>1044</v>
      </c>
      <c r="J55">
        <v>1</v>
      </c>
      <c r="K55" s="34">
        <f t="shared" si="1"/>
        <v>1249</v>
      </c>
      <c r="L55">
        <f t="shared" si="11"/>
        <v>1249</v>
      </c>
      <c r="M55" s="87">
        <f t="shared" si="80"/>
        <v>0</v>
      </c>
      <c r="N55" s="87">
        <f t="shared" si="12"/>
        <v>1249</v>
      </c>
      <c r="O55" s="52">
        <f>SUM(N55/N$100*'Sources &amp; Uses'!E$24)</f>
        <v>116663.53942707929</v>
      </c>
      <c r="P55" s="138">
        <f t="shared" si="13"/>
        <v>93.405555986452597</v>
      </c>
    </row>
    <row r="56" spans="1:16">
      <c r="A56" s="34">
        <f t="shared" ref="A56" si="123">+A55+1</f>
        <v>48</v>
      </c>
      <c r="B56" s="34" t="s">
        <v>776</v>
      </c>
      <c r="C56" s="34" t="s">
        <v>773</v>
      </c>
      <c r="E56" s="34">
        <f t="shared" ref="E56" si="124">+E55</f>
        <v>632</v>
      </c>
      <c r="G56" s="34">
        <f t="shared" ref="G56" si="125">+G55</f>
        <v>820</v>
      </c>
      <c r="I56" s="34">
        <f t="shared" si="6"/>
        <v>1044</v>
      </c>
      <c r="J56">
        <v>1</v>
      </c>
      <c r="K56" s="34">
        <f t="shared" si="1"/>
        <v>1249</v>
      </c>
      <c r="L56">
        <f t="shared" si="11"/>
        <v>1249</v>
      </c>
      <c r="M56" s="87">
        <f t="shared" si="80"/>
        <v>0</v>
      </c>
      <c r="N56" s="87">
        <f t="shared" si="12"/>
        <v>1249</v>
      </c>
      <c r="O56" s="52">
        <f>SUM(N56/N$100*'Sources &amp; Uses'!E$24)</f>
        <v>116663.53942707929</v>
      </c>
      <c r="P56" s="138">
        <f t="shared" si="13"/>
        <v>93.405555986452597</v>
      </c>
    </row>
    <row r="57" spans="1:16">
      <c r="A57" s="34">
        <f t="shared" ref="A57" si="126">+A56+1</f>
        <v>49</v>
      </c>
      <c r="B57" s="34" t="s">
        <v>776</v>
      </c>
      <c r="C57" s="34" t="s">
        <v>773</v>
      </c>
      <c r="E57" s="34">
        <f t="shared" ref="E57" si="127">+E56</f>
        <v>632</v>
      </c>
      <c r="G57" s="34">
        <f t="shared" ref="G57" si="128">+G56</f>
        <v>820</v>
      </c>
      <c r="I57" s="34">
        <f t="shared" si="6"/>
        <v>1044</v>
      </c>
      <c r="J57">
        <v>1</v>
      </c>
      <c r="K57" s="34">
        <f t="shared" si="1"/>
        <v>1249</v>
      </c>
      <c r="L57">
        <f t="shared" si="11"/>
        <v>1249</v>
      </c>
      <c r="M57" s="87">
        <f t="shared" si="80"/>
        <v>0</v>
      </c>
      <c r="N57" s="87">
        <f t="shared" si="12"/>
        <v>1249</v>
      </c>
      <c r="O57" s="52">
        <f>SUM(N57/N$100*'Sources &amp; Uses'!E$24)</f>
        <v>116663.53942707929</v>
      </c>
      <c r="P57" s="138">
        <f t="shared" si="13"/>
        <v>93.405555986452597</v>
      </c>
    </row>
    <row r="58" spans="1:16">
      <c r="A58" s="34">
        <f t="shared" ref="A58" si="129">+A57+1</f>
        <v>50</v>
      </c>
      <c r="B58" s="34" t="s">
        <v>776</v>
      </c>
      <c r="C58" s="34" t="s">
        <v>773</v>
      </c>
      <c r="E58" s="34">
        <f t="shared" ref="E58" si="130">+E57</f>
        <v>632</v>
      </c>
      <c r="G58" s="34">
        <f t="shared" ref="G58" si="131">+G57</f>
        <v>820</v>
      </c>
      <c r="I58" s="34">
        <f t="shared" si="6"/>
        <v>1044</v>
      </c>
      <c r="J58">
        <v>1</v>
      </c>
      <c r="K58" s="34">
        <f t="shared" si="1"/>
        <v>1249</v>
      </c>
      <c r="L58">
        <f t="shared" si="11"/>
        <v>1249</v>
      </c>
      <c r="M58" s="87">
        <f t="shared" si="80"/>
        <v>0</v>
      </c>
      <c r="N58" s="87">
        <f t="shared" si="12"/>
        <v>1249</v>
      </c>
      <c r="O58" s="52">
        <f>SUM(N58/N$100*'Sources &amp; Uses'!E$24)</f>
        <v>116663.53942707929</v>
      </c>
      <c r="P58" s="138">
        <f t="shared" si="13"/>
        <v>93.405555986452597</v>
      </c>
    </row>
    <row r="59" spans="1:16">
      <c r="A59" s="34">
        <f t="shared" ref="A59" si="132">+A58+1</f>
        <v>51</v>
      </c>
      <c r="B59" s="34" t="s">
        <v>776</v>
      </c>
      <c r="C59" s="34" t="s">
        <v>773</v>
      </c>
      <c r="E59" s="34">
        <f t="shared" ref="E59" si="133">+E58</f>
        <v>632</v>
      </c>
      <c r="G59" s="34">
        <f t="shared" ref="G59" si="134">+G58</f>
        <v>820</v>
      </c>
      <c r="I59" s="34">
        <f t="shared" si="6"/>
        <v>1044</v>
      </c>
      <c r="J59">
        <v>1</v>
      </c>
      <c r="K59" s="34">
        <f t="shared" si="1"/>
        <v>1249</v>
      </c>
      <c r="L59">
        <f t="shared" si="11"/>
        <v>1249</v>
      </c>
      <c r="M59" s="87">
        <f t="shared" si="80"/>
        <v>0</v>
      </c>
      <c r="N59" s="87">
        <f t="shared" si="12"/>
        <v>1249</v>
      </c>
      <c r="O59" s="52">
        <f>SUM(N59/N$100*'Sources &amp; Uses'!E$24)</f>
        <v>116663.53942707929</v>
      </c>
      <c r="P59" s="138">
        <f t="shared" si="13"/>
        <v>93.405555986452597</v>
      </c>
    </row>
    <row r="60" spans="1:16">
      <c r="A60" s="34">
        <f t="shared" ref="A60" si="135">+A59+1</f>
        <v>52</v>
      </c>
      <c r="B60" s="34" t="s">
        <v>776</v>
      </c>
      <c r="C60" s="34" t="s">
        <v>773</v>
      </c>
      <c r="E60" s="34">
        <f t="shared" ref="E60" si="136">+E59</f>
        <v>632</v>
      </c>
      <c r="G60" s="34">
        <f t="shared" ref="G60" si="137">+G59</f>
        <v>820</v>
      </c>
      <c r="I60" s="34">
        <f t="shared" si="6"/>
        <v>1044</v>
      </c>
      <c r="J60">
        <v>1</v>
      </c>
      <c r="K60" s="34">
        <f t="shared" si="1"/>
        <v>1249</v>
      </c>
      <c r="L60">
        <f t="shared" si="11"/>
        <v>1249</v>
      </c>
      <c r="M60" s="87">
        <f t="shared" si="80"/>
        <v>0</v>
      </c>
      <c r="N60" s="87">
        <f t="shared" si="12"/>
        <v>1249</v>
      </c>
      <c r="O60" s="52">
        <f>SUM(N60/N$100*'Sources &amp; Uses'!E$24)</f>
        <v>116663.53942707929</v>
      </c>
      <c r="P60" s="138">
        <f t="shared" si="13"/>
        <v>93.405555986452597</v>
      </c>
    </row>
    <row r="61" spans="1:16">
      <c r="A61" s="34">
        <f t="shared" ref="A61" si="138">+A60+1</f>
        <v>53</v>
      </c>
      <c r="B61" s="34" t="s">
        <v>776</v>
      </c>
      <c r="C61" s="34" t="s">
        <v>773</v>
      </c>
      <c r="E61" s="34">
        <f t="shared" ref="E61" si="139">+E60</f>
        <v>632</v>
      </c>
      <c r="G61" s="34">
        <f t="shared" ref="G61" si="140">+G60</f>
        <v>820</v>
      </c>
      <c r="I61" s="34">
        <f t="shared" si="6"/>
        <v>1044</v>
      </c>
      <c r="J61">
        <v>1</v>
      </c>
      <c r="K61" s="34">
        <f t="shared" si="1"/>
        <v>1249</v>
      </c>
      <c r="L61">
        <f t="shared" si="11"/>
        <v>1249</v>
      </c>
      <c r="M61" s="87">
        <f t="shared" si="80"/>
        <v>0</v>
      </c>
      <c r="N61" s="87">
        <f t="shared" si="12"/>
        <v>1249</v>
      </c>
      <c r="O61" s="52">
        <f>SUM(N61/N$100*'Sources &amp; Uses'!E$24)</f>
        <v>116663.53942707929</v>
      </c>
      <c r="P61" s="138">
        <f t="shared" si="13"/>
        <v>93.405555986452597</v>
      </c>
    </row>
    <row r="62" spans="1:16">
      <c r="A62" s="34">
        <f t="shared" ref="A62" si="141">+A61+1</f>
        <v>54</v>
      </c>
      <c r="B62" s="34" t="s">
        <v>779</v>
      </c>
      <c r="C62" s="34" t="s">
        <v>780</v>
      </c>
      <c r="D62">
        <v>2</v>
      </c>
      <c r="E62" s="34">
        <v>631</v>
      </c>
      <c r="G62" s="34">
        <f t="shared" ref="G62" si="142">+G61</f>
        <v>820</v>
      </c>
      <c r="I62" s="34">
        <f t="shared" si="6"/>
        <v>1044</v>
      </c>
      <c r="K62" s="34">
        <f t="shared" si="1"/>
        <v>1249</v>
      </c>
      <c r="L62">
        <f t="shared" si="11"/>
        <v>1262</v>
      </c>
      <c r="M62" s="87">
        <f t="shared" si="80"/>
        <v>0</v>
      </c>
      <c r="N62" s="87">
        <f t="shared" si="12"/>
        <v>1262</v>
      </c>
      <c r="O62" s="52">
        <f>SUM(N62/N$100*'Sources &amp; Uses'!E$24)</f>
        <v>117877.81165490317</v>
      </c>
      <c r="P62" s="138">
        <f t="shared" si="13"/>
        <v>93.405555986452597</v>
      </c>
    </row>
    <row r="63" spans="1:16">
      <c r="A63" s="34">
        <f t="shared" ref="A63" si="143">+A62+1</f>
        <v>55</v>
      </c>
      <c r="B63" s="34" t="s">
        <v>779</v>
      </c>
      <c r="C63" s="34" t="s">
        <v>781</v>
      </c>
      <c r="D63">
        <v>3</v>
      </c>
      <c r="E63" s="34">
        <f t="shared" ref="E63" si="144">+E62</f>
        <v>631</v>
      </c>
      <c r="G63" s="34">
        <f t="shared" ref="G63" si="145">+G62</f>
        <v>820</v>
      </c>
      <c r="I63" s="34">
        <f t="shared" si="6"/>
        <v>1044</v>
      </c>
      <c r="K63" s="34">
        <f t="shared" si="1"/>
        <v>1249</v>
      </c>
      <c r="L63">
        <f t="shared" si="11"/>
        <v>1893</v>
      </c>
      <c r="M63" s="87">
        <f t="shared" si="80"/>
        <v>0</v>
      </c>
      <c r="N63" s="87">
        <f t="shared" si="12"/>
        <v>1893</v>
      </c>
      <c r="O63" s="52">
        <f>SUM(N63/N$100*'Sources &amp; Uses'!E$24)</f>
        <v>176816.71748235475</v>
      </c>
      <c r="P63" s="138">
        <f t="shared" si="13"/>
        <v>93.405555986452597</v>
      </c>
    </row>
    <row r="64" spans="1:16">
      <c r="A64" s="34">
        <f t="shared" ref="A64" si="146">+A63+1</f>
        <v>56</v>
      </c>
      <c r="B64" s="34" t="s">
        <v>779</v>
      </c>
      <c r="C64" s="34" t="s">
        <v>781</v>
      </c>
      <c r="D64">
        <v>3</v>
      </c>
      <c r="E64" s="34">
        <f t="shared" ref="E64" si="147">+E63</f>
        <v>631</v>
      </c>
      <c r="G64" s="34">
        <f t="shared" ref="G64" si="148">+G63</f>
        <v>820</v>
      </c>
      <c r="I64" s="34">
        <f t="shared" si="6"/>
        <v>1044</v>
      </c>
      <c r="K64" s="34">
        <f t="shared" si="1"/>
        <v>1249</v>
      </c>
      <c r="L64">
        <f t="shared" si="11"/>
        <v>1893</v>
      </c>
      <c r="M64" s="87">
        <f t="shared" si="80"/>
        <v>0</v>
      </c>
      <c r="N64" s="87">
        <f t="shared" si="12"/>
        <v>1893</v>
      </c>
      <c r="O64" s="52">
        <f>SUM(N64/N$100*'Sources &amp; Uses'!E$24)</f>
        <v>176816.71748235475</v>
      </c>
      <c r="P64" s="138">
        <f t="shared" si="13"/>
        <v>93.405555986452597</v>
      </c>
    </row>
    <row r="65" spans="1:16">
      <c r="A65" s="34">
        <f t="shared" ref="A65" si="149">+A64+1</f>
        <v>57</v>
      </c>
      <c r="B65" s="34" t="s">
        <v>779</v>
      </c>
      <c r="C65" s="34" t="s">
        <v>781</v>
      </c>
      <c r="D65">
        <v>3</v>
      </c>
      <c r="E65" s="34">
        <f t="shared" ref="E65" si="150">+E64</f>
        <v>631</v>
      </c>
      <c r="G65" s="34">
        <f t="shared" ref="G65" si="151">+G64</f>
        <v>820</v>
      </c>
      <c r="I65" s="34">
        <f t="shared" si="6"/>
        <v>1044</v>
      </c>
      <c r="K65" s="34">
        <f t="shared" si="1"/>
        <v>1249</v>
      </c>
      <c r="L65">
        <f t="shared" si="11"/>
        <v>1893</v>
      </c>
      <c r="M65" s="87">
        <f t="shared" si="80"/>
        <v>0</v>
      </c>
      <c r="N65" s="87">
        <f t="shared" si="12"/>
        <v>1893</v>
      </c>
      <c r="O65" s="52">
        <f>SUM(N65/N$100*'Sources &amp; Uses'!E$24)</f>
        <v>176816.71748235475</v>
      </c>
      <c r="P65" s="138">
        <f t="shared" si="13"/>
        <v>93.405555986452597</v>
      </c>
    </row>
    <row r="66" spans="1:16">
      <c r="A66" s="34">
        <f t="shared" ref="A66" si="152">+A65+1</f>
        <v>58</v>
      </c>
      <c r="B66" s="34" t="s">
        <v>779</v>
      </c>
      <c r="C66" s="34" t="s">
        <v>781</v>
      </c>
      <c r="D66">
        <v>3</v>
      </c>
      <c r="E66" s="34">
        <f t="shared" ref="E66" si="153">+E65</f>
        <v>631</v>
      </c>
      <c r="G66" s="34">
        <f t="shared" ref="G66" si="154">+G65</f>
        <v>820</v>
      </c>
      <c r="I66" s="34">
        <f t="shared" si="6"/>
        <v>1044</v>
      </c>
      <c r="K66" s="34">
        <f t="shared" si="1"/>
        <v>1249</v>
      </c>
      <c r="L66">
        <f t="shared" si="11"/>
        <v>1893</v>
      </c>
      <c r="M66" s="87">
        <f t="shared" si="80"/>
        <v>0</v>
      </c>
      <c r="N66" s="87">
        <f t="shared" si="12"/>
        <v>1893</v>
      </c>
      <c r="O66" s="52">
        <f>SUM(N66/N$100*'Sources &amp; Uses'!E$24)</f>
        <v>176816.71748235475</v>
      </c>
      <c r="P66" s="138">
        <f t="shared" si="13"/>
        <v>93.405555986452597</v>
      </c>
    </row>
    <row r="67" spans="1:16">
      <c r="A67" s="34">
        <f t="shared" ref="A67" si="155">+A66+1</f>
        <v>59</v>
      </c>
      <c r="B67" s="34" t="s">
        <v>779</v>
      </c>
      <c r="C67" s="34" t="s">
        <v>781</v>
      </c>
      <c r="D67">
        <v>3</v>
      </c>
      <c r="E67" s="34">
        <f t="shared" ref="E67" si="156">+E66</f>
        <v>631</v>
      </c>
      <c r="G67" s="34">
        <f t="shared" ref="G67" si="157">+G66</f>
        <v>820</v>
      </c>
      <c r="I67" s="34">
        <f t="shared" si="6"/>
        <v>1044</v>
      </c>
      <c r="K67" s="34">
        <f t="shared" si="1"/>
        <v>1249</v>
      </c>
      <c r="L67">
        <f t="shared" si="11"/>
        <v>1893</v>
      </c>
      <c r="M67" s="87">
        <f t="shared" si="80"/>
        <v>0</v>
      </c>
      <c r="N67" s="87">
        <f t="shared" si="12"/>
        <v>1893</v>
      </c>
      <c r="O67" s="52">
        <f>SUM(N67/N$100*'Sources &amp; Uses'!E$24)</f>
        <v>176816.71748235475</v>
      </c>
      <c r="P67" s="138">
        <f t="shared" si="13"/>
        <v>93.405555986452597</v>
      </c>
    </row>
    <row r="68" spans="1:16">
      <c r="A68" s="34">
        <f t="shared" ref="A68" si="158">+A67+1</f>
        <v>60</v>
      </c>
      <c r="B68" s="34" t="s">
        <v>779</v>
      </c>
      <c r="C68" s="34" t="s">
        <v>781</v>
      </c>
      <c r="D68">
        <v>3</v>
      </c>
      <c r="E68" s="34">
        <f t="shared" ref="E68" si="159">+E67</f>
        <v>631</v>
      </c>
      <c r="G68" s="34">
        <f t="shared" ref="G68" si="160">+G67</f>
        <v>820</v>
      </c>
      <c r="I68" s="34">
        <f t="shared" si="6"/>
        <v>1044</v>
      </c>
      <c r="K68" s="34">
        <f t="shared" si="1"/>
        <v>1249</v>
      </c>
      <c r="L68">
        <f t="shared" si="11"/>
        <v>1893</v>
      </c>
      <c r="M68" s="87">
        <f t="shared" si="80"/>
        <v>0</v>
      </c>
      <c r="N68" s="87">
        <f t="shared" si="12"/>
        <v>1893</v>
      </c>
      <c r="O68" s="52">
        <f>SUM(N68/N$100*'Sources &amp; Uses'!E$24)</f>
        <v>176816.71748235475</v>
      </c>
      <c r="P68" s="138">
        <f t="shared" si="13"/>
        <v>93.405555986452597</v>
      </c>
    </row>
    <row r="69" spans="1:16">
      <c r="A69" s="34">
        <f t="shared" ref="A69" si="161">+A68+1</f>
        <v>61</v>
      </c>
      <c r="B69" s="34" t="s">
        <v>779</v>
      </c>
      <c r="C69" s="34" t="s">
        <v>782</v>
      </c>
      <c r="D69">
        <v>4</v>
      </c>
      <c r="E69" s="34">
        <v>542</v>
      </c>
      <c r="G69" s="34">
        <f t="shared" ref="G69" si="162">+G68</f>
        <v>820</v>
      </c>
      <c r="I69" s="34">
        <f t="shared" si="6"/>
        <v>1044</v>
      </c>
      <c r="K69" s="34">
        <f t="shared" si="1"/>
        <v>1249</v>
      </c>
      <c r="L69">
        <f t="shared" si="11"/>
        <v>2168</v>
      </c>
      <c r="M69" s="87">
        <f t="shared" si="80"/>
        <v>0</v>
      </c>
      <c r="N69" s="87">
        <f t="shared" si="12"/>
        <v>2168</v>
      </c>
      <c r="O69" s="52">
        <f>SUM(N69/N$100*'Sources &amp; Uses'!E$24)</f>
        <v>202503.24537862922</v>
      </c>
      <c r="P69" s="138">
        <f t="shared" si="13"/>
        <v>93.405555986452597</v>
      </c>
    </row>
    <row r="70" spans="1:16">
      <c r="A70" s="34">
        <f t="shared" ref="A70" si="163">+A69+1</f>
        <v>62</v>
      </c>
      <c r="B70" s="34" t="s">
        <v>779</v>
      </c>
      <c r="C70" s="34" t="s">
        <v>782</v>
      </c>
      <c r="D70">
        <v>4</v>
      </c>
      <c r="E70" s="34">
        <f t="shared" ref="E70" si="164">+E69</f>
        <v>542</v>
      </c>
      <c r="G70" s="34">
        <f t="shared" ref="G70" si="165">+G69</f>
        <v>820</v>
      </c>
      <c r="I70" s="34">
        <f t="shared" si="6"/>
        <v>1044</v>
      </c>
      <c r="K70" s="34">
        <f t="shared" si="1"/>
        <v>1249</v>
      </c>
      <c r="L70">
        <f t="shared" si="11"/>
        <v>2168</v>
      </c>
      <c r="M70" s="87">
        <f t="shared" si="80"/>
        <v>0</v>
      </c>
      <c r="N70" s="87">
        <f t="shared" si="12"/>
        <v>2168</v>
      </c>
      <c r="O70" s="52">
        <f>SUM(N70/N$100*'Sources &amp; Uses'!E$24)</f>
        <v>202503.24537862922</v>
      </c>
      <c r="P70" s="138">
        <f t="shared" si="13"/>
        <v>93.405555986452597</v>
      </c>
    </row>
    <row r="71" spans="1:16">
      <c r="A71" s="34">
        <f t="shared" ref="A71" si="166">+A70+1</f>
        <v>63</v>
      </c>
      <c r="B71" s="34" t="s">
        <v>779</v>
      </c>
      <c r="C71" s="34" t="s">
        <v>782</v>
      </c>
      <c r="D71">
        <v>4</v>
      </c>
      <c r="E71" s="34">
        <f t="shared" ref="E71" si="167">+E70</f>
        <v>542</v>
      </c>
      <c r="G71" s="34">
        <f t="shared" ref="G71" si="168">+G70</f>
        <v>820</v>
      </c>
      <c r="I71" s="34">
        <f t="shared" si="6"/>
        <v>1044</v>
      </c>
      <c r="K71" s="34">
        <f t="shared" si="1"/>
        <v>1249</v>
      </c>
      <c r="L71">
        <f t="shared" si="11"/>
        <v>2168</v>
      </c>
      <c r="M71" s="87">
        <f t="shared" si="80"/>
        <v>0</v>
      </c>
      <c r="N71" s="87">
        <f t="shared" si="12"/>
        <v>2168</v>
      </c>
      <c r="O71" s="52">
        <f>SUM(N71/N$100*'Sources &amp; Uses'!E$24)</f>
        <v>202503.24537862922</v>
      </c>
      <c r="P71" s="138">
        <f t="shared" si="13"/>
        <v>93.405555986452597</v>
      </c>
    </row>
    <row r="72" spans="1:16">
      <c r="A72" s="34">
        <f t="shared" ref="A72" si="169">+A71+1</f>
        <v>64</v>
      </c>
      <c r="B72" s="34" t="s">
        <v>779</v>
      </c>
      <c r="C72" s="34" t="s">
        <v>782</v>
      </c>
      <c r="D72">
        <v>4</v>
      </c>
      <c r="E72" s="34">
        <f t="shared" ref="E72" si="170">+E71</f>
        <v>542</v>
      </c>
      <c r="G72" s="34">
        <f t="shared" ref="G72" si="171">+G71</f>
        <v>820</v>
      </c>
      <c r="I72" s="34">
        <f t="shared" si="6"/>
        <v>1044</v>
      </c>
      <c r="K72" s="34">
        <f t="shared" si="1"/>
        <v>1249</v>
      </c>
      <c r="L72">
        <f t="shared" si="11"/>
        <v>2168</v>
      </c>
      <c r="M72" s="87">
        <f t="shared" si="80"/>
        <v>0</v>
      </c>
      <c r="N72" s="87">
        <f t="shared" si="12"/>
        <v>2168</v>
      </c>
      <c r="O72" s="52">
        <f>SUM(N72/N$100*'Sources &amp; Uses'!E$24)</f>
        <v>202503.24537862922</v>
      </c>
      <c r="P72" s="138">
        <f t="shared" si="13"/>
        <v>93.405555986452597</v>
      </c>
    </row>
    <row r="73" spans="1:16">
      <c r="A73" s="34">
        <f t="shared" ref="A73" si="172">+A72+1</f>
        <v>65</v>
      </c>
      <c r="B73" s="34" t="s">
        <v>779</v>
      </c>
      <c r="C73" s="34" t="s">
        <v>782</v>
      </c>
      <c r="D73">
        <v>4</v>
      </c>
      <c r="E73" s="34">
        <f t="shared" ref="E73" si="173">+E72</f>
        <v>542</v>
      </c>
      <c r="G73" s="34">
        <f t="shared" ref="G73" si="174">+G72</f>
        <v>820</v>
      </c>
      <c r="I73" s="34">
        <f t="shared" si="6"/>
        <v>1044</v>
      </c>
      <c r="K73" s="34">
        <f t="shared" si="1"/>
        <v>1249</v>
      </c>
      <c r="L73">
        <f t="shared" si="11"/>
        <v>2168</v>
      </c>
      <c r="M73" s="87">
        <f t="shared" ref="M73:M97" si="175">+L73/$L$100*0</f>
        <v>0</v>
      </c>
      <c r="N73" s="87">
        <f t="shared" si="12"/>
        <v>2168</v>
      </c>
      <c r="O73" s="52">
        <f>SUM(N73/N$100*'Sources &amp; Uses'!E$24)</f>
        <v>202503.24537862922</v>
      </c>
      <c r="P73" s="138">
        <f t="shared" si="13"/>
        <v>93.405555986452597</v>
      </c>
    </row>
    <row r="74" spans="1:16">
      <c r="A74" s="34">
        <f t="shared" ref="A74" si="176">+A73+1</f>
        <v>66</v>
      </c>
      <c r="B74" s="34" t="s">
        <v>779</v>
      </c>
      <c r="C74" s="34" t="s">
        <v>782</v>
      </c>
      <c r="D74">
        <v>4</v>
      </c>
      <c r="E74" s="34">
        <f t="shared" ref="E74" si="177">+E73</f>
        <v>542</v>
      </c>
      <c r="G74" s="34">
        <f t="shared" ref="G74" si="178">+G73</f>
        <v>820</v>
      </c>
      <c r="I74" s="34">
        <f t="shared" si="6"/>
        <v>1044</v>
      </c>
      <c r="K74" s="34">
        <f t="shared" ref="K74:K97" si="179">+K73</f>
        <v>1249</v>
      </c>
      <c r="L74">
        <f t="shared" si="11"/>
        <v>2168</v>
      </c>
      <c r="M74" s="87">
        <f t="shared" si="175"/>
        <v>0</v>
      </c>
      <c r="N74" s="87">
        <f t="shared" si="12"/>
        <v>2168</v>
      </c>
      <c r="O74" s="52">
        <f>SUM(N74/N$100*'Sources &amp; Uses'!E$24)</f>
        <v>202503.24537862922</v>
      </c>
      <c r="P74" s="138">
        <f t="shared" si="13"/>
        <v>93.405555986452597</v>
      </c>
    </row>
    <row r="75" spans="1:16">
      <c r="A75" s="34">
        <f t="shared" ref="A75" si="180">+A74+1</f>
        <v>67</v>
      </c>
      <c r="B75" s="34" t="s">
        <v>779</v>
      </c>
      <c r="C75" s="34" t="s">
        <v>783</v>
      </c>
      <c r="D75">
        <v>6</v>
      </c>
      <c r="E75" s="34">
        <f t="shared" ref="E75" si="181">+E74</f>
        <v>542</v>
      </c>
      <c r="G75" s="34">
        <f t="shared" ref="G75" si="182">+G74</f>
        <v>820</v>
      </c>
      <c r="I75" s="34">
        <f t="shared" ref="I75:I97" si="183">+I74</f>
        <v>1044</v>
      </c>
      <c r="K75" s="34">
        <f t="shared" si="179"/>
        <v>1249</v>
      </c>
      <c r="L75">
        <f t="shared" si="11"/>
        <v>3252</v>
      </c>
      <c r="M75" s="87">
        <f t="shared" si="175"/>
        <v>0</v>
      </c>
      <c r="N75" s="87">
        <f t="shared" si="12"/>
        <v>3252</v>
      </c>
      <c r="O75" s="52">
        <f>SUM(N75/N$100*'Sources &amp; Uses'!E$24)</f>
        <v>303754.86806794384</v>
      </c>
      <c r="P75" s="138">
        <f t="shared" si="13"/>
        <v>93.405555986452597</v>
      </c>
    </row>
    <row r="76" spans="1:16">
      <c r="A76" s="34">
        <f t="shared" ref="A76" si="184">+A75+1</f>
        <v>68</v>
      </c>
      <c r="B76" s="34" t="s">
        <v>784</v>
      </c>
      <c r="C76" s="34" t="s">
        <v>771</v>
      </c>
      <c r="E76" s="34">
        <f t="shared" ref="E76" si="185">+E75</f>
        <v>542</v>
      </c>
      <c r="F76">
        <v>2</v>
      </c>
      <c r="G76" s="34">
        <v>792</v>
      </c>
      <c r="I76" s="34">
        <f t="shared" si="183"/>
        <v>1044</v>
      </c>
      <c r="K76" s="34">
        <f t="shared" si="179"/>
        <v>1249</v>
      </c>
      <c r="L76">
        <f t="shared" si="11"/>
        <v>1584</v>
      </c>
      <c r="M76" s="87">
        <f t="shared" si="175"/>
        <v>0</v>
      </c>
      <c r="N76" s="87">
        <f t="shared" si="12"/>
        <v>1584</v>
      </c>
      <c r="O76" s="52">
        <f>SUM(N76/N$100*'Sources &amp; Uses'!E$24)</f>
        <v>147954.40068254093</v>
      </c>
      <c r="P76" s="138">
        <f t="shared" si="13"/>
        <v>93.405555986452612</v>
      </c>
    </row>
    <row r="77" spans="1:16">
      <c r="A77" s="34">
        <f t="shared" ref="A77" si="186">+A76+1</f>
        <v>69</v>
      </c>
      <c r="B77" s="34" t="s">
        <v>784</v>
      </c>
      <c r="C77" s="34" t="s">
        <v>771</v>
      </c>
      <c r="E77" s="34">
        <f t="shared" ref="E77" si="187">+E76</f>
        <v>542</v>
      </c>
      <c r="F77">
        <v>2</v>
      </c>
      <c r="G77" s="34">
        <f t="shared" ref="G77" si="188">+G76</f>
        <v>792</v>
      </c>
      <c r="I77" s="34">
        <f t="shared" si="183"/>
        <v>1044</v>
      </c>
      <c r="K77" s="34">
        <f t="shared" si="179"/>
        <v>1249</v>
      </c>
      <c r="L77">
        <f t="shared" si="11"/>
        <v>1584</v>
      </c>
      <c r="M77" s="87">
        <f t="shared" si="175"/>
        <v>0</v>
      </c>
      <c r="N77" s="87">
        <f t="shared" si="12"/>
        <v>1584</v>
      </c>
      <c r="O77" s="52">
        <f>SUM(N77/N$100*'Sources &amp; Uses'!E$24)</f>
        <v>147954.40068254093</v>
      </c>
      <c r="P77" s="138">
        <f t="shared" si="13"/>
        <v>93.405555986452612</v>
      </c>
    </row>
    <row r="78" spans="1:16">
      <c r="A78" s="34">
        <f t="shared" ref="A78" si="189">+A77+1</f>
        <v>70</v>
      </c>
      <c r="B78" s="34" t="s">
        <v>784</v>
      </c>
      <c r="C78" s="34" t="s">
        <v>771</v>
      </c>
      <c r="E78" s="34">
        <f t="shared" ref="E78" si="190">+E77</f>
        <v>542</v>
      </c>
      <c r="F78">
        <v>2</v>
      </c>
      <c r="G78" s="34">
        <f t="shared" ref="G78" si="191">+G77</f>
        <v>792</v>
      </c>
      <c r="I78" s="34">
        <f t="shared" si="183"/>
        <v>1044</v>
      </c>
      <c r="K78" s="34">
        <f t="shared" si="179"/>
        <v>1249</v>
      </c>
      <c r="L78">
        <f t="shared" si="11"/>
        <v>1584</v>
      </c>
      <c r="M78" s="87">
        <f t="shared" si="175"/>
        <v>0</v>
      </c>
      <c r="N78" s="87">
        <f t="shared" si="12"/>
        <v>1584</v>
      </c>
      <c r="O78" s="52">
        <f>SUM(N78/N$100*'Sources &amp; Uses'!E$24)</f>
        <v>147954.40068254093</v>
      </c>
      <c r="P78" s="138">
        <f t="shared" si="13"/>
        <v>93.405555986452612</v>
      </c>
    </row>
    <row r="79" spans="1:16">
      <c r="A79" s="34">
        <f t="shared" ref="A79" si="192">+A78+1</f>
        <v>71</v>
      </c>
      <c r="B79" s="34" t="s">
        <v>784</v>
      </c>
      <c r="C79" s="34" t="s">
        <v>771</v>
      </c>
      <c r="E79" s="34">
        <f t="shared" ref="E79" si="193">+E78</f>
        <v>542</v>
      </c>
      <c r="F79">
        <v>2</v>
      </c>
      <c r="G79" s="34">
        <f t="shared" ref="G79" si="194">+G78</f>
        <v>792</v>
      </c>
      <c r="I79" s="34">
        <f t="shared" si="183"/>
        <v>1044</v>
      </c>
      <c r="K79" s="34">
        <f t="shared" si="179"/>
        <v>1249</v>
      </c>
      <c r="L79">
        <f t="shared" si="11"/>
        <v>1584</v>
      </c>
      <c r="M79" s="87">
        <f t="shared" si="175"/>
        <v>0</v>
      </c>
      <c r="N79" s="87">
        <f t="shared" si="12"/>
        <v>1584</v>
      </c>
      <c r="O79" s="52">
        <f>SUM(N79/N$100*'Sources &amp; Uses'!E$24)</f>
        <v>147954.40068254093</v>
      </c>
      <c r="P79" s="138">
        <f t="shared" si="13"/>
        <v>93.405555986452612</v>
      </c>
    </row>
    <row r="80" spans="1:16">
      <c r="A80" s="34">
        <f t="shared" ref="A80" si="195">+A79+1</f>
        <v>72</v>
      </c>
      <c r="B80" s="34" t="s">
        <v>784</v>
      </c>
      <c r="C80" s="34" t="s">
        <v>771</v>
      </c>
      <c r="E80" s="34">
        <f t="shared" ref="E80" si="196">+E79</f>
        <v>542</v>
      </c>
      <c r="F80">
        <v>2</v>
      </c>
      <c r="G80" s="34">
        <f t="shared" ref="G80" si="197">+G79</f>
        <v>792</v>
      </c>
      <c r="I80" s="34">
        <f t="shared" si="183"/>
        <v>1044</v>
      </c>
      <c r="K80" s="34">
        <f t="shared" si="179"/>
        <v>1249</v>
      </c>
      <c r="L80">
        <f t="shared" si="11"/>
        <v>1584</v>
      </c>
      <c r="M80" s="87">
        <f t="shared" si="175"/>
        <v>0</v>
      </c>
      <c r="N80" s="87">
        <f t="shared" si="12"/>
        <v>1584</v>
      </c>
      <c r="O80" s="52">
        <f>SUM(N80/N$100*'Sources &amp; Uses'!E$24)</f>
        <v>147954.40068254093</v>
      </c>
      <c r="P80" s="138">
        <f t="shared" si="13"/>
        <v>93.405555986452612</v>
      </c>
    </row>
    <row r="81" spans="1:16">
      <c r="A81" s="34">
        <f t="shared" ref="A81" si="198">+A80+1</f>
        <v>73</v>
      </c>
      <c r="B81" s="34" t="s">
        <v>784</v>
      </c>
      <c r="C81" s="34" t="s">
        <v>771</v>
      </c>
      <c r="E81" s="34">
        <f t="shared" ref="E81" si="199">+E80</f>
        <v>542</v>
      </c>
      <c r="F81">
        <v>2</v>
      </c>
      <c r="G81" s="34">
        <f t="shared" ref="G81" si="200">+G80</f>
        <v>792</v>
      </c>
      <c r="I81" s="34">
        <f t="shared" si="183"/>
        <v>1044</v>
      </c>
      <c r="K81" s="34">
        <f t="shared" si="179"/>
        <v>1249</v>
      </c>
      <c r="L81">
        <f t="shared" si="11"/>
        <v>1584</v>
      </c>
      <c r="M81" s="87">
        <f t="shared" si="175"/>
        <v>0</v>
      </c>
      <c r="N81" s="87">
        <f t="shared" si="12"/>
        <v>1584</v>
      </c>
      <c r="O81" s="52">
        <f>SUM(N81/N$100*'Sources &amp; Uses'!E$24)</f>
        <v>147954.40068254093</v>
      </c>
      <c r="P81" s="138">
        <f t="shared" si="13"/>
        <v>93.405555986452612</v>
      </c>
    </row>
    <row r="82" spans="1:16">
      <c r="A82" s="34">
        <f t="shared" ref="A82" si="201">+A81+1</f>
        <v>74</v>
      </c>
      <c r="B82" s="34" t="s">
        <v>784</v>
      </c>
      <c r="C82" s="34" t="s">
        <v>771</v>
      </c>
      <c r="E82" s="34">
        <f t="shared" ref="E82" si="202">+E81</f>
        <v>542</v>
      </c>
      <c r="F82">
        <v>2</v>
      </c>
      <c r="G82" s="34">
        <f t="shared" ref="G82" si="203">+G81</f>
        <v>792</v>
      </c>
      <c r="I82" s="34">
        <f t="shared" si="183"/>
        <v>1044</v>
      </c>
      <c r="K82" s="34">
        <f t="shared" si="179"/>
        <v>1249</v>
      </c>
      <c r="L82">
        <f t="shared" si="11"/>
        <v>1584</v>
      </c>
      <c r="M82" s="87">
        <f t="shared" si="175"/>
        <v>0</v>
      </c>
      <c r="N82" s="87">
        <f t="shared" si="12"/>
        <v>1584</v>
      </c>
      <c r="O82" s="52">
        <f>SUM(N82/N$100*'Sources &amp; Uses'!E$24)</f>
        <v>147954.40068254093</v>
      </c>
      <c r="P82" s="138">
        <f t="shared" si="13"/>
        <v>93.405555986452612</v>
      </c>
    </row>
    <row r="83" spans="1:16">
      <c r="A83" s="34">
        <f t="shared" ref="A83" si="204">+A82+1</f>
        <v>75</v>
      </c>
      <c r="B83" s="34" t="s">
        <v>784</v>
      </c>
      <c r="C83" s="34" t="s">
        <v>771</v>
      </c>
      <c r="E83" s="34">
        <f t="shared" ref="E83" si="205">+E82</f>
        <v>542</v>
      </c>
      <c r="F83">
        <v>2</v>
      </c>
      <c r="G83" s="34">
        <f t="shared" ref="G83" si="206">+G82</f>
        <v>792</v>
      </c>
      <c r="I83" s="34">
        <f t="shared" si="183"/>
        <v>1044</v>
      </c>
      <c r="K83" s="34">
        <f t="shared" si="179"/>
        <v>1249</v>
      </c>
      <c r="L83">
        <f t="shared" ref="L83:L91" si="207">SUM(G83*F83)+(I83*H83)+(K83*J83)+D83*E83</f>
        <v>1584</v>
      </c>
      <c r="M83" s="87">
        <f t="shared" si="175"/>
        <v>0</v>
      </c>
      <c r="N83" s="87">
        <f t="shared" ref="N83:N91" si="208">+L83+M83</f>
        <v>1584</v>
      </c>
      <c r="O83" s="52">
        <f>SUM(N83/N$100*'Sources &amp; Uses'!E$24)</f>
        <v>147954.40068254093</v>
      </c>
      <c r="P83" s="138">
        <f t="shared" ref="P83:P91" si="209">SUM(O83/N83)</f>
        <v>93.405555986452612</v>
      </c>
    </row>
    <row r="84" spans="1:16">
      <c r="A84" s="34">
        <f t="shared" ref="A84" si="210">+A83+1</f>
        <v>76</v>
      </c>
      <c r="B84" s="34" t="s">
        <v>784</v>
      </c>
      <c r="C84" s="34" t="s">
        <v>771</v>
      </c>
      <c r="E84" s="34">
        <f t="shared" ref="E84" si="211">+E83</f>
        <v>542</v>
      </c>
      <c r="F84">
        <v>2</v>
      </c>
      <c r="G84" s="34">
        <f t="shared" ref="G84" si="212">+G83</f>
        <v>792</v>
      </c>
      <c r="I84" s="34">
        <f t="shared" si="183"/>
        <v>1044</v>
      </c>
      <c r="K84" s="34">
        <f t="shared" si="179"/>
        <v>1249</v>
      </c>
      <c r="L84">
        <f t="shared" si="207"/>
        <v>1584</v>
      </c>
      <c r="M84" s="87">
        <f t="shared" si="175"/>
        <v>0</v>
      </c>
      <c r="N84" s="87">
        <f t="shared" si="208"/>
        <v>1584</v>
      </c>
      <c r="O84" s="52">
        <f>SUM(N84/N$100*'Sources &amp; Uses'!E$24)</f>
        <v>147954.40068254093</v>
      </c>
      <c r="P84" s="138">
        <f t="shared" si="209"/>
        <v>93.405555986452612</v>
      </c>
    </row>
    <row r="85" spans="1:16">
      <c r="A85" s="34">
        <f t="shared" ref="A85" si="213">+A84+1</f>
        <v>77</v>
      </c>
      <c r="B85" s="34" t="s">
        <v>784</v>
      </c>
      <c r="C85" s="34" t="s">
        <v>771</v>
      </c>
      <c r="E85" s="34">
        <f t="shared" ref="E85" si="214">+E84</f>
        <v>542</v>
      </c>
      <c r="F85">
        <v>2</v>
      </c>
      <c r="G85" s="34">
        <f t="shared" ref="G85" si="215">+G84</f>
        <v>792</v>
      </c>
      <c r="I85" s="34">
        <f t="shared" si="183"/>
        <v>1044</v>
      </c>
      <c r="K85" s="34">
        <f t="shared" si="179"/>
        <v>1249</v>
      </c>
      <c r="L85">
        <f t="shared" si="207"/>
        <v>1584</v>
      </c>
      <c r="M85" s="87">
        <f t="shared" si="175"/>
        <v>0</v>
      </c>
      <c r="N85" s="87">
        <f t="shared" si="208"/>
        <v>1584</v>
      </c>
      <c r="O85" s="52">
        <f>SUM(N85/N$100*'Sources &amp; Uses'!E$24)</f>
        <v>147954.40068254093</v>
      </c>
      <c r="P85" s="138">
        <f t="shared" si="209"/>
        <v>93.405555986452612</v>
      </c>
    </row>
    <row r="86" spans="1:16">
      <c r="A86" s="34">
        <f t="shared" ref="A86" si="216">+A85+1</f>
        <v>78</v>
      </c>
      <c r="B86" s="34" t="s">
        <v>784</v>
      </c>
      <c r="C86" s="34" t="s">
        <v>771</v>
      </c>
      <c r="E86" s="34">
        <f t="shared" ref="E86" si="217">+E85</f>
        <v>542</v>
      </c>
      <c r="F86">
        <v>2</v>
      </c>
      <c r="G86" s="34">
        <f t="shared" ref="G86" si="218">+G85</f>
        <v>792</v>
      </c>
      <c r="I86" s="34">
        <f t="shared" si="183"/>
        <v>1044</v>
      </c>
      <c r="K86" s="34">
        <f t="shared" si="179"/>
        <v>1249</v>
      </c>
      <c r="L86">
        <f t="shared" si="207"/>
        <v>1584</v>
      </c>
      <c r="M86" s="87">
        <f t="shared" si="175"/>
        <v>0</v>
      </c>
      <c r="N86" s="87">
        <f t="shared" si="208"/>
        <v>1584</v>
      </c>
      <c r="O86" s="52">
        <f>SUM(N86/N$100*'Sources &amp; Uses'!E$24)</f>
        <v>147954.40068254093</v>
      </c>
      <c r="P86" s="138">
        <f t="shared" si="209"/>
        <v>93.405555986452612</v>
      </c>
    </row>
    <row r="87" spans="1:16">
      <c r="A87" s="34">
        <f t="shared" ref="A87" si="219">+A86+1</f>
        <v>79</v>
      </c>
      <c r="B87" s="34" t="s">
        <v>784</v>
      </c>
      <c r="C87" s="34" t="s">
        <v>771</v>
      </c>
      <c r="E87" s="34">
        <f t="shared" ref="E87" si="220">+E86</f>
        <v>542</v>
      </c>
      <c r="F87">
        <v>2</v>
      </c>
      <c r="G87" s="34">
        <f t="shared" ref="G87" si="221">+G86</f>
        <v>792</v>
      </c>
      <c r="I87" s="34">
        <f t="shared" si="183"/>
        <v>1044</v>
      </c>
      <c r="K87" s="34">
        <f t="shared" si="179"/>
        <v>1249</v>
      </c>
      <c r="L87">
        <f t="shared" si="207"/>
        <v>1584</v>
      </c>
      <c r="M87" s="87">
        <f t="shared" si="175"/>
        <v>0</v>
      </c>
      <c r="N87" s="87">
        <f t="shared" si="208"/>
        <v>1584</v>
      </c>
      <c r="O87" s="52">
        <f>SUM(N87/N$100*'Sources &amp; Uses'!E$24)</f>
        <v>147954.40068254093</v>
      </c>
      <c r="P87" s="138">
        <f t="shared" si="209"/>
        <v>93.405555986452612</v>
      </c>
    </row>
    <row r="88" spans="1:16">
      <c r="A88" s="34">
        <f t="shared" ref="A88" si="222">+A87+1</f>
        <v>80</v>
      </c>
      <c r="B88" s="34" t="s">
        <v>784</v>
      </c>
      <c r="C88" s="34" t="s">
        <v>771</v>
      </c>
      <c r="E88" s="34">
        <f t="shared" ref="E88" si="223">+E87</f>
        <v>542</v>
      </c>
      <c r="F88">
        <v>2</v>
      </c>
      <c r="G88" s="34">
        <f t="shared" ref="G88" si="224">+G87</f>
        <v>792</v>
      </c>
      <c r="I88" s="34">
        <f t="shared" si="183"/>
        <v>1044</v>
      </c>
      <c r="K88" s="34">
        <f t="shared" si="179"/>
        <v>1249</v>
      </c>
      <c r="L88">
        <f t="shared" si="207"/>
        <v>1584</v>
      </c>
      <c r="M88" s="87">
        <f t="shared" si="175"/>
        <v>0</v>
      </c>
      <c r="N88" s="87">
        <f t="shared" si="208"/>
        <v>1584</v>
      </c>
      <c r="O88" s="52">
        <f>SUM(N88/N$100*'Sources &amp; Uses'!E$24)</f>
        <v>147954.40068254093</v>
      </c>
      <c r="P88" s="138">
        <f t="shared" si="209"/>
        <v>93.405555986452612</v>
      </c>
    </row>
    <row r="89" spans="1:16">
      <c r="A89" s="34">
        <f t="shared" ref="A89" si="225">+A88+1</f>
        <v>81</v>
      </c>
      <c r="B89" s="34" t="s">
        <v>784</v>
      </c>
      <c r="C89" s="34" t="s">
        <v>771</v>
      </c>
      <c r="E89" s="34">
        <f t="shared" ref="E89" si="226">+E88</f>
        <v>542</v>
      </c>
      <c r="F89">
        <v>2</v>
      </c>
      <c r="G89" s="34">
        <f t="shared" ref="G89" si="227">+G88</f>
        <v>792</v>
      </c>
      <c r="I89" s="34">
        <f t="shared" si="183"/>
        <v>1044</v>
      </c>
      <c r="K89" s="34">
        <f t="shared" si="179"/>
        <v>1249</v>
      </c>
      <c r="L89">
        <f t="shared" si="207"/>
        <v>1584</v>
      </c>
      <c r="M89" s="87">
        <f t="shared" si="175"/>
        <v>0</v>
      </c>
      <c r="N89" s="87">
        <f t="shared" si="208"/>
        <v>1584</v>
      </c>
      <c r="O89" s="52">
        <f>SUM(N89/N$100*'Sources &amp; Uses'!E$24)</f>
        <v>147954.40068254093</v>
      </c>
      <c r="P89" s="138">
        <f t="shared" si="209"/>
        <v>93.405555986452612</v>
      </c>
    </row>
    <row r="90" spans="1:16">
      <c r="A90" s="34">
        <f t="shared" ref="A90" si="228">+A89+1</f>
        <v>82</v>
      </c>
      <c r="B90" s="34" t="s">
        <v>784</v>
      </c>
      <c r="C90" s="34" t="s">
        <v>772</v>
      </c>
      <c r="E90" s="34">
        <f t="shared" ref="E90" si="229">+E89</f>
        <v>542</v>
      </c>
      <c r="G90" s="34">
        <f t="shared" ref="G90" si="230">+G89</f>
        <v>792</v>
      </c>
      <c r="H90">
        <v>2</v>
      </c>
      <c r="I90" s="34">
        <v>952</v>
      </c>
      <c r="K90" s="34">
        <f t="shared" si="179"/>
        <v>1249</v>
      </c>
      <c r="L90">
        <f t="shared" si="207"/>
        <v>1904</v>
      </c>
      <c r="M90" s="87">
        <f t="shared" si="175"/>
        <v>0</v>
      </c>
      <c r="N90" s="87">
        <f t="shared" si="208"/>
        <v>1904</v>
      </c>
      <c r="O90" s="52">
        <f>SUM(N90/N$100*'Sources &amp; Uses'!E$24)</f>
        <v>177844.17859820573</v>
      </c>
      <c r="P90" s="138">
        <f t="shared" si="209"/>
        <v>93.405555986452597</v>
      </c>
    </row>
    <row r="91" spans="1:16">
      <c r="A91" s="34">
        <f t="shared" ref="A91" si="231">+A90+1</f>
        <v>83</v>
      </c>
      <c r="B91" s="34" t="s">
        <v>784</v>
      </c>
      <c r="C91" s="34" t="s">
        <v>772</v>
      </c>
      <c r="E91" s="34">
        <f t="shared" ref="E91" si="232">+E90</f>
        <v>542</v>
      </c>
      <c r="G91" s="34">
        <f t="shared" ref="G91" si="233">+G90</f>
        <v>792</v>
      </c>
      <c r="H91">
        <v>2</v>
      </c>
      <c r="I91" s="34">
        <f t="shared" si="183"/>
        <v>952</v>
      </c>
      <c r="K91" s="34">
        <f t="shared" si="179"/>
        <v>1249</v>
      </c>
      <c r="L91">
        <f t="shared" si="207"/>
        <v>1904</v>
      </c>
      <c r="M91" s="87">
        <f t="shared" si="175"/>
        <v>0</v>
      </c>
      <c r="N91" s="87">
        <f t="shared" si="208"/>
        <v>1904</v>
      </c>
      <c r="O91" s="52">
        <f>SUM(N91/N$100*'Sources &amp; Uses'!E$24)</f>
        <v>177844.17859820573</v>
      </c>
      <c r="P91" s="138">
        <f t="shared" si="209"/>
        <v>93.405555986452597</v>
      </c>
    </row>
    <row r="92" spans="1:16">
      <c r="A92" s="34">
        <f t="shared" ref="A92" si="234">+A91+1</f>
        <v>84</v>
      </c>
      <c r="B92" s="34" t="s">
        <v>785</v>
      </c>
      <c r="C92" s="34" t="s">
        <v>780</v>
      </c>
      <c r="D92">
        <v>2</v>
      </c>
      <c r="E92" s="34">
        <v>617</v>
      </c>
      <c r="G92" s="34">
        <f t="shared" ref="G92" si="235">+G91</f>
        <v>792</v>
      </c>
      <c r="I92" s="34">
        <f t="shared" si="183"/>
        <v>952</v>
      </c>
      <c r="K92" s="34">
        <f t="shared" si="179"/>
        <v>1249</v>
      </c>
      <c r="L92">
        <f t="shared" ref="L92:L97" si="236">SUM(G92*F92)+(I92*H92)+(K92*J92)+D92*E92</f>
        <v>1234</v>
      </c>
      <c r="M92" s="87">
        <f t="shared" si="175"/>
        <v>0</v>
      </c>
      <c r="N92" s="87">
        <f t="shared" ref="N92:N97" si="237">+L92+M92</f>
        <v>1234</v>
      </c>
      <c r="O92" s="52">
        <f>SUM(N92/N$100*'Sources &amp; Uses'!E$24)</f>
        <v>115262.45608728251</v>
      </c>
      <c r="P92" s="138">
        <f t="shared" ref="P92:P97" si="238">SUM(O92/N92)</f>
        <v>93.405555986452597</v>
      </c>
    </row>
    <row r="93" spans="1:16">
      <c r="A93" s="34">
        <f t="shared" ref="A93" si="239">+A92+1</f>
        <v>85</v>
      </c>
      <c r="B93" s="34" t="s">
        <v>785</v>
      </c>
      <c r="C93" s="34" t="s">
        <v>780</v>
      </c>
      <c r="D93">
        <v>2</v>
      </c>
      <c r="E93" s="34">
        <f t="shared" ref="E93" si="240">+E92</f>
        <v>617</v>
      </c>
      <c r="G93" s="34">
        <f t="shared" ref="G93" si="241">+G92</f>
        <v>792</v>
      </c>
      <c r="I93" s="34">
        <f t="shared" si="183"/>
        <v>952</v>
      </c>
      <c r="K93" s="34">
        <f t="shared" si="179"/>
        <v>1249</v>
      </c>
      <c r="L93">
        <f t="shared" si="236"/>
        <v>1234</v>
      </c>
      <c r="M93" s="87">
        <f t="shared" si="175"/>
        <v>0</v>
      </c>
      <c r="N93" s="87">
        <f t="shared" si="237"/>
        <v>1234</v>
      </c>
      <c r="O93" s="52">
        <f>SUM(N93/N$100*'Sources &amp; Uses'!E$24)</f>
        <v>115262.45608728251</v>
      </c>
      <c r="P93" s="138">
        <f t="shared" si="238"/>
        <v>93.405555986452597</v>
      </c>
    </row>
    <row r="94" spans="1:16">
      <c r="A94" s="34">
        <f t="shared" ref="A94" si="242">+A93+1</f>
        <v>86</v>
      </c>
      <c r="B94" s="34" t="s">
        <v>785</v>
      </c>
      <c r="C94" s="34" t="s">
        <v>780</v>
      </c>
      <c r="D94">
        <v>2</v>
      </c>
      <c r="E94" s="34">
        <f t="shared" ref="E94" si="243">+E93</f>
        <v>617</v>
      </c>
      <c r="G94" s="34">
        <f t="shared" ref="G94" si="244">+G93</f>
        <v>792</v>
      </c>
      <c r="I94" s="34">
        <f t="shared" si="183"/>
        <v>952</v>
      </c>
      <c r="K94" s="34">
        <f t="shared" si="179"/>
        <v>1249</v>
      </c>
      <c r="L94">
        <f t="shared" si="236"/>
        <v>1234</v>
      </c>
      <c r="M94" s="87">
        <f t="shared" si="175"/>
        <v>0</v>
      </c>
      <c r="N94" s="87">
        <f t="shared" si="237"/>
        <v>1234</v>
      </c>
      <c r="O94" s="52">
        <f>SUM(N94/N$100*'Sources &amp; Uses'!E$24)</f>
        <v>115262.45608728251</v>
      </c>
      <c r="P94" s="138">
        <f t="shared" si="238"/>
        <v>93.405555986452597</v>
      </c>
    </row>
    <row r="95" spans="1:16">
      <c r="A95" s="34">
        <f t="shared" ref="A95" si="245">+A94+1</f>
        <v>87</v>
      </c>
      <c r="B95" s="34" t="s">
        <v>785</v>
      </c>
      <c r="C95" s="34" t="s">
        <v>780</v>
      </c>
      <c r="D95">
        <v>2</v>
      </c>
      <c r="E95" s="34">
        <f t="shared" ref="E95" si="246">+E94</f>
        <v>617</v>
      </c>
      <c r="G95" s="34">
        <f t="shared" ref="G95" si="247">+G94</f>
        <v>792</v>
      </c>
      <c r="I95" s="34">
        <f t="shared" si="183"/>
        <v>952</v>
      </c>
      <c r="K95" s="34">
        <f t="shared" si="179"/>
        <v>1249</v>
      </c>
      <c r="L95">
        <f t="shared" si="236"/>
        <v>1234</v>
      </c>
      <c r="M95" s="87">
        <f t="shared" si="175"/>
        <v>0</v>
      </c>
      <c r="N95" s="87">
        <f t="shared" si="237"/>
        <v>1234</v>
      </c>
      <c r="O95" s="52">
        <f>SUM(N95/N$100*'Sources &amp; Uses'!E$24)</f>
        <v>115262.45608728251</v>
      </c>
      <c r="P95" s="138">
        <f t="shared" si="238"/>
        <v>93.405555986452597</v>
      </c>
    </row>
    <row r="96" spans="1:16">
      <c r="A96" s="34">
        <f t="shared" ref="A96" si="248">+A95+1</f>
        <v>88</v>
      </c>
      <c r="B96" s="34" t="s">
        <v>785</v>
      </c>
      <c r="C96" s="34" t="s">
        <v>780</v>
      </c>
      <c r="D96">
        <v>2</v>
      </c>
      <c r="E96" s="34">
        <f t="shared" ref="E96" si="249">+E95</f>
        <v>617</v>
      </c>
      <c r="G96" s="34">
        <f t="shared" ref="G96" si="250">+G95</f>
        <v>792</v>
      </c>
      <c r="I96" s="34">
        <f t="shared" si="183"/>
        <v>952</v>
      </c>
      <c r="K96" s="34">
        <f t="shared" si="179"/>
        <v>1249</v>
      </c>
      <c r="L96">
        <f t="shared" si="236"/>
        <v>1234</v>
      </c>
      <c r="M96" s="87">
        <f t="shared" si="175"/>
        <v>0</v>
      </c>
      <c r="N96" s="87">
        <f t="shared" si="237"/>
        <v>1234</v>
      </c>
      <c r="O96" s="52">
        <f>SUM(N96/N$100*'Sources &amp; Uses'!E$24)</f>
        <v>115262.45608728251</v>
      </c>
      <c r="P96" s="138">
        <f t="shared" si="238"/>
        <v>93.405555986452597</v>
      </c>
    </row>
    <row r="97" spans="1:17">
      <c r="A97" s="34">
        <f t="shared" ref="A97" si="251">+A96+1</f>
        <v>89</v>
      </c>
      <c r="B97" s="34" t="s">
        <v>785</v>
      </c>
      <c r="C97" s="34" t="s">
        <v>771</v>
      </c>
      <c r="E97" s="34">
        <f t="shared" ref="E97" si="252">+E96</f>
        <v>617</v>
      </c>
      <c r="F97">
        <v>2</v>
      </c>
      <c r="G97" s="34">
        <f t="shared" ref="G97" si="253">+G96</f>
        <v>792</v>
      </c>
      <c r="I97" s="34">
        <f t="shared" si="183"/>
        <v>952</v>
      </c>
      <c r="K97" s="34">
        <f t="shared" si="179"/>
        <v>1249</v>
      </c>
      <c r="L97">
        <f t="shared" si="236"/>
        <v>1584</v>
      </c>
      <c r="M97" s="87">
        <f t="shared" si="175"/>
        <v>0</v>
      </c>
      <c r="N97" s="87">
        <f t="shared" si="237"/>
        <v>1584</v>
      </c>
      <c r="O97" s="52">
        <f>SUM(N97/N$100*'Sources &amp; Uses'!E$24)</f>
        <v>147954.40068254093</v>
      </c>
      <c r="P97" s="138">
        <f t="shared" si="238"/>
        <v>93.405555986452612</v>
      </c>
    </row>
    <row r="98" spans="1:17">
      <c r="M98" s="87"/>
      <c r="N98" s="87"/>
      <c r="O98" s="52"/>
      <c r="P98" s="138"/>
    </row>
    <row r="99" spans="1:17">
      <c r="M99" s="87"/>
      <c r="N99" s="87"/>
      <c r="P99" s="30"/>
    </row>
    <row r="100" spans="1:17" ht="13.5" thickBot="1">
      <c r="D100" s="90">
        <f>SUM(D9:D99)</f>
        <v>72</v>
      </c>
      <c r="E100" s="299">
        <f>SUM(E9:E99)</f>
        <v>54081</v>
      </c>
      <c r="F100" s="90">
        <f t="shared" ref="F100:O100" si="254">SUM(F9:F99)</f>
        <v>72</v>
      </c>
      <c r="G100" s="299">
        <f t="shared" si="254"/>
        <v>72364</v>
      </c>
      <c r="H100" s="90">
        <f t="shared" si="254"/>
        <v>40</v>
      </c>
      <c r="I100" s="299">
        <f t="shared" si="254"/>
        <v>92180</v>
      </c>
      <c r="J100" s="90">
        <f t="shared" si="254"/>
        <v>10</v>
      </c>
      <c r="K100" s="299">
        <f t="shared" si="254"/>
        <v>111161</v>
      </c>
      <c r="L100" s="90">
        <f t="shared" si="254"/>
        <v>154716</v>
      </c>
      <c r="M100" s="90">
        <f t="shared" si="254"/>
        <v>0</v>
      </c>
      <c r="N100" s="90">
        <f t="shared" si="254"/>
        <v>154716</v>
      </c>
      <c r="O100" s="90">
        <f t="shared" si="254"/>
        <v>14451333.999999993</v>
      </c>
      <c r="P100" s="150">
        <f>AVERAGE(P9:P18)</f>
        <v>93.405555986452583</v>
      </c>
    </row>
    <row r="101" spans="1:17" ht="13.5" thickTop="1"/>
    <row r="102" spans="1:17">
      <c r="C102" s="34" t="s">
        <v>51</v>
      </c>
      <c r="D102">
        <f>SUM(D100+F100+H100+J100)</f>
        <v>194</v>
      </c>
      <c r="L102" s="67">
        <v>1197</v>
      </c>
      <c r="M102" t="s">
        <v>375</v>
      </c>
      <c r="O102" s="67">
        <f>SUM(L102*P100)</f>
        <v>111806.45051578374</v>
      </c>
      <c r="Q102" t="s">
        <v>786</v>
      </c>
    </row>
    <row r="103" spans="1:17">
      <c r="L103" s="67">
        <f>SUM(L100:L102)</f>
        <v>155913</v>
      </c>
      <c r="O103" s="67">
        <f>SUM(O100:O102)</f>
        <v>14563140.450515777</v>
      </c>
      <c r="Q103" t="s">
        <v>434</v>
      </c>
    </row>
    <row r="105" spans="1:17">
      <c r="E105" s="238"/>
      <c r="G105" s="238"/>
    </row>
    <row r="106" spans="1:17">
      <c r="E106" s="238"/>
      <c r="G106" s="238"/>
    </row>
    <row r="112" spans="1:17">
      <c r="O112" s="1"/>
    </row>
    <row r="113" spans="15:15">
      <c r="O113" s="87"/>
    </row>
    <row r="114" spans="15:15">
      <c r="O114" s="1"/>
    </row>
  </sheetData>
  <phoneticPr fontId="0" type="noConversion"/>
  <pageMargins left="0.75" right="0.75" top="1" bottom="1" header="0.5" footer="0.5"/>
  <pageSetup scale="36" orientation="landscape" r:id="rId1"/>
  <headerFooter alignWithMargins="0">
    <oddFooter>&amp;L&amp;D&amp;T&amp;C&amp;F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pageSetUpPr fitToPage="1"/>
  </sheetPr>
  <dimension ref="A1:Q79"/>
  <sheetViews>
    <sheetView workbookViewId="0"/>
  </sheetViews>
  <sheetFormatPr defaultColWidth="8.85546875" defaultRowHeight="12.75"/>
  <sheetData>
    <row r="1" spans="1:17">
      <c r="A1" s="1" t="str">
        <f>+'Sources &amp; Uses'!A1</f>
        <v>Lamar Building</v>
      </c>
    </row>
    <row r="2" spans="1:17">
      <c r="A2" t="s">
        <v>474</v>
      </c>
    </row>
    <row r="3" spans="1:17">
      <c r="A3" t="s">
        <v>475</v>
      </c>
      <c r="B3" s="25">
        <v>2007</v>
      </c>
    </row>
    <row r="4" spans="1:17">
      <c r="C4" s="175" t="s">
        <v>490</v>
      </c>
    </row>
    <row r="5" spans="1:17">
      <c r="C5" s="176" t="s">
        <v>491</v>
      </c>
      <c r="D5" s="25" t="s">
        <v>51</v>
      </c>
      <c r="E5" s="25" t="s">
        <v>476</v>
      </c>
      <c r="F5" s="25" t="s">
        <v>477</v>
      </c>
      <c r="G5" s="25" t="s">
        <v>478</v>
      </c>
      <c r="H5" s="25" t="s">
        <v>479</v>
      </c>
      <c r="I5" s="25" t="s">
        <v>480</v>
      </c>
      <c r="J5" s="25" t="s">
        <v>481</v>
      </c>
      <c r="K5" s="25" t="s">
        <v>482</v>
      </c>
      <c r="L5" s="25" t="s">
        <v>483</v>
      </c>
      <c r="M5" s="25" t="s">
        <v>484</v>
      </c>
      <c r="N5" s="25" t="s">
        <v>485</v>
      </c>
      <c r="O5" s="25" t="s">
        <v>486</v>
      </c>
      <c r="P5" s="25" t="s">
        <v>487</v>
      </c>
      <c r="Q5" s="25" t="s">
        <v>488</v>
      </c>
    </row>
    <row r="6" spans="1:17">
      <c r="A6" t="str">
        <f>+'1st Year Cr'!A7</f>
        <v>LA-08-00</v>
      </c>
      <c r="B6" s="177">
        <f>+'1st Year Cr'!B7</f>
        <v>234</v>
      </c>
      <c r="C6" s="177">
        <v>2</v>
      </c>
      <c r="D6" s="34">
        <v>1</v>
      </c>
      <c r="E6">
        <v>0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</row>
    <row r="7" spans="1:17">
      <c r="B7" s="177"/>
      <c r="D7" s="34"/>
      <c r="E7" s="138">
        <f>SUM(E6/$D6)</f>
        <v>0</v>
      </c>
      <c r="F7" s="138">
        <f t="shared" ref="F7:P7" si="0">SUM(F6/$D6)</f>
        <v>0</v>
      </c>
      <c r="G7" s="138">
        <f t="shared" si="0"/>
        <v>1</v>
      </c>
      <c r="H7" s="138">
        <f t="shared" si="0"/>
        <v>1</v>
      </c>
      <c r="I7" s="138">
        <f t="shared" si="0"/>
        <v>1</v>
      </c>
      <c r="J7" s="138">
        <f t="shared" si="0"/>
        <v>1</v>
      </c>
      <c r="K7" s="138">
        <f t="shared" si="0"/>
        <v>1</v>
      </c>
      <c r="L7" s="138">
        <f t="shared" si="0"/>
        <v>1</v>
      </c>
      <c r="M7" s="138">
        <f t="shared" si="0"/>
        <v>1</v>
      </c>
      <c r="N7" s="138">
        <f t="shared" si="0"/>
        <v>1</v>
      </c>
      <c r="O7" s="138">
        <f t="shared" si="0"/>
        <v>1</v>
      </c>
      <c r="P7" s="138">
        <f t="shared" si="0"/>
        <v>1</v>
      </c>
      <c r="Q7">
        <f>SUM(E7:P7)/12</f>
        <v>0.83333333333333337</v>
      </c>
    </row>
    <row r="8" spans="1:17">
      <c r="A8" t="str">
        <f>+'1st Year Cr'!A9</f>
        <v>LA-08-00</v>
      </c>
      <c r="B8" s="177">
        <f>+'1st Year Cr'!B9</f>
        <v>235</v>
      </c>
      <c r="C8" s="177">
        <v>2</v>
      </c>
      <c r="D8" s="34">
        <v>1</v>
      </c>
      <c r="E8">
        <v>0</v>
      </c>
      <c r="F8">
        <v>0</v>
      </c>
      <c r="G8">
        <v>1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</row>
    <row r="9" spans="1:17">
      <c r="B9" s="177"/>
      <c r="D9" s="34"/>
      <c r="E9" s="138">
        <f>SUM(E8/$D8)</f>
        <v>0</v>
      </c>
      <c r="F9" s="138">
        <f t="shared" ref="F9:P9" si="1">SUM(F8/$D8)</f>
        <v>0</v>
      </c>
      <c r="G9" s="138">
        <f t="shared" si="1"/>
        <v>1</v>
      </c>
      <c r="H9" s="138">
        <f t="shared" si="1"/>
        <v>1</v>
      </c>
      <c r="I9" s="138">
        <f t="shared" si="1"/>
        <v>0</v>
      </c>
      <c r="J9" s="138">
        <f t="shared" si="1"/>
        <v>1</v>
      </c>
      <c r="K9" s="138">
        <f t="shared" si="1"/>
        <v>1</v>
      </c>
      <c r="L9" s="138">
        <f t="shared" si="1"/>
        <v>1</v>
      </c>
      <c r="M9" s="138">
        <f t="shared" si="1"/>
        <v>1</v>
      </c>
      <c r="N9" s="138">
        <f t="shared" si="1"/>
        <v>1</v>
      </c>
      <c r="O9" s="138">
        <f t="shared" si="1"/>
        <v>1</v>
      </c>
      <c r="P9" s="138">
        <f t="shared" si="1"/>
        <v>1</v>
      </c>
      <c r="Q9">
        <f>SUM(E9:P9)/12</f>
        <v>0.75</v>
      </c>
    </row>
    <row r="10" spans="1:17">
      <c r="A10" t="str">
        <f>+'1st Year Cr'!A11</f>
        <v>LA-08-00</v>
      </c>
      <c r="B10" s="177">
        <f>+'1st Year Cr'!B11</f>
        <v>236</v>
      </c>
      <c r="C10" s="177">
        <v>2</v>
      </c>
      <c r="D10" s="34">
        <v>1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</row>
    <row r="11" spans="1:17">
      <c r="B11" s="177"/>
      <c r="C11" s="177"/>
      <c r="D11" s="34"/>
      <c r="E11" s="138">
        <f>SUM(E10/$D10)</f>
        <v>0</v>
      </c>
      <c r="F11" s="138">
        <f t="shared" ref="F11:P11" si="2">SUM(F10/$D10)</f>
        <v>0</v>
      </c>
      <c r="G11" s="138">
        <f t="shared" si="2"/>
        <v>1</v>
      </c>
      <c r="H11" s="138">
        <f t="shared" si="2"/>
        <v>1</v>
      </c>
      <c r="I11" s="138">
        <f t="shared" si="2"/>
        <v>1</v>
      </c>
      <c r="J11" s="138">
        <f t="shared" si="2"/>
        <v>1</v>
      </c>
      <c r="K11" s="138">
        <f t="shared" si="2"/>
        <v>1</v>
      </c>
      <c r="L11" s="138">
        <f t="shared" si="2"/>
        <v>1</v>
      </c>
      <c r="M11" s="138">
        <f t="shared" si="2"/>
        <v>1</v>
      </c>
      <c r="N11" s="138">
        <f t="shared" si="2"/>
        <v>1</v>
      </c>
      <c r="O11" s="138">
        <f t="shared" si="2"/>
        <v>1</v>
      </c>
      <c r="P11" s="138">
        <f t="shared" si="2"/>
        <v>1</v>
      </c>
      <c r="Q11">
        <f>SUM(E11:P11)/12</f>
        <v>0.83333333333333337</v>
      </c>
    </row>
    <row r="12" spans="1:17">
      <c r="A12" t="str">
        <f>+'1st Year Cr'!A13</f>
        <v>LA-08-00</v>
      </c>
      <c r="B12" s="177">
        <f>+'1st Year Cr'!B13</f>
        <v>237</v>
      </c>
      <c r="C12" s="177">
        <v>2</v>
      </c>
      <c r="D12" s="34">
        <v>1</v>
      </c>
      <c r="E12">
        <v>0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7">
      <c r="B13" s="177"/>
      <c r="C13" s="177"/>
      <c r="D13" s="34"/>
      <c r="E13" s="138">
        <f>SUM(E12/$D12)</f>
        <v>0</v>
      </c>
      <c r="F13" s="138">
        <f t="shared" ref="F13:P13" si="3">SUM(F12/$D12)</f>
        <v>0</v>
      </c>
      <c r="G13" s="138">
        <f t="shared" si="3"/>
        <v>1</v>
      </c>
      <c r="H13" s="138">
        <f t="shared" si="3"/>
        <v>1</v>
      </c>
      <c r="I13" s="138">
        <f t="shared" si="3"/>
        <v>1</v>
      </c>
      <c r="J13" s="138">
        <f t="shared" si="3"/>
        <v>1</v>
      </c>
      <c r="K13" s="138">
        <f t="shared" si="3"/>
        <v>1</v>
      </c>
      <c r="L13" s="138">
        <f t="shared" si="3"/>
        <v>1</v>
      </c>
      <c r="M13" s="138">
        <f t="shared" si="3"/>
        <v>1</v>
      </c>
      <c r="N13" s="138">
        <f t="shared" si="3"/>
        <v>1</v>
      </c>
      <c r="O13" s="138">
        <f t="shared" si="3"/>
        <v>1</v>
      </c>
      <c r="P13" s="138">
        <f t="shared" si="3"/>
        <v>1</v>
      </c>
      <c r="Q13">
        <f>SUM(E13:P13)/12</f>
        <v>0.83333333333333337</v>
      </c>
    </row>
    <row r="14" spans="1:17">
      <c r="A14" t="str">
        <f>+'1st Year Cr'!A15</f>
        <v>LA-08-00</v>
      </c>
      <c r="B14" s="177">
        <f>+'1st Year Cr'!B15</f>
        <v>238</v>
      </c>
      <c r="C14" s="177">
        <v>2</v>
      </c>
      <c r="D14" s="34">
        <v>1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</row>
    <row r="15" spans="1:17">
      <c r="B15" s="177"/>
      <c r="C15" s="177"/>
      <c r="D15" s="34"/>
      <c r="E15" s="138">
        <f>SUM(E14/$D14)</f>
        <v>0</v>
      </c>
      <c r="F15" s="138">
        <f t="shared" ref="F15:P15" si="4">SUM(F14/$D14)</f>
        <v>0</v>
      </c>
      <c r="G15" s="138">
        <f t="shared" si="4"/>
        <v>1</v>
      </c>
      <c r="H15" s="138">
        <f t="shared" si="4"/>
        <v>1</v>
      </c>
      <c r="I15" s="138">
        <f t="shared" si="4"/>
        <v>1</v>
      </c>
      <c r="J15" s="138">
        <f t="shared" si="4"/>
        <v>1</v>
      </c>
      <c r="K15" s="138">
        <f t="shared" si="4"/>
        <v>1</v>
      </c>
      <c r="L15" s="138">
        <f t="shared" si="4"/>
        <v>1</v>
      </c>
      <c r="M15" s="138">
        <f t="shared" si="4"/>
        <v>1</v>
      </c>
      <c r="N15" s="138">
        <f t="shared" si="4"/>
        <v>1</v>
      </c>
      <c r="O15" s="138">
        <f t="shared" si="4"/>
        <v>1</v>
      </c>
      <c r="P15" s="138">
        <f t="shared" si="4"/>
        <v>1</v>
      </c>
      <c r="Q15">
        <f>SUM(E15:P15)/12</f>
        <v>0.83333333333333337</v>
      </c>
    </row>
    <row r="16" spans="1:17">
      <c r="A16" t="str">
        <f>+'1st Year Cr'!A17</f>
        <v>LA-08-00</v>
      </c>
      <c r="B16" s="177">
        <f>+'1st Year Cr'!B17</f>
        <v>239</v>
      </c>
      <c r="C16" s="177">
        <v>2</v>
      </c>
      <c r="D16" s="34">
        <v>1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</row>
    <row r="17" spans="1:17">
      <c r="B17" s="177"/>
      <c r="C17" s="177"/>
      <c r="D17" s="34"/>
      <c r="E17" s="138">
        <f>SUM(E16/$D16)</f>
        <v>0</v>
      </c>
      <c r="F17" s="138">
        <f t="shared" ref="F17:P17" si="5">SUM(F16/$D16)</f>
        <v>0</v>
      </c>
      <c r="G17" s="138">
        <f t="shared" si="5"/>
        <v>1</v>
      </c>
      <c r="H17" s="138">
        <f t="shared" si="5"/>
        <v>1</v>
      </c>
      <c r="I17" s="138">
        <f t="shared" si="5"/>
        <v>1</v>
      </c>
      <c r="J17" s="138">
        <f t="shared" si="5"/>
        <v>1</v>
      </c>
      <c r="K17" s="138">
        <f t="shared" si="5"/>
        <v>1</v>
      </c>
      <c r="L17" s="138">
        <f t="shared" si="5"/>
        <v>1</v>
      </c>
      <c r="M17" s="138">
        <f t="shared" si="5"/>
        <v>1</v>
      </c>
      <c r="N17" s="138">
        <f t="shared" si="5"/>
        <v>1</v>
      </c>
      <c r="O17" s="138">
        <f t="shared" si="5"/>
        <v>1</v>
      </c>
      <c r="P17" s="138">
        <f t="shared" si="5"/>
        <v>1</v>
      </c>
      <c r="Q17">
        <f>SUM(E17:P17)/12</f>
        <v>0.83333333333333337</v>
      </c>
    </row>
    <row r="18" spans="1:17">
      <c r="A18" t="str">
        <f>+'1st Year Cr'!A19</f>
        <v>LA-08-00</v>
      </c>
      <c r="B18" s="177">
        <f>+'1st Year Cr'!B19</f>
        <v>240</v>
      </c>
      <c r="C18" s="177">
        <v>2</v>
      </c>
      <c r="D18" s="34">
        <v>1</v>
      </c>
      <c r="E18">
        <v>0</v>
      </c>
      <c r="F18">
        <v>0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7">
      <c r="B19" s="177"/>
      <c r="C19" s="177"/>
      <c r="D19" s="34"/>
      <c r="E19" s="138">
        <f t="shared" ref="E19:P19" si="6">SUM(E18/$D18)</f>
        <v>0</v>
      </c>
      <c r="F19" s="138">
        <f t="shared" si="6"/>
        <v>0</v>
      </c>
      <c r="G19" s="138">
        <f t="shared" si="6"/>
        <v>0</v>
      </c>
      <c r="H19" s="138">
        <f t="shared" si="6"/>
        <v>1</v>
      </c>
      <c r="I19" s="138">
        <f t="shared" si="6"/>
        <v>1</v>
      </c>
      <c r="J19" s="138">
        <f t="shared" si="6"/>
        <v>1</v>
      </c>
      <c r="K19" s="138">
        <f t="shared" si="6"/>
        <v>1</v>
      </c>
      <c r="L19" s="138">
        <f t="shared" si="6"/>
        <v>1</v>
      </c>
      <c r="M19" s="138">
        <f t="shared" si="6"/>
        <v>1</v>
      </c>
      <c r="N19" s="138">
        <f t="shared" si="6"/>
        <v>1</v>
      </c>
      <c r="O19" s="138">
        <f t="shared" si="6"/>
        <v>1</v>
      </c>
      <c r="P19" s="138">
        <f t="shared" si="6"/>
        <v>1</v>
      </c>
      <c r="Q19">
        <f>SUM(E19:P19)/12</f>
        <v>0.75</v>
      </c>
    </row>
    <row r="20" spans="1:17">
      <c r="A20" t="str">
        <f>+'1st Year Cr'!A21</f>
        <v>LA-08-00</v>
      </c>
      <c r="B20" s="177">
        <f>+'1st Year Cr'!B21</f>
        <v>241</v>
      </c>
      <c r="C20" s="177">
        <v>3</v>
      </c>
      <c r="D20" s="34">
        <v>1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</row>
    <row r="21" spans="1:17">
      <c r="B21" s="177"/>
      <c r="C21" s="177"/>
      <c r="D21" s="34"/>
      <c r="E21" s="138">
        <f t="shared" ref="E21:P21" si="7">SUM(E20/$D20)</f>
        <v>0</v>
      </c>
      <c r="F21" s="138">
        <f t="shared" si="7"/>
        <v>0</v>
      </c>
      <c r="G21" s="138">
        <f t="shared" si="7"/>
        <v>0</v>
      </c>
      <c r="H21" s="138">
        <f t="shared" si="7"/>
        <v>1</v>
      </c>
      <c r="I21" s="138">
        <f t="shared" si="7"/>
        <v>1</v>
      </c>
      <c r="J21" s="138">
        <f t="shared" si="7"/>
        <v>1</v>
      </c>
      <c r="K21" s="138">
        <f t="shared" si="7"/>
        <v>1</v>
      </c>
      <c r="L21" s="138">
        <f t="shared" si="7"/>
        <v>1</v>
      </c>
      <c r="M21" s="138">
        <f t="shared" si="7"/>
        <v>1</v>
      </c>
      <c r="N21" s="138">
        <f t="shared" si="7"/>
        <v>1</v>
      </c>
      <c r="O21" s="138">
        <f t="shared" si="7"/>
        <v>1</v>
      </c>
      <c r="P21" s="138">
        <f t="shared" si="7"/>
        <v>1</v>
      </c>
      <c r="Q21">
        <f>SUM(E21:P21)/12</f>
        <v>0.75</v>
      </c>
    </row>
    <row r="22" spans="1:17">
      <c r="A22" t="str">
        <f>+'1st Year Cr'!A23</f>
        <v>LA-08-00</v>
      </c>
      <c r="B22" s="177">
        <f>+'1st Year Cr'!B23</f>
        <v>242</v>
      </c>
      <c r="C22" s="177">
        <v>3</v>
      </c>
      <c r="D22" s="34">
        <v>1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7">
      <c r="B23" s="177"/>
      <c r="C23" s="177"/>
      <c r="D23" s="34"/>
      <c r="E23" s="138">
        <f t="shared" ref="E23:P23" si="8">SUM(E22/$D22)</f>
        <v>0</v>
      </c>
      <c r="F23" s="138">
        <f t="shared" si="8"/>
        <v>0</v>
      </c>
      <c r="G23" s="138">
        <f t="shared" si="8"/>
        <v>0</v>
      </c>
      <c r="H23" s="138">
        <f t="shared" si="8"/>
        <v>1</v>
      </c>
      <c r="I23" s="138">
        <f t="shared" si="8"/>
        <v>1</v>
      </c>
      <c r="J23" s="138">
        <f t="shared" si="8"/>
        <v>1</v>
      </c>
      <c r="K23" s="138">
        <f t="shared" si="8"/>
        <v>1</v>
      </c>
      <c r="L23" s="138">
        <f t="shared" si="8"/>
        <v>1</v>
      </c>
      <c r="M23" s="138">
        <f t="shared" si="8"/>
        <v>1</v>
      </c>
      <c r="N23" s="138">
        <f t="shared" si="8"/>
        <v>1</v>
      </c>
      <c r="O23" s="138">
        <f t="shared" si="8"/>
        <v>1</v>
      </c>
      <c r="P23" s="138">
        <f t="shared" si="8"/>
        <v>1</v>
      </c>
      <c r="Q23">
        <f>SUM(E23:P23)/12</f>
        <v>0.75</v>
      </c>
    </row>
    <row r="24" spans="1:17">
      <c r="A24" t="str">
        <f>+'1st Year Cr'!A25</f>
        <v>LA-08-00</v>
      </c>
      <c r="B24" s="177">
        <f>+'1st Year Cr'!B25</f>
        <v>243</v>
      </c>
      <c r="C24" s="177">
        <v>3</v>
      </c>
      <c r="D24" s="34">
        <v>1</v>
      </c>
      <c r="E24">
        <v>0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</row>
    <row r="25" spans="1:17">
      <c r="B25" s="177"/>
      <c r="C25" s="177"/>
      <c r="D25" s="34"/>
      <c r="E25" s="138">
        <f t="shared" ref="E25:P25" si="9">SUM(E24/$D24)</f>
        <v>0</v>
      </c>
      <c r="F25" s="138">
        <f t="shared" si="9"/>
        <v>0</v>
      </c>
      <c r="G25" s="138">
        <f t="shared" si="9"/>
        <v>0</v>
      </c>
      <c r="H25" s="138">
        <f t="shared" si="9"/>
        <v>1</v>
      </c>
      <c r="I25" s="138">
        <f t="shared" si="9"/>
        <v>1</v>
      </c>
      <c r="J25" s="138">
        <f t="shared" si="9"/>
        <v>1</v>
      </c>
      <c r="K25" s="138">
        <f t="shared" si="9"/>
        <v>1</v>
      </c>
      <c r="L25" s="138">
        <f t="shared" si="9"/>
        <v>1</v>
      </c>
      <c r="M25" s="138">
        <f t="shared" si="9"/>
        <v>1</v>
      </c>
      <c r="N25" s="138">
        <f t="shared" si="9"/>
        <v>1</v>
      </c>
      <c r="O25" s="138">
        <f t="shared" si="9"/>
        <v>1</v>
      </c>
      <c r="P25" s="138">
        <f t="shared" si="9"/>
        <v>1</v>
      </c>
      <c r="Q25">
        <f>SUM(E25:P25)/12</f>
        <v>0.75</v>
      </c>
    </row>
    <row r="26" spans="1:17">
      <c r="A26" t="str">
        <f>+'1st Year Cr'!A27</f>
        <v>LA-08-00</v>
      </c>
      <c r="B26" s="177">
        <f>+'1st Year Cr'!B27</f>
        <v>244</v>
      </c>
      <c r="C26" s="177">
        <v>4</v>
      </c>
      <c r="D26" s="34">
        <v>1</v>
      </c>
      <c r="E26">
        <v>0</v>
      </c>
      <c r="F26">
        <v>0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</row>
    <row r="27" spans="1:17">
      <c r="B27" s="177"/>
      <c r="D27" s="34"/>
      <c r="E27" s="138">
        <f t="shared" ref="E27:P27" si="10">SUM(E26/$D26)</f>
        <v>0</v>
      </c>
      <c r="F27" s="138">
        <f t="shared" si="10"/>
        <v>0</v>
      </c>
      <c r="G27" s="138">
        <f t="shared" si="10"/>
        <v>0</v>
      </c>
      <c r="H27" s="138">
        <f t="shared" si="10"/>
        <v>1</v>
      </c>
      <c r="I27" s="138">
        <f t="shared" si="10"/>
        <v>1</v>
      </c>
      <c r="J27" s="138">
        <f t="shared" si="10"/>
        <v>1</v>
      </c>
      <c r="K27" s="138">
        <f t="shared" si="10"/>
        <v>1</v>
      </c>
      <c r="L27" s="138">
        <f t="shared" si="10"/>
        <v>1</v>
      </c>
      <c r="M27" s="138">
        <f t="shared" si="10"/>
        <v>1</v>
      </c>
      <c r="N27" s="138">
        <f t="shared" si="10"/>
        <v>1</v>
      </c>
      <c r="O27" s="138">
        <f t="shared" si="10"/>
        <v>1</v>
      </c>
      <c r="P27" s="138">
        <f t="shared" si="10"/>
        <v>1</v>
      </c>
      <c r="Q27">
        <f>SUM(E27:P27)/12</f>
        <v>0.75</v>
      </c>
    </row>
    <row r="28" spans="1:17">
      <c r="A28" t="str">
        <f>+'1st Year Cr'!A29</f>
        <v>LA-08-00</v>
      </c>
      <c r="B28" s="177">
        <f>+'1st Year Cr'!B29</f>
        <v>245</v>
      </c>
      <c r="C28" s="177">
        <v>4</v>
      </c>
      <c r="D28" s="34">
        <v>1</v>
      </c>
      <c r="E28">
        <v>0</v>
      </c>
      <c r="F28">
        <v>0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</row>
    <row r="29" spans="1:17">
      <c r="B29" s="177"/>
      <c r="D29" s="34"/>
      <c r="E29" s="138">
        <f t="shared" ref="E29:P29" si="11">SUM(E28/$D28)</f>
        <v>0</v>
      </c>
      <c r="F29" s="138">
        <f t="shared" si="11"/>
        <v>0</v>
      </c>
      <c r="G29" s="138">
        <f t="shared" si="11"/>
        <v>0</v>
      </c>
      <c r="H29" s="138">
        <f t="shared" si="11"/>
        <v>1</v>
      </c>
      <c r="I29" s="138">
        <f t="shared" si="11"/>
        <v>1</v>
      </c>
      <c r="J29" s="138">
        <f t="shared" si="11"/>
        <v>1</v>
      </c>
      <c r="K29" s="138">
        <f t="shared" si="11"/>
        <v>1</v>
      </c>
      <c r="L29" s="138">
        <f t="shared" si="11"/>
        <v>1</v>
      </c>
      <c r="M29" s="138">
        <f t="shared" si="11"/>
        <v>1</v>
      </c>
      <c r="N29" s="138">
        <f t="shared" si="11"/>
        <v>1</v>
      </c>
      <c r="O29" s="138">
        <f t="shared" si="11"/>
        <v>1</v>
      </c>
      <c r="P29" s="138">
        <f t="shared" si="11"/>
        <v>1</v>
      </c>
      <c r="Q29">
        <f>SUM(E29:P29)/12</f>
        <v>0.75</v>
      </c>
    </row>
    <row r="30" spans="1:17">
      <c r="A30" t="str">
        <f>+'1st Year Cr'!A31</f>
        <v>LA-08-00</v>
      </c>
      <c r="B30" s="177">
        <f>+'1st Year Cr'!B31</f>
        <v>246</v>
      </c>
      <c r="C30" s="177">
        <v>4</v>
      </c>
      <c r="D30" s="34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</row>
    <row r="31" spans="1:17">
      <c r="B31" s="177"/>
      <c r="D31" s="34"/>
      <c r="E31" s="138">
        <f t="shared" ref="E31:P31" si="12">SUM(E30/$D30)</f>
        <v>0</v>
      </c>
      <c r="F31" s="138">
        <f t="shared" si="12"/>
        <v>0</v>
      </c>
      <c r="G31" s="138">
        <f t="shared" si="12"/>
        <v>0</v>
      </c>
      <c r="H31" s="138">
        <f t="shared" si="12"/>
        <v>0</v>
      </c>
      <c r="I31" s="138">
        <f t="shared" si="12"/>
        <v>1</v>
      </c>
      <c r="J31" s="138">
        <f t="shared" si="12"/>
        <v>1</v>
      </c>
      <c r="K31" s="138">
        <f t="shared" si="12"/>
        <v>1</v>
      </c>
      <c r="L31" s="138">
        <f t="shared" si="12"/>
        <v>1</v>
      </c>
      <c r="M31" s="138">
        <f t="shared" si="12"/>
        <v>1</v>
      </c>
      <c r="N31" s="138">
        <f t="shared" si="12"/>
        <v>1</v>
      </c>
      <c r="O31" s="138">
        <f t="shared" si="12"/>
        <v>1</v>
      </c>
      <c r="P31" s="138">
        <f t="shared" si="12"/>
        <v>1</v>
      </c>
      <c r="Q31">
        <f>SUM(E31:P31)/12</f>
        <v>0.66666666666666663</v>
      </c>
    </row>
    <row r="32" spans="1:17">
      <c r="A32" t="str">
        <f>+'1st Year Cr'!A33</f>
        <v>LA-08-00</v>
      </c>
      <c r="B32" s="177">
        <f>+'1st Year Cr'!B33</f>
        <v>247</v>
      </c>
      <c r="C32" s="177">
        <v>4</v>
      </c>
      <c r="D32" s="34">
        <v>1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</row>
    <row r="33" spans="1:17">
      <c r="B33" s="177"/>
      <c r="D33" s="34"/>
      <c r="E33" s="138">
        <f t="shared" ref="E33:P33" si="13">SUM(E32/$D32)</f>
        <v>0</v>
      </c>
      <c r="F33" s="138">
        <f t="shared" si="13"/>
        <v>0</v>
      </c>
      <c r="G33" s="138">
        <f t="shared" si="13"/>
        <v>0</v>
      </c>
      <c r="H33" s="138">
        <f t="shared" si="13"/>
        <v>0</v>
      </c>
      <c r="I33" s="138">
        <f t="shared" si="13"/>
        <v>1</v>
      </c>
      <c r="J33" s="138">
        <f t="shared" si="13"/>
        <v>1</v>
      </c>
      <c r="K33" s="138">
        <f t="shared" si="13"/>
        <v>1</v>
      </c>
      <c r="L33" s="138">
        <f t="shared" si="13"/>
        <v>1</v>
      </c>
      <c r="M33" s="138">
        <f t="shared" si="13"/>
        <v>1</v>
      </c>
      <c r="N33" s="138">
        <f t="shared" si="13"/>
        <v>1</v>
      </c>
      <c r="O33" s="138">
        <f t="shared" si="13"/>
        <v>1</v>
      </c>
      <c r="P33" s="138">
        <f t="shared" si="13"/>
        <v>1</v>
      </c>
      <c r="Q33">
        <f>SUM(E33:P33)/12</f>
        <v>0.66666666666666663</v>
      </c>
    </row>
    <row r="34" spans="1:17">
      <c r="A34" t="str">
        <f>+'1st Year Cr'!A35</f>
        <v>LA-08-00</v>
      </c>
      <c r="B34" s="177">
        <f>+'1st Year Cr'!B35</f>
        <v>248</v>
      </c>
      <c r="C34" s="177">
        <v>4</v>
      </c>
      <c r="D34" s="34">
        <v>1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</row>
    <row r="35" spans="1:17">
      <c r="B35" s="177"/>
      <c r="D35" s="34"/>
      <c r="E35" s="138">
        <f t="shared" ref="E35:P35" si="14">SUM(E34/$D34)</f>
        <v>0</v>
      </c>
      <c r="F35" s="138">
        <f t="shared" si="14"/>
        <v>0</v>
      </c>
      <c r="G35" s="138">
        <f t="shared" si="14"/>
        <v>0</v>
      </c>
      <c r="H35" s="138">
        <f t="shared" si="14"/>
        <v>0</v>
      </c>
      <c r="I35" s="138">
        <f t="shared" si="14"/>
        <v>1</v>
      </c>
      <c r="J35" s="138">
        <f t="shared" si="14"/>
        <v>1</v>
      </c>
      <c r="K35" s="138">
        <f t="shared" si="14"/>
        <v>1</v>
      </c>
      <c r="L35" s="138">
        <f t="shared" si="14"/>
        <v>1</v>
      </c>
      <c r="M35" s="138">
        <f t="shared" si="14"/>
        <v>1</v>
      </c>
      <c r="N35" s="138">
        <f t="shared" si="14"/>
        <v>1</v>
      </c>
      <c r="O35" s="138">
        <f t="shared" si="14"/>
        <v>1</v>
      </c>
      <c r="P35" s="138">
        <f t="shared" si="14"/>
        <v>1</v>
      </c>
      <c r="Q35">
        <f>SUM(E35:P35)/12</f>
        <v>0.66666666666666663</v>
      </c>
    </row>
    <row r="36" spans="1:17">
      <c r="A36" t="str">
        <f>+'1st Year Cr'!A37</f>
        <v>LA-08-00</v>
      </c>
      <c r="B36" s="177">
        <f>+'1st Year Cr'!B37</f>
        <v>249</v>
      </c>
      <c r="C36" s="177">
        <v>5</v>
      </c>
      <c r="D36" s="34">
        <v>1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</row>
    <row r="37" spans="1:17">
      <c r="B37" s="177"/>
      <c r="D37" s="34"/>
      <c r="E37" s="138">
        <f t="shared" ref="E37:P37" si="15">SUM(E36/$D36)</f>
        <v>0</v>
      </c>
      <c r="F37" s="138">
        <f t="shared" si="15"/>
        <v>0</v>
      </c>
      <c r="G37" s="138">
        <f t="shared" si="15"/>
        <v>0</v>
      </c>
      <c r="H37" s="138">
        <f t="shared" si="15"/>
        <v>0</v>
      </c>
      <c r="I37" s="138">
        <f t="shared" si="15"/>
        <v>1</v>
      </c>
      <c r="J37" s="138">
        <f t="shared" si="15"/>
        <v>1</v>
      </c>
      <c r="K37" s="138">
        <f t="shared" si="15"/>
        <v>1</v>
      </c>
      <c r="L37" s="138">
        <f t="shared" si="15"/>
        <v>1</v>
      </c>
      <c r="M37" s="138">
        <f t="shared" si="15"/>
        <v>1</v>
      </c>
      <c r="N37" s="138">
        <f t="shared" si="15"/>
        <v>1</v>
      </c>
      <c r="O37" s="138">
        <f t="shared" si="15"/>
        <v>1</v>
      </c>
      <c r="P37" s="138">
        <f t="shared" si="15"/>
        <v>1</v>
      </c>
      <c r="Q37">
        <f>SUM(E37:P37)/12</f>
        <v>0.66666666666666663</v>
      </c>
    </row>
    <row r="38" spans="1:17">
      <c r="A38" t="str">
        <f>+'1st Year Cr'!A39</f>
        <v>LA-08-00</v>
      </c>
      <c r="B38" s="177">
        <f>+'1st Year Cr'!B39</f>
        <v>250</v>
      </c>
      <c r="C38" s="177">
        <v>5</v>
      </c>
      <c r="D38" s="34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</row>
    <row r="39" spans="1:17">
      <c r="B39" s="177"/>
      <c r="D39" s="34"/>
      <c r="E39" s="138">
        <f t="shared" ref="E39:P39" si="16">SUM(E38/$D38)</f>
        <v>0</v>
      </c>
      <c r="F39" s="138">
        <f t="shared" si="16"/>
        <v>0</v>
      </c>
      <c r="G39" s="138">
        <f t="shared" si="16"/>
        <v>0</v>
      </c>
      <c r="H39" s="138">
        <f t="shared" si="16"/>
        <v>0</v>
      </c>
      <c r="I39" s="138">
        <f t="shared" si="16"/>
        <v>1</v>
      </c>
      <c r="J39" s="138">
        <f t="shared" si="16"/>
        <v>1</v>
      </c>
      <c r="K39" s="138">
        <f t="shared" si="16"/>
        <v>1</v>
      </c>
      <c r="L39" s="138">
        <f t="shared" si="16"/>
        <v>1</v>
      </c>
      <c r="M39" s="138">
        <f t="shared" si="16"/>
        <v>1</v>
      </c>
      <c r="N39" s="138">
        <f t="shared" si="16"/>
        <v>1</v>
      </c>
      <c r="O39" s="138">
        <f t="shared" si="16"/>
        <v>1</v>
      </c>
      <c r="P39" s="138">
        <f t="shared" si="16"/>
        <v>1</v>
      </c>
      <c r="Q39">
        <f>SUM(E39:P39)/12</f>
        <v>0.66666666666666663</v>
      </c>
    </row>
    <row r="40" spans="1:17">
      <c r="A40" t="str">
        <f>+'1st Year Cr'!A41</f>
        <v>LA-08-00</v>
      </c>
      <c r="B40" s="177">
        <f>+'1st Year Cr'!B41</f>
        <v>251</v>
      </c>
      <c r="C40" s="177">
        <v>5</v>
      </c>
      <c r="D40" s="34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</row>
    <row r="41" spans="1:17">
      <c r="B41" s="177"/>
      <c r="D41" s="34"/>
      <c r="E41" s="138">
        <f t="shared" ref="E41:P41" si="17">SUM(E40/$D40)</f>
        <v>0</v>
      </c>
      <c r="F41" s="138">
        <f t="shared" si="17"/>
        <v>0</v>
      </c>
      <c r="G41" s="138">
        <f t="shared" si="17"/>
        <v>0</v>
      </c>
      <c r="H41" s="138">
        <f t="shared" si="17"/>
        <v>0</v>
      </c>
      <c r="I41" s="138">
        <f t="shared" si="17"/>
        <v>0</v>
      </c>
      <c r="J41" s="138">
        <f t="shared" si="17"/>
        <v>1</v>
      </c>
      <c r="K41" s="138">
        <f t="shared" si="17"/>
        <v>1</v>
      </c>
      <c r="L41" s="138">
        <f t="shared" si="17"/>
        <v>1</v>
      </c>
      <c r="M41" s="138">
        <f t="shared" si="17"/>
        <v>1</v>
      </c>
      <c r="N41" s="138">
        <f t="shared" si="17"/>
        <v>1</v>
      </c>
      <c r="O41" s="138">
        <f t="shared" si="17"/>
        <v>1</v>
      </c>
      <c r="P41" s="138">
        <f t="shared" si="17"/>
        <v>1</v>
      </c>
      <c r="Q41">
        <f>SUM(E41:P41)/12</f>
        <v>0.58333333333333337</v>
      </c>
    </row>
    <row r="42" spans="1:17">
      <c r="A42" t="str">
        <f>+'1st Year Cr'!A43</f>
        <v>LA-08-00</v>
      </c>
      <c r="B42" s="177">
        <f>+'1st Year Cr'!B43</f>
        <v>252</v>
      </c>
      <c r="C42" s="177">
        <v>5</v>
      </c>
      <c r="D42" s="34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</row>
    <row r="43" spans="1:17">
      <c r="B43" s="177"/>
      <c r="D43" s="34"/>
      <c r="E43" s="138">
        <f t="shared" ref="E43:P43" si="18">SUM(E42/$D42)</f>
        <v>0</v>
      </c>
      <c r="F43" s="138">
        <f t="shared" si="18"/>
        <v>0</v>
      </c>
      <c r="G43" s="138">
        <f t="shared" si="18"/>
        <v>0</v>
      </c>
      <c r="H43" s="138">
        <f t="shared" si="18"/>
        <v>0</v>
      </c>
      <c r="I43" s="138">
        <f t="shared" si="18"/>
        <v>0</v>
      </c>
      <c r="J43" s="138">
        <f t="shared" si="18"/>
        <v>1</v>
      </c>
      <c r="K43" s="138">
        <f t="shared" si="18"/>
        <v>1</v>
      </c>
      <c r="L43" s="138">
        <f t="shared" si="18"/>
        <v>1</v>
      </c>
      <c r="M43" s="138">
        <f t="shared" si="18"/>
        <v>1</v>
      </c>
      <c r="N43" s="138">
        <f t="shared" si="18"/>
        <v>1</v>
      </c>
      <c r="O43" s="138">
        <f t="shared" si="18"/>
        <v>1</v>
      </c>
      <c r="P43" s="138">
        <f t="shared" si="18"/>
        <v>1</v>
      </c>
      <c r="Q43">
        <f>SUM(E43:P43)/12</f>
        <v>0.58333333333333337</v>
      </c>
    </row>
    <row r="44" spans="1:17">
      <c r="A44" t="str">
        <f>+'1st Year Cr'!A45</f>
        <v>LA-08-00</v>
      </c>
      <c r="B44" s="177">
        <f>+'1st Year Cr'!B45</f>
        <v>253</v>
      </c>
      <c r="C44" s="177">
        <v>5</v>
      </c>
      <c r="D44" s="3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</row>
    <row r="45" spans="1:17">
      <c r="B45" s="177"/>
      <c r="D45" s="34"/>
      <c r="E45" s="138">
        <f t="shared" ref="E45:P45" si="19">SUM(E44/$D44)</f>
        <v>0</v>
      </c>
      <c r="F45" s="138">
        <f t="shared" si="19"/>
        <v>0</v>
      </c>
      <c r="G45" s="138">
        <f t="shared" si="19"/>
        <v>0</v>
      </c>
      <c r="H45" s="138">
        <f t="shared" si="19"/>
        <v>0</v>
      </c>
      <c r="I45" s="138">
        <f t="shared" si="19"/>
        <v>0</v>
      </c>
      <c r="J45" s="138">
        <f t="shared" si="19"/>
        <v>1</v>
      </c>
      <c r="K45" s="138">
        <f t="shared" si="19"/>
        <v>1</v>
      </c>
      <c r="L45" s="138">
        <f t="shared" si="19"/>
        <v>1</v>
      </c>
      <c r="M45" s="138">
        <f t="shared" si="19"/>
        <v>1</v>
      </c>
      <c r="N45" s="138">
        <f t="shared" si="19"/>
        <v>1</v>
      </c>
      <c r="O45" s="138">
        <f t="shared" si="19"/>
        <v>1</v>
      </c>
      <c r="P45" s="138">
        <f t="shared" si="19"/>
        <v>1</v>
      </c>
      <c r="Q45">
        <f>SUM(E45:P45)/12</f>
        <v>0.58333333333333337</v>
      </c>
    </row>
    <row r="46" spans="1:17">
      <c r="A46" t="str">
        <f>+'1st Year Cr'!A47</f>
        <v>LA-08-00</v>
      </c>
      <c r="B46" s="177">
        <f>+'1st Year Cr'!B47</f>
        <v>254</v>
      </c>
      <c r="C46" s="177">
        <v>6</v>
      </c>
      <c r="D46" s="34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</row>
    <row r="47" spans="1:17">
      <c r="B47" s="177"/>
      <c r="D47" s="34"/>
      <c r="E47" s="138">
        <f t="shared" ref="E47:P47" si="20">SUM(E46/$D46)</f>
        <v>0</v>
      </c>
      <c r="F47" s="138">
        <f t="shared" si="20"/>
        <v>0</v>
      </c>
      <c r="G47" s="138">
        <f t="shared" si="20"/>
        <v>0</v>
      </c>
      <c r="H47" s="138">
        <f t="shared" si="20"/>
        <v>0</v>
      </c>
      <c r="I47" s="138">
        <f t="shared" si="20"/>
        <v>1</v>
      </c>
      <c r="J47" s="138">
        <f t="shared" si="20"/>
        <v>1</v>
      </c>
      <c r="K47" s="138">
        <f t="shared" si="20"/>
        <v>1</v>
      </c>
      <c r="L47" s="138">
        <f t="shared" si="20"/>
        <v>1</v>
      </c>
      <c r="M47" s="138">
        <f t="shared" si="20"/>
        <v>1</v>
      </c>
      <c r="N47" s="138">
        <f t="shared" si="20"/>
        <v>1</v>
      </c>
      <c r="O47" s="138">
        <f t="shared" si="20"/>
        <v>1</v>
      </c>
      <c r="P47" s="138">
        <f t="shared" si="20"/>
        <v>1</v>
      </c>
      <c r="Q47">
        <f>SUM(E47:P47)/12</f>
        <v>0.66666666666666663</v>
      </c>
    </row>
    <row r="48" spans="1:17">
      <c r="A48" t="str">
        <f>+'1st Year Cr'!A49</f>
        <v>LA-08-00</v>
      </c>
      <c r="B48" s="177">
        <f>+'1st Year Cr'!B49</f>
        <v>255</v>
      </c>
      <c r="C48" s="177">
        <v>6</v>
      </c>
      <c r="D48" s="34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</row>
    <row r="49" spans="1:17">
      <c r="B49" s="177"/>
      <c r="D49" s="34"/>
      <c r="E49" s="138">
        <f t="shared" ref="E49:P49" si="21">SUM(E48/$D48)</f>
        <v>0</v>
      </c>
      <c r="F49" s="138">
        <f t="shared" si="21"/>
        <v>0</v>
      </c>
      <c r="G49" s="138">
        <f t="shared" si="21"/>
        <v>0</v>
      </c>
      <c r="H49" s="138">
        <f t="shared" si="21"/>
        <v>0</v>
      </c>
      <c r="I49" s="138">
        <f t="shared" si="21"/>
        <v>0</v>
      </c>
      <c r="J49" s="138">
        <f t="shared" si="21"/>
        <v>1</v>
      </c>
      <c r="K49" s="138">
        <f t="shared" si="21"/>
        <v>1</v>
      </c>
      <c r="L49" s="138">
        <f t="shared" si="21"/>
        <v>1</v>
      </c>
      <c r="M49" s="138">
        <f t="shared" si="21"/>
        <v>1</v>
      </c>
      <c r="N49" s="138">
        <f t="shared" si="21"/>
        <v>1</v>
      </c>
      <c r="O49" s="138">
        <f t="shared" si="21"/>
        <v>1</v>
      </c>
      <c r="P49" s="138">
        <f t="shared" si="21"/>
        <v>1</v>
      </c>
      <c r="Q49">
        <f>SUM(E49:P49)/12</f>
        <v>0.58333333333333337</v>
      </c>
    </row>
    <row r="50" spans="1:17">
      <c r="A50" t="str">
        <f>+'1st Year Cr'!A51</f>
        <v>LA-08-00</v>
      </c>
      <c r="B50" s="177">
        <f>+'1st Year Cr'!B51</f>
        <v>256</v>
      </c>
      <c r="C50" s="177">
        <v>6</v>
      </c>
      <c r="D50" s="34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</row>
    <row r="51" spans="1:17">
      <c r="B51" s="177"/>
      <c r="D51" s="34"/>
      <c r="E51" s="138">
        <f t="shared" ref="E51:P51" si="22">SUM(E50/$D50)</f>
        <v>0</v>
      </c>
      <c r="F51" s="138">
        <f t="shared" si="22"/>
        <v>0</v>
      </c>
      <c r="G51" s="138">
        <f t="shared" si="22"/>
        <v>0</v>
      </c>
      <c r="H51" s="138">
        <f t="shared" si="22"/>
        <v>0</v>
      </c>
      <c r="I51" s="138">
        <f t="shared" si="22"/>
        <v>0</v>
      </c>
      <c r="J51" s="138">
        <f t="shared" si="22"/>
        <v>0</v>
      </c>
      <c r="K51" s="138">
        <f t="shared" si="22"/>
        <v>1</v>
      </c>
      <c r="L51" s="138">
        <f t="shared" si="22"/>
        <v>1</v>
      </c>
      <c r="M51" s="138">
        <f t="shared" si="22"/>
        <v>1</v>
      </c>
      <c r="N51" s="138">
        <f t="shared" si="22"/>
        <v>1</v>
      </c>
      <c r="O51" s="138">
        <f t="shared" si="22"/>
        <v>1</v>
      </c>
      <c r="P51" s="138">
        <f t="shared" si="22"/>
        <v>1</v>
      </c>
      <c r="Q51">
        <f>SUM(E51:P51)/12</f>
        <v>0.5</v>
      </c>
    </row>
    <row r="52" spans="1:17">
      <c r="A52" t="str">
        <f>+'1st Year Cr'!A53</f>
        <v>LA-08-00</v>
      </c>
      <c r="B52" s="177">
        <f>+'1st Year Cr'!B53</f>
        <v>257</v>
      </c>
      <c r="C52" s="177">
        <v>6</v>
      </c>
      <c r="D52" s="34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</row>
    <row r="53" spans="1:17">
      <c r="B53" s="177"/>
      <c r="D53" s="34"/>
      <c r="E53" s="138">
        <f t="shared" ref="E53:P53" si="23">SUM(E52/$D52)</f>
        <v>0</v>
      </c>
      <c r="F53" s="138">
        <f t="shared" si="23"/>
        <v>0</v>
      </c>
      <c r="G53" s="138">
        <f t="shared" si="23"/>
        <v>0</v>
      </c>
      <c r="H53" s="138">
        <f t="shared" si="23"/>
        <v>0</v>
      </c>
      <c r="I53" s="138">
        <f t="shared" si="23"/>
        <v>0</v>
      </c>
      <c r="J53" s="138">
        <f t="shared" si="23"/>
        <v>0</v>
      </c>
      <c r="K53" s="138">
        <f t="shared" si="23"/>
        <v>1</v>
      </c>
      <c r="L53" s="138">
        <f t="shared" si="23"/>
        <v>1</v>
      </c>
      <c r="M53" s="138">
        <f t="shared" si="23"/>
        <v>1</v>
      </c>
      <c r="N53" s="138">
        <f t="shared" si="23"/>
        <v>1</v>
      </c>
      <c r="O53" s="138">
        <f t="shared" si="23"/>
        <v>1</v>
      </c>
      <c r="P53" s="138">
        <f t="shared" si="23"/>
        <v>1</v>
      </c>
      <c r="Q53">
        <f>SUM(E53:P53)/12</f>
        <v>0.5</v>
      </c>
    </row>
    <row r="54" spans="1:17">
      <c r="A54" t="str">
        <f>+'1st Year Cr'!A55</f>
        <v>LA-08-00</v>
      </c>
      <c r="B54" s="177">
        <f>+'1st Year Cr'!B55</f>
        <v>258</v>
      </c>
      <c r="C54" s="177">
        <v>6</v>
      </c>
      <c r="D54" s="3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</row>
    <row r="55" spans="1:17">
      <c r="B55" s="177"/>
      <c r="D55" s="34"/>
      <c r="E55" s="138">
        <f t="shared" ref="E55:P55" si="24">SUM(E54/$D54)</f>
        <v>0</v>
      </c>
      <c r="F55" s="138">
        <f t="shared" si="24"/>
        <v>0</v>
      </c>
      <c r="G55" s="138">
        <f t="shared" si="24"/>
        <v>0</v>
      </c>
      <c r="H55" s="138">
        <f t="shared" si="24"/>
        <v>0</v>
      </c>
      <c r="I55" s="138">
        <f t="shared" si="24"/>
        <v>0</v>
      </c>
      <c r="J55" s="138">
        <f t="shared" si="24"/>
        <v>0</v>
      </c>
      <c r="K55" s="138">
        <f t="shared" si="24"/>
        <v>1</v>
      </c>
      <c r="L55" s="138">
        <f t="shared" si="24"/>
        <v>1</v>
      </c>
      <c r="M55" s="138">
        <f t="shared" si="24"/>
        <v>1</v>
      </c>
      <c r="N55" s="138">
        <f t="shared" si="24"/>
        <v>1</v>
      </c>
      <c r="O55" s="138">
        <f t="shared" si="24"/>
        <v>1</v>
      </c>
      <c r="P55" s="138">
        <f t="shared" si="24"/>
        <v>1</v>
      </c>
      <c r="Q55">
        <f>SUM(E55:P55)/12</f>
        <v>0.5</v>
      </c>
    </row>
    <row r="56" spans="1:17">
      <c r="A56" t="str">
        <f>+'1st Year Cr'!A57</f>
        <v>LA-08-00</v>
      </c>
      <c r="B56" s="177">
        <f>+'1st Year Cr'!B57</f>
        <v>259</v>
      </c>
      <c r="C56" s="177">
        <v>6</v>
      </c>
      <c r="D56" s="34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</row>
    <row r="57" spans="1:17">
      <c r="B57" s="177"/>
      <c r="D57" s="34"/>
      <c r="E57" s="138">
        <f t="shared" ref="E57:P57" si="25">SUM(E56/$D56)</f>
        <v>0</v>
      </c>
      <c r="F57" s="138">
        <f t="shared" si="25"/>
        <v>0</v>
      </c>
      <c r="G57" s="138">
        <f t="shared" si="25"/>
        <v>0</v>
      </c>
      <c r="H57" s="138">
        <f t="shared" si="25"/>
        <v>0</v>
      </c>
      <c r="I57" s="138">
        <f t="shared" si="25"/>
        <v>0</v>
      </c>
      <c r="J57" s="138">
        <f t="shared" si="25"/>
        <v>0</v>
      </c>
      <c r="K57" s="138">
        <f t="shared" si="25"/>
        <v>1</v>
      </c>
      <c r="L57" s="138">
        <f t="shared" si="25"/>
        <v>1</v>
      </c>
      <c r="M57" s="138">
        <f t="shared" si="25"/>
        <v>1</v>
      </c>
      <c r="N57" s="138">
        <f t="shared" si="25"/>
        <v>1</v>
      </c>
      <c r="O57" s="138">
        <f t="shared" si="25"/>
        <v>1</v>
      </c>
      <c r="P57" s="138">
        <f t="shared" si="25"/>
        <v>1</v>
      </c>
      <c r="Q57">
        <f>SUM(E57:P57)/12</f>
        <v>0.5</v>
      </c>
    </row>
    <row r="58" spans="1:17">
      <c r="A58" t="str">
        <f>+'1st Year Cr'!A59</f>
        <v>LA-08-00</v>
      </c>
      <c r="B58" s="177">
        <f>+'1st Year Cr'!B59</f>
        <v>260</v>
      </c>
      <c r="C58" s="177">
        <v>6</v>
      </c>
      <c r="D58" s="34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</row>
    <row r="59" spans="1:17">
      <c r="B59" s="177"/>
      <c r="D59" s="34"/>
      <c r="E59" s="138">
        <f t="shared" ref="E59:P59" si="26">SUM(E58/$D58)</f>
        <v>0</v>
      </c>
      <c r="F59" s="138">
        <f t="shared" si="26"/>
        <v>0</v>
      </c>
      <c r="G59" s="138">
        <f t="shared" si="26"/>
        <v>0</v>
      </c>
      <c r="H59" s="138">
        <f t="shared" si="26"/>
        <v>0</v>
      </c>
      <c r="I59" s="138">
        <f t="shared" si="26"/>
        <v>0</v>
      </c>
      <c r="J59" s="138">
        <f t="shared" si="26"/>
        <v>0</v>
      </c>
      <c r="K59" s="138">
        <f t="shared" si="26"/>
        <v>1</v>
      </c>
      <c r="L59" s="138">
        <f t="shared" si="26"/>
        <v>1</v>
      </c>
      <c r="M59" s="138">
        <f t="shared" si="26"/>
        <v>1</v>
      </c>
      <c r="N59" s="138">
        <f t="shared" si="26"/>
        <v>1</v>
      </c>
      <c r="O59" s="138">
        <f t="shared" si="26"/>
        <v>1</v>
      </c>
      <c r="P59" s="138">
        <f t="shared" si="26"/>
        <v>1</v>
      </c>
      <c r="Q59">
        <f>SUM(E59:P59)/12</f>
        <v>0.5</v>
      </c>
    </row>
    <row r="60" spans="1:17">
      <c r="A60" t="str">
        <f>+'1st Year Cr'!A61</f>
        <v>LA-08-00</v>
      </c>
      <c r="B60" s="177">
        <f>+'1st Year Cr'!B61</f>
        <v>261</v>
      </c>
      <c r="C60" s="177">
        <v>6</v>
      </c>
      <c r="D60" s="34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</row>
    <row r="61" spans="1:17">
      <c r="B61" s="177"/>
      <c r="D61" s="34"/>
      <c r="E61" s="138">
        <f t="shared" ref="E61:P61" si="27">SUM(E60/$D60)</f>
        <v>0</v>
      </c>
      <c r="F61" s="138">
        <f t="shared" si="27"/>
        <v>0</v>
      </c>
      <c r="G61" s="138">
        <f t="shared" si="27"/>
        <v>0</v>
      </c>
      <c r="H61" s="138">
        <f t="shared" si="27"/>
        <v>0</v>
      </c>
      <c r="I61" s="138">
        <f t="shared" si="27"/>
        <v>0</v>
      </c>
      <c r="J61" s="138">
        <f t="shared" si="27"/>
        <v>0</v>
      </c>
      <c r="K61" s="138">
        <f t="shared" si="27"/>
        <v>0</v>
      </c>
      <c r="L61" s="138">
        <f t="shared" si="27"/>
        <v>1</v>
      </c>
      <c r="M61" s="138">
        <f t="shared" si="27"/>
        <v>1</v>
      </c>
      <c r="N61" s="138">
        <f t="shared" si="27"/>
        <v>1</v>
      </c>
      <c r="O61" s="138">
        <f t="shared" si="27"/>
        <v>1</v>
      </c>
      <c r="P61" s="138">
        <f t="shared" si="27"/>
        <v>1</v>
      </c>
      <c r="Q61">
        <f>SUM(E61:P61)/12</f>
        <v>0.41666666666666669</v>
      </c>
    </row>
    <row r="62" spans="1:17">
      <c r="A62" t="str">
        <f>+'1st Year Cr'!A63</f>
        <v>LA-08-00</v>
      </c>
      <c r="B62" s="177">
        <f>+'1st Year Cr'!B63</f>
        <v>262</v>
      </c>
      <c r="C62" s="177">
        <v>6</v>
      </c>
      <c r="D62" s="34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1</v>
      </c>
      <c r="O62">
        <v>1</v>
      </c>
      <c r="P62">
        <v>1</v>
      </c>
    </row>
    <row r="63" spans="1:17">
      <c r="B63" s="177"/>
      <c r="D63" s="34"/>
      <c r="E63" s="138">
        <f t="shared" ref="E63:P63" si="28">SUM(E62/$D62)</f>
        <v>0</v>
      </c>
      <c r="F63" s="138">
        <f t="shared" si="28"/>
        <v>0</v>
      </c>
      <c r="G63" s="138">
        <f t="shared" si="28"/>
        <v>0</v>
      </c>
      <c r="H63" s="138">
        <f t="shared" si="28"/>
        <v>0</v>
      </c>
      <c r="I63" s="138">
        <f t="shared" si="28"/>
        <v>0</v>
      </c>
      <c r="J63" s="138">
        <f t="shared" si="28"/>
        <v>0</v>
      </c>
      <c r="K63" s="138">
        <f t="shared" si="28"/>
        <v>0</v>
      </c>
      <c r="L63" s="138">
        <f t="shared" si="28"/>
        <v>1</v>
      </c>
      <c r="M63" s="138">
        <f t="shared" si="28"/>
        <v>1</v>
      </c>
      <c r="N63" s="138">
        <f t="shared" si="28"/>
        <v>1</v>
      </c>
      <c r="O63" s="138">
        <f t="shared" si="28"/>
        <v>1</v>
      </c>
      <c r="P63" s="138">
        <f t="shared" si="28"/>
        <v>1</v>
      </c>
      <c r="Q63">
        <f>SUM(E63:P63)/12</f>
        <v>0.41666666666666669</v>
      </c>
    </row>
    <row r="64" spans="1:17">
      <c r="A64" t="str">
        <f>+'1st Year Cr'!A65</f>
        <v>LA-08-00</v>
      </c>
      <c r="B64" s="177">
        <f>+'1st Year Cr'!B65</f>
        <v>263</v>
      </c>
      <c r="C64" s="177">
        <v>6</v>
      </c>
      <c r="D64" s="3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1</v>
      </c>
      <c r="P64">
        <v>1</v>
      </c>
    </row>
    <row r="65" spans="1:17">
      <c r="B65" s="177"/>
      <c r="D65" s="34"/>
      <c r="E65" s="138">
        <f t="shared" ref="E65:P65" si="29">SUM(E64/$D64)</f>
        <v>0</v>
      </c>
      <c r="F65" s="138">
        <f t="shared" si="29"/>
        <v>0</v>
      </c>
      <c r="G65" s="138">
        <f t="shared" si="29"/>
        <v>0</v>
      </c>
      <c r="H65" s="138">
        <f t="shared" si="29"/>
        <v>0</v>
      </c>
      <c r="I65" s="138">
        <f t="shared" si="29"/>
        <v>0</v>
      </c>
      <c r="J65" s="138">
        <f t="shared" si="29"/>
        <v>0</v>
      </c>
      <c r="K65" s="138">
        <f t="shared" si="29"/>
        <v>0</v>
      </c>
      <c r="L65" s="138">
        <f t="shared" si="29"/>
        <v>1</v>
      </c>
      <c r="M65" s="138">
        <f t="shared" si="29"/>
        <v>1</v>
      </c>
      <c r="N65" s="138">
        <f t="shared" si="29"/>
        <v>1</v>
      </c>
      <c r="O65" s="138">
        <f t="shared" si="29"/>
        <v>1</v>
      </c>
      <c r="P65" s="138">
        <f t="shared" si="29"/>
        <v>1</v>
      </c>
      <c r="Q65">
        <f>SUM(E65:P65)/12</f>
        <v>0.41666666666666669</v>
      </c>
    </row>
    <row r="66" spans="1:17">
      <c r="A66" t="str">
        <f>+'1st Year Cr'!A67</f>
        <v>LA-08-00</v>
      </c>
      <c r="B66" s="177">
        <f>+'1st Year Cr'!B67</f>
        <v>264</v>
      </c>
      <c r="C66" s="177">
        <v>6</v>
      </c>
      <c r="D66" s="34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1</v>
      </c>
      <c r="O66">
        <v>1</v>
      </c>
      <c r="P66">
        <v>1</v>
      </c>
    </row>
    <row r="67" spans="1:17">
      <c r="B67" s="177"/>
      <c r="D67" s="34"/>
      <c r="E67" s="138">
        <f t="shared" ref="E67:P67" si="30">SUM(E66/$D66)</f>
        <v>0</v>
      </c>
      <c r="F67" s="138">
        <f t="shared" si="30"/>
        <v>0</v>
      </c>
      <c r="G67" s="138">
        <f t="shared" si="30"/>
        <v>0</v>
      </c>
      <c r="H67" s="138">
        <f t="shared" si="30"/>
        <v>0</v>
      </c>
      <c r="I67" s="138">
        <f t="shared" si="30"/>
        <v>0</v>
      </c>
      <c r="J67" s="138">
        <f t="shared" si="30"/>
        <v>0</v>
      </c>
      <c r="K67" s="138">
        <f t="shared" si="30"/>
        <v>0</v>
      </c>
      <c r="L67" s="138">
        <f t="shared" si="30"/>
        <v>1</v>
      </c>
      <c r="M67" s="138">
        <f t="shared" si="30"/>
        <v>1</v>
      </c>
      <c r="N67" s="138">
        <f t="shared" si="30"/>
        <v>1</v>
      </c>
      <c r="O67" s="138">
        <f t="shared" si="30"/>
        <v>1</v>
      </c>
      <c r="P67" s="138">
        <f t="shared" si="30"/>
        <v>1</v>
      </c>
      <c r="Q67">
        <f>SUM(E67:P67)/12</f>
        <v>0.41666666666666669</v>
      </c>
    </row>
    <row r="68" spans="1:17">
      <c r="A68" t="str">
        <f>+'1st Year Cr'!A69</f>
        <v>LA-08-00</v>
      </c>
      <c r="B68" s="177">
        <f>+'1st Year Cr'!B69</f>
        <v>265</v>
      </c>
      <c r="C68" s="177">
        <v>6</v>
      </c>
      <c r="D68" s="34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1</v>
      </c>
      <c r="N68">
        <v>1</v>
      </c>
      <c r="O68">
        <v>1</v>
      </c>
      <c r="P68">
        <v>1</v>
      </c>
    </row>
    <row r="69" spans="1:17">
      <c r="B69" s="177"/>
      <c r="D69" s="34"/>
      <c r="E69" s="138">
        <f t="shared" ref="E69:P69" si="31">SUM(E68/$D68)</f>
        <v>0</v>
      </c>
      <c r="F69" s="138">
        <f t="shared" si="31"/>
        <v>0</v>
      </c>
      <c r="G69" s="138">
        <f t="shared" si="31"/>
        <v>0</v>
      </c>
      <c r="H69" s="138">
        <f t="shared" si="31"/>
        <v>0</v>
      </c>
      <c r="I69" s="138">
        <f t="shared" si="31"/>
        <v>0</v>
      </c>
      <c r="J69" s="138">
        <f t="shared" si="31"/>
        <v>0</v>
      </c>
      <c r="K69" s="138">
        <f t="shared" si="31"/>
        <v>0</v>
      </c>
      <c r="L69" s="138">
        <f t="shared" si="31"/>
        <v>1</v>
      </c>
      <c r="M69" s="138">
        <f t="shared" si="31"/>
        <v>1</v>
      </c>
      <c r="N69" s="138">
        <f t="shared" si="31"/>
        <v>1</v>
      </c>
      <c r="O69" s="138">
        <f t="shared" si="31"/>
        <v>1</v>
      </c>
      <c r="P69" s="138">
        <f t="shared" si="31"/>
        <v>1</v>
      </c>
      <c r="Q69">
        <f>SUM(E69:P69)/12</f>
        <v>0.41666666666666669</v>
      </c>
    </row>
    <row r="70" spans="1:17">
      <c r="A70" t="str">
        <f>+'1st Year Cr'!A71</f>
        <v>LA-08-00</v>
      </c>
      <c r="B70" s="177">
        <f>+'1st Year Cr'!B71</f>
        <v>266</v>
      </c>
      <c r="C70" s="177">
        <v>6</v>
      </c>
      <c r="D70" s="34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  <c r="O70">
        <v>1</v>
      </c>
      <c r="P70">
        <v>1</v>
      </c>
    </row>
    <row r="71" spans="1:17">
      <c r="B71" s="177"/>
      <c r="D71" s="34"/>
      <c r="E71" s="138">
        <f t="shared" ref="E71:P71" si="32">SUM(E70/$D70)</f>
        <v>0</v>
      </c>
      <c r="F71" s="138">
        <f t="shared" si="32"/>
        <v>0</v>
      </c>
      <c r="G71" s="138">
        <f t="shared" si="32"/>
        <v>0</v>
      </c>
      <c r="H71" s="138">
        <f t="shared" si="32"/>
        <v>0</v>
      </c>
      <c r="I71" s="138">
        <f t="shared" si="32"/>
        <v>0</v>
      </c>
      <c r="J71" s="138">
        <f t="shared" si="32"/>
        <v>0</v>
      </c>
      <c r="K71" s="138">
        <f t="shared" si="32"/>
        <v>0</v>
      </c>
      <c r="L71" s="138">
        <f t="shared" si="32"/>
        <v>0</v>
      </c>
      <c r="M71" s="138">
        <f t="shared" si="32"/>
        <v>1</v>
      </c>
      <c r="N71" s="138">
        <f t="shared" si="32"/>
        <v>1</v>
      </c>
      <c r="O71" s="138">
        <f t="shared" si="32"/>
        <v>1</v>
      </c>
      <c r="P71" s="138">
        <f t="shared" si="32"/>
        <v>1</v>
      </c>
      <c r="Q71">
        <f>SUM(E71:P71)/12</f>
        <v>0.33333333333333331</v>
      </c>
    </row>
    <row r="72" spans="1:17">
      <c r="A72" t="str">
        <f>+'1st Year Cr'!A73</f>
        <v>LA-08-00</v>
      </c>
      <c r="B72" s="177">
        <f>+'1st Year Cr'!B73</f>
        <v>267</v>
      </c>
      <c r="C72" s="177">
        <v>6</v>
      </c>
      <c r="D72" s="34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1</v>
      </c>
      <c r="P72">
        <v>1</v>
      </c>
    </row>
    <row r="73" spans="1:17">
      <c r="B73" s="177"/>
      <c r="D73" s="34"/>
      <c r="E73" s="138">
        <f t="shared" ref="E73:P73" si="33">SUM(E72/$D72)</f>
        <v>0</v>
      </c>
      <c r="F73" s="138">
        <f t="shared" si="33"/>
        <v>0</v>
      </c>
      <c r="G73" s="138">
        <f t="shared" si="33"/>
        <v>0</v>
      </c>
      <c r="H73" s="138">
        <f t="shared" si="33"/>
        <v>0</v>
      </c>
      <c r="I73" s="138">
        <f t="shared" si="33"/>
        <v>0</v>
      </c>
      <c r="J73" s="138">
        <f t="shared" si="33"/>
        <v>0</v>
      </c>
      <c r="K73" s="138">
        <f t="shared" si="33"/>
        <v>0</v>
      </c>
      <c r="L73" s="138">
        <f t="shared" si="33"/>
        <v>0</v>
      </c>
      <c r="M73" s="138">
        <f t="shared" si="33"/>
        <v>1</v>
      </c>
      <c r="N73" s="138">
        <f t="shared" si="33"/>
        <v>1</v>
      </c>
      <c r="O73" s="138">
        <f t="shared" si="33"/>
        <v>1</v>
      </c>
      <c r="P73" s="138">
        <f t="shared" si="33"/>
        <v>1</v>
      </c>
      <c r="Q73">
        <f>SUM(E73:P73)/12</f>
        <v>0.33333333333333331</v>
      </c>
    </row>
    <row r="74" spans="1:17">
      <c r="A74" t="str">
        <f>+'1st Year Cr'!A75</f>
        <v>LA-08-00</v>
      </c>
      <c r="B74" s="177">
        <f>+'1st Year Cr'!B75</f>
        <v>268</v>
      </c>
      <c r="C74" s="177">
        <v>6</v>
      </c>
      <c r="D74" s="3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>
        <v>1</v>
      </c>
      <c r="P74">
        <v>1</v>
      </c>
    </row>
    <row r="75" spans="1:17">
      <c r="B75" s="177"/>
      <c r="D75" s="34"/>
      <c r="E75" s="138">
        <f t="shared" ref="E75:P75" si="34">SUM(E74/$D74)</f>
        <v>0</v>
      </c>
      <c r="F75" s="138">
        <f t="shared" si="34"/>
        <v>0</v>
      </c>
      <c r="G75" s="138">
        <f t="shared" si="34"/>
        <v>0</v>
      </c>
      <c r="H75" s="138">
        <f t="shared" si="34"/>
        <v>0</v>
      </c>
      <c r="I75" s="138">
        <f t="shared" si="34"/>
        <v>0</v>
      </c>
      <c r="J75" s="138">
        <f t="shared" si="34"/>
        <v>0</v>
      </c>
      <c r="K75" s="138">
        <f t="shared" si="34"/>
        <v>0</v>
      </c>
      <c r="L75" s="138">
        <f t="shared" si="34"/>
        <v>0</v>
      </c>
      <c r="M75" s="138">
        <f t="shared" si="34"/>
        <v>1</v>
      </c>
      <c r="N75" s="138">
        <f t="shared" si="34"/>
        <v>1</v>
      </c>
      <c r="O75" s="138">
        <f t="shared" si="34"/>
        <v>1</v>
      </c>
      <c r="P75" s="138">
        <f t="shared" si="34"/>
        <v>1</v>
      </c>
      <c r="Q75">
        <f>SUM(E75:P75)/12</f>
        <v>0.33333333333333331</v>
      </c>
    </row>
    <row r="76" spans="1:17"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</row>
    <row r="78" spans="1:17">
      <c r="E78">
        <f t="shared" ref="E78:P78" si="35">SUM(E6+E8+E10+E12+E14+E16+E18+E20+E22+E24+E26+E28+E30+E32+E34+E36+E38+E40+E42+E44+E46+E48+E50+E52+E54+E56+E58+E60+E62+E64+E66+E68+E70+E72)</f>
        <v>0</v>
      </c>
      <c r="F78">
        <f t="shared" si="35"/>
        <v>0</v>
      </c>
      <c r="G78">
        <f t="shared" si="35"/>
        <v>6</v>
      </c>
      <c r="H78">
        <f t="shared" si="35"/>
        <v>12</v>
      </c>
      <c r="I78">
        <f t="shared" si="35"/>
        <v>17</v>
      </c>
      <c r="J78">
        <f t="shared" si="35"/>
        <v>22</v>
      </c>
      <c r="K78">
        <f t="shared" si="35"/>
        <v>27</v>
      </c>
      <c r="L78">
        <f t="shared" si="35"/>
        <v>32</v>
      </c>
      <c r="M78">
        <f t="shared" si="35"/>
        <v>34</v>
      </c>
      <c r="N78">
        <f t="shared" si="35"/>
        <v>34</v>
      </c>
      <c r="O78">
        <f t="shared" si="35"/>
        <v>34</v>
      </c>
      <c r="P78">
        <f t="shared" si="35"/>
        <v>34</v>
      </c>
    </row>
    <row r="79" spans="1:17">
      <c r="A79" t="s">
        <v>492</v>
      </c>
      <c r="E79">
        <f>SUM(E78-D78)</f>
        <v>0</v>
      </c>
      <c r="F79">
        <f t="shared" ref="F79:P79" si="36">SUM(F78-E78)</f>
        <v>0</v>
      </c>
      <c r="G79">
        <f t="shared" si="36"/>
        <v>6</v>
      </c>
      <c r="H79">
        <f t="shared" si="36"/>
        <v>6</v>
      </c>
      <c r="I79">
        <f t="shared" si="36"/>
        <v>5</v>
      </c>
      <c r="J79">
        <f t="shared" si="36"/>
        <v>5</v>
      </c>
      <c r="K79">
        <f t="shared" si="36"/>
        <v>5</v>
      </c>
      <c r="L79">
        <f t="shared" si="36"/>
        <v>5</v>
      </c>
      <c r="M79">
        <f t="shared" si="36"/>
        <v>2</v>
      </c>
      <c r="N79">
        <f t="shared" si="36"/>
        <v>0</v>
      </c>
      <c r="O79">
        <f t="shared" si="36"/>
        <v>0</v>
      </c>
      <c r="P79">
        <f t="shared" si="36"/>
        <v>0</v>
      </c>
    </row>
  </sheetData>
  <phoneticPr fontId="20" type="noConversion"/>
  <pageMargins left="0.75" right="0.75" top="1" bottom="1" header="0.5" footer="0.5"/>
  <pageSetup scale="48" orientation="landscape" horizontalDpi="1200" verticalDpi="1200" r:id="rId1"/>
  <headerFooter alignWithMargins="0">
    <oddFooter>&amp;C&amp;D &amp;T
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pageSetUpPr fitToPage="1"/>
  </sheetPr>
  <dimension ref="A1:S162"/>
  <sheetViews>
    <sheetView workbookViewId="0"/>
  </sheetViews>
  <sheetFormatPr defaultColWidth="8.85546875" defaultRowHeight="12.75"/>
  <cols>
    <col min="3" max="3" width="9.42578125" bestFit="1" customWidth="1"/>
    <col min="4" max="6" width="11" customWidth="1"/>
    <col min="16" max="19" width="10.7109375" customWidth="1"/>
  </cols>
  <sheetData>
    <row r="1" spans="1:19">
      <c r="A1" s="1" t="str">
        <f>+'Sources &amp; Uses'!A1</f>
        <v>Lamar Building</v>
      </c>
    </row>
    <row r="2" spans="1:19">
      <c r="A2" t="s">
        <v>493</v>
      </c>
      <c r="C2">
        <v>2007</v>
      </c>
    </row>
    <row r="3" spans="1:19">
      <c r="P3" s="34" t="s">
        <v>511</v>
      </c>
      <c r="Q3" s="34" t="s">
        <v>512</v>
      </c>
      <c r="R3" s="34" t="s">
        <v>515</v>
      </c>
      <c r="S3" s="34" t="s">
        <v>517</v>
      </c>
    </row>
    <row r="4" spans="1:19">
      <c r="D4" t="s">
        <v>494</v>
      </c>
      <c r="H4" t="s">
        <v>495</v>
      </c>
      <c r="P4" s="34" t="s">
        <v>509</v>
      </c>
      <c r="Q4" s="34" t="s">
        <v>513</v>
      </c>
      <c r="R4" s="34" t="s">
        <v>509</v>
      </c>
      <c r="S4" s="34" t="s">
        <v>509</v>
      </c>
    </row>
    <row r="5" spans="1:19">
      <c r="A5" s="25" t="s">
        <v>496</v>
      </c>
      <c r="B5" s="25"/>
      <c r="C5" s="25"/>
      <c r="D5" s="25" t="s">
        <v>497</v>
      </c>
      <c r="E5" s="25"/>
      <c r="F5" s="25" t="s">
        <v>498</v>
      </c>
      <c r="G5" s="25"/>
      <c r="H5" s="25" t="s">
        <v>213</v>
      </c>
      <c r="I5" s="25"/>
      <c r="J5" s="178" t="s">
        <v>499</v>
      </c>
      <c r="K5" s="25"/>
      <c r="L5" s="25" t="s">
        <v>500</v>
      </c>
      <c r="M5" s="25"/>
      <c r="N5" s="25" t="s">
        <v>501</v>
      </c>
      <c r="O5" s="25"/>
      <c r="P5" s="35" t="s">
        <v>510</v>
      </c>
      <c r="Q5" s="35" t="s">
        <v>514</v>
      </c>
      <c r="R5" s="35" t="s">
        <v>516</v>
      </c>
      <c r="S5" s="35" t="s">
        <v>518</v>
      </c>
    </row>
    <row r="7" spans="1:19">
      <c r="A7" t="s">
        <v>553</v>
      </c>
      <c r="B7" s="177">
        <v>234</v>
      </c>
      <c r="D7" s="179">
        <f>IF(F89&lt;=E89,F89,E89)</f>
        <v>297454.09268653288</v>
      </c>
      <c r="F7" s="180">
        <v>1</v>
      </c>
      <c r="H7" s="179">
        <f>+D7</f>
        <v>297454.09268653288</v>
      </c>
      <c r="J7">
        <f>+QOC!Q7</f>
        <v>0.83333333333333337</v>
      </c>
      <c r="L7" s="179">
        <f>SUM(H7*J7)</f>
        <v>247878.41057211073</v>
      </c>
      <c r="N7" s="181">
        <f>+'CR Calculation'!H22</f>
        <v>0.04</v>
      </c>
      <c r="P7" s="179">
        <f>SUM(L7*N7)</f>
        <v>9915.1364228844304</v>
      </c>
      <c r="Q7" s="87">
        <f>IF(P7&gt;0,H7*N7,'2nd Yr. Credit'!P7)</f>
        <v>11898.163707461315</v>
      </c>
      <c r="R7" s="87">
        <f>IF(P7&gt;0,(H7*N7)-P7,H7*N7)</f>
        <v>1983.027284576885</v>
      </c>
      <c r="S7">
        <f>IF(P7=0,(H7*N7)-'2nd Yr. Credit'!P7,0)</f>
        <v>0</v>
      </c>
    </row>
    <row r="8" spans="1:19">
      <c r="D8" s="179">
        <f t="shared" ref="D8:D71" si="0">IF(F90&lt;=E90,F90,E90)</f>
        <v>0</v>
      </c>
      <c r="H8" s="179"/>
      <c r="L8" s="179"/>
      <c r="P8" s="179"/>
    </row>
    <row r="9" spans="1:19">
      <c r="A9" t="s">
        <v>553</v>
      </c>
      <c r="B9" s="177">
        <f>+B7+1</f>
        <v>235</v>
      </c>
      <c r="D9" s="179">
        <f t="shared" si="0"/>
        <v>297454.09268653288</v>
      </c>
      <c r="F9" s="180">
        <v>1</v>
      </c>
      <c r="H9" s="179">
        <f>+D9</f>
        <v>297454.09268653288</v>
      </c>
      <c r="J9">
        <f>+QOC!Q9</f>
        <v>0.75</v>
      </c>
      <c r="L9" s="179">
        <f>SUM(H9*J9)</f>
        <v>223090.56951489966</v>
      </c>
      <c r="N9" s="181">
        <f>+N7</f>
        <v>0.04</v>
      </c>
      <c r="P9" s="179">
        <f>SUM(L9*N9)</f>
        <v>8923.6227805959861</v>
      </c>
      <c r="Q9" s="87">
        <f>IF(P9&gt;0,H9*N9,'2nd Yr. Credit'!P9)</f>
        <v>11898.163707461315</v>
      </c>
      <c r="R9" s="87">
        <f>IF(P9&gt;0,(H9*N9)-P9,H9*N9)</f>
        <v>2974.5409268653293</v>
      </c>
      <c r="S9">
        <f>IF(P9=0,(H9*N9)-'2nd Yr. Credit'!P9,0)</f>
        <v>0</v>
      </c>
    </row>
    <row r="10" spans="1:19">
      <c r="D10" s="179">
        <f t="shared" si="0"/>
        <v>0</v>
      </c>
      <c r="H10" s="179"/>
      <c r="L10" s="179"/>
      <c r="P10" s="179"/>
    </row>
    <row r="11" spans="1:19">
      <c r="A11" t="s">
        <v>553</v>
      </c>
      <c r="B11" s="177">
        <f>+B9+1</f>
        <v>236</v>
      </c>
      <c r="D11" s="179">
        <f t="shared" si="0"/>
        <v>297454.09268653288</v>
      </c>
      <c r="F11" s="180">
        <v>1</v>
      </c>
      <c r="H11" s="179">
        <f>+D11</f>
        <v>297454.09268653288</v>
      </c>
      <c r="J11">
        <f>+QOC!Q11</f>
        <v>0.83333333333333337</v>
      </c>
      <c r="L11" s="179">
        <f>SUM(H11*J11)</f>
        <v>247878.41057211073</v>
      </c>
      <c r="N11" s="181">
        <f>+N9</f>
        <v>0.04</v>
      </c>
      <c r="P11" s="179">
        <f>SUM(L11*N11)</f>
        <v>9915.1364228844304</v>
      </c>
      <c r="Q11" s="87">
        <f>IF(P11&gt;0,H11*N11,'2nd Yr. Credit'!P11)</f>
        <v>11898.163707461315</v>
      </c>
      <c r="R11" s="87">
        <f>IF(P11&gt;0,(H11*N11)-P11,H11*N11)</f>
        <v>1983.027284576885</v>
      </c>
      <c r="S11">
        <f>IF(P11=0,(H11*N11)-'2nd Yr. Credit'!P11,0)</f>
        <v>0</v>
      </c>
    </row>
    <row r="12" spans="1:19">
      <c r="D12" s="179">
        <f t="shared" si="0"/>
        <v>0</v>
      </c>
      <c r="H12" s="179"/>
      <c r="L12" s="179"/>
      <c r="P12" s="179"/>
    </row>
    <row r="13" spans="1:19">
      <c r="A13" t="s">
        <v>553</v>
      </c>
      <c r="B13" s="177">
        <f>+B11+1</f>
        <v>237</v>
      </c>
      <c r="D13" s="179">
        <f t="shared" si="0"/>
        <v>297454.09268653288</v>
      </c>
      <c r="F13" s="180">
        <v>1</v>
      </c>
      <c r="H13" s="179">
        <f>+D13</f>
        <v>297454.09268653288</v>
      </c>
      <c r="J13">
        <f>+QOC!Q13</f>
        <v>0.83333333333333337</v>
      </c>
      <c r="L13" s="179">
        <f>SUM(H13*J13)</f>
        <v>247878.41057211073</v>
      </c>
      <c r="N13" s="181">
        <f>+N11</f>
        <v>0.04</v>
      </c>
      <c r="P13" s="179">
        <f>SUM(L13*N13)</f>
        <v>9915.1364228844304</v>
      </c>
      <c r="Q13" s="87">
        <f>IF(P13&gt;0,H13*N13,'2nd Yr. Credit'!P13)</f>
        <v>11898.163707461315</v>
      </c>
      <c r="R13" s="87">
        <f>IF(P13&gt;0,(H13*N13)-P13,H13*N13)</f>
        <v>1983.027284576885</v>
      </c>
      <c r="S13">
        <f>IF(P13=0,(H13*N13)-'2nd Yr. Credit'!P13,0)</f>
        <v>0</v>
      </c>
    </row>
    <row r="14" spans="1:19">
      <c r="D14" s="179">
        <f t="shared" si="0"/>
        <v>0</v>
      </c>
      <c r="H14" s="179"/>
      <c r="L14" s="179"/>
      <c r="P14" s="179"/>
    </row>
    <row r="15" spans="1:19">
      <c r="A15" t="s">
        <v>553</v>
      </c>
      <c r="B15" s="177">
        <f>+B13+1</f>
        <v>238</v>
      </c>
      <c r="D15" s="179">
        <f t="shared" si="0"/>
        <v>297454.09268653288</v>
      </c>
      <c r="F15" s="180">
        <v>1</v>
      </c>
      <c r="H15" s="179">
        <f>+D15</f>
        <v>297454.09268653288</v>
      </c>
      <c r="J15">
        <f>+QOC!Q15</f>
        <v>0.83333333333333337</v>
      </c>
      <c r="L15" s="179">
        <f>SUM(H15*J15)</f>
        <v>247878.41057211073</v>
      </c>
      <c r="N15" s="181">
        <f>+N13</f>
        <v>0.04</v>
      </c>
      <c r="P15" s="179">
        <f>SUM(L15*N15)</f>
        <v>9915.1364228844304</v>
      </c>
      <c r="Q15" s="87">
        <f>IF(P15&gt;0,H15*N15,'2nd Yr. Credit'!P15)</f>
        <v>11898.163707461315</v>
      </c>
      <c r="R15" s="87">
        <f>IF(P15&gt;0,(H15*N15)-P15,H15*N15)</f>
        <v>1983.027284576885</v>
      </c>
      <c r="S15">
        <f>IF(P15=0,(H15*N15)-'2nd Yr. Credit'!P15,0)</f>
        <v>0</v>
      </c>
    </row>
    <row r="16" spans="1:19">
      <c r="D16" s="179">
        <f t="shared" si="0"/>
        <v>0</v>
      </c>
      <c r="H16" s="179"/>
      <c r="L16" s="179"/>
      <c r="P16" s="179"/>
    </row>
    <row r="17" spans="1:19">
      <c r="A17" t="s">
        <v>553</v>
      </c>
      <c r="B17" s="177">
        <f>+B15+1</f>
        <v>239</v>
      </c>
      <c r="D17" s="179">
        <f t="shared" si="0"/>
        <v>297454.09268653288</v>
      </c>
      <c r="F17" s="180">
        <v>1</v>
      </c>
      <c r="H17" s="179">
        <f>+D17</f>
        <v>297454.09268653288</v>
      </c>
      <c r="J17">
        <f>+QOC!Q17</f>
        <v>0.83333333333333337</v>
      </c>
      <c r="L17" s="179">
        <f>SUM(H17*J17)</f>
        <v>247878.41057211073</v>
      </c>
      <c r="N17" s="181">
        <f>+N15</f>
        <v>0.04</v>
      </c>
      <c r="P17" s="179">
        <f>SUM(L17*N17)</f>
        <v>9915.1364228844304</v>
      </c>
      <c r="Q17" s="87">
        <f>IF(P17&gt;0,H17*N17,'2nd Yr. Credit'!P17)</f>
        <v>11898.163707461315</v>
      </c>
      <c r="R17" s="87">
        <f>IF(P17&gt;0,(H17*N17)-P17,H17*N17)</f>
        <v>1983.027284576885</v>
      </c>
      <c r="S17">
        <f>IF(P17=0,(H17*N17)-'2nd Yr. Credit'!P17,0)</f>
        <v>0</v>
      </c>
    </row>
    <row r="18" spans="1:19">
      <c r="D18" s="179">
        <f t="shared" si="0"/>
        <v>0</v>
      </c>
      <c r="H18" s="179"/>
      <c r="L18" s="179"/>
      <c r="P18" s="179"/>
    </row>
    <row r="19" spans="1:19">
      <c r="A19" t="s">
        <v>553</v>
      </c>
      <c r="B19" s="177">
        <f>+B17+1</f>
        <v>240</v>
      </c>
      <c r="D19" s="179">
        <f t="shared" si="0"/>
        <v>297454.09268653288</v>
      </c>
      <c r="F19" s="180">
        <v>1</v>
      </c>
      <c r="H19" s="179">
        <f>+D19</f>
        <v>297454.09268653288</v>
      </c>
      <c r="J19">
        <f>+QOC!Q19</f>
        <v>0.75</v>
      </c>
      <c r="L19" s="179">
        <f>SUM(H19*J19)</f>
        <v>223090.56951489966</v>
      </c>
      <c r="N19" s="181">
        <f>+N17</f>
        <v>0.04</v>
      </c>
      <c r="P19" s="179">
        <f>SUM(L19*N19)</f>
        <v>8923.6227805959861</v>
      </c>
      <c r="Q19" s="87">
        <f>IF(P19&gt;0,H19*N19,'2nd Yr. Credit'!P19)</f>
        <v>11898.163707461315</v>
      </c>
      <c r="R19" s="87">
        <f>IF(P19&gt;0,(H19*N19)-P19,H19*N19)</f>
        <v>2974.5409268653293</v>
      </c>
      <c r="S19">
        <f>IF(P19=0,(H19*N19)-'2nd Yr. Credit'!P19,0)</f>
        <v>0</v>
      </c>
    </row>
    <row r="20" spans="1:19">
      <c r="D20" s="179">
        <f t="shared" si="0"/>
        <v>0</v>
      </c>
      <c r="H20" s="179"/>
      <c r="L20" s="179"/>
      <c r="P20" s="179"/>
    </row>
    <row r="21" spans="1:19">
      <c r="A21" t="s">
        <v>553</v>
      </c>
      <c r="B21" s="177">
        <f>+B19+1</f>
        <v>241</v>
      </c>
      <c r="D21" s="179">
        <f t="shared" si="0"/>
        <v>297454.09268653288</v>
      </c>
      <c r="F21" s="180">
        <v>1</v>
      </c>
      <c r="H21" s="179">
        <f>+D21</f>
        <v>297454.09268653288</v>
      </c>
      <c r="J21">
        <f>+QOC!Q21</f>
        <v>0.75</v>
      </c>
      <c r="L21" s="179">
        <f>SUM(H21*J21)</f>
        <v>223090.56951489966</v>
      </c>
      <c r="N21" s="181">
        <f>+N19</f>
        <v>0.04</v>
      </c>
      <c r="P21" s="179">
        <f>SUM(L21*N21)</f>
        <v>8923.6227805959861</v>
      </c>
      <c r="Q21" s="87">
        <f>IF(P21&gt;0,H21*N21,'2nd Yr. Credit'!P21)</f>
        <v>11898.163707461315</v>
      </c>
      <c r="R21" s="87">
        <f>IF(P21&gt;0,(H21*N21)-P21,H21*N21)</f>
        <v>2974.5409268653293</v>
      </c>
      <c r="S21">
        <f>IF(P21=0,(H21*N21)-'2nd Yr. Credit'!P21,0)</f>
        <v>0</v>
      </c>
    </row>
    <row r="22" spans="1:19">
      <c r="D22" s="179">
        <f t="shared" si="0"/>
        <v>0</v>
      </c>
      <c r="H22" s="179"/>
      <c r="L22" s="179"/>
      <c r="P22" s="179"/>
    </row>
    <row r="23" spans="1:19">
      <c r="A23" t="s">
        <v>553</v>
      </c>
      <c r="B23" s="177">
        <f>+B21+1</f>
        <v>242</v>
      </c>
      <c r="D23" s="179">
        <f t="shared" si="0"/>
        <v>297454.09268653288</v>
      </c>
      <c r="F23" s="180">
        <v>1</v>
      </c>
      <c r="H23" s="179">
        <f>+D23</f>
        <v>297454.09268653288</v>
      </c>
      <c r="J23">
        <f>+QOC!Q23</f>
        <v>0.75</v>
      </c>
      <c r="L23" s="179">
        <f>SUM(H23*J23)</f>
        <v>223090.56951489966</v>
      </c>
      <c r="N23" s="181">
        <f>+N21</f>
        <v>0.04</v>
      </c>
      <c r="P23" s="179">
        <f>SUM(L23*N23)</f>
        <v>8923.6227805959861</v>
      </c>
      <c r="Q23" s="87">
        <f>IF(P23&gt;0,H23*N23,'2nd Yr. Credit'!P23)</f>
        <v>11898.163707461315</v>
      </c>
      <c r="R23" s="87">
        <f>IF(P23&gt;0,(H23*N23)-P23,H23*N23)</f>
        <v>2974.5409268653293</v>
      </c>
      <c r="S23">
        <f>IF(P23=0,(H23*N23)-'2nd Yr. Credit'!P23,0)</f>
        <v>0</v>
      </c>
    </row>
    <row r="24" spans="1:19">
      <c r="D24" s="179">
        <f t="shared" si="0"/>
        <v>0</v>
      </c>
      <c r="H24" s="179"/>
      <c r="L24" s="179"/>
      <c r="P24" s="179"/>
    </row>
    <row r="25" spans="1:19">
      <c r="A25" t="s">
        <v>553</v>
      </c>
      <c r="B25" s="177">
        <f>+B23+1</f>
        <v>243</v>
      </c>
      <c r="D25" s="179">
        <f t="shared" si="0"/>
        <v>322242.25127303234</v>
      </c>
      <c r="F25" s="33">
        <v>1</v>
      </c>
      <c r="H25" s="179">
        <f>+D25</f>
        <v>322242.25127303234</v>
      </c>
      <c r="J25">
        <f>+QOC!Q25</f>
        <v>0.75</v>
      </c>
      <c r="L25" s="179">
        <f>SUM(H25*J25)</f>
        <v>241681.68845477427</v>
      </c>
      <c r="N25" s="181">
        <f>+N23</f>
        <v>0.04</v>
      </c>
      <c r="P25" s="179">
        <f>SUM(L25*N25)</f>
        <v>9667.2675381909703</v>
      </c>
      <c r="Q25" s="87">
        <f>IF(P25&gt;0,H25*N25,'2nd Yr. Credit'!P25)</f>
        <v>12889.690050921294</v>
      </c>
      <c r="R25" s="87">
        <f>IF(P25&gt;0,(H25*N25)-P25,H25*N25)</f>
        <v>3222.4225127303234</v>
      </c>
      <c r="S25">
        <f>IF(P25=0,(H25*N25)-'2nd Yr. Credit'!P25,0)</f>
        <v>0</v>
      </c>
    </row>
    <row r="26" spans="1:19">
      <c r="D26" s="179">
        <f t="shared" si="0"/>
        <v>0</v>
      </c>
      <c r="F26" s="33"/>
      <c r="H26" s="179"/>
      <c r="L26" s="179"/>
      <c r="P26" s="179"/>
    </row>
    <row r="27" spans="1:19">
      <c r="A27" t="s">
        <v>553</v>
      </c>
      <c r="B27" s="177">
        <f>+B25+1</f>
        <v>244</v>
      </c>
      <c r="D27" s="179">
        <f t="shared" si="0"/>
        <v>322242.25127303234</v>
      </c>
      <c r="F27" s="33">
        <v>1</v>
      </c>
      <c r="H27" s="179">
        <f>+D27</f>
        <v>322242.25127303234</v>
      </c>
      <c r="J27">
        <f>+QOC!Q27</f>
        <v>0.75</v>
      </c>
      <c r="L27" s="179">
        <f>SUM(H27*J27)</f>
        <v>241681.68845477427</v>
      </c>
      <c r="N27" s="181">
        <f>+N25</f>
        <v>0.04</v>
      </c>
      <c r="P27" s="179">
        <f>SUM(L27*N27)</f>
        <v>9667.2675381909703</v>
      </c>
      <c r="Q27" s="87">
        <f>IF(P27&gt;0,H27*N27,'2nd Yr. Credit'!P27)</f>
        <v>12889.690050921294</v>
      </c>
      <c r="R27" s="87">
        <f>IF(P27&gt;0,(H27*N27)-P27,H27*N27)</f>
        <v>3222.4225127303234</v>
      </c>
      <c r="S27">
        <f>IF(P27=0,(H27*N27)-'2nd Yr. Credit'!P27,0)</f>
        <v>0</v>
      </c>
    </row>
    <row r="28" spans="1:19">
      <c r="D28" s="179">
        <f t="shared" si="0"/>
        <v>0</v>
      </c>
      <c r="H28" s="179"/>
      <c r="L28" s="179"/>
      <c r="P28" s="179"/>
    </row>
    <row r="29" spans="1:19">
      <c r="A29" t="s">
        <v>553</v>
      </c>
      <c r="B29" s="177">
        <f>+B27+1</f>
        <v>245</v>
      </c>
      <c r="D29" s="179">
        <f t="shared" si="0"/>
        <v>322242.25127303234</v>
      </c>
      <c r="F29" s="33">
        <v>1</v>
      </c>
      <c r="H29" s="179">
        <f>+D29</f>
        <v>322242.25127303234</v>
      </c>
      <c r="J29">
        <f>+QOC!Q29</f>
        <v>0.75</v>
      </c>
      <c r="L29" s="179">
        <f>SUM(H29*J29)</f>
        <v>241681.68845477427</v>
      </c>
      <c r="N29" s="181">
        <f>+N27</f>
        <v>0.04</v>
      </c>
      <c r="P29" s="179">
        <f>SUM(L29*N29)</f>
        <v>9667.2675381909703</v>
      </c>
      <c r="Q29" s="87">
        <f>IF(P29&gt;0,H29*N29,'2nd Yr. Credit'!P29)</f>
        <v>12889.690050921294</v>
      </c>
      <c r="R29" s="87">
        <f>IF(P29&gt;0,(H29*N29)-P29,H29*N29)</f>
        <v>3222.4225127303234</v>
      </c>
      <c r="S29">
        <f>IF(P29=0,(H29*N29)-'2nd Yr. Credit'!P29,0)</f>
        <v>0</v>
      </c>
    </row>
    <row r="30" spans="1:19">
      <c r="D30" s="179">
        <f t="shared" si="0"/>
        <v>0</v>
      </c>
      <c r="H30" s="179"/>
      <c r="L30" s="179"/>
      <c r="P30" s="179"/>
    </row>
    <row r="31" spans="1:19">
      <c r="A31" t="s">
        <v>553</v>
      </c>
      <c r="B31" s="177">
        <f>+B29+1</f>
        <v>246</v>
      </c>
      <c r="D31" s="179">
        <f t="shared" si="0"/>
        <v>322242.25127303234</v>
      </c>
      <c r="F31" s="33">
        <v>1</v>
      </c>
      <c r="H31" s="179">
        <f>+D31</f>
        <v>322242.25127303234</v>
      </c>
      <c r="J31">
        <f>+QOC!Q31</f>
        <v>0.66666666666666663</v>
      </c>
      <c r="L31" s="179">
        <f>SUM(H31*J31)</f>
        <v>214828.16751535487</v>
      </c>
      <c r="N31" s="181">
        <f>+N29</f>
        <v>0.04</v>
      </c>
      <c r="P31" s="179">
        <f>SUM(L31*N31)</f>
        <v>8593.1267006141952</v>
      </c>
      <c r="Q31" s="87">
        <f>IF(P31&gt;0,H31*N31,'2nd Yr. Credit'!P31)</f>
        <v>12889.690050921294</v>
      </c>
      <c r="R31" s="87">
        <f>IF(P31&gt;0,(H31*N31)-P31,H31*N31)</f>
        <v>4296.5633503070985</v>
      </c>
      <c r="S31">
        <f>IF(P31=0,(H31*N31)-'2nd Yr. Credit'!P31,0)</f>
        <v>0</v>
      </c>
    </row>
    <row r="32" spans="1:19">
      <c r="D32" s="179">
        <f t="shared" si="0"/>
        <v>0</v>
      </c>
      <c r="H32" s="179"/>
      <c r="L32" s="179"/>
      <c r="P32" s="179"/>
    </row>
    <row r="33" spans="1:19">
      <c r="A33" t="s">
        <v>553</v>
      </c>
      <c r="B33" s="177">
        <f>+B31+1</f>
        <v>247</v>
      </c>
      <c r="D33" s="179">
        <f t="shared" si="0"/>
        <v>322242.25127303234</v>
      </c>
      <c r="F33" s="33">
        <v>1</v>
      </c>
      <c r="H33" s="179">
        <f>+D33</f>
        <v>322242.25127303234</v>
      </c>
      <c r="J33">
        <f>+QOC!Q33</f>
        <v>0.66666666666666663</v>
      </c>
      <c r="L33" s="179">
        <f>SUM(H33*J33)</f>
        <v>214828.16751535487</v>
      </c>
      <c r="N33" s="181">
        <f>+N31</f>
        <v>0.04</v>
      </c>
      <c r="P33" s="179">
        <f>SUM(L33*N33)</f>
        <v>8593.1267006141952</v>
      </c>
      <c r="Q33" s="87">
        <f>IF(P33&gt;0,H33*N33,'2nd Yr. Credit'!P33)</f>
        <v>12889.690050921294</v>
      </c>
      <c r="R33" s="87">
        <f>IF(P33&gt;0,(H33*N33)-P33,H33*N33)</f>
        <v>4296.5633503070985</v>
      </c>
      <c r="S33">
        <f>IF(P33=0,(H33*N33)-'2nd Yr. Credit'!P33,0)</f>
        <v>0</v>
      </c>
    </row>
    <row r="34" spans="1:19">
      <c r="D34" s="179">
        <f t="shared" si="0"/>
        <v>0</v>
      </c>
      <c r="H34" s="179"/>
      <c r="L34" s="179"/>
      <c r="P34" s="179"/>
    </row>
    <row r="35" spans="1:19">
      <c r="A35" t="s">
        <v>553</v>
      </c>
      <c r="B35" s="177">
        <f>+B33+1</f>
        <v>248</v>
      </c>
      <c r="D35" s="179">
        <f t="shared" si="0"/>
        <v>322242.25127303234</v>
      </c>
      <c r="F35" s="33">
        <v>1</v>
      </c>
      <c r="H35" s="179">
        <f>+D35</f>
        <v>322242.25127303234</v>
      </c>
      <c r="J35">
        <f>+QOC!Q35</f>
        <v>0.66666666666666663</v>
      </c>
      <c r="L35" s="179">
        <f>SUM(H35*J35)</f>
        <v>214828.16751535487</v>
      </c>
      <c r="N35" s="181">
        <f>+N33</f>
        <v>0.04</v>
      </c>
      <c r="P35" s="179">
        <f>SUM(L35*N35)</f>
        <v>8593.1267006141952</v>
      </c>
      <c r="Q35" s="87">
        <f>IF(P35&gt;0,H35*N35,'2nd Yr. Credit'!P35)</f>
        <v>12889.690050921294</v>
      </c>
      <c r="R35" s="87">
        <f>IF(P35&gt;0,(H35*N35)-P35,H35*N35)</f>
        <v>4296.5633503070985</v>
      </c>
      <c r="S35">
        <f>IF(P35=0,(H35*N35)-'2nd Yr. Credit'!P35,0)</f>
        <v>0</v>
      </c>
    </row>
    <row r="36" spans="1:19">
      <c r="D36" s="179">
        <f t="shared" si="0"/>
        <v>0</v>
      </c>
      <c r="H36" s="179"/>
      <c r="L36" s="179"/>
      <c r="P36" s="179"/>
    </row>
    <row r="37" spans="1:19">
      <c r="A37" t="s">
        <v>553</v>
      </c>
      <c r="B37" s="177">
        <f>+B35+1</f>
        <v>249</v>
      </c>
      <c r="D37" s="179">
        <f t="shared" si="0"/>
        <v>322242.25127303234</v>
      </c>
      <c r="F37" s="33">
        <v>1</v>
      </c>
      <c r="H37" s="179">
        <f>+D37</f>
        <v>322242.25127303234</v>
      </c>
      <c r="J37">
        <f>+QOC!Q37</f>
        <v>0.66666666666666663</v>
      </c>
      <c r="L37" s="179">
        <f>SUM(H37*J37)</f>
        <v>214828.16751535487</v>
      </c>
      <c r="N37" s="181">
        <f>+N35</f>
        <v>0.04</v>
      </c>
      <c r="P37" s="179">
        <f>SUM(L37*N37)</f>
        <v>8593.1267006141952</v>
      </c>
      <c r="Q37" s="87">
        <f>IF(P37&gt;0,H37*N37,'2nd Yr. Credit'!P37)</f>
        <v>12889.690050921294</v>
      </c>
      <c r="R37" s="87">
        <f>IF(P37&gt;0,(H37*N37)-P37,H37*N37)</f>
        <v>4296.5633503070985</v>
      </c>
      <c r="S37">
        <f>IF(P37=0,(H37*N37)-'2nd Yr. Credit'!P37,0)</f>
        <v>0</v>
      </c>
    </row>
    <row r="38" spans="1:19">
      <c r="D38" s="179">
        <f t="shared" si="0"/>
        <v>0</v>
      </c>
      <c r="H38" s="179"/>
      <c r="L38" s="179"/>
      <c r="P38" s="179"/>
    </row>
    <row r="39" spans="1:19">
      <c r="A39" t="s">
        <v>553</v>
      </c>
      <c r="B39" s="177">
        <f>+B37+1</f>
        <v>250</v>
      </c>
      <c r="D39" s="179">
        <f t="shared" si="0"/>
        <v>322242.25127303234</v>
      </c>
      <c r="F39" s="33">
        <v>1</v>
      </c>
      <c r="H39" s="179">
        <f>+D39</f>
        <v>322242.25127303234</v>
      </c>
      <c r="J39">
        <f>+QOC!Q39</f>
        <v>0.66666666666666663</v>
      </c>
      <c r="L39" s="179">
        <f>SUM(H39*J39)</f>
        <v>214828.16751535487</v>
      </c>
      <c r="N39" s="181">
        <f>+N37</f>
        <v>0.04</v>
      </c>
      <c r="P39" s="179">
        <f>SUM(L39*N39)</f>
        <v>8593.1267006141952</v>
      </c>
      <c r="Q39" s="87">
        <f>IF(P39&gt;0,H39*N39,'2nd Yr. Credit'!P39)</f>
        <v>12889.690050921294</v>
      </c>
      <c r="R39" s="87">
        <f>IF(P39&gt;0,(H39*N39)-P39,H39*N39)</f>
        <v>4296.5633503070985</v>
      </c>
      <c r="S39">
        <f>IF(P39=0,(H39*N39)-'2nd Yr. Credit'!P39,0)</f>
        <v>0</v>
      </c>
    </row>
    <row r="40" spans="1:19">
      <c r="D40" s="179">
        <f t="shared" si="0"/>
        <v>0</v>
      </c>
      <c r="H40" s="179"/>
      <c r="L40" s="179"/>
      <c r="P40" s="179"/>
    </row>
    <row r="41" spans="1:19">
      <c r="A41" t="s">
        <v>553</v>
      </c>
      <c r="B41" s="177">
        <f>+B39+1</f>
        <v>251</v>
      </c>
      <c r="D41" s="179">
        <f t="shared" si="0"/>
        <v>322242.25127303234</v>
      </c>
      <c r="F41" s="33">
        <v>1</v>
      </c>
      <c r="H41" s="179">
        <f>+D41</f>
        <v>322242.25127303234</v>
      </c>
      <c r="J41">
        <f>+QOC!Q41</f>
        <v>0.58333333333333337</v>
      </c>
      <c r="L41" s="179">
        <f>SUM(H41*J41)</f>
        <v>187974.64657593553</v>
      </c>
      <c r="N41" s="181">
        <f>+N39</f>
        <v>0.04</v>
      </c>
      <c r="P41" s="179">
        <f>SUM(L41*N41)</f>
        <v>7518.985863037422</v>
      </c>
      <c r="Q41" s="87">
        <f>IF(P41&gt;0,H41*N41,'2nd Yr. Credit'!P41)</f>
        <v>12889.690050921294</v>
      </c>
      <c r="R41" s="87">
        <f>IF(P41&gt;0,(H41*N41)-P41,H41*N41)</f>
        <v>5370.7041878838718</v>
      </c>
      <c r="S41">
        <f>IF(P41=0,(H41*N41)-'2nd Yr. Credit'!P41,0)</f>
        <v>0</v>
      </c>
    </row>
    <row r="42" spans="1:19">
      <c r="D42" s="179">
        <f t="shared" si="0"/>
        <v>0</v>
      </c>
      <c r="H42" s="179"/>
      <c r="L42" s="179"/>
      <c r="P42" s="179"/>
    </row>
    <row r="43" spans="1:19">
      <c r="A43" t="s">
        <v>553</v>
      </c>
      <c r="B43" s="177">
        <f>+B41+1</f>
        <v>252</v>
      </c>
      <c r="D43" s="179">
        <f t="shared" si="0"/>
        <v>322242.25127303234</v>
      </c>
      <c r="F43" s="33">
        <v>1</v>
      </c>
      <c r="H43" s="179">
        <f>+D43</f>
        <v>322242.25127303234</v>
      </c>
      <c r="J43">
        <f>+QOC!Q43</f>
        <v>0.58333333333333337</v>
      </c>
      <c r="L43" s="179">
        <f>SUM(H43*J43)</f>
        <v>187974.64657593553</v>
      </c>
      <c r="N43" s="181">
        <f>+N41</f>
        <v>0.04</v>
      </c>
      <c r="P43" s="179">
        <f>SUM(L43*N43)</f>
        <v>7518.985863037422</v>
      </c>
      <c r="Q43" s="87">
        <f>IF(P43&gt;0,H43*N43,'2nd Yr. Credit'!P43)</f>
        <v>12889.690050921294</v>
      </c>
      <c r="R43" s="87">
        <f>IF(P43&gt;0,(H43*N43)-P43,H43*N43)</f>
        <v>5370.7041878838718</v>
      </c>
      <c r="S43">
        <f>IF(P43=0,(H43*N43)-'2nd Yr. Credit'!P43,0)</f>
        <v>0</v>
      </c>
    </row>
    <row r="44" spans="1:19">
      <c r="D44" s="179">
        <f t="shared" si="0"/>
        <v>0</v>
      </c>
      <c r="H44" s="179"/>
      <c r="L44" s="179"/>
      <c r="P44" s="179"/>
    </row>
    <row r="45" spans="1:19">
      <c r="A45" t="s">
        <v>553</v>
      </c>
      <c r="B45" s="177">
        <f>+B43+1</f>
        <v>253</v>
      </c>
      <c r="D45" s="179">
        <f t="shared" si="0"/>
        <v>322242.25127303234</v>
      </c>
      <c r="F45" s="33">
        <v>1</v>
      </c>
      <c r="H45" s="179">
        <f>+D45</f>
        <v>322242.25127303234</v>
      </c>
      <c r="J45">
        <f>+QOC!Q45</f>
        <v>0.58333333333333337</v>
      </c>
      <c r="L45" s="179">
        <f>SUM(H45*J45)</f>
        <v>187974.64657593553</v>
      </c>
      <c r="N45" s="181">
        <f>+N43</f>
        <v>0.04</v>
      </c>
      <c r="P45" s="179">
        <f>SUM(L45*N45)</f>
        <v>7518.985863037422</v>
      </c>
      <c r="Q45" s="87">
        <f>IF(P45&gt;0,H45*N45,'2nd Yr. Credit'!P45)</f>
        <v>12889.690050921294</v>
      </c>
      <c r="R45" s="87">
        <f>IF(P45&gt;0,(H45*N45)-P45,H45*N45)</f>
        <v>5370.7041878838718</v>
      </c>
      <c r="S45">
        <f>IF(P45=0,(H45*N45)-'2nd Yr. Credit'!P45,0)</f>
        <v>0</v>
      </c>
    </row>
    <row r="46" spans="1:19">
      <c r="D46" s="179">
        <f t="shared" si="0"/>
        <v>0</v>
      </c>
      <c r="H46" s="179"/>
      <c r="L46" s="179"/>
      <c r="P46" s="179"/>
    </row>
    <row r="47" spans="1:19">
      <c r="A47" t="s">
        <v>553</v>
      </c>
      <c r="B47" s="177">
        <f>+B45+1</f>
        <v>254</v>
      </c>
      <c r="D47" s="179">
        <f t="shared" si="0"/>
        <v>322242.25127303234</v>
      </c>
      <c r="F47" s="33">
        <v>1</v>
      </c>
      <c r="H47" s="179">
        <f>+D47</f>
        <v>322242.25127303234</v>
      </c>
      <c r="J47">
        <f>+QOC!Q47</f>
        <v>0.66666666666666663</v>
      </c>
      <c r="L47" s="179">
        <f>SUM(H47*J47)</f>
        <v>214828.16751535487</v>
      </c>
      <c r="N47" s="181">
        <f>+N45</f>
        <v>0.04</v>
      </c>
      <c r="P47" s="179">
        <f>SUM(L47*N47)</f>
        <v>8593.1267006141952</v>
      </c>
      <c r="Q47" s="87">
        <f>IF(P47&gt;0,H47*N47,'2nd Yr. Credit'!P47)</f>
        <v>12889.690050921294</v>
      </c>
      <c r="R47" s="87">
        <f>IF(P47&gt;0,(H47*N47)-P47,H47*N47)</f>
        <v>4296.5633503070985</v>
      </c>
      <c r="S47">
        <f>IF(P47=0,(H47*N47)-'2nd Yr. Credit'!P47,0)</f>
        <v>0</v>
      </c>
    </row>
    <row r="48" spans="1:19">
      <c r="D48" s="179">
        <f t="shared" si="0"/>
        <v>0</v>
      </c>
      <c r="H48" s="179"/>
      <c r="L48" s="179"/>
      <c r="P48" s="179"/>
    </row>
    <row r="49" spans="1:19">
      <c r="A49" t="s">
        <v>553</v>
      </c>
      <c r="B49" s="177">
        <f>+B47+1</f>
        <v>255</v>
      </c>
      <c r="D49" s="179">
        <f t="shared" si="0"/>
        <v>322242.25127303234</v>
      </c>
      <c r="F49" s="33">
        <v>1</v>
      </c>
      <c r="H49" s="179">
        <f>+D49</f>
        <v>322242.25127303234</v>
      </c>
      <c r="J49">
        <f>+QOC!Q49</f>
        <v>0.58333333333333337</v>
      </c>
      <c r="L49" s="179">
        <f>SUM(H49*J49)</f>
        <v>187974.64657593553</v>
      </c>
      <c r="N49" s="181">
        <f>+N47</f>
        <v>0.04</v>
      </c>
      <c r="P49" s="179">
        <f>SUM(L49*N49)</f>
        <v>7518.985863037422</v>
      </c>
      <c r="Q49" s="87">
        <f>IF(P49&gt;0,H49*N49,'2nd Yr. Credit'!P49)</f>
        <v>12889.690050921294</v>
      </c>
      <c r="R49" s="87">
        <f>IF(P49&gt;0,(H49*N49)-P49,H49*N49)</f>
        <v>5370.7041878838718</v>
      </c>
      <c r="S49">
        <f>IF(P49=0,(H49*N49)-'2nd Yr. Credit'!P49,0)</f>
        <v>0</v>
      </c>
    </row>
    <row r="50" spans="1:19">
      <c r="D50" s="179">
        <f t="shared" si="0"/>
        <v>0</v>
      </c>
      <c r="H50" s="179"/>
      <c r="L50" s="179"/>
      <c r="P50" s="179"/>
    </row>
    <row r="51" spans="1:19">
      <c r="A51" t="s">
        <v>553</v>
      </c>
      <c r="B51" s="177">
        <f>+B49+1</f>
        <v>256</v>
      </c>
      <c r="D51" s="179">
        <f t="shared" si="0"/>
        <v>322242.25127303234</v>
      </c>
      <c r="F51" s="33">
        <v>1</v>
      </c>
      <c r="H51" s="179">
        <f>+D51</f>
        <v>322242.25127303234</v>
      </c>
      <c r="J51">
        <f>+QOC!Q51</f>
        <v>0.5</v>
      </c>
      <c r="L51" s="179">
        <f>SUM(H51*J51)</f>
        <v>161121.12563651617</v>
      </c>
      <c r="N51" s="181">
        <f>+N49</f>
        <v>0.04</v>
      </c>
      <c r="P51" s="179">
        <f>SUM(L51*N51)</f>
        <v>6444.8450254606469</v>
      </c>
      <c r="Q51" s="87">
        <f>IF(P51&gt;0,H51*N51,'2nd Yr. Credit'!P51)</f>
        <v>12889.690050921294</v>
      </c>
      <c r="R51" s="87">
        <f>IF(P51&gt;0,(H51*N51)-P51,H51*N51)</f>
        <v>6444.8450254606469</v>
      </c>
      <c r="S51">
        <f>IF(P51=0,(H51*N51)-'2nd Yr. Credit'!P51,0)</f>
        <v>0</v>
      </c>
    </row>
    <row r="52" spans="1:19">
      <c r="D52" s="179">
        <f t="shared" si="0"/>
        <v>0</v>
      </c>
      <c r="H52" s="179"/>
      <c r="L52" s="179"/>
      <c r="P52" s="179"/>
    </row>
    <row r="53" spans="1:19">
      <c r="A53" t="s">
        <v>553</v>
      </c>
      <c r="B53" s="177">
        <f>+B51+1</f>
        <v>257</v>
      </c>
      <c r="D53" s="179">
        <f t="shared" si="0"/>
        <v>322242.25127303234</v>
      </c>
      <c r="F53" s="33">
        <v>1</v>
      </c>
      <c r="H53" s="179">
        <f>+D53</f>
        <v>322242.25127303234</v>
      </c>
      <c r="J53">
        <f>+QOC!Q53</f>
        <v>0.5</v>
      </c>
      <c r="L53" s="179">
        <f>SUM(H53*J53)</f>
        <v>161121.12563651617</v>
      </c>
      <c r="N53" s="181">
        <f>+N51</f>
        <v>0.04</v>
      </c>
      <c r="P53" s="179">
        <f>SUM(L53*N53)</f>
        <v>6444.8450254606469</v>
      </c>
      <c r="Q53" s="87">
        <f>IF(P53&gt;0,H53*N53,'2nd Yr. Credit'!P53)</f>
        <v>12889.690050921294</v>
      </c>
      <c r="R53" s="87">
        <f>IF(P53&gt;0,(H53*N53)-P53,H53*N53)</f>
        <v>6444.8450254606469</v>
      </c>
      <c r="S53">
        <f>IF(P53=0,(H53*N53)-'2nd Yr. Credit'!P53,0)</f>
        <v>0</v>
      </c>
    </row>
    <row r="54" spans="1:19">
      <c r="D54" s="179">
        <f t="shared" si="0"/>
        <v>0</v>
      </c>
      <c r="H54" s="179"/>
      <c r="L54" s="179"/>
      <c r="P54" s="179"/>
    </row>
    <row r="55" spans="1:19">
      <c r="A55" t="s">
        <v>553</v>
      </c>
      <c r="B55" s="177">
        <f>+B53+1</f>
        <v>258</v>
      </c>
      <c r="D55" s="179">
        <f t="shared" si="0"/>
        <v>322242.25127303234</v>
      </c>
      <c r="F55" s="33">
        <v>1</v>
      </c>
      <c r="H55" s="179">
        <f>+D55</f>
        <v>322242.25127303234</v>
      </c>
      <c r="J55">
        <f>+QOC!Q55</f>
        <v>0.5</v>
      </c>
      <c r="L55" s="179">
        <f>SUM(H55*J55)</f>
        <v>161121.12563651617</v>
      </c>
      <c r="N55" s="181">
        <f>+N53</f>
        <v>0.04</v>
      </c>
      <c r="P55" s="179">
        <f>SUM(L55*N55)</f>
        <v>6444.8450254606469</v>
      </c>
      <c r="Q55" s="87">
        <f>IF(P55&gt;0,H55*N55,'2nd Yr. Credit'!P55)</f>
        <v>12889.690050921294</v>
      </c>
      <c r="R55" s="87">
        <f>IF(P55&gt;0,(H55*N55)-P55,H55*N55)</f>
        <v>6444.8450254606469</v>
      </c>
      <c r="S55" s="87">
        <f>IF(P55=0,(H55*N55)-'2nd Yr. Credit'!P55,0)</f>
        <v>0</v>
      </c>
    </row>
    <row r="56" spans="1:19">
      <c r="D56" s="179">
        <f t="shared" si="0"/>
        <v>0</v>
      </c>
      <c r="H56" s="179"/>
      <c r="L56" s="179"/>
      <c r="P56" s="179"/>
      <c r="S56" s="87"/>
    </row>
    <row r="57" spans="1:19">
      <c r="A57" t="s">
        <v>553</v>
      </c>
      <c r="B57" s="177">
        <f>+B55+1</f>
        <v>259</v>
      </c>
      <c r="D57" s="179">
        <f t="shared" si="0"/>
        <v>322242.25127303234</v>
      </c>
      <c r="F57" s="33">
        <v>1</v>
      </c>
      <c r="H57" s="179">
        <f>+D57</f>
        <v>322242.25127303234</v>
      </c>
      <c r="J57">
        <f>+QOC!Q57</f>
        <v>0.5</v>
      </c>
      <c r="L57" s="179">
        <f>SUM(H57*J57)</f>
        <v>161121.12563651617</v>
      </c>
      <c r="N57" s="181">
        <f>+N55</f>
        <v>0.04</v>
      </c>
      <c r="P57" s="179">
        <f>SUM(L57*N57)</f>
        <v>6444.8450254606469</v>
      </c>
      <c r="Q57" s="87">
        <f>IF(P57&gt;0,H57*N57,'2nd Yr. Credit'!P57)</f>
        <v>12889.690050921294</v>
      </c>
      <c r="R57" s="87">
        <f>IF(P57&gt;0,(H57*N57)-P57,H57*N57)</f>
        <v>6444.8450254606469</v>
      </c>
      <c r="S57" s="87">
        <f>IF(P57=0,(H57*N57)-'2nd Yr. Credit'!P57,0)</f>
        <v>0</v>
      </c>
    </row>
    <row r="58" spans="1:19">
      <c r="D58" s="179">
        <f t="shared" si="0"/>
        <v>0</v>
      </c>
      <c r="H58" s="179"/>
      <c r="L58" s="179"/>
      <c r="P58" s="179"/>
      <c r="S58" s="87"/>
    </row>
    <row r="59" spans="1:19">
      <c r="A59" t="s">
        <v>553</v>
      </c>
      <c r="B59" s="177">
        <f>+B57+1</f>
        <v>260</v>
      </c>
      <c r="D59" s="179">
        <f t="shared" si="0"/>
        <v>322242.25127303234</v>
      </c>
      <c r="F59" s="33">
        <v>1</v>
      </c>
      <c r="H59" s="179">
        <f>+D59</f>
        <v>322242.25127303234</v>
      </c>
      <c r="J59">
        <f>+QOC!Q59</f>
        <v>0.5</v>
      </c>
      <c r="L59" s="179">
        <f>SUM(H59*J59)</f>
        <v>161121.12563651617</v>
      </c>
      <c r="N59" s="181">
        <f>+N57</f>
        <v>0.04</v>
      </c>
      <c r="P59" s="179">
        <f>SUM(L59*N59)</f>
        <v>6444.8450254606469</v>
      </c>
      <c r="Q59" s="87">
        <f>IF(P59&gt;0,H59*N59,'2nd Yr. Credit'!P59)</f>
        <v>12889.690050921294</v>
      </c>
      <c r="R59" s="87">
        <f>IF(P59&gt;0,(H59*N59)-P59,H59*N59)</f>
        <v>6444.8450254606469</v>
      </c>
      <c r="S59" s="87">
        <f>IF(P59=0,(H59*N59)-'2nd Yr. Credit'!P59,0)</f>
        <v>0</v>
      </c>
    </row>
    <row r="60" spans="1:19">
      <c r="D60" s="179">
        <f t="shared" si="0"/>
        <v>0</v>
      </c>
      <c r="H60" s="179"/>
      <c r="L60" s="179"/>
      <c r="P60" s="179"/>
      <c r="S60" s="87"/>
    </row>
    <row r="61" spans="1:19">
      <c r="A61" t="s">
        <v>553</v>
      </c>
      <c r="B61" s="177">
        <f>+B59+1</f>
        <v>261</v>
      </c>
      <c r="D61" s="179">
        <f t="shared" si="0"/>
        <v>347030.24419207691</v>
      </c>
      <c r="F61" s="33">
        <v>1</v>
      </c>
      <c r="H61" s="179">
        <f>+D61</f>
        <v>347030.24419207691</v>
      </c>
      <c r="J61">
        <f>+QOC!Q61</f>
        <v>0.41666666666666669</v>
      </c>
      <c r="L61" s="179">
        <f>SUM(H61*J61)</f>
        <v>144595.93508003204</v>
      </c>
      <c r="N61" s="181">
        <f>+N59</f>
        <v>0.04</v>
      </c>
      <c r="P61" s="179">
        <f>SUM(L61*N61)</f>
        <v>5783.8374032012816</v>
      </c>
      <c r="Q61" s="87">
        <f>IF(P61&gt;0,H61*N61,'2nd Yr. Credit'!P61)</f>
        <v>13881.209767683076</v>
      </c>
      <c r="R61" s="87">
        <f>IF(P61&gt;0,(H61*N61)-P61,H61*N61)</f>
        <v>8097.3723644817946</v>
      </c>
      <c r="S61" s="87">
        <f>IF(P61=0,(H61*N61)-'2nd Yr. Credit'!P61,0)</f>
        <v>0</v>
      </c>
    </row>
    <row r="62" spans="1:19">
      <c r="D62" s="179">
        <f t="shared" si="0"/>
        <v>0</v>
      </c>
      <c r="F62" s="33"/>
      <c r="H62" s="179"/>
      <c r="L62" s="179"/>
      <c r="P62" s="179"/>
      <c r="S62" s="87"/>
    </row>
    <row r="63" spans="1:19">
      <c r="A63" t="s">
        <v>553</v>
      </c>
      <c r="B63" s="177">
        <f>+B61+1</f>
        <v>262</v>
      </c>
      <c r="D63" s="179">
        <f t="shared" si="0"/>
        <v>347030.24419207691</v>
      </c>
      <c r="F63" s="33">
        <v>1</v>
      </c>
      <c r="H63" s="179">
        <f>+D63</f>
        <v>347030.24419207691</v>
      </c>
      <c r="J63">
        <f>+QOC!Q63</f>
        <v>0.41666666666666669</v>
      </c>
      <c r="L63" s="179">
        <f>SUM(H63*J63)</f>
        <v>144595.93508003204</v>
      </c>
      <c r="N63" s="181">
        <f>+N61</f>
        <v>0.04</v>
      </c>
      <c r="P63" s="179">
        <f>SUM(L63*N63)</f>
        <v>5783.8374032012816</v>
      </c>
      <c r="Q63" s="87">
        <f>IF(P63&gt;0,H63*N63,'2nd Yr. Credit'!P63)</f>
        <v>13881.209767683076</v>
      </c>
      <c r="R63" s="87">
        <f>IF(P63&gt;0,(H63*N63)-P63,H63*N63)</f>
        <v>8097.3723644817946</v>
      </c>
      <c r="S63" s="87">
        <f>IF(P63=0,(H63*N63)-'2nd Yr. Credit'!P63,0)</f>
        <v>0</v>
      </c>
    </row>
    <row r="64" spans="1:19">
      <c r="D64" s="179">
        <f t="shared" si="0"/>
        <v>0</v>
      </c>
      <c r="F64" s="33"/>
      <c r="H64" s="179"/>
      <c r="L64" s="179"/>
      <c r="P64" s="179"/>
      <c r="S64" s="87"/>
    </row>
    <row r="65" spans="1:19">
      <c r="A65" t="s">
        <v>553</v>
      </c>
      <c r="B65" s="177">
        <f>+B63+1</f>
        <v>263</v>
      </c>
      <c r="D65" s="179">
        <f t="shared" si="0"/>
        <v>347030.24419207691</v>
      </c>
      <c r="F65" s="33">
        <v>1</v>
      </c>
      <c r="H65" s="179">
        <f>+D65</f>
        <v>347030.24419207691</v>
      </c>
      <c r="J65">
        <f>+QOC!Q65</f>
        <v>0.41666666666666669</v>
      </c>
      <c r="L65" s="179">
        <f>SUM(H65*J65)</f>
        <v>144595.93508003204</v>
      </c>
      <c r="N65" s="181">
        <f>+N63</f>
        <v>0.04</v>
      </c>
      <c r="P65" s="179">
        <f>SUM(L65*N65)</f>
        <v>5783.8374032012816</v>
      </c>
      <c r="Q65" s="87">
        <f>IF(P65&gt;0,H65*N65,'2nd Yr. Credit'!P65)</f>
        <v>13881.209767683076</v>
      </c>
      <c r="R65" s="87">
        <f>IF(P65&gt;0,(H65*N65)-P65,H65*N65)</f>
        <v>8097.3723644817946</v>
      </c>
      <c r="S65" s="87">
        <f>IF(P65=0,(H65*N65)-'2nd Yr. Credit'!P65,0)</f>
        <v>0</v>
      </c>
    </row>
    <row r="66" spans="1:19">
      <c r="D66" s="179">
        <f t="shared" si="0"/>
        <v>0</v>
      </c>
      <c r="H66" s="179"/>
      <c r="L66" s="179"/>
      <c r="P66" s="179"/>
    </row>
    <row r="67" spans="1:19">
      <c r="A67" t="s">
        <v>553</v>
      </c>
      <c r="B67" s="177">
        <f>+B65+1</f>
        <v>264</v>
      </c>
      <c r="D67" s="179">
        <f t="shared" si="0"/>
        <v>347030.24419207691</v>
      </c>
      <c r="F67" s="33">
        <v>1</v>
      </c>
      <c r="H67" s="179">
        <f>+D67</f>
        <v>347030.24419207691</v>
      </c>
      <c r="J67">
        <f>+QOC!Q67</f>
        <v>0.41666666666666669</v>
      </c>
      <c r="L67" s="179">
        <f>SUM(H67*J67)</f>
        <v>144595.93508003204</v>
      </c>
      <c r="N67" s="181">
        <f>+N65</f>
        <v>0.04</v>
      </c>
      <c r="P67" s="179">
        <f>SUM(L67*N67)</f>
        <v>5783.8374032012816</v>
      </c>
      <c r="Q67" s="87">
        <f>IF(P67&gt;0,H67*N67,'2nd Yr. Credit'!P67)</f>
        <v>13881.209767683076</v>
      </c>
      <c r="R67" s="87">
        <f>IF(P67&gt;0,(H67*N67)-P67,H67*N67)</f>
        <v>8097.3723644817946</v>
      </c>
      <c r="S67" s="87">
        <f>IF(P67=0,(H67*N67)-'2nd Yr. Credit'!P67,0)</f>
        <v>0</v>
      </c>
    </row>
    <row r="68" spans="1:19">
      <c r="D68" s="179">
        <f t="shared" si="0"/>
        <v>0</v>
      </c>
      <c r="H68" s="179"/>
      <c r="L68" s="179"/>
      <c r="P68" s="179"/>
    </row>
    <row r="69" spans="1:19">
      <c r="A69" t="s">
        <v>553</v>
      </c>
      <c r="B69" s="177">
        <f>+B67+1</f>
        <v>265</v>
      </c>
      <c r="D69" s="179">
        <f t="shared" si="0"/>
        <v>347030.24419207691</v>
      </c>
      <c r="F69" s="33">
        <v>1</v>
      </c>
      <c r="H69" s="179">
        <f>+D69</f>
        <v>347030.24419207691</v>
      </c>
      <c r="J69">
        <f>+QOC!Q69</f>
        <v>0.41666666666666669</v>
      </c>
      <c r="L69" s="179">
        <f>SUM(H69*J69)</f>
        <v>144595.93508003204</v>
      </c>
      <c r="N69" s="181">
        <f>+N67</f>
        <v>0.04</v>
      </c>
      <c r="P69" s="179">
        <f>SUM(L69*N69)</f>
        <v>5783.8374032012816</v>
      </c>
      <c r="Q69" s="87">
        <f>IF(P69&gt;0,H69*N69,'2nd Yr. Credit'!P69)</f>
        <v>13881.209767683076</v>
      </c>
      <c r="R69" s="87">
        <f>IF(P69&gt;0,(H69*N69)-P69,H69*N69)</f>
        <v>8097.3723644817946</v>
      </c>
      <c r="S69" s="87">
        <f>IF(P69=0,(H69*N69)-'2nd Yr. Credit'!P69,0)</f>
        <v>0</v>
      </c>
    </row>
    <row r="70" spans="1:19">
      <c r="D70" s="179">
        <f t="shared" si="0"/>
        <v>0</v>
      </c>
      <c r="H70" s="179"/>
      <c r="L70" s="179"/>
      <c r="P70" s="179"/>
    </row>
    <row r="71" spans="1:19">
      <c r="A71" t="s">
        <v>553</v>
      </c>
      <c r="B71" s="177">
        <f>+B69+1</f>
        <v>266</v>
      </c>
      <c r="D71" s="179">
        <f t="shared" si="0"/>
        <v>347030.24419207691</v>
      </c>
      <c r="F71" s="33">
        <v>1</v>
      </c>
      <c r="H71" s="179">
        <f>+D71</f>
        <v>347030.24419207691</v>
      </c>
      <c r="J71">
        <f>+QOC!Q71</f>
        <v>0.33333333333333331</v>
      </c>
      <c r="L71" s="179">
        <f>SUM(H71*J71)</f>
        <v>115676.74806402563</v>
      </c>
      <c r="N71" s="181">
        <f>+N69</f>
        <v>0.04</v>
      </c>
      <c r="P71" s="179">
        <f>SUM(L71*N71)</f>
        <v>4627.0699225610251</v>
      </c>
      <c r="Q71" s="87">
        <f>IF(P71&gt;0,H71*N71,'2nd Yr. Credit'!P71)</f>
        <v>13881.209767683076</v>
      </c>
      <c r="R71" s="87">
        <f>IF(P71&gt;0,(H71*N71)-P71,H71*N71)</f>
        <v>9254.1398451220521</v>
      </c>
      <c r="S71" s="87">
        <f>IF(P71=0,(H71*N71)-'2nd Yr. Credit'!P71,0)</f>
        <v>0</v>
      </c>
    </row>
    <row r="72" spans="1:19">
      <c r="D72" s="179">
        <f>IF(F154&lt;=E154,F154,E154)</f>
        <v>0</v>
      </c>
      <c r="H72" s="179"/>
      <c r="L72" s="179"/>
      <c r="P72" s="179"/>
    </row>
    <row r="73" spans="1:19">
      <c r="A73" t="s">
        <v>553</v>
      </c>
      <c r="B73" s="177">
        <f>+B71+1</f>
        <v>267</v>
      </c>
      <c r="D73" s="179">
        <f>IF(F155&lt;=E155,F155,E155)</f>
        <v>347030.24419207691</v>
      </c>
      <c r="F73" s="33">
        <v>1</v>
      </c>
      <c r="H73" s="179">
        <f>+D73</f>
        <v>347030.24419207691</v>
      </c>
      <c r="J73">
        <f>+QOC!Q73</f>
        <v>0.33333333333333331</v>
      </c>
      <c r="L73" s="179">
        <f>SUM(H73*J73)</f>
        <v>115676.74806402563</v>
      </c>
      <c r="N73" s="181">
        <f>+N71</f>
        <v>0.04</v>
      </c>
      <c r="P73" s="179">
        <f>SUM(L73*N73)</f>
        <v>4627.0699225610251</v>
      </c>
      <c r="Q73" s="87">
        <f>IF(P73&gt;0,H73*N73,'2nd Yr. Credit'!P73)</f>
        <v>13881.209767683076</v>
      </c>
      <c r="R73" s="87">
        <f>IF(P73&gt;0,(H73*N73)-P73,H73*N73)</f>
        <v>9254.1398451220521</v>
      </c>
      <c r="S73" s="87">
        <f>IF(P73=0,(H73*N73)-'2nd Yr. Credit'!P73,0)</f>
        <v>0</v>
      </c>
    </row>
    <row r="74" spans="1:19">
      <c r="D74" s="179">
        <f>IF(F156&lt;=E156,F156,E156)</f>
        <v>0</v>
      </c>
      <c r="H74" s="179"/>
      <c r="L74" s="179"/>
      <c r="P74" s="179"/>
    </row>
    <row r="75" spans="1:19">
      <c r="A75" t="s">
        <v>553</v>
      </c>
      <c r="B75" s="177">
        <f>+B73+1</f>
        <v>268</v>
      </c>
      <c r="D75" s="179">
        <f>IF(F157&lt;=E157,F157,E157)</f>
        <v>347030.24419207691</v>
      </c>
      <c r="F75" s="33">
        <v>1</v>
      </c>
      <c r="H75" s="179">
        <f>+D75</f>
        <v>347030.24419207691</v>
      </c>
      <c r="J75">
        <f>+QOC!Q75</f>
        <v>0.33333333333333331</v>
      </c>
      <c r="L75" s="179">
        <f>SUM(H75*J75)</f>
        <v>115676.74806402563</v>
      </c>
      <c r="N75" s="181">
        <f>+N73</f>
        <v>0.04</v>
      </c>
      <c r="P75" s="179">
        <f>SUM(L75*N75)</f>
        <v>4627.0699225610251</v>
      </c>
      <c r="Q75" s="87">
        <f>IF(P75&gt;0,H75*N75,'2nd Yr. Credit'!P75)</f>
        <v>13881.209767683076</v>
      </c>
      <c r="R75" s="87">
        <f>IF(P75&gt;0,(H75*N75)-P75,H75*N75)</f>
        <v>9254.1398451220521</v>
      </c>
      <c r="S75" s="87">
        <f>IF(P75=0,(H75*N75)-'2nd Yr. Credit'!P75,0)</f>
        <v>0</v>
      </c>
    </row>
    <row r="76" spans="1:19">
      <c r="D76" s="179"/>
      <c r="H76" s="179"/>
      <c r="L76" s="179"/>
      <c r="P76" s="179"/>
    </row>
    <row r="77" spans="1:19">
      <c r="D77" s="179"/>
      <c r="H77" s="179"/>
      <c r="L77" s="179"/>
      <c r="P77" s="179"/>
    </row>
    <row r="78" spans="1:19">
      <c r="C78" s="25"/>
      <c r="D78" s="25"/>
      <c r="L78" t="s">
        <v>504</v>
      </c>
      <c r="P78" s="11">
        <f>SUM(P6:P77)</f>
        <v>270931.3014182066</v>
      </c>
      <c r="Q78" s="11">
        <f>SUM(Q6:Q77)</f>
        <v>450147.5724251995</v>
      </c>
      <c r="R78" s="11">
        <f>SUM(R6:R77)</f>
        <v>179216.27100699316</v>
      </c>
      <c r="S78" s="11">
        <f>SUM(S6:S77)</f>
        <v>0</v>
      </c>
    </row>
    <row r="79" spans="1:19">
      <c r="C79" s="21">
        <f>SUM(C6:C78)</f>
        <v>0</v>
      </c>
      <c r="D79" s="21">
        <f>SUM(D6:D78)</f>
        <v>11253689.310629994</v>
      </c>
      <c r="L79" t="s">
        <v>505</v>
      </c>
      <c r="P79" s="179"/>
    </row>
    <row r="81" spans="1:19" ht="13.5" thickBot="1">
      <c r="L81" t="s">
        <v>506</v>
      </c>
      <c r="P81" s="182">
        <f>SUM(P78:P80)</f>
        <v>270931.3014182066</v>
      </c>
      <c r="Q81" s="182">
        <f>SUM(Q78:Q80)</f>
        <v>450147.5724251995</v>
      </c>
      <c r="R81" s="182">
        <f>SUM(R78:R80)</f>
        <v>179216.27100699316</v>
      </c>
      <c r="S81" s="182">
        <f>SUM(S78:S80)</f>
        <v>0</v>
      </c>
    </row>
    <row r="82" spans="1:19" ht="13.5" thickTop="1"/>
    <row r="83" spans="1:19">
      <c r="D83" s="556" t="s">
        <v>596</v>
      </c>
      <c r="E83" s="557"/>
      <c r="F83" s="558"/>
    </row>
    <row r="84" spans="1:19">
      <c r="A84" s="32" t="s">
        <v>592</v>
      </c>
      <c r="D84" s="201"/>
      <c r="E84" s="165"/>
      <c r="F84" s="202" t="s">
        <v>276</v>
      </c>
    </row>
    <row r="85" spans="1:19" ht="14.25">
      <c r="A85" s="193" t="s">
        <v>554</v>
      </c>
      <c r="B85" s="193"/>
      <c r="C85" s="193"/>
      <c r="D85" s="554" t="s">
        <v>594</v>
      </c>
      <c r="E85" s="555"/>
      <c r="F85" s="203" t="s">
        <v>595</v>
      </c>
    </row>
    <row r="86" spans="1:19" ht="15">
      <c r="A86" s="199" t="s">
        <v>593</v>
      </c>
      <c r="B86" s="191"/>
      <c r="C86" s="191"/>
      <c r="D86" s="200">
        <f>+N7</f>
        <v>0.04</v>
      </c>
    </row>
    <row r="87" spans="1:19" ht="15">
      <c r="A87" s="191"/>
      <c r="B87" s="191"/>
      <c r="C87" s="191"/>
      <c r="D87" s="194" t="s">
        <v>555</v>
      </c>
    </row>
    <row r="88" spans="1:19" ht="15">
      <c r="A88" s="195" t="s">
        <v>556</v>
      </c>
      <c r="B88" s="194"/>
      <c r="C88" s="191"/>
      <c r="D88" s="195" t="s">
        <v>513</v>
      </c>
    </row>
    <row r="89" spans="1:19" ht="15">
      <c r="A89" s="191" t="s">
        <v>557</v>
      </c>
      <c r="B89" s="191"/>
      <c r="C89" s="191"/>
      <c r="D89" s="197">
        <v>17954.89</v>
      </c>
      <c r="E89" s="21">
        <f>SUM(D89/D$86)</f>
        <v>448872.25</v>
      </c>
      <c r="F89" s="21">
        <f>SUM(D89/D$159*'CR Calculation'!F$20)</f>
        <v>297454.09268653288</v>
      </c>
      <c r="G89" s="21"/>
      <c r="H89" s="21"/>
      <c r="I89" s="21"/>
      <c r="J89" s="21"/>
      <c r="K89" s="21"/>
      <c r="L89" s="21"/>
    </row>
    <row r="90" spans="1:19" ht="15">
      <c r="A90" s="191"/>
      <c r="B90" s="191"/>
      <c r="C90" s="191"/>
      <c r="D90" s="197"/>
      <c r="E90" s="21"/>
      <c r="F90" s="21"/>
      <c r="G90" s="21"/>
      <c r="H90" s="21"/>
      <c r="I90" s="21"/>
      <c r="J90" s="21"/>
      <c r="K90" s="21"/>
      <c r="L90" s="21"/>
    </row>
    <row r="91" spans="1:19" ht="15">
      <c r="A91" s="191" t="s">
        <v>558</v>
      </c>
      <c r="B91" s="196"/>
      <c r="C91" s="191"/>
      <c r="D91" s="197">
        <v>17954.89</v>
      </c>
      <c r="E91" s="21">
        <f t="shared" ref="E91:E157" si="1">SUM(D91/D$86)</f>
        <v>448872.25</v>
      </c>
      <c r="F91" s="21">
        <f>SUM(D91/D$159*'CR Calculation'!F$20)</f>
        <v>297454.09268653288</v>
      </c>
      <c r="G91" s="21"/>
      <c r="H91" s="21"/>
      <c r="I91" s="21"/>
      <c r="J91" s="21"/>
      <c r="K91" s="21"/>
      <c r="L91" s="21"/>
    </row>
    <row r="92" spans="1:19" ht="15">
      <c r="A92" s="191"/>
      <c r="B92" s="196"/>
      <c r="C92" s="191"/>
      <c r="D92" s="197"/>
      <c r="E92" s="21"/>
      <c r="F92" s="21"/>
      <c r="G92" s="21"/>
      <c r="H92" s="21"/>
      <c r="I92" s="21"/>
      <c r="J92" s="21"/>
      <c r="K92" s="21"/>
      <c r="L92" s="21"/>
    </row>
    <row r="93" spans="1:19" ht="15">
      <c r="A93" s="191" t="s">
        <v>559</v>
      </c>
      <c r="B93" s="196"/>
      <c r="C93" s="191"/>
      <c r="D93" s="197">
        <v>17954.89</v>
      </c>
      <c r="E93" s="21">
        <f t="shared" si="1"/>
        <v>448872.25</v>
      </c>
      <c r="F93" s="21">
        <f>SUM(D93/D$159*'CR Calculation'!F$20)</f>
        <v>297454.09268653288</v>
      </c>
      <c r="G93" s="21"/>
      <c r="H93" s="21"/>
      <c r="I93" s="21"/>
      <c r="J93" s="21"/>
      <c r="K93" s="21"/>
      <c r="L93" s="21"/>
    </row>
    <row r="94" spans="1:19" ht="15">
      <c r="A94" s="191"/>
      <c r="B94" s="196"/>
      <c r="C94" s="191"/>
      <c r="D94" s="197"/>
      <c r="E94" s="21"/>
      <c r="F94" s="21"/>
      <c r="G94" s="21"/>
      <c r="H94" s="21"/>
      <c r="I94" s="21"/>
      <c r="J94" s="21"/>
      <c r="K94" s="21"/>
      <c r="L94" s="21"/>
    </row>
    <row r="95" spans="1:19" ht="15">
      <c r="A95" s="191" t="s">
        <v>560</v>
      </c>
      <c r="B95" s="196"/>
      <c r="C95" s="191"/>
      <c r="D95" s="197">
        <v>17954.89</v>
      </c>
      <c r="E95" s="21">
        <f t="shared" si="1"/>
        <v>448872.25</v>
      </c>
      <c r="F95" s="21">
        <f>SUM(D95/D$159*'CR Calculation'!F$20)</f>
        <v>297454.09268653288</v>
      </c>
      <c r="G95" s="21"/>
      <c r="H95" s="21"/>
      <c r="I95" s="21"/>
      <c r="J95" s="21"/>
      <c r="K95" s="21"/>
      <c r="L95" s="21"/>
    </row>
    <row r="96" spans="1:19" ht="15">
      <c r="A96" s="191"/>
      <c r="B96" s="196"/>
      <c r="C96" s="191"/>
      <c r="D96" s="197"/>
      <c r="E96" s="21"/>
      <c r="F96" s="21"/>
      <c r="G96" s="21"/>
      <c r="H96" s="21"/>
      <c r="I96" s="21"/>
      <c r="J96" s="21"/>
      <c r="K96" s="21"/>
      <c r="L96" s="21"/>
    </row>
    <row r="97" spans="1:12" ht="15">
      <c r="A97" s="191" t="s">
        <v>561</v>
      </c>
      <c r="B97" s="196"/>
      <c r="C97" s="191"/>
      <c r="D97" s="197">
        <v>17954.89</v>
      </c>
      <c r="E97" s="21">
        <f t="shared" si="1"/>
        <v>448872.25</v>
      </c>
      <c r="F97" s="21">
        <f>SUM(D97/D$159*'CR Calculation'!F$20)</f>
        <v>297454.09268653288</v>
      </c>
      <c r="G97" s="21"/>
      <c r="H97" s="21"/>
      <c r="I97" s="21"/>
      <c r="J97" s="21"/>
      <c r="K97" s="21"/>
      <c r="L97" s="21"/>
    </row>
    <row r="98" spans="1:12" ht="15">
      <c r="A98" s="191"/>
      <c r="B98" s="196"/>
      <c r="C98" s="191"/>
      <c r="D98" s="197"/>
      <c r="E98" s="21"/>
      <c r="F98" s="21"/>
      <c r="G98" s="21"/>
      <c r="H98" s="21"/>
      <c r="I98" s="21"/>
      <c r="J98" s="21"/>
      <c r="K98" s="21"/>
      <c r="L98" s="21"/>
    </row>
    <row r="99" spans="1:12" ht="15">
      <c r="A99" s="191" t="s">
        <v>562</v>
      </c>
      <c r="B99" s="196"/>
      <c r="C99" s="191"/>
      <c r="D99" s="197">
        <v>17954.89</v>
      </c>
      <c r="E99" s="21">
        <f t="shared" si="1"/>
        <v>448872.25</v>
      </c>
      <c r="F99" s="21">
        <f>SUM(D99/D$159*'CR Calculation'!F$20)</f>
        <v>297454.09268653288</v>
      </c>
      <c r="G99" s="21"/>
      <c r="H99" s="21"/>
      <c r="I99" s="21"/>
      <c r="J99" s="21"/>
      <c r="K99" s="21"/>
      <c r="L99" s="21"/>
    </row>
    <row r="100" spans="1:12" ht="15">
      <c r="A100" s="191"/>
      <c r="B100" s="196"/>
      <c r="C100" s="191"/>
      <c r="D100" s="197"/>
      <c r="E100" s="21"/>
      <c r="F100" s="21"/>
      <c r="G100" s="21"/>
      <c r="H100" s="21"/>
      <c r="I100" s="21"/>
      <c r="J100" s="21"/>
      <c r="K100" s="21"/>
      <c r="L100" s="21"/>
    </row>
    <row r="101" spans="1:12" ht="15">
      <c r="A101" s="191" t="s">
        <v>563</v>
      </c>
      <c r="B101" s="196"/>
      <c r="C101" s="191"/>
      <c r="D101" s="197">
        <v>17954.89</v>
      </c>
      <c r="E101" s="21">
        <f t="shared" si="1"/>
        <v>448872.25</v>
      </c>
      <c r="F101" s="21">
        <f>SUM(D101/D$159*'CR Calculation'!F$20)</f>
        <v>297454.09268653288</v>
      </c>
      <c r="G101" s="21"/>
      <c r="H101" s="21"/>
      <c r="I101" s="21"/>
      <c r="J101" s="21"/>
      <c r="K101" s="21"/>
      <c r="L101" s="21"/>
    </row>
    <row r="102" spans="1:12" ht="15">
      <c r="A102" s="191"/>
      <c r="B102" s="196"/>
      <c r="C102" s="191"/>
      <c r="D102" s="197"/>
      <c r="E102" s="21"/>
      <c r="F102" s="21"/>
      <c r="G102" s="21"/>
      <c r="H102" s="21"/>
      <c r="I102" s="21"/>
      <c r="J102" s="21"/>
      <c r="K102" s="21"/>
      <c r="L102" s="21"/>
    </row>
    <row r="103" spans="1:12" ht="15">
      <c r="A103" s="191" t="s">
        <v>564</v>
      </c>
      <c r="B103" s="196"/>
      <c r="C103" s="191"/>
      <c r="D103" s="197">
        <v>17954.89</v>
      </c>
      <c r="E103" s="21">
        <f t="shared" si="1"/>
        <v>448872.25</v>
      </c>
      <c r="F103" s="21">
        <f>SUM(D103/D$159*'CR Calculation'!F$20)</f>
        <v>297454.09268653288</v>
      </c>
      <c r="G103" s="21"/>
      <c r="H103" s="21"/>
      <c r="I103" s="21"/>
      <c r="J103" s="21"/>
      <c r="K103" s="21"/>
      <c r="L103" s="21"/>
    </row>
    <row r="104" spans="1:12" ht="15">
      <c r="A104" s="191"/>
      <c r="B104" s="196"/>
      <c r="C104" s="191"/>
      <c r="D104" s="197"/>
      <c r="E104" s="21"/>
      <c r="F104" s="21"/>
      <c r="G104" s="21"/>
      <c r="H104" s="21"/>
      <c r="I104" s="21"/>
      <c r="J104" s="21"/>
      <c r="K104" s="21"/>
      <c r="L104" s="21"/>
    </row>
    <row r="105" spans="1:12" ht="15">
      <c r="A105" s="191" t="s">
        <v>565</v>
      </c>
      <c r="B105" s="196"/>
      <c r="C105" s="191"/>
      <c r="D105" s="197">
        <v>17954.89</v>
      </c>
      <c r="E105" s="21">
        <f t="shared" si="1"/>
        <v>448872.25</v>
      </c>
      <c r="F105" s="21">
        <f>SUM(D105/D$159*'CR Calculation'!F$20)</f>
        <v>297454.09268653288</v>
      </c>
      <c r="G105" s="21"/>
      <c r="H105" s="21"/>
      <c r="I105" s="21"/>
      <c r="J105" s="21"/>
      <c r="K105" s="21"/>
      <c r="L105" s="21"/>
    </row>
    <row r="106" spans="1:12" ht="15">
      <c r="A106" s="191"/>
      <c r="B106" s="196"/>
      <c r="C106" s="191"/>
      <c r="D106" s="197"/>
      <c r="E106" s="21"/>
      <c r="F106" s="21"/>
      <c r="G106" s="21"/>
      <c r="H106" s="21"/>
      <c r="I106" s="21"/>
      <c r="J106" s="21"/>
      <c r="K106" s="21"/>
      <c r="L106" s="21"/>
    </row>
    <row r="107" spans="1:12" ht="15">
      <c r="A107" s="191" t="s">
        <v>566</v>
      </c>
      <c r="B107" s="196"/>
      <c r="C107" s="191"/>
      <c r="D107" s="197">
        <v>19451.150000000001</v>
      </c>
      <c r="E107" s="21">
        <f t="shared" si="1"/>
        <v>486278.75</v>
      </c>
      <c r="F107" s="21">
        <f>SUM(D107/D$159*'CR Calculation'!F$20)</f>
        <v>322242.25127303234</v>
      </c>
      <c r="G107" s="21"/>
      <c r="H107" s="21"/>
      <c r="I107" s="21"/>
      <c r="J107" s="21"/>
      <c r="K107" s="21"/>
      <c r="L107" s="21"/>
    </row>
    <row r="108" spans="1:12" ht="15">
      <c r="A108" s="191"/>
      <c r="B108" s="196"/>
      <c r="C108" s="191"/>
      <c r="D108" s="197"/>
      <c r="E108" s="21"/>
      <c r="F108" s="21"/>
      <c r="G108" s="21"/>
      <c r="H108" s="21"/>
      <c r="I108" s="21"/>
      <c r="J108" s="21"/>
      <c r="K108" s="21"/>
      <c r="L108" s="21"/>
    </row>
    <row r="109" spans="1:12" ht="15">
      <c r="A109" s="191" t="s">
        <v>567</v>
      </c>
      <c r="B109" s="196"/>
      <c r="C109" s="191"/>
      <c r="D109" s="197">
        <v>19451.150000000001</v>
      </c>
      <c r="E109" s="21">
        <f t="shared" si="1"/>
        <v>486278.75</v>
      </c>
      <c r="F109" s="21">
        <f>SUM(D109/D$159*'CR Calculation'!F$20)</f>
        <v>322242.25127303234</v>
      </c>
      <c r="G109" s="21"/>
      <c r="H109" s="21"/>
      <c r="I109" s="21"/>
      <c r="J109" s="21"/>
      <c r="K109" s="21"/>
      <c r="L109" s="21"/>
    </row>
    <row r="110" spans="1:12" ht="15">
      <c r="A110" s="191"/>
      <c r="B110" s="196"/>
      <c r="C110" s="191"/>
      <c r="D110" s="197"/>
      <c r="E110" s="21"/>
      <c r="F110" s="21"/>
      <c r="G110" s="21"/>
      <c r="H110" s="21"/>
      <c r="I110" s="21"/>
      <c r="J110" s="21"/>
      <c r="K110" s="21"/>
      <c r="L110" s="21"/>
    </row>
    <row r="111" spans="1:12" ht="15">
      <c r="A111" s="191" t="s">
        <v>568</v>
      </c>
      <c r="B111" s="196"/>
      <c r="C111" s="191"/>
      <c r="D111" s="197">
        <v>19451.150000000001</v>
      </c>
      <c r="E111" s="21">
        <f t="shared" si="1"/>
        <v>486278.75</v>
      </c>
      <c r="F111" s="21">
        <f>SUM(D111/D$159*'CR Calculation'!F$20)</f>
        <v>322242.25127303234</v>
      </c>
      <c r="G111" s="21"/>
      <c r="H111" s="21"/>
      <c r="I111" s="21"/>
      <c r="J111" s="21"/>
      <c r="K111" s="21"/>
      <c r="L111" s="21"/>
    </row>
    <row r="112" spans="1:12" ht="15">
      <c r="A112" s="191"/>
      <c r="B112" s="196"/>
      <c r="C112" s="191"/>
      <c r="D112" s="197"/>
      <c r="E112" s="21"/>
      <c r="F112" s="21"/>
      <c r="G112" s="21"/>
      <c r="H112" s="21"/>
      <c r="I112" s="21"/>
      <c r="J112" s="21"/>
      <c r="K112" s="21"/>
      <c r="L112" s="21"/>
    </row>
    <row r="113" spans="1:12" ht="15">
      <c r="A113" s="191" t="s">
        <v>569</v>
      </c>
      <c r="B113" s="196"/>
      <c r="C113" s="191"/>
      <c r="D113" s="197">
        <v>19451.150000000001</v>
      </c>
      <c r="E113" s="21">
        <f t="shared" si="1"/>
        <v>486278.75</v>
      </c>
      <c r="F113" s="21">
        <f>SUM(D113/D$159*'CR Calculation'!F$20)</f>
        <v>322242.25127303234</v>
      </c>
      <c r="G113" s="21"/>
      <c r="H113" s="21"/>
      <c r="I113" s="21"/>
      <c r="J113" s="21"/>
      <c r="K113" s="21"/>
      <c r="L113" s="21"/>
    </row>
    <row r="114" spans="1:12" ht="15">
      <c r="A114" s="191"/>
      <c r="B114" s="196"/>
      <c r="C114" s="191"/>
      <c r="D114" s="197"/>
      <c r="E114" s="21"/>
      <c r="F114" s="21"/>
      <c r="G114" s="21"/>
      <c r="H114" s="21"/>
      <c r="I114" s="21"/>
      <c r="J114" s="21"/>
      <c r="K114" s="21"/>
      <c r="L114" s="21"/>
    </row>
    <row r="115" spans="1:12" ht="15">
      <c r="A115" s="191" t="s">
        <v>570</v>
      </c>
      <c r="B115" s="196"/>
      <c r="C115" s="191"/>
      <c r="D115" s="197">
        <v>19451.150000000001</v>
      </c>
      <c r="E115" s="21">
        <f t="shared" si="1"/>
        <v>486278.75</v>
      </c>
      <c r="F115" s="21">
        <f>SUM(D115/D$159*'CR Calculation'!F$20)</f>
        <v>322242.25127303234</v>
      </c>
      <c r="G115" s="21"/>
      <c r="H115" s="21"/>
      <c r="I115" s="21"/>
      <c r="J115" s="21"/>
      <c r="K115" s="21"/>
      <c r="L115" s="21"/>
    </row>
    <row r="116" spans="1:12" ht="15">
      <c r="A116" s="191"/>
      <c r="B116" s="196"/>
      <c r="C116" s="191"/>
      <c r="D116" s="197"/>
      <c r="E116" s="21"/>
      <c r="F116" s="21"/>
      <c r="G116" s="21"/>
      <c r="H116" s="21"/>
      <c r="I116" s="21"/>
      <c r="J116" s="21"/>
      <c r="K116" s="21"/>
      <c r="L116" s="21"/>
    </row>
    <row r="117" spans="1:12" ht="15">
      <c r="A117" s="191" t="s">
        <v>571</v>
      </c>
      <c r="B117" s="196"/>
      <c r="C117" s="191"/>
      <c r="D117" s="197">
        <v>19451.150000000001</v>
      </c>
      <c r="E117" s="21">
        <f t="shared" si="1"/>
        <v>486278.75</v>
      </c>
      <c r="F117" s="21">
        <f>SUM(D117/D$159*'CR Calculation'!F$20)</f>
        <v>322242.25127303234</v>
      </c>
      <c r="G117" s="21"/>
      <c r="H117" s="21"/>
      <c r="I117" s="21"/>
      <c r="J117" s="21"/>
      <c r="K117" s="21"/>
      <c r="L117" s="21"/>
    </row>
    <row r="118" spans="1:12" ht="15">
      <c r="A118" s="191"/>
      <c r="B118" s="196"/>
      <c r="C118" s="191"/>
      <c r="D118" s="197"/>
      <c r="E118" s="21"/>
      <c r="F118" s="21"/>
      <c r="G118" s="21"/>
      <c r="H118" s="21"/>
      <c r="I118" s="21"/>
      <c r="J118" s="21"/>
      <c r="K118" s="21"/>
      <c r="L118" s="21"/>
    </row>
    <row r="119" spans="1:12" ht="15">
      <c r="A119" s="191" t="s">
        <v>572</v>
      </c>
      <c r="B119" s="196"/>
      <c r="C119" s="191"/>
      <c r="D119" s="197">
        <v>19451.150000000001</v>
      </c>
      <c r="E119" s="21">
        <f t="shared" si="1"/>
        <v>486278.75</v>
      </c>
      <c r="F119" s="21">
        <f>SUM(D119/D$159*'CR Calculation'!F$20)</f>
        <v>322242.25127303234</v>
      </c>
      <c r="G119" s="21"/>
      <c r="H119" s="21"/>
      <c r="I119" s="21"/>
      <c r="J119" s="21"/>
      <c r="K119" s="21"/>
      <c r="L119" s="21"/>
    </row>
    <row r="120" spans="1:12" ht="15">
      <c r="A120" s="191"/>
      <c r="B120" s="196"/>
      <c r="C120" s="191"/>
      <c r="D120" s="197"/>
      <c r="E120" s="21"/>
      <c r="F120" s="21"/>
      <c r="G120" s="21"/>
      <c r="H120" s="21"/>
      <c r="I120" s="21"/>
      <c r="J120" s="21"/>
      <c r="K120" s="21"/>
      <c r="L120" s="21"/>
    </row>
    <row r="121" spans="1:12" ht="15">
      <c r="A121" s="191" t="s">
        <v>573</v>
      </c>
      <c r="B121" s="196"/>
      <c r="C121" s="191"/>
      <c r="D121" s="197">
        <v>19451.150000000001</v>
      </c>
      <c r="E121" s="21">
        <f t="shared" si="1"/>
        <v>486278.75</v>
      </c>
      <c r="F121" s="21">
        <f>SUM(D121/D$159*'CR Calculation'!F$20)</f>
        <v>322242.25127303234</v>
      </c>
      <c r="G121" s="21"/>
      <c r="H121" s="21"/>
      <c r="I121" s="21"/>
      <c r="J121" s="21"/>
      <c r="K121" s="21"/>
      <c r="L121" s="21"/>
    </row>
    <row r="122" spans="1:12" ht="15">
      <c r="A122" s="191"/>
      <c r="B122" s="196"/>
      <c r="C122" s="191"/>
      <c r="D122" s="197"/>
      <c r="E122" s="21"/>
      <c r="F122" s="21"/>
      <c r="G122" s="21"/>
      <c r="H122" s="21"/>
      <c r="I122" s="21"/>
      <c r="J122" s="21"/>
      <c r="K122" s="21"/>
      <c r="L122" s="21"/>
    </row>
    <row r="123" spans="1:12" ht="15">
      <c r="A123" s="191" t="s">
        <v>574</v>
      </c>
      <c r="B123" s="196"/>
      <c r="C123" s="191"/>
      <c r="D123" s="197">
        <v>19451.150000000001</v>
      </c>
      <c r="E123" s="21">
        <f t="shared" si="1"/>
        <v>486278.75</v>
      </c>
      <c r="F123" s="21">
        <f>SUM(D123/D$159*'CR Calculation'!F$20)</f>
        <v>322242.25127303234</v>
      </c>
      <c r="G123" s="21"/>
      <c r="H123" s="21"/>
      <c r="I123" s="21"/>
      <c r="J123" s="21"/>
      <c r="K123" s="21"/>
      <c r="L123" s="21"/>
    </row>
    <row r="124" spans="1:12" ht="15">
      <c r="A124" s="191"/>
      <c r="B124" s="196"/>
      <c r="C124" s="191"/>
      <c r="D124" s="197"/>
      <c r="E124" s="21"/>
      <c r="F124" s="21"/>
      <c r="G124" s="21"/>
      <c r="H124" s="21"/>
      <c r="I124" s="21"/>
      <c r="J124" s="21"/>
      <c r="K124" s="21"/>
      <c r="L124" s="21"/>
    </row>
    <row r="125" spans="1:12" ht="15">
      <c r="A125" s="191" t="s">
        <v>575</v>
      </c>
      <c r="B125" s="196"/>
      <c r="C125" s="191"/>
      <c r="D125" s="197">
        <v>19451.150000000001</v>
      </c>
      <c r="E125" s="21">
        <f t="shared" si="1"/>
        <v>486278.75</v>
      </c>
      <c r="F125" s="21">
        <f>SUM(D125/D$159*'CR Calculation'!F$20)</f>
        <v>322242.25127303234</v>
      </c>
      <c r="G125" s="21"/>
      <c r="H125" s="21"/>
      <c r="I125" s="21"/>
      <c r="J125" s="21"/>
      <c r="K125" s="21"/>
      <c r="L125" s="21"/>
    </row>
    <row r="126" spans="1:12" ht="15">
      <c r="A126" s="191"/>
      <c r="B126" s="196"/>
      <c r="C126" s="191"/>
      <c r="D126" s="197"/>
      <c r="E126" s="21"/>
      <c r="F126" s="21"/>
      <c r="G126" s="21"/>
      <c r="H126" s="21"/>
      <c r="I126" s="21"/>
      <c r="J126" s="21"/>
      <c r="K126" s="21"/>
      <c r="L126" s="21"/>
    </row>
    <row r="127" spans="1:12" ht="15">
      <c r="A127" s="191" t="s">
        <v>576</v>
      </c>
      <c r="B127" s="196"/>
      <c r="C127" s="191"/>
      <c r="D127" s="197">
        <v>19451.150000000001</v>
      </c>
      <c r="E127" s="21">
        <f t="shared" si="1"/>
        <v>486278.75</v>
      </c>
      <c r="F127" s="21">
        <f>SUM(D127/D$159*'CR Calculation'!F$20)</f>
        <v>322242.25127303234</v>
      </c>
      <c r="G127" s="21"/>
      <c r="H127" s="21"/>
      <c r="I127" s="21"/>
      <c r="J127" s="21"/>
      <c r="K127" s="21"/>
      <c r="L127" s="21"/>
    </row>
    <row r="128" spans="1:12" ht="15">
      <c r="A128" s="191"/>
      <c r="B128" s="196"/>
      <c r="C128" s="191"/>
      <c r="D128" s="197"/>
      <c r="E128" s="21"/>
      <c r="F128" s="21"/>
      <c r="G128" s="21"/>
      <c r="H128" s="21"/>
      <c r="I128" s="21"/>
      <c r="J128" s="21"/>
      <c r="K128" s="21"/>
      <c r="L128" s="21"/>
    </row>
    <row r="129" spans="1:12" ht="15">
      <c r="A129" s="191" t="s">
        <v>577</v>
      </c>
      <c r="B129" s="196"/>
      <c r="C129" s="191"/>
      <c r="D129" s="197">
        <v>19451.150000000001</v>
      </c>
      <c r="E129" s="21">
        <f t="shared" si="1"/>
        <v>486278.75</v>
      </c>
      <c r="F129" s="21">
        <f>SUM(D129/D$159*'CR Calculation'!F$20)</f>
        <v>322242.25127303234</v>
      </c>
      <c r="G129" s="21"/>
      <c r="H129" s="21"/>
      <c r="I129" s="21"/>
      <c r="J129" s="21"/>
      <c r="K129" s="21"/>
      <c r="L129" s="21"/>
    </row>
    <row r="130" spans="1:12" ht="15">
      <c r="A130" s="191"/>
      <c r="B130" s="196"/>
      <c r="C130" s="191"/>
      <c r="D130" s="197"/>
      <c r="E130" s="21"/>
      <c r="F130" s="21"/>
      <c r="G130" s="21"/>
      <c r="H130" s="21"/>
      <c r="I130" s="21"/>
      <c r="J130" s="21"/>
      <c r="K130" s="21"/>
      <c r="L130" s="21"/>
    </row>
    <row r="131" spans="1:12" ht="15">
      <c r="A131" s="191" t="s">
        <v>578</v>
      </c>
      <c r="B131" s="196"/>
      <c r="C131" s="191"/>
      <c r="D131" s="197">
        <v>19451.150000000001</v>
      </c>
      <c r="E131" s="21">
        <f t="shared" si="1"/>
        <v>486278.75</v>
      </c>
      <c r="F131" s="21">
        <f>SUM(D131/D$159*'CR Calculation'!F$20)</f>
        <v>322242.25127303234</v>
      </c>
      <c r="G131" s="21"/>
      <c r="H131" s="21"/>
      <c r="I131" s="21"/>
      <c r="J131" s="21"/>
      <c r="K131" s="21"/>
      <c r="L131" s="21"/>
    </row>
    <row r="132" spans="1:12" ht="15">
      <c r="A132" s="191"/>
      <c r="B132" s="196"/>
      <c r="C132" s="191"/>
      <c r="D132" s="197"/>
      <c r="E132" s="21"/>
      <c r="F132" s="21"/>
      <c r="G132" s="21"/>
      <c r="H132" s="21"/>
      <c r="I132" s="21"/>
      <c r="J132" s="21"/>
      <c r="K132" s="21"/>
      <c r="L132" s="21"/>
    </row>
    <row r="133" spans="1:12" ht="15">
      <c r="A133" s="191" t="s">
        <v>579</v>
      </c>
      <c r="B133" s="196"/>
      <c r="C133" s="191"/>
      <c r="D133" s="197">
        <v>19451.150000000001</v>
      </c>
      <c r="E133" s="21">
        <f t="shared" si="1"/>
        <v>486278.75</v>
      </c>
      <c r="F133" s="21">
        <f>SUM(D133/D$159*'CR Calculation'!F$20)</f>
        <v>322242.25127303234</v>
      </c>
      <c r="G133" s="21"/>
      <c r="H133" s="21"/>
      <c r="I133" s="21"/>
      <c r="J133" s="21"/>
      <c r="K133" s="21"/>
      <c r="L133" s="21"/>
    </row>
    <row r="134" spans="1:12" ht="15">
      <c r="A134" s="191"/>
      <c r="B134" s="196"/>
      <c r="C134" s="191"/>
      <c r="D134" s="197"/>
      <c r="E134" s="21"/>
      <c r="F134" s="21"/>
      <c r="G134" s="21"/>
      <c r="H134" s="21"/>
      <c r="I134" s="21"/>
      <c r="J134" s="21"/>
      <c r="K134" s="21"/>
      <c r="L134" s="21"/>
    </row>
    <row r="135" spans="1:12" ht="15">
      <c r="A135" s="191" t="s">
        <v>580</v>
      </c>
      <c r="B135" s="196"/>
      <c r="C135" s="191"/>
      <c r="D135" s="197">
        <v>19451.150000000001</v>
      </c>
      <c r="E135" s="21">
        <f t="shared" si="1"/>
        <v>486278.75</v>
      </c>
      <c r="F135" s="21">
        <f>SUM(D135/D$159*'CR Calculation'!F$20)</f>
        <v>322242.25127303234</v>
      </c>
      <c r="G135" s="21"/>
      <c r="H135" s="21"/>
      <c r="I135" s="21"/>
      <c r="J135" s="21"/>
      <c r="K135" s="21"/>
      <c r="L135" s="21"/>
    </row>
    <row r="136" spans="1:12" ht="15">
      <c r="A136" s="191"/>
      <c r="B136" s="196"/>
      <c r="C136" s="191"/>
      <c r="D136" s="197"/>
      <c r="E136" s="21"/>
      <c r="F136" s="21"/>
      <c r="G136" s="21"/>
      <c r="H136" s="21"/>
      <c r="I136" s="21"/>
      <c r="J136" s="21"/>
      <c r="K136" s="21"/>
      <c r="L136" s="21"/>
    </row>
    <row r="137" spans="1:12" ht="15">
      <c r="A137" s="191" t="s">
        <v>581</v>
      </c>
      <c r="B137" s="196"/>
      <c r="C137" s="191"/>
      <c r="D137" s="197">
        <v>19451.150000000001</v>
      </c>
      <c r="E137" s="21">
        <f t="shared" si="1"/>
        <v>486278.75</v>
      </c>
      <c r="F137" s="21">
        <f>SUM(D137/D$159*'CR Calculation'!F$20)</f>
        <v>322242.25127303234</v>
      </c>
      <c r="G137" s="21"/>
      <c r="H137" s="21"/>
      <c r="I137" s="21"/>
      <c r="J137" s="21"/>
      <c r="K137" s="21"/>
      <c r="L137" s="21"/>
    </row>
    <row r="138" spans="1:12" ht="15">
      <c r="A138" s="191"/>
      <c r="B138" s="196"/>
      <c r="C138" s="191"/>
      <c r="D138" s="197"/>
      <c r="E138" s="21"/>
      <c r="F138" s="21"/>
      <c r="G138" s="21"/>
      <c r="H138" s="21"/>
      <c r="I138" s="21"/>
      <c r="J138" s="21"/>
      <c r="K138" s="21"/>
      <c r="L138" s="21"/>
    </row>
    <row r="139" spans="1:12" ht="15">
      <c r="A139" s="191" t="s">
        <v>582</v>
      </c>
      <c r="B139" s="196"/>
      <c r="C139" s="191"/>
      <c r="D139" s="197">
        <v>19451.150000000001</v>
      </c>
      <c r="E139" s="21">
        <f t="shared" si="1"/>
        <v>486278.75</v>
      </c>
      <c r="F139" s="21">
        <f>SUM(D139/D$159*'CR Calculation'!F$20)</f>
        <v>322242.25127303234</v>
      </c>
      <c r="G139" s="21"/>
      <c r="H139" s="21"/>
      <c r="I139" s="21"/>
      <c r="J139" s="21"/>
      <c r="K139" s="21"/>
      <c r="L139" s="21"/>
    </row>
    <row r="140" spans="1:12" ht="15">
      <c r="A140" s="191"/>
      <c r="B140" s="196"/>
      <c r="C140" s="191"/>
      <c r="D140" s="197"/>
      <c r="E140" s="21"/>
      <c r="F140" s="21"/>
      <c r="G140" s="21"/>
      <c r="H140" s="21"/>
      <c r="I140" s="21"/>
      <c r="J140" s="21"/>
      <c r="K140" s="21"/>
      <c r="L140" s="21"/>
    </row>
    <row r="141" spans="1:12" ht="15">
      <c r="A141" s="191" t="s">
        <v>583</v>
      </c>
      <c r="B141" s="196"/>
      <c r="C141" s="191"/>
      <c r="D141" s="197">
        <v>19451.150000000001</v>
      </c>
      <c r="E141" s="21">
        <f t="shared" si="1"/>
        <v>486278.75</v>
      </c>
      <c r="F141" s="21">
        <f>SUM(D141/D$159*'CR Calculation'!F$20)</f>
        <v>322242.25127303234</v>
      </c>
      <c r="G141" s="21"/>
      <c r="H141" s="21"/>
      <c r="I141" s="21"/>
      <c r="J141" s="21"/>
      <c r="K141" s="21"/>
      <c r="L141" s="21"/>
    </row>
    <row r="142" spans="1:12" ht="15">
      <c r="A142" s="191"/>
      <c r="B142" s="196"/>
      <c r="C142" s="191"/>
      <c r="D142" s="197"/>
      <c r="E142" s="21"/>
      <c r="F142" s="21"/>
      <c r="G142" s="21"/>
      <c r="H142" s="21"/>
      <c r="I142" s="21"/>
      <c r="J142" s="21"/>
      <c r="K142" s="21"/>
      <c r="L142" s="21"/>
    </row>
    <row r="143" spans="1:12" ht="15">
      <c r="A143" s="191" t="s">
        <v>584</v>
      </c>
      <c r="B143" s="196"/>
      <c r="C143" s="191"/>
      <c r="D143" s="197">
        <v>20947.400000000001</v>
      </c>
      <c r="E143" s="21">
        <f t="shared" si="1"/>
        <v>523685</v>
      </c>
      <c r="F143" s="21">
        <f>SUM(D143/D$159*'CR Calculation'!F$20)</f>
        <v>347030.24419207691</v>
      </c>
      <c r="G143" s="21"/>
      <c r="H143" s="21"/>
      <c r="I143" s="21"/>
      <c r="J143" s="21"/>
      <c r="K143" s="21"/>
      <c r="L143" s="21"/>
    </row>
    <row r="144" spans="1:12" ht="15">
      <c r="A144" s="191"/>
      <c r="B144" s="196"/>
      <c r="C144" s="191"/>
      <c r="D144" s="197"/>
      <c r="E144" s="21"/>
      <c r="F144" s="21"/>
      <c r="G144" s="21"/>
      <c r="H144" s="21"/>
      <c r="I144" s="21"/>
      <c r="J144" s="21"/>
      <c r="K144" s="21"/>
      <c r="L144" s="21"/>
    </row>
    <row r="145" spans="1:12" ht="15">
      <c r="A145" s="191" t="s">
        <v>585</v>
      </c>
      <c r="B145" s="196"/>
      <c r="C145" s="191"/>
      <c r="D145" s="197">
        <v>20947.400000000001</v>
      </c>
      <c r="E145" s="21">
        <f t="shared" si="1"/>
        <v>523685</v>
      </c>
      <c r="F145" s="21">
        <f>SUM(D145/D$159*'CR Calculation'!F$20)</f>
        <v>347030.24419207691</v>
      </c>
      <c r="G145" s="21"/>
      <c r="H145" s="21"/>
      <c r="I145" s="21"/>
      <c r="J145" s="21"/>
      <c r="K145" s="21"/>
      <c r="L145" s="21"/>
    </row>
    <row r="146" spans="1:12" ht="15">
      <c r="A146" s="191"/>
      <c r="B146" s="196"/>
      <c r="C146" s="191"/>
      <c r="D146" s="197"/>
      <c r="E146" s="21"/>
      <c r="F146" s="21"/>
      <c r="G146" s="21"/>
      <c r="H146" s="21"/>
      <c r="I146" s="21"/>
      <c r="J146" s="21"/>
      <c r="K146" s="21"/>
      <c r="L146" s="21"/>
    </row>
    <row r="147" spans="1:12" ht="15">
      <c r="A147" s="191" t="s">
        <v>586</v>
      </c>
      <c r="B147" s="196"/>
      <c r="C147" s="191"/>
      <c r="D147" s="197">
        <v>20947.400000000001</v>
      </c>
      <c r="E147" s="21">
        <f t="shared" si="1"/>
        <v>523685</v>
      </c>
      <c r="F147" s="21">
        <f>SUM(D147/D$159*'CR Calculation'!F$20)</f>
        <v>347030.24419207691</v>
      </c>
      <c r="G147" s="21"/>
      <c r="H147" s="21"/>
      <c r="I147" s="21"/>
      <c r="J147" s="21"/>
      <c r="K147" s="21"/>
      <c r="L147" s="21"/>
    </row>
    <row r="148" spans="1:12" ht="15">
      <c r="A148" s="191"/>
      <c r="B148" s="196"/>
      <c r="C148" s="191"/>
      <c r="D148" s="197"/>
      <c r="E148" s="21"/>
      <c r="F148" s="21"/>
      <c r="G148" s="21"/>
      <c r="H148" s="21"/>
      <c r="I148" s="21"/>
      <c r="J148" s="21"/>
      <c r="K148" s="21"/>
      <c r="L148" s="21"/>
    </row>
    <row r="149" spans="1:12" ht="15">
      <c r="A149" s="191" t="s">
        <v>587</v>
      </c>
      <c r="B149" s="196"/>
      <c r="C149" s="191"/>
      <c r="D149" s="197">
        <v>20947.400000000001</v>
      </c>
      <c r="E149" s="21">
        <f t="shared" si="1"/>
        <v>523685</v>
      </c>
      <c r="F149" s="21">
        <f>SUM(D149/D$159*'CR Calculation'!F$20)</f>
        <v>347030.24419207691</v>
      </c>
      <c r="G149" s="21"/>
      <c r="H149" s="21"/>
      <c r="I149" s="21"/>
      <c r="J149" s="21"/>
      <c r="K149" s="21"/>
      <c r="L149" s="21"/>
    </row>
    <row r="150" spans="1:12" ht="15">
      <c r="A150" s="191"/>
      <c r="B150" s="196"/>
      <c r="C150" s="191"/>
      <c r="D150" s="197"/>
      <c r="E150" s="21"/>
      <c r="F150" s="21"/>
      <c r="G150" s="21"/>
      <c r="H150" s="21"/>
      <c r="I150" s="21"/>
      <c r="J150" s="21"/>
      <c r="K150" s="21"/>
      <c r="L150" s="21"/>
    </row>
    <row r="151" spans="1:12" ht="15">
      <c r="A151" s="191" t="s">
        <v>588</v>
      </c>
      <c r="B151" s="196"/>
      <c r="C151" s="191"/>
      <c r="D151" s="197">
        <v>20947.400000000001</v>
      </c>
      <c r="E151" s="21">
        <f t="shared" si="1"/>
        <v>523685</v>
      </c>
      <c r="F151" s="21">
        <f>SUM(D151/D$159*'CR Calculation'!F$20)</f>
        <v>347030.24419207691</v>
      </c>
      <c r="G151" s="21"/>
      <c r="H151" s="21"/>
      <c r="I151" s="21"/>
      <c r="J151" s="21"/>
      <c r="K151" s="21"/>
      <c r="L151" s="21"/>
    </row>
    <row r="152" spans="1:12" ht="15">
      <c r="A152" s="191"/>
      <c r="B152" s="196"/>
      <c r="C152" s="191"/>
      <c r="D152" s="197"/>
      <c r="E152" s="21"/>
      <c r="F152" s="21"/>
      <c r="G152" s="21"/>
      <c r="H152" s="21"/>
      <c r="I152" s="21"/>
      <c r="J152" s="21"/>
      <c r="K152" s="21"/>
      <c r="L152" s="21"/>
    </row>
    <row r="153" spans="1:12" ht="15">
      <c r="A153" s="191" t="s">
        <v>589</v>
      </c>
      <c r="B153" s="196"/>
      <c r="C153" s="191"/>
      <c r="D153" s="197">
        <v>20947.400000000001</v>
      </c>
      <c r="E153" s="21">
        <f t="shared" si="1"/>
        <v>523685</v>
      </c>
      <c r="F153" s="21">
        <f>SUM(D153/D$159*'CR Calculation'!F$20)</f>
        <v>347030.24419207691</v>
      </c>
      <c r="G153" s="21"/>
      <c r="H153" s="21"/>
      <c r="I153" s="21"/>
      <c r="J153" s="21"/>
      <c r="K153" s="21"/>
      <c r="L153" s="21"/>
    </row>
    <row r="154" spans="1:12" ht="15">
      <c r="A154" s="191"/>
      <c r="B154" s="196"/>
      <c r="C154" s="191"/>
      <c r="D154" s="197"/>
      <c r="E154" s="21"/>
      <c r="F154" s="21"/>
      <c r="G154" s="21"/>
      <c r="H154" s="21"/>
      <c r="I154" s="21"/>
      <c r="J154" s="21"/>
      <c r="K154" s="21"/>
      <c r="L154" s="21"/>
    </row>
    <row r="155" spans="1:12" ht="15">
      <c r="A155" s="191" t="s">
        <v>590</v>
      </c>
      <c r="B155" s="196"/>
      <c r="C155" s="191"/>
      <c r="D155" s="197">
        <v>20947.400000000001</v>
      </c>
      <c r="E155" s="21">
        <f t="shared" si="1"/>
        <v>523685</v>
      </c>
      <c r="F155" s="21">
        <f>SUM(D155/D$159*'CR Calculation'!F$20)</f>
        <v>347030.24419207691</v>
      </c>
      <c r="G155" s="21"/>
      <c r="H155" s="21"/>
      <c r="I155" s="21"/>
      <c r="J155" s="21"/>
      <c r="K155" s="21"/>
      <c r="L155" s="21"/>
    </row>
    <row r="156" spans="1:12" ht="15">
      <c r="A156" s="191"/>
      <c r="B156" s="196"/>
      <c r="C156" s="191"/>
      <c r="D156" s="197"/>
      <c r="E156" s="21"/>
      <c r="F156" s="21"/>
      <c r="G156" s="21"/>
      <c r="H156" s="21"/>
      <c r="I156" s="21"/>
      <c r="J156" s="21"/>
      <c r="K156" s="21"/>
      <c r="L156" s="21"/>
    </row>
    <row r="157" spans="1:12" ht="15">
      <c r="A157" s="191" t="s">
        <v>591</v>
      </c>
      <c r="B157" s="196"/>
      <c r="C157" s="191"/>
      <c r="D157" s="197">
        <v>20947.400000000001</v>
      </c>
      <c r="E157" s="21">
        <f t="shared" si="1"/>
        <v>523685</v>
      </c>
      <c r="F157" s="21">
        <f>SUM(D157/D$159*'CR Calculation'!F$20)</f>
        <v>347030.24419207691</v>
      </c>
      <c r="G157" s="21"/>
      <c r="H157" s="21"/>
      <c r="I157" s="21"/>
      <c r="J157" s="21"/>
      <c r="K157" s="21"/>
      <c r="L157" s="21"/>
    </row>
    <row r="158" spans="1:12" ht="15">
      <c r="A158" s="192"/>
      <c r="B158" s="196"/>
      <c r="C158" s="191"/>
      <c r="D158" s="197"/>
      <c r="E158" s="21"/>
      <c r="F158" s="21"/>
      <c r="G158" s="21"/>
      <c r="H158" s="21"/>
      <c r="I158" s="21"/>
      <c r="J158" s="21"/>
      <c r="K158" s="21"/>
      <c r="L158" s="21"/>
    </row>
    <row r="159" spans="1:12" ht="15.75" thickBot="1">
      <c r="A159" s="191"/>
      <c r="B159" s="191"/>
      <c r="C159" s="191"/>
      <c r="D159" s="198">
        <f>SUM(D89:D158)</f>
        <v>679293.91000000038</v>
      </c>
      <c r="E159" s="198">
        <f>SUM(E89:E158)</f>
        <v>16982347.75</v>
      </c>
      <c r="F159" s="198">
        <f>SUM(F89:F158)</f>
        <v>11253689.310629994</v>
      </c>
      <c r="G159" s="21"/>
      <c r="H159" s="21"/>
      <c r="I159" s="21"/>
      <c r="J159" s="21"/>
      <c r="K159" s="21"/>
      <c r="L159" s="21"/>
    </row>
    <row r="160" spans="1:12" ht="13.5" thickTop="1">
      <c r="D160" s="21"/>
      <c r="E160" s="21"/>
      <c r="F160" s="21"/>
      <c r="G160" s="21"/>
      <c r="H160" s="21"/>
      <c r="I160" s="21"/>
      <c r="J160" s="21"/>
      <c r="K160" s="21"/>
      <c r="L160" s="21"/>
    </row>
    <row r="161" spans="4:12">
      <c r="D161" s="21"/>
      <c r="E161" s="21"/>
      <c r="F161" s="21"/>
      <c r="G161" s="21"/>
      <c r="H161" s="21"/>
      <c r="I161" s="21"/>
      <c r="J161" s="21"/>
      <c r="K161" s="21"/>
      <c r="L161" s="21"/>
    </row>
    <row r="162" spans="4:12">
      <c r="D162" s="21"/>
      <c r="E162" s="21"/>
      <c r="F162" s="21"/>
      <c r="G162" s="21"/>
      <c r="H162" s="21"/>
      <c r="I162" s="21"/>
      <c r="J162" s="21"/>
      <c r="K162" s="21"/>
      <c r="L162" s="21"/>
    </row>
  </sheetData>
  <mergeCells count="2">
    <mergeCell ref="D85:E85"/>
    <mergeCell ref="D83:F83"/>
  </mergeCells>
  <phoneticPr fontId="20" type="noConversion"/>
  <pageMargins left="0.75" right="0.75" top="1" bottom="1" header="0.5" footer="0.5"/>
  <pageSetup scale="21" orientation="landscape" horizontalDpi="1200" verticalDpi="1200" r:id="rId1"/>
  <headerFooter alignWithMargins="0">
    <oddFooter>&amp;C&amp;D &amp;T
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pageSetUpPr fitToPage="1"/>
  </sheetPr>
  <dimension ref="A1:Q69"/>
  <sheetViews>
    <sheetView workbookViewId="0"/>
  </sheetViews>
  <sheetFormatPr defaultColWidth="8.85546875" defaultRowHeight="12.75"/>
  <sheetData>
    <row r="1" spans="1:17">
      <c r="A1" s="1" t="str">
        <f>+'Sources &amp; Uses'!A1</f>
        <v>Lamar Building</v>
      </c>
    </row>
    <row r="2" spans="1:17">
      <c r="A2" t="s">
        <v>474</v>
      </c>
    </row>
    <row r="3" spans="1:17">
      <c r="A3" t="s">
        <v>475</v>
      </c>
      <c r="B3" s="25">
        <v>2008</v>
      </c>
    </row>
    <row r="4" spans="1:17">
      <c r="C4" s="175" t="s">
        <v>490</v>
      </c>
    </row>
    <row r="5" spans="1:17">
      <c r="C5" s="176" t="s">
        <v>491</v>
      </c>
      <c r="D5" s="25" t="s">
        <v>51</v>
      </c>
      <c r="E5" s="25" t="s">
        <v>476</v>
      </c>
      <c r="F5" s="25" t="s">
        <v>477</v>
      </c>
      <c r="G5" s="25" t="s">
        <v>478</v>
      </c>
      <c r="H5" s="25" t="s">
        <v>479</v>
      </c>
      <c r="I5" s="25" t="s">
        <v>480</v>
      </c>
      <c r="J5" s="25" t="s">
        <v>481</v>
      </c>
      <c r="K5" s="25" t="s">
        <v>482</v>
      </c>
      <c r="L5" s="25" t="s">
        <v>483</v>
      </c>
      <c r="M5" s="25" t="s">
        <v>484</v>
      </c>
      <c r="N5" s="25" t="s">
        <v>485</v>
      </c>
      <c r="O5" s="25" t="s">
        <v>486</v>
      </c>
      <c r="P5" s="25" t="s">
        <v>487</v>
      </c>
      <c r="Q5" s="25" t="s">
        <v>488</v>
      </c>
    </row>
    <row r="6" spans="1:17">
      <c r="A6" t="s">
        <v>489</v>
      </c>
      <c r="B6" s="177">
        <f>+'1st Year Cr'!B7</f>
        <v>234</v>
      </c>
      <c r="C6" s="177">
        <v>5</v>
      </c>
      <c r="D6" s="34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</row>
    <row r="7" spans="1:17">
      <c r="B7" s="177"/>
      <c r="D7" s="34"/>
      <c r="E7" s="138">
        <f>SUM(E6/$D6)</f>
        <v>1</v>
      </c>
      <c r="F7" s="138">
        <f t="shared" ref="F7:P7" si="0">SUM(F6/$D6)</f>
        <v>1</v>
      </c>
      <c r="G7" s="138">
        <f t="shared" si="0"/>
        <v>1</v>
      </c>
      <c r="H7" s="138">
        <f t="shared" si="0"/>
        <v>1</v>
      </c>
      <c r="I7" s="138">
        <f t="shared" si="0"/>
        <v>1</v>
      </c>
      <c r="J7" s="138">
        <f t="shared" si="0"/>
        <v>1</v>
      </c>
      <c r="K7" s="138">
        <f t="shared" si="0"/>
        <v>1</v>
      </c>
      <c r="L7" s="138">
        <f t="shared" si="0"/>
        <v>1</v>
      </c>
      <c r="M7" s="138">
        <f t="shared" si="0"/>
        <v>1</v>
      </c>
      <c r="N7" s="138">
        <f t="shared" si="0"/>
        <v>1</v>
      </c>
      <c r="O7" s="138">
        <f t="shared" si="0"/>
        <v>1</v>
      </c>
      <c r="P7" s="138">
        <f t="shared" si="0"/>
        <v>1</v>
      </c>
      <c r="Q7">
        <f>SUM(E7:P7)/12</f>
        <v>1</v>
      </c>
    </row>
    <row r="8" spans="1:17">
      <c r="A8" t="s">
        <v>489</v>
      </c>
      <c r="B8" s="177">
        <f>+'1st Year Cr'!B9</f>
        <v>235</v>
      </c>
      <c r="C8" s="177">
        <v>5</v>
      </c>
      <c r="D8" s="34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</row>
    <row r="9" spans="1:17">
      <c r="B9" s="177"/>
      <c r="D9" s="34"/>
      <c r="E9" s="138">
        <f>SUM(E8/$D8)</f>
        <v>1</v>
      </c>
      <c r="F9" s="138">
        <f t="shared" ref="F9:P9" si="1">SUM(F8/$D8)</f>
        <v>1</v>
      </c>
      <c r="G9" s="138">
        <f t="shared" si="1"/>
        <v>1</v>
      </c>
      <c r="H9" s="138">
        <f t="shared" si="1"/>
        <v>1</v>
      </c>
      <c r="I9" s="138">
        <f t="shared" si="1"/>
        <v>1</v>
      </c>
      <c r="J9" s="138">
        <f t="shared" si="1"/>
        <v>1</v>
      </c>
      <c r="K9" s="138">
        <f t="shared" si="1"/>
        <v>1</v>
      </c>
      <c r="L9" s="138">
        <f t="shared" si="1"/>
        <v>1</v>
      </c>
      <c r="M9" s="138">
        <f t="shared" si="1"/>
        <v>1</v>
      </c>
      <c r="N9" s="138">
        <f t="shared" si="1"/>
        <v>1</v>
      </c>
      <c r="O9" s="138">
        <f t="shared" si="1"/>
        <v>1</v>
      </c>
      <c r="P9" s="138">
        <f t="shared" si="1"/>
        <v>1</v>
      </c>
      <c r="Q9">
        <f>SUM(E9:P9)/12</f>
        <v>1</v>
      </c>
    </row>
    <row r="10" spans="1:17">
      <c r="A10" t="s">
        <v>489</v>
      </c>
      <c r="B10" s="177">
        <f>+'1st Year Cr'!B11</f>
        <v>236</v>
      </c>
      <c r="C10" s="177">
        <v>5</v>
      </c>
      <c r="D10" s="34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</row>
    <row r="11" spans="1:17">
      <c r="B11" s="177"/>
      <c r="C11" s="177"/>
      <c r="D11" s="34"/>
      <c r="E11" s="138">
        <f>SUM(E10/$D10)</f>
        <v>1</v>
      </c>
      <c r="F11" s="138">
        <f t="shared" ref="F11:P11" si="2">SUM(F10/$D10)</f>
        <v>1</v>
      </c>
      <c r="G11" s="138">
        <f t="shared" si="2"/>
        <v>1</v>
      </c>
      <c r="H11" s="138">
        <f t="shared" si="2"/>
        <v>1</v>
      </c>
      <c r="I11" s="138">
        <f t="shared" si="2"/>
        <v>1</v>
      </c>
      <c r="J11" s="138">
        <f t="shared" si="2"/>
        <v>1</v>
      </c>
      <c r="K11" s="138">
        <f t="shared" si="2"/>
        <v>1</v>
      </c>
      <c r="L11" s="138">
        <f t="shared" si="2"/>
        <v>1</v>
      </c>
      <c r="M11" s="138">
        <f t="shared" si="2"/>
        <v>1</v>
      </c>
      <c r="N11" s="138">
        <f t="shared" si="2"/>
        <v>1</v>
      </c>
      <c r="O11" s="138">
        <f t="shared" si="2"/>
        <v>1</v>
      </c>
      <c r="P11" s="138">
        <f t="shared" si="2"/>
        <v>1</v>
      </c>
      <c r="Q11">
        <f>SUM(E11:P11)/12</f>
        <v>1</v>
      </c>
    </row>
    <row r="12" spans="1:17">
      <c r="A12" t="s">
        <v>489</v>
      </c>
      <c r="B12" s="177">
        <f>+'1st Year Cr'!B13</f>
        <v>237</v>
      </c>
      <c r="C12" s="177">
        <v>5</v>
      </c>
      <c r="D12" s="34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7">
      <c r="B13" s="177"/>
      <c r="C13" s="177"/>
      <c r="D13" s="34"/>
      <c r="E13" s="138">
        <f>SUM(E12/$D12)</f>
        <v>1</v>
      </c>
      <c r="F13" s="138">
        <f t="shared" ref="F13:P13" si="3">SUM(F12/$D12)</f>
        <v>1</v>
      </c>
      <c r="G13" s="138">
        <f t="shared" si="3"/>
        <v>1</v>
      </c>
      <c r="H13" s="138">
        <f t="shared" si="3"/>
        <v>1</v>
      </c>
      <c r="I13" s="138">
        <f t="shared" si="3"/>
        <v>1</v>
      </c>
      <c r="J13" s="138">
        <f t="shared" si="3"/>
        <v>1</v>
      </c>
      <c r="K13" s="138">
        <f t="shared" si="3"/>
        <v>1</v>
      </c>
      <c r="L13" s="138">
        <f t="shared" si="3"/>
        <v>1</v>
      </c>
      <c r="M13" s="138">
        <f t="shared" si="3"/>
        <v>1</v>
      </c>
      <c r="N13" s="138">
        <f t="shared" si="3"/>
        <v>1</v>
      </c>
      <c r="O13" s="138">
        <f t="shared" si="3"/>
        <v>1</v>
      </c>
      <c r="P13" s="138">
        <f t="shared" si="3"/>
        <v>1</v>
      </c>
      <c r="Q13">
        <f>SUM(E13:P13)/12</f>
        <v>1</v>
      </c>
    </row>
    <row r="14" spans="1:17">
      <c r="A14" t="s">
        <v>489</v>
      </c>
      <c r="B14" s="177">
        <f>+'1st Year Cr'!B15</f>
        <v>238</v>
      </c>
      <c r="C14" s="177">
        <v>5</v>
      </c>
      <c r="D14" s="3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</row>
    <row r="15" spans="1:17">
      <c r="B15" s="177"/>
      <c r="C15" s="177"/>
      <c r="D15" s="34"/>
      <c r="E15" s="138">
        <f>SUM(E14/$D14)</f>
        <v>1</v>
      </c>
      <c r="F15" s="138">
        <f t="shared" ref="F15:P15" si="4">SUM(F14/$D14)</f>
        <v>1</v>
      </c>
      <c r="G15" s="138">
        <f t="shared" si="4"/>
        <v>1</v>
      </c>
      <c r="H15" s="138">
        <f t="shared" si="4"/>
        <v>1</v>
      </c>
      <c r="I15" s="138">
        <f t="shared" si="4"/>
        <v>1</v>
      </c>
      <c r="J15" s="138">
        <f t="shared" si="4"/>
        <v>1</v>
      </c>
      <c r="K15" s="138">
        <f t="shared" si="4"/>
        <v>1</v>
      </c>
      <c r="L15" s="138">
        <f t="shared" si="4"/>
        <v>1</v>
      </c>
      <c r="M15" s="138">
        <f t="shared" si="4"/>
        <v>1</v>
      </c>
      <c r="N15" s="138">
        <f t="shared" si="4"/>
        <v>1</v>
      </c>
      <c r="O15" s="138">
        <f t="shared" si="4"/>
        <v>1</v>
      </c>
      <c r="P15" s="138">
        <f t="shared" si="4"/>
        <v>1</v>
      </c>
      <c r="Q15">
        <f>SUM(E15:P15)/12</f>
        <v>1</v>
      </c>
    </row>
    <row r="16" spans="1:17">
      <c r="A16" t="s">
        <v>489</v>
      </c>
      <c r="B16" s="177">
        <f>+'1st Year Cr'!B17</f>
        <v>239</v>
      </c>
      <c r="C16" s="177">
        <v>5</v>
      </c>
      <c r="D16" s="34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</row>
    <row r="17" spans="1:17">
      <c r="B17" s="177"/>
      <c r="C17" s="177"/>
      <c r="D17" s="34"/>
      <c r="E17" s="138">
        <f>SUM(E16/$D16)</f>
        <v>1</v>
      </c>
      <c r="F17" s="138">
        <f t="shared" ref="F17:P17" si="5">SUM(F16/$D16)</f>
        <v>1</v>
      </c>
      <c r="G17" s="138">
        <f t="shared" si="5"/>
        <v>1</v>
      </c>
      <c r="H17" s="138">
        <f t="shared" si="5"/>
        <v>1</v>
      </c>
      <c r="I17" s="138">
        <f t="shared" si="5"/>
        <v>1</v>
      </c>
      <c r="J17" s="138">
        <f t="shared" si="5"/>
        <v>1</v>
      </c>
      <c r="K17" s="138">
        <f t="shared" si="5"/>
        <v>1</v>
      </c>
      <c r="L17" s="138">
        <f t="shared" si="5"/>
        <v>1</v>
      </c>
      <c r="M17" s="138">
        <f t="shared" si="5"/>
        <v>1</v>
      </c>
      <c r="N17" s="138">
        <f t="shared" si="5"/>
        <v>1</v>
      </c>
      <c r="O17" s="138">
        <f t="shared" si="5"/>
        <v>1</v>
      </c>
      <c r="P17" s="138">
        <f t="shared" si="5"/>
        <v>1</v>
      </c>
      <c r="Q17">
        <f>SUM(E17:P17)/12</f>
        <v>1</v>
      </c>
    </row>
    <row r="18" spans="1:17">
      <c r="A18" t="s">
        <v>489</v>
      </c>
      <c r="B18" s="177">
        <f>+'1st Year Cr'!B19</f>
        <v>240</v>
      </c>
      <c r="C18" s="177">
        <v>5</v>
      </c>
      <c r="D18" s="34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7">
      <c r="B19" s="177"/>
      <c r="C19" s="177"/>
      <c r="D19" s="34"/>
      <c r="E19" s="138">
        <f t="shared" ref="E19:P19" si="6">SUM(E18/$D18)</f>
        <v>1</v>
      </c>
      <c r="F19" s="138">
        <f t="shared" si="6"/>
        <v>1</v>
      </c>
      <c r="G19" s="138">
        <f t="shared" si="6"/>
        <v>1</v>
      </c>
      <c r="H19" s="138">
        <f t="shared" si="6"/>
        <v>1</v>
      </c>
      <c r="I19" s="138">
        <f t="shared" si="6"/>
        <v>1</v>
      </c>
      <c r="J19" s="138">
        <f t="shared" si="6"/>
        <v>1</v>
      </c>
      <c r="K19" s="138">
        <f t="shared" si="6"/>
        <v>1</v>
      </c>
      <c r="L19" s="138">
        <f t="shared" si="6"/>
        <v>1</v>
      </c>
      <c r="M19" s="138">
        <f t="shared" si="6"/>
        <v>1</v>
      </c>
      <c r="N19" s="138">
        <f t="shared" si="6"/>
        <v>1</v>
      </c>
      <c r="O19" s="138">
        <f t="shared" si="6"/>
        <v>1</v>
      </c>
      <c r="P19" s="138">
        <f t="shared" si="6"/>
        <v>1</v>
      </c>
      <c r="Q19">
        <f>SUM(E19:P19)/12</f>
        <v>1</v>
      </c>
    </row>
    <row r="20" spans="1:17">
      <c r="A20" t="s">
        <v>489</v>
      </c>
      <c r="B20" s="177">
        <f>+'1st Year Cr'!B21</f>
        <v>241</v>
      </c>
      <c r="C20" s="177">
        <v>5</v>
      </c>
      <c r="D20" s="34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</row>
    <row r="21" spans="1:17">
      <c r="B21" s="177"/>
      <c r="C21" s="177"/>
      <c r="D21" s="34"/>
      <c r="E21" s="138">
        <f t="shared" ref="E21:P21" si="7">SUM(E20/$D20)</f>
        <v>1</v>
      </c>
      <c r="F21" s="138">
        <f t="shared" si="7"/>
        <v>1</v>
      </c>
      <c r="G21" s="138">
        <f t="shared" si="7"/>
        <v>1</v>
      </c>
      <c r="H21" s="138">
        <f t="shared" si="7"/>
        <v>1</v>
      </c>
      <c r="I21" s="138">
        <f t="shared" si="7"/>
        <v>1</v>
      </c>
      <c r="J21" s="138">
        <f t="shared" si="7"/>
        <v>1</v>
      </c>
      <c r="K21" s="138">
        <f t="shared" si="7"/>
        <v>1</v>
      </c>
      <c r="L21" s="138">
        <f t="shared" si="7"/>
        <v>1</v>
      </c>
      <c r="M21" s="138">
        <f t="shared" si="7"/>
        <v>1</v>
      </c>
      <c r="N21" s="138">
        <f t="shared" si="7"/>
        <v>1</v>
      </c>
      <c r="O21" s="138">
        <f t="shared" si="7"/>
        <v>1</v>
      </c>
      <c r="P21" s="138">
        <f t="shared" si="7"/>
        <v>1</v>
      </c>
      <c r="Q21">
        <f>SUM(E21:P21)/12</f>
        <v>1</v>
      </c>
    </row>
    <row r="22" spans="1:17">
      <c r="A22" t="s">
        <v>489</v>
      </c>
      <c r="B22" s="177">
        <f>+'1st Year Cr'!B23</f>
        <v>242</v>
      </c>
      <c r="C22" s="177">
        <v>5</v>
      </c>
      <c r="D22" s="34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7">
      <c r="B23" s="177"/>
      <c r="C23" s="177"/>
      <c r="D23" s="34"/>
      <c r="E23" s="138">
        <f t="shared" ref="E23:P23" si="8">SUM(E22/$D22)</f>
        <v>1</v>
      </c>
      <c r="F23" s="138">
        <f t="shared" si="8"/>
        <v>1</v>
      </c>
      <c r="G23" s="138">
        <f t="shared" si="8"/>
        <v>1</v>
      </c>
      <c r="H23" s="138">
        <f t="shared" si="8"/>
        <v>1</v>
      </c>
      <c r="I23" s="138">
        <f t="shared" si="8"/>
        <v>1</v>
      </c>
      <c r="J23" s="138">
        <f t="shared" si="8"/>
        <v>1</v>
      </c>
      <c r="K23" s="138">
        <f t="shared" si="8"/>
        <v>1</v>
      </c>
      <c r="L23" s="138">
        <f t="shared" si="8"/>
        <v>1</v>
      </c>
      <c r="M23" s="138">
        <f t="shared" si="8"/>
        <v>1</v>
      </c>
      <c r="N23" s="138">
        <f t="shared" si="8"/>
        <v>1</v>
      </c>
      <c r="O23" s="138">
        <f t="shared" si="8"/>
        <v>1</v>
      </c>
      <c r="P23" s="138">
        <f t="shared" si="8"/>
        <v>1</v>
      </c>
      <c r="Q23">
        <f>SUM(E23:P23)/12</f>
        <v>1</v>
      </c>
    </row>
    <row r="24" spans="1:17">
      <c r="A24" t="s">
        <v>489</v>
      </c>
      <c r="B24" s="177">
        <f>+'1st Year Cr'!B25</f>
        <v>243</v>
      </c>
      <c r="C24" s="177">
        <v>5</v>
      </c>
      <c r="D24" s="3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</row>
    <row r="25" spans="1:17">
      <c r="B25" s="177"/>
      <c r="C25" s="177"/>
      <c r="D25" s="34"/>
      <c r="E25" s="138">
        <f t="shared" ref="E25:P25" si="9">SUM(E24/$D24)</f>
        <v>1</v>
      </c>
      <c r="F25" s="138">
        <f t="shared" si="9"/>
        <v>1</v>
      </c>
      <c r="G25" s="138">
        <f t="shared" si="9"/>
        <v>1</v>
      </c>
      <c r="H25" s="138">
        <f t="shared" si="9"/>
        <v>1</v>
      </c>
      <c r="I25" s="138">
        <f t="shared" si="9"/>
        <v>1</v>
      </c>
      <c r="J25" s="138">
        <f t="shared" si="9"/>
        <v>1</v>
      </c>
      <c r="K25" s="138">
        <f t="shared" si="9"/>
        <v>1</v>
      </c>
      <c r="L25" s="138">
        <f t="shared" si="9"/>
        <v>1</v>
      </c>
      <c r="M25" s="138">
        <f t="shared" si="9"/>
        <v>1</v>
      </c>
      <c r="N25" s="138">
        <f t="shared" si="9"/>
        <v>1</v>
      </c>
      <c r="O25" s="138">
        <f t="shared" si="9"/>
        <v>1</v>
      </c>
      <c r="P25" s="138">
        <f t="shared" si="9"/>
        <v>1</v>
      </c>
      <c r="Q25">
        <f>SUM(E25:P25)/12</f>
        <v>1</v>
      </c>
    </row>
    <row r="26" spans="1:17">
      <c r="A26" t="s">
        <v>489</v>
      </c>
      <c r="B26" s="177">
        <f>+'1st Year Cr'!B27</f>
        <v>244</v>
      </c>
      <c r="C26" s="177">
        <v>5</v>
      </c>
      <c r="D26" s="34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</row>
    <row r="27" spans="1:17">
      <c r="B27" s="177"/>
      <c r="D27" s="34"/>
      <c r="E27" s="138">
        <f t="shared" ref="E27:P27" si="10">SUM(E26/$D26)</f>
        <v>1</v>
      </c>
      <c r="F27" s="138">
        <f t="shared" si="10"/>
        <v>1</v>
      </c>
      <c r="G27" s="138">
        <f t="shared" si="10"/>
        <v>1</v>
      </c>
      <c r="H27" s="138">
        <f t="shared" si="10"/>
        <v>1</v>
      </c>
      <c r="I27" s="138">
        <f t="shared" si="10"/>
        <v>1</v>
      </c>
      <c r="J27" s="138">
        <f t="shared" si="10"/>
        <v>1</v>
      </c>
      <c r="K27" s="138">
        <f t="shared" si="10"/>
        <v>1</v>
      </c>
      <c r="L27" s="138">
        <f t="shared" si="10"/>
        <v>1</v>
      </c>
      <c r="M27" s="138">
        <f t="shared" si="10"/>
        <v>1</v>
      </c>
      <c r="N27" s="138">
        <f t="shared" si="10"/>
        <v>1</v>
      </c>
      <c r="O27" s="138">
        <f t="shared" si="10"/>
        <v>1</v>
      </c>
      <c r="P27" s="138">
        <f t="shared" si="10"/>
        <v>1</v>
      </c>
      <c r="Q27">
        <f>SUM(E27:P27)/12</f>
        <v>1</v>
      </c>
    </row>
    <row r="28" spans="1:17">
      <c r="A28" t="s">
        <v>489</v>
      </c>
      <c r="B28" s="177">
        <f>+'1st Year Cr'!B29</f>
        <v>245</v>
      </c>
      <c r="C28" s="177">
        <v>5</v>
      </c>
      <c r="D28" s="34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</row>
    <row r="29" spans="1:17">
      <c r="B29" s="177"/>
      <c r="D29" s="34"/>
      <c r="E29" s="138">
        <f t="shared" ref="E29:P29" si="11">SUM(E28/$D28)</f>
        <v>1</v>
      </c>
      <c r="F29" s="138">
        <f t="shared" si="11"/>
        <v>1</v>
      </c>
      <c r="G29" s="138">
        <f t="shared" si="11"/>
        <v>1</v>
      </c>
      <c r="H29" s="138">
        <f t="shared" si="11"/>
        <v>1</v>
      </c>
      <c r="I29" s="138">
        <f t="shared" si="11"/>
        <v>1</v>
      </c>
      <c r="J29" s="138">
        <f t="shared" si="11"/>
        <v>1</v>
      </c>
      <c r="K29" s="138">
        <f t="shared" si="11"/>
        <v>1</v>
      </c>
      <c r="L29" s="138">
        <f t="shared" si="11"/>
        <v>1</v>
      </c>
      <c r="M29" s="138">
        <f t="shared" si="11"/>
        <v>1</v>
      </c>
      <c r="N29" s="138">
        <f t="shared" si="11"/>
        <v>1</v>
      </c>
      <c r="O29" s="138">
        <f t="shared" si="11"/>
        <v>1</v>
      </c>
      <c r="P29" s="138">
        <f t="shared" si="11"/>
        <v>1</v>
      </c>
      <c r="Q29">
        <f>SUM(E29:P29)/12</f>
        <v>1</v>
      </c>
    </row>
    <row r="30" spans="1:17">
      <c r="A30" t="s">
        <v>489</v>
      </c>
      <c r="B30" s="177">
        <f>+'1st Year Cr'!B31</f>
        <v>246</v>
      </c>
      <c r="C30" s="177">
        <v>10</v>
      </c>
      <c r="D30" s="34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</row>
    <row r="31" spans="1:17">
      <c r="B31" s="177"/>
      <c r="D31" s="34"/>
      <c r="E31" s="138">
        <f t="shared" ref="E31:P31" si="12">SUM(E30/$D30)</f>
        <v>1</v>
      </c>
      <c r="F31" s="138">
        <f t="shared" si="12"/>
        <v>1</v>
      </c>
      <c r="G31" s="138">
        <f t="shared" si="12"/>
        <v>1</v>
      </c>
      <c r="H31" s="138">
        <f t="shared" si="12"/>
        <v>1</v>
      </c>
      <c r="I31" s="138">
        <f t="shared" si="12"/>
        <v>1</v>
      </c>
      <c r="J31" s="138">
        <f t="shared" si="12"/>
        <v>1</v>
      </c>
      <c r="K31" s="138">
        <f t="shared" si="12"/>
        <v>1</v>
      </c>
      <c r="L31" s="138">
        <f t="shared" si="12"/>
        <v>1</v>
      </c>
      <c r="M31" s="138">
        <f t="shared" si="12"/>
        <v>1</v>
      </c>
      <c r="N31" s="138">
        <f t="shared" si="12"/>
        <v>1</v>
      </c>
      <c r="O31" s="138">
        <f t="shared" si="12"/>
        <v>1</v>
      </c>
      <c r="P31" s="138">
        <f t="shared" si="12"/>
        <v>1</v>
      </c>
      <c r="Q31">
        <f>SUM(E31:P31)/12</f>
        <v>1</v>
      </c>
    </row>
    <row r="32" spans="1:17">
      <c r="A32" t="s">
        <v>489</v>
      </c>
      <c r="B32" s="177">
        <f>+'1st Year Cr'!B33</f>
        <v>247</v>
      </c>
      <c r="C32" s="177">
        <v>10</v>
      </c>
      <c r="D32" s="34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</row>
    <row r="33" spans="1:17">
      <c r="B33" s="177"/>
      <c r="D33" s="34"/>
      <c r="E33" s="138">
        <f t="shared" ref="E33:P33" si="13">SUM(E32/$D32)</f>
        <v>1</v>
      </c>
      <c r="F33" s="138">
        <f t="shared" si="13"/>
        <v>1</v>
      </c>
      <c r="G33" s="138">
        <f t="shared" si="13"/>
        <v>1</v>
      </c>
      <c r="H33" s="138">
        <f t="shared" si="13"/>
        <v>1</v>
      </c>
      <c r="I33" s="138">
        <f t="shared" si="13"/>
        <v>1</v>
      </c>
      <c r="J33" s="138">
        <f t="shared" si="13"/>
        <v>1</v>
      </c>
      <c r="K33" s="138">
        <f t="shared" si="13"/>
        <v>1</v>
      </c>
      <c r="L33" s="138">
        <f t="shared" si="13"/>
        <v>1</v>
      </c>
      <c r="M33" s="138">
        <f t="shared" si="13"/>
        <v>1</v>
      </c>
      <c r="N33" s="138">
        <f t="shared" si="13"/>
        <v>1</v>
      </c>
      <c r="O33" s="138">
        <f t="shared" si="13"/>
        <v>1</v>
      </c>
      <c r="P33" s="138">
        <f t="shared" si="13"/>
        <v>1</v>
      </c>
      <c r="Q33">
        <f>SUM(E33:P33)/12</f>
        <v>1</v>
      </c>
    </row>
    <row r="34" spans="1:17">
      <c r="A34" t="s">
        <v>489</v>
      </c>
      <c r="B34" s="177">
        <f>+'1st Year Cr'!B35</f>
        <v>248</v>
      </c>
      <c r="C34" s="177">
        <v>10</v>
      </c>
      <c r="D34" s="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</row>
    <row r="35" spans="1:17">
      <c r="B35" s="177"/>
      <c r="D35" s="34"/>
      <c r="E35" s="138">
        <f t="shared" ref="E35:P35" si="14">SUM(E34/$D34)</f>
        <v>1</v>
      </c>
      <c r="F35" s="138">
        <f t="shared" si="14"/>
        <v>1</v>
      </c>
      <c r="G35" s="138">
        <f t="shared" si="14"/>
        <v>1</v>
      </c>
      <c r="H35" s="138">
        <f t="shared" si="14"/>
        <v>1</v>
      </c>
      <c r="I35" s="138">
        <f t="shared" si="14"/>
        <v>1</v>
      </c>
      <c r="J35" s="138">
        <f t="shared" si="14"/>
        <v>1</v>
      </c>
      <c r="K35" s="138">
        <f t="shared" si="14"/>
        <v>1</v>
      </c>
      <c r="L35" s="138">
        <f t="shared" si="14"/>
        <v>1</v>
      </c>
      <c r="M35" s="138">
        <f t="shared" si="14"/>
        <v>1</v>
      </c>
      <c r="N35" s="138">
        <f t="shared" si="14"/>
        <v>1</v>
      </c>
      <c r="O35" s="138">
        <f t="shared" si="14"/>
        <v>1</v>
      </c>
      <c r="P35" s="138">
        <f t="shared" si="14"/>
        <v>1</v>
      </c>
      <c r="Q35">
        <f>SUM(E35:P35)/12</f>
        <v>1</v>
      </c>
    </row>
    <row r="36" spans="1:17">
      <c r="A36" t="s">
        <v>489</v>
      </c>
      <c r="B36" s="177">
        <f>+'1st Year Cr'!B37</f>
        <v>249</v>
      </c>
      <c r="C36" s="177">
        <v>10</v>
      </c>
      <c r="D36" s="34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</row>
    <row r="37" spans="1:17">
      <c r="B37" s="177"/>
      <c r="D37" s="34"/>
      <c r="E37" s="138">
        <f t="shared" ref="E37:P37" si="15">SUM(E36/$D36)</f>
        <v>1</v>
      </c>
      <c r="F37" s="138">
        <f t="shared" si="15"/>
        <v>1</v>
      </c>
      <c r="G37" s="138">
        <f t="shared" si="15"/>
        <v>1</v>
      </c>
      <c r="H37" s="138">
        <f t="shared" si="15"/>
        <v>1</v>
      </c>
      <c r="I37" s="138">
        <f t="shared" si="15"/>
        <v>1</v>
      </c>
      <c r="J37" s="138">
        <f t="shared" si="15"/>
        <v>1</v>
      </c>
      <c r="K37" s="138">
        <f t="shared" si="15"/>
        <v>1</v>
      </c>
      <c r="L37" s="138">
        <f t="shared" si="15"/>
        <v>1</v>
      </c>
      <c r="M37" s="138">
        <f t="shared" si="15"/>
        <v>1</v>
      </c>
      <c r="N37" s="138">
        <f t="shared" si="15"/>
        <v>1</v>
      </c>
      <c r="O37" s="138">
        <f t="shared" si="15"/>
        <v>1</v>
      </c>
      <c r="P37" s="138">
        <f t="shared" si="15"/>
        <v>1</v>
      </c>
      <c r="Q37">
        <f>SUM(E37:P37)/12</f>
        <v>1</v>
      </c>
    </row>
    <row r="38" spans="1:17">
      <c r="A38" t="s">
        <v>489</v>
      </c>
      <c r="B38" s="177">
        <f>+'1st Year Cr'!B39</f>
        <v>250</v>
      </c>
      <c r="C38" s="177">
        <v>10</v>
      </c>
      <c r="D38" s="34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</row>
    <row r="39" spans="1:17">
      <c r="B39" s="177"/>
      <c r="D39" s="34"/>
      <c r="E39" s="138">
        <f t="shared" ref="E39:P39" si="16">SUM(E38/$D38)</f>
        <v>1</v>
      </c>
      <c r="F39" s="138">
        <f t="shared" si="16"/>
        <v>1</v>
      </c>
      <c r="G39" s="138">
        <f t="shared" si="16"/>
        <v>1</v>
      </c>
      <c r="H39" s="138">
        <f t="shared" si="16"/>
        <v>1</v>
      </c>
      <c r="I39" s="138">
        <f t="shared" si="16"/>
        <v>1</v>
      </c>
      <c r="J39" s="138">
        <f t="shared" si="16"/>
        <v>1</v>
      </c>
      <c r="K39" s="138">
        <f t="shared" si="16"/>
        <v>1</v>
      </c>
      <c r="L39" s="138">
        <f t="shared" si="16"/>
        <v>1</v>
      </c>
      <c r="M39" s="138">
        <f t="shared" si="16"/>
        <v>1</v>
      </c>
      <c r="N39" s="138">
        <f t="shared" si="16"/>
        <v>1</v>
      </c>
      <c r="O39" s="138">
        <f t="shared" si="16"/>
        <v>1</v>
      </c>
      <c r="P39" s="138">
        <f t="shared" si="16"/>
        <v>1</v>
      </c>
      <c r="Q39">
        <f>SUM(E39:P39)/12</f>
        <v>1</v>
      </c>
    </row>
    <row r="40" spans="1:17">
      <c r="A40" t="s">
        <v>489</v>
      </c>
      <c r="B40" s="177">
        <f>+'1st Year Cr'!B41</f>
        <v>251</v>
      </c>
      <c r="C40" s="177">
        <v>10</v>
      </c>
      <c r="D40" s="34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</row>
    <row r="41" spans="1:17">
      <c r="B41" s="177"/>
      <c r="D41" s="34"/>
      <c r="E41" s="138">
        <f t="shared" ref="E41:P41" si="17">SUM(E40/$D40)</f>
        <v>1</v>
      </c>
      <c r="F41" s="138">
        <f t="shared" si="17"/>
        <v>1</v>
      </c>
      <c r="G41" s="138">
        <f t="shared" si="17"/>
        <v>1</v>
      </c>
      <c r="H41" s="138">
        <f t="shared" si="17"/>
        <v>1</v>
      </c>
      <c r="I41" s="138">
        <f t="shared" si="17"/>
        <v>1</v>
      </c>
      <c r="J41" s="138">
        <f t="shared" si="17"/>
        <v>1</v>
      </c>
      <c r="K41" s="138">
        <f t="shared" si="17"/>
        <v>1</v>
      </c>
      <c r="L41" s="138">
        <f t="shared" si="17"/>
        <v>1</v>
      </c>
      <c r="M41" s="138">
        <f t="shared" si="17"/>
        <v>1</v>
      </c>
      <c r="N41" s="138">
        <f t="shared" si="17"/>
        <v>1</v>
      </c>
      <c r="O41" s="138">
        <f t="shared" si="17"/>
        <v>1</v>
      </c>
      <c r="P41" s="138">
        <f t="shared" si="17"/>
        <v>1</v>
      </c>
      <c r="Q41">
        <f>SUM(E41:P41)/12</f>
        <v>1</v>
      </c>
    </row>
    <row r="42" spans="1:17">
      <c r="A42" t="s">
        <v>489</v>
      </c>
      <c r="B42" s="177">
        <f>+'1st Year Cr'!B43</f>
        <v>252</v>
      </c>
      <c r="C42" s="177">
        <v>10</v>
      </c>
      <c r="D42" s="34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</row>
    <row r="43" spans="1:17">
      <c r="B43" s="177"/>
      <c r="D43" s="34"/>
      <c r="E43" s="138">
        <v>1</v>
      </c>
      <c r="F43" s="138">
        <f t="shared" ref="F43:P43" si="18">SUM(F42/$D42)</f>
        <v>1</v>
      </c>
      <c r="G43" s="138">
        <f t="shared" si="18"/>
        <v>1</v>
      </c>
      <c r="H43" s="138">
        <f t="shared" si="18"/>
        <v>1</v>
      </c>
      <c r="I43" s="138">
        <f t="shared" si="18"/>
        <v>1</v>
      </c>
      <c r="J43" s="138">
        <f t="shared" si="18"/>
        <v>1</v>
      </c>
      <c r="K43" s="138">
        <f t="shared" si="18"/>
        <v>1</v>
      </c>
      <c r="L43" s="138">
        <f t="shared" si="18"/>
        <v>1</v>
      </c>
      <c r="M43" s="138">
        <f t="shared" si="18"/>
        <v>1</v>
      </c>
      <c r="N43" s="138">
        <f t="shared" si="18"/>
        <v>1</v>
      </c>
      <c r="O43" s="138">
        <f t="shared" si="18"/>
        <v>1</v>
      </c>
      <c r="P43" s="138">
        <f t="shared" si="18"/>
        <v>1</v>
      </c>
      <c r="Q43">
        <f>SUM(E43:P43)/12</f>
        <v>1</v>
      </c>
    </row>
    <row r="44" spans="1:17">
      <c r="A44" t="s">
        <v>489</v>
      </c>
      <c r="B44" s="177">
        <f>+'1st Year Cr'!B45</f>
        <v>253</v>
      </c>
      <c r="C44" s="177">
        <v>10</v>
      </c>
      <c r="D44" s="3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</row>
    <row r="45" spans="1:17">
      <c r="B45" s="177"/>
      <c r="D45" s="34"/>
      <c r="E45" s="138">
        <f t="shared" ref="E45:P45" si="19">SUM(E44/$D44)</f>
        <v>1</v>
      </c>
      <c r="F45" s="138">
        <f t="shared" si="19"/>
        <v>1</v>
      </c>
      <c r="G45" s="138">
        <f t="shared" si="19"/>
        <v>1</v>
      </c>
      <c r="H45" s="138">
        <f t="shared" si="19"/>
        <v>1</v>
      </c>
      <c r="I45" s="138">
        <f t="shared" si="19"/>
        <v>1</v>
      </c>
      <c r="J45" s="138">
        <f t="shared" si="19"/>
        <v>1</v>
      </c>
      <c r="K45" s="138">
        <f t="shared" si="19"/>
        <v>1</v>
      </c>
      <c r="L45" s="138">
        <f t="shared" si="19"/>
        <v>1</v>
      </c>
      <c r="M45" s="138">
        <f t="shared" si="19"/>
        <v>1</v>
      </c>
      <c r="N45" s="138">
        <f t="shared" si="19"/>
        <v>1</v>
      </c>
      <c r="O45" s="138">
        <f t="shared" si="19"/>
        <v>1</v>
      </c>
      <c r="P45" s="138">
        <f t="shared" si="19"/>
        <v>1</v>
      </c>
      <c r="Q45">
        <f>SUM(E45:P45)/12</f>
        <v>1</v>
      </c>
    </row>
    <row r="46" spans="1:17">
      <c r="A46" t="s">
        <v>489</v>
      </c>
      <c r="B46" s="177">
        <f>+'1st Year Cr'!B47</f>
        <v>254</v>
      </c>
      <c r="C46" s="177">
        <v>10</v>
      </c>
      <c r="D46" s="34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</row>
    <row r="47" spans="1:17">
      <c r="B47" s="177"/>
      <c r="D47" s="34"/>
      <c r="E47" s="138">
        <f t="shared" ref="E47:P47" si="20">SUM(E46/$D46)</f>
        <v>1</v>
      </c>
      <c r="F47" s="138">
        <f t="shared" si="20"/>
        <v>1</v>
      </c>
      <c r="G47" s="138">
        <f t="shared" si="20"/>
        <v>1</v>
      </c>
      <c r="H47" s="138">
        <f t="shared" si="20"/>
        <v>1</v>
      </c>
      <c r="I47" s="138">
        <f t="shared" si="20"/>
        <v>1</v>
      </c>
      <c r="J47" s="138">
        <f t="shared" si="20"/>
        <v>1</v>
      </c>
      <c r="K47" s="138">
        <f t="shared" si="20"/>
        <v>1</v>
      </c>
      <c r="L47" s="138">
        <f t="shared" si="20"/>
        <v>1</v>
      </c>
      <c r="M47" s="138">
        <f t="shared" si="20"/>
        <v>1</v>
      </c>
      <c r="N47" s="138">
        <f t="shared" si="20"/>
        <v>1</v>
      </c>
      <c r="O47" s="138">
        <f t="shared" si="20"/>
        <v>1</v>
      </c>
      <c r="P47" s="138">
        <f t="shared" si="20"/>
        <v>1</v>
      </c>
      <c r="Q47">
        <f>SUM(E47:P47)/12</f>
        <v>1</v>
      </c>
    </row>
    <row r="48" spans="1:17">
      <c r="A48" t="s">
        <v>489</v>
      </c>
      <c r="B48" s="177">
        <f>+'1st Year Cr'!B49</f>
        <v>255</v>
      </c>
      <c r="C48" s="177">
        <v>10</v>
      </c>
      <c r="D48" s="34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</row>
    <row r="49" spans="1:17">
      <c r="B49" s="177"/>
      <c r="D49" s="34"/>
      <c r="E49" s="138">
        <f t="shared" ref="E49:P49" si="21">SUM(E48/$D48)</f>
        <v>1</v>
      </c>
      <c r="F49" s="138">
        <f t="shared" si="21"/>
        <v>1</v>
      </c>
      <c r="G49" s="138">
        <f t="shared" si="21"/>
        <v>1</v>
      </c>
      <c r="H49" s="138">
        <f t="shared" si="21"/>
        <v>1</v>
      </c>
      <c r="I49" s="138">
        <f t="shared" si="21"/>
        <v>1</v>
      </c>
      <c r="J49" s="138">
        <f t="shared" si="21"/>
        <v>1</v>
      </c>
      <c r="K49" s="138">
        <f t="shared" si="21"/>
        <v>1</v>
      </c>
      <c r="L49" s="138">
        <f t="shared" si="21"/>
        <v>1</v>
      </c>
      <c r="M49" s="138">
        <f t="shared" si="21"/>
        <v>1</v>
      </c>
      <c r="N49" s="138">
        <f t="shared" si="21"/>
        <v>1</v>
      </c>
      <c r="O49" s="138">
        <f t="shared" si="21"/>
        <v>1</v>
      </c>
      <c r="P49" s="138">
        <f t="shared" si="21"/>
        <v>1</v>
      </c>
      <c r="Q49">
        <f>SUM(E49:P49)/12</f>
        <v>1</v>
      </c>
    </row>
    <row r="50" spans="1:17">
      <c r="A50" t="s">
        <v>489</v>
      </c>
      <c r="B50" s="177">
        <f>+'1st Year Cr'!B51</f>
        <v>256</v>
      </c>
      <c r="C50" s="177">
        <v>10</v>
      </c>
      <c r="D50" s="34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</row>
    <row r="51" spans="1:17">
      <c r="B51" s="177"/>
      <c r="D51" s="34"/>
      <c r="E51" s="138">
        <f t="shared" ref="E51:P51" si="22">SUM(E50/$D50)</f>
        <v>1</v>
      </c>
      <c r="F51" s="138">
        <f t="shared" si="22"/>
        <v>1</v>
      </c>
      <c r="G51" s="138">
        <f t="shared" si="22"/>
        <v>1</v>
      </c>
      <c r="H51" s="138">
        <f t="shared" si="22"/>
        <v>1</v>
      </c>
      <c r="I51" s="138">
        <f t="shared" si="22"/>
        <v>1</v>
      </c>
      <c r="J51" s="138">
        <f t="shared" si="22"/>
        <v>1</v>
      </c>
      <c r="K51" s="138">
        <f t="shared" si="22"/>
        <v>1</v>
      </c>
      <c r="L51" s="138">
        <f t="shared" si="22"/>
        <v>1</v>
      </c>
      <c r="M51" s="138">
        <f t="shared" si="22"/>
        <v>1</v>
      </c>
      <c r="N51" s="138">
        <f t="shared" si="22"/>
        <v>1</v>
      </c>
      <c r="O51" s="138">
        <f t="shared" si="22"/>
        <v>1</v>
      </c>
      <c r="P51" s="138">
        <f t="shared" si="22"/>
        <v>1</v>
      </c>
      <c r="Q51">
        <f>SUM(E51:P51)/12</f>
        <v>1</v>
      </c>
    </row>
    <row r="52" spans="1:17">
      <c r="A52" t="s">
        <v>489</v>
      </c>
      <c r="B52" s="177">
        <f>+'1st Year Cr'!B53</f>
        <v>257</v>
      </c>
      <c r="C52" s="177">
        <v>10</v>
      </c>
      <c r="D52" s="34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</row>
    <row r="53" spans="1:17">
      <c r="B53" s="177"/>
      <c r="D53" s="34"/>
      <c r="E53" s="138">
        <f t="shared" ref="E53:P53" si="23">SUM(E52/$D52)</f>
        <v>1</v>
      </c>
      <c r="F53" s="138">
        <f t="shared" si="23"/>
        <v>1</v>
      </c>
      <c r="G53" s="138">
        <f t="shared" si="23"/>
        <v>1</v>
      </c>
      <c r="H53" s="138">
        <f t="shared" si="23"/>
        <v>1</v>
      </c>
      <c r="I53" s="138">
        <f t="shared" si="23"/>
        <v>1</v>
      </c>
      <c r="J53" s="138">
        <f t="shared" si="23"/>
        <v>1</v>
      </c>
      <c r="K53" s="138">
        <f t="shared" si="23"/>
        <v>1</v>
      </c>
      <c r="L53" s="138">
        <f t="shared" si="23"/>
        <v>1</v>
      </c>
      <c r="M53" s="138">
        <f t="shared" si="23"/>
        <v>1</v>
      </c>
      <c r="N53" s="138">
        <f t="shared" si="23"/>
        <v>1</v>
      </c>
      <c r="O53" s="138">
        <f t="shared" si="23"/>
        <v>1</v>
      </c>
      <c r="P53" s="138">
        <f t="shared" si="23"/>
        <v>1</v>
      </c>
      <c r="Q53">
        <f>SUM(E53:P53)/12</f>
        <v>1</v>
      </c>
    </row>
    <row r="54" spans="1:17">
      <c r="A54" t="s">
        <v>489</v>
      </c>
      <c r="B54" s="177">
        <f>+'1st Year Cr'!B55</f>
        <v>258</v>
      </c>
      <c r="C54" s="177">
        <v>10</v>
      </c>
      <c r="D54" s="34">
        <v>1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</row>
    <row r="55" spans="1:17">
      <c r="B55" s="177"/>
      <c r="D55" s="34"/>
      <c r="E55" s="138">
        <f t="shared" ref="E55:P55" si="24">SUM(E54/$D54)</f>
        <v>0</v>
      </c>
      <c r="F55" s="138">
        <f t="shared" si="24"/>
        <v>1</v>
      </c>
      <c r="G55" s="138">
        <f t="shared" si="24"/>
        <v>1</v>
      </c>
      <c r="H55" s="138">
        <f t="shared" si="24"/>
        <v>1</v>
      </c>
      <c r="I55" s="138">
        <f t="shared" si="24"/>
        <v>1</v>
      </c>
      <c r="J55" s="138">
        <f t="shared" si="24"/>
        <v>1</v>
      </c>
      <c r="K55" s="138">
        <f t="shared" si="24"/>
        <v>1</v>
      </c>
      <c r="L55" s="138">
        <f t="shared" si="24"/>
        <v>1</v>
      </c>
      <c r="M55" s="138">
        <f t="shared" si="24"/>
        <v>1</v>
      </c>
      <c r="N55" s="138">
        <f t="shared" si="24"/>
        <v>1</v>
      </c>
      <c r="O55" s="138">
        <f t="shared" si="24"/>
        <v>1</v>
      </c>
      <c r="P55" s="138">
        <f t="shared" si="24"/>
        <v>1</v>
      </c>
      <c r="Q55">
        <f>SUM(E55:P55)/12</f>
        <v>0.91666666666666663</v>
      </c>
    </row>
    <row r="56" spans="1:17">
      <c r="A56" t="s">
        <v>489</v>
      </c>
      <c r="B56" s="177">
        <f>+'1st Year Cr'!B57</f>
        <v>259</v>
      </c>
      <c r="C56" s="177">
        <v>10</v>
      </c>
      <c r="D56" s="34">
        <v>1</v>
      </c>
      <c r="E56">
        <v>0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</row>
    <row r="57" spans="1:17">
      <c r="B57" s="177"/>
      <c r="D57" s="34"/>
      <c r="E57" s="138">
        <f t="shared" ref="E57:P57" si="25">SUM(E56/$D56)</f>
        <v>0</v>
      </c>
      <c r="F57" s="138">
        <f t="shared" si="25"/>
        <v>1</v>
      </c>
      <c r="G57" s="138">
        <f t="shared" si="25"/>
        <v>1</v>
      </c>
      <c r="H57" s="138">
        <f t="shared" si="25"/>
        <v>1</v>
      </c>
      <c r="I57" s="138">
        <f t="shared" si="25"/>
        <v>1</v>
      </c>
      <c r="J57" s="138">
        <f t="shared" si="25"/>
        <v>1</v>
      </c>
      <c r="K57" s="138">
        <f t="shared" si="25"/>
        <v>1</v>
      </c>
      <c r="L57" s="138">
        <f t="shared" si="25"/>
        <v>1</v>
      </c>
      <c r="M57" s="138">
        <f t="shared" si="25"/>
        <v>1</v>
      </c>
      <c r="N57" s="138">
        <f t="shared" si="25"/>
        <v>1</v>
      </c>
      <c r="O57" s="138">
        <f t="shared" si="25"/>
        <v>1</v>
      </c>
      <c r="P57" s="138">
        <f t="shared" si="25"/>
        <v>1</v>
      </c>
      <c r="Q57">
        <f>SUM(E57:P57)/12</f>
        <v>0.91666666666666663</v>
      </c>
    </row>
    <row r="58" spans="1:17">
      <c r="A58" t="s">
        <v>489</v>
      </c>
      <c r="B58" s="177">
        <f>+'1st Year Cr'!B59</f>
        <v>260</v>
      </c>
      <c r="C58" s="177">
        <v>10</v>
      </c>
      <c r="D58" s="34">
        <v>1</v>
      </c>
      <c r="E58">
        <v>0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</row>
    <row r="59" spans="1:17">
      <c r="B59" s="177"/>
      <c r="D59" s="34"/>
      <c r="E59" s="138">
        <f t="shared" ref="E59:P59" si="26">SUM(E58/$D58)</f>
        <v>0</v>
      </c>
      <c r="F59" s="138">
        <f t="shared" si="26"/>
        <v>1</v>
      </c>
      <c r="G59" s="138">
        <f t="shared" si="26"/>
        <v>1</v>
      </c>
      <c r="H59" s="138">
        <f t="shared" si="26"/>
        <v>1</v>
      </c>
      <c r="I59" s="138">
        <f t="shared" si="26"/>
        <v>1</v>
      </c>
      <c r="J59" s="138">
        <f t="shared" si="26"/>
        <v>1</v>
      </c>
      <c r="K59" s="138">
        <f t="shared" si="26"/>
        <v>1</v>
      </c>
      <c r="L59" s="138">
        <f t="shared" si="26"/>
        <v>1</v>
      </c>
      <c r="M59" s="138">
        <f t="shared" si="26"/>
        <v>1</v>
      </c>
      <c r="N59" s="138">
        <f t="shared" si="26"/>
        <v>1</v>
      </c>
      <c r="O59" s="138">
        <f t="shared" si="26"/>
        <v>1</v>
      </c>
      <c r="P59" s="138">
        <f t="shared" si="26"/>
        <v>1</v>
      </c>
      <c r="Q59">
        <f>SUM(E59:P59)/12</f>
        <v>0.91666666666666663</v>
      </c>
    </row>
    <row r="60" spans="1:17">
      <c r="A60" t="s">
        <v>489</v>
      </c>
      <c r="B60" s="177">
        <f>+'1st Year Cr'!B61</f>
        <v>261</v>
      </c>
      <c r="C60" s="177">
        <v>10</v>
      </c>
      <c r="D60" s="34">
        <v>1</v>
      </c>
      <c r="E60">
        <v>0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</row>
    <row r="61" spans="1:17">
      <c r="B61" s="177"/>
      <c r="D61" s="34"/>
      <c r="E61" s="138">
        <f t="shared" ref="E61:P61" si="27">SUM(E60/$D60)</f>
        <v>0</v>
      </c>
      <c r="F61" s="138">
        <f t="shared" si="27"/>
        <v>0</v>
      </c>
      <c r="G61" s="138">
        <f t="shared" si="27"/>
        <v>1</v>
      </c>
      <c r="H61" s="138">
        <f t="shared" si="27"/>
        <v>1</v>
      </c>
      <c r="I61" s="138">
        <f t="shared" si="27"/>
        <v>1</v>
      </c>
      <c r="J61" s="138">
        <f t="shared" si="27"/>
        <v>1</v>
      </c>
      <c r="K61" s="138">
        <f t="shared" si="27"/>
        <v>1</v>
      </c>
      <c r="L61" s="138">
        <f t="shared" si="27"/>
        <v>1</v>
      </c>
      <c r="M61" s="138">
        <f t="shared" si="27"/>
        <v>1</v>
      </c>
      <c r="N61" s="138">
        <f t="shared" si="27"/>
        <v>1</v>
      </c>
      <c r="O61" s="138">
        <f t="shared" si="27"/>
        <v>1</v>
      </c>
      <c r="P61" s="138">
        <f t="shared" si="27"/>
        <v>1</v>
      </c>
      <c r="Q61">
        <f>SUM(E61:P61)/12</f>
        <v>0.83333333333333337</v>
      </c>
    </row>
    <row r="62" spans="1:17">
      <c r="A62" t="s">
        <v>489</v>
      </c>
      <c r="B62" s="177">
        <v>256</v>
      </c>
      <c r="C62" s="177">
        <v>10</v>
      </c>
      <c r="D62" s="34">
        <v>1</v>
      </c>
      <c r="E62">
        <v>0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</row>
    <row r="63" spans="1:17">
      <c r="B63" s="177"/>
      <c r="D63" s="34"/>
      <c r="E63" s="138">
        <f t="shared" ref="E63:P63" si="28">SUM(E62/$D62)</f>
        <v>0</v>
      </c>
      <c r="F63" s="138">
        <f t="shared" si="28"/>
        <v>0</v>
      </c>
      <c r="G63" s="138">
        <f t="shared" si="28"/>
        <v>1</v>
      </c>
      <c r="H63" s="138">
        <f t="shared" si="28"/>
        <v>1</v>
      </c>
      <c r="I63" s="138">
        <f t="shared" si="28"/>
        <v>1</v>
      </c>
      <c r="J63" s="138">
        <f t="shared" si="28"/>
        <v>1</v>
      </c>
      <c r="K63" s="138">
        <f t="shared" si="28"/>
        <v>1</v>
      </c>
      <c r="L63" s="138">
        <f t="shared" si="28"/>
        <v>1</v>
      </c>
      <c r="M63" s="138">
        <f t="shared" si="28"/>
        <v>1</v>
      </c>
      <c r="N63" s="138">
        <f t="shared" si="28"/>
        <v>1</v>
      </c>
      <c r="O63" s="138">
        <f t="shared" si="28"/>
        <v>1</v>
      </c>
      <c r="P63" s="138">
        <f t="shared" si="28"/>
        <v>1</v>
      </c>
      <c r="Q63">
        <f>SUM(E63:P63)/12</f>
        <v>0.83333333333333337</v>
      </c>
    </row>
    <row r="64" spans="1:17">
      <c r="A64" t="s">
        <v>489</v>
      </c>
      <c r="B64" s="177">
        <v>257</v>
      </c>
      <c r="C64" s="177">
        <v>10</v>
      </c>
      <c r="D64" s="34">
        <v>1</v>
      </c>
      <c r="E64">
        <v>0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</row>
    <row r="65" spans="1:17">
      <c r="B65" s="177"/>
      <c r="D65" s="34"/>
      <c r="E65" s="138">
        <f t="shared" ref="E65:P65" si="29">SUM(E64/$D64)</f>
        <v>0</v>
      </c>
      <c r="F65" s="138">
        <f t="shared" si="29"/>
        <v>0</v>
      </c>
      <c r="G65" s="138">
        <f t="shared" si="29"/>
        <v>1</v>
      </c>
      <c r="H65" s="138">
        <f t="shared" si="29"/>
        <v>1</v>
      </c>
      <c r="I65" s="138">
        <f t="shared" si="29"/>
        <v>1</v>
      </c>
      <c r="J65" s="138">
        <f t="shared" si="29"/>
        <v>1</v>
      </c>
      <c r="K65" s="138">
        <f t="shared" si="29"/>
        <v>1</v>
      </c>
      <c r="L65" s="138">
        <f t="shared" si="29"/>
        <v>1</v>
      </c>
      <c r="M65" s="138">
        <f t="shared" si="29"/>
        <v>1</v>
      </c>
      <c r="N65" s="138">
        <f t="shared" si="29"/>
        <v>1</v>
      </c>
      <c r="O65" s="138">
        <f t="shared" si="29"/>
        <v>1</v>
      </c>
      <c r="P65" s="138">
        <f t="shared" si="29"/>
        <v>1</v>
      </c>
      <c r="Q65">
        <f>SUM(E65:P65)/12</f>
        <v>0.83333333333333337</v>
      </c>
    </row>
    <row r="66" spans="1:17"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</row>
    <row r="68" spans="1:17">
      <c r="E68">
        <f>SUM(E6+E8+E10+E12+E14+E16+E18+E20+E22+E24+E26+E28+E30+E32+E34+E36+E38+E40+E42+E44+E46+E48+E50+E52+E54+E56+E58+E60+E62+E64)</f>
        <v>24</v>
      </c>
      <c r="F68">
        <f t="shared" ref="F68:P68" si="30">SUM(F6+F8+F10+F12+F14+F16+F18+F20+F22+F24+F26+F28+F30+F32+F34+F36+F38+F40+F42+F44+F46+F48+F50+F52+F54+F56+F58+F60+F62+F64)</f>
        <v>27</v>
      </c>
      <c r="G68">
        <f t="shared" si="30"/>
        <v>30</v>
      </c>
      <c r="H68">
        <f t="shared" si="30"/>
        <v>30</v>
      </c>
      <c r="I68">
        <f t="shared" si="30"/>
        <v>30</v>
      </c>
      <c r="J68">
        <f t="shared" si="30"/>
        <v>30</v>
      </c>
      <c r="K68">
        <f t="shared" si="30"/>
        <v>30</v>
      </c>
      <c r="L68">
        <f t="shared" si="30"/>
        <v>30</v>
      </c>
      <c r="M68">
        <f t="shared" si="30"/>
        <v>30</v>
      </c>
      <c r="N68">
        <f t="shared" si="30"/>
        <v>30</v>
      </c>
      <c r="O68">
        <f t="shared" si="30"/>
        <v>30</v>
      </c>
      <c r="P68">
        <f t="shared" si="30"/>
        <v>30</v>
      </c>
    </row>
    <row r="69" spans="1:17">
      <c r="A69" t="s">
        <v>492</v>
      </c>
      <c r="E69">
        <f>SUM(E68-QOC!P78)</f>
        <v>-10</v>
      </c>
      <c r="F69">
        <f t="shared" ref="F69:P69" si="31">SUM(F68-E68)</f>
        <v>3</v>
      </c>
      <c r="G69">
        <f t="shared" si="31"/>
        <v>3</v>
      </c>
      <c r="H69">
        <f t="shared" si="31"/>
        <v>0</v>
      </c>
      <c r="I69">
        <f t="shared" si="31"/>
        <v>0</v>
      </c>
      <c r="J69">
        <f t="shared" si="31"/>
        <v>0</v>
      </c>
      <c r="K69">
        <f t="shared" si="31"/>
        <v>0</v>
      </c>
      <c r="L69">
        <f t="shared" si="31"/>
        <v>0</v>
      </c>
      <c r="M69">
        <f t="shared" si="31"/>
        <v>0</v>
      </c>
      <c r="N69">
        <f t="shared" si="31"/>
        <v>0</v>
      </c>
      <c r="O69">
        <f t="shared" si="31"/>
        <v>0</v>
      </c>
      <c r="P69">
        <f t="shared" si="31"/>
        <v>0</v>
      </c>
    </row>
  </sheetData>
  <phoneticPr fontId="20" type="noConversion"/>
  <pageMargins left="0.75" right="0.75" top="1" bottom="1" header="0.5" footer="0.5"/>
  <pageSetup scale="54" orientation="landscape" r:id="rId1"/>
  <headerFooter alignWithMargins="0">
    <oddFooter>&amp;C&amp;D &amp;T
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pageSetUpPr fitToPage="1"/>
  </sheetPr>
  <dimension ref="A1:P71"/>
  <sheetViews>
    <sheetView workbookViewId="0"/>
  </sheetViews>
  <sheetFormatPr defaultColWidth="8.85546875" defaultRowHeight="12.75"/>
  <sheetData>
    <row r="1" spans="1:16">
      <c r="A1" s="1" t="str">
        <f>+'Sources &amp; Uses'!A1</f>
        <v>Lamar Building</v>
      </c>
    </row>
    <row r="2" spans="1:16">
      <c r="A2" t="s">
        <v>508</v>
      </c>
      <c r="C2">
        <v>2008</v>
      </c>
    </row>
    <row r="4" spans="1:16">
      <c r="D4" t="s">
        <v>494</v>
      </c>
      <c r="H4" t="s">
        <v>495</v>
      </c>
    </row>
    <row r="5" spans="1:16">
      <c r="A5" s="25" t="s">
        <v>496</v>
      </c>
      <c r="B5" s="25"/>
      <c r="C5" s="25"/>
      <c r="D5" s="25" t="s">
        <v>497</v>
      </c>
      <c r="E5" s="25"/>
      <c r="F5" s="25" t="s">
        <v>498</v>
      </c>
      <c r="G5" s="25"/>
      <c r="H5" s="25" t="s">
        <v>213</v>
      </c>
      <c r="I5" s="25"/>
      <c r="J5" s="178" t="s">
        <v>499</v>
      </c>
      <c r="K5" s="25"/>
      <c r="L5" s="25" t="s">
        <v>500</v>
      </c>
      <c r="M5" s="25"/>
      <c r="N5" s="25" t="s">
        <v>501</v>
      </c>
      <c r="O5" s="25"/>
      <c r="P5" s="25" t="s">
        <v>502</v>
      </c>
    </row>
    <row r="7" spans="1:16">
      <c r="A7" t="s">
        <v>503</v>
      </c>
      <c r="B7" s="177">
        <v>272</v>
      </c>
      <c r="C7">
        <v>9001.9500000000007</v>
      </c>
      <c r="D7" s="179">
        <f>SUM(C7/N7)</f>
        <v>111548.32713754648</v>
      </c>
      <c r="F7" s="180">
        <v>1</v>
      </c>
      <c r="H7" s="179">
        <f>+D7</f>
        <v>111548.32713754648</v>
      </c>
      <c r="J7">
        <f>+'QOC 2nd Yr'!Q7</f>
        <v>1</v>
      </c>
      <c r="L7" s="179">
        <f>SUM(H7*J7)</f>
        <v>111548.32713754648</v>
      </c>
      <c r="N7" s="181">
        <v>8.0699999999999994E-2</v>
      </c>
      <c r="P7" s="179">
        <f>SUM(L7*N7)</f>
        <v>9001.9500000000007</v>
      </c>
    </row>
    <row r="8" spans="1:16">
      <c r="D8" s="179"/>
      <c r="H8" s="179"/>
      <c r="L8" s="179"/>
      <c r="P8" s="179"/>
    </row>
    <row r="9" spans="1:16">
      <c r="A9" t="s">
        <v>503</v>
      </c>
      <c r="B9" s="177">
        <f>+B7+1</f>
        <v>273</v>
      </c>
      <c r="C9">
        <v>9001.9500000000007</v>
      </c>
      <c r="D9" s="179">
        <f>SUM(C9/N9)</f>
        <v>111548.32713754648</v>
      </c>
      <c r="F9" s="180">
        <v>1</v>
      </c>
      <c r="H9" s="179">
        <f>+D9</f>
        <v>111548.32713754648</v>
      </c>
      <c r="J9">
        <f>+'QOC 2nd Yr'!Q9</f>
        <v>1</v>
      </c>
      <c r="L9" s="179">
        <f>SUM(H9*J9)</f>
        <v>111548.32713754648</v>
      </c>
      <c r="N9" s="181">
        <v>8.0699999999999994E-2</v>
      </c>
      <c r="P9" s="179">
        <f>SUM(L9*N9)</f>
        <v>9001.9500000000007</v>
      </c>
    </row>
    <row r="10" spans="1:16">
      <c r="D10" s="179"/>
      <c r="H10" s="179"/>
      <c r="L10" s="179"/>
      <c r="P10" s="179"/>
    </row>
    <row r="11" spans="1:16">
      <c r="A11" t="s">
        <v>503</v>
      </c>
      <c r="B11" s="177">
        <f>+B9+1</f>
        <v>274</v>
      </c>
      <c r="C11">
        <v>9001.9500000000007</v>
      </c>
      <c r="D11" s="179">
        <f>SUM(C11/N11)</f>
        <v>111548.32713754648</v>
      </c>
      <c r="F11" s="180">
        <v>1</v>
      </c>
      <c r="H11" s="179">
        <f>+D11</f>
        <v>111548.32713754648</v>
      </c>
      <c r="J11">
        <f>+'QOC 2nd Yr'!Q11</f>
        <v>1</v>
      </c>
      <c r="L11" s="179">
        <f>SUM(H11*J11)</f>
        <v>111548.32713754648</v>
      </c>
      <c r="N11" s="181">
        <v>8.0699999999999994E-2</v>
      </c>
      <c r="P11" s="179">
        <f>SUM(L11*N11)</f>
        <v>9001.9500000000007</v>
      </c>
    </row>
    <row r="12" spans="1:16">
      <c r="D12" s="179"/>
      <c r="H12" s="179"/>
      <c r="L12" s="179"/>
      <c r="P12" s="179"/>
    </row>
    <row r="13" spans="1:16">
      <c r="A13" t="s">
        <v>503</v>
      </c>
      <c r="B13" s="177">
        <f>+B11+1</f>
        <v>275</v>
      </c>
      <c r="C13">
        <v>9001.9500000000007</v>
      </c>
      <c r="D13" s="179">
        <f>SUM(C13/N13)</f>
        <v>111548.32713754648</v>
      </c>
      <c r="F13" s="180">
        <v>1</v>
      </c>
      <c r="H13" s="179">
        <f>+D13</f>
        <v>111548.32713754648</v>
      </c>
      <c r="J13">
        <f>+'QOC 2nd Yr'!Q13</f>
        <v>1</v>
      </c>
      <c r="L13" s="179">
        <f>SUM(H13*J13)</f>
        <v>111548.32713754648</v>
      </c>
      <c r="N13" s="181">
        <v>8.0699999999999994E-2</v>
      </c>
      <c r="P13" s="179">
        <f>SUM(L13*N13)</f>
        <v>9001.9500000000007</v>
      </c>
    </row>
    <row r="14" spans="1:16">
      <c r="D14" s="179"/>
      <c r="H14" s="179"/>
      <c r="L14" s="179"/>
      <c r="P14" s="179"/>
    </row>
    <row r="15" spans="1:16">
      <c r="A15" t="s">
        <v>503</v>
      </c>
      <c r="B15" s="177">
        <f>+B13+1</f>
        <v>276</v>
      </c>
      <c r="C15">
        <v>9001.9500000000007</v>
      </c>
      <c r="D15" s="179">
        <f>SUM(C15/N15)</f>
        <v>111548.32713754648</v>
      </c>
      <c r="F15" s="180">
        <v>1</v>
      </c>
      <c r="H15" s="179">
        <f>+D15</f>
        <v>111548.32713754648</v>
      </c>
      <c r="J15">
        <f>+'QOC 2nd Yr'!Q15</f>
        <v>1</v>
      </c>
      <c r="L15" s="179">
        <f>SUM(H15*J15)</f>
        <v>111548.32713754648</v>
      </c>
      <c r="N15" s="181">
        <v>8.0699999999999994E-2</v>
      </c>
      <c r="P15" s="179">
        <f>SUM(L15*N15)</f>
        <v>9001.9500000000007</v>
      </c>
    </row>
    <row r="16" spans="1:16">
      <c r="D16" s="179"/>
      <c r="H16" s="179"/>
      <c r="L16" s="179"/>
      <c r="P16" s="179"/>
    </row>
    <row r="17" spans="1:16">
      <c r="A17" t="s">
        <v>503</v>
      </c>
      <c r="B17" s="177">
        <f>+B15+1</f>
        <v>277</v>
      </c>
      <c r="C17">
        <v>9001.9500000000007</v>
      </c>
      <c r="D17" s="179">
        <f>SUM(C17/N17)</f>
        <v>111548.32713754648</v>
      </c>
      <c r="F17" s="180">
        <v>1</v>
      </c>
      <c r="H17" s="179">
        <f>+D17</f>
        <v>111548.32713754648</v>
      </c>
      <c r="J17">
        <f>+'QOC 2nd Yr'!Q17</f>
        <v>1</v>
      </c>
      <c r="L17" s="179">
        <f>SUM(H17*J17)</f>
        <v>111548.32713754648</v>
      </c>
      <c r="N17" s="181">
        <v>8.0699999999999994E-2</v>
      </c>
      <c r="P17" s="179">
        <f>SUM(L17*N17)</f>
        <v>9001.9500000000007</v>
      </c>
    </row>
    <row r="18" spans="1:16">
      <c r="D18" s="179"/>
      <c r="H18" s="179"/>
      <c r="L18" s="179"/>
      <c r="P18" s="179"/>
    </row>
    <row r="19" spans="1:16">
      <c r="A19" t="s">
        <v>503</v>
      </c>
      <c r="B19" s="177">
        <f>+B17+1</f>
        <v>278</v>
      </c>
      <c r="C19">
        <v>10030.34</v>
      </c>
      <c r="D19" s="179">
        <f>SUM(C19/N19)</f>
        <v>124291.697645601</v>
      </c>
      <c r="F19" s="180">
        <v>1</v>
      </c>
      <c r="H19" s="179">
        <f>+D19</f>
        <v>124291.697645601</v>
      </c>
      <c r="J19">
        <f>+'QOC 2nd Yr'!Q19</f>
        <v>1</v>
      </c>
      <c r="L19" s="179">
        <f>SUM(H19*J19)</f>
        <v>124291.697645601</v>
      </c>
      <c r="N19" s="181">
        <v>8.0699999999999994E-2</v>
      </c>
      <c r="P19" s="179">
        <f>SUM(L19*N19)</f>
        <v>10030.34</v>
      </c>
    </row>
    <row r="20" spans="1:16">
      <c r="D20" s="179"/>
      <c r="H20" s="179"/>
      <c r="L20" s="179"/>
      <c r="P20" s="179"/>
    </row>
    <row r="21" spans="1:16">
      <c r="A21" t="s">
        <v>503</v>
      </c>
      <c r="B21" s="177">
        <f>+B19+1</f>
        <v>279</v>
      </c>
      <c r="C21">
        <v>10030.34</v>
      </c>
      <c r="D21" s="179">
        <f>SUM(C21/N21)</f>
        <v>124291.697645601</v>
      </c>
      <c r="F21" s="180">
        <v>1</v>
      </c>
      <c r="H21" s="179">
        <f>+D21</f>
        <v>124291.697645601</v>
      </c>
      <c r="J21">
        <f>+'QOC 2nd Yr'!Q21</f>
        <v>1</v>
      </c>
      <c r="L21" s="179">
        <f>SUM(H21*J21)</f>
        <v>124291.697645601</v>
      </c>
      <c r="N21" s="181">
        <v>8.0699999999999994E-2</v>
      </c>
      <c r="P21" s="179">
        <f>SUM(L21*N21)</f>
        <v>10030.34</v>
      </c>
    </row>
    <row r="22" spans="1:16">
      <c r="D22" s="179"/>
      <c r="H22" s="179"/>
      <c r="L22" s="179"/>
      <c r="P22" s="179"/>
    </row>
    <row r="23" spans="1:16">
      <c r="A23" t="s">
        <v>503</v>
      </c>
      <c r="B23" s="177">
        <f>+B21+1</f>
        <v>280</v>
      </c>
      <c r="C23">
        <v>10030.34</v>
      </c>
      <c r="D23" s="179">
        <f>SUM(C23/N23)</f>
        <v>124291.697645601</v>
      </c>
      <c r="F23" s="180">
        <v>1</v>
      </c>
      <c r="H23" s="179">
        <f>+D23</f>
        <v>124291.697645601</v>
      </c>
      <c r="J23">
        <f>+'QOC 2nd Yr'!Q23</f>
        <v>1</v>
      </c>
      <c r="L23" s="179">
        <f>SUM(H23*J23)</f>
        <v>124291.697645601</v>
      </c>
      <c r="N23" s="181">
        <v>8.0699999999999994E-2</v>
      </c>
      <c r="P23" s="179">
        <f>SUM(L23*N23)</f>
        <v>10030.34</v>
      </c>
    </row>
    <row r="24" spans="1:16">
      <c r="D24" s="179"/>
      <c r="H24" s="179"/>
      <c r="L24" s="179"/>
      <c r="P24" s="179"/>
    </row>
    <row r="25" spans="1:16">
      <c r="A25" t="s">
        <v>503</v>
      </c>
      <c r="B25" s="177">
        <f>+B23+1</f>
        <v>281</v>
      </c>
      <c r="C25">
        <v>10030.34</v>
      </c>
      <c r="D25" s="179">
        <f>SUM(C25/N25)</f>
        <v>124291.697645601</v>
      </c>
      <c r="F25" s="33">
        <v>1</v>
      </c>
      <c r="H25" s="179">
        <f>+D25</f>
        <v>124291.697645601</v>
      </c>
      <c r="J25">
        <f>+'QOC 2nd Yr'!Q25</f>
        <v>1</v>
      </c>
      <c r="L25" s="179">
        <f>SUM(H25*J25)</f>
        <v>124291.697645601</v>
      </c>
      <c r="N25" s="181">
        <v>8.0699999999999994E-2</v>
      </c>
      <c r="P25" s="179">
        <f>SUM(L25*N25)</f>
        <v>10030.34</v>
      </c>
    </row>
    <row r="26" spans="1:16">
      <c r="D26" s="179"/>
      <c r="F26" s="33"/>
      <c r="H26" s="179"/>
      <c r="L26" s="179"/>
      <c r="P26" s="179"/>
    </row>
    <row r="27" spans="1:16">
      <c r="A27" t="s">
        <v>503</v>
      </c>
      <c r="B27" s="177">
        <f>+B25+1</f>
        <v>282</v>
      </c>
      <c r="C27">
        <v>10030.34</v>
      </c>
      <c r="D27" s="179">
        <f>SUM(C27/N27)</f>
        <v>124291.697645601</v>
      </c>
      <c r="F27" s="33">
        <v>1</v>
      </c>
      <c r="H27" s="179">
        <f>+D27</f>
        <v>124291.697645601</v>
      </c>
      <c r="J27">
        <f>+'QOC 2nd Yr'!Q27</f>
        <v>1</v>
      </c>
      <c r="L27" s="179">
        <f>SUM(H27*J27)</f>
        <v>124291.697645601</v>
      </c>
      <c r="N27" s="181">
        <v>8.0699999999999994E-2</v>
      </c>
      <c r="P27" s="179">
        <f>SUM(L27*N27)</f>
        <v>10030.34</v>
      </c>
    </row>
    <row r="28" spans="1:16">
      <c r="D28" s="179"/>
      <c r="H28" s="179"/>
      <c r="L28" s="179"/>
      <c r="P28" s="179"/>
    </row>
    <row r="29" spans="1:16">
      <c r="A29" t="s">
        <v>503</v>
      </c>
      <c r="B29" s="177">
        <f>+B27+1</f>
        <v>283</v>
      </c>
      <c r="C29">
        <v>10030.34</v>
      </c>
      <c r="D29" s="179">
        <f>SUM(C29/N29)</f>
        <v>124291.697645601</v>
      </c>
      <c r="F29" s="33">
        <v>1</v>
      </c>
      <c r="H29" s="179">
        <f>+D29</f>
        <v>124291.697645601</v>
      </c>
      <c r="J29">
        <f>+'QOC 2nd Yr'!Q29</f>
        <v>1</v>
      </c>
      <c r="L29" s="179">
        <f>SUM(H29*J29)</f>
        <v>124291.697645601</v>
      </c>
      <c r="N29" s="181">
        <v>8.0699999999999994E-2</v>
      </c>
      <c r="P29" s="179">
        <f>SUM(L29*N29)</f>
        <v>10030.34</v>
      </c>
    </row>
    <row r="30" spans="1:16">
      <c r="D30" s="179"/>
      <c r="H30" s="179"/>
      <c r="L30" s="179"/>
      <c r="P30" s="179"/>
    </row>
    <row r="31" spans="1:16">
      <c r="A31" t="s">
        <v>503</v>
      </c>
      <c r="B31" s="177">
        <f>+B29+1</f>
        <v>284</v>
      </c>
      <c r="C31">
        <v>10030.34</v>
      </c>
      <c r="D31" s="179">
        <f>SUM(C31/N31)</f>
        <v>124291.697645601</v>
      </c>
      <c r="F31" s="33">
        <v>1</v>
      </c>
      <c r="H31" s="179">
        <f>+D31</f>
        <v>124291.697645601</v>
      </c>
      <c r="J31">
        <f>+'QOC 2nd Yr'!Q31</f>
        <v>1</v>
      </c>
      <c r="L31" s="179">
        <f>SUM(H31*J31)</f>
        <v>124291.697645601</v>
      </c>
      <c r="N31" s="181">
        <v>8.0699999999999994E-2</v>
      </c>
      <c r="P31" s="179">
        <f>SUM(L31*N31)</f>
        <v>10030.34</v>
      </c>
    </row>
    <row r="32" spans="1:16">
      <c r="D32" s="179"/>
      <c r="H32" s="179"/>
      <c r="L32" s="179"/>
      <c r="P32" s="179"/>
    </row>
    <row r="33" spans="1:16">
      <c r="A33" t="s">
        <v>503</v>
      </c>
      <c r="B33" s="177">
        <f>+B31+1</f>
        <v>285</v>
      </c>
      <c r="C33">
        <v>10030.34</v>
      </c>
      <c r="D33" s="179">
        <f>SUM(C33/N33)</f>
        <v>124291.697645601</v>
      </c>
      <c r="F33" s="33">
        <v>1</v>
      </c>
      <c r="H33" s="179">
        <f>+D33</f>
        <v>124291.697645601</v>
      </c>
      <c r="J33">
        <f>+'QOC 2nd Yr'!Q33</f>
        <v>1</v>
      </c>
      <c r="L33" s="179">
        <f>SUM(H33*J33)</f>
        <v>124291.697645601</v>
      </c>
      <c r="N33" s="181">
        <v>8.0699999999999994E-2</v>
      </c>
      <c r="P33" s="179">
        <f>SUM(L33*N33)</f>
        <v>10030.34</v>
      </c>
    </row>
    <row r="34" spans="1:16">
      <c r="D34" s="179"/>
      <c r="H34" s="179"/>
      <c r="L34" s="179"/>
      <c r="P34" s="179"/>
    </row>
    <row r="35" spans="1:16">
      <c r="A35" t="s">
        <v>503</v>
      </c>
      <c r="B35" s="177">
        <f>+B33+1</f>
        <v>286</v>
      </c>
      <c r="C35">
        <v>10030.34</v>
      </c>
      <c r="D35" s="179">
        <f>SUM(C35/N35)</f>
        <v>124291.697645601</v>
      </c>
      <c r="F35" s="33">
        <v>1</v>
      </c>
      <c r="H35" s="179">
        <f>+D35</f>
        <v>124291.697645601</v>
      </c>
      <c r="J35">
        <f>+'QOC 2nd Yr'!Q35</f>
        <v>1</v>
      </c>
      <c r="L35" s="179">
        <f>SUM(H35*J35)</f>
        <v>124291.697645601</v>
      </c>
      <c r="N35" s="181">
        <v>8.0699999999999994E-2</v>
      </c>
      <c r="P35" s="179">
        <f>SUM(L35*N35)</f>
        <v>10030.34</v>
      </c>
    </row>
    <row r="36" spans="1:16">
      <c r="D36" s="179"/>
      <c r="H36" s="179"/>
      <c r="L36" s="179"/>
      <c r="P36" s="179"/>
    </row>
    <row r="37" spans="1:16">
      <c r="A37" t="s">
        <v>503</v>
      </c>
      <c r="B37" s="177">
        <f>+B35+1</f>
        <v>287</v>
      </c>
      <c r="C37">
        <v>10030.34</v>
      </c>
      <c r="D37" s="179">
        <f>SUM(C37/N37)</f>
        <v>124291.697645601</v>
      </c>
      <c r="F37" s="33">
        <v>1</v>
      </c>
      <c r="H37" s="179">
        <f>+D37</f>
        <v>124291.697645601</v>
      </c>
      <c r="J37">
        <f>+'QOC 2nd Yr'!Q37</f>
        <v>1</v>
      </c>
      <c r="L37" s="179">
        <f>SUM(H37*J37)</f>
        <v>124291.697645601</v>
      </c>
      <c r="N37" s="181">
        <v>8.0699999999999994E-2</v>
      </c>
      <c r="P37" s="179">
        <f>SUM(L37*N37)</f>
        <v>10030.34</v>
      </c>
    </row>
    <row r="38" spans="1:16">
      <c r="D38" s="179"/>
      <c r="H38" s="179"/>
      <c r="L38" s="179"/>
      <c r="P38" s="179"/>
    </row>
    <row r="39" spans="1:16">
      <c r="A39" t="s">
        <v>503</v>
      </c>
      <c r="B39" s="177">
        <f>+B37+1</f>
        <v>288</v>
      </c>
      <c r="C39">
        <v>10030.34</v>
      </c>
      <c r="D39" s="179">
        <f>SUM(C39/N39)</f>
        <v>124291.697645601</v>
      </c>
      <c r="F39" s="33">
        <v>1</v>
      </c>
      <c r="H39" s="179">
        <f>+D39</f>
        <v>124291.697645601</v>
      </c>
      <c r="J39">
        <f>+'QOC 2nd Yr'!Q39</f>
        <v>1</v>
      </c>
      <c r="L39" s="179">
        <f>SUM(H39*J39)</f>
        <v>124291.697645601</v>
      </c>
      <c r="N39" s="181">
        <v>8.0699999999999994E-2</v>
      </c>
      <c r="P39" s="179">
        <f>SUM(L39*N39)</f>
        <v>10030.34</v>
      </c>
    </row>
    <row r="40" spans="1:16">
      <c r="D40" s="179"/>
      <c r="H40" s="179"/>
      <c r="L40" s="179"/>
      <c r="P40" s="179"/>
    </row>
    <row r="41" spans="1:16">
      <c r="A41" t="s">
        <v>503</v>
      </c>
      <c r="B41" s="177">
        <f>+B39+1</f>
        <v>289</v>
      </c>
      <c r="C41">
        <v>10030.34</v>
      </c>
      <c r="D41" s="179">
        <f>SUM(C41/N41)</f>
        <v>124291.697645601</v>
      </c>
      <c r="F41" s="33">
        <v>1</v>
      </c>
      <c r="H41" s="179">
        <f>+D41</f>
        <v>124291.697645601</v>
      </c>
      <c r="J41">
        <f>+'QOC 2nd Yr'!Q41</f>
        <v>1</v>
      </c>
      <c r="L41" s="179">
        <f>SUM(H41*J41)</f>
        <v>124291.697645601</v>
      </c>
      <c r="N41" s="181">
        <v>8.0699999999999994E-2</v>
      </c>
      <c r="P41" s="179">
        <f>SUM(L41*N41)</f>
        <v>10030.34</v>
      </c>
    </row>
    <row r="42" spans="1:16">
      <c r="D42" s="179"/>
      <c r="H42" s="179"/>
      <c r="L42" s="179"/>
      <c r="P42" s="179"/>
    </row>
    <row r="43" spans="1:16">
      <c r="A43" t="s">
        <v>503</v>
      </c>
      <c r="B43" s="177">
        <f>+B41+1</f>
        <v>290</v>
      </c>
      <c r="C43">
        <v>10030.34</v>
      </c>
      <c r="D43" s="179">
        <f>SUM(C43/N43)</f>
        <v>124291.697645601</v>
      </c>
      <c r="F43" s="33">
        <v>1</v>
      </c>
      <c r="H43" s="179">
        <f>+D43</f>
        <v>124291.697645601</v>
      </c>
      <c r="J43">
        <f>+'QOC 2nd Yr'!Q43</f>
        <v>1</v>
      </c>
      <c r="L43" s="179">
        <f>SUM(H43*J43)</f>
        <v>124291.697645601</v>
      </c>
      <c r="N43" s="181">
        <v>8.0699999999999994E-2</v>
      </c>
      <c r="P43" s="179">
        <f>SUM(L43*N43)</f>
        <v>10030.34</v>
      </c>
    </row>
    <row r="44" spans="1:16">
      <c r="D44" s="179"/>
      <c r="H44" s="179"/>
      <c r="L44" s="179"/>
      <c r="P44" s="179"/>
    </row>
    <row r="45" spans="1:16">
      <c r="A45" t="s">
        <v>503</v>
      </c>
      <c r="B45" s="177">
        <f>+B43+1</f>
        <v>291</v>
      </c>
      <c r="C45">
        <v>10030.34</v>
      </c>
      <c r="D45" s="179">
        <f>SUM(C45/N45)</f>
        <v>124291.697645601</v>
      </c>
      <c r="F45" s="33">
        <v>1</v>
      </c>
      <c r="H45" s="179">
        <f>+D45</f>
        <v>124291.697645601</v>
      </c>
      <c r="J45">
        <f>+'QOC 2nd Yr'!Q45</f>
        <v>1</v>
      </c>
      <c r="L45" s="179">
        <f>SUM(H45*J45)</f>
        <v>124291.697645601</v>
      </c>
      <c r="N45" s="181">
        <v>8.0699999999999994E-2</v>
      </c>
      <c r="P45" s="179">
        <f>SUM(L45*N45)</f>
        <v>10030.34</v>
      </c>
    </row>
    <row r="46" spans="1:16">
      <c r="D46" s="179"/>
      <c r="H46" s="179"/>
      <c r="L46" s="179"/>
      <c r="P46" s="179"/>
    </row>
    <row r="47" spans="1:16">
      <c r="A47" t="s">
        <v>503</v>
      </c>
      <c r="B47" s="177">
        <f>+B45+1</f>
        <v>292</v>
      </c>
      <c r="C47">
        <v>10030.34</v>
      </c>
      <c r="D47" s="179">
        <f>SUM(C47/N47)</f>
        <v>124291.697645601</v>
      </c>
      <c r="F47" s="33">
        <v>1</v>
      </c>
      <c r="H47" s="179">
        <f>+D47</f>
        <v>124291.697645601</v>
      </c>
      <c r="J47">
        <f>+'QOC 2nd Yr'!Q47</f>
        <v>1</v>
      </c>
      <c r="L47" s="179">
        <f>SUM(H47*J47)</f>
        <v>124291.697645601</v>
      </c>
      <c r="N47" s="181">
        <v>8.0699999999999994E-2</v>
      </c>
      <c r="P47" s="179">
        <f>SUM(L47*N47)</f>
        <v>10030.34</v>
      </c>
    </row>
    <row r="48" spans="1:16">
      <c r="D48" s="179"/>
      <c r="H48" s="179"/>
      <c r="L48" s="179"/>
      <c r="P48" s="179"/>
    </row>
    <row r="49" spans="1:16">
      <c r="A49" t="s">
        <v>503</v>
      </c>
      <c r="B49" s="177">
        <f>+B47+1</f>
        <v>293</v>
      </c>
      <c r="C49">
        <v>10030.34</v>
      </c>
      <c r="D49" s="179">
        <f>SUM(C49/N49)</f>
        <v>124291.697645601</v>
      </c>
      <c r="F49" s="33">
        <v>1</v>
      </c>
      <c r="H49" s="179">
        <f>+D49</f>
        <v>124291.697645601</v>
      </c>
      <c r="J49">
        <f>+'QOC 2nd Yr'!Q49</f>
        <v>1</v>
      </c>
      <c r="L49" s="179">
        <f>SUM(H49*J49)</f>
        <v>124291.697645601</v>
      </c>
      <c r="N49" s="181">
        <v>8.0699999999999994E-2</v>
      </c>
      <c r="P49" s="179">
        <f>SUM(L49*N49)</f>
        <v>10030.34</v>
      </c>
    </row>
    <row r="50" spans="1:16">
      <c r="D50" s="179"/>
      <c r="H50" s="179"/>
      <c r="L50" s="179"/>
      <c r="P50" s="179"/>
    </row>
    <row r="51" spans="1:16">
      <c r="A51" t="s">
        <v>503</v>
      </c>
      <c r="B51" s="177">
        <f>+B49+1</f>
        <v>294</v>
      </c>
      <c r="C51">
        <v>10030.34</v>
      </c>
      <c r="D51" s="179">
        <f>SUM(C51/N51)</f>
        <v>124291.697645601</v>
      </c>
      <c r="F51" s="33">
        <v>1</v>
      </c>
      <c r="H51" s="179">
        <f>+D51</f>
        <v>124291.697645601</v>
      </c>
      <c r="J51">
        <f>+'QOC 2nd Yr'!Q51</f>
        <v>1</v>
      </c>
      <c r="L51" s="179">
        <f>SUM(H51*J51)</f>
        <v>124291.697645601</v>
      </c>
      <c r="N51" s="181">
        <v>8.0699999999999994E-2</v>
      </c>
      <c r="P51" s="179">
        <f>SUM(L51*N51)</f>
        <v>10030.34</v>
      </c>
    </row>
    <row r="52" spans="1:16">
      <c r="D52" s="179"/>
      <c r="H52" s="179"/>
      <c r="L52" s="179"/>
      <c r="P52" s="179"/>
    </row>
    <row r="53" spans="1:16">
      <c r="A53" t="s">
        <v>503</v>
      </c>
      <c r="B53" s="177">
        <f>+B51+1</f>
        <v>295</v>
      </c>
      <c r="C53">
        <v>10781.79</v>
      </c>
      <c r="D53" s="179">
        <f>SUM(C53/N53)</f>
        <v>133603.34572490709</v>
      </c>
      <c r="F53" s="33">
        <v>1</v>
      </c>
      <c r="H53" s="179">
        <f>+D53</f>
        <v>133603.34572490709</v>
      </c>
      <c r="J53">
        <f>+'QOC 2nd Yr'!Q53</f>
        <v>1</v>
      </c>
      <c r="L53" s="179">
        <f>SUM(H53*J53)</f>
        <v>133603.34572490709</v>
      </c>
      <c r="N53" s="181">
        <v>8.0699999999999994E-2</v>
      </c>
      <c r="P53" s="179">
        <f>SUM(L53*N53)</f>
        <v>10781.79</v>
      </c>
    </row>
    <row r="54" spans="1:16">
      <c r="D54" s="179"/>
      <c r="H54" s="179"/>
      <c r="L54" s="179"/>
      <c r="P54" s="179"/>
    </row>
    <row r="55" spans="1:16">
      <c r="A55" t="s">
        <v>503</v>
      </c>
      <c r="B55" s="177">
        <f>+B53+1</f>
        <v>296</v>
      </c>
      <c r="C55">
        <v>10781.79</v>
      </c>
      <c r="D55" s="179">
        <f>SUM(C55/N55)</f>
        <v>133603.34572490709</v>
      </c>
      <c r="F55" s="33">
        <v>1</v>
      </c>
      <c r="H55" s="179">
        <f>+D55</f>
        <v>133603.34572490709</v>
      </c>
      <c r="J55">
        <f>+'QOC 2nd Yr'!Q55</f>
        <v>0.91666666666666663</v>
      </c>
      <c r="L55" s="179">
        <f>SUM(H55*J55)</f>
        <v>122469.73358116482</v>
      </c>
      <c r="N55" s="181">
        <v>8.0699999999999994E-2</v>
      </c>
      <c r="P55" s="179">
        <f>SUM(L55*N55)</f>
        <v>9883.3075000000008</v>
      </c>
    </row>
    <row r="56" spans="1:16">
      <c r="D56" s="179"/>
      <c r="H56" s="179"/>
      <c r="L56" s="179"/>
      <c r="P56" s="179"/>
    </row>
    <row r="57" spans="1:16">
      <c r="A57" t="s">
        <v>503</v>
      </c>
      <c r="B57" s="177">
        <f>+B55+1</f>
        <v>297</v>
      </c>
      <c r="C57">
        <v>10781.79</v>
      </c>
      <c r="D57" s="179">
        <f>SUM(C57/N57)</f>
        <v>133603.34572490709</v>
      </c>
      <c r="F57" s="33">
        <v>1</v>
      </c>
      <c r="H57" s="179">
        <f>+D57</f>
        <v>133603.34572490709</v>
      </c>
      <c r="J57">
        <f>+'QOC 2nd Yr'!Q57</f>
        <v>0.91666666666666663</v>
      </c>
      <c r="L57" s="179">
        <f>SUM(H57*J57)</f>
        <v>122469.73358116482</v>
      </c>
      <c r="N57" s="181">
        <v>8.0699999999999994E-2</v>
      </c>
      <c r="P57" s="179">
        <f>SUM(L57*N57)</f>
        <v>9883.3075000000008</v>
      </c>
    </row>
    <row r="58" spans="1:16">
      <c r="D58" s="179"/>
      <c r="H58" s="179"/>
      <c r="L58" s="179"/>
      <c r="P58" s="179"/>
    </row>
    <row r="59" spans="1:16">
      <c r="A59" t="s">
        <v>503</v>
      </c>
      <c r="B59" s="177">
        <f>+B57+1</f>
        <v>298</v>
      </c>
      <c r="C59">
        <v>10781.79</v>
      </c>
      <c r="D59" s="179">
        <f>SUM(C59/N59)</f>
        <v>133603.34572490709</v>
      </c>
      <c r="F59" s="33">
        <v>1</v>
      </c>
      <c r="H59" s="179">
        <f>+D59</f>
        <v>133603.34572490709</v>
      </c>
      <c r="J59">
        <f>+'QOC 2nd Yr'!Q59</f>
        <v>0.91666666666666663</v>
      </c>
      <c r="L59" s="179">
        <f>SUM(H59*J59)</f>
        <v>122469.73358116482</v>
      </c>
      <c r="N59" s="181">
        <v>8.0699999999999994E-2</v>
      </c>
      <c r="P59" s="179">
        <f>SUM(L59*N59)</f>
        <v>9883.3075000000008</v>
      </c>
    </row>
    <row r="60" spans="1:16">
      <c r="D60" s="179"/>
      <c r="H60" s="179"/>
      <c r="L60" s="179"/>
      <c r="P60" s="179"/>
    </row>
    <row r="61" spans="1:16">
      <c r="A61" t="s">
        <v>503</v>
      </c>
      <c r="B61" s="177">
        <f>+B59+1</f>
        <v>299</v>
      </c>
      <c r="C61">
        <v>10781.79</v>
      </c>
      <c r="D61" s="179">
        <f>SUM(C61/N61)</f>
        <v>133603.34572490709</v>
      </c>
      <c r="F61" s="33">
        <v>1</v>
      </c>
      <c r="H61" s="179">
        <f>+D61</f>
        <v>133603.34572490709</v>
      </c>
      <c r="J61">
        <f>+'QOC 2nd Yr'!Q61</f>
        <v>0.83333333333333337</v>
      </c>
      <c r="L61" s="179">
        <f>SUM(H61*J61)</f>
        <v>111336.12143742258</v>
      </c>
      <c r="N61" s="181">
        <v>8.0699999999999994E-2</v>
      </c>
      <c r="P61" s="179">
        <f>SUM(L61*N61)</f>
        <v>8984.8250000000025</v>
      </c>
    </row>
    <row r="62" spans="1:16">
      <c r="D62" s="179"/>
      <c r="F62" s="33"/>
      <c r="H62" s="179"/>
      <c r="L62" s="179"/>
      <c r="N62" s="181"/>
      <c r="P62" s="179"/>
    </row>
    <row r="63" spans="1:16">
      <c r="A63" t="s">
        <v>503</v>
      </c>
      <c r="B63" s="177">
        <f>+B61+1</f>
        <v>300</v>
      </c>
      <c r="C63">
        <v>10781.79</v>
      </c>
      <c r="D63" s="179">
        <f>SUM(C63/N63)</f>
        <v>133603.34572490709</v>
      </c>
      <c r="F63" s="33">
        <v>1</v>
      </c>
      <c r="H63" s="179">
        <f>+D63</f>
        <v>133603.34572490709</v>
      </c>
      <c r="J63">
        <f>+'QOC 2nd Yr'!Q63</f>
        <v>0.83333333333333337</v>
      </c>
      <c r="L63" s="179">
        <f>SUM(H63*J63)</f>
        <v>111336.12143742258</v>
      </c>
      <c r="N63" s="181">
        <v>8.0699999999999994E-2</v>
      </c>
      <c r="P63" s="179">
        <f>SUM(L63*N63)</f>
        <v>8984.8250000000025</v>
      </c>
    </row>
    <row r="64" spans="1:16">
      <c r="D64" s="179"/>
      <c r="F64" s="33"/>
      <c r="H64" s="179"/>
      <c r="L64" s="179"/>
      <c r="N64" s="181"/>
      <c r="P64" s="179"/>
    </row>
    <row r="65" spans="1:16">
      <c r="A65" t="s">
        <v>503</v>
      </c>
      <c r="B65" s="177">
        <f>+B63+1</f>
        <v>301</v>
      </c>
      <c r="C65">
        <v>10781.78</v>
      </c>
      <c r="D65" s="179">
        <f>SUM(C65/N65)</f>
        <v>133603.22180916977</v>
      </c>
      <c r="F65" s="33">
        <v>1</v>
      </c>
      <c r="H65" s="179">
        <f>+D65</f>
        <v>133603.22180916977</v>
      </c>
      <c r="J65">
        <f>+'QOC 2nd Yr'!Q65</f>
        <v>0.83333333333333337</v>
      </c>
      <c r="L65" s="179">
        <f>SUM(H65*J65)</f>
        <v>111336.01817430815</v>
      </c>
      <c r="N65" s="181">
        <v>8.0699999999999994E-2</v>
      </c>
      <c r="P65" s="179">
        <f>SUM(L65*N65)</f>
        <v>8984.8166666666675</v>
      </c>
    </row>
    <row r="66" spans="1:16">
      <c r="D66" s="179"/>
      <c r="H66" s="179"/>
      <c r="L66" s="179"/>
      <c r="P66" s="179"/>
    </row>
    <row r="67" spans="1:16">
      <c r="C67" s="25"/>
      <c r="D67" s="25"/>
      <c r="L67" t="s">
        <v>504</v>
      </c>
      <c r="P67" s="11">
        <f>SUM(P6:P66)</f>
        <v>291913.65916666662</v>
      </c>
    </row>
    <row r="68" spans="1:16">
      <c r="C68">
        <f>SUM(C6:C67)</f>
        <v>299999.99999999994</v>
      </c>
      <c r="D68">
        <f>SUM(D6:D67)</f>
        <v>3717472.1189591074</v>
      </c>
      <c r="L68" t="s">
        <v>505</v>
      </c>
      <c r="P68" s="179"/>
    </row>
    <row r="70" spans="1:16" ht="13.5" thickBot="1">
      <c r="L70" t="s">
        <v>506</v>
      </c>
      <c r="P70" s="182">
        <f>SUM(P67:P69)</f>
        <v>291913.65916666662</v>
      </c>
    </row>
    <row r="71" spans="1:16" ht="13.5" thickTop="1"/>
  </sheetData>
  <phoneticPr fontId="20" type="noConversion"/>
  <pageMargins left="0.75" right="0.75" top="1" bottom="1" header="0.5" footer="0.5"/>
  <pageSetup scale="53" orientation="landscape" r:id="rId1"/>
  <headerFooter alignWithMargins="0">
    <oddFooter>&amp;C&amp;D &amp;T
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pageSetUpPr fitToPage="1"/>
  </sheetPr>
  <dimension ref="A1:Y28"/>
  <sheetViews>
    <sheetView workbookViewId="0"/>
  </sheetViews>
  <sheetFormatPr defaultColWidth="8.85546875" defaultRowHeight="12.75"/>
  <cols>
    <col min="1" max="1" width="22" customWidth="1"/>
    <col min="2" max="2" width="14.42578125" customWidth="1"/>
    <col min="3" max="3" width="10.85546875" customWidth="1"/>
    <col min="23" max="23" width="10.85546875" bestFit="1" customWidth="1"/>
    <col min="24" max="24" width="9.42578125" bestFit="1" customWidth="1"/>
  </cols>
  <sheetData>
    <row r="1" spans="1:25">
      <c r="A1" t="s">
        <v>157</v>
      </c>
      <c r="B1" s="2" t="str">
        <f>+'Sources &amp; Uses'!A1</f>
        <v>Lamar Building</v>
      </c>
      <c r="C1" s="25"/>
    </row>
    <row r="2" spans="1:25">
      <c r="A2" t="s">
        <v>158</v>
      </c>
    </row>
    <row r="3" spans="1:25">
      <c r="A3" t="s">
        <v>159</v>
      </c>
    </row>
    <row r="5" spans="1:25">
      <c r="A5" s="40"/>
      <c r="B5" s="41" t="s">
        <v>160</v>
      </c>
      <c r="C5" s="41" t="s">
        <v>161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2" t="s">
        <v>91</v>
      </c>
    </row>
    <row r="6" spans="1:25">
      <c r="A6" s="41" t="s">
        <v>163</v>
      </c>
      <c r="B6" s="41" t="s">
        <v>162</v>
      </c>
      <c r="C6" s="42">
        <v>1</v>
      </c>
      <c r="D6" s="42">
        <f>+C6+1</f>
        <v>2</v>
      </c>
      <c r="E6" s="42">
        <f t="shared" ref="E6:L6" si="0">+D6+1</f>
        <v>3</v>
      </c>
      <c r="F6" s="42">
        <f t="shared" si="0"/>
        <v>4</v>
      </c>
      <c r="G6" s="42">
        <f t="shared" si="0"/>
        <v>5</v>
      </c>
      <c r="H6" s="42">
        <f t="shared" si="0"/>
        <v>6</v>
      </c>
      <c r="I6" s="42">
        <f t="shared" si="0"/>
        <v>7</v>
      </c>
      <c r="J6" s="42">
        <f t="shared" si="0"/>
        <v>8</v>
      </c>
      <c r="K6" s="42">
        <f t="shared" si="0"/>
        <v>9</v>
      </c>
      <c r="L6" s="42">
        <f t="shared" si="0"/>
        <v>10</v>
      </c>
      <c r="M6" s="42">
        <f t="shared" ref="M6:V6" si="1">+L6+1</f>
        <v>11</v>
      </c>
      <c r="N6" s="42">
        <f t="shared" si="1"/>
        <v>12</v>
      </c>
      <c r="O6" s="42">
        <f t="shared" si="1"/>
        <v>13</v>
      </c>
      <c r="P6" s="42">
        <f t="shared" si="1"/>
        <v>14</v>
      </c>
      <c r="Q6" s="42">
        <f t="shared" si="1"/>
        <v>15</v>
      </c>
      <c r="R6" s="42">
        <f t="shared" si="1"/>
        <v>16</v>
      </c>
      <c r="S6" s="42">
        <f t="shared" si="1"/>
        <v>17</v>
      </c>
      <c r="T6" s="42">
        <f t="shared" si="1"/>
        <v>18</v>
      </c>
      <c r="U6" s="42">
        <f t="shared" si="1"/>
        <v>19</v>
      </c>
      <c r="V6" s="42">
        <f t="shared" si="1"/>
        <v>20</v>
      </c>
      <c r="W6" s="43" t="s">
        <v>174</v>
      </c>
    </row>
    <row r="7" spans="1:2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3" t="s">
        <v>175</v>
      </c>
    </row>
    <row r="8" spans="1:25">
      <c r="A8" s="40" t="s">
        <v>164</v>
      </c>
      <c r="B8" s="40"/>
      <c r="C8" s="46">
        <v>1600</v>
      </c>
      <c r="D8" s="46">
        <v>1600</v>
      </c>
      <c r="E8" s="46">
        <v>1600</v>
      </c>
      <c r="F8" s="46">
        <v>1600</v>
      </c>
      <c r="G8" s="46">
        <v>1600</v>
      </c>
      <c r="H8" s="46">
        <v>1600</v>
      </c>
      <c r="I8" s="46">
        <v>2000</v>
      </c>
      <c r="J8" s="46">
        <v>2000</v>
      </c>
      <c r="K8" s="46">
        <v>2000</v>
      </c>
      <c r="L8" s="46">
        <v>2000</v>
      </c>
      <c r="M8" s="46">
        <v>2000</v>
      </c>
      <c r="N8" s="46">
        <v>2000</v>
      </c>
      <c r="O8" s="46">
        <v>2000</v>
      </c>
      <c r="P8" s="46">
        <v>2000</v>
      </c>
      <c r="Q8" s="46">
        <v>2000</v>
      </c>
      <c r="R8" s="46">
        <v>2000</v>
      </c>
      <c r="S8" s="46">
        <v>2300</v>
      </c>
      <c r="T8" s="46">
        <v>2300</v>
      </c>
      <c r="U8" s="46">
        <v>2300</v>
      </c>
      <c r="V8" s="46">
        <v>2300</v>
      </c>
      <c r="W8" s="46">
        <f>SUM(C8:V8)</f>
        <v>38800</v>
      </c>
      <c r="X8" s="49">
        <f>+W8-'Sq Footage'!N100</f>
        <v>-115916</v>
      </c>
    </row>
    <row r="9" spans="1:25">
      <c r="A9" s="40" t="s">
        <v>165</v>
      </c>
      <c r="B9" s="40"/>
      <c r="C9" s="46">
        <v>2</v>
      </c>
      <c r="D9" s="46">
        <v>2</v>
      </c>
      <c r="E9" s="46">
        <v>2</v>
      </c>
      <c r="F9" s="46">
        <v>2</v>
      </c>
      <c r="G9" s="46">
        <v>2</v>
      </c>
      <c r="H9" s="46">
        <v>2</v>
      </c>
      <c r="I9" s="46">
        <v>2</v>
      </c>
      <c r="J9" s="46">
        <v>2</v>
      </c>
      <c r="K9" s="46">
        <v>2</v>
      </c>
      <c r="L9" s="46">
        <v>2</v>
      </c>
      <c r="M9" s="46">
        <v>2</v>
      </c>
      <c r="N9" s="46">
        <v>2</v>
      </c>
      <c r="O9" s="46">
        <v>2</v>
      </c>
      <c r="P9" s="46">
        <v>2</v>
      </c>
      <c r="Q9" s="46">
        <v>2</v>
      </c>
      <c r="R9" s="46">
        <v>2</v>
      </c>
      <c r="S9" s="46">
        <v>2</v>
      </c>
      <c r="T9" s="46">
        <v>2</v>
      </c>
      <c r="U9" s="46">
        <v>2</v>
      </c>
      <c r="V9" s="46">
        <v>2</v>
      </c>
      <c r="W9" s="46">
        <f>SUM(C9:V9)</f>
        <v>40</v>
      </c>
    </row>
    <row r="10" spans="1:25">
      <c r="B10" s="40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</row>
    <row r="11" spans="1:25">
      <c r="A11" s="45" t="s">
        <v>166</v>
      </c>
      <c r="B11" s="40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</row>
    <row r="12" spans="1:25">
      <c r="A12" s="40" t="s">
        <v>167</v>
      </c>
      <c r="B12" s="40"/>
      <c r="C12" s="46">
        <f>SUM(C$8/$W$8*$W12)</f>
        <v>0</v>
      </c>
      <c r="D12" s="46">
        <f t="shared" ref="D12:V12" si="2">SUM(D8/$W$8*$W12)</f>
        <v>0</v>
      </c>
      <c r="E12" s="46">
        <f t="shared" si="2"/>
        <v>0</v>
      </c>
      <c r="F12" s="46">
        <f t="shared" si="2"/>
        <v>0</v>
      </c>
      <c r="G12" s="46">
        <f t="shared" si="2"/>
        <v>0</v>
      </c>
      <c r="H12" s="46">
        <f t="shared" si="2"/>
        <v>0</v>
      </c>
      <c r="I12" s="46">
        <f t="shared" si="2"/>
        <v>0</v>
      </c>
      <c r="J12" s="46">
        <f t="shared" si="2"/>
        <v>0</v>
      </c>
      <c r="K12" s="46">
        <f t="shared" si="2"/>
        <v>0</v>
      </c>
      <c r="L12" s="46">
        <f t="shared" si="2"/>
        <v>0</v>
      </c>
      <c r="M12" s="46">
        <f t="shared" ref="M12:R12" si="3">SUM(M8/$W$8*$W12)</f>
        <v>0</v>
      </c>
      <c r="N12" s="46">
        <f t="shared" si="3"/>
        <v>0</v>
      </c>
      <c r="O12" s="46">
        <f t="shared" si="3"/>
        <v>0</v>
      </c>
      <c r="P12" s="46">
        <f t="shared" si="3"/>
        <v>0</v>
      </c>
      <c r="Q12" s="46">
        <f t="shared" si="3"/>
        <v>0</v>
      </c>
      <c r="R12" s="46">
        <f t="shared" si="3"/>
        <v>0</v>
      </c>
      <c r="S12" s="46">
        <f t="shared" si="2"/>
        <v>0</v>
      </c>
      <c r="T12" s="46">
        <f>SUM(T8/$W$8*$W12)</f>
        <v>0</v>
      </c>
      <c r="U12" s="46">
        <f>SUM(U8/$W$8*$W12)</f>
        <v>0</v>
      </c>
      <c r="V12" s="46">
        <f t="shared" si="2"/>
        <v>0</v>
      </c>
      <c r="W12" s="47">
        <f>+'CR Calculation'!I14</f>
        <v>0</v>
      </c>
      <c r="X12" s="49">
        <f>SUM(C12:V12)</f>
        <v>0</v>
      </c>
      <c r="Y12" s="49">
        <f>SUM(C12:V12)</f>
        <v>0</v>
      </c>
    </row>
    <row r="13" spans="1:25">
      <c r="B13" s="40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</row>
    <row r="14" spans="1:25">
      <c r="A14" s="45" t="s">
        <v>168</v>
      </c>
      <c r="B14" s="40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</row>
    <row r="15" spans="1:25">
      <c r="A15" s="40" t="s">
        <v>169</v>
      </c>
      <c r="B15" s="40"/>
      <c r="C15" s="46">
        <f t="shared" ref="C15:V16" si="4">SUM(C$8/$W$8*$W15)</f>
        <v>713953.32660618541</v>
      </c>
      <c r="D15" s="46">
        <f t="shared" si="4"/>
        <v>713953.32660618541</v>
      </c>
      <c r="E15" s="46">
        <f t="shared" si="4"/>
        <v>713953.32660618541</v>
      </c>
      <c r="F15" s="46">
        <f t="shared" si="4"/>
        <v>713953.32660618541</v>
      </c>
      <c r="G15" s="46">
        <f t="shared" si="4"/>
        <v>713953.32660618541</v>
      </c>
      <c r="H15" s="46">
        <f t="shared" si="4"/>
        <v>713953.32660618541</v>
      </c>
      <c r="I15" s="46">
        <f t="shared" si="4"/>
        <v>892441.65825773182</v>
      </c>
      <c r="J15" s="46">
        <f t="shared" si="4"/>
        <v>892441.65825773182</v>
      </c>
      <c r="K15" s="46">
        <f t="shared" si="4"/>
        <v>892441.65825773182</v>
      </c>
      <c r="L15" s="46">
        <f t="shared" si="4"/>
        <v>892441.65825773182</v>
      </c>
      <c r="M15" s="46">
        <f t="shared" si="4"/>
        <v>892441.65825773182</v>
      </c>
      <c r="N15" s="46">
        <f t="shared" si="4"/>
        <v>892441.65825773182</v>
      </c>
      <c r="O15" s="46">
        <f t="shared" si="4"/>
        <v>892441.65825773182</v>
      </c>
      <c r="P15" s="46">
        <f t="shared" si="4"/>
        <v>892441.65825773182</v>
      </c>
      <c r="Q15" s="46">
        <f t="shared" si="4"/>
        <v>892441.65825773182</v>
      </c>
      <c r="R15" s="46">
        <f t="shared" si="4"/>
        <v>892441.65825773182</v>
      </c>
      <c r="S15" s="46">
        <f t="shared" si="4"/>
        <v>1026307.9069963916</v>
      </c>
      <c r="T15" s="46">
        <f t="shared" si="4"/>
        <v>1026307.9069963916</v>
      </c>
      <c r="U15" s="46">
        <f t="shared" si="4"/>
        <v>1026307.9069963916</v>
      </c>
      <c r="V15" s="46">
        <f t="shared" si="4"/>
        <v>1026307.9069963916</v>
      </c>
      <c r="W15" s="46">
        <f>+'CR Calculation'!H14</f>
        <v>17313368.170199998</v>
      </c>
      <c r="X15" s="49">
        <f>SUM(C15:V15)</f>
        <v>17313368.170199998</v>
      </c>
      <c r="Y15" s="49">
        <f>SUM(C15:V15)</f>
        <v>17313368.170199998</v>
      </c>
    </row>
    <row r="16" spans="1:25">
      <c r="A16" s="40"/>
      <c r="B16" s="40"/>
      <c r="C16" s="46" t="e">
        <f t="shared" si="4"/>
        <v>#REF!</v>
      </c>
      <c r="D16" s="46" t="e">
        <f t="shared" si="4"/>
        <v>#REF!</v>
      </c>
      <c r="E16" s="46" t="e">
        <f t="shared" si="4"/>
        <v>#REF!</v>
      </c>
      <c r="F16" s="46" t="e">
        <f t="shared" si="4"/>
        <v>#REF!</v>
      </c>
      <c r="G16" s="46" t="e">
        <f t="shared" si="4"/>
        <v>#REF!</v>
      </c>
      <c r="H16" s="46" t="e">
        <f t="shared" si="4"/>
        <v>#REF!</v>
      </c>
      <c r="I16" s="46" t="e">
        <f t="shared" si="4"/>
        <v>#REF!</v>
      </c>
      <c r="J16" s="46" t="e">
        <f t="shared" si="4"/>
        <v>#REF!</v>
      </c>
      <c r="K16" s="46" t="e">
        <f t="shared" si="4"/>
        <v>#REF!</v>
      </c>
      <c r="L16" s="46" t="e">
        <f t="shared" si="4"/>
        <v>#REF!</v>
      </c>
      <c r="M16" s="46" t="e">
        <f t="shared" si="4"/>
        <v>#REF!</v>
      </c>
      <c r="N16" s="46" t="e">
        <f t="shared" si="4"/>
        <v>#REF!</v>
      </c>
      <c r="O16" s="46" t="e">
        <f t="shared" si="4"/>
        <v>#REF!</v>
      </c>
      <c r="P16" s="46" t="e">
        <f t="shared" si="4"/>
        <v>#REF!</v>
      </c>
      <c r="Q16" s="46" t="e">
        <f t="shared" si="4"/>
        <v>#REF!</v>
      </c>
      <c r="R16" s="46" t="e">
        <f t="shared" si="4"/>
        <v>#REF!</v>
      </c>
      <c r="S16" s="46" t="e">
        <f t="shared" si="4"/>
        <v>#REF!</v>
      </c>
      <c r="T16" s="46" t="e">
        <f t="shared" si="4"/>
        <v>#REF!</v>
      </c>
      <c r="U16" s="46" t="e">
        <f t="shared" si="4"/>
        <v>#REF!</v>
      </c>
      <c r="V16" s="46" t="e">
        <f t="shared" si="4"/>
        <v>#REF!</v>
      </c>
      <c r="W16" s="46" t="e">
        <f>+'Sources &amp; Uses'!#REF!</f>
        <v>#REF!</v>
      </c>
      <c r="X16" s="49" t="e">
        <f>SUM(C16:V16)</f>
        <v>#REF!</v>
      </c>
      <c r="Y16" s="49"/>
    </row>
    <row r="17" spans="1:25">
      <c r="A17" s="40"/>
      <c r="B17" s="40"/>
      <c r="C17" s="46" t="e">
        <f>SUM(C15-C16)</f>
        <v>#REF!</v>
      </c>
      <c r="D17" s="46" t="e">
        <f t="shared" ref="D17:V17" si="5">SUM(D15-D16)</f>
        <v>#REF!</v>
      </c>
      <c r="E17" s="46" t="e">
        <f t="shared" si="5"/>
        <v>#REF!</v>
      </c>
      <c r="F17" s="46" t="e">
        <f t="shared" si="5"/>
        <v>#REF!</v>
      </c>
      <c r="G17" s="46" t="e">
        <f t="shared" si="5"/>
        <v>#REF!</v>
      </c>
      <c r="H17" s="46" t="e">
        <f t="shared" si="5"/>
        <v>#REF!</v>
      </c>
      <c r="I17" s="46" t="e">
        <f t="shared" si="5"/>
        <v>#REF!</v>
      </c>
      <c r="J17" s="46" t="e">
        <f t="shared" si="5"/>
        <v>#REF!</v>
      </c>
      <c r="K17" s="46" t="e">
        <f t="shared" si="5"/>
        <v>#REF!</v>
      </c>
      <c r="L17" s="46" t="e">
        <f t="shared" si="5"/>
        <v>#REF!</v>
      </c>
      <c r="M17" s="46" t="e">
        <f t="shared" ref="M17:R17" si="6">SUM(M15-M16)</f>
        <v>#REF!</v>
      </c>
      <c r="N17" s="46" t="e">
        <f t="shared" si="6"/>
        <v>#REF!</v>
      </c>
      <c r="O17" s="46" t="e">
        <f t="shared" si="6"/>
        <v>#REF!</v>
      </c>
      <c r="P17" s="46" t="e">
        <f t="shared" si="6"/>
        <v>#REF!</v>
      </c>
      <c r="Q17" s="46" t="e">
        <f t="shared" si="6"/>
        <v>#REF!</v>
      </c>
      <c r="R17" s="46" t="e">
        <f t="shared" si="6"/>
        <v>#REF!</v>
      </c>
      <c r="S17" s="46" t="e">
        <f t="shared" si="5"/>
        <v>#REF!</v>
      </c>
      <c r="T17" s="46" t="e">
        <f>SUM(T15-T16)</f>
        <v>#REF!</v>
      </c>
      <c r="U17" s="46" t="e">
        <f>SUM(U15-U16)</f>
        <v>#REF!</v>
      </c>
      <c r="V17" s="46" t="e">
        <f t="shared" si="5"/>
        <v>#REF!</v>
      </c>
      <c r="W17" s="46" t="e">
        <f>SUM(W15-W16)</f>
        <v>#REF!</v>
      </c>
      <c r="X17" s="49" t="e">
        <f>SUM(C17:V17)</f>
        <v>#REF!</v>
      </c>
      <c r="Y17" s="49"/>
    </row>
    <row r="18" spans="1:25">
      <c r="A18" s="40"/>
      <c r="B18" s="40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9"/>
      <c r="Y18" s="49"/>
    </row>
    <row r="19" spans="1:25">
      <c r="A19" s="40"/>
      <c r="B19" s="40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</row>
    <row r="20" spans="1:25">
      <c r="A20" s="40" t="s">
        <v>170</v>
      </c>
      <c r="B20" s="40"/>
      <c r="C20" s="44">
        <f>+'CR Calculation'!D16</f>
        <v>1.3</v>
      </c>
      <c r="D20" s="44">
        <f>+C20</f>
        <v>1.3</v>
      </c>
      <c r="E20" s="44">
        <f t="shared" ref="E20:L20" si="7">+D20</f>
        <v>1.3</v>
      </c>
      <c r="F20" s="44">
        <f t="shared" si="7"/>
        <v>1.3</v>
      </c>
      <c r="G20" s="44">
        <f t="shared" si="7"/>
        <v>1.3</v>
      </c>
      <c r="H20" s="44">
        <f t="shared" si="7"/>
        <v>1.3</v>
      </c>
      <c r="I20" s="44">
        <f t="shared" si="7"/>
        <v>1.3</v>
      </c>
      <c r="J20" s="44">
        <f t="shared" si="7"/>
        <v>1.3</v>
      </c>
      <c r="K20" s="44">
        <f t="shared" si="7"/>
        <v>1.3</v>
      </c>
      <c r="L20" s="44">
        <f t="shared" si="7"/>
        <v>1.3</v>
      </c>
      <c r="M20" s="44">
        <f t="shared" ref="M20:R20" si="8">+L20</f>
        <v>1.3</v>
      </c>
      <c r="N20" s="44">
        <f t="shared" si="8"/>
        <v>1.3</v>
      </c>
      <c r="O20" s="44">
        <f t="shared" si="8"/>
        <v>1.3</v>
      </c>
      <c r="P20" s="44">
        <f t="shared" si="8"/>
        <v>1.3</v>
      </c>
      <c r="Q20" s="44">
        <f t="shared" si="8"/>
        <v>1.3</v>
      </c>
      <c r="R20" s="44">
        <f t="shared" si="8"/>
        <v>1.3</v>
      </c>
      <c r="S20" s="44">
        <f>+L20</f>
        <v>1.3</v>
      </c>
      <c r="T20" s="44">
        <f>+M20</f>
        <v>1.3</v>
      </c>
      <c r="U20" s="44">
        <f>+N20</f>
        <v>1.3</v>
      </c>
      <c r="V20" s="44">
        <f>+S20</f>
        <v>1.3</v>
      </c>
      <c r="W20" s="44">
        <f>+V20</f>
        <v>1.3</v>
      </c>
    </row>
    <row r="21" spans="1:25">
      <c r="A21" s="40"/>
      <c r="B21" s="40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</row>
    <row r="22" spans="1:25">
      <c r="A22" s="40" t="s">
        <v>171</v>
      </c>
      <c r="B22" s="40"/>
      <c r="C22" s="46">
        <f>+C12</f>
        <v>0</v>
      </c>
      <c r="D22" s="46">
        <f t="shared" ref="D22:V22" si="9">+D12</f>
        <v>0</v>
      </c>
      <c r="E22" s="46">
        <f t="shared" si="9"/>
        <v>0</v>
      </c>
      <c r="F22" s="46">
        <f t="shared" si="9"/>
        <v>0</v>
      </c>
      <c r="G22" s="46">
        <f t="shared" si="9"/>
        <v>0</v>
      </c>
      <c r="H22" s="46">
        <f t="shared" si="9"/>
        <v>0</v>
      </c>
      <c r="I22" s="46">
        <f t="shared" si="9"/>
        <v>0</v>
      </c>
      <c r="J22" s="46">
        <f t="shared" si="9"/>
        <v>0</v>
      </c>
      <c r="K22" s="46">
        <f t="shared" si="9"/>
        <v>0</v>
      </c>
      <c r="L22" s="46">
        <f t="shared" si="9"/>
        <v>0</v>
      </c>
      <c r="M22" s="46">
        <f t="shared" ref="M22:R22" si="10">+M12</f>
        <v>0</v>
      </c>
      <c r="N22" s="46">
        <f t="shared" si="10"/>
        <v>0</v>
      </c>
      <c r="O22" s="46">
        <f t="shared" si="10"/>
        <v>0</v>
      </c>
      <c r="P22" s="46">
        <f t="shared" si="10"/>
        <v>0</v>
      </c>
      <c r="Q22" s="46">
        <f t="shared" si="10"/>
        <v>0</v>
      </c>
      <c r="R22" s="46">
        <f t="shared" si="10"/>
        <v>0</v>
      </c>
      <c r="S22" s="46">
        <f t="shared" si="9"/>
        <v>0</v>
      </c>
      <c r="T22" s="46">
        <f>+T12</f>
        <v>0</v>
      </c>
      <c r="U22" s="46">
        <f>+U12</f>
        <v>0</v>
      </c>
      <c r="V22" s="46">
        <f t="shared" si="9"/>
        <v>0</v>
      </c>
      <c r="W22" s="46">
        <f>SUM(C22:V22)</f>
        <v>0</v>
      </c>
    </row>
    <row r="23" spans="1:25">
      <c r="A23" s="40"/>
      <c r="B23" s="40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</row>
    <row r="24" spans="1:25">
      <c r="A24" s="40" t="s">
        <v>172</v>
      </c>
      <c r="B24" s="40"/>
      <c r="C24" s="46" t="e">
        <f>SUM(C17*C20)</f>
        <v>#REF!</v>
      </c>
      <c r="D24" s="46" t="e">
        <f t="shared" ref="D24:V24" si="11">SUM(D17*D20)</f>
        <v>#REF!</v>
      </c>
      <c r="E24" s="46" t="e">
        <f t="shared" si="11"/>
        <v>#REF!</v>
      </c>
      <c r="F24" s="46" t="e">
        <f t="shared" si="11"/>
        <v>#REF!</v>
      </c>
      <c r="G24" s="46" t="e">
        <f t="shared" si="11"/>
        <v>#REF!</v>
      </c>
      <c r="H24" s="46" t="e">
        <f t="shared" si="11"/>
        <v>#REF!</v>
      </c>
      <c r="I24" s="46" t="e">
        <f t="shared" si="11"/>
        <v>#REF!</v>
      </c>
      <c r="J24" s="46" t="e">
        <f t="shared" si="11"/>
        <v>#REF!</v>
      </c>
      <c r="K24" s="46" t="e">
        <f t="shared" si="11"/>
        <v>#REF!</v>
      </c>
      <c r="L24" s="46" t="e">
        <f t="shared" si="11"/>
        <v>#REF!</v>
      </c>
      <c r="M24" s="46" t="e">
        <f t="shared" ref="M24:R24" si="12">SUM(M17*M20)</f>
        <v>#REF!</v>
      </c>
      <c r="N24" s="46" t="e">
        <f t="shared" si="12"/>
        <v>#REF!</v>
      </c>
      <c r="O24" s="46" t="e">
        <f t="shared" si="12"/>
        <v>#REF!</v>
      </c>
      <c r="P24" s="46" t="e">
        <f t="shared" si="12"/>
        <v>#REF!</v>
      </c>
      <c r="Q24" s="46" t="e">
        <f t="shared" si="12"/>
        <v>#REF!</v>
      </c>
      <c r="R24" s="46" t="e">
        <f t="shared" si="12"/>
        <v>#REF!</v>
      </c>
      <c r="S24" s="46" t="e">
        <f t="shared" si="11"/>
        <v>#REF!</v>
      </c>
      <c r="T24" s="46" t="e">
        <f>SUM(T17*T20)</f>
        <v>#REF!</v>
      </c>
      <c r="U24" s="46" t="e">
        <f>SUM(U17*U20)</f>
        <v>#REF!</v>
      </c>
      <c r="V24" s="46" t="e">
        <f t="shared" si="11"/>
        <v>#REF!</v>
      </c>
      <c r="W24" s="46" t="e">
        <f>SUM(C24:V24)</f>
        <v>#REF!</v>
      </c>
      <c r="X24" s="1" t="e">
        <f>+W24-'CR Calculation'!H16</f>
        <v>#REF!</v>
      </c>
    </row>
    <row r="25" spans="1:25">
      <c r="A25" s="40"/>
      <c r="B25" s="40"/>
      <c r="C25" s="46" t="e">
        <f>SUM(C16*C20)</f>
        <v>#REF!</v>
      </c>
      <c r="D25" s="46" t="e">
        <f t="shared" ref="D25:V25" si="13">SUM(D16*D20)</f>
        <v>#REF!</v>
      </c>
      <c r="E25" s="46" t="e">
        <f t="shared" si="13"/>
        <v>#REF!</v>
      </c>
      <c r="F25" s="46" t="e">
        <f t="shared" si="13"/>
        <v>#REF!</v>
      </c>
      <c r="G25" s="46" t="e">
        <f t="shared" si="13"/>
        <v>#REF!</v>
      </c>
      <c r="H25" s="46" t="e">
        <f t="shared" si="13"/>
        <v>#REF!</v>
      </c>
      <c r="I25" s="46" t="e">
        <f t="shared" si="13"/>
        <v>#REF!</v>
      </c>
      <c r="J25" s="46" t="e">
        <f t="shared" si="13"/>
        <v>#REF!</v>
      </c>
      <c r="K25" s="46" t="e">
        <f t="shared" si="13"/>
        <v>#REF!</v>
      </c>
      <c r="L25" s="46" t="e">
        <f t="shared" si="13"/>
        <v>#REF!</v>
      </c>
      <c r="M25" s="46" t="e">
        <f t="shared" ref="M25:R25" si="14">SUM(M16*M20)</f>
        <v>#REF!</v>
      </c>
      <c r="N25" s="46" t="e">
        <f t="shared" si="14"/>
        <v>#REF!</v>
      </c>
      <c r="O25" s="46" t="e">
        <f t="shared" si="14"/>
        <v>#REF!</v>
      </c>
      <c r="P25" s="46" t="e">
        <f t="shared" si="14"/>
        <v>#REF!</v>
      </c>
      <c r="Q25" s="46" t="e">
        <f t="shared" si="14"/>
        <v>#REF!</v>
      </c>
      <c r="R25" s="46" t="e">
        <f t="shared" si="14"/>
        <v>#REF!</v>
      </c>
      <c r="S25" s="46" t="e">
        <f t="shared" si="13"/>
        <v>#REF!</v>
      </c>
      <c r="T25" s="46" t="e">
        <f>SUM(T16*T20)</f>
        <v>#REF!</v>
      </c>
      <c r="U25" s="46" t="e">
        <f>SUM(U16*U20)</f>
        <v>#REF!</v>
      </c>
      <c r="V25" s="46" t="e">
        <f t="shared" si="13"/>
        <v>#REF!</v>
      </c>
      <c r="W25" s="46" t="e">
        <f>SUM(C25:V25)</f>
        <v>#REF!</v>
      </c>
      <c r="X25" s="1"/>
    </row>
    <row r="26" spans="1:25">
      <c r="A26" s="40"/>
      <c r="B26" s="40"/>
      <c r="C26" s="46" t="e">
        <f>SUM(C24:C25)</f>
        <v>#REF!</v>
      </c>
      <c r="D26" s="46" t="e">
        <f t="shared" ref="D26:V26" si="15">SUM(D24:D25)</f>
        <v>#REF!</v>
      </c>
      <c r="E26" s="46" t="e">
        <f t="shared" si="15"/>
        <v>#REF!</v>
      </c>
      <c r="F26" s="46" t="e">
        <f t="shared" si="15"/>
        <v>#REF!</v>
      </c>
      <c r="G26" s="46" t="e">
        <f t="shared" si="15"/>
        <v>#REF!</v>
      </c>
      <c r="H26" s="46" t="e">
        <f t="shared" si="15"/>
        <v>#REF!</v>
      </c>
      <c r="I26" s="46" t="e">
        <f t="shared" si="15"/>
        <v>#REF!</v>
      </c>
      <c r="J26" s="46" t="e">
        <f t="shared" si="15"/>
        <v>#REF!</v>
      </c>
      <c r="K26" s="46" t="e">
        <f t="shared" si="15"/>
        <v>#REF!</v>
      </c>
      <c r="L26" s="46" t="e">
        <f t="shared" si="15"/>
        <v>#REF!</v>
      </c>
      <c r="M26" s="46" t="e">
        <f t="shared" ref="M26:R26" si="16">SUM(M24:M25)</f>
        <v>#REF!</v>
      </c>
      <c r="N26" s="46" t="e">
        <f t="shared" si="16"/>
        <v>#REF!</v>
      </c>
      <c r="O26" s="46" t="e">
        <f t="shared" si="16"/>
        <v>#REF!</v>
      </c>
      <c r="P26" s="46" t="e">
        <f t="shared" si="16"/>
        <v>#REF!</v>
      </c>
      <c r="Q26" s="46" t="e">
        <f t="shared" si="16"/>
        <v>#REF!</v>
      </c>
      <c r="R26" s="46" t="e">
        <f t="shared" si="16"/>
        <v>#REF!</v>
      </c>
      <c r="S26" s="46" t="e">
        <f t="shared" si="15"/>
        <v>#REF!</v>
      </c>
      <c r="T26" s="46" t="e">
        <f>SUM(T24:T25)</f>
        <v>#REF!</v>
      </c>
      <c r="U26" s="46" t="e">
        <f>SUM(U24:U25)</f>
        <v>#REF!</v>
      </c>
      <c r="V26" s="46" t="e">
        <f t="shared" si="15"/>
        <v>#REF!</v>
      </c>
      <c r="W26" s="46" t="e">
        <f>SUM(W24+W25)</f>
        <v>#REF!</v>
      </c>
      <c r="X26" s="1" t="e">
        <f>SUM('CR Calculation'!H20-Basis!W26)</f>
        <v>#REF!</v>
      </c>
    </row>
    <row r="27" spans="1:25">
      <c r="A27" s="40"/>
      <c r="B27" s="40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</row>
    <row r="28" spans="1:25">
      <c r="A28" s="40" t="s">
        <v>173</v>
      </c>
      <c r="B28" s="40"/>
      <c r="C28" s="46">
        <f>SUM(C$8/$W$8*$X28)</f>
        <v>762886.59793814435</v>
      </c>
      <c r="D28" s="46">
        <f t="shared" ref="D28:V28" ca="1" si="17">SUM(D$8/$W$8*$W28)</f>
        <v>3.5258000246685911E-114</v>
      </c>
      <c r="E28" s="46">
        <f t="shared" ca="1" si="17"/>
        <v>3.5258000246685911E-114</v>
      </c>
      <c r="F28" s="46">
        <f t="shared" ca="1" si="17"/>
        <v>3.5258000246685911E-114</v>
      </c>
      <c r="G28" s="46">
        <f t="shared" ca="1" si="17"/>
        <v>3.5258000246685911E-114</v>
      </c>
      <c r="H28" s="46">
        <f t="shared" ca="1" si="17"/>
        <v>3.5258000246685911E-114</v>
      </c>
      <c r="I28" s="46">
        <f t="shared" ca="1" si="17"/>
        <v>4.4072500308357382E-114</v>
      </c>
      <c r="J28" s="46">
        <f t="shared" ca="1" si="17"/>
        <v>4.4072500308357382E-114</v>
      </c>
      <c r="K28" s="46">
        <f t="shared" ca="1" si="17"/>
        <v>4.4072500308357382E-114</v>
      </c>
      <c r="L28" s="46">
        <f t="shared" ca="1" si="17"/>
        <v>4.4072500308357382E-114</v>
      </c>
      <c r="M28" s="46">
        <f t="shared" ca="1" si="17"/>
        <v>4.4072500308357382E-114</v>
      </c>
      <c r="N28" s="46">
        <f t="shared" ca="1" si="17"/>
        <v>4.4072500308357382E-114</v>
      </c>
      <c r="O28" s="46">
        <f t="shared" ca="1" si="17"/>
        <v>4.4072500308357382E-114</v>
      </c>
      <c r="P28" s="46">
        <f t="shared" ca="1" si="17"/>
        <v>4.4072500308357382E-114</v>
      </c>
      <c r="Q28" s="46">
        <f t="shared" ca="1" si="17"/>
        <v>4.4072500308357382E-114</v>
      </c>
      <c r="R28" s="46">
        <f t="shared" ca="1" si="17"/>
        <v>4.4072500308357382E-114</v>
      </c>
      <c r="S28" s="46">
        <f t="shared" ca="1" si="17"/>
        <v>5.068337535461099E-114</v>
      </c>
      <c r="T28" s="46">
        <f t="shared" ca="1" si="17"/>
        <v>5.068337535461099E-114</v>
      </c>
      <c r="U28" s="46">
        <f t="shared" ca="1" si="17"/>
        <v>5.068337535461099E-114</v>
      </c>
      <c r="V28" s="46">
        <f t="shared" ca="1" si="17"/>
        <v>5.068337535461099E-114</v>
      </c>
      <c r="W28" s="47">
        <f ca="1">SUM(C28:V28)</f>
        <v>8.1974850573544726E-113</v>
      </c>
      <c r="X28" s="138">
        <f>+'Interest Calculation'!C4</f>
        <v>18500000</v>
      </c>
    </row>
  </sheetData>
  <phoneticPr fontId="0" type="noConversion"/>
  <pageMargins left="0.75" right="0.75" top="1" bottom="1" header="0.5" footer="0.5"/>
  <pageSetup scale="44" orientation="landscape" r:id="rId1"/>
  <headerFooter alignWithMargins="0">
    <oddFooter>&amp;L&amp;D&amp;T&amp;C&amp;F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pageSetUpPr fitToPage="1"/>
  </sheetPr>
  <dimension ref="A1:L44"/>
  <sheetViews>
    <sheetView workbookViewId="0"/>
  </sheetViews>
  <sheetFormatPr defaultColWidth="8.85546875" defaultRowHeight="12.75"/>
  <cols>
    <col min="4" max="4" width="11.7109375" customWidth="1"/>
    <col min="8" max="8" width="11.140625" customWidth="1"/>
    <col min="11" max="11" width="11.28515625" customWidth="1"/>
  </cols>
  <sheetData>
    <row r="1" spans="1:12">
      <c r="E1" s="1" t="str">
        <f>+'Sources &amp; Uses'!A1</f>
        <v>Lamar Building</v>
      </c>
    </row>
    <row r="4" spans="1:12">
      <c r="A4" t="s">
        <v>176</v>
      </c>
      <c r="F4" t="s">
        <v>177</v>
      </c>
      <c r="H4" s="1">
        <f>+'Proforma (Application)'!D10*'Annual Expense'!H5</f>
        <v>1814058</v>
      </c>
    </row>
    <row r="5" spans="1:12">
      <c r="A5" t="s">
        <v>342</v>
      </c>
      <c r="F5" t="s">
        <v>343</v>
      </c>
      <c r="H5" s="111">
        <v>0.93</v>
      </c>
    </row>
    <row r="8" spans="1:12">
      <c r="A8" s="31" t="s">
        <v>178</v>
      </c>
      <c r="G8" s="31" t="s">
        <v>182</v>
      </c>
    </row>
    <row r="9" spans="1:12">
      <c r="A9" s="48" t="s">
        <v>179</v>
      </c>
      <c r="D9" s="11" t="e">
        <f>SUM((K18-D10)*E9)</f>
        <v>#REF!</v>
      </c>
      <c r="E9" s="111">
        <v>0.15</v>
      </c>
      <c r="G9" s="48" t="s">
        <v>183</v>
      </c>
      <c r="K9" s="1" t="e">
        <f>SUM(K$19*L9)</f>
        <v>#REF!</v>
      </c>
      <c r="L9" s="111">
        <v>0.75</v>
      </c>
    </row>
    <row r="10" spans="1:12">
      <c r="A10" s="48" t="s">
        <v>180</v>
      </c>
      <c r="C10" s="33">
        <v>0.05</v>
      </c>
      <c r="D10" s="11">
        <f>SUM(H4*C10)</f>
        <v>90702.900000000009</v>
      </c>
      <c r="E10" s="111"/>
      <c r="G10" s="48" t="s">
        <v>184</v>
      </c>
      <c r="K10" s="1" t="e">
        <f>SUM(K$19*L10)</f>
        <v>#REF!</v>
      </c>
      <c r="L10" s="111">
        <v>0.1</v>
      </c>
    </row>
    <row r="11" spans="1:12">
      <c r="A11" s="48" t="s">
        <v>26</v>
      </c>
      <c r="D11" s="20" t="e">
        <f>SUM((K18-D10)*E11)</f>
        <v>#REF!</v>
      </c>
      <c r="E11" s="111">
        <v>0.85</v>
      </c>
      <c r="G11" s="48" t="s">
        <v>185</v>
      </c>
      <c r="K11" s="1" t="e">
        <f>SUM(K$19*L11)</f>
        <v>#REF!</v>
      </c>
      <c r="L11" s="111">
        <v>0.15</v>
      </c>
    </row>
    <row r="12" spans="1:12">
      <c r="D12" s="1"/>
      <c r="E12" s="62"/>
      <c r="K12" s="1"/>
    </row>
    <row r="13" spans="1:12">
      <c r="A13" t="s">
        <v>181</v>
      </c>
      <c r="D13" s="1" t="e">
        <f>SUM(D9:D11)</f>
        <v>#REF!</v>
      </c>
      <c r="E13" s="62">
        <f>SUM(E9:E12)</f>
        <v>1</v>
      </c>
      <c r="G13" t="s">
        <v>186</v>
      </c>
      <c r="K13" s="1" t="e">
        <f>SUM(K9:K11)</f>
        <v>#REF!</v>
      </c>
      <c r="L13" s="62">
        <f>SUM(L9:L12)</f>
        <v>1</v>
      </c>
    </row>
    <row r="16" spans="1:12">
      <c r="A16" s="31" t="s">
        <v>187</v>
      </c>
    </row>
    <row r="17" spans="1:11">
      <c r="A17" s="31"/>
    </row>
    <row r="18" spans="1:11">
      <c r="A18" t="s">
        <v>188</v>
      </c>
      <c r="D18" s="11" t="e">
        <f>SUM(K$20*E18)</f>
        <v>#REF!</v>
      </c>
      <c r="E18" s="111">
        <v>0</v>
      </c>
      <c r="G18" t="s">
        <v>181</v>
      </c>
      <c r="K18" s="1" t="e">
        <f>+'Proforma (Application)'!#REF!</f>
        <v>#REF!</v>
      </c>
    </row>
    <row r="19" spans="1:11">
      <c r="A19" t="s">
        <v>189</v>
      </c>
      <c r="D19" s="11" t="e">
        <f t="shared" ref="D19:D24" si="0">SUM(K$20*E19)</f>
        <v>#REF!</v>
      </c>
      <c r="E19" s="111">
        <v>0.13</v>
      </c>
      <c r="G19" t="s">
        <v>186</v>
      </c>
      <c r="K19" s="1" t="e">
        <f>+D11</f>
        <v>#REF!</v>
      </c>
    </row>
    <row r="20" spans="1:11">
      <c r="A20" t="s">
        <v>190</v>
      </c>
      <c r="D20" s="11" t="e">
        <f t="shared" si="0"/>
        <v>#REF!</v>
      </c>
      <c r="E20" s="111">
        <v>0.05</v>
      </c>
      <c r="G20" t="s">
        <v>201</v>
      </c>
      <c r="K20" s="1" t="e">
        <f>+'Proforma (Application)'!#REF!</f>
        <v>#REF!</v>
      </c>
    </row>
    <row r="21" spans="1:11">
      <c r="A21" t="s">
        <v>191</v>
      </c>
      <c r="D21" s="11" t="e">
        <f t="shared" si="0"/>
        <v>#REF!</v>
      </c>
      <c r="E21" s="111">
        <v>0.04</v>
      </c>
      <c r="G21" t="s">
        <v>195</v>
      </c>
      <c r="K21" s="1">
        <f>+'Proforma (Application)'!D23</f>
        <v>500</v>
      </c>
    </row>
    <row r="22" spans="1:11">
      <c r="A22" t="s">
        <v>192</v>
      </c>
      <c r="D22" s="11" t="e">
        <f t="shared" si="0"/>
        <v>#REF!</v>
      </c>
      <c r="E22" s="111">
        <v>0.03</v>
      </c>
      <c r="G22" t="s">
        <v>205</v>
      </c>
      <c r="K22" s="2">
        <f>+'Proforma (Application)'!D25</f>
        <v>500</v>
      </c>
    </row>
    <row r="23" spans="1:11">
      <c r="A23" t="s">
        <v>193</v>
      </c>
      <c r="D23" s="11" t="e">
        <f t="shared" si="0"/>
        <v>#REF!</v>
      </c>
      <c r="E23" s="111">
        <v>0.69</v>
      </c>
    </row>
    <row r="24" spans="1:11">
      <c r="A24" t="s">
        <v>194</v>
      </c>
      <c r="D24" s="11" t="e">
        <f t="shared" si="0"/>
        <v>#REF!</v>
      </c>
      <c r="E24" s="111">
        <v>0.06</v>
      </c>
      <c r="G24" t="s">
        <v>206</v>
      </c>
      <c r="K24" s="1" t="e">
        <f>SUM(K18:K22)</f>
        <v>#REF!</v>
      </c>
    </row>
    <row r="25" spans="1:11">
      <c r="D25" s="1"/>
    </row>
    <row r="26" spans="1:11">
      <c r="A26" t="s">
        <v>201</v>
      </c>
      <c r="D26" s="1" t="e">
        <f>SUM(D18:D24)</f>
        <v>#REF!</v>
      </c>
      <c r="E26" s="62">
        <f>SUM(E18:E24)</f>
        <v>1</v>
      </c>
    </row>
    <row r="29" spans="1:11">
      <c r="A29" s="31" t="s">
        <v>196</v>
      </c>
    </row>
    <row r="31" spans="1:11">
      <c r="A31" t="s">
        <v>197</v>
      </c>
      <c r="D31" s="11">
        <f>SUM(K$21*E31)</f>
        <v>65</v>
      </c>
      <c r="E31" s="111">
        <v>0.13</v>
      </c>
    </row>
    <row r="32" spans="1:11">
      <c r="A32" t="s">
        <v>198</v>
      </c>
      <c r="D32" s="11">
        <f>SUM(K$21*E32)</f>
        <v>310</v>
      </c>
      <c r="E32" s="111">
        <v>0.62</v>
      </c>
    </row>
    <row r="33" spans="1:5">
      <c r="A33" t="s">
        <v>199</v>
      </c>
      <c r="D33" s="11">
        <f>SUM(K$21*E33)</f>
        <v>55</v>
      </c>
      <c r="E33" s="111">
        <v>0.11</v>
      </c>
    </row>
    <row r="34" spans="1:5">
      <c r="A34" t="s">
        <v>200</v>
      </c>
      <c r="D34" s="11">
        <f>SUM(K$21*E34)</f>
        <v>70</v>
      </c>
      <c r="E34" s="111">
        <v>0.14000000000000001</v>
      </c>
    </row>
    <row r="35" spans="1:5">
      <c r="D35" s="1"/>
      <c r="E35" s="62"/>
    </row>
    <row r="36" spans="1:5">
      <c r="A36" t="s">
        <v>195</v>
      </c>
      <c r="D36" s="1">
        <f>SUM(D31:D34)</f>
        <v>500</v>
      </c>
      <c r="E36" s="62">
        <f>SUM(E31:E34)</f>
        <v>1</v>
      </c>
    </row>
    <row r="39" spans="1:5">
      <c r="A39" s="31" t="s">
        <v>202</v>
      </c>
    </row>
    <row r="41" spans="1:5">
      <c r="A41" t="s">
        <v>203</v>
      </c>
      <c r="D41" s="11">
        <f>SUM(K$22*E41)</f>
        <v>400</v>
      </c>
      <c r="E41" s="111">
        <v>0.8</v>
      </c>
    </row>
    <row r="42" spans="1:5">
      <c r="A42" t="s">
        <v>204</v>
      </c>
      <c r="D42" s="11">
        <f>SUM(K$22*E42)</f>
        <v>100</v>
      </c>
      <c r="E42" s="111">
        <v>0.2</v>
      </c>
    </row>
    <row r="43" spans="1:5">
      <c r="D43" s="1"/>
      <c r="E43" s="62"/>
    </row>
    <row r="44" spans="1:5">
      <c r="A44" t="s">
        <v>205</v>
      </c>
      <c r="D44" s="1">
        <f>SUM(D41:D42)</f>
        <v>500</v>
      </c>
      <c r="E44" s="62">
        <f>SUM(E41:E42)</f>
        <v>1</v>
      </c>
    </row>
  </sheetData>
  <phoneticPr fontId="0" type="noConversion"/>
  <pageMargins left="0.75" right="0.75" top="1" bottom="1" header="0.5" footer="0.5"/>
  <pageSetup scale="80" orientation="portrait" r:id="rId1"/>
  <headerFooter alignWithMargins="0">
    <oddFooter>&amp;L&amp;D&amp;T&amp;C&amp;F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D52"/>
  <sheetViews>
    <sheetView workbookViewId="0"/>
  </sheetViews>
  <sheetFormatPr defaultColWidth="8.85546875" defaultRowHeight="12.75"/>
  <cols>
    <col min="1" max="1" width="53.28515625" customWidth="1"/>
    <col min="3" max="5" width="10.85546875" customWidth="1"/>
    <col min="6" max="6" width="22.42578125" customWidth="1"/>
  </cols>
  <sheetData>
    <row r="1" spans="1:4">
      <c r="A1" s="1" t="str">
        <f>+'Annual Expense'!E1</f>
        <v>Lamar Building</v>
      </c>
    </row>
    <row r="2" spans="1:4">
      <c r="A2" t="s">
        <v>665</v>
      </c>
    </row>
    <row r="5" spans="1:4">
      <c r="C5" s="34" t="s">
        <v>667</v>
      </c>
      <c r="D5" s="34" t="s">
        <v>668</v>
      </c>
    </row>
    <row r="6" spans="1:4">
      <c r="C6" s="35" t="s">
        <v>301</v>
      </c>
      <c r="D6" s="35" t="s">
        <v>301</v>
      </c>
    </row>
    <row r="7" spans="1:4">
      <c r="C7" s="34"/>
      <c r="D7" s="34"/>
    </row>
    <row r="8" spans="1:4">
      <c r="A8" s="31" t="s">
        <v>674</v>
      </c>
      <c r="C8" s="34"/>
      <c r="D8" s="34"/>
    </row>
    <row r="9" spans="1:4">
      <c r="C9" s="34"/>
      <c r="D9" s="34"/>
    </row>
    <row r="10" spans="1:4">
      <c r="A10" t="s">
        <v>666</v>
      </c>
      <c r="C10">
        <v>480</v>
      </c>
      <c r="D10">
        <v>500</v>
      </c>
    </row>
    <row r="12" spans="1:4">
      <c r="A12" t="s">
        <v>669</v>
      </c>
      <c r="C12">
        <v>335</v>
      </c>
      <c r="D12">
        <v>373</v>
      </c>
    </row>
    <row r="14" spans="1:4">
      <c r="A14" t="s">
        <v>670</v>
      </c>
      <c r="C14">
        <f>+C10-C12</f>
        <v>145</v>
      </c>
      <c r="D14">
        <f>+D10-D12</f>
        <v>127</v>
      </c>
    </row>
    <row r="16" spans="1:4">
      <c r="A16" t="s">
        <v>671</v>
      </c>
      <c r="C16">
        <v>2</v>
      </c>
      <c r="D16">
        <v>2</v>
      </c>
    </row>
    <row r="18" spans="1:4">
      <c r="A18" t="s">
        <v>672</v>
      </c>
      <c r="C18">
        <f>+C14*C16</f>
        <v>290</v>
      </c>
      <c r="D18">
        <f>+D14*D16</f>
        <v>254</v>
      </c>
    </row>
    <row r="20" spans="1:4">
      <c r="A20" t="s">
        <v>673</v>
      </c>
      <c r="B20">
        <v>12</v>
      </c>
      <c r="C20">
        <f>+C18*B20</f>
        <v>3480</v>
      </c>
      <c r="D20">
        <f>+B20*D18</f>
        <v>3048</v>
      </c>
    </row>
    <row r="23" spans="1:4">
      <c r="A23" s="31" t="s">
        <v>675</v>
      </c>
    </row>
    <row r="25" spans="1:4">
      <c r="A25" s="32" t="s">
        <v>678</v>
      </c>
      <c r="C25">
        <f>+C18</f>
        <v>290</v>
      </c>
      <c r="D25">
        <f>+D18</f>
        <v>254</v>
      </c>
    </row>
    <row r="27" spans="1:4">
      <c r="A27" s="32" t="s">
        <v>679</v>
      </c>
      <c r="C27">
        <v>24</v>
      </c>
      <c r="D27">
        <v>4</v>
      </c>
    </row>
    <row r="29" spans="1:4">
      <c r="A29" s="32" t="s">
        <v>680</v>
      </c>
      <c r="C29" s="49">
        <f>+C25/C27</f>
        <v>12.083333333333334</v>
      </c>
      <c r="D29" s="49">
        <f>+D25/D27</f>
        <v>63.5</v>
      </c>
    </row>
    <row r="34" spans="1:4">
      <c r="A34" s="31" t="s">
        <v>681</v>
      </c>
    </row>
    <row r="37" spans="1:4">
      <c r="A37" s="32" t="s">
        <v>676</v>
      </c>
      <c r="C37">
        <v>737</v>
      </c>
      <c r="D37">
        <v>822</v>
      </c>
    </row>
    <row r="39" spans="1:4">
      <c r="A39" t="s">
        <v>666</v>
      </c>
      <c r="C39">
        <v>480</v>
      </c>
      <c r="D39">
        <v>500</v>
      </c>
    </row>
    <row r="41" spans="1:4">
      <c r="A41" s="32" t="s">
        <v>677</v>
      </c>
      <c r="C41">
        <f>+C37-C39</f>
        <v>257</v>
      </c>
      <c r="D41">
        <f>+D37-D39</f>
        <v>322</v>
      </c>
    </row>
    <row r="44" spans="1:4">
      <c r="A44" s="32" t="s">
        <v>682</v>
      </c>
    </row>
    <row r="46" spans="1:4">
      <c r="A46" s="32" t="s">
        <v>683</v>
      </c>
    </row>
    <row r="47" spans="1:4">
      <c r="A47" s="32" t="s">
        <v>684</v>
      </c>
    </row>
    <row r="48" spans="1:4">
      <c r="A48" s="32" t="s">
        <v>685</v>
      </c>
    </row>
    <row r="49" spans="1:1">
      <c r="A49" s="32" t="s">
        <v>686</v>
      </c>
    </row>
    <row r="50" spans="1:1">
      <c r="A50" s="32" t="s">
        <v>687</v>
      </c>
    </row>
    <row r="51" spans="1:1">
      <c r="A51" s="32" t="s">
        <v>688</v>
      </c>
    </row>
    <row r="52" spans="1:1">
      <c r="A52" s="32" t="s">
        <v>689</v>
      </c>
    </row>
  </sheetData>
  <pageMargins left="0.7" right="0.7" top="0.75" bottom="0.75" header="0.3" footer="0.3"/>
  <pageSetup scale="78" orientation="portrait" r:id="rId1"/>
  <headerFooter>
    <oddFooter>&amp;C&amp;D &amp;T
&amp;Z&amp;F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Q82"/>
  <sheetViews>
    <sheetView workbookViewId="0"/>
  </sheetViews>
  <sheetFormatPr defaultColWidth="8.85546875" defaultRowHeight="12.75"/>
  <cols>
    <col min="1" max="3" width="12.7109375" customWidth="1"/>
    <col min="4" max="4" width="16" customWidth="1"/>
    <col min="5" max="6" width="12.7109375" customWidth="1"/>
  </cols>
  <sheetData>
    <row r="1" spans="1:17" ht="14.25">
      <c r="A1" s="272" t="str">
        <f>+'Sources &amp; Uses'!A1</f>
        <v>Lamar Building</v>
      </c>
      <c r="B1" s="264"/>
      <c r="C1" s="264"/>
      <c r="D1" s="264"/>
      <c r="E1" s="264"/>
      <c r="F1" s="264"/>
    </row>
    <row r="3" spans="1:17">
      <c r="A3" s="265" t="s">
        <v>711</v>
      </c>
      <c r="B3" s="266"/>
      <c r="C3" s="266"/>
      <c r="D3" s="267"/>
      <c r="E3" s="267"/>
      <c r="F3" s="267"/>
    </row>
    <row r="4" spans="1:17">
      <c r="A4" s="266" t="s">
        <v>712</v>
      </c>
      <c r="D4" s="268">
        <v>11</v>
      </c>
      <c r="E4" s="268"/>
      <c r="F4" s="267"/>
    </row>
    <row r="5" spans="1:17">
      <c r="A5" s="266" t="s">
        <v>713</v>
      </c>
      <c r="D5" s="268">
        <v>6</v>
      </c>
      <c r="E5" s="268"/>
      <c r="F5" s="267"/>
    </row>
    <row r="6" spans="1:17">
      <c r="A6" s="266"/>
      <c r="B6" s="268"/>
      <c r="C6" s="268"/>
      <c r="D6" s="267"/>
      <c r="E6" s="267"/>
      <c r="F6" s="267"/>
    </row>
    <row r="7" spans="1:17">
      <c r="A7" s="265" t="s">
        <v>714</v>
      </c>
      <c r="B7" s="268"/>
      <c r="C7" s="268"/>
      <c r="D7" s="267"/>
      <c r="E7" s="267"/>
      <c r="F7" s="267"/>
    </row>
    <row r="8" spans="1:17">
      <c r="A8" s="265"/>
      <c r="B8" s="269"/>
      <c r="C8" s="269" t="s">
        <v>728</v>
      </c>
      <c r="D8" s="269" t="s">
        <v>727</v>
      </c>
      <c r="E8" s="269" t="s">
        <v>729</v>
      </c>
      <c r="F8" s="269" t="s">
        <v>399</v>
      </c>
    </row>
    <row r="9" spans="1:17">
      <c r="A9" s="270" t="s">
        <v>718</v>
      </c>
      <c r="B9" s="273">
        <v>170</v>
      </c>
      <c r="C9" s="273">
        <v>650</v>
      </c>
      <c r="D9" s="274">
        <f>+Rent!C34+Rent!C35</f>
        <v>0</v>
      </c>
      <c r="E9" s="274">
        <f>SUM(C9*D9)</f>
        <v>0</v>
      </c>
      <c r="F9" s="274">
        <f>SUM(E9*B9)</f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270" t="s">
        <v>719</v>
      </c>
      <c r="B10" s="273">
        <v>168</v>
      </c>
      <c r="C10" s="273">
        <v>800</v>
      </c>
      <c r="D10" s="274">
        <f>+Rent!C37+Rent!C38</f>
        <v>36</v>
      </c>
      <c r="E10" s="274">
        <f t="shared" ref="E10:E11" si="0">SUM(C10*D10)</f>
        <v>28800</v>
      </c>
      <c r="F10" s="274">
        <f>SUM(E10*B10)</f>
        <v>4838400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>
      <c r="A11" s="270" t="s">
        <v>720</v>
      </c>
      <c r="B11" s="273">
        <v>164</v>
      </c>
      <c r="C11" s="273">
        <v>850</v>
      </c>
      <c r="D11" s="274">
        <f>+Rent!C40+Rent!C38</f>
        <v>15</v>
      </c>
      <c r="E11" s="274">
        <f t="shared" si="0"/>
        <v>12750</v>
      </c>
      <c r="F11" s="274">
        <f>SUM(E11*B11)</f>
        <v>2091000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A12" s="270"/>
      <c r="B12" s="275"/>
      <c r="C12" s="275"/>
      <c r="D12" s="276"/>
      <c r="E12" s="276"/>
      <c r="F12" s="27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idden="1">
      <c r="A13" s="265" t="s">
        <v>721</v>
      </c>
      <c r="B13" s="275"/>
      <c r="C13" s="275"/>
      <c r="D13" s="276"/>
      <c r="E13" s="276"/>
      <c r="F13" s="27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idden="1">
      <c r="A14" s="265"/>
      <c r="B14" s="277" t="s">
        <v>715</v>
      </c>
      <c r="C14" s="277"/>
      <c r="D14" s="277" t="s">
        <v>716</v>
      </c>
      <c r="E14" s="277"/>
      <c r="F14" s="277" t="s">
        <v>717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idden="1">
      <c r="A15" s="270" t="s">
        <v>718</v>
      </c>
      <c r="B15" s="278">
        <f t="shared" ref="B15:D17" si="1">+B9+$D$5</f>
        <v>176</v>
      </c>
      <c r="C15" s="278"/>
      <c r="D15" s="278">
        <f t="shared" si="1"/>
        <v>6</v>
      </c>
      <c r="E15" s="278"/>
      <c r="F15" s="278">
        <f>+F9+$D$5+$D$4</f>
        <v>17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idden="1">
      <c r="A16" s="270" t="s">
        <v>719</v>
      </c>
      <c r="B16" s="278">
        <f t="shared" si="1"/>
        <v>174</v>
      </c>
      <c r="C16" s="278"/>
      <c r="D16" s="278">
        <f t="shared" si="1"/>
        <v>42</v>
      </c>
      <c r="E16" s="278"/>
      <c r="F16" s="278">
        <f>+F10+$D$5+$D$4</f>
        <v>4838417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idden="1">
      <c r="A17" s="270" t="s">
        <v>720</v>
      </c>
      <c r="B17" s="278">
        <f t="shared" si="1"/>
        <v>170</v>
      </c>
      <c r="C17" s="278"/>
      <c r="D17" s="278">
        <f t="shared" si="1"/>
        <v>21</v>
      </c>
      <c r="E17" s="278"/>
      <c r="F17" s="278">
        <f>+F11+$D$5+$D$4</f>
        <v>2091017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idden="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idden="1">
      <c r="A19" s="265" t="s">
        <v>722</v>
      </c>
      <c r="B19" s="276"/>
      <c r="C19" s="276"/>
      <c r="D19" s="276"/>
      <c r="E19" s="276"/>
      <c r="F19" s="27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idden="1">
      <c r="A20" s="267"/>
      <c r="B20" s="277" t="s">
        <v>715</v>
      </c>
      <c r="C20" s="277"/>
      <c r="D20" s="277" t="s">
        <v>716</v>
      </c>
      <c r="E20" s="277"/>
      <c r="F20" s="277" t="s">
        <v>717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idden="1">
      <c r="A21" s="270" t="s">
        <v>718</v>
      </c>
      <c r="B21" s="279">
        <v>6</v>
      </c>
      <c r="C21" s="279"/>
      <c r="D21" s="279">
        <v>4</v>
      </c>
      <c r="E21" s="279"/>
      <c r="F21" s="279">
        <v>30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idden="1">
      <c r="A22" s="270" t="s">
        <v>719</v>
      </c>
      <c r="B22" s="279">
        <v>9</v>
      </c>
      <c r="C22" s="279"/>
      <c r="D22" s="279">
        <v>15</v>
      </c>
      <c r="E22" s="279"/>
      <c r="F22" s="279"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idden="1">
      <c r="A23" s="270" t="s">
        <v>720</v>
      </c>
      <c r="B23" s="279">
        <v>0</v>
      </c>
      <c r="C23" s="279"/>
      <c r="D23" s="279">
        <v>1</v>
      </c>
      <c r="E23" s="279"/>
      <c r="F23" s="279"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idden="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idden="1">
      <c r="A25" s="265" t="s">
        <v>723</v>
      </c>
      <c r="B25" s="276"/>
      <c r="C25" s="276"/>
      <c r="D25" s="276"/>
      <c r="E25" s="276"/>
      <c r="F25" s="27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idden="1">
      <c r="A26" s="267"/>
      <c r="B26" s="277" t="s">
        <v>715</v>
      </c>
      <c r="C26" s="277"/>
      <c r="D26" s="277" t="s">
        <v>716</v>
      </c>
      <c r="E26" s="277"/>
      <c r="F26" s="277" t="s">
        <v>717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idden="1">
      <c r="A27" s="270" t="s">
        <v>718</v>
      </c>
      <c r="B27" s="279">
        <v>682.33333333333337</v>
      </c>
      <c r="C27" s="279"/>
      <c r="D27" s="279">
        <v>757.91428571428571</v>
      </c>
      <c r="E27" s="279"/>
      <c r="F27" s="279">
        <v>724.64059445259034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idden="1">
      <c r="A28" s="270" t="s">
        <v>719</v>
      </c>
      <c r="B28" s="279">
        <v>1066</v>
      </c>
      <c r="C28" s="279"/>
      <c r="D28" s="279">
        <v>1199.3285714285714</v>
      </c>
      <c r="E28" s="279"/>
      <c r="F28" s="279">
        <v>1250.1909090909089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idden="1">
      <c r="A29" s="270" t="s">
        <v>720</v>
      </c>
      <c r="B29" s="279">
        <v>1349</v>
      </c>
      <c r="C29" s="279"/>
      <c r="D29" s="279">
        <v>1395</v>
      </c>
      <c r="E29" s="279"/>
      <c r="F29" s="279">
        <v>1409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idden="1">
      <c r="A30" s="267"/>
      <c r="B30" s="280"/>
      <c r="C30" s="280"/>
      <c r="D30" s="280"/>
      <c r="E30" s="280"/>
      <c r="F30" s="28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idden="1">
      <c r="A31" s="265" t="s">
        <v>724</v>
      </c>
      <c r="B31" s="276"/>
      <c r="C31" s="276"/>
      <c r="D31" s="276"/>
      <c r="E31" s="276"/>
      <c r="F31" s="27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idden="1">
      <c r="A32" s="267"/>
      <c r="B32" s="277" t="s">
        <v>715</v>
      </c>
      <c r="C32" s="277"/>
      <c r="D32" s="277" t="s">
        <v>716</v>
      </c>
      <c r="E32" s="277"/>
      <c r="F32" s="277" t="s">
        <v>717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idden="1">
      <c r="A33" s="270" t="s">
        <v>718</v>
      </c>
      <c r="B33" s="279">
        <f>+B27*B21*B15</f>
        <v>720544</v>
      </c>
      <c r="C33" s="279"/>
      <c r="D33" s="279">
        <f>+D27*D21*D15</f>
        <v>18189.942857142858</v>
      </c>
      <c r="E33" s="279"/>
      <c r="F33" s="279">
        <f>+F27*F21*F15</f>
        <v>369566.70317082107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idden="1">
      <c r="A34" s="270" t="s">
        <v>719</v>
      </c>
      <c r="B34" s="279">
        <f t="shared" ref="B34:F35" si="2">+B28*B22*B16</f>
        <v>1669356</v>
      </c>
      <c r="C34" s="279"/>
      <c r="D34" s="279">
        <f t="shared" si="2"/>
        <v>755577</v>
      </c>
      <c r="E34" s="279"/>
      <c r="F34" s="279">
        <f t="shared" si="2"/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idden="1">
      <c r="A35" s="270" t="s">
        <v>720</v>
      </c>
      <c r="B35" s="279">
        <f t="shared" si="2"/>
        <v>0</v>
      </c>
      <c r="C35" s="279"/>
      <c r="D35" s="279">
        <f t="shared" si="2"/>
        <v>29295</v>
      </c>
      <c r="E35" s="279"/>
      <c r="F35" s="279">
        <f t="shared" si="2"/>
        <v>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>
      <c r="A38" s="271" t="s">
        <v>725</v>
      </c>
      <c r="B38" s="281"/>
      <c r="C38" s="281"/>
      <c r="D38" s="282">
        <f>+SUM(B33:F35)</f>
        <v>3562528.6460279641</v>
      </c>
      <c r="E38" s="283"/>
      <c r="F38" s="1">
        <f>SUM(F9:F11)</f>
        <v>6929400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271" t="s">
        <v>726</v>
      </c>
      <c r="B39" s="1"/>
      <c r="C39" s="1"/>
      <c r="D39" s="282">
        <f>+D38/SUM(B21:F23)</f>
        <v>54808.133015814834</v>
      </c>
      <c r="E39" s="283"/>
      <c r="F39" s="1">
        <f>+'Sources &amp; Uses'!I75</f>
        <v>24500000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>
      <c r="B40" s="1"/>
      <c r="C40" s="1"/>
      <c r="D40" s="1"/>
      <c r="E40" s="1"/>
      <c r="F40" s="1">
        <f>SUM(F38-F39)</f>
        <v>-17570600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>
      <c r="B43" s="1"/>
      <c r="C43" s="1"/>
      <c r="D43" s="1"/>
      <c r="E43" s="1"/>
      <c r="F43" s="1">
        <f>+F38*0.1</f>
        <v>692940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2:17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2:17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2:17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2:17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2:17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2:17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2:17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2:17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2:17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2:17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17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2:17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2:17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2:17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2:17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2:17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2:17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2:17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2:17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2:17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2:17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J51"/>
  <sheetViews>
    <sheetView workbookViewId="0"/>
  </sheetViews>
  <sheetFormatPr defaultColWidth="11.42578125" defaultRowHeight="12.75"/>
  <cols>
    <col min="2" max="2" width="25.140625" customWidth="1"/>
    <col min="3" max="3" width="15.140625" customWidth="1"/>
    <col min="4" max="4" width="4.7109375" customWidth="1"/>
    <col min="7" max="7" width="4.7109375" customWidth="1"/>
    <col min="8" max="8" width="14.42578125" customWidth="1"/>
    <col min="9" max="9" width="12.85546875" customWidth="1"/>
  </cols>
  <sheetData>
    <row r="1" spans="1:10">
      <c r="A1" s="1" t="str">
        <f>+'Sources &amp; Uses'!A1</f>
        <v>Lamar Building</v>
      </c>
    </row>
    <row r="2" spans="1:10">
      <c r="A2" t="s">
        <v>730</v>
      </c>
      <c r="C2" s="34" t="s">
        <v>749</v>
      </c>
    </row>
    <row r="3" spans="1:10">
      <c r="C3" s="34" t="s">
        <v>750</v>
      </c>
    </row>
    <row r="6" spans="1:10">
      <c r="A6">
        <v>1</v>
      </c>
      <c r="B6" t="s">
        <v>731</v>
      </c>
      <c r="C6" s="1">
        <f>42000+30144+45000+40000</f>
        <v>157144</v>
      </c>
      <c r="D6" s="1"/>
      <c r="E6" s="1"/>
      <c r="F6" s="1">
        <f>SUM(C6+E6)</f>
        <v>157144</v>
      </c>
      <c r="G6" s="1">
        <v>3</v>
      </c>
      <c r="H6" s="52">
        <f>SUM(F6/C$47)*C$39*-1</f>
        <v>-79244.086568307466</v>
      </c>
      <c r="I6" s="1">
        <f>SUM(F6+H6)</f>
        <v>77899.913431692534</v>
      </c>
      <c r="J6" s="1"/>
    </row>
    <row r="7" spans="1:10">
      <c r="A7">
        <f>+A6+1</f>
        <v>2</v>
      </c>
      <c r="B7" t="s">
        <v>732</v>
      </c>
      <c r="C7" s="1">
        <f>50000+175000</f>
        <v>225000</v>
      </c>
      <c r="D7" s="1"/>
      <c r="E7" s="1"/>
      <c r="F7" s="1">
        <f t="shared" ref="F7:F27" si="0">SUM(C7+E7)</f>
        <v>225000</v>
      </c>
      <c r="G7" s="1">
        <v>3</v>
      </c>
      <c r="H7" s="52">
        <f t="shared" ref="H7:H13" si="1">SUM(F7/C$47)*C$39*-1</f>
        <v>-113462.29876972192</v>
      </c>
      <c r="I7" s="1">
        <f t="shared" ref="I7:I27" si="2">SUM(F7+H7)</f>
        <v>111537.70123027808</v>
      </c>
      <c r="J7" s="1"/>
    </row>
    <row r="8" spans="1:10">
      <c r="A8">
        <f t="shared" ref="A8:A25" si="3">+A7+1</f>
        <v>3</v>
      </c>
      <c r="B8" t="s">
        <v>733</v>
      </c>
      <c r="C8" s="1">
        <f>250000+45000+12000+88000+2500+135000+275000+18000+35000+35000+250000</f>
        <v>1145500</v>
      </c>
      <c r="D8" s="1">
        <v>1</v>
      </c>
      <c r="E8" s="1">
        <v>-200000</v>
      </c>
      <c r="F8" s="1">
        <f t="shared" si="0"/>
        <v>945500</v>
      </c>
      <c r="G8" s="1">
        <v>3</v>
      </c>
      <c r="H8" s="52">
        <f t="shared" si="1"/>
        <v>-476793.79327454249</v>
      </c>
      <c r="I8" s="1">
        <f t="shared" si="2"/>
        <v>468706.20672545751</v>
      </c>
      <c r="J8" s="1"/>
    </row>
    <row r="9" spans="1:10">
      <c r="A9">
        <f t="shared" si="3"/>
        <v>4</v>
      </c>
      <c r="B9" t="s">
        <v>734</v>
      </c>
      <c r="C9" s="1">
        <v>120000</v>
      </c>
      <c r="D9" s="1"/>
      <c r="E9" s="1"/>
      <c r="F9" s="1">
        <f t="shared" si="0"/>
        <v>120000</v>
      </c>
      <c r="G9" s="1">
        <v>3</v>
      </c>
      <c r="H9" s="52">
        <f t="shared" si="1"/>
        <v>-60513.226010518352</v>
      </c>
      <c r="I9" s="1">
        <f t="shared" si="2"/>
        <v>59486.773989481648</v>
      </c>
      <c r="J9" s="1"/>
    </row>
    <row r="10" spans="1:10">
      <c r="A10">
        <f t="shared" si="3"/>
        <v>5</v>
      </c>
      <c r="B10" t="s">
        <v>735</v>
      </c>
      <c r="C10" s="1">
        <f>120000</f>
        <v>120000</v>
      </c>
      <c r="D10" s="1"/>
      <c r="E10" s="1"/>
      <c r="F10" s="1">
        <f t="shared" si="0"/>
        <v>120000</v>
      </c>
      <c r="G10" s="1">
        <v>3</v>
      </c>
      <c r="H10" s="52">
        <f t="shared" si="1"/>
        <v>-60513.226010518352</v>
      </c>
      <c r="I10" s="1">
        <f t="shared" si="2"/>
        <v>59486.773989481648</v>
      </c>
      <c r="J10" s="1"/>
    </row>
    <row r="11" spans="1:10">
      <c r="A11">
        <f t="shared" si="3"/>
        <v>6</v>
      </c>
      <c r="B11" t="s">
        <v>271</v>
      </c>
      <c r="C11" s="1">
        <f>60000+3500</f>
        <v>63500</v>
      </c>
      <c r="D11" s="1"/>
      <c r="E11" s="1"/>
      <c r="F11" s="1">
        <f t="shared" si="0"/>
        <v>63500</v>
      </c>
      <c r="G11" s="1">
        <v>3</v>
      </c>
      <c r="H11" s="52">
        <f t="shared" si="1"/>
        <v>-32021.582097232629</v>
      </c>
      <c r="I11" s="1">
        <f t="shared" si="2"/>
        <v>31478.417902767371</v>
      </c>
      <c r="J11" s="1"/>
    </row>
    <row r="12" spans="1:10">
      <c r="A12">
        <f t="shared" si="3"/>
        <v>7</v>
      </c>
      <c r="B12" t="s">
        <v>736</v>
      </c>
      <c r="C12" s="1">
        <f>24800+25000+60000+12000</f>
        <v>121800</v>
      </c>
      <c r="D12" s="1"/>
      <c r="E12" s="1"/>
      <c r="F12" s="1">
        <f t="shared" si="0"/>
        <v>121800</v>
      </c>
      <c r="G12" s="1">
        <v>3</v>
      </c>
      <c r="H12" s="52">
        <f t="shared" si="1"/>
        <v>-61420.924400676129</v>
      </c>
      <c r="I12" s="1">
        <f t="shared" si="2"/>
        <v>60379.075599323871</v>
      </c>
      <c r="J12" s="1"/>
    </row>
    <row r="13" spans="1:10">
      <c r="A13">
        <f t="shared" si="3"/>
        <v>8</v>
      </c>
      <c r="B13" t="s">
        <v>737</v>
      </c>
      <c r="C13" s="1">
        <v>100000</v>
      </c>
      <c r="D13" s="1"/>
      <c r="E13" s="1"/>
      <c r="F13" s="1">
        <f t="shared" si="0"/>
        <v>100000</v>
      </c>
      <c r="G13" s="1">
        <v>3</v>
      </c>
      <c r="H13" s="52">
        <f t="shared" si="1"/>
        <v>-50427.688342098634</v>
      </c>
      <c r="I13" s="1">
        <f t="shared" si="2"/>
        <v>49572.311657901366</v>
      </c>
      <c r="J13" s="1"/>
    </row>
    <row r="14" spans="1:10">
      <c r="A14">
        <f t="shared" si="3"/>
        <v>9</v>
      </c>
      <c r="B14" t="s">
        <v>738</v>
      </c>
      <c r="C14" s="1"/>
      <c r="D14" s="1"/>
      <c r="E14" s="1"/>
      <c r="F14" s="1">
        <f t="shared" si="0"/>
        <v>0</v>
      </c>
      <c r="G14" s="1"/>
      <c r="H14" s="1"/>
      <c r="I14" s="1">
        <f t="shared" si="2"/>
        <v>0</v>
      </c>
      <c r="J14" s="1"/>
    </row>
    <row r="15" spans="1:10">
      <c r="A15">
        <f t="shared" si="3"/>
        <v>10</v>
      </c>
      <c r="B15" t="s">
        <v>739</v>
      </c>
      <c r="C15" s="1"/>
      <c r="D15" s="1"/>
      <c r="E15" s="1"/>
      <c r="F15" s="1">
        <f t="shared" si="0"/>
        <v>0</v>
      </c>
      <c r="G15" s="1"/>
      <c r="H15" s="1"/>
      <c r="I15" s="1">
        <f t="shared" si="2"/>
        <v>0</v>
      </c>
      <c r="J15" s="1"/>
    </row>
    <row r="16" spans="1:10">
      <c r="A16">
        <f t="shared" si="3"/>
        <v>11</v>
      </c>
      <c r="B16" t="s">
        <v>740</v>
      </c>
      <c r="C16" s="1">
        <v>75000</v>
      </c>
      <c r="D16" s="1"/>
      <c r="E16" s="1"/>
      <c r="F16" s="1">
        <f t="shared" si="0"/>
        <v>75000</v>
      </c>
      <c r="G16" s="1">
        <v>3</v>
      </c>
      <c r="H16" s="52">
        <f>SUM(F16/C$47)*C$39*-1</f>
        <v>-37820.766256573967</v>
      </c>
      <c r="I16" s="1">
        <f t="shared" si="2"/>
        <v>37179.233743426033</v>
      </c>
      <c r="J16" s="1"/>
    </row>
    <row r="17" spans="1:10">
      <c r="A17">
        <f t="shared" si="3"/>
        <v>12</v>
      </c>
      <c r="B17" t="s">
        <v>741</v>
      </c>
      <c r="C17" s="1"/>
      <c r="D17" s="1"/>
      <c r="E17" s="1"/>
      <c r="F17" s="1">
        <f t="shared" si="0"/>
        <v>0</v>
      </c>
      <c r="G17" s="1"/>
      <c r="H17" s="1"/>
      <c r="I17" s="1">
        <f t="shared" si="2"/>
        <v>0</v>
      </c>
      <c r="J17" s="1"/>
    </row>
    <row r="18" spans="1:10">
      <c r="A18">
        <f t="shared" si="3"/>
        <v>13</v>
      </c>
      <c r="B18" t="s">
        <v>742</v>
      </c>
      <c r="C18" s="1"/>
      <c r="D18" s="1"/>
      <c r="E18" s="1"/>
      <c r="F18" s="1">
        <f t="shared" si="0"/>
        <v>0</v>
      </c>
      <c r="G18" s="1"/>
      <c r="H18" s="1"/>
      <c r="I18" s="1">
        <f t="shared" si="2"/>
        <v>0</v>
      </c>
      <c r="J18" s="1"/>
    </row>
    <row r="19" spans="1:10">
      <c r="A19">
        <f t="shared" si="3"/>
        <v>14</v>
      </c>
      <c r="B19" t="s">
        <v>743</v>
      </c>
      <c r="C19" s="1">
        <v>76000</v>
      </c>
      <c r="D19" s="1"/>
      <c r="E19" s="1"/>
      <c r="F19" s="1">
        <f t="shared" si="0"/>
        <v>76000</v>
      </c>
      <c r="G19" s="1">
        <v>3</v>
      </c>
      <c r="H19" s="52">
        <f>SUM(F19/C$47)*C$39*-1</f>
        <v>-38325.043139994959</v>
      </c>
      <c r="I19" s="1">
        <f t="shared" si="2"/>
        <v>37674.956860005041</v>
      </c>
      <c r="J19" s="1"/>
    </row>
    <row r="20" spans="1:10">
      <c r="A20">
        <f t="shared" si="3"/>
        <v>15</v>
      </c>
      <c r="B20" t="s">
        <v>636</v>
      </c>
      <c r="C20" s="1"/>
      <c r="D20" s="1"/>
      <c r="E20" s="1"/>
      <c r="F20" s="1">
        <f t="shared" si="0"/>
        <v>0</v>
      </c>
      <c r="G20" s="1"/>
      <c r="H20" s="1"/>
      <c r="I20" s="1">
        <f t="shared" si="2"/>
        <v>0</v>
      </c>
      <c r="J20" s="1"/>
    </row>
    <row r="21" spans="1:10">
      <c r="A21">
        <f t="shared" si="3"/>
        <v>16</v>
      </c>
      <c r="B21" t="s">
        <v>744</v>
      </c>
      <c r="C21" s="1">
        <v>125000</v>
      </c>
      <c r="D21" s="1"/>
      <c r="E21" s="1"/>
      <c r="F21" s="1">
        <f t="shared" si="0"/>
        <v>125000</v>
      </c>
      <c r="G21" s="1">
        <v>3</v>
      </c>
      <c r="H21" s="52">
        <f>SUM(F21/C$47)*C$39*-1</f>
        <v>-63034.61042762328</v>
      </c>
      <c r="I21" s="1">
        <f t="shared" si="2"/>
        <v>61965.38957237672</v>
      </c>
      <c r="J21" s="1"/>
    </row>
    <row r="22" spans="1:10">
      <c r="A22">
        <f t="shared" si="3"/>
        <v>17</v>
      </c>
      <c r="B22" t="s">
        <v>745</v>
      </c>
      <c r="C22" s="1"/>
      <c r="D22" s="1"/>
      <c r="E22" s="1"/>
      <c r="F22" s="1">
        <f t="shared" si="0"/>
        <v>0</v>
      </c>
      <c r="G22" s="1"/>
      <c r="H22" s="1"/>
      <c r="I22" s="1">
        <f t="shared" si="2"/>
        <v>0</v>
      </c>
      <c r="J22" s="1"/>
    </row>
    <row r="23" spans="1:10">
      <c r="A23">
        <f t="shared" si="3"/>
        <v>18</v>
      </c>
      <c r="B23" t="s">
        <v>746</v>
      </c>
      <c r="C23" s="1">
        <f>25000+25000+40000+1000+175000+18840</f>
        <v>284840</v>
      </c>
      <c r="D23" s="1">
        <v>2</v>
      </c>
      <c r="E23" s="1">
        <v>-57240</v>
      </c>
      <c r="F23" s="1">
        <f t="shared" si="0"/>
        <v>227600</v>
      </c>
      <c r="G23" s="1">
        <v>3</v>
      </c>
      <c r="H23" s="52">
        <f>SUM(F23/C$47)*C$39*-1</f>
        <v>-114773.41866661648</v>
      </c>
      <c r="I23" s="1">
        <f t="shared" si="2"/>
        <v>112826.58133338352</v>
      </c>
      <c r="J23" s="1"/>
    </row>
    <row r="24" spans="1:10">
      <c r="A24">
        <f t="shared" si="3"/>
        <v>19</v>
      </c>
      <c r="B24" t="s">
        <v>747</v>
      </c>
      <c r="C24" s="1"/>
      <c r="D24" s="1"/>
      <c r="E24" s="1"/>
      <c r="F24" s="1">
        <f t="shared" si="0"/>
        <v>0</v>
      </c>
      <c r="G24" s="1"/>
      <c r="H24" s="1"/>
      <c r="I24" s="1">
        <f t="shared" si="2"/>
        <v>0</v>
      </c>
      <c r="J24" s="1"/>
    </row>
    <row r="25" spans="1:10">
      <c r="A25">
        <f t="shared" si="3"/>
        <v>20</v>
      </c>
      <c r="B25" t="s">
        <v>748</v>
      </c>
      <c r="C25" s="1">
        <f>2500+25000+15000+5000+15000+25444</f>
        <v>87944</v>
      </c>
      <c r="D25" s="1"/>
      <c r="E25" s="1"/>
      <c r="F25" s="1">
        <f t="shared" si="0"/>
        <v>87944</v>
      </c>
      <c r="G25" s="1">
        <v>3</v>
      </c>
      <c r="H25" s="52">
        <f>SUM(F25/C$47)*C$39*-1</f>
        <v>-44348.126235575219</v>
      </c>
      <c r="I25" s="1">
        <f t="shared" si="2"/>
        <v>43595.873764424781</v>
      </c>
      <c r="J25" s="1" t="s">
        <v>760</v>
      </c>
    </row>
    <row r="26" spans="1:10">
      <c r="A26">
        <v>21</v>
      </c>
      <c r="B26" t="s">
        <v>752</v>
      </c>
      <c r="C26" s="1"/>
      <c r="D26" s="1">
        <v>1</v>
      </c>
      <c r="E26" s="1">
        <v>200000</v>
      </c>
      <c r="F26" s="1">
        <f t="shared" si="0"/>
        <v>200000</v>
      </c>
      <c r="G26" s="1"/>
      <c r="H26" s="52"/>
      <c r="I26" s="1">
        <f t="shared" si="2"/>
        <v>200000</v>
      </c>
      <c r="J26" s="1"/>
    </row>
    <row r="27" spans="1:10">
      <c r="B27" t="s">
        <v>320</v>
      </c>
      <c r="C27" s="1"/>
      <c r="D27" s="1">
        <v>2</v>
      </c>
      <c r="E27" s="1">
        <v>57240</v>
      </c>
      <c r="F27" s="1">
        <f t="shared" si="0"/>
        <v>57240</v>
      </c>
      <c r="G27" s="1"/>
      <c r="H27" s="52"/>
      <c r="I27" s="1">
        <f t="shared" si="2"/>
        <v>57240</v>
      </c>
      <c r="J27" s="1"/>
    </row>
    <row r="28" spans="1:10">
      <c r="C28" s="1"/>
      <c r="D28" s="1"/>
      <c r="E28" s="1"/>
      <c r="F28" s="1"/>
      <c r="G28" s="1"/>
      <c r="H28" s="1"/>
      <c r="I28" s="1"/>
      <c r="J28" s="1"/>
    </row>
    <row r="29" spans="1:10">
      <c r="B29" t="s">
        <v>755</v>
      </c>
      <c r="C29" s="1">
        <f>SUM(C6:C28)</f>
        <v>2701728</v>
      </c>
      <c r="D29" s="1"/>
      <c r="E29" s="1">
        <f t="shared" ref="E29:I29" si="4">SUM(E6:E28)</f>
        <v>0</v>
      </c>
      <c r="F29" s="1">
        <f t="shared" si="4"/>
        <v>2701728</v>
      </c>
      <c r="G29" s="1"/>
      <c r="H29" s="1">
        <f t="shared" si="4"/>
        <v>-1232698.7901999999</v>
      </c>
      <c r="I29" s="1">
        <f t="shared" si="4"/>
        <v>1469029.2098000001</v>
      </c>
      <c r="J29" s="1"/>
    </row>
    <row r="30" spans="1:10">
      <c r="C30" s="1"/>
      <c r="D30" s="1"/>
      <c r="E30" s="1"/>
      <c r="F30" s="1"/>
      <c r="G30" s="1"/>
      <c r="H30" s="1"/>
      <c r="I30" s="1"/>
      <c r="J30" s="1"/>
    </row>
    <row r="31" spans="1:10">
      <c r="B31" t="s">
        <v>751</v>
      </c>
      <c r="C31" s="1">
        <f>+'Sources &amp; Uses'!F24</f>
        <v>14451334</v>
      </c>
      <c r="D31" s="1"/>
      <c r="E31" s="1"/>
      <c r="F31" s="1"/>
      <c r="G31" s="1"/>
      <c r="H31" s="1"/>
      <c r="I31" s="1"/>
      <c r="J31" s="1"/>
    </row>
    <row r="32" spans="1:10">
      <c r="C32" s="1"/>
      <c r="D32" s="1"/>
      <c r="E32" s="1"/>
      <c r="F32" s="1"/>
      <c r="G32" s="1"/>
      <c r="H32" s="1"/>
      <c r="I32" s="1"/>
      <c r="J32" s="1"/>
    </row>
    <row r="33" spans="2:10">
      <c r="C33" s="1"/>
      <c r="D33" s="1"/>
      <c r="E33" s="1"/>
      <c r="F33" s="1"/>
      <c r="G33" s="1"/>
      <c r="H33" s="1"/>
      <c r="I33" s="1"/>
      <c r="J33" s="1"/>
    </row>
    <row r="34" spans="2:10">
      <c r="C34" s="1">
        <f>SUM(C29-C31)</f>
        <v>-11749606</v>
      </c>
      <c r="D34" s="1"/>
      <c r="E34" s="1"/>
      <c r="F34" s="1"/>
      <c r="G34" s="1"/>
      <c r="H34" s="1"/>
      <c r="I34" s="1"/>
      <c r="J34" s="1"/>
    </row>
    <row r="35" spans="2:10">
      <c r="B35" t="s">
        <v>595</v>
      </c>
      <c r="C35" s="1"/>
      <c r="D35" s="1"/>
      <c r="E35" s="1"/>
      <c r="F35" s="1"/>
      <c r="G35" s="1"/>
      <c r="H35" s="1"/>
      <c r="I35" s="1"/>
      <c r="J35" s="1"/>
    </row>
    <row r="36" spans="2:10">
      <c r="B36" t="s">
        <v>626</v>
      </c>
      <c r="C36" s="1">
        <f>+'Sources &amp; Uses'!F31</f>
        <v>221105.41019999998</v>
      </c>
      <c r="D36" s="1"/>
      <c r="E36" s="1"/>
      <c r="F36" s="1"/>
      <c r="G36" s="1">
        <v>3</v>
      </c>
      <c r="H36" s="1"/>
      <c r="I36" s="1">
        <f>+C36</f>
        <v>221105.41019999998</v>
      </c>
      <c r="J36" s="1"/>
    </row>
    <row r="37" spans="2:10">
      <c r="B37" t="s">
        <v>625</v>
      </c>
      <c r="C37" s="1">
        <f>+'Sources &amp; Uses'!F30</f>
        <v>722566.70000000007</v>
      </c>
      <c r="D37" s="1"/>
      <c r="E37" s="1"/>
      <c r="F37" s="1"/>
      <c r="G37" s="1">
        <v>3</v>
      </c>
      <c r="H37" s="1"/>
      <c r="I37" s="1">
        <f t="shared" ref="I37:I38" si="5">+C37</f>
        <v>722566.70000000007</v>
      </c>
      <c r="J37" s="1"/>
    </row>
    <row r="38" spans="2:10">
      <c r="B38" t="s">
        <v>753</v>
      </c>
      <c r="C38" s="1">
        <f>+'Sources &amp; Uses'!F26</f>
        <v>289026.68</v>
      </c>
      <c r="D38" s="1"/>
      <c r="E38" s="1"/>
      <c r="F38" s="1"/>
      <c r="G38" s="1">
        <v>3</v>
      </c>
      <c r="H38" s="1"/>
      <c r="I38" s="1">
        <f t="shared" si="5"/>
        <v>289026.68</v>
      </c>
      <c r="J38" s="1"/>
    </row>
    <row r="39" spans="2:10">
      <c r="C39" s="1">
        <f>SUM(C36:C38)</f>
        <v>1232698.7901999999</v>
      </c>
      <c r="D39" s="1"/>
      <c r="E39" s="1"/>
      <c r="F39" s="1"/>
      <c r="G39" s="1"/>
      <c r="H39" s="1"/>
      <c r="I39" s="1"/>
      <c r="J39" s="1"/>
    </row>
    <row r="40" spans="2:10">
      <c r="B40" t="s">
        <v>759</v>
      </c>
      <c r="C40" s="1"/>
      <c r="D40" s="1"/>
      <c r="E40" s="1"/>
      <c r="F40" s="1"/>
      <c r="G40" s="1"/>
      <c r="H40" s="1"/>
      <c r="I40" s="1">
        <f>SUM(I29:I38)</f>
        <v>2701728.0000000005</v>
      </c>
      <c r="J40" s="1"/>
    </row>
    <row r="41" spans="2:10">
      <c r="C41" s="1"/>
      <c r="D41" s="1"/>
      <c r="E41" s="1"/>
      <c r="F41" s="1"/>
      <c r="G41" s="1"/>
      <c r="H41" s="1"/>
      <c r="I41" s="1"/>
      <c r="J41" s="1"/>
    </row>
    <row r="42" spans="2:10">
      <c r="B42" t="s">
        <v>757</v>
      </c>
      <c r="C42" s="1">
        <f>SUM(C34-C39)</f>
        <v>-12982304.790200001</v>
      </c>
      <c r="D42" s="1"/>
      <c r="E42" s="1"/>
      <c r="F42" s="1"/>
      <c r="G42" s="1"/>
      <c r="H42" s="1"/>
      <c r="I42" s="1"/>
      <c r="J42" s="1"/>
    </row>
    <row r="43" spans="2:10">
      <c r="C43" s="1"/>
      <c r="D43" s="1"/>
      <c r="E43" s="1"/>
      <c r="F43" s="1"/>
      <c r="G43" s="1"/>
      <c r="H43" s="1"/>
      <c r="I43" s="1"/>
      <c r="J43" s="1"/>
    </row>
    <row r="44" spans="2:10">
      <c r="B44" t="s">
        <v>754</v>
      </c>
      <c r="C44" s="1">
        <f>+C31+C39</f>
        <v>15684032.790200001</v>
      </c>
      <c r="D44" s="1"/>
      <c r="E44" s="1"/>
      <c r="F44" s="1"/>
      <c r="G44" s="1"/>
      <c r="H44" s="1"/>
      <c r="I44" s="1"/>
      <c r="J44" s="1"/>
    </row>
    <row r="45" spans="2:10">
      <c r="B45" t="s">
        <v>756</v>
      </c>
      <c r="C45" s="1">
        <f>+C29-C44</f>
        <v>-12982304.790200001</v>
      </c>
      <c r="D45" s="1"/>
      <c r="E45" s="1"/>
      <c r="F45" s="1"/>
      <c r="G45" s="1"/>
      <c r="H45" s="1"/>
      <c r="I45" s="1"/>
      <c r="J45" s="1"/>
    </row>
    <row r="46" spans="2:10">
      <c r="C46" s="1"/>
      <c r="D46" s="1"/>
      <c r="E46" s="1"/>
      <c r="F46" s="1"/>
      <c r="G46" s="1"/>
      <c r="H46" s="1"/>
      <c r="I46" s="1"/>
      <c r="J46" s="1"/>
    </row>
    <row r="47" spans="2:10">
      <c r="B47" t="s">
        <v>758</v>
      </c>
      <c r="C47" s="1">
        <f>SUM(F29-F26-F27)</f>
        <v>2444488</v>
      </c>
      <c r="D47" s="1"/>
      <c r="E47" s="1"/>
      <c r="F47" s="1"/>
      <c r="G47" s="1"/>
      <c r="H47" s="1"/>
      <c r="I47" s="1"/>
      <c r="J47" s="1"/>
    </row>
    <row r="48" spans="2:10">
      <c r="C48" s="1"/>
      <c r="D48" s="1"/>
      <c r="E48" s="1"/>
      <c r="F48" s="1"/>
      <c r="G48" s="1"/>
      <c r="H48" s="1"/>
      <c r="I48" s="1"/>
      <c r="J48" s="1"/>
    </row>
    <row r="49" spans="3:10">
      <c r="C49" s="1"/>
      <c r="D49" s="1"/>
      <c r="E49" s="1"/>
      <c r="F49" s="1"/>
      <c r="G49" s="1"/>
      <c r="H49" s="1"/>
      <c r="I49" s="1"/>
      <c r="J49" s="1"/>
    </row>
    <row r="50" spans="3:10">
      <c r="C50" s="1"/>
      <c r="D50" s="1"/>
      <c r="E50" s="1"/>
      <c r="F50" s="1"/>
      <c r="G50" s="1"/>
      <c r="H50" s="1"/>
      <c r="I50" s="1"/>
      <c r="J50" s="1"/>
    </row>
    <row r="51" spans="3:10">
      <c r="C51" s="1"/>
      <c r="D51" s="1"/>
      <c r="E51" s="1"/>
      <c r="F51" s="1"/>
      <c r="G51" s="1"/>
      <c r="H51" s="1"/>
      <c r="I51" s="1"/>
      <c r="J51" s="1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pageSetUpPr fitToPage="1"/>
  </sheetPr>
  <dimension ref="A1:S149"/>
  <sheetViews>
    <sheetView tabSelected="1" topLeftCell="A61" workbookViewId="0">
      <selection activeCell="J90" sqref="J90"/>
    </sheetView>
  </sheetViews>
  <sheetFormatPr defaultColWidth="9.140625" defaultRowHeight="12.75"/>
  <cols>
    <col min="1" max="1" width="9.140625" style="1"/>
    <col min="2" max="2" width="10.42578125" style="1" bestFit="1" customWidth="1"/>
    <col min="3" max="3" width="19.7109375" style="1" customWidth="1"/>
    <col min="4" max="19" width="12.7109375" style="1" customWidth="1"/>
    <col min="20" max="16384" width="9.140625" style="1"/>
  </cols>
  <sheetData>
    <row r="1" spans="1:19">
      <c r="G1" s="1" t="s">
        <v>70</v>
      </c>
      <c r="J1" s="68">
        <v>0</v>
      </c>
      <c r="K1" s="1" t="s">
        <v>71</v>
      </c>
    </row>
    <row r="2" spans="1:19">
      <c r="A2" s="1" t="s">
        <v>69</v>
      </c>
      <c r="D2" s="2" t="str">
        <f>+'Sources &amp; Uses'!A1</f>
        <v>Lamar Building</v>
      </c>
      <c r="E2" s="2"/>
      <c r="J2" s="68">
        <v>0.02</v>
      </c>
      <c r="K2" s="1" t="s">
        <v>72</v>
      </c>
    </row>
    <row r="3" spans="1:19">
      <c r="J3" s="70">
        <v>0.05</v>
      </c>
      <c r="K3" s="1" t="s">
        <v>235</v>
      </c>
    </row>
    <row r="4" spans="1:19">
      <c r="D4" s="300" t="s">
        <v>1300</v>
      </c>
      <c r="J4" s="71"/>
    </row>
    <row r="5" spans="1:19" ht="13.5" customHeight="1"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</row>
    <row r="7" spans="1:19">
      <c r="D7" s="12" t="s">
        <v>75</v>
      </c>
      <c r="E7" s="12" t="s">
        <v>75</v>
      </c>
      <c r="F7" s="12" t="s">
        <v>75</v>
      </c>
      <c r="G7" s="12" t="s">
        <v>75</v>
      </c>
      <c r="H7" s="12" t="s">
        <v>75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spans="1:19">
      <c r="D8" s="17" t="s">
        <v>76</v>
      </c>
      <c r="E8" s="17" t="s">
        <v>77</v>
      </c>
      <c r="F8" s="17" t="s">
        <v>78</v>
      </c>
      <c r="G8" s="17" t="s">
        <v>79</v>
      </c>
      <c r="H8" s="17" t="s">
        <v>80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19" ht="18">
      <c r="A9" s="18" t="s">
        <v>71</v>
      </c>
    </row>
    <row r="10" spans="1:19">
      <c r="A10" s="483" t="s">
        <v>1231</v>
      </c>
      <c r="D10" s="479">
        <v>1950600</v>
      </c>
      <c r="E10" s="479">
        <f>+D10*1.04</f>
        <v>2028624</v>
      </c>
      <c r="F10" s="479">
        <f>+E10*1.04</f>
        <v>2109768.96</v>
      </c>
      <c r="G10" s="479">
        <f>+F10*1.04</f>
        <v>2194159.7184000001</v>
      </c>
      <c r="H10" s="479">
        <f>+G10*1.04</f>
        <v>2281926.1071360004</v>
      </c>
      <c r="I10" s="11"/>
      <c r="J10" s="479"/>
      <c r="K10" s="479"/>
      <c r="L10" s="479"/>
      <c r="M10" s="479"/>
      <c r="N10" s="479"/>
      <c r="O10" s="11"/>
      <c r="P10" s="498"/>
      <c r="Q10" s="11"/>
      <c r="R10" s="11"/>
      <c r="S10" s="11"/>
    </row>
    <row r="11" spans="1:19">
      <c r="A11" s="483" t="s">
        <v>1288</v>
      </c>
      <c r="D11" s="479">
        <f>+Rent!G44/1.5</f>
        <v>101833.33333333333</v>
      </c>
      <c r="E11" s="479">
        <f>+D11*J1+D11</f>
        <v>101833.33333333333</v>
      </c>
      <c r="F11" s="479">
        <f>+E11*(1+J1)</f>
        <v>101833.33333333333</v>
      </c>
      <c r="G11" s="479">
        <f>+F11*(1+J1)</f>
        <v>101833.33333333333</v>
      </c>
      <c r="H11" s="479">
        <f>+G11*(1+J1)</f>
        <v>101833.33333333333</v>
      </c>
      <c r="I11" s="11"/>
      <c r="J11" s="479"/>
      <c r="K11" s="479"/>
      <c r="L11" s="479"/>
      <c r="M11" s="479"/>
      <c r="N11" s="479"/>
      <c r="O11" s="11"/>
      <c r="P11" s="11"/>
      <c r="Q11" s="11"/>
      <c r="R11" s="11"/>
      <c r="S11" s="11"/>
    </row>
    <row r="12" spans="1:19">
      <c r="A12" s="483" t="s">
        <v>1289</v>
      </c>
      <c r="D12" s="479">
        <v>240000</v>
      </c>
      <c r="E12" s="479">
        <f>+D12*J2+D12</f>
        <v>244800</v>
      </c>
      <c r="F12" s="479">
        <f>+E12*(1+J2)</f>
        <v>249696</v>
      </c>
      <c r="G12" s="479">
        <f>+F12*(1+J2)</f>
        <v>254689.92000000001</v>
      </c>
      <c r="H12" s="479">
        <f>+G12*(1+J2)</f>
        <v>259783.71840000001</v>
      </c>
      <c r="I12" s="11"/>
      <c r="J12" s="479"/>
      <c r="K12" s="479"/>
      <c r="L12" s="479"/>
      <c r="M12" s="479"/>
      <c r="N12" s="479"/>
      <c r="O12" s="11"/>
      <c r="P12" s="11"/>
      <c r="Q12" s="11"/>
      <c r="R12" s="11"/>
      <c r="S12" s="11"/>
    </row>
    <row r="13" spans="1:19">
      <c r="A13" s="483" t="s">
        <v>1232</v>
      </c>
      <c r="D13" s="479"/>
      <c r="E13" s="479"/>
      <c r="F13" s="479"/>
      <c r="G13" s="479"/>
      <c r="H13" s="479"/>
      <c r="I13" s="11"/>
      <c r="J13" s="479">
        <f>+D12/4024</f>
        <v>59.642147117296226</v>
      </c>
      <c r="K13" s="479"/>
      <c r="L13" s="479"/>
      <c r="M13" s="479"/>
      <c r="N13" s="479"/>
      <c r="O13" s="11"/>
      <c r="P13" s="11"/>
      <c r="Q13" s="11"/>
      <c r="R13" s="11"/>
      <c r="S13" s="11"/>
    </row>
    <row r="14" spans="1:19">
      <c r="A14" s="483" t="s">
        <v>1233</v>
      </c>
      <c r="C14" s="13"/>
      <c r="D14" s="479">
        <f>+D10*-$J$3</f>
        <v>-97530</v>
      </c>
      <c r="E14" s="479">
        <f>+E10*-$J$3</f>
        <v>-101431.20000000001</v>
      </c>
      <c r="F14" s="479">
        <f>+F10*-$J$3</f>
        <v>-105488.448</v>
      </c>
      <c r="G14" s="479">
        <f>+G10*-$J$3</f>
        <v>-109707.98592000001</v>
      </c>
      <c r="H14" s="479">
        <f>+H10*-$J$3</f>
        <v>-114096.30535680003</v>
      </c>
      <c r="I14" s="11"/>
      <c r="J14" s="479"/>
      <c r="K14" s="479"/>
      <c r="L14" s="479"/>
      <c r="M14" s="479"/>
      <c r="N14" s="479"/>
      <c r="O14" s="11"/>
      <c r="P14" s="11"/>
      <c r="Q14" s="11"/>
      <c r="R14" s="11"/>
      <c r="S14" s="11"/>
    </row>
    <row r="15" spans="1:19">
      <c r="A15" s="483" t="s">
        <v>1290</v>
      </c>
      <c r="C15" s="13"/>
      <c r="D15" s="479">
        <f>+D12*-0.1</f>
        <v>-24000</v>
      </c>
      <c r="E15" s="484">
        <f>+D15*(1+$J$1)</f>
        <v>-24000</v>
      </c>
      <c r="F15" s="484">
        <f t="shared" ref="F15:H15" si="0">+E15*(1+$J$1)</f>
        <v>-24000</v>
      </c>
      <c r="G15" s="484">
        <f t="shared" si="0"/>
        <v>-24000</v>
      </c>
      <c r="H15" s="484">
        <f t="shared" si="0"/>
        <v>-24000</v>
      </c>
      <c r="I15" s="11"/>
      <c r="J15" s="479"/>
      <c r="K15" s="484"/>
      <c r="L15" s="484"/>
      <c r="M15" s="484"/>
      <c r="N15" s="484"/>
      <c r="O15" s="11"/>
      <c r="P15" s="11"/>
      <c r="Q15" s="11"/>
      <c r="R15" s="11"/>
      <c r="S15" s="11"/>
    </row>
    <row r="16" spans="1:19">
      <c r="A16" s="483" t="s">
        <v>1234</v>
      </c>
      <c r="D16" s="484"/>
      <c r="E16" s="484"/>
      <c r="F16" s="484"/>
      <c r="G16" s="484"/>
      <c r="H16" s="484"/>
      <c r="I16" s="11"/>
      <c r="J16" s="484"/>
      <c r="K16" s="484"/>
      <c r="L16" s="484"/>
      <c r="M16" s="484"/>
      <c r="N16" s="484"/>
      <c r="O16" s="11"/>
      <c r="P16" s="11"/>
      <c r="Q16" s="11"/>
      <c r="R16" s="11"/>
      <c r="S16" s="11"/>
    </row>
    <row r="17" spans="1:18">
      <c r="A17" s="483" t="s">
        <v>1235</v>
      </c>
      <c r="D17" s="484">
        <f>+D10*-0.01</f>
        <v>-19506</v>
      </c>
      <c r="E17" s="484">
        <f>+E10*-0.01</f>
        <v>-20286.240000000002</v>
      </c>
      <c r="F17" s="484">
        <f>+F10*-0.01</f>
        <v>-21097.689600000002</v>
      </c>
      <c r="G17" s="484">
        <f>+G10*-0.01</f>
        <v>-21941.597184000002</v>
      </c>
      <c r="H17" s="484">
        <f>+H10*-0.01</f>
        <v>-22819.261071360004</v>
      </c>
      <c r="J17" s="484"/>
      <c r="K17" s="484"/>
      <c r="L17" s="484"/>
      <c r="M17" s="484"/>
      <c r="N17" s="484"/>
    </row>
    <row r="18" spans="1:18">
      <c r="A18" s="483" t="s">
        <v>1236</v>
      </c>
      <c r="D18" s="484">
        <f>SUM(D10:D17)</f>
        <v>2151397.333333333</v>
      </c>
      <c r="E18" s="484">
        <f>SUM(E10:E17)</f>
        <v>2229539.8933333331</v>
      </c>
      <c r="F18" s="484">
        <f>SUM(F10:F17)</f>
        <v>2310712.1557333334</v>
      </c>
      <c r="G18" s="484">
        <f>SUM(G10:G17)</f>
        <v>2395033.3886293336</v>
      </c>
      <c r="H18" s="484">
        <f>SUM(H10:H17)</f>
        <v>2482627.5924411737</v>
      </c>
      <c r="J18" s="484"/>
      <c r="K18" s="484"/>
      <c r="L18" s="484"/>
      <c r="M18" s="484"/>
      <c r="N18" s="484"/>
    </row>
    <row r="19" spans="1:18">
      <c r="A19" s="483"/>
      <c r="D19" s="484"/>
      <c r="E19" s="484"/>
      <c r="F19" s="484"/>
      <c r="G19" s="484"/>
      <c r="H19" s="484"/>
      <c r="J19" s="484"/>
      <c r="K19" s="484"/>
      <c r="L19" s="484"/>
      <c r="M19" s="484"/>
      <c r="N19" s="484"/>
    </row>
    <row r="20" spans="1:18">
      <c r="A20" s="483" t="s">
        <v>1237</v>
      </c>
      <c r="D20" s="484">
        <f>75*75</f>
        <v>5625</v>
      </c>
      <c r="E20" s="484">
        <f>20*75</f>
        <v>1500</v>
      </c>
      <c r="F20" s="484"/>
      <c r="G20" s="484">
        <f>30*80</f>
        <v>2400</v>
      </c>
      <c r="H20" s="484">
        <v>2400</v>
      </c>
      <c r="J20" s="484"/>
      <c r="K20" s="484"/>
      <c r="L20" s="484"/>
      <c r="M20" s="484"/>
      <c r="N20" s="484"/>
    </row>
    <row r="21" spans="1:18">
      <c r="A21" s="483" t="s">
        <v>1238</v>
      </c>
      <c r="D21" s="479">
        <f>+D10*0.005</f>
        <v>9753</v>
      </c>
      <c r="E21" s="479">
        <f t="shared" ref="E21:H21" si="1">+E10*0.005</f>
        <v>10143.120000000001</v>
      </c>
      <c r="F21" s="479">
        <f t="shared" si="1"/>
        <v>10548.844800000001</v>
      </c>
      <c r="G21" s="479">
        <f t="shared" si="1"/>
        <v>10970.798592000001</v>
      </c>
      <c r="H21" s="479">
        <f t="shared" si="1"/>
        <v>11409.630535680002</v>
      </c>
      <c r="J21" s="479"/>
      <c r="K21" s="479"/>
      <c r="L21" s="479"/>
      <c r="M21" s="479"/>
      <c r="N21" s="479"/>
    </row>
    <row r="22" spans="1:18">
      <c r="A22" s="483" t="s">
        <v>1239</v>
      </c>
      <c r="D22" s="484">
        <f>+D10*0.04</f>
        <v>78024</v>
      </c>
      <c r="E22" s="484">
        <f t="shared" ref="E22:H22" si="2">+E10*0.04</f>
        <v>81144.960000000006</v>
      </c>
      <c r="F22" s="484">
        <f t="shared" si="2"/>
        <v>84390.758400000006</v>
      </c>
      <c r="G22" s="484">
        <f t="shared" si="2"/>
        <v>87766.388736000008</v>
      </c>
      <c r="H22" s="484">
        <f t="shared" si="2"/>
        <v>91277.044285440017</v>
      </c>
      <c r="J22" s="484"/>
      <c r="K22" s="484"/>
      <c r="L22" s="484"/>
      <c r="M22" s="484"/>
      <c r="N22" s="484"/>
    </row>
    <row r="23" spans="1:18">
      <c r="A23" s="483" t="s">
        <v>1241</v>
      </c>
      <c r="D23" s="484">
        <v>500</v>
      </c>
      <c r="E23" s="484">
        <f>+D23*(1+J1)</f>
        <v>500</v>
      </c>
      <c r="F23" s="484">
        <f>+E23*(1+J1)</f>
        <v>500</v>
      </c>
      <c r="G23" s="484">
        <f>+F23*(1+J1)</f>
        <v>500</v>
      </c>
      <c r="H23" s="484">
        <f>+G23*(1+J1)</f>
        <v>500</v>
      </c>
      <c r="I23" s="11"/>
      <c r="J23" s="484"/>
      <c r="K23" s="484"/>
      <c r="L23" s="484"/>
      <c r="M23" s="484"/>
      <c r="N23" s="484"/>
      <c r="O23" s="11"/>
      <c r="P23" s="11"/>
      <c r="Q23" s="11"/>
      <c r="R23" s="11"/>
    </row>
    <row r="24" spans="1:18">
      <c r="A24" s="483" t="s">
        <v>1242</v>
      </c>
      <c r="D24" s="484">
        <v>12000</v>
      </c>
      <c r="E24" s="484">
        <f>+D24*(1+$J$1)</f>
        <v>12000</v>
      </c>
      <c r="F24" s="484">
        <f t="shared" ref="F24:H24" si="3">+E24*(1+$J$1)</f>
        <v>12000</v>
      </c>
      <c r="G24" s="484">
        <f t="shared" si="3"/>
        <v>12000</v>
      </c>
      <c r="H24" s="484">
        <f t="shared" si="3"/>
        <v>12000</v>
      </c>
      <c r="I24" s="11"/>
      <c r="J24" s="484"/>
      <c r="K24" s="484"/>
      <c r="L24" s="484"/>
      <c r="M24" s="484"/>
      <c r="N24" s="484"/>
      <c r="O24" s="11"/>
      <c r="P24" s="11"/>
      <c r="Q24" s="11"/>
      <c r="R24" s="11"/>
    </row>
    <row r="25" spans="1:18">
      <c r="A25" s="483" t="s">
        <v>1243</v>
      </c>
      <c r="D25" s="484">
        <v>500</v>
      </c>
      <c r="E25" s="484">
        <f>+D25*(1+J3)</f>
        <v>525</v>
      </c>
      <c r="F25" s="484">
        <f>+E25*(1+J3)</f>
        <v>551.25</v>
      </c>
      <c r="G25" s="484">
        <f>+F25*(1+J3)</f>
        <v>578.8125</v>
      </c>
      <c r="H25" s="484">
        <f>+G25*(1+J3)</f>
        <v>607.75312500000007</v>
      </c>
      <c r="I25" s="11"/>
      <c r="J25" s="484"/>
      <c r="K25" s="484"/>
      <c r="L25" s="484"/>
      <c r="M25" s="484"/>
      <c r="N25" s="484"/>
      <c r="O25" s="11"/>
      <c r="P25" s="11"/>
      <c r="Q25" s="11"/>
      <c r="R25" s="11"/>
    </row>
    <row r="26" spans="1:18">
      <c r="A26" s="483" t="s">
        <v>1240</v>
      </c>
      <c r="D26" s="484">
        <v>1100</v>
      </c>
      <c r="E26" s="484">
        <f>+D26*(1+$J$2)</f>
        <v>1122</v>
      </c>
      <c r="F26" s="484">
        <f t="shared" ref="F26:H27" si="4">+E26*(1+$J$2)</f>
        <v>1144.44</v>
      </c>
      <c r="G26" s="484">
        <f t="shared" si="4"/>
        <v>1167.3288</v>
      </c>
      <c r="H26" s="484">
        <f t="shared" si="4"/>
        <v>1190.6753759999999</v>
      </c>
      <c r="J26" s="484"/>
      <c r="K26" s="484"/>
      <c r="L26" s="484"/>
      <c r="M26" s="484"/>
      <c r="N26" s="484"/>
    </row>
    <row r="27" spans="1:18">
      <c r="A27" s="483" t="s">
        <v>1242</v>
      </c>
      <c r="D27" s="484">
        <v>3600</v>
      </c>
      <c r="E27" s="484">
        <f>+D27*(1+$J$2)</f>
        <v>3672</v>
      </c>
      <c r="F27" s="484">
        <f t="shared" si="4"/>
        <v>3745.44</v>
      </c>
      <c r="G27" s="484">
        <f t="shared" si="4"/>
        <v>3820.3488000000002</v>
      </c>
      <c r="H27" s="484">
        <f t="shared" si="4"/>
        <v>3896.7557760000004</v>
      </c>
      <c r="J27" s="484"/>
      <c r="K27" s="484"/>
      <c r="L27" s="484"/>
      <c r="M27" s="484"/>
      <c r="N27" s="484"/>
    </row>
    <row r="28" spans="1:18">
      <c r="A28" s="483" t="s">
        <v>1243</v>
      </c>
      <c r="D28" s="484">
        <f>SUM(D20:D27)</f>
        <v>111102</v>
      </c>
      <c r="E28" s="484">
        <f>SUM(E20:E27)</f>
        <v>110607.08</v>
      </c>
      <c r="F28" s="484">
        <f>SUM(F20:F27)</f>
        <v>112880.73320000002</v>
      </c>
      <c r="G28" s="484">
        <f>SUM(G20:G27)</f>
        <v>119203.67742800002</v>
      </c>
      <c r="H28" s="484">
        <f>SUM(H20:H27)</f>
        <v>123281.85909812003</v>
      </c>
      <c r="J28" s="484"/>
      <c r="K28" s="484"/>
      <c r="L28" s="484"/>
      <c r="M28" s="484"/>
      <c r="N28" s="484"/>
    </row>
    <row r="29" spans="1:18" ht="13.5" customHeight="1">
      <c r="A29" s="483"/>
      <c r="D29" s="484"/>
      <c r="E29" s="484"/>
      <c r="F29" s="484"/>
      <c r="G29" s="484"/>
      <c r="H29" s="484"/>
      <c r="J29" s="484"/>
      <c r="K29" s="484"/>
      <c r="L29" s="484"/>
      <c r="M29" s="484"/>
      <c r="N29" s="484"/>
    </row>
    <row r="30" spans="1:18">
      <c r="A30" s="489" t="s">
        <v>1244</v>
      </c>
      <c r="D30" s="488">
        <f>+D18+D28</f>
        <v>2262499.333333333</v>
      </c>
      <c r="E30" s="488">
        <f t="shared" ref="E30:H30" si="5">+E18+E28</f>
        <v>2340146.9733333332</v>
      </c>
      <c r="F30" s="488">
        <f t="shared" si="5"/>
        <v>2423592.8889333336</v>
      </c>
      <c r="G30" s="488">
        <f t="shared" si="5"/>
        <v>2514237.0660573337</v>
      </c>
      <c r="H30" s="488">
        <f t="shared" si="5"/>
        <v>2605909.4515392939</v>
      </c>
      <c r="J30" s="488"/>
      <c r="K30" s="488"/>
      <c r="L30" s="488"/>
      <c r="M30" s="488"/>
      <c r="N30" s="488"/>
    </row>
    <row r="31" spans="1:18">
      <c r="D31" s="484"/>
      <c r="E31" s="484"/>
      <c r="F31" s="484"/>
      <c r="G31" s="484"/>
      <c r="H31" s="484"/>
      <c r="J31" s="484"/>
      <c r="K31" s="484"/>
      <c r="L31" s="484"/>
      <c r="M31" s="484"/>
      <c r="N31" s="484"/>
    </row>
    <row r="32" spans="1:18">
      <c r="D32" s="484"/>
      <c r="E32" s="484"/>
      <c r="F32" s="484"/>
      <c r="G32" s="484"/>
      <c r="H32" s="484"/>
      <c r="J32" s="484"/>
      <c r="K32" s="484"/>
      <c r="L32" s="484"/>
      <c r="M32" s="484"/>
      <c r="N32" s="484"/>
    </row>
    <row r="33" spans="1:14">
      <c r="A33" s="483" t="s">
        <v>1245</v>
      </c>
      <c r="D33" s="484">
        <v>1000</v>
      </c>
      <c r="E33" s="484">
        <v>150</v>
      </c>
      <c r="F33" s="484">
        <v>150</v>
      </c>
      <c r="G33" s="484">
        <v>150</v>
      </c>
      <c r="H33" s="484">
        <v>150</v>
      </c>
      <c r="J33" s="484"/>
      <c r="K33" s="484"/>
      <c r="L33" s="484"/>
      <c r="M33" s="484"/>
      <c r="N33" s="484"/>
    </row>
    <row r="34" spans="1:14">
      <c r="A34" s="483" t="s">
        <v>1246</v>
      </c>
      <c r="D34" s="484"/>
      <c r="E34" s="484"/>
      <c r="F34" s="484"/>
      <c r="G34" s="484"/>
      <c r="H34" s="484"/>
      <c r="J34" s="484"/>
      <c r="K34" s="484"/>
      <c r="L34" s="484"/>
      <c r="M34" s="484"/>
      <c r="N34" s="484"/>
    </row>
    <row r="35" spans="1:14">
      <c r="A35" s="483" t="s">
        <v>1247</v>
      </c>
      <c r="D35" s="484">
        <v>500</v>
      </c>
      <c r="E35" s="484">
        <v>750</v>
      </c>
      <c r="F35" s="484">
        <v>800</v>
      </c>
      <c r="G35" s="484">
        <v>900</v>
      </c>
      <c r="H35" s="484">
        <v>1000</v>
      </c>
      <c r="J35" s="484"/>
      <c r="K35" s="484"/>
      <c r="L35" s="484"/>
      <c r="M35" s="484"/>
      <c r="N35" s="484"/>
    </row>
    <row r="36" spans="1:14" ht="11.25" customHeight="1">
      <c r="A36" s="483" t="s">
        <v>1248</v>
      </c>
      <c r="D36" s="484">
        <v>880</v>
      </c>
      <c r="E36" s="484">
        <f>+D36*(1+$J$2)</f>
        <v>897.6</v>
      </c>
      <c r="F36" s="484">
        <f t="shared" ref="F36:H36" si="6">+E36*(1+$J$2)</f>
        <v>915.55200000000002</v>
      </c>
      <c r="G36" s="484">
        <f t="shared" si="6"/>
        <v>933.86304000000007</v>
      </c>
      <c r="H36" s="484">
        <f t="shared" si="6"/>
        <v>952.54030080000007</v>
      </c>
      <c r="J36" s="484"/>
      <c r="K36" s="484"/>
      <c r="L36" s="484"/>
      <c r="M36" s="484"/>
      <c r="N36" s="484"/>
    </row>
    <row r="37" spans="1:14" ht="11.25" customHeight="1">
      <c r="A37" s="483" t="s">
        <v>1249</v>
      </c>
      <c r="D37" s="484">
        <v>650</v>
      </c>
      <c r="E37" s="484">
        <f t="shared" ref="E37:H37" si="7">+D37*(1+$J$2)</f>
        <v>663</v>
      </c>
      <c r="F37" s="484">
        <f t="shared" si="7"/>
        <v>676.26</v>
      </c>
      <c r="G37" s="484">
        <f t="shared" si="7"/>
        <v>689.78520000000003</v>
      </c>
      <c r="H37" s="484">
        <f t="shared" si="7"/>
        <v>703.58090400000003</v>
      </c>
      <c r="J37" s="484"/>
      <c r="K37" s="484"/>
      <c r="L37" s="484"/>
      <c r="M37" s="484"/>
      <c r="N37" s="484"/>
    </row>
    <row r="38" spans="1:14">
      <c r="A38" s="483" t="s">
        <v>1250</v>
      </c>
      <c r="D38" s="484">
        <v>200</v>
      </c>
      <c r="E38" s="484">
        <v>250</v>
      </c>
      <c r="F38" s="484">
        <f t="shared" ref="F38:H38" si="8">+E38*(1+$J$2)</f>
        <v>255</v>
      </c>
      <c r="G38" s="484">
        <f t="shared" si="8"/>
        <v>260.10000000000002</v>
      </c>
      <c r="H38" s="484">
        <f t="shared" si="8"/>
        <v>265.30200000000002</v>
      </c>
      <c r="J38" s="484"/>
      <c r="K38" s="484"/>
      <c r="L38" s="484"/>
      <c r="M38" s="484"/>
      <c r="N38" s="484"/>
    </row>
    <row r="39" spans="1:14">
      <c r="A39" s="483" t="s">
        <v>1251</v>
      </c>
      <c r="D39" s="484">
        <v>790</v>
      </c>
      <c r="E39" s="484">
        <f t="shared" ref="E39:H39" si="9">+D39*(1+$J$2)</f>
        <v>805.80000000000007</v>
      </c>
      <c r="F39" s="484">
        <f t="shared" si="9"/>
        <v>821.91600000000005</v>
      </c>
      <c r="G39" s="484">
        <f t="shared" si="9"/>
        <v>838.35432000000003</v>
      </c>
      <c r="H39" s="484">
        <f t="shared" si="9"/>
        <v>855.12140640000007</v>
      </c>
      <c r="J39" s="484"/>
      <c r="K39" s="484"/>
      <c r="L39" s="484"/>
      <c r="M39" s="484"/>
      <c r="N39" s="484"/>
    </row>
    <row r="40" spans="1:14">
      <c r="A40" s="483" t="s">
        <v>1252</v>
      </c>
      <c r="D40" s="484">
        <v>1000</v>
      </c>
      <c r="E40" s="484">
        <f t="shared" ref="E40:H40" si="10">+D40*(1+$J$2)</f>
        <v>1020</v>
      </c>
      <c r="F40" s="484">
        <f t="shared" si="10"/>
        <v>1040.4000000000001</v>
      </c>
      <c r="G40" s="484">
        <f t="shared" si="10"/>
        <v>1061.2080000000001</v>
      </c>
      <c r="H40" s="484">
        <f t="shared" si="10"/>
        <v>1082.4321600000001</v>
      </c>
      <c r="J40" s="484"/>
      <c r="K40" s="484"/>
      <c r="L40" s="484"/>
      <c r="M40" s="484"/>
      <c r="N40" s="484"/>
    </row>
    <row r="41" spans="1:14" hidden="1">
      <c r="A41" s="483" t="s">
        <v>1253</v>
      </c>
      <c r="D41" s="479"/>
      <c r="E41" s="484">
        <f t="shared" ref="E41:H41" si="11">+D41*(1+$J$2)</f>
        <v>0</v>
      </c>
      <c r="F41" s="484">
        <f t="shared" si="11"/>
        <v>0</v>
      </c>
      <c r="G41" s="484">
        <f t="shared" si="11"/>
        <v>0</v>
      </c>
      <c r="H41" s="484">
        <f t="shared" si="11"/>
        <v>0</v>
      </c>
      <c r="J41" s="479"/>
      <c r="K41" s="484"/>
      <c r="L41" s="484"/>
      <c r="M41" s="484"/>
      <c r="N41" s="484"/>
    </row>
    <row r="42" spans="1:14" hidden="1">
      <c r="A42" s="483" t="s">
        <v>1254</v>
      </c>
      <c r="D42" s="479"/>
      <c r="E42" s="484">
        <f t="shared" ref="E42:H42" si="12">+D42*(1+$J$2)</f>
        <v>0</v>
      </c>
      <c r="F42" s="484">
        <f t="shared" si="12"/>
        <v>0</v>
      </c>
      <c r="G42" s="484">
        <f t="shared" si="12"/>
        <v>0</v>
      </c>
      <c r="H42" s="484">
        <f t="shared" si="12"/>
        <v>0</v>
      </c>
      <c r="J42" s="479"/>
      <c r="K42" s="484"/>
      <c r="L42" s="484"/>
      <c r="M42" s="484"/>
      <c r="N42" s="484"/>
    </row>
    <row r="43" spans="1:14">
      <c r="A43" s="483" t="s">
        <v>1255</v>
      </c>
      <c r="D43" s="479">
        <v>250</v>
      </c>
      <c r="E43" s="484">
        <f t="shared" ref="E43:H43" si="13">+D43*(1+$J$2)</f>
        <v>255</v>
      </c>
      <c r="F43" s="484">
        <f t="shared" si="13"/>
        <v>260.10000000000002</v>
      </c>
      <c r="G43" s="484">
        <f t="shared" si="13"/>
        <v>265.30200000000002</v>
      </c>
      <c r="H43" s="484">
        <f t="shared" si="13"/>
        <v>270.60804000000002</v>
      </c>
      <c r="J43" s="479"/>
      <c r="K43" s="484"/>
      <c r="L43" s="484"/>
      <c r="M43" s="484"/>
      <c r="N43" s="484"/>
    </row>
    <row r="44" spans="1:14">
      <c r="A44" s="483" t="s">
        <v>1256</v>
      </c>
      <c r="D44" s="479">
        <v>600</v>
      </c>
      <c r="E44" s="484">
        <f t="shared" ref="E44:H44" si="14">+D44*(1+$J$2)</f>
        <v>612</v>
      </c>
      <c r="F44" s="484">
        <f t="shared" si="14"/>
        <v>624.24</v>
      </c>
      <c r="G44" s="484">
        <f t="shared" si="14"/>
        <v>636.72480000000007</v>
      </c>
      <c r="H44" s="484">
        <f t="shared" si="14"/>
        <v>649.45929600000011</v>
      </c>
      <c r="J44" s="479"/>
      <c r="K44" s="484"/>
      <c r="L44" s="484"/>
      <c r="M44" s="484"/>
      <c r="N44" s="484"/>
    </row>
    <row r="45" spans="1:14">
      <c r="A45" s="483" t="s">
        <v>1257</v>
      </c>
      <c r="D45" s="479">
        <v>0</v>
      </c>
      <c r="E45" s="484">
        <f t="shared" ref="E45:H45" si="15">+D45*(1+$J$2)</f>
        <v>0</v>
      </c>
      <c r="F45" s="484">
        <f t="shared" si="15"/>
        <v>0</v>
      </c>
      <c r="G45" s="484">
        <f t="shared" si="15"/>
        <v>0</v>
      </c>
      <c r="H45" s="484">
        <f t="shared" si="15"/>
        <v>0</v>
      </c>
      <c r="J45" s="479"/>
      <c r="K45" s="484"/>
      <c r="L45" s="484"/>
      <c r="M45" s="484"/>
      <c r="N45" s="484"/>
    </row>
    <row r="46" spans="1:14">
      <c r="A46" s="483" t="s">
        <v>1258</v>
      </c>
      <c r="D46" s="479">
        <v>2635</v>
      </c>
      <c r="E46" s="484">
        <f t="shared" ref="E46:H46" si="16">+D46*(1+$J$2)</f>
        <v>2687.7000000000003</v>
      </c>
      <c r="F46" s="484">
        <f t="shared" si="16"/>
        <v>2741.4540000000002</v>
      </c>
      <c r="G46" s="484">
        <f t="shared" si="16"/>
        <v>2796.2830800000002</v>
      </c>
      <c r="H46" s="484">
        <f t="shared" si="16"/>
        <v>2852.2087416000004</v>
      </c>
      <c r="J46" s="479"/>
      <c r="K46" s="484"/>
      <c r="L46" s="484"/>
      <c r="M46" s="484"/>
      <c r="N46" s="484"/>
    </row>
    <row r="47" spans="1:14">
      <c r="A47" s="489" t="s">
        <v>1259</v>
      </c>
      <c r="D47" s="487">
        <f>SUM(D33:D46)</f>
        <v>8505</v>
      </c>
      <c r="E47" s="488">
        <f>SUM(E33:E46)</f>
        <v>8091.1</v>
      </c>
      <c r="F47" s="488">
        <f>SUM(F33:F46)</f>
        <v>8284.9220000000005</v>
      </c>
      <c r="G47" s="488">
        <f>SUM(G33:G46)</f>
        <v>8531.6204399999988</v>
      </c>
      <c r="H47" s="488">
        <f>SUM(H33:H46)</f>
        <v>8781.2528488000007</v>
      </c>
      <c r="J47" s="487"/>
      <c r="K47" s="488"/>
      <c r="L47" s="488"/>
      <c r="M47" s="488"/>
      <c r="N47" s="488"/>
    </row>
    <row r="48" spans="1:14">
      <c r="A48" s="483"/>
      <c r="D48" s="479"/>
      <c r="E48" s="479"/>
      <c r="F48" s="479"/>
      <c r="G48" s="479"/>
      <c r="H48" s="479"/>
      <c r="J48" s="479"/>
      <c r="K48" s="479"/>
      <c r="L48" s="479"/>
      <c r="M48" s="479"/>
      <c r="N48" s="479"/>
    </row>
    <row r="49" spans="1:14">
      <c r="A49" s="483" t="s">
        <v>1260</v>
      </c>
      <c r="D49" s="479">
        <f>+D10*0.03</f>
        <v>58518</v>
      </c>
      <c r="E49" s="479">
        <f t="shared" ref="E49:H49" si="17">+E10*0.04</f>
        <v>81144.960000000006</v>
      </c>
      <c r="F49" s="479">
        <f t="shared" si="17"/>
        <v>84390.758400000006</v>
      </c>
      <c r="G49" s="479">
        <f t="shared" si="17"/>
        <v>87766.388736000008</v>
      </c>
      <c r="H49" s="479">
        <f t="shared" si="17"/>
        <v>91277.044285440017</v>
      </c>
      <c r="J49" s="479"/>
      <c r="K49" s="479"/>
      <c r="L49" s="479"/>
      <c r="M49" s="479"/>
      <c r="N49" s="479"/>
    </row>
    <row r="50" spans="1:14">
      <c r="A50" s="489" t="s">
        <v>1261</v>
      </c>
      <c r="D50" s="486">
        <f>SUM(D49)</f>
        <v>58518</v>
      </c>
      <c r="E50" s="487">
        <f>SUM(E49)</f>
        <v>81144.960000000006</v>
      </c>
      <c r="F50" s="487">
        <f>SUM(F49)</f>
        <v>84390.758400000006</v>
      </c>
      <c r="G50" s="487">
        <f>SUM(G49)</f>
        <v>87766.388736000008</v>
      </c>
      <c r="H50" s="487">
        <f>SUM(H49)</f>
        <v>91277.044285440017</v>
      </c>
      <c r="J50" s="486"/>
      <c r="K50" s="487"/>
      <c r="L50" s="487"/>
      <c r="M50" s="487"/>
      <c r="N50" s="487"/>
    </row>
    <row r="51" spans="1:14">
      <c r="A51" s="483"/>
      <c r="D51" s="479"/>
      <c r="E51" s="485"/>
      <c r="F51" s="479"/>
      <c r="G51" s="479"/>
      <c r="H51" s="479"/>
      <c r="J51" s="479"/>
      <c r="K51" s="485"/>
      <c r="L51" s="479"/>
      <c r="M51" s="479"/>
      <c r="N51" s="479"/>
    </row>
    <row r="52" spans="1:14">
      <c r="A52" s="483" t="s">
        <v>1262</v>
      </c>
      <c r="C52" s="22"/>
      <c r="D52" s="479">
        <v>54000</v>
      </c>
      <c r="E52" s="484">
        <f t="shared" ref="E52:H52" si="18">+D52*(1+$J$2)</f>
        <v>55080</v>
      </c>
      <c r="F52" s="484">
        <f t="shared" si="18"/>
        <v>56181.599999999999</v>
      </c>
      <c r="G52" s="484">
        <f t="shared" si="18"/>
        <v>57305.231999999996</v>
      </c>
      <c r="H52" s="484">
        <f t="shared" si="18"/>
        <v>58451.336639999994</v>
      </c>
      <c r="J52" s="479"/>
      <c r="K52" s="484"/>
      <c r="L52" s="484"/>
      <c r="M52" s="484"/>
      <c r="N52" s="484"/>
    </row>
    <row r="53" spans="1:14">
      <c r="A53" s="483" t="s">
        <v>1263</v>
      </c>
      <c r="C53" s="22"/>
      <c r="D53" s="479">
        <v>62000</v>
      </c>
      <c r="E53" s="484">
        <f t="shared" ref="E53:H53" si="19">+D53*(1+$J$2)</f>
        <v>63240</v>
      </c>
      <c r="F53" s="484">
        <f t="shared" si="19"/>
        <v>64504.800000000003</v>
      </c>
      <c r="G53" s="484">
        <f t="shared" si="19"/>
        <v>65794.896000000008</v>
      </c>
      <c r="H53" s="484">
        <f t="shared" si="19"/>
        <v>67110.793920000011</v>
      </c>
      <c r="J53" s="479"/>
      <c r="K53" s="484"/>
      <c r="L53" s="484"/>
      <c r="M53" s="484"/>
      <c r="N53" s="484"/>
    </row>
    <row r="54" spans="1:14">
      <c r="A54" s="489" t="s">
        <v>1264</v>
      </c>
      <c r="C54" s="22"/>
      <c r="D54" s="487">
        <f>SUM(D52:D53)</f>
        <v>116000</v>
      </c>
      <c r="E54" s="490">
        <f>SUM(E52:E53)</f>
        <v>118320</v>
      </c>
      <c r="F54" s="487">
        <f>SUM(F52:F53)</f>
        <v>120686.39999999999</v>
      </c>
      <c r="G54" s="487">
        <f>SUM(G52:G53)</f>
        <v>123100.128</v>
      </c>
      <c r="H54" s="487">
        <f>SUM(H52:H53)</f>
        <v>125562.13056000001</v>
      </c>
      <c r="J54" s="487"/>
      <c r="K54" s="490"/>
      <c r="L54" s="487"/>
      <c r="M54" s="487"/>
      <c r="N54" s="487"/>
    </row>
    <row r="55" spans="1:14">
      <c r="A55" s="483"/>
      <c r="C55" s="22"/>
      <c r="E55" s="22"/>
      <c r="G55" s="22"/>
      <c r="I55" s="21"/>
      <c r="K55" s="22"/>
      <c r="M55" s="22"/>
    </row>
    <row r="56" spans="1:14" ht="12.75" customHeight="1">
      <c r="A56" s="489" t="s">
        <v>1265</v>
      </c>
      <c r="B56" s="12"/>
      <c r="C56" s="12"/>
      <c r="E56" s="22"/>
      <c r="G56" s="22"/>
      <c r="I56" s="21"/>
      <c r="K56" s="22"/>
      <c r="M56" s="22"/>
    </row>
    <row r="57" spans="1:14">
      <c r="A57" s="483" t="s">
        <v>1266</v>
      </c>
      <c r="C57" s="22"/>
      <c r="D57" s="479">
        <v>5000</v>
      </c>
      <c r="E57" s="484">
        <f t="shared" ref="E57:H57" si="20">+D57*(1+$J$2)</f>
        <v>5100</v>
      </c>
      <c r="F57" s="484">
        <f t="shared" si="20"/>
        <v>5202</v>
      </c>
      <c r="G57" s="484">
        <f t="shared" si="20"/>
        <v>5306.04</v>
      </c>
      <c r="H57" s="484">
        <f t="shared" si="20"/>
        <v>5412.1607999999997</v>
      </c>
      <c r="I57" s="21"/>
      <c r="J57" s="479"/>
      <c r="K57" s="484"/>
      <c r="L57" s="484"/>
      <c r="M57" s="484"/>
      <c r="N57" s="484"/>
    </row>
    <row r="58" spans="1:14">
      <c r="A58" s="483" t="s">
        <v>1267</v>
      </c>
      <c r="C58" s="308"/>
      <c r="D58" s="479">
        <v>2800</v>
      </c>
      <c r="E58" s="484">
        <f t="shared" ref="E58:H58" si="21">+D58*(1+$J$2)</f>
        <v>2856</v>
      </c>
      <c r="F58" s="484">
        <f t="shared" si="21"/>
        <v>2913.12</v>
      </c>
      <c r="G58" s="484">
        <f t="shared" si="21"/>
        <v>2971.3824</v>
      </c>
      <c r="H58" s="484">
        <f t="shared" si="21"/>
        <v>3030.8100479999998</v>
      </c>
      <c r="I58" s="21"/>
      <c r="J58" s="479"/>
      <c r="K58" s="484"/>
      <c r="L58" s="484"/>
      <c r="M58" s="484"/>
      <c r="N58" s="484"/>
    </row>
    <row r="59" spans="1:14">
      <c r="A59" s="483" t="s">
        <v>1268</v>
      </c>
      <c r="C59" s="308"/>
      <c r="D59" s="479">
        <v>2500</v>
      </c>
      <c r="E59" s="484">
        <f t="shared" ref="E59:H59" si="22">+D59*(1+$J$2)</f>
        <v>2550</v>
      </c>
      <c r="F59" s="484">
        <f t="shared" si="22"/>
        <v>2601</v>
      </c>
      <c r="G59" s="484">
        <f t="shared" si="22"/>
        <v>2653.02</v>
      </c>
      <c r="H59" s="484">
        <f t="shared" si="22"/>
        <v>2706.0803999999998</v>
      </c>
      <c r="J59" s="479"/>
      <c r="K59" s="484"/>
      <c r="L59" s="484"/>
      <c r="M59" s="484"/>
      <c r="N59" s="484"/>
    </row>
    <row r="60" spans="1:14">
      <c r="A60" s="483" t="s">
        <v>1269</v>
      </c>
      <c r="C60" s="73"/>
      <c r="D60" s="479">
        <v>13550</v>
      </c>
      <c r="E60" s="484">
        <f t="shared" ref="E60:H60" si="23">+D60*(1+$J$2)</f>
        <v>13821</v>
      </c>
      <c r="F60" s="484">
        <f t="shared" si="23"/>
        <v>14097.42</v>
      </c>
      <c r="G60" s="484">
        <f t="shared" si="23"/>
        <v>14379.368400000001</v>
      </c>
      <c r="H60" s="484">
        <f t="shared" si="23"/>
        <v>14666.955768000002</v>
      </c>
      <c r="J60" s="479"/>
      <c r="K60" s="484"/>
      <c r="L60" s="484"/>
      <c r="M60" s="484"/>
      <c r="N60" s="484"/>
    </row>
    <row r="61" spans="1:14">
      <c r="A61" s="483" t="s">
        <v>1270</v>
      </c>
      <c r="C61" s="73"/>
      <c r="D61" s="479">
        <v>15000</v>
      </c>
      <c r="E61" s="484">
        <f t="shared" ref="E61:H61" si="24">+D61*(1+$J$2)</f>
        <v>15300</v>
      </c>
      <c r="F61" s="484">
        <f t="shared" si="24"/>
        <v>15606</v>
      </c>
      <c r="G61" s="484">
        <f t="shared" si="24"/>
        <v>15918.12</v>
      </c>
      <c r="H61" s="484">
        <f t="shared" si="24"/>
        <v>16236.482400000001</v>
      </c>
      <c r="J61" s="479"/>
      <c r="K61" s="484"/>
      <c r="L61" s="484"/>
      <c r="M61" s="484"/>
      <c r="N61" s="484"/>
    </row>
    <row r="62" spans="1:14">
      <c r="A62" s="483" t="s">
        <v>1271</v>
      </c>
      <c r="C62" s="73"/>
      <c r="D62" s="479">
        <v>35000</v>
      </c>
      <c r="E62" s="484">
        <f t="shared" ref="E62:H62" si="25">+D62*(1+$J$2)</f>
        <v>35700</v>
      </c>
      <c r="F62" s="484">
        <f t="shared" si="25"/>
        <v>36414</v>
      </c>
      <c r="G62" s="484">
        <f t="shared" si="25"/>
        <v>37142.28</v>
      </c>
      <c r="H62" s="484">
        <f t="shared" si="25"/>
        <v>37885.125599999999</v>
      </c>
      <c r="J62" s="479"/>
      <c r="K62" s="484"/>
      <c r="L62" s="484"/>
      <c r="M62" s="484"/>
      <c r="N62" s="484"/>
    </row>
    <row r="63" spans="1:14">
      <c r="A63" s="483" t="s">
        <v>1272</v>
      </c>
      <c r="C63" s="73"/>
      <c r="D63" s="479">
        <v>13500</v>
      </c>
      <c r="E63" s="484">
        <f t="shared" ref="E63:H63" si="26">+D63*(1+$J$2)</f>
        <v>13770</v>
      </c>
      <c r="F63" s="484">
        <f t="shared" si="26"/>
        <v>14045.4</v>
      </c>
      <c r="G63" s="484">
        <f t="shared" si="26"/>
        <v>14326.307999999999</v>
      </c>
      <c r="H63" s="484">
        <f t="shared" si="26"/>
        <v>14612.834159999999</v>
      </c>
      <c r="J63" s="479"/>
      <c r="K63" s="484"/>
      <c r="L63" s="484"/>
      <c r="M63" s="484"/>
      <c r="N63" s="484"/>
    </row>
    <row r="64" spans="1:14">
      <c r="A64" s="483" t="s">
        <v>1273</v>
      </c>
      <c r="C64" s="73"/>
      <c r="D64" s="485">
        <v>8080</v>
      </c>
      <c r="E64" s="484">
        <f t="shared" ref="E64:H64" si="27">+D64*(1+$J$2)</f>
        <v>8241.6</v>
      </c>
      <c r="F64" s="484">
        <f t="shared" si="27"/>
        <v>8406.4320000000007</v>
      </c>
      <c r="G64" s="484">
        <f t="shared" si="27"/>
        <v>8574.5606400000015</v>
      </c>
      <c r="H64" s="484">
        <f t="shared" si="27"/>
        <v>8746.0518528000011</v>
      </c>
      <c r="J64" s="485"/>
      <c r="K64" s="484"/>
      <c r="L64" s="484"/>
      <c r="M64" s="484"/>
      <c r="N64" s="484"/>
    </row>
    <row r="65" spans="1:18">
      <c r="A65" s="483" t="s">
        <v>1274</v>
      </c>
      <c r="B65" s="22"/>
      <c r="C65" s="73"/>
      <c r="D65" s="479">
        <v>1650</v>
      </c>
      <c r="E65" s="484">
        <f t="shared" ref="E65:H65" si="28">+D65*(1+$J$2)</f>
        <v>1683</v>
      </c>
      <c r="F65" s="484">
        <f t="shared" si="28"/>
        <v>1716.66</v>
      </c>
      <c r="G65" s="484">
        <f t="shared" si="28"/>
        <v>1750.9932000000001</v>
      </c>
      <c r="H65" s="484">
        <f t="shared" si="28"/>
        <v>1786.0130640000002</v>
      </c>
      <c r="J65" s="479"/>
      <c r="K65" s="484"/>
      <c r="L65" s="484"/>
      <c r="M65" s="484"/>
      <c r="N65" s="484"/>
    </row>
    <row r="66" spans="1:18">
      <c r="A66" s="483" t="s">
        <v>1275</v>
      </c>
      <c r="B66" s="22"/>
      <c r="C66" s="73"/>
      <c r="D66" s="479">
        <v>16000</v>
      </c>
      <c r="E66" s="484">
        <f t="shared" ref="E66:H66" si="29">+D66*(1+$J$2)</f>
        <v>16320</v>
      </c>
      <c r="F66" s="484">
        <f t="shared" si="29"/>
        <v>16646.400000000001</v>
      </c>
      <c r="G66" s="484">
        <f t="shared" si="29"/>
        <v>16979.328000000001</v>
      </c>
      <c r="H66" s="484">
        <f t="shared" si="29"/>
        <v>17318.914560000001</v>
      </c>
      <c r="J66" s="479"/>
      <c r="K66" s="484"/>
      <c r="L66" s="484"/>
      <c r="M66" s="484"/>
      <c r="N66" s="484"/>
    </row>
    <row r="67" spans="1:18">
      <c r="A67" s="483" t="s">
        <v>1276</v>
      </c>
      <c r="B67" s="22"/>
      <c r="C67" s="72"/>
      <c r="D67" s="479">
        <v>8500</v>
      </c>
      <c r="E67" s="484">
        <f t="shared" ref="E67:H67" si="30">+D67*(1+$J$2)</f>
        <v>8670</v>
      </c>
      <c r="F67" s="484">
        <f t="shared" si="30"/>
        <v>8843.4</v>
      </c>
      <c r="G67" s="484">
        <f t="shared" si="30"/>
        <v>9020.268</v>
      </c>
      <c r="H67" s="484">
        <f t="shared" si="30"/>
        <v>9200.6733600000007</v>
      </c>
      <c r="J67" s="479"/>
      <c r="K67" s="484"/>
      <c r="L67" s="484"/>
      <c r="M67" s="484"/>
      <c r="N67" s="484"/>
    </row>
    <row r="68" spans="1:18">
      <c r="A68" s="483" t="s">
        <v>1277</v>
      </c>
      <c r="D68" s="479">
        <v>22000</v>
      </c>
      <c r="E68" s="484">
        <f t="shared" ref="E68:H68" si="31">+D68*(1+$J$2)</f>
        <v>22440</v>
      </c>
      <c r="F68" s="484">
        <f t="shared" si="31"/>
        <v>22888.799999999999</v>
      </c>
      <c r="G68" s="484">
        <f t="shared" si="31"/>
        <v>23346.576000000001</v>
      </c>
      <c r="H68" s="484">
        <f t="shared" si="31"/>
        <v>23813.507520000003</v>
      </c>
      <c r="J68" s="479"/>
      <c r="K68" s="484"/>
      <c r="L68" s="484"/>
      <c r="M68" s="484"/>
      <c r="N68" s="484"/>
    </row>
    <row r="69" spans="1:18" ht="12.75" customHeight="1">
      <c r="A69" s="483" t="s">
        <v>1278</v>
      </c>
      <c r="B69" s="12"/>
      <c r="C69" s="308"/>
      <c r="D69" s="479">
        <v>5000</v>
      </c>
      <c r="E69" s="484">
        <f t="shared" ref="E69:H69" si="32">+D69*(1+$J$2)</f>
        <v>5100</v>
      </c>
      <c r="F69" s="484">
        <f t="shared" si="32"/>
        <v>5202</v>
      </c>
      <c r="G69" s="484">
        <f t="shared" si="32"/>
        <v>5306.04</v>
      </c>
      <c r="H69" s="484">
        <f t="shared" si="32"/>
        <v>5412.1607999999997</v>
      </c>
      <c r="J69" s="479"/>
      <c r="K69" s="484"/>
      <c r="L69" s="484"/>
      <c r="M69" s="484"/>
      <c r="N69" s="484"/>
    </row>
    <row r="70" spans="1:18" ht="12.75" customHeight="1">
      <c r="A70" s="483" t="s">
        <v>1291</v>
      </c>
      <c r="B70" s="12"/>
      <c r="C70" s="308"/>
      <c r="D70" s="479">
        <v>12500</v>
      </c>
      <c r="E70" s="484">
        <f t="shared" ref="E70:H70" si="33">+D70*(1+$J$2)</f>
        <v>12750</v>
      </c>
      <c r="F70" s="484">
        <f t="shared" si="33"/>
        <v>13005</v>
      </c>
      <c r="G70" s="484">
        <f t="shared" si="33"/>
        <v>13265.1</v>
      </c>
      <c r="H70" s="484">
        <f t="shared" si="33"/>
        <v>13530.402</v>
      </c>
      <c r="J70" s="479"/>
      <c r="K70" s="484"/>
      <c r="L70" s="484"/>
      <c r="M70" s="484"/>
      <c r="N70" s="484"/>
    </row>
    <row r="71" spans="1:18">
      <c r="A71" s="489" t="s">
        <v>1279</v>
      </c>
      <c r="D71" s="488">
        <f>SUM(D57:D70)</f>
        <v>161080</v>
      </c>
      <c r="E71" s="488">
        <f t="shared" ref="E71:H71" si="34">+D71*(1+$J$2)</f>
        <v>164301.6</v>
      </c>
      <c r="F71" s="488">
        <f t="shared" si="34"/>
        <v>167587.63200000001</v>
      </c>
      <c r="G71" s="488">
        <f t="shared" si="34"/>
        <v>170939.38464</v>
      </c>
      <c r="H71" s="488">
        <f t="shared" si="34"/>
        <v>174358.17233279999</v>
      </c>
      <c r="J71" s="488"/>
      <c r="K71" s="488"/>
      <c r="L71" s="488"/>
      <c r="M71" s="488"/>
      <c r="N71" s="488"/>
    </row>
    <row r="72" spans="1:18">
      <c r="A72" s="483"/>
    </row>
    <row r="73" spans="1:18">
      <c r="A73" s="489" t="s">
        <v>1280</v>
      </c>
      <c r="D73" s="476">
        <v>0</v>
      </c>
      <c r="E73" s="476">
        <v>0</v>
      </c>
      <c r="F73" s="476">
        <v>0</v>
      </c>
      <c r="G73" s="476">
        <v>0</v>
      </c>
      <c r="H73" s="476">
        <v>0</v>
      </c>
      <c r="J73" s="476"/>
      <c r="K73" s="476"/>
      <c r="L73" s="476"/>
      <c r="M73" s="476"/>
      <c r="N73" s="476"/>
    </row>
    <row r="74" spans="1:18">
      <c r="A74" s="483"/>
      <c r="E74" s="52"/>
      <c r="F74" s="52"/>
      <c r="G74" s="52"/>
      <c r="H74" s="52"/>
      <c r="I74" s="52"/>
      <c r="K74" s="52"/>
      <c r="L74" s="52"/>
      <c r="M74" s="52"/>
      <c r="N74" s="52"/>
      <c r="O74" s="52"/>
      <c r="P74" s="52"/>
      <c r="Q74" s="52"/>
      <c r="R74" s="52"/>
    </row>
    <row r="75" spans="1:18">
      <c r="A75" s="483" t="s">
        <v>1281</v>
      </c>
      <c r="D75" s="479"/>
      <c r="E75" s="479"/>
      <c r="F75" s="479"/>
      <c r="G75" s="479"/>
      <c r="H75" s="479"/>
      <c r="J75" s="479"/>
      <c r="K75" s="479"/>
      <c r="L75" s="479"/>
      <c r="M75" s="479"/>
      <c r="N75" s="479"/>
    </row>
    <row r="76" spans="1:18">
      <c r="A76" s="483" t="s">
        <v>1282</v>
      </c>
      <c r="D76" s="479">
        <v>1000</v>
      </c>
      <c r="E76" s="479">
        <v>1150</v>
      </c>
      <c r="F76" s="479">
        <f>+E76*1.04</f>
        <v>1196</v>
      </c>
      <c r="G76" s="479">
        <f t="shared" ref="G76:H76" si="35">+F76*1.04</f>
        <v>1243.8400000000001</v>
      </c>
      <c r="H76" s="479">
        <f t="shared" si="35"/>
        <v>1293.5936000000002</v>
      </c>
      <c r="J76" s="479"/>
      <c r="K76" s="479"/>
      <c r="L76" s="479"/>
      <c r="M76" s="479"/>
      <c r="N76" s="479"/>
    </row>
    <row r="77" spans="1:18">
      <c r="A77" s="483" t="s">
        <v>1283</v>
      </c>
      <c r="D77" s="479">
        <v>8359</v>
      </c>
      <c r="E77" s="484">
        <f t="shared" ref="E77:H77" si="36">+D77*(1+$J$2)</f>
        <v>8526.18</v>
      </c>
      <c r="F77" s="484">
        <f t="shared" si="36"/>
        <v>8696.7036000000007</v>
      </c>
      <c r="G77" s="484">
        <f t="shared" si="36"/>
        <v>8870.6376720000007</v>
      </c>
      <c r="H77" s="484">
        <f t="shared" si="36"/>
        <v>9048.0504254400003</v>
      </c>
      <c r="J77" s="479"/>
      <c r="K77" s="484"/>
      <c r="L77" s="484"/>
      <c r="M77" s="484"/>
      <c r="N77" s="484"/>
    </row>
    <row r="78" spans="1:18">
      <c r="A78" s="483" t="s">
        <v>1284</v>
      </c>
      <c r="D78" s="479">
        <v>0</v>
      </c>
      <c r="E78" s="484">
        <f t="shared" ref="E78:H78" si="37">+D78*(1+$J$2)</f>
        <v>0</v>
      </c>
      <c r="F78" s="484">
        <f t="shared" si="37"/>
        <v>0</v>
      </c>
      <c r="G78" s="484">
        <f t="shared" si="37"/>
        <v>0</v>
      </c>
      <c r="H78" s="484">
        <f t="shared" si="37"/>
        <v>0</v>
      </c>
      <c r="J78" s="479"/>
      <c r="K78" s="484"/>
      <c r="L78" s="484"/>
      <c r="M78" s="484"/>
      <c r="N78" s="484"/>
    </row>
    <row r="79" spans="1:18">
      <c r="A79" s="491" t="s">
        <v>1285</v>
      </c>
      <c r="B79" s="5"/>
      <c r="C79" s="5"/>
      <c r="D79" s="487">
        <f>SUM(D76:D78)</f>
        <v>9359</v>
      </c>
      <c r="E79" s="487">
        <f>SUM(E76:E78)</f>
        <v>9676.18</v>
      </c>
      <c r="F79" s="487">
        <f>SUM(F76:F78)</f>
        <v>9892.7036000000007</v>
      </c>
      <c r="G79" s="487">
        <f>SUM(G76:G78)</f>
        <v>10114.477672000001</v>
      </c>
      <c r="H79" s="487">
        <f>SUM(H76:H78)</f>
        <v>10341.64402544</v>
      </c>
      <c r="I79" s="13"/>
      <c r="J79" s="487"/>
      <c r="K79" s="487"/>
      <c r="L79" s="487"/>
      <c r="M79" s="487"/>
      <c r="N79" s="487"/>
      <c r="O79" s="13"/>
      <c r="P79" s="13"/>
      <c r="Q79" s="13"/>
      <c r="R79" s="217"/>
    </row>
    <row r="80" spans="1:18">
      <c r="A80" s="483"/>
      <c r="D80" s="487"/>
      <c r="E80" s="487"/>
      <c r="F80" s="487"/>
      <c r="G80" s="487"/>
      <c r="H80" s="487"/>
      <c r="I80" s="13"/>
      <c r="J80" s="487"/>
      <c r="K80" s="487"/>
      <c r="L80" s="487"/>
      <c r="M80" s="487"/>
      <c r="N80" s="487"/>
      <c r="O80" s="13"/>
      <c r="P80" s="13"/>
      <c r="Q80" s="13"/>
      <c r="R80" s="217"/>
    </row>
    <row r="81" spans="1:18">
      <c r="A81" s="491" t="s">
        <v>31</v>
      </c>
      <c r="B81" s="5"/>
      <c r="C81" s="5"/>
      <c r="D81" s="487">
        <v>76850</v>
      </c>
      <c r="E81" s="488">
        <f t="shared" ref="E81:H81" si="38">+D81*(1+$J$2)</f>
        <v>78387</v>
      </c>
      <c r="F81" s="488">
        <f t="shared" si="38"/>
        <v>79954.740000000005</v>
      </c>
      <c r="G81" s="488">
        <f t="shared" si="38"/>
        <v>81553.834800000011</v>
      </c>
      <c r="H81" s="488">
        <f t="shared" si="38"/>
        <v>83184.911496000015</v>
      </c>
      <c r="I81" s="13"/>
      <c r="J81" s="487"/>
      <c r="K81" s="488"/>
      <c r="L81" s="488"/>
      <c r="M81" s="488"/>
      <c r="N81" s="488"/>
      <c r="O81" s="13"/>
      <c r="P81" s="13"/>
      <c r="Q81" s="13"/>
      <c r="R81" s="217"/>
    </row>
    <row r="82" spans="1:18">
      <c r="A82" s="483"/>
      <c r="D82" s="479"/>
      <c r="E82" s="479"/>
      <c r="F82" s="479"/>
      <c r="G82" s="479"/>
      <c r="H82" s="479"/>
      <c r="I82" s="13"/>
      <c r="J82" s="479"/>
      <c r="K82" s="479"/>
      <c r="L82" s="479"/>
      <c r="M82" s="479"/>
      <c r="N82" s="479"/>
      <c r="O82" s="13"/>
      <c r="P82" s="13"/>
      <c r="Q82" s="13"/>
      <c r="R82" s="13"/>
    </row>
    <row r="83" spans="1:18">
      <c r="A83" s="483" t="s">
        <v>1286</v>
      </c>
      <c r="D83" s="1">
        <f>+D81+D79+D54+D50+D47+D71</f>
        <v>430312</v>
      </c>
      <c r="E83" s="1">
        <f t="shared" ref="E83:H83" si="39">+E81+E79+E54+E50+E47+E71</f>
        <v>459920.83999999997</v>
      </c>
      <c r="F83" s="1">
        <f t="shared" si="39"/>
        <v>470797.15600000008</v>
      </c>
      <c r="G83" s="1">
        <f t="shared" si="39"/>
        <v>482005.83428800007</v>
      </c>
      <c r="H83" s="1">
        <f t="shared" si="39"/>
        <v>493505.15554847999</v>
      </c>
    </row>
    <row r="84" spans="1:18">
      <c r="A84" s="483" t="s">
        <v>298</v>
      </c>
      <c r="D84" s="1">
        <f>+D83/75</f>
        <v>5737.4933333333329</v>
      </c>
    </row>
    <row r="85" spans="1:18">
      <c r="A85" s="483"/>
    </row>
    <row r="86" spans="1:18">
      <c r="A86" s="483" t="s">
        <v>1287</v>
      </c>
      <c r="D86" s="1">
        <f>+D30-D83</f>
        <v>1832187.333333333</v>
      </c>
      <c r="E86" s="1">
        <f t="shared" ref="E86:H86" si="40">+E30-E83</f>
        <v>1880226.1333333333</v>
      </c>
      <c r="F86" s="1">
        <f t="shared" si="40"/>
        <v>1952795.7329333336</v>
      </c>
      <c r="G86" s="1">
        <f t="shared" si="40"/>
        <v>2032231.2317693336</v>
      </c>
      <c r="H86" s="1">
        <f t="shared" si="40"/>
        <v>2112404.295990814</v>
      </c>
    </row>
    <row r="88" spans="1:18">
      <c r="C88" s="62"/>
      <c r="D88" s="497"/>
      <c r="J88" s="497"/>
    </row>
    <row r="89" spans="1:18">
      <c r="A89" s="300" t="s">
        <v>1299</v>
      </c>
      <c r="C89" s="62"/>
      <c r="E89" s="497">
        <f>PMT(5%,35,30000000)</f>
        <v>-1832151.2169254944</v>
      </c>
      <c r="F89" s="497">
        <f t="shared" ref="F89:H89" si="41">PMT(5%,35,30000000)</f>
        <v>-1832151.2169254944</v>
      </c>
      <c r="G89" s="497">
        <f t="shared" si="41"/>
        <v>-1832151.2169254944</v>
      </c>
      <c r="H89" s="497">
        <f t="shared" si="41"/>
        <v>-1832151.2169254944</v>
      </c>
      <c r="J89" s="497"/>
      <c r="K89" s="497"/>
      <c r="L89" s="497"/>
      <c r="M89" s="497"/>
      <c r="N89" s="497"/>
    </row>
    <row r="90" spans="1:18">
      <c r="A90" s="1" t="s">
        <v>1301</v>
      </c>
      <c r="C90" s="62"/>
      <c r="D90" s="497"/>
      <c r="E90" s="13"/>
      <c r="J90" s="497"/>
      <c r="K90" s="13"/>
    </row>
    <row r="91" spans="1:18">
      <c r="C91" s="62"/>
      <c r="D91" s="497"/>
    </row>
    <row r="92" spans="1:18">
      <c r="C92" s="62"/>
      <c r="D92" s="497"/>
    </row>
    <row r="93" spans="1:18">
      <c r="C93" s="62"/>
      <c r="D93" s="497"/>
    </row>
    <row r="95" spans="1:18">
      <c r="C95" s="62"/>
    </row>
    <row r="96" spans="1:18">
      <c r="C96" s="62"/>
    </row>
    <row r="97" spans="3:12">
      <c r="C97" s="51"/>
      <c r="L97" s="19"/>
    </row>
    <row r="99" spans="3:12">
      <c r="L99" s="19"/>
    </row>
    <row r="100" spans="3:12">
      <c r="L100" s="10"/>
    </row>
    <row r="101" spans="3:12">
      <c r="L101" s="397"/>
    </row>
    <row r="102" spans="3:12">
      <c r="L102" s="10"/>
    </row>
    <row r="103" spans="3:12">
      <c r="L103" s="19"/>
    </row>
    <row r="104" spans="3:12">
      <c r="L104" s="397"/>
    </row>
    <row r="105" spans="3:12">
      <c r="L105" s="19"/>
    </row>
    <row r="106" spans="3:12">
      <c r="L106" s="19"/>
    </row>
    <row r="116" spans="12:12">
      <c r="L116" s="2"/>
    </row>
    <row r="126" spans="12:12">
      <c r="L126" s="8"/>
    </row>
    <row r="127" spans="12:12">
      <c r="L127" s="284"/>
    </row>
    <row r="128" spans="12:12">
      <c r="L128" s="482"/>
    </row>
    <row r="129" spans="1:12">
      <c r="L129" s="300"/>
    </row>
    <row r="130" spans="1:12">
      <c r="L130" s="284"/>
    </row>
    <row r="142" spans="1:12">
      <c r="A142" s="301"/>
    </row>
    <row r="143" spans="1:12">
      <c r="A143" s="301"/>
    </row>
    <row r="144" spans="1:12">
      <c r="A144" s="301"/>
    </row>
    <row r="146" spans="1:1">
      <c r="A146" s="301"/>
    </row>
    <row r="147" spans="1:1">
      <c r="A147" s="301"/>
    </row>
    <row r="149" spans="1:1">
      <c r="A149" s="300"/>
    </row>
  </sheetData>
  <phoneticPr fontId="0" type="noConversion"/>
  <pageMargins left="0.75" right="0.75" top="1" bottom="1" header="0.5" footer="0.5"/>
  <pageSetup scale="51" orientation="landscape" horizontalDpi="4294967292" verticalDpi="4294967292" r:id="rId1"/>
  <headerFooter alignWithMargins="0">
    <oddFooter>&amp;L
&amp;D&amp;CThis presentation is for internal use only and should not be used for any other purposes.
&amp;T&amp;R
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O123"/>
  <sheetViews>
    <sheetView topLeftCell="A23" workbookViewId="0">
      <selection activeCell="C53" sqref="C53"/>
    </sheetView>
  </sheetViews>
  <sheetFormatPr defaultRowHeight="12.75"/>
  <cols>
    <col min="1" max="1" width="3.42578125" customWidth="1"/>
    <col min="2" max="2" width="49" customWidth="1"/>
    <col min="3" max="4" width="17.85546875" customWidth="1"/>
    <col min="5" max="5" width="3.28515625" customWidth="1"/>
    <col min="6" max="6" width="11.42578125" bestFit="1" customWidth="1"/>
    <col min="7" max="7" width="10.28515625" customWidth="1"/>
  </cols>
  <sheetData>
    <row r="1" spans="1:15" ht="23.25">
      <c r="A1" s="560" t="str">
        <f>+'Sources &amp; Uses'!A1</f>
        <v>Lamar Building</v>
      </c>
      <c r="B1" s="561"/>
      <c r="C1" s="561"/>
      <c r="D1" s="561"/>
      <c r="E1" s="561"/>
      <c r="F1" s="561"/>
      <c r="G1" s="561"/>
    </row>
    <row r="2" spans="1:15" ht="23.25">
      <c r="A2" s="561" t="s">
        <v>1079</v>
      </c>
      <c r="B2" s="561"/>
      <c r="C2" s="561"/>
      <c r="D2" s="561"/>
      <c r="E2" s="561"/>
      <c r="F2" s="561"/>
      <c r="G2" s="561"/>
      <c r="H2" s="398"/>
      <c r="I2" s="398"/>
      <c r="J2" s="398"/>
      <c r="K2" s="398"/>
      <c r="L2" s="398"/>
      <c r="M2" s="398"/>
      <c r="N2" s="398"/>
      <c r="O2" s="398"/>
    </row>
    <row r="3" spans="1:15" ht="10.5" customHeight="1">
      <c r="C3" s="399"/>
      <c r="D3" s="399"/>
      <c r="E3" s="398"/>
      <c r="F3" s="399"/>
      <c r="G3" s="398"/>
      <c r="H3" s="398"/>
      <c r="I3" s="398"/>
      <c r="J3" s="398"/>
      <c r="K3" s="398"/>
      <c r="L3" s="398"/>
      <c r="M3" s="398"/>
      <c r="N3" s="398"/>
      <c r="O3" s="398"/>
    </row>
    <row r="4" spans="1:15" s="293" customFormat="1">
      <c r="B4" s="400" t="s">
        <v>1211</v>
      </c>
      <c r="C4" s="471" t="s">
        <v>1212</v>
      </c>
      <c r="D4" s="306"/>
      <c r="F4" s="306"/>
    </row>
    <row r="5" spans="1:15" s="293" customFormat="1">
      <c r="B5" s="400" t="s">
        <v>1080</v>
      </c>
      <c r="C5" s="470">
        <f>+Rent!C44</f>
        <v>72</v>
      </c>
      <c r="D5" s="89"/>
      <c r="F5" s="89"/>
    </row>
    <row r="6" spans="1:15" s="293" customFormat="1">
      <c r="B6" s="400" t="s">
        <v>1081</v>
      </c>
      <c r="C6" s="472">
        <f>+'Sources &amp; Uses'!H1</f>
        <v>0</v>
      </c>
      <c r="D6" s="89"/>
      <c r="F6" s="89"/>
    </row>
    <row r="7" spans="1:15" s="401" customFormat="1" ht="9.75" customHeight="1">
      <c r="B7" s="562"/>
      <c r="C7" s="562"/>
      <c r="D7" s="562"/>
      <c r="F7" s="402"/>
    </row>
    <row r="8" spans="1:15" s="401" customFormat="1" ht="25.9" customHeight="1">
      <c r="B8" s="403" t="s">
        <v>94</v>
      </c>
      <c r="C8" s="404" t="s">
        <v>449</v>
      </c>
      <c r="D8" s="404" t="s">
        <v>298</v>
      </c>
      <c r="F8" s="405" t="s">
        <v>1082</v>
      </c>
      <c r="G8" s="404" t="s">
        <v>1083</v>
      </c>
    </row>
    <row r="9" spans="1:15" s="401" customFormat="1" ht="14.25">
      <c r="B9" s="406" t="s">
        <v>1084</v>
      </c>
      <c r="C9" s="407"/>
      <c r="D9" s="408">
        <f t="shared" ref="D9:D24" si="0">IFERROR(C9/Units,0)</f>
        <v>0</v>
      </c>
      <c r="E9" s="409"/>
      <c r="F9" s="410">
        <f t="shared" ref="F9:F18" si="1">IF(ISERROR(C9/TotalOperating),0,C9/TotalOperating)</f>
        <v>0</v>
      </c>
    </row>
    <row r="10" spans="1:15" s="401" customFormat="1" ht="14.25">
      <c r="B10" s="411" t="s">
        <v>1085</v>
      </c>
      <c r="C10" s="412"/>
      <c r="D10" s="408">
        <f t="shared" si="0"/>
        <v>0</v>
      </c>
      <c r="E10" s="409"/>
      <c r="F10" s="413">
        <f t="shared" si="1"/>
        <v>0</v>
      </c>
    </row>
    <row r="11" spans="1:15" s="401" customFormat="1" ht="14.25">
      <c r="B11" s="411" t="s">
        <v>1086</v>
      </c>
      <c r="C11" s="412"/>
      <c r="D11" s="408">
        <f t="shared" si="0"/>
        <v>0</v>
      </c>
      <c r="E11" s="409"/>
      <c r="F11" s="413">
        <f t="shared" si="1"/>
        <v>0</v>
      </c>
    </row>
    <row r="12" spans="1:15" s="401" customFormat="1" ht="14.25">
      <c r="B12" s="411" t="s">
        <v>1087</v>
      </c>
      <c r="C12" s="412"/>
      <c r="D12" s="408">
        <f t="shared" si="0"/>
        <v>0</v>
      </c>
      <c r="E12" s="409"/>
      <c r="F12" s="413">
        <f t="shared" si="1"/>
        <v>0</v>
      </c>
    </row>
    <row r="13" spans="1:15" s="401" customFormat="1" ht="14.25">
      <c r="B13" s="411" t="s">
        <v>1088</v>
      </c>
      <c r="C13" s="412"/>
      <c r="D13" s="408">
        <f t="shared" si="0"/>
        <v>0</v>
      </c>
      <c r="E13" s="409"/>
      <c r="F13" s="413">
        <f t="shared" si="1"/>
        <v>0</v>
      </c>
    </row>
    <row r="14" spans="1:15" s="401" customFormat="1" ht="14.25">
      <c r="B14" s="411" t="s">
        <v>1089</v>
      </c>
      <c r="C14" s="412"/>
      <c r="D14" s="408">
        <f t="shared" si="0"/>
        <v>0</v>
      </c>
      <c r="E14" s="409"/>
      <c r="F14" s="413">
        <f t="shared" si="1"/>
        <v>0</v>
      </c>
    </row>
    <row r="15" spans="1:15" s="401" customFormat="1" ht="14.25">
      <c r="B15" s="411" t="s">
        <v>1090</v>
      </c>
      <c r="C15" s="412"/>
      <c r="D15" s="408">
        <f t="shared" si="0"/>
        <v>0</v>
      </c>
      <c r="E15" s="409"/>
      <c r="F15" s="413">
        <f t="shared" si="1"/>
        <v>0</v>
      </c>
    </row>
    <row r="16" spans="1:15" s="401" customFormat="1" ht="14.25">
      <c r="B16" s="411" t="s">
        <v>1091</v>
      </c>
      <c r="C16" s="412"/>
      <c r="D16" s="408">
        <f t="shared" si="0"/>
        <v>0</v>
      </c>
      <c r="E16" s="409"/>
      <c r="F16" s="413">
        <f t="shared" si="1"/>
        <v>0</v>
      </c>
    </row>
    <row r="17" spans="2:15" s="401" customFormat="1" ht="14.25">
      <c r="B17" s="411" t="s">
        <v>1092</v>
      </c>
      <c r="C17" s="412"/>
      <c r="D17" s="408">
        <f t="shared" si="0"/>
        <v>0</v>
      </c>
      <c r="E17" s="409"/>
      <c r="F17" s="413">
        <f t="shared" si="1"/>
        <v>0</v>
      </c>
    </row>
    <row r="18" spans="2:15" s="401" customFormat="1" ht="14.25">
      <c r="B18" s="411" t="s">
        <v>180</v>
      </c>
      <c r="C18" s="412"/>
      <c r="D18" s="408">
        <f t="shared" si="0"/>
        <v>0</v>
      </c>
      <c r="E18" s="409"/>
      <c r="F18" s="413">
        <f t="shared" si="1"/>
        <v>0</v>
      </c>
      <c r="G18" s="414">
        <f>IFERROR(C18/'Proforma (Application)'!D20,0)</f>
        <v>0</v>
      </c>
      <c r="H18" s="415"/>
      <c r="I18" s="415"/>
      <c r="J18" s="416"/>
      <c r="K18" s="415"/>
      <c r="L18" s="415"/>
      <c r="M18" s="415"/>
      <c r="N18" s="415"/>
      <c r="O18" s="415"/>
    </row>
    <row r="19" spans="2:15" s="401" customFormat="1" ht="14.25">
      <c r="B19" s="411" t="s">
        <v>1093</v>
      </c>
      <c r="C19" s="412"/>
      <c r="D19" s="408">
        <f t="shared" si="0"/>
        <v>0</v>
      </c>
      <c r="E19" s="417"/>
      <c r="F19" s="418">
        <f t="shared" ref="F19:F24" si="2">IF(ISERROR(C19/TotalOperating),0,C19/TotalOperating)</f>
        <v>0</v>
      </c>
      <c r="G19" s="415"/>
      <c r="H19" s="415"/>
      <c r="I19" s="415"/>
      <c r="J19" s="415"/>
      <c r="K19" s="415"/>
      <c r="L19" s="415"/>
      <c r="M19" s="415"/>
      <c r="N19" s="415"/>
      <c r="O19" s="415"/>
    </row>
    <row r="20" spans="2:15" s="401" customFormat="1" ht="14.25">
      <c r="B20" s="411" t="s">
        <v>1094</v>
      </c>
      <c r="C20" s="412"/>
      <c r="D20" s="408">
        <f t="shared" si="0"/>
        <v>0</v>
      </c>
      <c r="E20" s="409"/>
      <c r="F20" s="413">
        <f t="shared" si="2"/>
        <v>0</v>
      </c>
    </row>
    <row r="21" spans="2:15" s="401" customFormat="1" ht="14.25">
      <c r="B21" s="411" t="s">
        <v>185</v>
      </c>
      <c r="C21" s="412"/>
      <c r="D21" s="408">
        <f t="shared" si="0"/>
        <v>0</v>
      </c>
      <c r="E21" s="409"/>
      <c r="F21" s="413">
        <f t="shared" si="2"/>
        <v>0</v>
      </c>
    </row>
    <row r="22" spans="2:15" s="401" customFormat="1" ht="14.25">
      <c r="B22" s="411" t="s">
        <v>1095</v>
      </c>
      <c r="C22" s="412"/>
      <c r="D22" s="408">
        <f t="shared" si="0"/>
        <v>0</v>
      </c>
      <c r="E22" s="409"/>
      <c r="F22" s="413">
        <f t="shared" si="2"/>
        <v>0</v>
      </c>
    </row>
    <row r="23" spans="2:15" s="401" customFormat="1" ht="15" thickBot="1">
      <c r="B23" s="419" t="s">
        <v>1096</v>
      </c>
      <c r="C23" s="420"/>
      <c r="D23" s="408">
        <f t="shared" si="0"/>
        <v>0</v>
      </c>
      <c r="E23" s="409"/>
      <c r="F23" s="421">
        <f t="shared" si="2"/>
        <v>0</v>
      </c>
    </row>
    <row r="24" spans="2:15" s="401" customFormat="1" ht="15">
      <c r="B24" s="422" t="s">
        <v>1097</v>
      </c>
      <c r="C24" s="423">
        <f>SUM(C8:C23)</f>
        <v>0</v>
      </c>
      <c r="D24" s="424">
        <f t="shared" si="0"/>
        <v>0</v>
      </c>
      <c r="E24" s="409"/>
      <c r="F24" s="425">
        <f t="shared" si="2"/>
        <v>0</v>
      </c>
    </row>
    <row r="25" spans="2:15" s="401" customFormat="1" ht="30.4" customHeight="1">
      <c r="B25" s="403" t="s">
        <v>1098</v>
      </c>
      <c r="C25" s="426"/>
      <c r="D25" s="426"/>
      <c r="E25" s="409"/>
      <c r="F25" s="413"/>
    </row>
    <row r="26" spans="2:15" s="401" customFormat="1" ht="14.25">
      <c r="B26" s="406" t="s">
        <v>1099</v>
      </c>
      <c r="C26" s="407"/>
      <c r="D26" s="408">
        <f t="shared" ref="D26:D34" si="3">IFERROR(C26/Units,0)</f>
        <v>0</v>
      </c>
      <c r="E26" s="409"/>
      <c r="F26" s="410">
        <f t="shared" ref="F26:F34" si="4">IF(ISERROR(C26/TotalOperating),0,C26/TotalOperating)</f>
        <v>0</v>
      </c>
    </row>
    <row r="27" spans="2:15" s="401" customFormat="1" ht="14.25">
      <c r="B27" s="411" t="s">
        <v>1100</v>
      </c>
      <c r="C27" s="412"/>
      <c r="D27" s="408">
        <f t="shared" si="3"/>
        <v>0</v>
      </c>
      <c r="E27" s="409"/>
      <c r="F27" s="413">
        <f t="shared" si="4"/>
        <v>0</v>
      </c>
    </row>
    <row r="28" spans="2:15" s="401" customFormat="1" ht="14.25">
      <c r="B28" s="411" t="s">
        <v>1101</v>
      </c>
      <c r="C28" s="412"/>
      <c r="D28" s="408">
        <f t="shared" si="3"/>
        <v>0</v>
      </c>
      <c r="E28" s="409"/>
      <c r="F28" s="413">
        <f t="shared" si="4"/>
        <v>0</v>
      </c>
    </row>
    <row r="29" spans="2:15" s="401" customFormat="1" ht="14.25">
      <c r="B29" s="411" t="s">
        <v>1102</v>
      </c>
      <c r="C29" s="412"/>
      <c r="D29" s="408">
        <f t="shared" si="3"/>
        <v>0</v>
      </c>
      <c r="E29" s="409"/>
      <c r="F29" s="413">
        <f t="shared" si="4"/>
        <v>0</v>
      </c>
    </row>
    <row r="30" spans="2:15" s="401" customFormat="1" ht="14.25">
      <c r="B30" s="411" t="s">
        <v>1103</v>
      </c>
      <c r="C30" s="412"/>
      <c r="D30" s="408">
        <f t="shared" si="3"/>
        <v>0</v>
      </c>
      <c r="E30" s="409"/>
      <c r="F30" s="413">
        <f t="shared" si="4"/>
        <v>0</v>
      </c>
    </row>
    <row r="31" spans="2:15" s="401" customFormat="1" ht="14.25">
      <c r="B31" s="411" t="s">
        <v>1104</v>
      </c>
      <c r="C31" s="412"/>
      <c r="D31" s="408">
        <f t="shared" si="3"/>
        <v>0</v>
      </c>
      <c r="E31" s="409"/>
      <c r="F31" s="413">
        <f t="shared" si="4"/>
        <v>0</v>
      </c>
    </row>
    <row r="32" spans="2:15" s="401" customFormat="1" ht="14.25">
      <c r="B32" s="411" t="s">
        <v>1105</v>
      </c>
      <c r="C32" s="412"/>
      <c r="D32" s="408">
        <f t="shared" si="3"/>
        <v>0</v>
      </c>
      <c r="E32" s="409"/>
      <c r="F32" s="413">
        <f t="shared" si="4"/>
        <v>0</v>
      </c>
    </row>
    <row r="33" spans="2:6" s="401" customFormat="1" ht="15" thickBot="1">
      <c r="B33" s="419" t="s">
        <v>1106</v>
      </c>
      <c r="C33" s="420"/>
      <c r="D33" s="408">
        <f t="shared" si="3"/>
        <v>0</v>
      </c>
      <c r="E33" s="409"/>
      <c r="F33" s="421">
        <f t="shared" si="4"/>
        <v>0</v>
      </c>
    </row>
    <row r="34" spans="2:6" s="401" customFormat="1" ht="15">
      <c r="B34" s="422" t="s">
        <v>1107</v>
      </c>
      <c r="C34" s="423">
        <f>SUM(C25:C33)</f>
        <v>0</v>
      </c>
      <c r="D34" s="424">
        <f t="shared" si="3"/>
        <v>0</v>
      </c>
      <c r="E34" s="409"/>
      <c r="F34" s="425">
        <f t="shared" si="4"/>
        <v>0</v>
      </c>
    </row>
    <row r="35" spans="2:6" s="401" customFormat="1" ht="30.4" customHeight="1">
      <c r="B35" s="403" t="s">
        <v>1108</v>
      </c>
      <c r="C35" s="426"/>
      <c r="D35" s="426"/>
      <c r="E35" s="409"/>
      <c r="F35" s="413"/>
    </row>
    <row r="36" spans="2:6" s="401" customFormat="1" ht="14.25">
      <c r="B36" s="406" t="s">
        <v>1109</v>
      </c>
      <c r="C36" s="407"/>
      <c r="D36" s="408">
        <f t="shared" ref="D36:D41" si="5">IFERROR(C36/Units,0)</f>
        <v>0</v>
      </c>
      <c r="E36" s="409"/>
      <c r="F36" s="410">
        <f t="shared" ref="F36:F41" si="6">IF(ISERROR(C36/TotalOperating),0,C36/TotalOperating)</f>
        <v>0</v>
      </c>
    </row>
    <row r="37" spans="2:6" s="401" customFormat="1" ht="14.25">
      <c r="B37" s="411" t="s">
        <v>191</v>
      </c>
      <c r="C37" s="407"/>
      <c r="D37" s="408">
        <f t="shared" si="5"/>
        <v>0</v>
      </c>
      <c r="E37" s="409"/>
      <c r="F37" s="413">
        <f t="shared" si="6"/>
        <v>0</v>
      </c>
    </row>
    <row r="38" spans="2:6" s="401" customFormat="1" ht="14.25">
      <c r="B38" s="411" t="s">
        <v>329</v>
      </c>
      <c r="C38" s="407"/>
      <c r="D38" s="408">
        <f t="shared" si="5"/>
        <v>0</v>
      </c>
      <c r="E38" s="409"/>
      <c r="F38" s="413">
        <f t="shared" si="6"/>
        <v>0</v>
      </c>
    </row>
    <row r="39" spans="2:6" s="401" customFormat="1" ht="14.25">
      <c r="B39" s="411" t="s">
        <v>190</v>
      </c>
      <c r="C39" s="407"/>
      <c r="D39" s="408">
        <f t="shared" si="5"/>
        <v>0</v>
      </c>
      <c r="E39" s="409"/>
      <c r="F39" s="413">
        <f t="shared" si="6"/>
        <v>0</v>
      </c>
    </row>
    <row r="40" spans="2:6" s="401" customFormat="1" ht="15" thickBot="1">
      <c r="B40" s="419" t="s">
        <v>1106</v>
      </c>
      <c r="C40" s="420"/>
      <c r="D40" s="408">
        <f t="shared" si="5"/>
        <v>0</v>
      </c>
      <c r="E40" s="409"/>
      <c r="F40" s="421">
        <f t="shared" si="6"/>
        <v>0</v>
      </c>
    </row>
    <row r="41" spans="2:6" s="401" customFormat="1" ht="15">
      <c r="B41" s="422" t="s">
        <v>1110</v>
      </c>
      <c r="C41" s="423">
        <f>SUM(C35:C40)</f>
        <v>0</v>
      </c>
      <c r="D41" s="424">
        <f t="shared" si="5"/>
        <v>0</v>
      </c>
      <c r="E41" s="409"/>
      <c r="F41" s="425">
        <f t="shared" si="6"/>
        <v>0</v>
      </c>
    </row>
    <row r="42" spans="2:6" s="401" customFormat="1" ht="30.4" customHeight="1">
      <c r="B42" s="403" t="s">
        <v>1111</v>
      </c>
      <c r="C42" s="426"/>
      <c r="D42" s="426"/>
      <c r="E42" s="409"/>
      <c r="F42" s="413"/>
    </row>
    <row r="43" spans="2:6" s="401" customFormat="1" ht="14.25">
      <c r="B43" s="427" t="s">
        <v>1112</v>
      </c>
      <c r="C43" s="407"/>
      <c r="D43" s="408">
        <f t="shared" ref="D43:D47" si="7">IFERROR(C43/Units,0)</f>
        <v>0</v>
      </c>
      <c r="E43" s="409"/>
      <c r="F43" s="410">
        <f t="shared" ref="F43:F49" si="8">IF(ISERROR(C43/TotalOperating),0,C43/TotalOperating)</f>
        <v>0</v>
      </c>
    </row>
    <row r="44" spans="2:6" s="401" customFormat="1" ht="14.25">
      <c r="B44" s="427" t="s">
        <v>1113</v>
      </c>
      <c r="C44" s="407"/>
      <c r="D44" s="408">
        <f t="shared" si="7"/>
        <v>0</v>
      </c>
      <c r="E44" s="409"/>
      <c r="F44" s="413">
        <f>IF(ISERROR(C44/TotalOperating),0,C44/TotalOperating)</f>
        <v>0</v>
      </c>
    </row>
    <row r="45" spans="2:6" s="401" customFormat="1" ht="14.25">
      <c r="B45" s="428" t="s">
        <v>194</v>
      </c>
      <c r="C45" s="412"/>
      <c r="D45" s="408">
        <f t="shared" si="7"/>
        <v>0</v>
      </c>
      <c r="E45" s="409"/>
      <c r="F45" s="413">
        <f t="shared" si="8"/>
        <v>0</v>
      </c>
    </row>
    <row r="46" spans="2:6" s="401" customFormat="1" ht="14.25">
      <c r="B46" s="428" t="s">
        <v>1114</v>
      </c>
      <c r="C46" s="412"/>
      <c r="D46" s="408">
        <f t="shared" si="7"/>
        <v>0</v>
      </c>
      <c r="E46" s="409"/>
      <c r="F46" s="413">
        <f t="shared" si="8"/>
        <v>0</v>
      </c>
    </row>
    <row r="47" spans="2:6" s="401" customFormat="1" ht="14.25">
      <c r="B47" s="428" t="s">
        <v>1115</v>
      </c>
      <c r="C47" s="412"/>
      <c r="D47" s="408">
        <f t="shared" si="7"/>
        <v>0</v>
      </c>
      <c r="E47" s="409"/>
      <c r="F47" s="413">
        <f t="shared" si="8"/>
        <v>0</v>
      </c>
    </row>
    <row r="48" spans="2:6" s="401" customFormat="1" ht="15" thickBot="1">
      <c r="B48" s="419" t="s">
        <v>1106</v>
      </c>
      <c r="C48" s="412"/>
      <c r="D48" s="408">
        <f>IFERROR(C48/C5,0)</f>
        <v>0</v>
      </c>
      <c r="E48" s="409"/>
      <c r="F48" s="421">
        <f t="shared" si="8"/>
        <v>0</v>
      </c>
    </row>
    <row r="49" spans="2:10" s="401" customFormat="1" ht="15">
      <c r="B49" s="422" t="s">
        <v>1116</v>
      </c>
      <c r="C49" s="423">
        <f>SUM(C43:C48)</f>
        <v>0</v>
      </c>
      <c r="D49" s="424">
        <f>IFERROR(C49/C5,0)</f>
        <v>0</v>
      </c>
      <c r="E49" s="409"/>
      <c r="F49" s="425">
        <f t="shared" si="8"/>
        <v>0</v>
      </c>
    </row>
    <row r="50" spans="2:10" s="401" customFormat="1" ht="20.65" customHeight="1" thickBot="1">
      <c r="B50" s="429"/>
      <c r="C50" s="430"/>
      <c r="D50" s="430"/>
      <c r="E50" s="409"/>
      <c r="F50" s="431"/>
    </row>
    <row r="51" spans="2:10" s="432" customFormat="1" ht="26.65" customHeight="1" thickBot="1">
      <c r="B51" s="442" t="s">
        <v>1117</v>
      </c>
      <c r="C51" s="443">
        <f>SUM(C49+C41+C34+C24)</f>
        <v>0</v>
      </c>
      <c r="D51" s="443">
        <f>+TotalOperating/C5</f>
        <v>0</v>
      </c>
      <c r="E51" s="444"/>
      <c r="F51" s="445">
        <f>IF(ISERROR(C51/TotalOperating),0,C51/TotalOperating)</f>
        <v>0</v>
      </c>
    </row>
    <row r="52" spans="2:10" s="432" customFormat="1" ht="26.65" customHeight="1">
      <c r="B52" s="446" t="s">
        <v>239</v>
      </c>
      <c r="C52" s="450">
        <v>0</v>
      </c>
      <c r="D52" s="450">
        <f>IFERROR(C52/C5,0)</f>
        <v>0</v>
      </c>
      <c r="E52" s="444"/>
      <c r="F52" s="448"/>
    </row>
    <row r="53" spans="2:10" s="401" customFormat="1" ht="18.75" customHeight="1" thickBot="1">
      <c r="B53" s="449" t="s">
        <v>1126</v>
      </c>
      <c r="C53" s="451">
        <f>+TotalOperating+C52</f>
        <v>0</v>
      </c>
      <c r="D53" s="453">
        <f>IFERROR(C53/C5,0)</f>
        <v>0</v>
      </c>
      <c r="F53" s="433"/>
      <c r="J53" s="434"/>
    </row>
    <row r="54" spans="2:10" s="401" customFormat="1" ht="18.75" customHeight="1" thickTop="1">
      <c r="B54" s="449"/>
      <c r="C54" s="452"/>
      <c r="D54" s="447"/>
      <c r="F54" s="433"/>
      <c r="J54" s="434"/>
    </row>
    <row r="55" spans="2:10" s="401" customFormat="1" ht="14.25">
      <c r="C55" s="435" t="s">
        <v>1118</v>
      </c>
      <c r="D55" s="435" t="s">
        <v>1119</v>
      </c>
    </row>
    <row r="56" spans="2:10" s="401" customFormat="1" ht="14.25">
      <c r="B56" s="563" t="s">
        <v>1120</v>
      </c>
      <c r="C56" s="436" t="s">
        <v>1109</v>
      </c>
      <c r="D56" s="437" t="s">
        <v>1121</v>
      </c>
    </row>
    <row r="57" spans="2:10" s="401" customFormat="1" ht="14.25">
      <c r="B57" s="564"/>
      <c r="C57" s="438" t="s">
        <v>191</v>
      </c>
      <c r="D57" s="437" t="s">
        <v>1122</v>
      </c>
    </row>
    <row r="58" spans="2:10" s="401" customFormat="1" ht="14.25">
      <c r="B58" s="564"/>
      <c r="C58" s="438" t="s">
        <v>190</v>
      </c>
      <c r="D58" s="437" t="s">
        <v>1121</v>
      </c>
    </row>
    <row r="59" spans="2:10" s="401" customFormat="1" ht="14.25">
      <c r="B59" s="564"/>
      <c r="C59" s="438" t="s">
        <v>329</v>
      </c>
      <c r="D59" s="437" t="s">
        <v>1121</v>
      </c>
    </row>
    <row r="60" spans="2:10" s="401" customFormat="1" ht="14.25">
      <c r="B60" s="565"/>
      <c r="C60" s="439"/>
      <c r="D60" s="437"/>
    </row>
    <row r="61" spans="2:10" s="401" customFormat="1" ht="14.25"/>
    <row r="62" spans="2:10" s="401" customFormat="1" ht="15" hidden="1">
      <c r="B62" s="566" t="s">
        <v>1123</v>
      </c>
      <c r="C62" s="566"/>
      <c r="D62" s="440"/>
    </row>
    <row r="63" spans="2:10" s="401" customFormat="1" ht="14.25" hidden="1"/>
    <row r="64" spans="2:10" s="401" customFormat="1" ht="28.5" hidden="1" customHeight="1">
      <c r="B64" s="559" t="s">
        <v>1124</v>
      </c>
      <c r="C64" s="559"/>
      <c r="D64" s="441"/>
    </row>
    <row r="65" spans="2:15" s="401" customFormat="1" ht="14.25"/>
    <row r="66" spans="2:15" s="401" customFormat="1" ht="14.25"/>
    <row r="67" spans="2:15" s="401" customFormat="1" ht="14.25">
      <c r="B67" s="401" t="s">
        <v>1125</v>
      </c>
      <c r="C67" s="401">
        <v>300</v>
      </c>
    </row>
    <row r="68" spans="2:15" ht="15">
      <c r="C68" s="401"/>
      <c r="D68" s="401"/>
      <c r="E68" s="398"/>
      <c r="G68" s="398"/>
      <c r="H68" s="398"/>
      <c r="I68" s="398"/>
      <c r="J68" s="398"/>
      <c r="K68" s="398"/>
      <c r="L68" s="398"/>
      <c r="M68" s="398"/>
      <c r="N68" s="398"/>
      <c r="O68" s="398"/>
    </row>
    <row r="69" spans="2:15" ht="15">
      <c r="E69" s="398"/>
      <c r="G69" s="398"/>
      <c r="H69" s="398"/>
      <c r="I69" s="398"/>
      <c r="J69" s="398"/>
      <c r="K69" s="398"/>
      <c r="L69" s="398"/>
      <c r="M69" s="398"/>
      <c r="N69" s="398"/>
      <c r="O69" s="398"/>
    </row>
    <row r="70" spans="2:15" ht="15">
      <c r="E70" s="398"/>
      <c r="G70" s="398"/>
      <c r="H70" s="398"/>
      <c r="I70" s="398"/>
      <c r="J70" s="398"/>
      <c r="K70" s="398"/>
      <c r="L70" s="398"/>
      <c r="M70" s="398"/>
      <c r="N70" s="398"/>
      <c r="O70" s="398"/>
    </row>
    <row r="71" spans="2:15" ht="15">
      <c r="E71" s="398"/>
      <c r="G71" s="398"/>
      <c r="H71" s="398"/>
      <c r="I71" s="398"/>
      <c r="J71" s="398"/>
      <c r="K71" s="398"/>
      <c r="L71" s="398"/>
      <c r="M71" s="398"/>
      <c r="N71" s="398"/>
      <c r="O71" s="398"/>
    </row>
    <row r="72" spans="2:15" ht="15">
      <c r="E72" s="398"/>
      <c r="G72" s="398"/>
      <c r="H72" s="398"/>
      <c r="I72" s="398"/>
      <c r="J72" s="398"/>
      <c r="K72" s="398"/>
      <c r="L72" s="398"/>
      <c r="M72" s="398"/>
      <c r="N72" s="398"/>
      <c r="O72" s="398"/>
    </row>
    <row r="73" spans="2:15" ht="15">
      <c r="E73" s="398"/>
      <c r="G73" s="398"/>
      <c r="H73" s="398"/>
      <c r="I73" s="398"/>
      <c r="J73" s="398"/>
      <c r="K73" s="398"/>
      <c r="L73" s="398"/>
      <c r="M73" s="398"/>
      <c r="N73" s="398"/>
      <c r="O73" s="398"/>
    </row>
    <row r="74" spans="2:15" ht="15">
      <c r="E74" s="398"/>
      <c r="G74" s="398"/>
      <c r="H74" s="398"/>
      <c r="I74" s="398"/>
      <c r="J74" s="398"/>
      <c r="K74" s="398"/>
      <c r="L74" s="398"/>
      <c r="M74" s="398"/>
      <c r="N74" s="398"/>
      <c r="O74" s="398"/>
    </row>
    <row r="75" spans="2:15" ht="15">
      <c r="E75" s="398"/>
      <c r="G75" s="398"/>
      <c r="H75" s="398"/>
      <c r="I75" s="398"/>
      <c r="J75" s="398"/>
      <c r="K75" s="398"/>
      <c r="L75" s="398"/>
      <c r="M75" s="398"/>
      <c r="N75" s="398"/>
      <c r="O75" s="398"/>
    </row>
    <row r="76" spans="2:15" ht="15">
      <c r="E76" s="398"/>
      <c r="G76" s="398"/>
      <c r="H76" s="398"/>
      <c r="I76" s="398"/>
      <c r="J76" s="398"/>
      <c r="K76" s="398"/>
      <c r="L76" s="398"/>
      <c r="M76" s="398"/>
      <c r="N76" s="398"/>
      <c r="O76" s="398"/>
    </row>
    <row r="77" spans="2:15" ht="15">
      <c r="E77" s="398"/>
      <c r="G77" s="398"/>
      <c r="H77" s="398"/>
      <c r="I77" s="398"/>
      <c r="J77" s="398"/>
      <c r="K77" s="398"/>
      <c r="L77" s="398"/>
      <c r="M77" s="398"/>
      <c r="N77" s="398"/>
      <c r="O77" s="398"/>
    </row>
    <row r="78" spans="2:15" ht="15">
      <c r="E78" s="398"/>
      <c r="G78" s="398"/>
      <c r="H78" s="398"/>
      <c r="I78" s="398"/>
      <c r="J78" s="398"/>
      <c r="K78" s="398"/>
      <c r="L78" s="398"/>
      <c r="M78" s="398"/>
      <c r="N78" s="398"/>
      <c r="O78" s="398"/>
    </row>
    <row r="79" spans="2:15" ht="15">
      <c r="E79" s="398"/>
      <c r="G79" s="398"/>
      <c r="H79" s="398"/>
      <c r="I79" s="398"/>
      <c r="J79" s="398"/>
      <c r="K79" s="398"/>
      <c r="L79" s="398"/>
      <c r="M79" s="398"/>
      <c r="N79" s="398"/>
      <c r="O79" s="398"/>
    </row>
    <row r="80" spans="2:15" ht="15">
      <c r="E80" s="398"/>
      <c r="G80" s="398"/>
      <c r="H80" s="398"/>
      <c r="I80" s="398"/>
      <c r="J80" s="398"/>
      <c r="K80" s="398"/>
      <c r="L80" s="398"/>
      <c r="M80" s="398"/>
      <c r="N80" s="398"/>
      <c r="O80" s="398"/>
    </row>
    <row r="81" spans="5:15" ht="15">
      <c r="E81" s="398"/>
      <c r="G81" s="398"/>
      <c r="H81" s="398"/>
      <c r="I81" s="398"/>
      <c r="J81" s="398"/>
      <c r="K81" s="398"/>
      <c r="L81" s="398"/>
      <c r="M81" s="398"/>
      <c r="N81" s="398"/>
      <c r="O81" s="398"/>
    </row>
    <row r="82" spans="5:15" ht="15">
      <c r="E82" s="398"/>
      <c r="G82" s="398"/>
      <c r="H82" s="398"/>
      <c r="I82" s="398"/>
      <c r="J82" s="398"/>
      <c r="K82" s="398"/>
      <c r="L82" s="398"/>
      <c r="M82" s="398"/>
      <c r="N82" s="398"/>
      <c r="O82" s="398"/>
    </row>
    <row r="83" spans="5:15" ht="15">
      <c r="E83" s="398"/>
      <c r="G83" s="398"/>
      <c r="H83" s="398"/>
      <c r="I83" s="398"/>
      <c r="J83" s="398"/>
      <c r="K83" s="398"/>
      <c r="L83" s="398"/>
      <c r="M83" s="398"/>
      <c r="N83" s="398"/>
      <c r="O83" s="398"/>
    </row>
    <row r="84" spans="5:15" ht="15">
      <c r="E84" s="398"/>
      <c r="G84" s="398"/>
      <c r="H84" s="398"/>
      <c r="I84" s="398"/>
      <c r="J84" s="398"/>
      <c r="K84" s="398"/>
      <c r="L84" s="398"/>
      <c r="M84" s="398"/>
      <c r="N84" s="398"/>
      <c r="O84" s="398"/>
    </row>
    <row r="85" spans="5:15" ht="15">
      <c r="E85" s="398"/>
      <c r="G85" s="398"/>
      <c r="H85" s="398"/>
      <c r="I85" s="398"/>
      <c r="J85" s="398"/>
      <c r="K85" s="398"/>
      <c r="L85" s="398"/>
      <c r="M85" s="398"/>
      <c r="N85" s="398"/>
      <c r="O85" s="398"/>
    </row>
    <row r="86" spans="5:15" ht="15">
      <c r="E86" s="398"/>
      <c r="G86" s="398"/>
      <c r="H86" s="398"/>
      <c r="I86" s="398"/>
      <c r="J86" s="398"/>
      <c r="K86" s="398"/>
      <c r="L86" s="398"/>
      <c r="M86" s="398"/>
      <c r="N86" s="398"/>
      <c r="O86" s="398"/>
    </row>
    <row r="87" spans="5:15" ht="15">
      <c r="E87" s="398"/>
      <c r="G87" s="398"/>
      <c r="H87" s="398"/>
      <c r="I87" s="398"/>
      <c r="J87" s="398"/>
      <c r="K87" s="398"/>
      <c r="L87" s="398"/>
      <c r="M87" s="398"/>
      <c r="N87" s="398"/>
      <c r="O87" s="398"/>
    </row>
    <row r="88" spans="5:15" ht="15">
      <c r="E88" s="398"/>
      <c r="G88" s="398"/>
      <c r="H88" s="398"/>
      <c r="I88" s="398"/>
      <c r="J88" s="398"/>
      <c r="K88" s="398"/>
      <c r="L88" s="398"/>
      <c r="M88" s="398"/>
      <c r="N88" s="398"/>
      <c r="O88" s="398"/>
    </row>
    <row r="89" spans="5:15" ht="15">
      <c r="E89" s="398"/>
      <c r="G89" s="398"/>
      <c r="H89" s="398"/>
      <c r="I89" s="398"/>
      <c r="J89" s="398"/>
      <c r="K89" s="398"/>
      <c r="L89" s="398"/>
      <c r="M89" s="398"/>
      <c r="N89" s="398"/>
      <c r="O89" s="398"/>
    </row>
    <row r="90" spans="5:15" ht="15">
      <c r="E90" s="398"/>
      <c r="G90" s="398"/>
      <c r="H90" s="398"/>
      <c r="I90" s="398"/>
      <c r="J90" s="398"/>
      <c r="K90" s="398"/>
      <c r="L90" s="398"/>
      <c r="M90" s="398"/>
      <c r="N90" s="398"/>
      <c r="O90" s="398"/>
    </row>
    <row r="91" spans="5:15" ht="15">
      <c r="E91" s="398"/>
      <c r="G91" s="398"/>
      <c r="H91" s="398"/>
      <c r="I91" s="398"/>
      <c r="J91" s="398"/>
      <c r="K91" s="398"/>
      <c r="L91" s="398"/>
      <c r="M91" s="398"/>
      <c r="N91" s="398"/>
      <c r="O91" s="398"/>
    </row>
    <row r="92" spans="5:15" ht="15">
      <c r="E92" s="398"/>
      <c r="G92" s="398"/>
      <c r="H92" s="398"/>
      <c r="I92" s="398"/>
      <c r="J92" s="398"/>
      <c r="K92" s="398"/>
      <c r="L92" s="398"/>
      <c r="M92" s="398"/>
      <c r="N92" s="398"/>
      <c r="O92" s="398"/>
    </row>
    <row r="93" spans="5:15" ht="15">
      <c r="E93" s="398"/>
      <c r="G93" s="398"/>
      <c r="H93" s="398"/>
      <c r="I93" s="398"/>
      <c r="J93" s="398"/>
      <c r="K93" s="398"/>
      <c r="L93" s="398"/>
      <c r="M93" s="398"/>
      <c r="N93" s="398"/>
      <c r="O93" s="398"/>
    </row>
    <row r="94" spans="5:15" ht="15">
      <c r="E94" s="398"/>
      <c r="G94" s="398"/>
      <c r="H94" s="398"/>
      <c r="I94" s="398"/>
      <c r="J94" s="398"/>
      <c r="K94" s="398"/>
      <c r="L94" s="398"/>
      <c r="M94" s="398"/>
      <c r="N94" s="398"/>
      <c r="O94" s="398"/>
    </row>
    <row r="95" spans="5:15" ht="15">
      <c r="E95" s="398"/>
      <c r="G95" s="398"/>
      <c r="H95" s="398"/>
      <c r="I95" s="398"/>
      <c r="J95" s="398"/>
      <c r="K95" s="398"/>
      <c r="L95" s="398"/>
      <c r="M95" s="398"/>
      <c r="N95" s="398"/>
      <c r="O95" s="398"/>
    </row>
    <row r="96" spans="5:15" ht="15">
      <c r="E96" s="398"/>
      <c r="G96" s="398"/>
      <c r="H96" s="398"/>
      <c r="I96" s="398"/>
      <c r="J96" s="398"/>
      <c r="K96" s="398"/>
      <c r="L96" s="398"/>
      <c r="M96" s="398"/>
      <c r="N96" s="398"/>
      <c r="O96" s="398"/>
    </row>
    <row r="97" spans="5:15" ht="15">
      <c r="E97" s="398"/>
      <c r="G97" s="398"/>
      <c r="H97" s="398"/>
      <c r="I97" s="398"/>
      <c r="J97" s="398"/>
      <c r="K97" s="398"/>
      <c r="L97" s="398"/>
      <c r="M97" s="398"/>
      <c r="N97" s="398"/>
      <c r="O97" s="398"/>
    </row>
    <row r="98" spans="5:15" ht="15">
      <c r="E98" s="398"/>
      <c r="G98" s="398"/>
      <c r="H98" s="398"/>
      <c r="I98" s="398"/>
      <c r="J98" s="398"/>
      <c r="K98" s="398"/>
      <c r="L98" s="398"/>
      <c r="M98" s="398"/>
      <c r="N98" s="398"/>
      <c r="O98" s="398"/>
    </row>
    <row r="99" spans="5:15" ht="15">
      <c r="E99" s="398"/>
      <c r="G99" s="398"/>
      <c r="H99" s="398"/>
      <c r="I99" s="398"/>
      <c r="J99" s="398"/>
      <c r="K99" s="398"/>
      <c r="L99" s="398"/>
      <c r="M99" s="398"/>
      <c r="N99" s="398"/>
      <c r="O99" s="398"/>
    </row>
    <row r="100" spans="5:15" ht="15">
      <c r="E100" s="398"/>
      <c r="G100" s="398"/>
      <c r="H100" s="398"/>
      <c r="I100" s="398"/>
      <c r="J100" s="398"/>
      <c r="K100" s="398"/>
      <c r="L100" s="398"/>
      <c r="M100" s="398"/>
      <c r="N100" s="398"/>
      <c r="O100" s="398"/>
    </row>
    <row r="101" spans="5:15" ht="15">
      <c r="E101" s="398"/>
      <c r="G101" s="398"/>
      <c r="H101" s="398"/>
      <c r="I101" s="398"/>
      <c r="J101" s="398"/>
      <c r="K101" s="398"/>
      <c r="L101" s="398"/>
      <c r="M101" s="398"/>
      <c r="N101" s="398"/>
      <c r="O101" s="398"/>
    </row>
    <row r="102" spans="5:15" ht="15">
      <c r="E102" s="398"/>
      <c r="G102" s="398"/>
      <c r="H102" s="398"/>
      <c r="I102" s="398"/>
      <c r="J102" s="398"/>
      <c r="K102" s="398"/>
      <c r="L102" s="398"/>
      <c r="M102" s="398"/>
      <c r="N102" s="398"/>
      <c r="O102" s="398"/>
    </row>
    <row r="103" spans="5:15" ht="15">
      <c r="E103" s="398"/>
      <c r="G103" s="398"/>
      <c r="H103" s="398"/>
      <c r="I103" s="398"/>
      <c r="J103" s="398"/>
      <c r="K103" s="398"/>
      <c r="L103" s="398"/>
      <c r="M103" s="398"/>
      <c r="N103" s="398"/>
      <c r="O103" s="398"/>
    </row>
    <row r="104" spans="5:15" ht="15">
      <c r="E104" s="398"/>
      <c r="G104" s="398"/>
      <c r="H104" s="398"/>
      <c r="I104" s="398"/>
      <c r="J104" s="398"/>
      <c r="K104" s="398"/>
      <c r="L104" s="398"/>
      <c r="M104" s="398"/>
      <c r="N104" s="398"/>
      <c r="O104" s="398"/>
    </row>
    <row r="105" spans="5:15" ht="15">
      <c r="E105" s="398"/>
      <c r="G105" s="398"/>
      <c r="H105" s="398"/>
      <c r="I105" s="398"/>
      <c r="J105" s="398"/>
      <c r="K105" s="398"/>
      <c r="L105" s="398"/>
      <c r="M105" s="398"/>
      <c r="N105" s="398"/>
      <c r="O105" s="398"/>
    </row>
    <row r="106" spans="5:15" ht="15">
      <c r="E106" s="398"/>
      <c r="G106" s="398"/>
      <c r="H106" s="398"/>
      <c r="I106" s="398"/>
      <c r="J106" s="398"/>
      <c r="K106" s="398"/>
      <c r="L106" s="398"/>
      <c r="M106" s="398"/>
      <c r="N106" s="398"/>
      <c r="O106" s="398"/>
    </row>
    <row r="107" spans="5:15" ht="15">
      <c r="E107" s="398"/>
      <c r="G107" s="398"/>
      <c r="H107" s="398"/>
      <c r="I107" s="398"/>
      <c r="J107" s="398"/>
      <c r="K107" s="398"/>
      <c r="L107" s="398"/>
      <c r="M107" s="398"/>
      <c r="N107" s="398"/>
      <c r="O107" s="398"/>
    </row>
    <row r="108" spans="5:15" ht="15">
      <c r="E108" s="398"/>
      <c r="G108" s="398"/>
      <c r="H108" s="398"/>
      <c r="I108" s="398"/>
      <c r="J108" s="398"/>
      <c r="K108" s="398"/>
      <c r="L108" s="398"/>
      <c r="M108" s="398"/>
      <c r="N108" s="398"/>
      <c r="O108" s="398"/>
    </row>
    <row r="109" spans="5:15" ht="15">
      <c r="E109" s="398"/>
      <c r="G109" s="398"/>
      <c r="H109" s="398"/>
      <c r="I109" s="398"/>
      <c r="J109" s="398"/>
      <c r="K109" s="398"/>
      <c r="L109" s="398"/>
      <c r="M109" s="398"/>
      <c r="N109" s="398"/>
      <c r="O109" s="398"/>
    </row>
    <row r="110" spans="5:15" ht="15">
      <c r="E110" s="398"/>
      <c r="G110" s="398"/>
      <c r="H110" s="398"/>
      <c r="I110" s="398"/>
      <c r="J110" s="398"/>
      <c r="K110" s="398"/>
      <c r="L110" s="398"/>
      <c r="M110" s="398"/>
      <c r="N110" s="398"/>
      <c r="O110" s="398"/>
    </row>
    <row r="111" spans="5:15" ht="15">
      <c r="E111" s="398"/>
      <c r="G111" s="398"/>
      <c r="H111" s="398"/>
      <c r="I111" s="398"/>
      <c r="J111" s="398"/>
      <c r="K111" s="398"/>
      <c r="L111" s="398"/>
      <c r="M111" s="398"/>
      <c r="N111" s="398"/>
      <c r="O111" s="398"/>
    </row>
    <row r="112" spans="5:15" ht="15">
      <c r="E112" s="398"/>
      <c r="G112" s="398"/>
      <c r="H112" s="398"/>
      <c r="I112" s="398"/>
      <c r="J112" s="398"/>
      <c r="K112" s="398"/>
      <c r="L112" s="398"/>
      <c r="M112" s="398"/>
      <c r="N112" s="398"/>
      <c r="O112" s="398"/>
    </row>
    <row r="113" spans="5:15" ht="15">
      <c r="E113" s="398"/>
      <c r="G113" s="398"/>
      <c r="H113" s="398"/>
      <c r="I113" s="398"/>
      <c r="J113" s="398"/>
      <c r="K113" s="398"/>
      <c r="L113" s="398"/>
      <c r="M113" s="398"/>
      <c r="N113" s="398"/>
      <c r="O113" s="398"/>
    </row>
    <row r="114" spans="5:15" ht="15">
      <c r="E114" s="398"/>
      <c r="G114" s="398"/>
      <c r="H114" s="398"/>
      <c r="I114" s="398"/>
      <c r="J114" s="398"/>
      <c r="K114" s="398"/>
      <c r="L114" s="398"/>
      <c r="M114" s="398"/>
      <c r="N114" s="398"/>
      <c r="O114" s="398"/>
    </row>
    <row r="115" spans="5:15" ht="15">
      <c r="E115" s="398"/>
      <c r="G115" s="398"/>
      <c r="H115" s="398"/>
      <c r="I115" s="398"/>
      <c r="J115" s="398"/>
      <c r="K115" s="398"/>
      <c r="L115" s="398"/>
      <c r="M115" s="398"/>
      <c r="N115" s="398"/>
      <c r="O115" s="398"/>
    </row>
    <row r="116" spans="5:15" ht="15">
      <c r="E116" s="398"/>
      <c r="G116" s="398"/>
      <c r="H116" s="398"/>
      <c r="I116" s="398"/>
      <c r="J116" s="398"/>
      <c r="K116" s="398"/>
      <c r="L116" s="398"/>
      <c r="M116" s="398"/>
      <c r="N116" s="398"/>
      <c r="O116" s="398"/>
    </row>
    <row r="117" spans="5:15" ht="15">
      <c r="E117" s="398"/>
      <c r="G117" s="398"/>
      <c r="H117" s="398"/>
      <c r="I117" s="398"/>
      <c r="J117" s="398"/>
      <c r="K117" s="398"/>
      <c r="L117" s="398"/>
      <c r="M117" s="398"/>
      <c r="N117" s="398"/>
      <c r="O117" s="398"/>
    </row>
    <row r="118" spans="5:15" ht="15">
      <c r="E118" s="398"/>
      <c r="G118" s="398"/>
      <c r="H118" s="398"/>
      <c r="I118" s="398"/>
      <c r="J118" s="398"/>
      <c r="K118" s="398"/>
      <c r="L118" s="398"/>
      <c r="M118" s="398"/>
      <c r="N118" s="398"/>
      <c r="O118" s="398"/>
    </row>
    <row r="119" spans="5:15" ht="15">
      <c r="E119" s="398"/>
      <c r="G119" s="398"/>
      <c r="H119" s="398"/>
      <c r="I119" s="398"/>
      <c r="J119" s="398"/>
      <c r="K119" s="398"/>
      <c r="L119" s="398"/>
      <c r="M119" s="398"/>
      <c r="N119" s="398"/>
      <c r="O119" s="398"/>
    </row>
    <row r="120" spans="5:15" ht="15">
      <c r="E120" s="398"/>
      <c r="G120" s="398"/>
      <c r="H120" s="398"/>
      <c r="I120" s="398"/>
      <c r="J120" s="398"/>
      <c r="K120" s="398"/>
      <c r="L120" s="398"/>
      <c r="M120" s="398"/>
      <c r="N120" s="398"/>
      <c r="O120" s="398"/>
    </row>
    <row r="121" spans="5:15" ht="15">
      <c r="E121" s="398"/>
      <c r="G121" s="398"/>
      <c r="H121" s="398"/>
      <c r="I121" s="398"/>
      <c r="J121" s="398"/>
      <c r="K121" s="398"/>
      <c r="L121" s="398"/>
      <c r="M121" s="398"/>
      <c r="N121" s="398"/>
      <c r="O121" s="398"/>
    </row>
    <row r="122" spans="5:15" ht="15">
      <c r="E122" s="398"/>
      <c r="G122" s="398"/>
      <c r="H122" s="398"/>
      <c r="I122" s="398"/>
      <c r="J122" s="398"/>
      <c r="K122" s="398"/>
      <c r="L122" s="398"/>
      <c r="M122" s="398"/>
      <c r="N122" s="398"/>
      <c r="O122" s="398"/>
    </row>
    <row r="123" spans="5:15" ht="15">
      <c r="E123" s="398"/>
      <c r="G123" s="398"/>
      <c r="H123" s="398"/>
      <c r="I123" s="398"/>
      <c r="J123" s="398"/>
      <c r="K123" s="398"/>
      <c r="L123" s="398"/>
      <c r="M123" s="398"/>
      <c r="N123" s="398"/>
      <c r="O123" s="398"/>
    </row>
  </sheetData>
  <mergeCells count="6">
    <mergeCell ref="B64:C64"/>
    <mergeCell ref="A1:G1"/>
    <mergeCell ref="A2:G2"/>
    <mergeCell ref="B7:D7"/>
    <mergeCell ref="B56:B60"/>
    <mergeCell ref="B62:C62"/>
  </mergeCells>
  <dataValidations disablePrompts="1" count="2">
    <dataValidation type="list" allowBlank="1" showInputMessage="1" showErrorMessage="1" sqref="D57" xr:uid="{00000000-0002-0000-2300-000000000000}">
      <formula1>"Owner/Project, Tenant, N/A"</formula1>
    </dataValidation>
    <dataValidation type="list" allowBlank="1" showInputMessage="1" showErrorMessage="1" sqref="D56 D58:D60" xr:uid="{00000000-0002-0000-2300-000001000000}">
      <formula1>"Owner/Project, Tenant"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Y96"/>
  <sheetViews>
    <sheetView workbookViewId="0"/>
  </sheetViews>
  <sheetFormatPr defaultColWidth="9.140625" defaultRowHeight="12.75"/>
  <cols>
    <col min="1" max="1" width="9.140625" style="1"/>
    <col min="2" max="2" width="10.42578125" style="1" bestFit="1" customWidth="1"/>
    <col min="3" max="3" width="19.7109375" style="1" customWidth="1"/>
    <col min="4" max="25" width="12.7109375" style="1" customWidth="1"/>
    <col min="26" max="16384" width="9.140625" style="1"/>
  </cols>
  <sheetData>
    <row r="1" spans="1:25">
      <c r="A1" s="1" t="s">
        <v>319</v>
      </c>
      <c r="H1" s="1" t="s">
        <v>70</v>
      </c>
      <c r="K1" s="68">
        <v>0.02</v>
      </c>
      <c r="L1" s="1" t="s">
        <v>71</v>
      </c>
    </row>
    <row r="2" spans="1:25">
      <c r="A2" s="1" t="s">
        <v>804</v>
      </c>
      <c r="E2" s="2" t="str">
        <f>+'Sources &amp; Uses'!A1</f>
        <v>Lamar Building</v>
      </c>
      <c r="F2" s="2"/>
      <c r="K2" s="68">
        <v>2.5000000000000001E-2</v>
      </c>
      <c r="L2" s="1" t="s">
        <v>72</v>
      </c>
      <c r="M2" s="1" t="s">
        <v>808</v>
      </c>
    </row>
    <row r="3" spans="1:25">
      <c r="K3" s="70">
        <v>0.02</v>
      </c>
      <c r="L3" s="1" t="s">
        <v>235</v>
      </c>
      <c r="M3" s="1" t="s">
        <v>657</v>
      </c>
    </row>
    <row r="4" spans="1:25">
      <c r="K4" s="71">
        <v>0.02</v>
      </c>
      <c r="L4" s="1" t="s">
        <v>74</v>
      </c>
    </row>
    <row r="5" spans="1:25" ht="13.5" customHeight="1"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</row>
    <row r="7" spans="1:25">
      <c r="E7" s="12" t="s">
        <v>75</v>
      </c>
      <c r="F7" s="12" t="s">
        <v>75</v>
      </c>
      <c r="G7" s="12" t="s">
        <v>75</v>
      </c>
      <c r="H7" s="12" t="s">
        <v>75</v>
      </c>
      <c r="I7" s="12" t="s">
        <v>75</v>
      </c>
      <c r="J7" s="12" t="s">
        <v>75</v>
      </c>
      <c r="K7" s="12" t="s">
        <v>75</v>
      </c>
      <c r="L7" s="12" t="s">
        <v>75</v>
      </c>
      <c r="M7" s="12" t="s">
        <v>75</v>
      </c>
      <c r="N7" s="12" t="s">
        <v>75</v>
      </c>
      <c r="O7" s="12" t="s">
        <v>75</v>
      </c>
      <c r="P7" s="12" t="s">
        <v>75</v>
      </c>
      <c r="Q7" s="12" t="s">
        <v>75</v>
      </c>
      <c r="R7" s="12" t="s">
        <v>75</v>
      </c>
      <c r="S7" s="12" t="s">
        <v>75</v>
      </c>
      <c r="T7" s="12" t="s">
        <v>75</v>
      </c>
      <c r="U7" s="12" t="s">
        <v>75</v>
      </c>
      <c r="V7" s="12" t="s">
        <v>75</v>
      </c>
      <c r="W7" s="12" t="s">
        <v>75</v>
      </c>
      <c r="X7" s="12" t="s">
        <v>75</v>
      </c>
      <c r="Y7" s="12"/>
    </row>
    <row r="8" spans="1:25">
      <c r="E8" s="17" t="s">
        <v>76</v>
      </c>
      <c r="F8" s="17" t="s">
        <v>77</v>
      </c>
      <c r="G8" s="17" t="s">
        <v>78</v>
      </c>
      <c r="H8" s="17" t="s">
        <v>79</v>
      </c>
      <c r="I8" s="17" t="s">
        <v>80</v>
      </c>
      <c r="J8" s="17" t="s">
        <v>81</v>
      </c>
      <c r="K8" s="17" t="s">
        <v>82</v>
      </c>
      <c r="L8" s="17" t="s">
        <v>83</v>
      </c>
      <c r="M8" s="17" t="s">
        <v>84</v>
      </c>
      <c r="N8" s="17" t="s">
        <v>85</v>
      </c>
      <c r="O8" s="17" t="s">
        <v>86</v>
      </c>
      <c r="P8" s="17" t="s">
        <v>87</v>
      </c>
      <c r="Q8" s="17" t="s">
        <v>88</v>
      </c>
      <c r="R8" s="17" t="s">
        <v>89</v>
      </c>
      <c r="S8" s="17" t="s">
        <v>90</v>
      </c>
      <c r="T8" s="17" t="s">
        <v>816</v>
      </c>
      <c r="U8" s="17" t="s">
        <v>817</v>
      </c>
      <c r="V8" s="17" t="s">
        <v>818</v>
      </c>
      <c r="W8" s="17" t="s">
        <v>819</v>
      </c>
      <c r="X8" s="17" t="s">
        <v>820</v>
      </c>
      <c r="Y8" s="17" t="s">
        <v>91</v>
      </c>
    </row>
    <row r="9" spans="1:25" ht="18">
      <c r="A9" s="18" t="s">
        <v>71</v>
      </c>
    </row>
    <row r="10" spans="1:25">
      <c r="A10" s="1" t="s">
        <v>73</v>
      </c>
      <c r="E10" s="1">
        <f>+'Proforma (Application)'!D10</f>
        <v>1950600</v>
      </c>
      <c r="F10" s="11">
        <f t="shared" ref="F10:S10" si="0">E10*(1+($K1))</f>
        <v>1989612</v>
      </c>
      <c r="G10" s="11">
        <f t="shared" si="0"/>
        <v>2029404.24</v>
      </c>
      <c r="H10" s="11">
        <f t="shared" si="0"/>
        <v>2069992.3248000001</v>
      </c>
      <c r="I10" s="11">
        <f t="shared" si="0"/>
        <v>2111392.171296</v>
      </c>
      <c r="J10" s="11">
        <f t="shared" si="0"/>
        <v>2153620.0147219202</v>
      </c>
      <c r="K10" s="11">
        <f t="shared" si="0"/>
        <v>2196692.4150163587</v>
      </c>
      <c r="L10" s="11">
        <f t="shared" si="0"/>
        <v>2240626.2633166858</v>
      </c>
      <c r="M10" s="11">
        <f t="shared" si="0"/>
        <v>2285438.7885830197</v>
      </c>
      <c r="N10" s="11">
        <f t="shared" si="0"/>
        <v>2331147.56435468</v>
      </c>
      <c r="O10" s="11">
        <f t="shared" si="0"/>
        <v>2377770.5156417736</v>
      </c>
      <c r="P10" s="11">
        <f t="shared" si="0"/>
        <v>2425325.9259546092</v>
      </c>
      <c r="Q10" s="11">
        <f t="shared" si="0"/>
        <v>2473832.4444737015</v>
      </c>
      <c r="R10" s="11">
        <f t="shared" si="0"/>
        <v>2523309.0933631756</v>
      </c>
      <c r="S10" s="11">
        <f t="shared" si="0"/>
        <v>2573775.2752304394</v>
      </c>
      <c r="T10" s="11">
        <f t="shared" ref="T10" si="1">S10*(1+($K1))</f>
        <v>2625250.780735048</v>
      </c>
      <c r="U10" s="11">
        <f t="shared" ref="U10" si="2">T10*(1+($K1))</f>
        <v>2677755.796349749</v>
      </c>
      <c r="V10" s="11">
        <f t="shared" ref="V10" si="3">U10*(1+($K1))</f>
        <v>2731310.9122767439</v>
      </c>
      <c r="W10" s="11">
        <f t="shared" ref="W10" si="4">V10*(1+($K1))</f>
        <v>2785937.1305222791</v>
      </c>
      <c r="X10" s="11">
        <f t="shared" ref="X10" si="5">W10*(1+($K1))</f>
        <v>2841655.8731327248</v>
      </c>
      <c r="Y10" s="1">
        <f>SUM(E10:S10)</f>
        <v>33732539.036752373</v>
      </c>
    </row>
    <row r="11" spans="1:25">
      <c r="A11" s="1" t="s">
        <v>408</v>
      </c>
      <c r="C11" s="13">
        <v>0</v>
      </c>
      <c r="D11" s="13"/>
      <c r="E11" s="1">
        <f>+'Proforma (Application)'!D14</f>
        <v>-97530</v>
      </c>
      <c r="F11" s="1">
        <f t="shared" ref="F11:S11" si="6">SUM($C11*F23)</f>
        <v>0</v>
      </c>
      <c r="G11" s="1">
        <f t="shared" si="6"/>
        <v>0</v>
      </c>
      <c r="H11" s="1">
        <f t="shared" si="6"/>
        <v>0</v>
      </c>
      <c r="I11" s="1">
        <f t="shared" si="6"/>
        <v>0</v>
      </c>
      <c r="J11" s="1">
        <f t="shared" si="6"/>
        <v>0</v>
      </c>
      <c r="K11" s="1">
        <f t="shared" si="6"/>
        <v>0</v>
      </c>
      <c r="L11" s="1">
        <f t="shared" si="6"/>
        <v>0</v>
      </c>
      <c r="M11" s="1">
        <f t="shared" si="6"/>
        <v>0</v>
      </c>
      <c r="N11" s="1">
        <f t="shared" si="6"/>
        <v>0</v>
      </c>
      <c r="O11" s="1">
        <f t="shared" si="6"/>
        <v>0</v>
      </c>
      <c r="P11" s="1">
        <f t="shared" si="6"/>
        <v>0</v>
      </c>
      <c r="Q11" s="1">
        <f t="shared" si="6"/>
        <v>0</v>
      </c>
      <c r="R11" s="1">
        <f t="shared" si="6"/>
        <v>0</v>
      </c>
      <c r="S11" s="1">
        <f t="shared" si="6"/>
        <v>0</v>
      </c>
      <c r="T11" s="1">
        <f t="shared" ref="T11:X11" si="7">SUM($C11*T23)</f>
        <v>0</v>
      </c>
      <c r="U11" s="1">
        <f t="shared" si="7"/>
        <v>0</v>
      </c>
      <c r="V11" s="1">
        <f t="shared" si="7"/>
        <v>0</v>
      </c>
      <c r="W11" s="1">
        <f t="shared" si="7"/>
        <v>0</v>
      </c>
      <c r="X11" s="1">
        <f t="shared" si="7"/>
        <v>0</v>
      </c>
    </row>
    <row r="12" spans="1:25">
      <c r="A12" s="1" t="s">
        <v>74</v>
      </c>
      <c r="E12" s="2">
        <f>+'Proforma (Application)'!D16</f>
        <v>0</v>
      </c>
      <c r="F12" s="2">
        <f t="shared" ref="F12:S12" si="8">SUM(F10*$K$4)</f>
        <v>39792.239999999998</v>
      </c>
      <c r="G12" s="2">
        <f t="shared" si="8"/>
        <v>40588.084800000004</v>
      </c>
      <c r="H12" s="2">
        <f t="shared" si="8"/>
        <v>41399.846496000006</v>
      </c>
      <c r="I12" s="2">
        <f t="shared" si="8"/>
        <v>42227.84342592</v>
      </c>
      <c r="J12" s="2">
        <f t="shared" si="8"/>
        <v>43072.400294438405</v>
      </c>
      <c r="K12" s="2">
        <f t="shared" si="8"/>
        <v>43933.848300327176</v>
      </c>
      <c r="L12" s="2">
        <f t="shared" si="8"/>
        <v>44812.525266333716</v>
      </c>
      <c r="M12" s="2">
        <f t="shared" si="8"/>
        <v>45708.775771660396</v>
      </c>
      <c r="N12" s="2">
        <f t="shared" si="8"/>
        <v>46622.951287093601</v>
      </c>
      <c r="O12" s="2">
        <f t="shared" si="8"/>
        <v>47555.410312835469</v>
      </c>
      <c r="P12" s="2">
        <f t="shared" si="8"/>
        <v>48506.518519092184</v>
      </c>
      <c r="Q12" s="2">
        <f t="shared" si="8"/>
        <v>49476.648889474032</v>
      </c>
      <c r="R12" s="2">
        <f t="shared" si="8"/>
        <v>50466.181867263513</v>
      </c>
      <c r="S12" s="2">
        <f t="shared" si="8"/>
        <v>51475.505504608787</v>
      </c>
      <c r="T12" s="2">
        <f t="shared" ref="T12:X12" si="9">SUM(T10*$K$4)</f>
        <v>52505.015614700962</v>
      </c>
      <c r="U12" s="2">
        <f t="shared" si="9"/>
        <v>53555.115926994979</v>
      </c>
      <c r="V12" s="2">
        <f t="shared" si="9"/>
        <v>54626.218245534881</v>
      </c>
      <c r="W12" s="2">
        <f t="shared" si="9"/>
        <v>55718.742610445581</v>
      </c>
      <c r="X12" s="2">
        <f t="shared" si="9"/>
        <v>56833.117462654496</v>
      </c>
      <c r="Y12" s="2">
        <f>SUM(E12:S12)</f>
        <v>635638.78073504718</v>
      </c>
    </row>
    <row r="13" spans="1:25">
      <c r="A13" s="1" t="s">
        <v>805</v>
      </c>
      <c r="E13" s="1">
        <f>SUM(E10:E12)</f>
        <v>1853070</v>
      </c>
      <c r="F13" s="1">
        <f t="shared" ref="F13:Y13" si="10">SUM(F10:F12)</f>
        <v>2029404.24</v>
      </c>
      <c r="G13" s="1">
        <f t="shared" si="10"/>
        <v>2069992.3248000001</v>
      </c>
      <c r="H13" s="1">
        <f t="shared" si="10"/>
        <v>2111392.171296</v>
      </c>
      <c r="I13" s="1">
        <f t="shared" si="10"/>
        <v>2153620.0147219198</v>
      </c>
      <c r="J13" s="1">
        <f t="shared" si="10"/>
        <v>2196692.4150163587</v>
      </c>
      <c r="K13" s="1">
        <f t="shared" si="10"/>
        <v>2240626.2633166858</v>
      </c>
      <c r="L13" s="1">
        <f t="shared" si="10"/>
        <v>2285438.7885830197</v>
      </c>
      <c r="M13" s="1">
        <f t="shared" si="10"/>
        <v>2331147.56435468</v>
      </c>
      <c r="N13" s="1">
        <f t="shared" si="10"/>
        <v>2377770.5156417736</v>
      </c>
      <c r="O13" s="1">
        <f t="shared" si="10"/>
        <v>2425325.9259546092</v>
      </c>
      <c r="P13" s="1">
        <f t="shared" si="10"/>
        <v>2473832.4444737015</v>
      </c>
      <c r="Q13" s="1">
        <f t="shared" si="10"/>
        <v>2523309.0933631756</v>
      </c>
      <c r="R13" s="1">
        <f t="shared" si="10"/>
        <v>2573775.2752304394</v>
      </c>
      <c r="S13" s="1">
        <f t="shared" si="10"/>
        <v>2625250.780735048</v>
      </c>
      <c r="T13" s="1">
        <f t="shared" ref="T13:X13" si="11">SUM(T10:T12)</f>
        <v>2677755.796349749</v>
      </c>
      <c r="U13" s="1">
        <f t="shared" si="11"/>
        <v>2731310.9122767439</v>
      </c>
      <c r="V13" s="1">
        <f t="shared" si="11"/>
        <v>2785937.1305222786</v>
      </c>
      <c r="W13" s="1">
        <f t="shared" si="11"/>
        <v>2841655.8731327248</v>
      </c>
      <c r="X13" s="1">
        <f t="shared" si="11"/>
        <v>2898488.9905953794</v>
      </c>
      <c r="Y13" s="1">
        <f t="shared" si="10"/>
        <v>34368177.817487419</v>
      </c>
    </row>
    <row r="14" spans="1:25">
      <c r="A14" s="1" t="s">
        <v>234</v>
      </c>
      <c r="E14" s="1">
        <f>SUM(E13*$K$3)*-1</f>
        <v>-37061.4</v>
      </c>
      <c r="F14" s="1">
        <f>SUM(F13*$K$3)*-1</f>
        <v>-40588.084800000004</v>
      </c>
      <c r="G14" s="1">
        <f t="shared" ref="G14:S14" si="12">SUM(G13*$K$3)*-1</f>
        <v>-41399.846496000006</v>
      </c>
      <c r="H14" s="1">
        <f t="shared" si="12"/>
        <v>-42227.84342592</v>
      </c>
      <c r="I14" s="1">
        <f t="shared" si="12"/>
        <v>-43072.400294438397</v>
      </c>
      <c r="J14" s="1">
        <f t="shared" si="12"/>
        <v>-43933.848300327176</v>
      </c>
      <c r="K14" s="1">
        <f t="shared" si="12"/>
        <v>-44812.525266333716</v>
      </c>
      <c r="L14" s="1">
        <f t="shared" si="12"/>
        <v>-45708.775771660396</v>
      </c>
      <c r="M14" s="1">
        <f t="shared" si="12"/>
        <v>-46622.951287093601</v>
      </c>
      <c r="N14" s="1">
        <f t="shared" si="12"/>
        <v>-47555.410312835469</v>
      </c>
      <c r="O14" s="1">
        <f t="shared" si="12"/>
        <v>-48506.518519092184</v>
      </c>
      <c r="P14" s="1">
        <f t="shared" si="12"/>
        <v>-49476.648889474032</v>
      </c>
      <c r="Q14" s="1">
        <f t="shared" si="12"/>
        <v>-50466.181867263513</v>
      </c>
      <c r="R14" s="1">
        <f t="shared" si="12"/>
        <v>-51475.505504608787</v>
      </c>
      <c r="S14" s="1">
        <f t="shared" si="12"/>
        <v>-52505.015614700962</v>
      </c>
      <c r="T14" s="1">
        <f t="shared" ref="T14:X14" si="13">SUM(T13*$K$3)*-1</f>
        <v>-53555.115926994979</v>
      </c>
      <c r="U14" s="1">
        <f t="shared" si="13"/>
        <v>-54626.218245534881</v>
      </c>
      <c r="V14" s="1">
        <f t="shared" si="13"/>
        <v>-55718.742610445574</v>
      </c>
      <c r="W14" s="1">
        <f t="shared" si="13"/>
        <v>-56833.117462654496</v>
      </c>
      <c r="X14" s="1">
        <f t="shared" si="13"/>
        <v>-57969.779811907589</v>
      </c>
      <c r="Y14" s="1">
        <f>SUM(E14:S14)</f>
        <v>-685412.95634974819</v>
      </c>
    </row>
    <row r="15" spans="1:25"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1" t="s">
        <v>92</v>
      </c>
      <c r="E16" s="1">
        <f>SUM(E13:E15)</f>
        <v>1816008.6</v>
      </c>
      <c r="F16" s="1">
        <f t="shared" ref="F16:S16" si="14">SUM(F13:F15)</f>
        <v>1988816.1551999999</v>
      </c>
      <c r="G16" s="1">
        <f t="shared" si="14"/>
        <v>2028592.4783040001</v>
      </c>
      <c r="H16" s="1">
        <f t="shared" si="14"/>
        <v>2069164.32787008</v>
      </c>
      <c r="I16" s="1">
        <f t="shared" si="14"/>
        <v>2110547.6144274813</v>
      </c>
      <c r="J16" s="1">
        <f t="shared" si="14"/>
        <v>2152758.5667160316</v>
      </c>
      <c r="K16" s="1">
        <f t="shared" si="14"/>
        <v>2195813.7380503519</v>
      </c>
      <c r="L16" s="1">
        <f t="shared" si="14"/>
        <v>2239730.0128113595</v>
      </c>
      <c r="M16" s="1">
        <f t="shared" si="14"/>
        <v>2284524.6130675864</v>
      </c>
      <c r="N16" s="1">
        <f t="shared" si="14"/>
        <v>2330215.105328938</v>
      </c>
      <c r="O16" s="1">
        <f t="shared" si="14"/>
        <v>2376819.4074355168</v>
      </c>
      <c r="P16" s="1">
        <f t="shared" si="14"/>
        <v>2424355.7955842274</v>
      </c>
      <c r="Q16" s="1">
        <f t="shared" si="14"/>
        <v>2472842.9114959119</v>
      </c>
      <c r="R16" s="1">
        <f t="shared" si="14"/>
        <v>2522299.7697258308</v>
      </c>
      <c r="S16" s="1">
        <f t="shared" si="14"/>
        <v>2572745.765120347</v>
      </c>
      <c r="T16" s="1">
        <f t="shared" ref="T16:X16" si="15">SUM(T13:T15)</f>
        <v>2624200.680422754</v>
      </c>
      <c r="U16" s="1">
        <f t="shared" si="15"/>
        <v>2676684.6940312092</v>
      </c>
      <c r="V16" s="1">
        <f t="shared" si="15"/>
        <v>2730218.3879118329</v>
      </c>
      <c r="W16" s="1">
        <f t="shared" si="15"/>
        <v>2784822.7556700702</v>
      </c>
      <c r="X16" s="1">
        <f t="shared" si="15"/>
        <v>2840519.2107834718</v>
      </c>
      <c r="Y16" s="1">
        <f>SUM(Y10:Y14)</f>
        <v>68050942.678625092</v>
      </c>
    </row>
    <row r="19" spans="1:25" ht="18" hidden="1">
      <c r="A19" s="18" t="s">
        <v>93</v>
      </c>
    </row>
    <row r="20" spans="1:25" hidden="1">
      <c r="A20" s="1" t="s">
        <v>94</v>
      </c>
      <c r="E20" s="1">
        <f>SUM(I84*$E$90)</f>
        <v>82706.399999999994</v>
      </c>
      <c r="F20" s="11">
        <f t="shared" ref="F20:S20" si="16">E20*(1+($K2))</f>
        <v>84774.059999999983</v>
      </c>
      <c r="G20" s="11">
        <f t="shared" si="16"/>
        <v>86893.411499999973</v>
      </c>
      <c r="H20" s="11">
        <f t="shared" si="16"/>
        <v>89065.746787499971</v>
      </c>
      <c r="I20" s="11">
        <f t="shared" si="16"/>
        <v>91292.390457187459</v>
      </c>
      <c r="J20" s="11">
        <f t="shared" si="16"/>
        <v>93574.70021861713</v>
      </c>
      <c r="K20" s="11">
        <f t="shared" si="16"/>
        <v>95914.067724082546</v>
      </c>
      <c r="L20" s="11">
        <f t="shared" si="16"/>
        <v>98311.919417184603</v>
      </c>
      <c r="M20" s="11">
        <f t="shared" si="16"/>
        <v>100769.71740261422</v>
      </c>
      <c r="N20" s="11">
        <f t="shared" si="16"/>
        <v>103288.96033767956</v>
      </c>
      <c r="O20" s="11">
        <f t="shared" si="16"/>
        <v>105871.18434612153</v>
      </c>
      <c r="P20" s="11">
        <f t="shared" si="16"/>
        <v>108517.96395477456</v>
      </c>
      <c r="Q20" s="11">
        <f t="shared" si="16"/>
        <v>111230.91305364392</v>
      </c>
      <c r="R20" s="11">
        <f t="shared" si="16"/>
        <v>114011.685879985</v>
      </c>
      <c r="S20" s="11">
        <f t="shared" si="16"/>
        <v>116861.97802698462</v>
      </c>
      <c r="T20" s="11">
        <f t="shared" ref="T20" si="17">S20*(1+($K2))</f>
        <v>119783.52747765923</v>
      </c>
      <c r="U20" s="11">
        <f t="shared" ref="U20" si="18">T20*(1+($K2))</f>
        <v>122778.1156646007</v>
      </c>
      <c r="V20" s="11">
        <f t="shared" ref="V20" si="19">U20*(1+($K2))</f>
        <v>125847.5685562157</v>
      </c>
      <c r="W20" s="11">
        <f t="shared" ref="W20" si="20">V20*(1+($K2))</f>
        <v>128993.75777012108</v>
      </c>
      <c r="X20" s="11">
        <f t="shared" ref="X20" si="21">W20*(1+($K2))</f>
        <v>132218.60171437409</v>
      </c>
      <c r="Y20" s="1">
        <f>SUM(E20:S20)</f>
        <v>1483085.0991063754</v>
      </c>
    </row>
    <row r="21" spans="1:25" hidden="1">
      <c r="A21" s="1" t="s">
        <v>95</v>
      </c>
      <c r="E21" s="1">
        <f t="shared" ref="E21:E26" si="22">SUM(I85*$E$90)</f>
        <v>114410.51999999999</v>
      </c>
      <c r="F21" s="11">
        <f t="shared" ref="F21:S21" si="23">E21*(1+($K2))</f>
        <v>117270.78299999998</v>
      </c>
      <c r="G21" s="11">
        <f t="shared" si="23"/>
        <v>120202.55257499997</v>
      </c>
      <c r="H21" s="11">
        <f t="shared" si="23"/>
        <v>123207.61638937495</v>
      </c>
      <c r="I21" s="11">
        <f t="shared" si="23"/>
        <v>126287.80679910931</v>
      </c>
      <c r="J21" s="11">
        <f t="shared" si="23"/>
        <v>129445.00196908704</v>
      </c>
      <c r="K21" s="11">
        <f t="shared" si="23"/>
        <v>132681.1270183142</v>
      </c>
      <c r="L21" s="11">
        <f t="shared" si="23"/>
        <v>135998.15519377205</v>
      </c>
      <c r="M21" s="11">
        <f t="shared" si="23"/>
        <v>139398.10907361633</v>
      </c>
      <c r="N21" s="11">
        <f t="shared" si="23"/>
        <v>142883.06180045672</v>
      </c>
      <c r="O21" s="11">
        <f t="shared" si="23"/>
        <v>146455.13834546812</v>
      </c>
      <c r="P21" s="11">
        <f t="shared" si="23"/>
        <v>150116.51680410482</v>
      </c>
      <c r="Q21" s="11">
        <f t="shared" si="23"/>
        <v>153869.42972420741</v>
      </c>
      <c r="R21" s="11">
        <f t="shared" si="23"/>
        <v>157716.16546731259</v>
      </c>
      <c r="S21" s="11">
        <f t="shared" si="23"/>
        <v>161659.06960399539</v>
      </c>
      <c r="T21" s="11">
        <f t="shared" ref="T21" si="24">S21*(1+($K2))</f>
        <v>165700.54634409526</v>
      </c>
      <c r="U21" s="11">
        <f t="shared" ref="U21" si="25">T21*(1+($K2))</f>
        <v>169843.06000269763</v>
      </c>
      <c r="V21" s="11">
        <f t="shared" ref="V21" si="26">U21*(1+($K2))</f>
        <v>174089.13650276506</v>
      </c>
      <c r="W21" s="11">
        <f t="shared" ref="W21" si="27">V21*(1+($K2))</f>
        <v>178441.36491533418</v>
      </c>
      <c r="X21" s="11">
        <f t="shared" ref="X21" si="28">W21*(1+($K2))</f>
        <v>182902.39903821753</v>
      </c>
      <c r="Y21" s="1">
        <f t="shared" ref="Y21:Y26" si="29">SUM(E21:S21)</f>
        <v>2051601.0537638187</v>
      </c>
    </row>
    <row r="22" spans="1:25" hidden="1">
      <c r="A22" s="1" t="s">
        <v>96</v>
      </c>
      <c r="E22" s="1">
        <f t="shared" si="22"/>
        <v>41353.199999999997</v>
      </c>
      <c r="F22" s="11">
        <f t="shared" ref="F22:S22" si="30">E22*(1+($K2))</f>
        <v>42387.029999999992</v>
      </c>
      <c r="G22" s="11">
        <f t="shared" si="30"/>
        <v>43446.705749999986</v>
      </c>
      <c r="H22" s="11">
        <f t="shared" si="30"/>
        <v>44532.873393749986</v>
      </c>
      <c r="I22" s="11">
        <f t="shared" si="30"/>
        <v>45646.19522859373</v>
      </c>
      <c r="J22" s="11">
        <f t="shared" si="30"/>
        <v>46787.350109308565</v>
      </c>
      <c r="K22" s="11">
        <f t="shared" si="30"/>
        <v>47957.033862041273</v>
      </c>
      <c r="L22" s="11">
        <f t="shared" si="30"/>
        <v>49155.959708592301</v>
      </c>
      <c r="M22" s="11">
        <f t="shared" si="30"/>
        <v>50384.858701307108</v>
      </c>
      <c r="N22" s="11">
        <f t="shared" si="30"/>
        <v>51644.480168839778</v>
      </c>
      <c r="O22" s="11">
        <f t="shared" si="30"/>
        <v>52935.592173060766</v>
      </c>
      <c r="P22" s="11">
        <f t="shared" si="30"/>
        <v>54258.98197738728</v>
      </c>
      <c r="Q22" s="11">
        <f t="shared" si="30"/>
        <v>55615.456526821959</v>
      </c>
      <c r="R22" s="11">
        <f t="shared" si="30"/>
        <v>57005.842939992501</v>
      </c>
      <c r="S22" s="11">
        <f t="shared" si="30"/>
        <v>58430.989013492312</v>
      </c>
      <c r="T22" s="11">
        <f t="shared" ref="T22" si="31">S22*(1+($K2))</f>
        <v>59891.763738829613</v>
      </c>
      <c r="U22" s="11">
        <f t="shared" ref="U22" si="32">T22*(1+($K2))</f>
        <v>61389.05783230035</v>
      </c>
      <c r="V22" s="11">
        <f t="shared" ref="V22" si="33">U22*(1+($K2))</f>
        <v>62923.784278107851</v>
      </c>
      <c r="W22" s="11">
        <f t="shared" ref="W22" si="34">V22*(1+($K2))</f>
        <v>64496.878885060542</v>
      </c>
      <c r="X22" s="11">
        <f t="shared" ref="X22" si="35">W22*(1+($K2))</f>
        <v>66109.300857187045</v>
      </c>
      <c r="Y22" s="1">
        <f t="shared" si="29"/>
        <v>741542.54955318768</v>
      </c>
    </row>
    <row r="23" spans="1:25" hidden="1">
      <c r="A23" s="1" t="s">
        <v>97</v>
      </c>
      <c r="E23" s="1">
        <f t="shared" si="22"/>
        <v>11027.52</v>
      </c>
      <c r="F23" s="11">
        <f t="shared" ref="F23:S23" si="36">E23*(1+($K2))</f>
        <v>11303.207999999999</v>
      </c>
      <c r="G23" s="11">
        <f t="shared" si="36"/>
        <v>11585.788199999997</v>
      </c>
      <c r="H23" s="11">
        <f t="shared" si="36"/>
        <v>11875.432904999996</v>
      </c>
      <c r="I23" s="11">
        <f t="shared" si="36"/>
        <v>12172.318727624996</v>
      </c>
      <c r="J23" s="11">
        <f t="shared" si="36"/>
        <v>12476.626695815619</v>
      </c>
      <c r="K23" s="11">
        <f t="shared" si="36"/>
        <v>12788.542363211009</v>
      </c>
      <c r="L23" s="11">
        <f t="shared" si="36"/>
        <v>13108.255922291282</v>
      </c>
      <c r="M23" s="11">
        <f t="shared" si="36"/>
        <v>13435.962320348563</v>
      </c>
      <c r="N23" s="11">
        <f t="shared" si="36"/>
        <v>13771.861378357275</v>
      </c>
      <c r="O23" s="11">
        <f t="shared" si="36"/>
        <v>14116.157912816205</v>
      </c>
      <c r="P23" s="11">
        <f t="shared" si="36"/>
        <v>14469.061860636608</v>
      </c>
      <c r="Q23" s="11">
        <f t="shared" si="36"/>
        <v>14830.788407152522</v>
      </c>
      <c r="R23" s="11">
        <f t="shared" si="36"/>
        <v>15201.558117331335</v>
      </c>
      <c r="S23" s="11">
        <f t="shared" si="36"/>
        <v>15581.597070264617</v>
      </c>
      <c r="T23" s="11">
        <f t="shared" ref="T23" si="37">S23*(1+($K2))</f>
        <v>15971.136997021231</v>
      </c>
      <c r="U23" s="11">
        <f t="shared" ref="U23" si="38">T23*(1+($K2))</f>
        <v>16370.41542194676</v>
      </c>
      <c r="V23" s="11">
        <f t="shared" ref="V23" si="39">U23*(1+($K2))</f>
        <v>16779.675807495427</v>
      </c>
      <c r="W23" s="11">
        <f t="shared" ref="W23" si="40">V23*(1+($K2))</f>
        <v>17199.167702682811</v>
      </c>
      <c r="X23" s="11">
        <f t="shared" ref="X23" si="41">W23*(1+($K2))</f>
        <v>17629.14689524988</v>
      </c>
      <c r="Y23" s="1">
        <f t="shared" si="29"/>
        <v>197744.67988085002</v>
      </c>
    </row>
    <row r="24" spans="1:25" hidden="1">
      <c r="A24" s="1" t="s">
        <v>31</v>
      </c>
      <c r="E24" s="1">
        <f t="shared" si="22"/>
        <v>20676.599999999999</v>
      </c>
      <c r="F24" s="11">
        <f t="shared" ref="F24:S24" si="42">E24*(1+($K2))</f>
        <v>21193.514999999996</v>
      </c>
      <c r="G24" s="11">
        <f t="shared" si="42"/>
        <v>21723.352874999993</v>
      </c>
      <c r="H24" s="11">
        <f t="shared" si="42"/>
        <v>22266.436696874993</v>
      </c>
      <c r="I24" s="11">
        <f t="shared" si="42"/>
        <v>22823.097614296865</v>
      </c>
      <c r="J24" s="11">
        <f t="shared" si="42"/>
        <v>23393.675054654283</v>
      </c>
      <c r="K24" s="11">
        <f t="shared" si="42"/>
        <v>23978.516931020637</v>
      </c>
      <c r="L24" s="11">
        <f t="shared" si="42"/>
        <v>24577.979854296151</v>
      </c>
      <c r="M24" s="11">
        <f t="shared" si="42"/>
        <v>25192.429350653554</v>
      </c>
      <c r="N24" s="11">
        <f t="shared" si="42"/>
        <v>25822.240084419889</v>
      </c>
      <c r="O24" s="11">
        <f t="shared" si="42"/>
        <v>26467.796086530383</v>
      </c>
      <c r="P24" s="11">
        <f t="shared" si="42"/>
        <v>27129.49098869364</v>
      </c>
      <c r="Q24" s="11">
        <f t="shared" si="42"/>
        <v>27807.72826341098</v>
      </c>
      <c r="R24" s="11">
        <f t="shared" si="42"/>
        <v>28502.92146999625</v>
      </c>
      <c r="S24" s="11">
        <f t="shared" si="42"/>
        <v>29215.494506746156</v>
      </c>
      <c r="T24" s="11">
        <f t="shared" ref="T24" si="43">S24*(1+($K2))</f>
        <v>29945.881869414807</v>
      </c>
      <c r="U24" s="11">
        <f t="shared" ref="U24" si="44">T24*(1+($K2))</f>
        <v>30694.528916150175</v>
      </c>
      <c r="V24" s="11">
        <f t="shared" ref="V24" si="45">U24*(1+($K2))</f>
        <v>31461.892139053925</v>
      </c>
      <c r="W24" s="11">
        <f t="shared" ref="W24" si="46">V24*(1+($K2))</f>
        <v>32248.439442530271</v>
      </c>
      <c r="X24" s="11">
        <f t="shared" ref="X24" si="47">W24*(1+($K2))</f>
        <v>33054.650428593523</v>
      </c>
      <c r="Y24" s="1">
        <f t="shared" si="29"/>
        <v>370771.27477659384</v>
      </c>
    </row>
    <row r="25" spans="1:25" hidden="1">
      <c r="A25" s="1" t="s">
        <v>98</v>
      </c>
      <c r="E25" s="1">
        <f>SUM(E88*Rent!C44)</f>
        <v>28800</v>
      </c>
      <c r="F25" s="11">
        <f>E25*(1+($K1))</f>
        <v>29376</v>
      </c>
      <c r="G25" s="11">
        <f t="shared" ref="G25:S25" si="48">F25*(1+($K1))</f>
        <v>29963.52</v>
      </c>
      <c r="H25" s="11">
        <f t="shared" si="48"/>
        <v>30562.790400000002</v>
      </c>
      <c r="I25" s="11">
        <f t="shared" si="48"/>
        <v>31174.046208000003</v>
      </c>
      <c r="J25" s="11">
        <f t="shared" si="48"/>
        <v>31797.527132160005</v>
      </c>
      <c r="K25" s="11">
        <f t="shared" si="48"/>
        <v>32433.477674803205</v>
      </c>
      <c r="L25" s="11">
        <f t="shared" si="48"/>
        <v>33082.147228299269</v>
      </c>
      <c r="M25" s="11">
        <f t="shared" si="48"/>
        <v>33743.790172865258</v>
      </c>
      <c r="N25" s="11">
        <f t="shared" si="48"/>
        <v>34418.665976322562</v>
      </c>
      <c r="O25" s="11">
        <f t="shared" si="48"/>
        <v>35107.039295849012</v>
      </c>
      <c r="P25" s="11">
        <f t="shared" si="48"/>
        <v>35809.18008176599</v>
      </c>
      <c r="Q25" s="11">
        <f t="shared" si="48"/>
        <v>36525.363683401309</v>
      </c>
      <c r="R25" s="11">
        <f t="shared" si="48"/>
        <v>37255.870957069339</v>
      </c>
      <c r="S25" s="11">
        <f t="shared" si="48"/>
        <v>38000.988376210727</v>
      </c>
      <c r="T25" s="11">
        <f t="shared" ref="T25:T26" si="49">S25*(1+($K1))</f>
        <v>38761.008143734944</v>
      </c>
      <c r="U25" s="11">
        <f t="shared" ref="U25:U26" si="50">T25*(1+($K1))</f>
        <v>39536.228306609642</v>
      </c>
      <c r="V25" s="11">
        <f t="shared" ref="V25:V26" si="51">U25*(1+($K1))</f>
        <v>40326.952872741836</v>
      </c>
      <c r="W25" s="11">
        <f t="shared" ref="W25:W26" si="52">V25*(1+($K1))</f>
        <v>41133.491930196673</v>
      </c>
      <c r="X25" s="11">
        <f t="shared" ref="X25:X26" si="53">W25*(1+($K1))</f>
        <v>41956.161768800608</v>
      </c>
      <c r="Y25" s="1">
        <f t="shared" si="29"/>
        <v>498050.4071867466</v>
      </c>
    </row>
    <row r="26" spans="1:25" hidden="1">
      <c r="A26" s="1" t="s">
        <v>345</v>
      </c>
      <c r="E26" s="2">
        <f t="shared" si="22"/>
        <v>5513.76</v>
      </c>
      <c r="F26" s="20">
        <f t="shared" ref="F26:S26" si="54">E26*(1+($K2))</f>
        <v>5651.6039999999994</v>
      </c>
      <c r="G26" s="20">
        <f t="shared" si="54"/>
        <v>5792.8940999999986</v>
      </c>
      <c r="H26" s="20">
        <f t="shared" si="54"/>
        <v>5937.716452499998</v>
      </c>
      <c r="I26" s="20">
        <f t="shared" si="54"/>
        <v>6086.1593638124978</v>
      </c>
      <c r="J26" s="20">
        <f t="shared" si="54"/>
        <v>6238.3133479078097</v>
      </c>
      <c r="K26" s="20">
        <f t="shared" si="54"/>
        <v>6394.2711816055044</v>
      </c>
      <c r="L26" s="20">
        <f t="shared" si="54"/>
        <v>6554.1279611456412</v>
      </c>
      <c r="M26" s="20">
        <f t="shared" si="54"/>
        <v>6717.9811601742813</v>
      </c>
      <c r="N26" s="20">
        <f t="shared" si="54"/>
        <v>6885.9306891786373</v>
      </c>
      <c r="O26" s="20">
        <f t="shared" si="54"/>
        <v>7058.0789564081024</v>
      </c>
      <c r="P26" s="20">
        <f t="shared" si="54"/>
        <v>7234.5309303183039</v>
      </c>
      <c r="Q26" s="20">
        <f t="shared" si="54"/>
        <v>7415.3942035762611</v>
      </c>
      <c r="R26" s="20">
        <f t="shared" si="54"/>
        <v>7600.7790586656674</v>
      </c>
      <c r="S26" s="20">
        <f t="shared" si="54"/>
        <v>7790.7985351323086</v>
      </c>
      <c r="T26" s="20">
        <f t="shared" si="49"/>
        <v>7985.5684985106154</v>
      </c>
      <c r="U26" s="20">
        <f t="shared" si="50"/>
        <v>8185.20771097338</v>
      </c>
      <c r="V26" s="20">
        <f t="shared" si="51"/>
        <v>8389.8379037477134</v>
      </c>
      <c r="W26" s="20">
        <f t="shared" si="52"/>
        <v>8599.5838513414055</v>
      </c>
      <c r="X26" s="20">
        <f t="shared" si="53"/>
        <v>8814.5734476249399</v>
      </c>
      <c r="Y26" s="2">
        <f t="shared" si="29"/>
        <v>98872.339940425009</v>
      </c>
    </row>
    <row r="27" spans="1:25" hidden="1"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5">
      <c r="A28" s="1" t="s">
        <v>803</v>
      </c>
      <c r="E28" s="1" t="e">
        <f>SUM('Proforma (Application)'!D23:D25)+'Proforma (Application)'!#REF!</f>
        <v>#REF!</v>
      </c>
      <c r="F28" s="1">
        <f t="shared" ref="F28:R28" si="55">SUM(F20:F24)+F26</f>
        <v>282580.19999999995</v>
      </c>
      <c r="G28" s="1">
        <f t="shared" si="55"/>
        <v>289644.7049999999</v>
      </c>
      <c r="H28" s="1">
        <f t="shared" si="55"/>
        <v>296885.82262499991</v>
      </c>
      <c r="I28" s="1">
        <f t="shared" si="55"/>
        <v>304307.96819062484</v>
      </c>
      <c r="J28" s="1">
        <f t="shared" si="55"/>
        <v>311915.66739539045</v>
      </c>
      <c r="K28" s="1">
        <f t="shared" si="55"/>
        <v>319713.55908027518</v>
      </c>
      <c r="L28" s="1">
        <f t="shared" si="55"/>
        <v>327706.39805728209</v>
      </c>
      <c r="M28" s="1">
        <f t="shared" si="55"/>
        <v>335899.05800871406</v>
      </c>
      <c r="N28" s="1">
        <f t="shared" si="55"/>
        <v>344296.53445893188</v>
      </c>
      <c r="O28" s="1">
        <f t="shared" si="55"/>
        <v>352903.94782040507</v>
      </c>
      <c r="P28" s="1">
        <f t="shared" si="55"/>
        <v>361726.54651591525</v>
      </c>
      <c r="Q28" s="1">
        <f t="shared" si="55"/>
        <v>370769.71017881302</v>
      </c>
      <c r="R28" s="1">
        <f t="shared" si="55"/>
        <v>380038.95293328341</v>
      </c>
      <c r="S28" s="1">
        <f>SUM(S20:S24)+S26</f>
        <v>389539.92675661546</v>
      </c>
      <c r="T28" s="1">
        <f t="shared" ref="T28:X28" si="56">SUM(T20:T24)+T26</f>
        <v>399278.42492553074</v>
      </c>
      <c r="U28" s="1">
        <f t="shared" si="56"/>
        <v>409260.38554866903</v>
      </c>
      <c r="V28" s="1">
        <f t="shared" si="56"/>
        <v>419491.89518738561</v>
      </c>
      <c r="W28" s="1">
        <f t="shared" si="56"/>
        <v>429979.19256707025</v>
      </c>
      <c r="X28" s="1">
        <f t="shared" si="56"/>
        <v>440728.67238124699</v>
      </c>
      <c r="Y28" s="1" t="e">
        <f t="shared" ref="Y28:Y29" si="57">SUM(E28:S28)</f>
        <v>#REF!</v>
      </c>
    </row>
    <row r="29" spans="1:25">
      <c r="A29" s="1" t="s">
        <v>801</v>
      </c>
      <c r="E29" s="2" t="e">
        <f>+'Proforma (Application)'!#REF!</f>
        <v>#REF!</v>
      </c>
      <c r="F29" s="2">
        <f t="shared" ref="F29:R29" si="58">SUM(F25)</f>
        <v>29376</v>
      </c>
      <c r="G29" s="2">
        <f t="shared" si="58"/>
        <v>29963.52</v>
      </c>
      <c r="H29" s="2">
        <f t="shared" si="58"/>
        <v>30562.790400000002</v>
      </c>
      <c r="I29" s="2">
        <f t="shared" si="58"/>
        <v>31174.046208000003</v>
      </c>
      <c r="J29" s="2">
        <f t="shared" si="58"/>
        <v>31797.527132160005</v>
      </c>
      <c r="K29" s="2">
        <f t="shared" si="58"/>
        <v>32433.477674803205</v>
      </c>
      <c r="L29" s="2">
        <f t="shared" si="58"/>
        <v>33082.147228299269</v>
      </c>
      <c r="M29" s="2">
        <f t="shared" si="58"/>
        <v>33743.790172865258</v>
      </c>
      <c r="N29" s="2">
        <f t="shared" si="58"/>
        <v>34418.665976322562</v>
      </c>
      <c r="O29" s="2">
        <f t="shared" si="58"/>
        <v>35107.039295849012</v>
      </c>
      <c r="P29" s="2">
        <f t="shared" si="58"/>
        <v>35809.18008176599</v>
      </c>
      <c r="Q29" s="2">
        <f t="shared" si="58"/>
        <v>36525.363683401309</v>
      </c>
      <c r="R29" s="2">
        <f t="shared" si="58"/>
        <v>37255.870957069339</v>
      </c>
      <c r="S29" s="2">
        <f>SUM(S25)</f>
        <v>38000.988376210727</v>
      </c>
      <c r="T29" s="2">
        <f t="shared" ref="T29:X29" si="59">SUM(T25)</f>
        <v>38761.008143734944</v>
      </c>
      <c r="U29" s="2">
        <f t="shared" si="59"/>
        <v>39536.228306609642</v>
      </c>
      <c r="V29" s="2">
        <f t="shared" si="59"/>
        <v>40326.952872741836</v>
      </c>
      <c r="W29" s="2">
        <f t="shared" si="59"/>
        <v>41133.491930196673</v>
      </c>
      <c r="X29" s="2">
        <f t="shared" si="59"/>
        <v>41956.161768800608</v>
      </c>
      <c r="Y29" s="2" t="e">
        <f t="shared" si="57"/>
        <v>#REF!</v>
      </c>
    </row>
    <row r="30" spans="1:25">
      <c r="A30" s="19" t="s">
        <v>802</v>
      </c>
      <c r="E30" s="1">
        <f>SUM(E20:E26)</f>
        <v>304488</v>
      </c>
      <c r="F30" s="1">
        <f t="shared" ref="F30:R30" si="60">SUM(F20:F26)</f>
        <v>311956.19999999995</v>
      </c>
      <c r="G30" s="1">
        <f t="shared" si="60"/>
        <v>319608.22499999992</v>
      </c>
      <c r="H30" s="1">
        <f t="shared" si="60"/>
        <v>327448.61302499991</v>
      </c>
      <c r="I30" s="1">
        <f t="shared" si="60"/>
        <v>335482.01439862483</v>
      </c>
      <c r="J30" s="1">
        <f t="shared" si="60"/>
        <v>343713.19452755048</v>
      </c>
      <c r="K30" s="1">
        <f t="shared" si="60"/>
        <v>352147.03675507841</v>
      </c>
      <c r="L30" s="1">
        <f t="shared" si="60"/>
        <v>360788.54528558138</v>
      </c>
      <c r="M30" s="1">
        <f t="shared" si="60"/>
        <v>369642.84818157932</v>
      </c>
      <c r="N30" s="1">
        <f t="shared" si="60"/>
        <v>378715.20043525443</v>
      </c>
      <c r="O30" s="1">
        <f t="shared" si="60"/>
        <v>388010.98711625405</v>
      </c>
      <c r="P30" s="1">
        <f t="shared" si="60"/>
        <v>397535.72659768123</v>
      </c>
      <c r="Q30" s="1">
        <f t="shared" si="60"/>
        <v>407295.07386221434</v>
      </c>
      <c r="R30" s="1">
        <f t="shared" si="60"/>
        <v>417294.82389035274</v>
      </c>
      <c r="S30" s="1">
        <f>SUM(S20:S26)</f>
        <v>427540.91513282619</v>
      </c>
      <c r="T30" s="1">
        <f t="shared" ref="T30:X30" si="61">SUM(T20:T26)</f>
        <v>438039.43306926568</v>
      </c>
      <c r="U30" s="1">
        <f t="shared" si="61"/>
        <v>448796.61385527864</v>
      </c>
      <c r="V30" s="1">
        <f t="shared" si="61"/>
        <v>459818.84806012746</v>
      </c>
      <c r="W30" s="1">
        <f t="shared" si="61"/>
        <v>471112.68449726689</v>
      </c>
      <c r="X30" s="1">
        <f t="shared" si="61"/>
        <v>482684.83415004762</v>
      </c>
      <c r="Y30" s="1">
        <f>SUM(E30:S30)</f>
        <v>5441667.404207997</v>
      </c>
    </row>
    <row r="31" spans="1:25"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19" t="s">
        <v>101</v>
      </c>
      <c r="E32" s="1">
        <f t="shared" ref="E32:S32" si="62">E16-E30</f>
        <v>1511520.6</v>
      </c>
      <c r="F32" s="1">
        <f t="shared" si="62"/>
        <v>1676859.9552</v>
      </c>
      <c r="G32" s="1">
        <f t="shared" si="62"/>
        <v>1708984.2533040002</v>
      </c>
      <c r="H32" s="1">
        <f t="shared" si="62"/>
        <v>1741715.7148450802</v>
      </c>
      <c r="I32" s="1">
        <f t="shared" si="62"/>
        <v>1775065.6000288564</v>
      </c>
      <c r="J32" s="1">
        <f t="shared" si="62"/>
        <v>1809045.372188481</v>
      </c>
      <c r="K32" s="1">
        <f t="shared" si="62"/>
        <v>1843666.7012952734</v>
      </c>
      <c r="L32" s="1">
        <f t="shared" si="62"/>
        <v>1878941.4675257781</v>
      </c>
      <c r="M32" s="1">
        <f t="shared" si="62"/>
        <v>1914881.7648860072</v>
      </c>
      <c r="N32" s="1">
        <f t="shared" si="62"/>
        <v>1951499.9048936835</v>
      </c>
      <c r="O32" s="1">
        <f t="shared" si="62"/>
        <v>1988808.4203192629</v>
      </c>
      <c r="P32" s="1">
        <f t="shared" si="62"/>
        <v>2026820.0689865462</v>
      </c>
      <c r="Q32" s="1">
        <f t="shared" si="62"/>
        <v>2065547.8376336975</v>
      </c>
      <c r="R32" s="1">
        <f t="shared" si="62"/>
        <v>2105004.9458354781</v>
      </c>
      <c r="S32" s="1">
        <f t="shared" si="62"/>
        <v>2145204.8499875208</v>
      </c>
      <c r="T32" s="1">
        <f t="shared" ref="T32:X32" si="63">T16-T30</f>
        <v>2186161.2473534886</v>
      </c>
      <c r="U32" s="1">
        <f t="shared" si="63"/>
        <v>2227888.0801759306</v>
      </c>
      <c r="V32" s="1">
        <f t="shared" si="63"/>
        <v>2270399.5398517055</v>
      </c>
      <c r="W32" s="1">
        <f t="shared" si="63"/>
        <v>2313710.0711728032</v>
      </c>
      <c r="X32" s="1">
        <f t="shared" si="63"/>
        <v>2357834.3766334243</v>
      </c>
      <c r="Y32" s="1">
        <f>SUM(E32:S32)</f>
        <v>28143567.456929669</v>
      </c>
    </row>
    <row r="33" spans="1:25">
      <c r="A33" s="19"/>
    </row>
    <row r="34" spans="1:25">
      <c r="A34" s="10" t="s">
        <v>103</v>
      </c>
      <c r="E34" s="67" t="e">
        <f>+#REF!</f>
        <v>#REF!</v>
      </c>
      <c r="F34" s="1" t="e">
        <f>+E34</f>
        <v>#REF!</v>
      </c>
      <c r="G34" s="1" t="e">
        <f t="shared" ref="G34:S35" si="64">+F34</f>
        <v>#REF!</v>
      </c>
      <c r="H34" s="1" t="e">
        <f t="shared" si="64"/>
        <v>#REF!</v>
      </c>
      <c r="I34" s="1" t="e">
        <f t="shared" si="64"/>
        <v>#REF!</v>
      </c>
      <c r="J34" s="1" t="e">
        <f t="shared" si="64"/>
        <v>#REF!</v>
      </c>
      <c r="K34" s="1" t="e">
        <f t="shared" si="64"/>
        <v>#REF!</v>
      </c>
      <c r="L34" s="1" t="e">
        <f t="shared" si="64"/>
        <v>#REF!</v>
      </c>
      <c r="M34" s="1" t="e">
        <f t="shared" si="64"/>
        <v>#REF!</v>
      </c>
      <c r="N34" s="1" t="e">
        <f t="shared" si="64"/>
        <v>#REF!</v>
      </c>
      <c r="O34" s="1" t="e">
        <f t="shared" si="64"/>
        <v>#REF!</v>
      </c>
      <c r="P34" s="1" t="e">
        <f t="shared" si="64"/>
        <v>#REF!</v>
      </c>
      <c r="Q34" s="1" t="e">
        <f t="shared" si="64"/>
        <v>#REF!</v>
      </c>
      <c r="R34" s="1" t="e">
        <f t="shared" si="64"/>
        <v>#REF!</v>
      </c>
      <c r="S34" s="1" t="e">
        <f t="shared" si="64"/>
        <v>#REF!</v>
      </c>
      <c r="T34" s="1" t="e">
        <f t="shared" ref="T34:T35" si="65">+S34</f>
        <v>#REF!</v>
      </c>
      <c r="U34" s="1" t="e">
        <f t="shared" ref="U34:U35" si="66">+T34</f>
        <v>#REF!</v>
      </c>
      <c r="V34" s="1" t="e">
        <f t="shared" ref="V34:V35" si="67">+U34</f>
        <v>#REF!</v>
      </c>
      <c r="W34" s="1" t="e">
        <f t="shared" ref="W34:W35" si="68">+V34</f>
        <v>#REF!</v>
      </c>
      <c r="X34" s="1" t="e">
        <f t="shared" ref="X34:X35" si="69">+W34</f>
        <v>#REF!</v>
      </c>
      <c r="Y34" s="1" t="e">
        <f>SUM(E34:S34)</f>
        <v>#REF!</v>
      </c>
    </row>
    <row r="35" spans="1:25" ht="13.5" customHeight="1">
      <c r="A35" s="10" t="s">
        <v>102</v>
      </c>
      <c r="E35" s="67">
        <f>+'Interest Calculation'!G6</f>
        <v>0</v>
      </c>
      <c r="F35" s="1">
        <f>+E35</f>
        <v>0</v>
      </c>
      <c r="G35" s="1">
        <f t="shared" si="64"/>
        <v>0</v>
      </c>
      <c r="H35" s="1">
        <f t="shared" si="64"/>
        <v>0</v>
      </c>
      <c r="I35" s="1">
        <f t="shared" si="64"/>
        <v>0</v>
      </c>
      <c r="J35" s="1">
        <f t="shared" si="64"/>
        <v>0</v>
      </c>
      <c r="K35" s="1">
        <f t="shared" si="64"/>
        <v>0</v>
      </c>
      <c r="L35" s="1">
        <f t="shared" si="64"/>
        <v>0</v>
      </c>
      <c r="M35" s="1">
        <f t="shared" si="64"/>
        <v>0</v>
      </c>
      <c r="N35" s="1">
        <f t="shared" si="64"/>
        <v>0</v>
      </c>
      <c r="O35" s="1">
        <f t="shared" si="64"/>
        <v>0</v>
      </c>
      <c r="P35" s="1">
        <f t="shared" si="64"/>
        <v>0</v>
      </c>
      <c r="Q35" s="1">
        <f t="shared" si="64"/>
        <v>0</v>
      </c>
      <c r="R35" s="1">
        <f t="shared" si="64"/>
        <v>0</v>
      </c>
      <c r="S35" s="1">
        <f t="shared" si="64"/>
        <v>0</v>
      </c>
      <c r="T35" s="1">
        <f t="shared" si="65"/>
        <v>0</v>
      </c>
      <c r="U35" s="1">
        <f t="shared" si="66"/>
        <v>0</v>
      </c>
      <c r="V35" s="1">
        <f t="shared" si="67"/>
        <v>0</v>
      </c>
      <c r="W35" s="1">
        <f t="shared" si="68"/>
        <v>0</v>
      </c>
      <c r="X35" s="1">
        <f t="shared" si="69"/>
        <v>0</v>
      </c>
      <c r="Y35" s="1">
        <f>SUM(E35:S35)</f>
        <v>0</v>
      </c>
    </row>
    <row r="36" spans="1:25">
      <c r="A36" s="1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19" t="s">
        <v>104</v>
      </c>
      <c r="E37" s="1" t="e">
        <f t="shared" ref="E37:S37" si="70">E32-E34</f>
        <v>#REF!</v>
      </c>
      <c r="F37" s="1" t="e">
        <f t="shared" si="70"/>
        <v>#REF!</v>
      </c>
      <c r="G37" s="1" t="e">
        <f t="shared" si="70"/>
        <v>#REF!</v>
      </c>
      <c r="H37" s="1" t="e">
        <f t="shared" si="70"/>
        <v>#REF!</v>
      </c>
      <c r="I37" s="1" t="e">
        <f t="shared" si="70"/>
        <v>#REF!</v>
      </c>
      <c r="J37" s="1" t="e">
        <f t="shared" si="70"/>
        <v>#REF!</v>
      </c>
      <c r="K37" s="1" t="e">
        <f t="shared" si="70"/>
        <v>#REF!</v>
      </c>
      <c r="L37" s="1" t="e">
        <f t="shared" si="70"/>
        <v>#REF!</v>
      </c>
      <c r="M37" s="1" t="e">
        <f t="shared" si="70"/>
        <v>#REF!</v>
      </c>
      <c r="N37" s="1" t="e">
        <f t="shared" si="70"/>
        <v>#REF!</v>
      </c>
      <c r="O37" s="1" t="e">
        <f t="shared" si="70"/>
        <v>#REF!</v>
      </c>
      <c r="P37" s="1" t="e">
        <f t="shared" si="70"/>
        <v>#REF!</v>
      </c>
      <c r="Q37" s="1" t="e">
        <f t="shared" si="70"/>
        <v>#REF!</v>
      </c>
      <c r="R37" s="1" t="e">
        <f t="shared" si="70"/>
        <v>#REF!</v>
      </c>
      <c r="S37" s="1" t="e">
        <f t="shared" si="70"/>
        <v>#REF!</v>
      </c>
      <c r="T37" s="1" t="e">
        <f t="shared" ref="T37:X37" si="71">T32-T34</f>
        <v>#REF!</v>
      </c>
      <c r="U37" s="1" t="e">
        <f t="shared" si="71"/>
        <v>#REF!</v>
      </c>
      <c r="V37" s="1" t="e">
        <f t="shared" si="71"/>
        <v>#REF!</v>
      </c>
      <c r="W37" s="1" t="e">
        <f t="shared" si="71"/>
        <v>#REF!</v>
      </c>
      <c r="X37" s="1" t="e">
        <f t="shared" si="71"/>
        <v>#REF!</v>
      </c>
      <c r="Y37" s="1" t="e">
        <f>Y32-Y34</f>
        <v>#REF!</v>
      </c>
    </row>
    <row r="39" spans="1:25" ht="11.25" hidden="1" customHeight="1">
      <c r="A39" s="1" t="s">
        <v>105</v>
      </c>
      <c r="E39" s="217" t="e">
        <f>SUM(E32/E34)</f>
        <v>#REF!</v>
      </c>
      <c r="F39" s="13" t="e">
        <f t="shared" ref="F39:S39" si="72">SUM(F32/F34)</f>
        <v>#REF!</v>
      </c>
      <c r="G39" s="13" t="e">
        <f t="shared" si="72"/>
        <v>#REF!</v>
      </c>
      <c r="H39" s="13" t="e">
        <f t="shared" si="72"/>
        <v>#REF!</v>
      </c>
      <c r="I39" s="13" t="e">
        <f t="shared" si="72"/>
        <v>#REF!</v>
      </c>
      <c r="J39" s="13" t="e">
        <f t="shared" si="72"/>
        <v>#REF!</v>
      </c>
      <c r="K39" s="13" t="e">
        <f t="shared" si="72"/>
        <v>#REF!</v>
      </c>
      <c r="L39" s="13" t="e">
        <f t="shared" si="72"/>
        <v>#REF!</v>
      </c>
      <c r="M39" s="13" t="e">
        <f t="shared" si="72"/>
        <v>#REF!</v>
      </c>
      <c r="N39" s="13" t="e">
        <f t="shared" si="72"/>
        <v>#REF!</v>
      </c>
      <c r="O39" s="13" t="e">
        <f t="shared" si="72"/>
        <v>#REF!</v>
      </c>
      <c r="P39" s="13" t="e">
        <f t="shared" si="72"/>
        <v>#REF!</v>
      </c>
      <c r="Q39" s="13" t="e">
        <f t="shared" si="72"/>
        <v>#REF!</v>
      </c>
      <c r="R39" s="13" t="e">
        <f t="shared" si="72"/>
        <v>#REF!</v>
      </c>
      <c r="S39" s="217" t="e">
        <f t="shared" si="72"/>
        <v>#REF!</v>
      </c>
      <c r="T39" s="217" t="e">
        <f t="shared" ref="T39:X39" si="73">SUM(T32/T34)</f>
        <v>#REF!</v>
      </c>
      <c r="U39" s="217" t="e">
        <f t="shared" si="73"/>
        <v>#REF!</v>
      </c>
      <c r="V39" s="217" t="e">
        <f t="shared" si="73"/>
        <v>#REF!</v>
      </c>
      <c r="W39" s="217" t="e">
        <f t="shared" si="73"/>
        <v>#REF!</v>
      </c>
      <c r="X39" s="217" t="e">
        <f t="shared" si="73"/>
        <v>#REF!</v>
      </c>
    </row>
    <row r="40" spans="1:25" ht="11.25" hidden="1" customHeight="1">
      <c r="A40" s="1" t="s">
        <v>106</v>
      </c>
      <c r="E40" s="13" t="e">
        <f>SUM(E32/(E34+E35))</f>
        <v>#REF!</v>
      </c>
      <c r="F40" s="13" t="e">
        <f t="shared" ref="F40:S40" si="74">SUM(F32/(F34+F35))</f>
        <v>#REF!</v>
      </c>
      <c r="G40" s="13" t="e">
        <f t="shared" si="74"/>
        <v>#REF!</v>
      </c>
      <c r="H40" s="13" t="e">
        <f t="shared" si="74"/>
        <v>#REF!</v>
      </c>
      <c r="I40" s="13" t="e">
        <f t="shared" si="74"/>
        <v>#REF!</v>
      </c>
      <c r="J40" s="13" t="e">
        <f t="shared" si="74"/>
        <v>#REF!</v>
      </c>
      <c r="K40" s="13" t="e">
        <f t="shared" si="74"/>
        <v>#REF!</v>
      </c>
      <c r="L40" s="13" t="e">
        <f t="shared" si="74"/>
        <v>#REF!</v>
      </c>
      <c r="M40" s="13" t="e">
        <f t="shared" si="74"/>
        <v>#REF!</v>
      </c>
      <c r="N40" s="13" t="e">
        <f t="shared" si="74"/>
        <v>#REF!</v>
      </c>
      <c r="O40" s="13" t="e">
        <f t="shared" si="74"/>
        <v>#REF!</v>
      </c>
      <c r="P40" s="13" t="e">
        <f t="shared" si="74"/>
        <v>#REF!</v>
      </c>
      <c r="Q40" s="13" t="e">
        <f t="shared" si="74"/>
        <v>#REF!</v>
      </c>
      <c r="R40" s="13" t="e">
        <f t="shared" si="74"/>
        <v>#REF!</v>
      </c>
      <c r="S40" s="13" t="e">
        <f t="shared" si="74"/>
        <v>#REF!</v>
      </c>
      <c r="T40" s="13" t="e">
        <f t="shared" ref="T40:X40" si="75">SUM(T32/(T34+T35))</f>
        <v>#REF!</v>
      </c>
      <c r="U40" s="13" t="e">
        <f t="shared" si="75"/>
        <v>#REF!</v>
      </c>
      <c r="V40" s="13" t="e">
        <f t="shared" si="75"/>
        <v>#REF!</v>
      </c>
      <c r="W40" s="13" t="e">
        <f t="shared" si="75"/>
        <v>#REF!</v>
      </c>
      <c r="X40" s="13" t="e">
        <f t="shared" si="75"/>
        <v>#REF!</v>
      </c>
    </row>
    <row r="41" spans="1:25" hidden="1"/>
    <row r="42" spans="1:25" hidden="1">
      <c r="A42" s="1" t="s">
        <v>406</v>
      </c>
      <c r="E42" s="1" t="e">
        <f>SUM(E37:N37)</f>
        <v>#REF!</v>
      </c>
    </row>
    <row r="43" spans="1:25" hidden="1">
      <c r="A43" s="1" t="s">
        <v>407</v>
      </c>
      <c r="E43" s="1" t="e">
        <f>SUM(E37:S37)</f>
        <v>#REF!</v>
      </c>
    </row>
    <row r="44" spans="1:25" hidden="1">
      <c r="M44" s="1" t="e">
        <f>+M34*1.15</f>
        <v>#REF!</v>
      </c>
      <c r="N44" s="1" t="e">
        <f t="shared" ref="N44:S44" si="76">+N34*1.15</f>
        <v>#REF!</v>
      </c>
      <c r="O44" s="1" t="e">
        <f t="shared" si="76"/>
        <v>#REF!</v>
      </c>
      <c r="P44" s="1" t="e">
        <f t="shared" si="76"/>
        <v>#REF!</v>
      </c>
      <c r="Q44" s="1" t="e">
        <f t="shared" si="76"/>
        <v>#REF!</v>
      </c>
      <c r="R44" s="1" t="e">
        <f t="shared" si="76"/>
        <v>#REF!</v>
      </c>
      <c r="S44" s="1" t="e">
        <f t="shared" si="76"/>
        <v>#REF!</v>
      </c>
      <c r="T44" s="1" t="e">
        <f t="shared" ref="T44:X44" si="77">+T34*1.15</f>
        <v>#REF!</v>
      </c>
      <c r="U44" s="1" t="e">
        <f t="shared" si="77"/>
        <v>#REF!</v>
      </c>
      <c r="V44" s="1" t="e">
        <f t="shared" si="77"/>
        <v>#REF!</v>
      </c>
      <c r="W44" s="1" t="e">
        <f t="shared" si="77"/>
        <v>#REF!</v>
      </c>
      <c r="X44" s="1" t="e">
        <f t="shared" si="77"/>
        <v>#REF!</v>
      </c>
    </row>
    <row r="45" spans="1:25" hidden="1">
      <c r="N45" s="1" t="e">
        <f t="shared" ref="N45:S45" si="78">+N32-N44</f>
        <v>#REF!</v>
      </c>
      <c r="O45" s="1" t="e">
        <f t="shared" si="78"/>
        <v>#REF!</v>
      </c>
      <c r="P45" s="1" t="e">
        <f t="shared" si="78"/>
        <v>#REF!</v>
      </c>
      <c r="Q45" s="1" t="e">
        <f t="shared" si="78"/>
        <v>#REF!</v>
      </c>
      <c r="R45" s="1" t="e">
        <f t="shared" si="78"/>
        <v>#REF!</v>
      </c>
      <c r="S45" s="1" t="e">
        <f t="shared" si="78"/>
        <v>#REF!</v>
      </c>
      <c r="T45" s="1" t="e">
        <f t="shared" ref="T45:X45" si="79">+T32-T44</f>
        <v>#REF!</v>
      </c>
      <c r="U45" s="1" t="e">
        <f t="shared" si="79"/>
        <v>#REF!</v>
      </c>
      <c r="V45" s="1" t="e">
        <f t="shared" si="79"/>
        <v>#REF!</v>
      </c>
      <c r="W45" s="1" t="e">
        <f t="shared" si="79"/>
        <v>#REF!</v>
      </c>
      <c r="X45" s="1" t="e">
        <f t="shared" si="79"/>
        <v>#REF!</v>
      </c>
    </row>
    <row r="46" spans="1:25">
      <c r="A46" s="1" t="s">
        <v>806</v>
      </c>
      <c r="E46" s="1">
        <v>5000</v>
      </c>
      <c r="F46" s="11">
        <f>E46*(1+($K2))</f>
        <v>5125</v>
      </c>
      <c r="G46" s="11">
        <f t="shared" ref="G46:S46" si="80">F46*(1+($K2))</f>
        <v>5253.1249999999991</v>
      </c>
      <c r="H46" s="11">
        <f t="shared" si="80"/>
        <v>5384.4531249999982</v>
      </c>
      <c r="I46" s="11">
        <f t="shared" si="80"/>
        <v>5519.0644531249973</v>
      </c>
      <c r="J46" s="11">
        <f t="shared" si="80"/>
        <v>5657.0410644531221</v>
      </c>
      <c r="K46" s="11">
        <f t="shared" si="80"/>
        <v>5798.46709106445</v>
      </c>
      <c r="L46" s="11">
        <f t="shared" si="80"/>
        <v>5943.4287683410603</v>
      </c>
      <c r="M46" s="11">
        <f t="shared" si="80"/>
        <v>6092.0144875495862</v>
      </c>
      <c r="N46" s="11">
        <f t="shared" si="80"/>
        <v>6244.3148497383254</v>
      </c>
      <c r="O46" s="11">
        <f t="shared" si="80"/>
        <v>6400.4227209817827</v>
      </c>
      <c r="P46" s="11">
        <f>O46*(1+($K2))</f>
        <v>6560.433289006327</v>
      </c>
      <c r="Q46" s="11">
        <f t="shared" si="80"/>
        <v>6724.4441212314841</v>
      </c>
      <c r="R46" s="11">
        <f t="shared" si="80"/>
        <v>6892.5552242622707</v>
      </c>
      <c r="S46" s="11">
        <f t="shared" si="80"/>
        <v>7064.869104868827</v>
      </c>
      <c r="T46" s="11">
        <f t="shared" ref="T46" si="81">S46*(1+($K2))</f>
        <v>7241.4908324905473</v>
      </c>
      <c r="U46" s="11">
        <f t="shared" ref="U46" si="82">T46*(1+($K2))</f>
        <v>7422.5281033028105</v>
      </c>
      <c r="V46" s="11">
        <f t="shared" ref="V46" si="83">U46*(1+($K2))</f>
        <v>7608.0913058853803</v>
      </c>
      <c r="W46" s="11">
        <f t="shared" ref="W46" si="84">V46*(1+($K2))</f>
        <v>7798.2935885325141</v>
      </c>
      <c r="X46" s="11">
        <f t="shared" ref="X46" si="85">W46*(1+($K2))</f>
        <v>7993.2509282458259</v>
      </c>
      <c r="Y46" s="1">
        <f>SUM(E46:S46)</f>
        <v>89659.633299622219</v>
      </c>
    </row>
    <row r="48" spans="1:25">
      <c r="A48" s="1" t="s">
        <v>807</v>
      </c>
      <c r="E48" s="1" t="e">
        <f>SUM(E37-E46)</f>
        <v>#REF!</v>
      </c>
      <c r="F48" s="1" t="e">
        <f t="shared" ref="F48:Y48" si="86">SUM(F37-F46)</f>
        <v>#REF!</v>
      </c>
      <c r="G48" s="1" t="e">
        <f t="shared" si="86"/>
        <v>#REF!</v>
      </c>
      <c r="H48" s="1" t="e">
        <f t="shared" si="86"/>
        <v>#REF!</v>
      </c>
      <c r="I48" s="1" t="e">
        <f t="shared" si="86"/>
        <v>#REF!</v>
      </c>
      <c r="J48" s="1" t="e">
        <f t="shared" si="86"/>
        <v>#REF!</v>
      </c>
      <c r="K48" s="1" t="e">
        <f t="shared" si="86"/>
        <v>#REF!</v>
      </c>
      <c r="L48" s="1" t="e">
        <f t="shared" si="86"/>
        <v>#REF!</v>
      </c>
      <c r="M48" s="1" t="e">
        <f t="shared" si="86"/>
        <v>#REF!</v>
      </c>
      <c r="N48" s="1" t="e">
        <f t="shared" si="86"/>
        <v>#REF!</v>
      </c>
      <c r="O48" s="1" t="e">
        <f t="shared" si="86"/>
        <v>#REF!</v>
      </c>
      <c r="P48" s="1" t="e">
        <f t="shared" si="86"/>
        <v>#REF!</v>
      </c>
      <c r="Q48" s="1" t="e">
        <f t="shared" si="86"/>
        <v>#REF!</v>
      </c>
      <c r="R48" s="1" t="e">
        <f t="shared" si="86"/>
        <v>#REF!</v>
      </c>
      <c r="S48" s="1" t="e">
        <f t="shared" si="86"/>
        <v>#REF!</v>
      </c>
      <c r="T48" s="1" t="e">
        <f t="shared" ref="T48:X48" si="87">SUM(T37-T46)</f>
        <v>#REF!</v>
      </c>
      <c r="U48" s="1" t="e">
        <f t="shared" si="87"/>
        <v>#REF!</v>
      </c>
      <c r="V48" s="1" t="e">
        <f t="shared" si="87"/>
        <v>#REF!</v>
      </c>
      <c r="W48" s="1" t="e">
        <f t="shared" si="87"/>
        <v>#REF!</v>
      </c>
      <c r="X48" s="1" t="e">
        <f t="shared" si="87"/>
        <v>#REF!</v>
      </c>
      <c r="Y48" s="1" t="e">
        <f t="shared" si="86"/>
        <v>#REF!</v>
      </c>
    </row>
    <row r="50" spans="1:25">
      <c r="A50" s="1" t="s">
        <v>809</v>
      </c>
      <c r="B50" s="1" t="s">
        <v>810</v>
      </c>
      <c r="D50" s="9">
        <v>1</v>
      </c>
      <c r="E50" s="1" t="e">
        <f>+E48</f>
        <v>#REF!</v>
      </c>
      <c r="F50" s="1" t="e">
        <f t="shared" ref="F50:G50" si="88">+F48</f>
        <v>#REF!</v>
      </c>
      <c r="G50" s="1" t="e">
        <f t="shared" si="88"/>
        <v>#REF!</v>
      </c>
      <c r="H50" s="1" t="e">
        <f>SUM('Sources &amp; Uses'!V8+'Sources &amp; Uses'!#REF!+'Sources &amp; Uses'!#REF!)-'Residual Calculation'!G50-'Residual Calculation'!F50-'Residual Calculation'!E50</f>
        <v>#REF!</v>
      </c>
    </row>
    <row r="51" spans="1:25">
      <c r="D51" s="9"/>
    </row>
    <row r="52" spans="1:25">
      <c r="A52" s="1" t="s">
        <v>813</v>
      </c>
      <c r="D52" s="9"/>
      <c r="E52" s="1" t="e">
        <f>SUM(E48-E50)</f>
        <v>#REF!</v>
      </c>
      <c r="F52" s="1" t="e">
        <f t="shared" ref="F52:S52" si="89">SUM(F48-F50)</f>
        <v>#REF!</v>
      </c>
      <c r="G52" s="1" t="e">
        <f t="shared" si="89"/>
        <v>#REF!</v>
      </c>
      <c r="H52" s="1" t="e">
        <f t="shared" si="89"/>
        <v>#REF!</v>
      </c>
      <c r="I52" s="1" t="e">
        <f t="shared" si="89"/>
        <v>#REF!</v>
      </c>
      <c r="J52" s="1" t="e">
        <f t="shared" si="89"/>
        <v>#REF!</v>
      </c>
      <c r="K52" s="1" t="e">
        <f t="shared" si="89"/>
        <v>#REF!</v>
      </c>
      <c r="L52" s="1" t="e">
        <f t="shared" si="89"/>
        <v>#REF!</v>
      </c>
      <c r="M52" s="1" t="e">
        <f t="shared" si="89"/>
        <v>#REF!</v>
      </c>
      <c r="N52" s="1" t="e">
        <f t="shared" si="89"/>
        <v>#REF!</v>
      </c>
      <c r="O52" s="1" t="e">
        <f t="shared" si="89"/>
        <v>#REF!</v>
      </c>
      <c r="P52" s="1" t="e">
        <f t="shared" si="89"/>
        <v>#REF!</v>
      </c>
      <c r="Q52" s="1" t="e">
        <f t="shared" si="89"/>
        <v>#REF!</v>
      </c>
      <c r="R52" s="1" t="e">
        <f t="shared" si="89"/>
        <v>#REF!</v>
      </c>
      <c r="S52" s="1" t="e">
        <f t="shared" si="89"/>
        <v>#REF!</v>
      </c>
      <c r="T52" s="1" t="e">
        <f t="shared" ref="T52:X52" si="90">SUM(T48-T50)</f>
        <v>#REF!</v>
      </c>
      <c r="U52" s="1" t="e">
        <f t="shared" si="90"/>
        <v>#REF!</v>
      </c>
      <c r="V52" s="1" t="e">
        <f t="shared" si="90"/>
        <v>#REF!</v>
      </c>
      <c r="W52" s="1" t="e">
        <f t="shared" si="90"/>
        <v>#REF!</v>
      </c>
      <c r="X52" s="1" t="e">
        <f t="shared" si="90"/>
        <v>#REF!</v>
      </c>
      <c r="Y52" s="1" t="e">
        <f>SUM(E52:S52)</f>
        <v>#REF!</v>
      </c>
    </row>
    <row r="53" spans="1:25">
      <c r="A53" s="5" t="s">
        <v>811</v>
      </c>
      <c r="B53" s="5" t="s">
        <v>812</v>
      </c>
      <c r="C53" s="5"/>
      <c r="D53" s="315">
        <v>0.75</v>
      </c>
      <c r="E53" s="5" t="e">
        <f t="shared" ref="E53:G55" si="91">SUM($D53*E52)</f>
        <v>#REF!</v>
      </c>
      <c r="F53" s="5" t="e">
        <f t="shared" si="91"/>
        <v>#REF!</v>
      </c>
      <c r="G53" s="5" t="e">
        <f t="shared" si="91"/>
        <v>#REF!</v>
      </c>
      <c r="H53" s="5" t="e">
        <f>SUM($D53*H52)</f>
        <v>#REF!</v>
      </c>
      <c r="I53" s="5" t="e">
        <f t="shared" ref="I53:S53" si="92">SUM($D53*I52)</f>
        <v>#REF!</v>
      </c>
      <c r="J53" s="5" t="e">
        <f t="shared" si="92"/>
        <v>#REF!</v>
      </c>
      <c r="K53" s="5" t="e">
        <f t="shared" si="92"/>
        <v>#REF!</v>
      </c>
      <c r="L53" s="5" t="e">
        <f t="shared" si="92"/>
        <v>#REF!</v>
      </c>
      <c r="M53" s="5" t="e">
        <f t="shared" si="92"/>
        <v>#REF!</v>
      </c>
      <c r="N53" s="5" t="e">
        <f t="shared" si="92"/>
        <v>#REF!</v>
      </c>
      <c r="O53" s="5" t="e">
        <f t="shared" si="92"/>
        <v>#REF!</v>
      </c>
      <c r="P53" s="5" t="e">
        <f t="shared" si="92"/>
        <v>#REF!</v>
      </c>
      <c r="Q53" s="5" t="e">
        <f t="shared" si="92"/>
        <v>#REF!</v>
      </c>
      <c r="R53" s="5" t="e">
        <f t="shared" si="92"/>
        <v>#REF!</v>
      </c>
      <c r="S53" s="5" t="e">
        <f t="shared" si="92"/>
        <v>#REF!</v>
      </c>
      <c r="T53" s="5" t="e">
        <f t="shared" ref="T53" si="93">SUM($D53*T52)</f>
        <v>#REF!</v>
      </c>
      <c r="U53" s="5" t="e">
        <f t="shared" ref="U53" si="94">SUM($D53*U52)</f>
        <v>#REF!</v>
      </c>
      <c r="V53" s="5" t="e">
        <f t="shared" ref="V53" si="95">SUM($D53*V52)</f>
        <v>#REF!</v>
      </c>
      <c r="W53" s="5" t="e">
        <f t="shared" ref="W53" si="96">SUM($D53*W52)</f>
        <v>#REF!</v>
      </c>
      <c r="X53" s="5" t="e">
        <f t="shared" ref="X53" si="97">SUM($D53*X52)</f>
        <v>#REF!</v>
      </c>
      <c r="Y53" s="5" t="e">
        <f>SUM(E53:S53)</f>
        <v>#REF!</v>
      </c>
    </row>
    <row r="54" spans="1:25">
      <c r="A54" s="1" t="s">
        <v>813</v>
      </c>
      <c r="D54" s="9"/>
      <c r="E54" s="1" t="e">
        <f>SUM(E52-E53)</f>
        <v>#REF!</v>
      </c>
      <c r="F54" s="1" t="e">
        <f t="shared" ref="F54:S54" si="98">SUM(F52-F53)</f>
        <v>#REF!</v>
      </c>
      <c r="G54" s="1" t="e">
        <f t="shared" si="98"/>
        <v>#REF!</v>
      </c>
      <c r="H54" s="1" t="e">
        <f t="shared" si="98"/>
        <v>#REF!</v>
      </c>
      <c r="I54" s="1" t="e">
        <f t="shared" si="98"/>
        <v>#REF!</v>
      </c>
      <c r="J54" s="1" t="e">
        <f t="shared" si="98"/>
        <v>#REF!</v>
      </c>
      <c r="K54" s="1" t="e">
        <f t="shared" si="98"/>
        <v>#REF!</v>
      </c>
      <c r="L54" s="1" t="e">
        <f t="shared" si="98"/>
        <v>#REF!</v>
      </c>
      <c r="M54" s="1" t="e">
        <f t="shared" si="98"/>
        <v>#REF!</v>
      </c>
      <c r="N54" s="1" t="e">
        <f t="shared" si="98"/>
        <v>#REF!</v>
      </c>
      <c r="O54" s="1" t="e">
        <f t="shared" si="98"/>
        <v>#REF!</v>
      </c>
      <c r="P54" s="1" t="e">
        <f t="shared" si="98"/>
        <v>#REF!</v>
      </c>
      <c r="Q54" s="1" t="e">
        <f t="shared" si="98"/>
        <v>#REF!</v>
      </c>
      <c r="R54" s="1" t="e">
        <f t="shared" si="98"/>
        <v>#REF!</v>
      </c>
      <c r="S54" s="1" t="e">
        <f t="shared" si="98"/>
        <v>#REF!</v>
      </c>
      <c r="T54" s="1" t="e">
        <f t="shared" ref="T54" si="99">SUM(T52-T53)</f>
        <v>#REF!</v>
      </c>
      <c r="U54" s="1" t="e">
        <f t="shared" ref="U54" si="100">SUM(U52-U53)</f>
        <v>#REF!</v>
      </c>
      <c r="V54" s="1" t="e">
        <f t="shared" ref="V54" si="101">SUM(V52-V53)</f>
        <v>#REF!</v>
      </c>
      <c r="W54" s="1" t="e">
        <f t="shared" ref="W54" si="102">SUM(W52-W53)</f>
        <v>#REF!</v>
      </c>
      <c r="X54" s="1" t="e">
        <f t="shared" ref="X54" si="103">SUM(X52-X53)</f>
        <v>#REF!</v>
      </c>
      <c r="Y54" s="1" t="e">
        <f>SUM(Y52-Y53)</f>
        <v>#REF!</v>
      </c>
    </row>
    <row r="55" spans="1:25">
      <c r="A55" s="1" t="s">
        <v>814</v>
      </c>
      <c r="D55" s="9">
        <v>0.5</v>
      </c>
      <c r="E55" s="1" t="e">
        <f t="shared" si="91"/>
        <v>#REF!</v>
      </c>
      <c r="F55" s="1" t="e">
        <f t="shared" ref="F55" si="104">SUM($D55*F54)</f>
        <v>#REF!</v>
      </c>
      <c r="G55" s="1" t="e">
        <f t="shared" ref="G55" si="105">SUM($D55*G54)</f>
        <v>#REF!</v>
      </c>
      <c r="H55" s="1" t="e">
        <f t="shared" ref="H55" si="106">SUM($D55*H54)</f>
        <v>#REF!</v>
      </c>
      <c r="I55" s="1" t="e">
        <f t="shared" ref="I55" si="107">SUM($D55*I54)</f>
        <v>#REF!</v>
      </c>
      <c r="J55" s="1" t="e">
        <f t="shared" ref="J55" si="108">SUM($D55*J54)</f>
        <v>#REF!</v>
      </c>
      <c r="K55" s="1" t="e">
        <f t="shared" ref="K55" si="109">SUM($D55*K54)</f>
        <v>#REF!</v>
      </c>
      <c r="L55" s="1" t="e">
        <f t="shared" ref="L55" si="110">SUM($D55*L54)</f>
        <v>#REF!</v>
      </c>
      <c r="M55" s="1" t="e">
        <f t="shared" ref="M55" si="111">SUM($D55*M54)</f>
        <v>#REF!</v>
      </c>
      <c r="N55" s="1" t="e">
        <f t="shared" ref="N55" si="112">SUM($D55*N54)</f>
        <v>#REF!</v>
      </c>
      <c r="O55" s="1" t="e">
        <f t="shared" ref="O55" si="113">SUM($D55*O54)</f>
        <v>#REF!</v>
      </c>
      <c r="P55" s="1" t="e">
        <f t="shared" ref="P55" si="114">SUM($D55*P54)</f>
        <v>#REF!</v>
      </c>
      <c r="Q55" s="1" t="e">
        <f t="shared" ref="Q55" si="115">SUM($D55*Q54)</f>
        <v>#REF!</v>
      </c>
      <c r="R55" s="1" t="e">
        <f t="shared" ref="R55" si="116">SUM($D55*R54)</f>
        <v>#REF!</v>
      </c>
      <c r="S55" s="1" t="e">
        <f t="shared" ref="S55" si="117">SUM($D55*S54)</f>
        <v>#REF!</v>
      </c>
      <c r="T55" s="1" t="e">
        <f t="shared" ref="T55" si="118">SUM($D55*T54)</f>
        <v>#REF!</v>
      </c>
      <c r="U55" s="1" t="e">
        <f t="shared" ref="U55" si="119">SUM($D55*U54)</f>
        <v>#REF!</v>
      </c>
      <c r="V55" s="1" t="e">
        <f t="shared" ref="V55" si="120">SUM($D55*V54)</f>
        <v>#REF!</v>
      </c>
      <c r="W55" s="1" t="e">
        <f t="shared" ref="W55" si="121">SUM($D55*W54)</f>
        <v>#REF!</v>
      </c>
      <c r="X55" s="1" t="e">
        <f t="shared" ref="X55" si="122">SUM($D55*X54)</f>
        <v>#REF!</v>
      </c>
      <c r="Y55" s="1" t="e">
        <f>SUM(E55:S55)</f>
        <v>#REF!</v>
      </c>
    </row>
    <row r="56" spans="1:25">
      <c r="A56" s="1" t="s">
        <v>813</v>
      </c>
      <c r="D56" s="9"/>
      <c r="E56" s="1" t="e">
        <f>SUM(E54-E55)</f>
        <v>#REF!</v>
      </c>
      <c r="F56" s="1" t="e">
        <f t="shared" ref="F56:S56" si="123">SUM(F54-F55)</f>
        <v>#REF!</v>
      </c>
      <c r="G56" s="1" t="e">
        <f t="shared" si="123"/>
        <v>#REF!</v>
      </c>
      <c r="H56" s="1" t="e">
        <f t="shared" si="123"/>
        <v>#REF!</v>
      </c>
      <c r="I56" s="1" t="e">
        <f t="shared" si="123"/>
        <v>#REF!</v>
      </c>
      <c r="J56" s="1" t="e">
        <f t="shared" si="123"/>
        <v>#REF!</v>
      </c>
      <c r="K56" s="1" t="e">
        <f t="shared" si="123"/>
        <v>#REF!</v>
      </c>
      <c r="L56" s="1" t="e">
        <f t="shared" si="123"/>
        <v>#REF!</v>
      </c>
      <c r="M56" s="1" t="e">
        <f t="shared" si="123"/>
        <v>#REF!</v>
      </c>
      <c r="N56" s="1" t="e">
        <f t="shared" si="123"/>
        <v>#REF!</v>
      </c>
      <c r="O56" s="1" t="e">
        <f t="shared" si="123"/>
        <v>#REF!</v>
      </c>
      <c r="P56" s="1" t="e">
        <f t="shared" si="123"/>
        <v>#REF!</v>
      </c>
      <c r="Q56" s="1" t="e">
        <f t="shared" si="123"/>
        <v>#REF!</v>
      </c>
      <c r="R56" s="1" t="e">
        <f t="shared" si="123"/>
        <v>#REF!</v>
      </c>
      <c r="S56" s="1" t="e">
        <f t="shared" si="123"/>
        <v>#REF!</v>
      </c>
      <c r="T56" s="1" t="e">
        <f t="shared" ref="T56" si="124">SUM(T54-T55)</f>
        <v>#REF!</v>
      </c>
      <c r="U56" s="1" t="e">
        <f t="shared" ref="U56" si="125">SUM(U54-U55)</f>
        <v>#REF!</v>
      </c>
      <c r="V56" s="1" t="e">
        <f t="shared" ref="V56" si="126">SUM(V54-V55)</f>
        <v>#REF!</v>
      </c>
      <c r="W56" s="1" t="e">
        <f t="shared" ref="W56" si="127">SUM(W54-W55)</f>
        <v>#REF!</v>
      </c>
      <c r="X56" s="1" t="e">
        <f t="shared" ref="X56" si="128">SUM(X54-X55)</f>
        <v>#REF!</v>
      </c>
      <c r="Y56" s="1" t="e">
        <f>SUM(Y54-Y55)</f>
        <v>#REF!</v>
      </c>
    </row>
    <row r="57" spans="1:25">
      <c r="D57" s="9"/>
    </row>
    <row r="58" spans="1:25">
      <c r="D58" s="9"/>
    </row>
    <row r="59" spans="1:25">
      <c r="A59" s="1" t="s">
        <v>821</v>
      </c>
      <c r="D59" s="9">
        <v>0.08</v>
      </c>
      <c r="E59" s="1">
        <f>SUM(E32/$D59)</f>
        <v>18894007.5</v>
      </c>
      <c r="F59" s="1">
        <f t="shared" ref="F59:X59" si="129">SUM(F32/$D59)</f>
        <v>20960749.439999998</v>
      </c>
      <c r="G59" s="1">
        <f t="shared" si="129"/>
        <v>21362303.166300002</v>
      </c>
      <c r="H59" s="1">
        <f t="shared" si="129"/>
        <v>21771446.435563501</v>
      </c>
      <c r="I59" s="1">
        <f t="shared" si="129"/>
        <v>22188320.000360705</v>
      </c>
      <c r="J59" s="1">
        <f t="shared" si="129"/>
        <v>22613067.152356014</v>
      </c>
      <c r="K59" s="1">
        <f t="shared" si="129"/>
        <v>23045833.766190916</v>
      </c>
      <c r="L59" s="1">
        <f t="shared" si="129"/>
        <v>23486768.344072226</v>
      </c>
      <c r="M59" s="1">
        <f t="shared" si="129"/>
        <v>23936022.061075088</v>
      </c>
      <c r="N59" s="1">
        <f t="shared" si="129"/>
        <v>24393748.811171044</v>
      </c>
      <c r="O59" s="1">
        <f t="shared" si="129"/>
        <v>24860105.253990784</v>
      </c>
      <c r="P59" s="1">
        <f t="shared" si="129"/>
        <v>25335250.862331826</v>
      </c>
      <c r="Q59" s="1">
        <f t="shared" si="129"/>
        <v>25819347.970421217</v>
      </c>
      <c r="R59" s="1">
        <f t="shared" si="129"/>
        <v>26312561.822943475</v>
      </c>
      <c r="S59" s="1">
        <f t="shared" si="129"/>
        <v>26815060.624844011</v>
      </c>
      <c r="T59" s="1">
        <f t="shared" si="129"/>
        <v>27327015.591918606</v>
      </c>
      <c r="U59" s="1">
        <f t="shared" si="129"/>
        <v>27848601.002199132</v>
      </c>
      <c r="V59" s="1">
        <f t="shared" si="129"/>
        <v>28379994.248146318</v>
      </c>
      <c r="W59" s="1">
        <f t="shared" si="129"/>
        <v>28921375.889660038</v>
      </c>
      <c r="X59" s="1">
        <f t="shared" si="129"/>
        <v>29472929.707917802</v>
      </c>
    </row>
    <row r="60" spans="1:25">
      <c r="D60" s="9"/>
      <c r="X60" s="1" t="e">
        <f>+#REF!</f>
        <v>#REF!</v>
      </c>
    </row>
    <row r="61" spans="1:25">
      <c r="A61" s="1" t="s">
        <v>825</v>
      </c>
      <c r="D61" s="310" t="e">
        <f>SUM('Sources &amp; Uses'!V8+'Sources &amp; Uses'!#REF!+'Sources &amp; Uses'!#REF!)</f>
        <v>#REF!</v>
      </c>
      <c r="X61" s="1" t="e">
        <f>+'3rd Mortgage'!F30</f>
        <v>#REF!</v>
      </c>
    </row>
    <row r="62" spans="1:25">
      <c r="A62" s="1" t="s">
        <v>822</v>
      </c>
      <c r="D62" s="310" t="e">
        <f>+#REF!</f>
        <v>#REF!</v>
      </c>
      <c r="X62" s="1" t="e">
        <f>+'Interest Calculation'!F30</f>
        <v>#REF!</v>
      </c>
    </row>
    <row r="63" spans="1:25">
      <c r="A63" s="1" t="s">
        <v>823</v>
      </c>
      <c r="D63" s="310">
        <f>+'Interest Calculation'!C4</f>
        <v>18500000</v>
      </c>
    </row>
    <row r="64" spans="1:25">
      <c r="A64" s="1" t="s">
        <v>824</v>
      </c>
      <c r="D64" s="310">
        <f>+'3rd Mortgage'!C4</f>
        <v>0</v>
      </c>
    </row>
    <row r="65" spans="4:24">
      <c r="D65" s="310"/>
      <c r="X65" s="1" t="e">
        <f>SUM(X59-X60-X61-X62-X63)</f>
        <v>#REF!</v>
      </c>
    </row>
    <row r="66" spans="4:24">
      <c r="D66" s="9"/>
      <c r="X66" s="1">
        <v>7455000</v>
      </c>
    </row>
    <row r="67" spans="4:24">
      <c r="D67" s="9"/>
      <c r="X67" s="1" t="e">
        <f>SUM(X65:X66)</f>
        <v>#REF!</v>
      </c>
    </row>
    <row r="68" spans="4:24">
      <c r="D68" s="9"/>
    </row>
    <row r="69" spans="4:24">
      <c r="D69" s="9"/>
    </row>
    <row r="70" spans="4:24">
      <c r="D70" s="9"/>
    </row>
    <row r="71" spans="4:24">
      <c r="D71" s="9"/>
    </row>
    <row r="72" spans="4:24">
      <c r="D72" s="9"/>
    </row>
    <row r="73" spans="4:24">
      <c r="D73" s="9"/>
    </row>
    <row r="74" spans="4:24">
      <c r="D74" s="9"/>
    </row>
    <row r="75" spans="4:24">
      <c r="D75" s="9"/>
    </row>
    <row r="76" spans="4:24">
      <c r="D76" s="9"/>
    </row>
    <row r="77" spans="4:24">
      <c r="D77" s="9"/>
    </row>
    <row r="78" spans="4:24">
      <c r="D78" s="9"/>
    </row>
    <row r="79" spans="4:24">
      <c r="D79" s="9"/>
    </row>
    <row r="80" spans="4:24">
      <c r="D80" s="9"/>
    </row>
    <row r="81" spans="1:11">
      <c r="A81" s="2" t="s">
        <v>236</v>
      </c>
      <c r="B81" s="2"/>
      <c r="C81" s="2"/>
      <c r="D81" s="9"/>
    </row>
    <row r="82" spans="1:11">
      <c r="D82" s="9"/>
    </row>
    <row r="83" spans="1:11">
      <c r="D83" s="9"/>
    </row>
    <row r="84" spans="1:11">
      <c r="D84" s="9"/>
      <c r="E84" s="1">
        <v>531000</v>
      </c>
      <c r="G84" s="1" t="s">
        <v>94</v>
      </c>
      <c r="I84" s="53">
        <v>0.3</v>
      </c>
    </row>
    <row r="85" spans="1:11">
      <c r="A85" s="1" t="s">
        <v>109</v>
      </c>
      <c r="D85" s="9"/>
      <c r="E85" s="1" t="e">
        <f>E34</f>
        <v>#REF!</v>
      </c>
      <c r="G85" s="1" t="s">
        <v>95</v>
      </c>
      <c r="I85" s="53">
        <v>0.41499999999999998</v>
      </c>
    </row>
    <row r="86" spans="1:11">
      <c r="A86" s="1" t="s">
        <v>110</v>
      </c>
      <c r="D86" s="9"/>
      <c r="E86" s="1">
        <f>E35</f>
        <v>0</v>
      </c>
      <c r="G86" s="1" t="s">
        <v>96</v>
      </c>
      <c r="I86" s="53">
        <v>0.15</v>
      </c>
    </row>
    <row r="87" spans="1:11">
      <c r="A87" s="1" t="s">
        <v>107</v>
      </c>
      <c r="D87" s="9"/>
      <c r="E87" s="65">
        <f>4329-100</f>
        <v>4229</v>
      </c>
      <c r="G87" s="1" t="s">
        <v>97</v>
      </c>
      <c r="I87" s="73">
        <v>0.04</v>
      </c>
      <c r="J87" s="1">
        <f>SUM(Rent!C44*'Proforma (Application)'!E63)</f>
        <v>991440</v>
      </c>
      <c r="K87" s="1">
        <v>800</v>
      </c>
    </row>
    <row r="88" spans="1:11">
      <c r="A88" s="1" t="s">
        <v>108</v>
      </c>
      <c r="D88" s="9"/>
      <c r="E88" s="1">
        <v>400</v>
      </c>
      <c r="F88" s="12"/>
      <c r="G88" s="1" t="s">
        <v>31</v>
      </c>
      <c r="I88" s="73">
        <v>7.4999999999999997E-2</v>
      </c>
      <c r="J88" s="12"/>
    </row>
    <row r="89" spans="1:11">
      <c r="A89" s="1" t="s">
        <v>241</v>
      </c>
      <c r="C89" s="22"/>
      <c r="D89" s="308"/>
      <c r="E89" s="1">
        <f>SUM(E87-E88)</f>
        <v>3829</v>
      </c>
      <c r="F89" s="22"/>
      <c r="G89" s="1" t="s">
        <v>98</v>
      </c>
      <c r="H89" s="22"/>
      <c r="I89" s="73"/>
      <c r="J89" s="21"/>
    </row>
    <row r="90" spans="1:11">
      <c r="A90" s="1" t="s">
        <v>242</v>
      </c>
      <c r="C90" s="22"/>
      <c r="D90" s="308"/>
      <c r="E90" s="1">
        <f>SUM(E89*Rent!C44)</f>
        <v>275688</v>
      </c>
      <c r="F90" s="22"/>
      <c r="G90" s="1" t="s">
        <v>99</v>
      </c>
      <c r="H90" s="22"/>
      <c r="I90" s="70">
        <v>0.02</v>
      </c>
      <c r="J90" s="21"/>
    </row>
    <row r="91" spans="1:11">
      <c r="A91" s="8"/>
      <c r="C91" s="22"/>
      <c r="D91" s="308"/>
      <c r="F91" s="22"/>
      <c r="H91" s="22"/>
      <c r="I91" s="72">
        <f>SUM(I84:I90)</f>
        <v>1</v>
      </c>
      <c r="J91" s="21"/>
    </row>
    <row r="92" spans="1:11">
      <c r="A92" s="8"/>
      <c r="C92" s="22"/>
      <c r="D92" s="308"/>
      <c r="F92" s="22"/>
      <c r="H92" s="22"/>
      <c r="J92" s="21"/>
    </row>
    <row r="93" spans="1:11">
      <c r="A93" s="8"/>
      <c r="C93" s="22"/>
      <c r="D93" s="308"/>
      <c r="F93" s="22"/>
      <c r="H93" s="22"/>
      <c r="J93" s="21"/>
    </row>
    <row r="94" spans="1:11">
      <c r="A94" s="8"/>
      <c r="C94" s="22"/>
      <c r="D94" s="308"/>
      <c r="F94" s="22"/>
      <c r="H94" s="22"/>
      <c r="J94" s="21"/>
    </row>
    <row r="95" spans="1:11">
      <c r="A95" s="8"/>
      <c r="C95" s="22"/>
      <c r="D95" s="308"/>
      <c r="F95" s="22"/>
      <c r="H95" s="22"/>
      <c r="J95" s="21"/>
    </row>
    <row r="96" spans="1:11">
      <c r="C96" s="22"/>
      <c r="D96" s="308"/>
      <c r="F96" s="22"/>
      <c r="H96" s="22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27</vt:i4>
      </vt:variant>
    </vt:vector>
  </HeadingPairs>
  <TitlesOfParts>
    <vt:vector size="61" baseType="lpstr">
      <vt:lpstr>Source Use  OS</vt:lpstr>
      <vt:lpstr>Modeling Assp Wkst</vt:lpstr>
      <vt:lpstr>Construction Breakdown (PBC)</vt:lpstr>
      <vt:lpstr>Intermediary Cost</vt:lpstr>
      <vt:lpstr>TDC Per Unit</vt:lpstr>
      <vt:lpstr>Sources &amp; Uses</vt:lpstr>
      <vt:lpstr>Sheet3</vt:lpstr>
      <vt:lpstr>3rd Mortgage</vt:lpstr>
      <vt:lpstr>Cost Allocation Basis</vt:lpstr>
      <vt:lpstr>carryover calc</vt:lpstr>
      <vt:lpstr>Interest Calculation</vt:lpstr>
      <vt:lpstr>CR Calculation</vt:lpstr>
      <vt:lpstr> Draw Schedule</vt:lpstr>
      <vt:lpstr>Application of Funds</vt:lpstr>
      <vt:lpstr>Construction Loan</vt:lpstr>
      <vt:lpstr>Proforma (Reality) </vt:lpstr>
      <vt:lpstr>Utility Allowance</vt:lpstr>
      <vt:lpstr>Rent</vt:lpstr>
      <vt:lpstr>Repl.-Reserve</vt:lpstr>
      <vt:lpstr>Cost Estimate</vt:lpstr>
      <vt:lpstr>Cost by Building</vt:lpstr>
      <vt:lpstr>Sq Footage</vt:lpstr>
      <vt:lpstr>QOC</vt:lpstr>
      <vt:lpstr>1st Year Cr</vt:lpstr>
      <vt:lpstr>QOC 2nd Yr</vt:lpstr>
      <vt:lpstr>2nd Yr. Credit</vt:lpstr>
      <vt:lpstr>Basis</vt:lpstr>
      <vt:lpstr>Annual Expense</vt:lpstr>
      <vt:lpstr>Sheet1</vt:lpstr>
      <vt:lpstr>TDC</vt:lpstr>
      <vt:lpstr>Sheet2</vt:lpstr>
      <vt:lpstr>Proforma (Application)</vt:lpstr>
      <vt:lpstr>Expenses</vt:lpstr>
      <vt:lpstr>Residual Calculation</vt:lpstr>
      <vt:lpstr>AnnExp</vt:lpstr>
      <vt:lpstr>Basis</vt:lpstr>
      <vt:lpstr>CostAllocation</vt:lpstr>
      <vt:lpstr>CreditCalculation</vt:lpstr>
      <vt:lpstr>EstimateCost</vt:lpstr>
      <vt:lpstr>LoanConstruction</vt:lpstr>
      <vt:lpstr>Mortgage2</vt:lpstr>
      <vt:lpstr>'Construction Loan'!Print_Area</vt:lpstr>
      <vt:lpstr>'Cost by Building'!Print_Area</vt:lpstr>
      <vt:lpstr>'CR Calculation'!Print_Area</vt:lpstr>
      <vt:lpstr>'Proforma (Application)'!Print_Area</vt:lpstr>
      <vt:lpstr>'Proforma (Reality) '!Print_Area</vt:lpstr>
      <vt:lpstr>Rent!Print_Area</vt:lpstr>
      <vt:lpstr>'Source Use  OS'!Print_Area</vt:lpstr>
      <vt:lpstr>'Sources &amp; Uses'!Print_Area</vt:lpstr>
      <vt:lpstr>Basis!Print_Titles</vt:lpstr>
      <vt:lpstr>'Cost by Building'!Print_Titles</vt:lpstr>
      <vt:lpstr>'Proforma (Reality) '!Proforma15</vt:lpstr>
      <vt:lpstr>Proforma15</vt:lpstr>
      <vt:lpstr>Rent</vt:lpstr>
      <vt:lpstr>ReplacementReserve</vt:lpstr>
      <vt:lpstr>ScatteredSite</vt:lpstr>
      <vt:lpstr>source</vt:lpstr>
      <vt:lpstr>SqFtg</vt:lpstr>
      <vt:lpstr>TDCPERUNIT</vt:lpstr>
      <vt:lpstr>TotalOperating</vt:lpstr>
      <vt:lpstr>utility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frank farricker</cp:lastModifiedBy>
  <cp:lastPrinted>2019-11-25T20:59:09Z</cp:lastPrinted>
  <dcterms:created xsi:type="dcterms:W3CDTF">1996-10-14T23:33:28Z</dcterms:created>
  <dcterms:modified xsi:type="dcterms:W3CDTF">2024-05-07T00:29:21Z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VERS">
    <vt:lpwstr>1.0</vt:lpwstr>
  </property>
</Properties>
</file>