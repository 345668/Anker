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a0cbed4ef94e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ecklist" sheetId="1" r:id="Rce8b761863e94e2e"/>
    <x:sheet xmlns:r="http://schemas.openxmlformats.org/officeDocument/2006/relationships" name="Summary" sheetId="2" r:id="R916d76481dc147c6"/>
    <x:sheet xmlns:r="http://schemas.openxmlformats.org/officeDocument/2006/relationships" name="Scoring" sheetId="3" r:id="Rc1402652ec6b4dc1"/>
  </x:sheets>
  <x:definedNames>
    <x:definedName name="_xlnm._FilterDatabase" localSheetId="0" hidden="1">'Checklist'!$A$4:$K$43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"/>
  </x:numFmts>
  <x:fonts count="13">
    <x:font>
      <x:sz val="11"/>
      <x:color theme="1"/>
      <x:name val="Calibri"/>
      <x:family val="2"/>
      <x:scheme val="minor"/>
    </x:font>
    <x:font>
      <x:b/>
      <x:sz val="16"/>
      <x:color rgb="00FFFFFF"/>
    </x:font>
    <x:font>
      <x:sz val="11"/>
      <x:color rgb="00DCE8FF"/>
    </x:font>
    <x:font>
      <x:b/>
      <x:color rgb="00FFFFFF"/>
    </x:font>
    <x:font>
      <x:b/>
      <x:color rgb="001D4ED8"/>
    </x:font>
    <x:font>
      <x:color rgb="00111827"/>
    </x:font>
    <x:font>
      <x:color rgb="001D4ED8"/>
    </x:font>
    <x:font>
      <x:b/>
      <x:sz val="15"/>
      <x:color rgb="00FFFFFF"/>
    </x:font>
    <x:font>
      <x:b/>
    </x:font>
    <x:font>
      <x:b/>
      <x:color rgb="000B1F3B"/>
    </x:font>
    <x:font>
      <x:b/>
      <x:sz val="18"/>
      <x:color rgb="00111827"/>
    </x:font>
    <x:font>
      <x:b/>
      <x:color rgb="00111827"/>
    </x:font>
    <x:font>
      <x:b/>
      <x:sz val="14"/>
      <x:color rgb="00FFFFFF"/>
    </x:font>
  </x:fonts>
  <x:fills count="9">
    <x:fill>
      <x:patternFill patternType="none"/>
    </x:fill>
    <x:fill>
      <x:patternFill patternType="gray125"/>
    </x:fill>
    <x:fill>
      <x:patternFill patternType="solid">
        <x:fgColor rgb="000B1F3B"/>
      </x:patternFill>
    </x:fill>
    <x:fill>
      <x:patternFill patternType="solid">
        <x:fgColor rgb="000F2E57"/>
      </x:patternFill>
    </x:fill>
    <x:fill>
      <x:patternFill patternType="solid">
        <x:fgColor rgb="001F4E79"/>
      </x:patternFill>
    </x:fill>
    <x:fill>
      <x:patternFill patternType="solid">
        <x:fgColor rgb="002F5597"/>
      </x:patternFill>
    </x:fill>
    <x:fill>
      <x:patternFill patternType="solid">
        <x:fgColor rgb="00E5EEF8"/>
      </x:patternFill>
    </x:fill>
    <x:fill>
      <x:patternFill patternType="solid">
        <x:fgColor rgb="00F3F4F6"/>
      </x:patternFill>
    </x:fill>
    <x:fill>
      <x:patternFill patternType="solid">
        <x:fgColor rgb="00111827"/>
      </x:patternFill>
    </x:fill>
  </x:fills>
  <x:borders count="6">
    <x:border>
      <x:left/>
      <x:right/>
      <x:top/>
      <x:bottom/>
      <x:diagonal/>
    </x:border>
    <x:border>
      <x:left style="thin">
        <x:color rgb="009CA3AF"/>
      </x:left>
      <x:right style="thin">
        <x:color rgb="009CA3AF"/>
      </x:right>
      <x:top style="thin">
        <x:color rgb="009CA3AF"/>
      </x:top>
      <x:bottom style="thin">
        <x:color rgb="009CA3AF"/>
      </x:bottom>
    </x:border>
    <x:border>
      <x:left/>
      <x:right/>
      <x:top style="thin">
        <x:color rgb="009CA3AF"/>
      </x:top>
      <x:bottom/>
      <x:diagonal/>
    </x:border>
    <x:border>
      <x:left/>
      <x:right style="thin">
        <x:color rgb="009CA3AF"/>
      </x:right>
      <x:top style="thin">
        <x:color rgb="009CA3AF"/>
      </x:top>
      <x:bottom/>
      <x:diagonal/>
    </x:border>
    <x:border>
      <x:left/>
      <x:right/>
      <x:top style="thin">
        <x:color rgb="009CA3AF"/>
      </x:top>
      <x:bottom style="thin">
        <x:color rgb="009CA3AF"/>
      </x:bottom>
      <x:diagonal/>
    </x:border>
    <x:border>
      <x:left/>
      <x:right style="thin">
        <x:color rgb="009CA3AF"/>
      </x:right>
      <x:top style="thin">
        <x:color rgb="009CA3AF"/>
      </x:top>
      <x:bottom style="thin">
        <x:color rgb="009CA3AF"/>
      </x:bottom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1" fillId="2" borderId="0" xfId="0" applyAlignment="1">
      <x:alignment horizontal="left" vertical="center"/>
    </x:xf>
    <x:xf numFmtId="0" fontId="2" fillId="3" borderId="0" xfId="0" applyAlignment="1">
      <x:alignment horizontal="left" vertical="center"/>
    </x:xf>
    <x:xf numFmtId="0" fontId="3" fillId="4" borderId="1" xfId="0" applyAlignment="1">
      <x:alignment horizontal="left" vertical="center"/>
    </x:xf>
    <x:xf numFmtId="0" fontId="0" fillId="4" borderId="1" xfId="0"/>
    <x:xf numFmtId="164" fontId="4" fillId="4" borderId="1" xfId="0" applyAlignment="1">
      <x:alignment horizontal="left" vertical="center"/>
    </x:xf>
    <x:xf numFmtId="0" fontId="3" fillId="5" borderId="1" xfId="0" applyAlignment="1">
      <x:alignment horizontal="center" vertical="center" wrapText="1"/>
    </x:xf>
    <x:xf numFmtId="0" fontId="5" fillId="0" borderId="1" xfId="0" applyAlignment="1">
      <x:alignment vertical="top" wrapText="1"/>
    </x:xf>
    <x:xf numFmtId="0" fontId="6" fillId="0" borderId="1" xfId="0" applyAlignment="1">
      <x:alignment vertical="top" wrapText="1"/>
    </x:xf>
    <x:xf numFmtId="0" fontId="7" fillId="2" borderId="0" xfId="0" applyAlignment="1">
      <x:alignment horizontal="left" vertical="center"/>
    </x:xf>
    <x:xf numFmtId="0" fontId="8" fillId="0" borderId="0" xfId="0"/>
    <x:xf numFmtId="164" fontId="0" fillId="0" borderId="0" xfId="0"/>
    <x:xf numFmtId="0" fontId="9" fillId="6" borderId="1" xfId="0" applyAlignment="1">
      <x:alignment horizontal="center" vertical="center"/>
    </x:xf>
    <x:xf numFmtId="0" fontId="10" fillId="6" borderId="1" xfId="0" applyAlignment="1">
      <x:alignment horizontal="center" vertical="center"/>
    </x:xf>
    <x:xf numFmtId="0" fontId="3" fillId="5" borderId="1" xfId="0" applyAlignment="1">
      <x:alignment horizontal="left"/>
    </x:xf>
    <x:xf numFmtId="0" fontId="3" fillId="5" borderId="1" xfId="0" applyAlignment="1">
      <x:alignment horizontal="center"/>
    </x:xf>
    <x:xf numFmtId="0" fontId="11" fillId="7" borderId="1" xfId="0" applyAlignment="1">
      <x:alignment vertical="center"/>
    </x:xf>
    <x:xf numFmtId="0" fontId="0" fillId="0" borderId="1" xfId="0" applyAlignment="1">
      <x:alignment horizontal="center"/>
    </x:xf>
    <x:xf numFmtId="0" fontId="3" fillId="8" borderId="1" xfId="0"/>
    <x:xf numFmtId="0" fontId="3" fillId="8" borderId="1" xfId="0" applyAlignment="1">
      <x:alignment horizontal="center"/>
    </x:xf>
    <x:xf numFmtId="0" fontId="0" fillId="0" borderId="0" xfId="0" applyAlignment="1">
      <x:alignment wrapText="1"/>
    </x:xf>
    <x:xf numFmtId="0" fontId="8" fillId="0" borderId="1" xfId="0" applyAlignment="1">
      <x:alignment vertical="top"/>
    </x:xf>
    <x:xf numFmtId="0" fontId="0" fillId="0" borderId="1" xfId="0" applyAlignment="1">
      <x:alignment vertical="top" wrapText="1"/>
    </x:xf>
    <x:xf numFmtId="9" fontId="6" fillId="0" borderId="1" xfId="0" applyAlignment="1">
      <x:alignment vertical="top"/>
    </x:xf>
    <x:xf numFmtId="0" fontId="6" fillId="0" borderId="1" xfId="0" applyAlignment="1">
      <x:alignment vertical="top"/>
    </x:xf>
    <x:xf numFmtId="2" fontId="0" fillId="0" borderId="1" xfId="0" applyAlignment="1">
      <x:alignment vertical="top"/>
    </x:xf>
    <x:xf numFmtId="0" fontId="0" fillId="0" borderId="4" xfId="0"/>
    <x:xf numFmtId="0" fontId="0" fillId="0" borderId="5" xfId="0"/>
    <x:xf numFmtId="2" fontId="12" fillId="8" borderId="1" xfId="0" applyAlignment="1">
      <x:alignment horizontal="center"/>
    </x:xf>
    <x:xf numFmtId="0" fontId="0" fillId="8" borderId="1" xfId="0"/>
  </x:cellXfs>
  <x:cellStyles count="1">
    <x:cellStyle name="Normal" xfId="0"/>
  </x:cellStyles>
  <x:dxfs count="2">
    <x:dxf>
      <x:fill>
        <x:patternFill>
          <x:bgColor rgb="00F8D7DA"/>
        </x:patternFill>
      </x:fill>
    </x:dxf>
    <x:dxf>
      <x:fill>
        <x:patternFill>
          <x:bgColor rgb="00FFF2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57b619b2c8416f" /><Relationship Type="http://schemas.openxmlformats.org/officeDocument/2006/relationships/theme" Target="/xl/theme/theme1.xml" Id="R64c3240e7ef44286" /><Relationship Type="http://schemas.openxmlformats.org/officeDocument/2006/relationships/sharedStrings" Target="/xl/sharedStrings.xml" Id="R107da8b3767b4afd" /><Relationship Type="http://schemas.openxmlformats.org/officeDocument/2006/relationships/worksheet" Target="/xl/worksheets/sheet1.xml" Id="Rce8b761863e94e2e" /><Relationship Type="http://schemas.openxmlformats.org/officeDocument/2006/relationships/worksheet" Target="/xl/worksheets/sheet2.xml" Id="R916d76481dc147c6" /><Relationship Type="http://schemas.openxmlformats.org/officeDocument/2006/relationships/worksheet" Target="/xl/worksheets/sheet3.xml" Id="Rc1402652ec6b4dc1" /></Relationships>
</file>

<file path=xl/tables/table1.xml><?xml version="1.0" encoding="utf-8"?>
<x:table xmlns:x="http://schemas.openxmlformats.org/spreadsheetml/2006/main" id="1" name="DD_Checklist" displayName="DD_Checklist" ref="A4:K43" headerRowCount="1">
  <x:autoFilter ref="A4:K43"/>
  <x:tableColumns count="11">
    <x:tableColumn id="1" name="Section"/>
    <x:tableColumn id="2" name="Diligence Topic"/>
    <x:tableColumn id="3" name="Information Request"/>
    <x:tableColumn id="4" name="Tasks"/>
    <x:tableColumn id="5" name="Key Questions"/>
    <x:tableColumn id="6" name="Evidence / Links"/>
    <x:tableColumn id="7" name="Priority"/>
    <x:tableColumn id="8" name="Status"/>
    <x:tableColumn id="9" name="Owner"/>
    <x:tableColumn id="10" name="Target Date"/>
    <x:tableColumn id="11" name="Notes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0a2c966a52d4cd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customWidth="1"/>
    <x:col min="2" max="2" width="22" customWidth="1"/>
    <x:col min="3" max="3" width="36" customWidth="1"/>
    <x:col min="4" max="4" width="30" customWidth="1"/>
    <x:col min="5" max="5" width="38" customWidth="1"/>
    <x:col min="6" max="6" width="26" customWidth="1"/>
    <x:col min="7" max="7" width="10" customWidth="1"/>
    <x:col min="8" max="8" width="14" customWidth="1"/>
    <x:col min="9" max="9" width="16" customWidth="1"/>
    <x:col min="10" max="10" width="12" customWidth="1"/>
    <x:col min="11" max="11" width="26" customWidth="1"/>
  </x:cols>
  <x:sheetData>
    <x:row r="1" ht="30" customHeight="1">
      <x:c r="A1" s="1" t="inlineStr">
        <x:is>
          <x:t xml:space="preserve">Due Diligence Checklist — Early Stage Investor (Template)</x:t>
        </x:is>
      </x:c>
    </x:row>
    <x:row r="2" ht="22" customHeight="1">
      <x:c r="A2" s="2" t="inlineStr">
        <x:is>
          <x:t xml:space="preserve">How to use: Start at top → assign an owner → request evidence → record answers. Use Status/Priority to track. Customize sections for your deal.</x:t>
        </x:is>
      </x:c>
    </x:row>
    <x:row r="3" ht="20" customHeight="1">
      <x:c r="A3" s="3" t="inlineStr">
        <x:is>
          <x:t xml:space="preserve">Deal / Company:</x:t>
        </x:is>
      </x:c>
      <x:c r="B3" s="4" t="n"/>
      <x:c r="C3" s="4" t="n"/>
      <x:c r="D3" s="3" t="inlineStr">
        <x:is>
          <x:t xml:space="preserve">Investor / Fund:</x:t>
        </x:is>
      </x:c>
      <x:c r="E3" s="4" t="n"/>
      <x:c r="F3" s="4" t="n"/>
      <x:c r="G3" s="3" t="inlineStr">
        <x:is>
          <x:t xml:space="preserve">Date Started:</x:t>
        </x:is>
      </x:c>
      <x:c r="H3" s="5" t="inlineStr">
        <x:is>
          <x:t xml:space="preserve">2026-02-15</x:t>
        </x:is>
      </x:c>
      <x:c r="I3" s="4" t="n"/>
      <x:c r="J3" s="3" t="inlineStr">
        <x:is>
          <x:t xml:space="preserve">Round / Check Size:</x:t>
        </x:is>
      </x:c>
      <x:c r="K3" s="4" t="n"/>
    </x:row>
    <x:row r="4" ht="28" customHeight="1">
      <x:c r="A4" s="6" t="inlineStr">
        <x:is>
          <x:t xml:space="preserve">Section</x:t>
        </x:is>
      </x:c>
      <x:c r="B4" s="6" t="inlineStr">
        <x:is>
          <x:t xml:space="preserve">Diligence Topic</x:t>
        </x:is>
      </x:c>
      <x:c r="C4" s="6" t="inlineStr">
        <x:is>
          <x:t xml:space="preserve">Information Request</x:t>
        </x:is>
      </x:c>
      <x:c r="D4" s="6" t="inlineStr">
        <x:is>
          <x:t xml:space="preserve">Tasks</x:t>
        </x:is>
      </x:c>
      <x:c r="E4" s="6" t="inlineStr">
        <x:is>
          <x:t xml:space="preserve">Key Questions</x:t>
        </x:is>
      </x:c>
      <x:c r="F4" s="6" t="inlineStr">
        <x:is>
          <x:t xml:space="preserve">Evidence / Links</x:t>
        </x:is>
      </x:c>
      <x:c r="G4" s="6" t="inlineStr">
        <x:is>
          <x:t xml:space="preserve">Priority</x:t>
        </x:is>
      </x:c>
      <x:c r="H4" s="6" t="inlineStr">
        <x:is>
          <x:t xml:space="preserve">Status</x:t>
        </x:is>
      </x:c>
      <x:c r="I4" s="6" t="inlineStr">
        <x:is>
          <x:t xml:space="preserve">Owner</x:t>
        </x:is>
      </x:c>
      <x:c r="J4" s="6" t="inlineStr">
        <x:is>
          <x:t xml:space="preserve">Target Date</x:t>
        </x:is>
      </x:c>
      <x:c r="K4" s="6" t="inlineStr">
        <x:is>
          <x:t xml:space="preserve">Notes</x:t>
        </x:is>
      </x:c>
    </x:row>
    <x:row r="5" ht="70" customHeight="1">
      <x:c r="A5" s="7" t="inlineStr">
        <x:is>
          <x:t xml:space="preserve">Team &amp; Culture</x:t>
        </x:is>
      </x:c>
      <x:c r="B5" s="7" t="inlineStr">
        <x:is>
          <x:t xml:space="preserve">Founder narrative</x:t>
        </x:is>
      </x:c>
      <x:c r="C5" s="7" t="inlineStr">
        <x:is>
          <x:t xml:space="preserve">Founder bios; origin story; motivations; time commitment</x:t>
        </x:is>
      </x:c>
      <x:c r="D5" s="7" t="inlineStr">
        <x:is>
          <x:t xml:space="preserve">Interview founders; review resumes; check references</x:t>
        </x:is>
      </x:c>
      <x:c r="E5" s="7" t="inlineStr">
        <x:is>
          <x:t xml:space="preserve">Why this team? Why now? What unique insight do they have?</x:t>
        </x:is>
      </x:c>
      <x:c r="F5" s="8" t="inlineStr">
        <x:is>
          <x:t xml:space="preserve"/>
        </x:is>
      </x:c>
      <x:c r="G5" s="8" t="inlineStr">
        <x:is>
          <x:t xml:space="preserve">H</x:t>
        </x:is>
      </x:c>
      <x:c r="H5" s="8" t="inlineStr">
        <x:is>
          <x:t xml:space="preserve">In progress</x:t>
        </x:is>
      </x:c>
      <x:c r="I5" s="8" t="inlineStr">
        <x:is>
          <x:t xml:space="preserve"/>
        </x:is>
      </x:c>
      <x:c r="J5" s="8" t="inlineStr">
        <x:is>
          <x:t xml:space="preserve">2026-02-22</x:t>
        </x:is>
      </x:c>
      <x:c r="K5" s="8" t="inlineStr">
        <x:is>
          <x:t xml:space="preserve"/>
        </x:is>
      </x:c>
    </x:row>
    <x:row r="6" ht="70" customHeight="1">
      <x:c r="A6" s="7" t="inlineStr">
        <x:is>
          <x:t xml:space="preserve">Team &amp; Culture</x:t>
        </x:is>
      </x:c>
      <x:c r="B6" s="7" t="inlineStr">
        <x:is>
          <x:t xml:space="preserve">Role clarity</x:t>
        </x:is>
      </x:c>
      <x:c r="C6" s="7" t="inlineStr">
        <x:is>
          <x:t xml:space="preserve">Org chart + current responsibilities</x:t>
        </x:is>
      </x:c>
      <x:c r="D6" s="7" t="inlineStr">
        <x:is>
          <x:t xml:space="preserve">Map responsibilities; identify gaps; validate decision-making cadence</x:t>
        </x:is>
      </x:c>
      <x:c r="E6" s="7" t="inlineStr">
        <x:is>
          <x:t xml:space="preserve">Who owns product, sales, hiring, finance? Any single points of failure?</x:t>
        </x:is>
      </x:c>
      <x:c r="F6" s="8" t="inlineStr">
        <x:is>
          <x:t xml:space="preserve"/>
        </x:is>
      </x:c>
      <x:c r="G6" s="8" t="inlineStr">
        <x:is>
          <x:t xml:space="preserve">M</x:t>
        </x:is>
      </x:c>
      <x:c r="H6" s="8" t="inlineStr">
        <x:is>
          <x:t xml:space="preserve">Not started</x:t>
        </x:is>
      </x:c>
      <x:c r="I6" s="8" t="inlineStr">
        <x:is>
          <x:t xml:space="preserve"/>
        </x:is>
      </x:c>
      <x:c r="J6" s="8" t="inlineStr">
        <x:is>
          <x:t xml:space="preserve">2026-03-01</x:t>
        </x:is>
      </x:c>
      <x:c r="K6" s="8" t="inlineStr">
        <x:is>
          <x:t xml:space="preserve"/>
        </x:is>
      </x:c>
    </x:row>
    <x:row r="7" ht="70" customHeight="1">
      <x:c r="A7" s="7" t="inlineStr">
        <x:is>
          <x:t xml:space="preserve">Team &amp; Culture</x:t>
        </x:is>
      </x:c>
      <x:c r="B7" s="7" t="inlineStr">
        <x:is>
          <x:t xml:space="preserve">Hiring plan</x:t>
        </x:is>
      </x:c>
      <x:c r="C7" s="7" t="inlineStr">
        <x:is>
          <x:t xml:space="preserve">12–18 month hiring plan with roles and timing</x:t>
        </x:is>
      </x:c>
      <x:c r="D7" s="7" t="inlineStr">
        <x:is>
          <x:t xml:space="preserve">Review headcount plan; sanity-check costs; validate recruiting pipeline</x:t>
        </x:is>
      </x:c>
      <x:c r="E7" s="7" t="inlineStr">
        <x:is>
          <x:t xml:space="preserve">Does hiring plan match milestones? Can they hire critical roles?</x:t>
        </x:is>
      </x:c>
      <x:c r="F7" s="8" t="inlineStr">
        <x:is>
          <x:t xml:space="preserve"/>
        </x:is>
      </x:c>
      <x:c r="G7" s="8" t="inlineStr">
        <x:is>
          <x:t xml:space="preserve">M</x:t>
        </x:is>
      </x:c>
      <x:c r="H7" s="8" t="inlineStr">
        <x:is>
          <x:t xml:space="preserve">Not started</x:t>
        </x:is>
      </x:c>
      <x:c r="I7" s="8" t="inlineStr">
        <x:is>
          <x:t xml:space="preserve"/>
        </x:is>
      </x:c>
      <x:c r="J7" s="8" t="inlineStr">
        <x:is>
          <x:t xml:space="preserve">2026-03-08</x:t>
        </x:is>
      </x:c>
      <x:c r="K7" s="8" t="inlineStr">
        <x:is>
          <x:t xml:space="preserve"/>
        </x:is>
      </x:c>
    </x:row>
    <x:row r="8" ht="70" customHeight="1">
      <x:c r="A8" s="7" t="inlineStr">
        <x:is>
          <x:t xml:space="preserve">Team &amp; Culture</x:t>
        </x:is>
      </x:c>
      <x:c r="B8" s="7" t="inlineStr">
        <x:is>
          <x:t xml:space="preserve">Culture &amp; values</x:t>
        </x:is>
      </x:c>
      <x:c r="C8" s="7" t="inlineStr">
        <x:is>
          <x:t xml:space="preserve">Written values (if any); onboarding; performance practices</x:t>
        </x:is>
      </x:c>
      <x:c r="D8" s="7" t="inlineStr">
        <x:is>
          <x:t xml:space="preserve">Ask about feedback cadence; review examples; talk to 1–2 employees</x:t>
        </x:is>
      </x:c>
      <x:c r="E8" s="7" t="inlineStr">
        <x:is>
          <x:t xml:space="preserve">What behaviors are rewarded? Any early culture risks?</x:t>
        </x:is>
      </x:c>
      <x:c r="F8" s="8" t="inlineStr">
        <x:is>
          <x:t xml:space="preserve"/>
        </x:is>
      </x:c>
      <x:c r="G8" s="8" t="inlineStr">
        <x:is>
          <x:t xml:space="preserve">M</x:t>
        </x:is>
      </x:c>
      <x:c r="H8" s="8" t="inlineStr">
        <x:is>
          <x:t xml:space="preserve">Not started</x:t>
        </x:is>
      </x:c>
      <x:c r="I8" s="8" t="inlineStr">
        <x:is>
          <x:t xml:space="preserve"/>
        </x:is>
      </x:c>
      <x:c r="J8" s="8" t="inlineStr">
        <x:is>
          <x:t xml:space="preserve">2026-03-08</x:t>
        </x:is>
      </x:c>
      <x:c r="K8" s="8" t="inlineStr">
        <x:is>
          <x:t xml:space="preserve"/>
        </x:is>
      </x:c>
    </x:row>
    <x:row r="9" ht="70" customHeight="1">
      <x:c r="A9" s="7" t="inlineStr">
        <x:is>
          <x:t xml:space="preserve">Team &amp; Culture</x:t>
        </x:is>
      </x:c>
      <x:c r="B9" s="7" t="inlineStr">
        <x:is>
          <x:t xml:space="preserve">Incentives</x:t>
        </x:is>
      </x:c>
      <x:c r="C9" s="7" t="inlineStr">
        <x:is>
          <x:t xml:space="preserve">Option plan terms; comp bands; equity philosophy</x:t>
        </x:is>
      </x:c>
      <x:c r="D9" s="7" t="inlineStr">
        <x:is>
          <x:t xml:space="preserve">Review option pool and grants; compare to market; check retention levers</x:t>
        </x:is>
      </x:c>
      <x:c r="E9" s="7" t="inlineStr">
        <x:is>
          <x:t xml:space="preserve">Are incentives aligned with milestones and retention?</x:t>
        </x:is>
      </x:c>
      <x:c r="F9" s="8" t="inlineStr">
        <x:is>
          <x:t xml:space="preserve"/>
        </x:is>
      </x:c>
      <x:c r="G9" s="8" t="inlineStr">
        <x:is>
          <x:t xml:space="preserve">M</x:t>
        </x:is>
      </x:c>
      <x:c r="H9" s="8" t="inlineStr">
        <x:is>
          <x:t xml:space="preserve">Not started</x:t>
        </x:is>
      </x:c>
      <x:c r="I9" s="8" t="inlineStr">
        <x:is>
          <x:t xml:space="preserve"/>
        </x:is>
      </x:c>
      <x:c r="J9" s="8" t="inlineStr">
        <x:is>
          <x:t xml:space="preserve">2026-03-01</x:t>
        </x:is>
      </x:c>
      <x:c r="K9" s="8" t="inlineStr">
        <x:is>
          <x:t xml:space="preserve"/>
        </x:is>
      </x:c>
    </x:row>
    <x:row r="10" ht="70" customHeight="1">
      <x:c r="A10" s="7" t="inlineStr">
        <x:is>
          <x:t xml:space="preserve">Product, Tech &amp; IP</x:t>
        </x:is>
      </x:c>
      <x:c r="B10" s="7" t="inlineStr">
        <x:is>
          <x:t xml:space="preserve">Problem &amp; solution fit</x:t>
        </x:is>
      </x:c>
      <x:c r="C10" s="7" t="inlineStr">
        <x:is>
          <x:t xml:space="preserve">Product demo + user journey; roadmap</x:t>
        </x:is>
      </x:c>
      <x:c r="D10" s="7" t="inlineStr">
        <x:is>
          <x:t xml:space="preserve">Hands-on demo; map user flow; validate roadmap against customer needs</x:t>
        </x:is>
      </x:c>
      <x:c r="E10" s="7" t="inlineStr">
        <x:is>
          <x:t xml:space="preserve">Is the value proposition clear &amp; measurable? What is 'must-have' vs 'nice-to-have'?</x:t>
        </x:is>
      </x:c>
      <x:c r="F10" s="8" t="inlineStr">
        <x:is>
          <x:t xml:space="preserve"/>
        </x:is>
      </x:c>
      <x:c r="G10" s="8" t="inlineStr">
        <x:is>
          <x:t xml:space="preserve">H</x:t>
        </x:is>
      </x:c>
      <x:c r="H10" s="8" t="inlineStr">
        <x:is>
          <x:t xml:space="preserve">In progress</x:t>
        </x:is>
      </x:c>
      <x:c r="I10" s="8" t="inlineStr">
        <x:is>
          <x:t xml:space="preserve"/>
        </x:is>
      </x:c>
      <x:c r="J10" s="8" t="inlineStr">
        <x:is>
          <x:t xml:space="preserve">2026-02-25</x:t>
        </x:is>
      </x:c>
      <x:c r="K10" s="8" t="inlineStr">
        <x:is>
          <x:t xml:space="preserve"/>
        </x:is>
      </x:c>
    </x:row>
    <x:row r="11" ht="70" customHeight="1">
      <x:c r="A11" s="7" t="inlineStr">
        <x:is>
          <x:t xml:space="preserve">Product, Tech &amp; IP</x:t>
        </x:is>
      </x:c>
      <x:c r="B11" s="7" t="inlineStr">
        <x:is>
          <x:t xml:space="preserve">Architecture overview</x:t>
        </x:is>
      </x:c>
      <x:c r="C11" s="7" t="inlineStr">
        <x:is>
          <x:t xml:space="preserve">High-level architecture diagram; key dependencies</x:t>
        </x:is>
      </x:c>
      <x:c r="D11" s="7" t="inlineStr">
        <x:is>
          <x:t xml:space="preserve">Tech review with CTO/lead; identify bottlenecks; assess scalability assumptions</x:t>
        </x:is>
      </x:c>
      <x:c r="E11" s="7" t="inlineStr">
        <x:is>
          <x:t xml:space="preserve">Can it scale 10–100×? Any fragile dependencies or vendor lock-in?</x:t>
        </x:is>
      </x:c>
      <x:c r="F11" s="8" t="inlineStr">
        <x:is>
          <x:t xml:space="preserve"/>
        </x:is>
      </x:c>
      <x:c r="G11" s="8" t="inlineStr">
        <x:is>
          <x:t xml:space="preserve">H</x:t>
        </x:is>
      </x:c>
      <x:c r="H11" s="8" t="inlineStr">
        <x:is>
          <x:t xml:space="preserve">Not started</x:t>
        </x:is>
      </x:c>
      <x:c r="I11" s="8" t="inlineStr">
        <x:is>
          <x:t xml:space="preserve"/>
        </x:is>
      </x:c>
      <x:c r="J11" s="8" t="inlineStr">
        <x:is>
          <x:t xml:space="preserve">2026-03-01</x:t>
        </x:is>
      </x:c>
      <x:c r="K11" s="8" t="inlineStr">
        <x:is>
          <x:t xml:space="preserve"/>
        </x:is>
      </x:c>
    </x:row>
    <x:row r="12" ht="70" customHeight="1">
      <x:c r="A12" s="7" t="inlineStr">
        <x:is>
          <x:t xml:space="preserve">Product, Tech &amp; IP</x:t>
        </x:is>
      </x:c>
      <x:c r="B12" s="7" t="inlineStr">
        <x:is>
          <x:t xml:space="preserve">Data &amp; privacy</x:t>
        </x:is>
      </x:c>
      <x:c r="C12" s="7" t="inlineStr">
        <x:is>
          <x:t xml:space="preserve">Data sources; retention policy; DPIA (if relevant)</x:t>
        </x:is>
      </x:c>
      <x:c r="D12" s="7" t="inlineStr">
        <x:is>
          <x:t xml:space="preserve">Review data flows; check privacy-by-design; verify consent + DPAs</x:t>
        </x:is>
      </x:c>
      <x:c r="E12" s="7" t="inlineStr">
        <x:is>
          <x:t xml:space="preserve">Is data collection lawful? Are privacy obligations understood?</x:t>
        </x:is>
      </x:c>
      <x:c r="F12" s="8" t="inlineStr">
        <x:is>
          <x:t xml:space="preserve"/>
        </x:is>
      </x:c>
      <x:c r="G12" s="8" t="inlineStr">
        <x:is>
          <x:t xml:space="preserve">H</x:t>
        </x:is>
      </x:c>
      <x:c r="H12" s="8" t="inlineStr">
        <x:is>
          <x:t xml:space="preserve">Not started</x:t>
        </x:is>
      </x:c>
      <x:c r="I12" s="8" t="inlineStr">
        <x:is>
          <x:t xml:space="preserve"/>
        </x:is>
      </x:c>
      <x:c r="J12" s="8" t="inlineStr">
        <x:is>
          <x:t xml:space="preserve">2026-03-08</x:t>
        </x:is>
      </x:c>
      <x:c r="K12" s="8" t="inlineStr">
        <x:is>
          <x:t xml:space="preserve"/>
        </x:is>
      </x:c>
    </x:row>
    <x:row r="13" ht="70" customHeight="1">
      <x:c r="A13" s="7" t="inlineStr">
        <x:is>
          <x:t xml:space="preserve">Product, Tech &amp; IP</x:t>
        </x:is>
      </x:c>
      <x:c r="B13" s="7" t="inlineStr">
        <x:is>
          <x:t xml:space="preserve">Security baseline</x:t>
        </x:is>
      </x:c>
      <x:c r="C13" s="7" t="inlineStr">
        <x:is>
          <x:t xml:space="preserve">Security policy; pentest (if any); access controls</x:t>
        </x:is>
      </x:c>
      <x:c r="D13" s="7" t="inlineStr">
        <x:is>
          <x:t xml:space="preserve">Review IAM practices; secrets management; incident plan; third-party risk</x:t>
        </x:is>
      </x:c>
      <x:c r="E13" s="7" t="inlineStr">
        <x:is>
          <x:t xml:space="preserve">What is the blast radius of a breach? How are credentials and keys managed?</x:t>
        </x:is>
      </x:c>
      <x:c r="F13" s="8" t="inlineStr">
        <x:is>
          <x:t xml:space="preserve"/>
        </x:is>
      </x:c>
      <x:c r="G13" s="8" t="inlineStr">
        <x:is>
          <x:t xml:space="preserve">H</x:t>
        </x:is>
      </x:c>
      <x:c r="H13" s="8" t="inlineStr">
        <x:is>
          <x:t xml:space="preserve">Not started</x:t>
        </x:is>
      </x:c>
      <x:c r="I13" s="8" t="inlineStr">
        <x:is>
          <x:t xml:space="preserve"/>
        </x:is>
      </x:c>
      <x:c r="J13" s="8" t="inlineStr">
        <x:is>
          <x:t xml:space="preserve">2026-03-08</x:t>
        </x:is>
      </x:c>
      <x:c r="K13" s="8" t="inlineStr">
        <x:is>
          <x:t xml:space="preserve"/>
        </x:is>
      </x:c>
    </x:row>
    <x:row r="14" ht="70" customHeight="1">
      <x:c r="A14" s="7" t="inlineStr">
        <x:is>
          <x:t xml:space="preserve">Product, Tech &amp; IP</x:t>
        </x:is>
      </x:c>
      <x:c r="B14" s="7" t="inlineStr">
        <x:is>
          <x:t xml:space="preserve">Reliability &amp; quality</x:t>
        </x:is>
      </x:c>
      <x:c r="C14" s="7" t="inlineStr">
        <x:is>
          <x:t xml:space="preserve">Uptime/SLA targets; monitoring; on-call</x:t>
        </x:is>
      </x:c>
      <x:c r="D14" s="7" t="inlineStr">
        <x:is>
          <x:t xml:space="preserve">Review telemetry; incident history; test coverage; release process</x:t>
        </x:is>
      </x:c>
      <x:c r="E14" s="7" t="inlineStr">
        <x:is>
          <x:t xml:space="preserve">Can the team ship safely? How do they detect &amp; recover from failures?</x:t>
        </x:is>
      </x:c>
      <x:c r="F14" s="8" t="inlineStr">
        <x:is>
          <x:t xml:space="preserve"/>
        </x:is>
      </x:c>
      <x:c r="G14" s="8" t="inlineStr">
        <x:is>
          <x:t xml:space="preserve">M</x:t>
        </x:is>
      </x:c>
      <x:c r="H14" s="8" t="inlineStr">
        <x:is>
          <x:t xml:space="preserve">Not started</x:t>
        </x:is>
      </x:c>
      <x:c r="I14" s="8" t="inlineStr">
        <x:is>
          <x:t xml:space="preserve"/>
        </x:is>
      </x:c>
      <x:c r="J14" s="8" t="inlineStr">
        <x:is>
          <x:t xml:space="preserve">2026-03-08</x:t>
        </x:is>
      </x:c>
      <x:c r="K14" s="8" t="inlineStr">
        <x:is>
          <x:t xml:space="preserve"/>
        </x:is>
      </x:c>
    </x:row>
    <x:row r="15" ht="70" customHeight="1">
      <x:c r="A15" s="7" t="inlineStr">
        <x:is>
          <x:t xml:space="preserve">Product, Tech &amp; IP</x:t>
        </x:is>
      </x:c>
      <x:c r="B15" s="7" t="inlineStr">
        <x:is>
          <x:t xml:space="preserve">IP position</x:t>
        </x:is>
      </x:c>
      <x:c r="C15" s="7" t="inlineStr">
        <x:is>
          <x:t xml:space="preserve">Patents (if any); open-source use; code ownership</x:t>
        </x:is>
      </x:c>
      <x:c r="D15" s="7" t="inlineStr">
        <x:is>
          <x:t xml:space="preserve">Check OSS licenses; confirm assignment; review any patents/trademarks</x:t>
        </x:is>
      </x:c>
      <x:c r="E15" s="7" t="inlineStr">
        <x:is>
          <x:t xml:space="preserve">Does the company own what it sells? Any OSS license conflicts?</x:t>
        </x:is>
      </x:c>
      <x:c r="F15" s="8" t="inlineStr">
        <x:is>
          <x:t xml:space="preserve"/>
        </x:is>
      </x:c>
      <x:c r="G15" s="8" t="inlineStr">
        <x:is>
          <x:t xml:space="preserve">H</x:t>
        </x:is>
      </x:c>
      <x:c r="H15" s="8" t="inlineStr">
        <x:is>
          <x:t xml:space="preserve">Not started</x:t>
        </x:is>
      </x:c>
      <x:c r="I15" s="8" t="inlineStr">
        <x:is>
          <x:t xml:space="preserve"/>
        </x:is>
      </x:c>
      <x:c r="J15" s="8" t="inlineStr">
        <x:is>
          <x:t xml:space="preserve">2026-03-17</x:t>
        </x:is>
      </x:c>
      <x:c r="K15" s="8" t="inlineStr">
        <x:is>
          <x:t xml:space="preserve"/>
        </x:is>
      </x:c>
    </x:row>
    <x:row r="16" ht="70" customHeight="1">
      <x:c r="A16" s="7" t="inlineStr">
        <x:is>
          <x:t xml:space="preserve">Market &amp; Competition</x:t>
        </x:is>
      </x:c>
      <x:c r="B16" s="7" t="inlineStr">
        <x:is>
          <x:t xml:space="preserve">Market definition</x:t>
        </x:is>
      </x:c>
      <x:c r="C16" s="7" t="inlineStr">
        <x:is>
          <x:t xml:space="preserve">TAM/SAM/SOM assumptions; segmentation</x:t>
        </x:is>
      </x:c>
      <x:c r="D16" s="7" t="inlineStr">
        <x:is>
          <x:t xml:space="preserve">Rebuild TAM quickly; validate bottoms-up; stress test segment choice</x:t>
        </x:is>
      </x:c>
      <x:c r="E16" s="7" t="inlineStr">
        <x:is>
          <x:t xml:space="preserve">Is market big enough? What segment is beachhead and why?</x:t>
        </x:is>
      </x:c>
      <x:c r="F16" s="8" t="inlineStr">
        <x:is>
          <x:t xml:space="preserve"/>
        </x:is>
      </x:c>
      <x:c r="G16" s="8" t="inlineStr">
        <x:is>
          <x:t xml:space="preserve">H</x:t>
        </x:is>
      </x:c>
      <x:c r="H16" s="8" t="inlineStr">
        <x:is>
          <x:t xml:space="preserve">Not started</x:t>
        </x:is>
      </x:c>
      <x:c r="I16" s="8" t="inlineStr">
        <x:is>
          <x:t xml:space="preserve"/>
        </x:is>
      </x:c>
      <x:c r="J16" s="8" t="inlineStr">
        <x:is>
          <x:t xml:space="preserve">2026-03-01</x:t>
        </x:is>
      </x:c>
      <x:c r="K16" s="8" t="inlineStr">
        <x:is>
          <x:t xml:space="preserve"/>
        </x:is>
      </x:c>
    </x:row>
    <x:row r="17" ht="70" customHeight="1">
      <x:c r="A17" s="7" t="inlineStr">
        <x:is>
          <x:t xml:space="preserve">Market &amp; Competition</x:t>
        </x:is>
      </x:c>
      <x:c r="B17" s="7" t="inlineStr">
        <x:is>
          <x:t xml:space="preserve">Customer persona</x:t>
        </x:is>
      </x:c>
      <x:c r="C17" s="7" t="inlineStr">
        <x:is>
          <x:t xml:space="preserve">ICP description; buyer/user profiles</x:t>
        </x:is>
      </x:c>
      <x:c r="D17" s="7" t="inlineStr">
        <x:is>
          <x:t xml:space="preserve">Interview 3–5 target customers; validate pain + urgency</x:t>
        </x:is>
      </x:c>
      <x:c r="E17" s="7" t="inlineStr">
        <x:is>
          <x:t xml:space="preserve">Who buys? Who uses? What budget line item?</x:t>
        </x:is>
      </x:c>
      <x:c r="F17" s="8" t="inlineStr">
        <x:is>
          <x:t xml:space="preserve"/>
        </x:is>
      </x:c>
      <x:c r="G17" s="8" t="inlineStr">
        <x:is>
          <x:t xml:space="preserve">H</x:t>
        </x:is>
      </x:c>
      <x:c r="H17" s="8" t="inlineStr">
        <x:is>
          <x:t xml:space="preserve">Not started</x:t>
        </x:is>
      </x:c>
      <x:c r="I17" s="8" t="inlineStr">
        <x:is>
          <x:t xml:space="preserve"/>
        </x:is>
      </x:c>
      <x:c r="J17" s="8" t="inlineStr">
        <x:is>
          <x:t xml:space="preserve">2026-03-08</x:t>
        </x:is>
      </x:c>
      <x:c r="K17" s="8" t="inlineStr">
        <x:is>
          <x:t xml:space="preserve"/>
        </x:is>
      </x:c>
    </x:row>
    <x:row r="18" ht="70" customHeight="1">
      <x:c r="A18" s="7" t="inlineStr">
        <x:is>
          <x:t xml:space="preserve">Market &amp; Competition</x:t>
        </x:is>
      </x:c>
      <x:c r="B18" s="7" t="inlineStr">
        <x:is>
          <x:t xml:space="preserve">Competitive landscape</x:t>
        </x:is>
      </x:c>
      <x:c r="C18" s="7" t="inlineStr">
        <x:is>
          <x:t xml:space="preserve">Competitor list; alternatives; positioning</x:t>
        </x:is>
      </x:c>
      <x:c r="D18" s="7" t="inlineStr">
        <x:is>
          <x:t xml:space="preserve">Map competitive matrix; review win/loss notes; analyze differentiation</x:t>
        </x:is>
      </x:c>
      <x:c r="E18" s="7" t="inlineStr">
        <x:is>
          <x:t xml:space="preserve">Why will customers switch? Is differentiation durable?</x:t>
        </x:is>
      </x:c>
      <x:c r="F18" s="8" t="inlineStr">
        <x:is>
          <x:t xml:space="preserve"/>
        </x:is>
      </x:c>
      <x:c r="G18" s="8" t="inlineStr">
        <x:is>
          <x:t xml:space="preserve">H</x:t>
        </x:is>
      </x:c>
      <x:c r="H18" s="8" t="inlineStr">
        <x:is>
          <x:t xml:space="preserve">Not started</x:t>
        </x:is>
      </x:c>
      <x:c r="I18" s="8" t="inlineStr">
        <x:is>
          <x:t xml:space="preserve"/>
        </x:is>
      </x:c>
      <x:c r="J18" s="8" t="inlineStr">
        <x:is>
          <x:t xml:space="preserve">2026-03-08</x:t>
        </x:is>
      </x:c>
      <x:c r="K18" s="8" t="inlineStr">
        <x:is>
          <x:t xml:space="preserve"/>
        </x:is>
      </x:c>
    </x:row>
    <x:row r="19" ht="70" customHeight="1">
      <x:c r="A19" s="7" t="inlineStr">
        <x:is>
          <x:t xml:space="preserve">Market &amp; Competition</x:t>
        </x:is>
      </x:c>
      <x:c r="B19" s="7" t="inlineStr">
        <x:is>
          <x:t xml:space="preserve">Moat &amp; defensibility</x:t>
        </x:is>
      </x:c>
      <x:c r="C19" s="7" t="inlineStr">
        <x:is>
          <x:t xml:space="preserve">Network effects/data advantage/workflow lock-in evidence</x:t>
        </x:is>
      </x:c>
      <x:c r="D19" s="7" t="inlineStr">
        <x:is>
          <x:t xml:space="preserve">Identify defensibility hypotheses; find proof points; validate with customers</x:t>
        </x:is>
      </x:c>
      <x:c r="E19" s="7" t="inlineStr">
        <x:is>
          <x:t xml:space="preserve">What gets stronger over time? What can't incumbents replicate easily?</x:t>
        </x:is>
      </x:c>
      <x:c r="F19" s="8" t="inlineStr">
        <x:is>
          <x:t xml:space="preserve"/>
        </x:is>
      </x:c>
      <x:c r="G19" s="8" t="inlineStr">
        <x:is>
          <x:t xml:space="preserve">M</x:t>
        </x:is>
      </x:c>
      <x:c r="H19" s="8" t="inlineStr">
        <x:is>
          <x:t xml:space="preserve">Not started</x:t>
        </x:is>
      </x:c>
      <x:c r="I19" s="8" t="inlineStr">
        <x:is>
          <x:t xml:space="preserve"/>
        </x:is>
      </x:c>
      <x:c r="J19" s="8" t="inlineStr">
        <x:is>
          <x:t xml:space="preserve">2026-03-17</x:t>
        </x:is>
      </x:c>
      <x:c r="K19" s="8" t="inlineStr">
        <x:is>
          <x:t xml:space="preserve"/>
        </x:is>
      </x:c>
    </x:row>
    <x:row r="20" ht="70" customHeight="1">
      <x:c r="A20" s="7" t="inlineStr">
        <x:is>
          <x:t xml:space="preserve">Go-to-Market</x:t>
        </x:is>
      </x:c>
      <x:c r="B20" s="7" t="inlineStr">
        <x:is>
          <x:t xml:space="preserve">Pricing &amp; packaging</x:t>
        </x:is>
      </x:c>
      <x:c r="C20" s="7" t="inlineStr">
        <x:is>
          <x:t xml:space="preserve">Current pricing; experiments; discounting policy</x:t>
        </x:is>
      </x:c>
      <x:c r="D20" s="7" t="inlineStr">
        <x:is>
          <x:t xml:space="preserve">Review pricing page/quotes; test willingness-to-pay; check unit economics fit</x:t>
        </x:is>
      </x:c>
      <x:c r="E20" s="7" t="inlineStr">
        <x:is>
          <x:t xml:space="preserve">Is pricing tied to value? Any hidden delivery costs?</x:t>
        </x:is>
      </x:c>
      <x:c r="F20" s="8" t="inlineStr">
        <x:is>
          <x:t xml:space="preserve"/>
        </x:is>
      </x:c>
      <x:c r="G20" s="8" t="inlineStr">
        <x:is>
          <x:t xml:space="preserve">H</x:t>
        </x:is>
      </x:c>
      <x:c r="H20" s="8" t="inlineStr">
        <x:is>
          <x:t xml:space="preserve">In progress</x:t>
        </x:is>
      </x:c>
      <x:c r="I20" s="8" t="inlineStr">
        <x:is>
          <x:t xml:space="preserve"/>
        </x:is>
      </x:c>
      <x:c r="J20" s="8" t="inlineStr">
        <x:is>
          <x:t xml:space="preserve">2026-03-01</x:t>
        </x:is>
      </x:c>
      <x:c r="K20" s="8" t="inlineStr">
        <x:is>
          <x:t xml:space="preserve"/>
        </x:is>
      </x:c>
    </x:row>
    <x:row r="21" ht="70" customHeight="1">
      <x:c r="A21" s="7" t="inlineStr">
        <x:is>
          <x:t xml:space="preserve">Go-to-Market</x:t>
        </x:is>
      </x:c>
      <x:c r="B21" s="7" t="inlineStr">
        <x:is>
          <x:t xml:space="preserve">Sales motion</x:t>
        </x:is>
      </x:c>
      <x:c r="C21" s="7" t="inlineStr">
        <x:is>
          <x:t xml:space="preserve">Sales funnel stages; cycle length; ACV; win rates</x:t>
        </x:is>
      </x:c>
      <x:c r="D21" s="7" t="inlineStr">
        <x:is>
          <x:t xml:space="preserve">Audit pipeline; speak with 2 customers; verify CRM hygiene</x:t>
        </x:is>
      </x:c>
      <x:c r="E21" s="7" t="inlineStr">
        <x:is>
          <x:t xml:space="preserve">Is there a repeatable sales playbook? What drives churn?</x:t>
        </x:is>
      </x:c>
      <x:c r="F21" s="8" t="inlineStr">
        <x:is>
          <x:t xml:space="preserve"/>
        </x:is>
      </x:c>
      <x:c r="G21" s="8" t="inlineStr">
        <x:is>
          <x:t xml:space="preserve">H</x:t>
        </x:is>
      </x:c>
      <x:c r="H21" s="8" t="inlineStr">
        <x:is>
          <x:t xml:space="preserve">Not started</x:t>
        </x:is>
      </x:c>
      <x:c r="I21" s="8" t="inlineStr">
        <x:is>
          <x:t xml:space="preserve"/>
        </x:is>
      </x:c>
      <x:c r="J21" s="8" t="inlineStr">
        <x:is>
          <x:t xml:space="preserve">2026-03-08</x:t>
        </x:is>
      </x:c>
      <x:c r="K21" s="8" t="inlineStr">
        <x:is>
          <x:t xml:space="preserve"/>
        </x:is>
      </x:c>
    </x:row>
    <x:row r="22" ht="70" customHeight="1">
      <x:c r="A22" s="7" t="inlineStr">
        <x:is>
          <x:t xml:space="preserve">Go-to-Market</x:t>
        </x:is>
      </x:c>
      <x:c r="B22" s="7" t="inlineStr">
        <x:is>
          <x:t xml:space="preserve">Marketing channels</x:t>
        </x:is>
      </x:c>
      <x:c r="C22" s="7" t="inlineStr">
        <x:is>
          <x:t xml:space="preserve">Top acquisition channels; CAC assumptions; attribution setup</x:t>
        </x:is>
      </x:c>
      <x:c r="D22" s="7" t="inlineStr">
        <x:is>
          <x:t xml:space="preserve">Review channel tests; analyze cohort retention; check analytics instrumentation</x:t>
        </x:is>
      </x:c>
      <x:c r="E22" s="7" t="inlineStr">
        <x:is>
          <x:t xml:space="preserve">Which channels scale? What proof exists beyond founder-led sales?</x:t>
        </x:is>
      </x:c>
      <x:c r="F22" s="8" t="inlineStr">
        <x:is>
          <x:t xml:space="preserve"/>
        </x:is>
      </x:c>
      <x:c r="G22" s="8" t="inlineStr">
        <x:is>
          <x:t xml:space="preserve">M</x:t>
        </x:is>
      </x:c>
      <x:c r="H22" s="8" t="inlineStr">
        <x:is>
          <x:t xml:space="preserve">Not started</x:t>
        </x:is>
      </x:c>
      <x:c r="I22" s="8" t="inlineStr">
        <x:is>
          <x:t xml:space="preserve"/>
        </x:is>
      </x:c>
      <x:c r="J22" s="8" t="inlineStr">
        <x:is>
          <x:t xml:space="preserve">2026-03-08</x:t>
        </x:is>
      </x:c>
      <x:c r="K22" s="8" t="inlineStr">
        <x:is>
          <x:t xml:space="preserve"/>
        </x:is>
      </x:c>
    </x:row>
    <x:row r="23" ht="70" customHeight="1">
      <x:c r="A23" s="7" t="inlineStr">
        <x:is>
          <x:t xml:space="preserve">Go-to-Market</x:t>
        </x:is>
      </x:c>
      <x:c r="B23" s="7" t="inlineStr">
        <x:is>
          <x:t xml:space="preserve">Partnerships</x:t>
        </x:is>
      </x:c>
      <x:c r="C23" s="7" t="inlineStr">
        <x:is>
          <x:t xml:space="preserve">Partner list; terms; dependence</x:t>
        </x:is>
      </x:c>
      <x:c r="D23" s="7" t="inlineStr">
        <x:is>
          <x:t xml:space="preserve">Review agreements; confirm partner intent; assess concentration risk</x:t>
        </x:is>
      </x:c>
      <x:c r="E23" s="7" t="inlineStr">
        <x:is>
          <x:t xml:space="preserve">Any single partner risk? Are partnerships defensible or replaceable?</x:t>
        </x:is>
      </x:c>
      <x:c r="F23" s="8" t="inlineStr">
        <x:is>
          <x:t xml:space="preserve"/>
        </x:is>
      </x:c>
      <x:c r="G23" s="8" t="inlineStr">
        <x:is>
          <x:t xml:space="preserve">M</x:t>
        </x:is>
      </x:c>
      <x:c r="H23" s="8" t="inlineStr">
        <x:is>
          <x:t xml:space="preserve">Not started</x:t>
        </x:is>
      </x:c>
      <x:c r="I23" s="8" t="inlineStr">
        <x:is>
          <x:t xml:space="preserve"/>
        </x:is>
      </x:c>
      <x:c r="J23" s="8" t="inlineStr">
        <x:is>
          <x:t xml:space="preserve">2026-03-17</x:t>
        </x:is>
      </x:c>
      <x:c r="K23" s="8" t="inlineStr">
        <x:is>
          <x:t xml:space="preserve"/>
        </x:is>
      </x:c>
    </x:row>
    <x:row r="24" ht="70" customHeight="1">
      <x:c r="A24" s="7" t="inlineStr">
        <x:is>
          <x:t xml:space="preserve">Traction &amp; Metrics</x:t>
        </x:is>
      </x:c>
      <x:c r="B24" s="7" t="inlineStr">
        <x:is>
          <x:t xml:space="preserve">Cohort retention</x:t>
        </x:is>
      </x:c>
      <x:c r="C24" s="7" t="inlineStr">
        <x:is>
          <x:t xml:space="preserve">User/customer cohorts; retention curves</x:t>
        </x:is>
      </x:c>
      <x:c r="D24" s="7" t="inlineStr">
        <x:is>
          <x:t xml:space="preserve">Review retention by cohort; look for inflection; segment by persona</x:t>
        </x:is>
      </x:c>
      <x:c r="E24" s="7" t="inlineStr">
        <x:is>
          <x:t xml:space="preserve">Do users come back? What drives retention and expansion?</x:t>
        </x:is>
      </x:c>
      <x:c r="F24" s="8" t="inlineStr">
        <x:is>
          <x:t xml:space="preserve"/>
        </x:is>
      </x:c>
      <x:c r="G24" s="8" t="inlineStr">
        <x:is>
          <x:t xml:space="preserve">H</x:t>
        </x:is>
      </x:c>
      <x:c r="H24" s="8" t="inlineStr">
        <x:is>
          <x:t xml:space="preserve">Not started</x:t>
        </x:is>
      </x:c>
      <x:c r="I24" s="8" t="inlineStr">
        <x:is>
          <x:t xml:space="preserve"/>
        </x:is>
      </x:c>
      <x:c r="J24" s="8" t="inlineStr">
        <x:is>
          <x:t xml:space="preserve">2026-03-01</x:t>
        </x:is>
      </x:c>
      <x:c r="K24" s="8" t="inlineStr">
        <x:is>
          <x:t xml:space="preserve"/>
        </x:is>
      </x:c>
    </x:row>
    <x:row r="25" ht="70" customHeight="1">
      <x:c r="A25" s="7" t="inlineStr">
        <x:is>
          <x:t xml:space="preserve">Traction &amp; Metrics</x:t>
        </x:is>
      </x:c>
      <x:c r="B25" s="7" t="inlineStr">
        <x:is>
          <x:t xml:space="preserve">Revenue quality</x:t>
        </x:is>
      </x:c>
      <x:c r="C25" s="7" t="inlineStr">
        <x:is>
          <x:t xml:space="preserve">MRR/ARR bridge; bookings vs revenue; churn</x:t>
        </x:is>
      </x:c>
      <x:c r="D25" s="7" t="inlineStr">
        <x:is>
          <x:t xml:space="preserve">Reconcile revenue; inspect invoices; check churn reasons</x:t>
        </x:is>
      </x:c>
      <x:c r="E25" s="7" t="inlineStr">
        <x:is>
          <x:t xml:space="preserve">Are numbers clean? Any one-time revenue or services disguised as SaaS?</x:t>
        </x:is>
      </x:c>
      <x:c r="F25" s="8" t="inlineStr">
        <x:is>
          <x:t xml:space="preserve"/>
        </x:is>
      </x:c>
      <x:c r="G25" s="8" t="inlineStr">
        <x:is>
          <x:t xml:space="preserve">H</x:t>
        </x:is>
      </x:c>
      <x:c r="H25" s="8" t="inlineStr">
        <x:is>
          <x:t xml:space="preserve">Not started</x:t>
        </x:is>
      </x:c>
      <x:c r="I25" s="8" t="inlineStr">
        <x:is>
          <x:t xml:space="preserve"/>
        </x:is>
      </x:c>
      <x:c r="J25" s="8" t="inlineStr">
        <x:is>
          <x:t xml:space="preserve">2026-03-01</x:t>
        </x:is>
      </x:c>
      <x:c r="K25" s="8" t="inlineStr">
        <x:is>
          <x:t xml:space="preserve"/>
        </x:is>
      </x:c>
    </x:row>
    <x:row r="26" ht="70" customHeight="1">
      <x:c r="A26" s="7" t="inlineStr">
        <x:is>
          <x:t xml:space="preserve">Traction &amp; Metrics</x:t>
        </x:is>
      </x:c>
      <x:c r="B26" s="7" t="inlineStr">
        <x:is>
          <x:t xml:space="preserve">Customer references</x:t>
        </x:is>
      </x:c>
      <x:c r="C26" s="7" t="inlineStr">
        <x:is>
          <x:t xml:space="preserve">List of 5–10 customers + power users</x:t>
        </x:is>
      </x:c>
      <x:c r="D26" s="7" t="inlineStr">
        <x:is>
          <x:t xml:space="preserve">Conduct reference calls; capture verbatims; triangulate ROI claims</x:t>
        </x:is>
      </x:c>
      <x:c r="E26" s="7" t="inlineStr">
        <x:is>
          <x:t xml:space="preserve">What outcomes do customers get? Would they be upset if product disappeared?</x:t>
        </x:is>
      </x:c>
      <x:c r="F26" s="8" t="inlineStr">
        <x:is>
          <x:t xml:space="preserve"/>
        </x:is>
      </x:c>
      <x:c r="G26" s="8" t="inlineStr">
        <x:is>
          <x:t xml:space="preserve">H</x:t>
        </x:is>
      </x:c>
      <x:c r="H26" s="8" t="inlineStr">
        <x:is>
          <x:t xml:space="preserve">Not started</x:t>
        </x:is>
      </x:c>
      <x:c r="I26" s="8" t="inlineStr">
        <x:is>
          <x:t xml:space="preserve"/>
        </x:is>
      </x:c>
      <x:c r="J26" s="8" t="inlineStr">
        <x:is>
          <x:t xml:space="preserve">2026-03-08</x:t>
        </x:is>
      </x:c>
      <x:c r="K26" s="8" t="inlineStr">
        <x:is>
          <x:t xml:space="preserve"/>
        </x:is>
      </x:c>
    </x:row>
    <x:row r="27" ht="70" customHeight="1">
      <x:c r="A27" s="7" t="inlineStr">
        <x:is>
          <x:t xml:space="preserve">Traction &amp; Metrics</x:t>
        </x:is>
      </x:c>
      <x:c r="B27" s="7" t="inlineStr">
        <x:is>
          <x:t xml:space="preserve">Product usage analytics</x:t>
        </x:is>
      </x:c>
      <x:c r="C27" s="7" t="inlineStr">
        <x:is>
          <x:t xml:space="preserve">Activation metrics; north star; event schema</x:t>
        </x:is>
      </x:c>
      <x:c r="D27" s="7" t="inlineStr">
        <x:is>
          <x:t xml:space="preserve">Review analytics dashboards; validate instrumentation; identify leading indicators</x:t>
        </x:is>
      </x:c>
      <x:c r="E27" s="7" t="inlineStr">
        <x:is>
          <x:t xml:space="preserve">What metrics predict retention and revenue?</x:t>
        </x:is>
      </x:c>
      <x:c r="F27" s="8" t="inlineStr">
        <x:is>
          <x:t xml:space="preserve"/>
        </x:is>
      </x:c>
      <x:c r="G27" s="8" t="inlineStr">
        <x:is>
          <x:t xml:space="preserve">M</x:t>
        </x:is>
      </x:c>
      <x:c r="H27" s="8" t="inlineStr">
        <x:is>
          <x:t xml:space="preserve">Not started</x:t>
        </x:is>
      </x:c>
      <x:c r="I27" s="8" t="inlineStr">
        <x:is>
          <x:t xml:space="preserve"/>
        </x:is>
      </x:c>
      <x:c r="J27" s="8" t="inlineStr">
        <x:is>
          <x:t xml:space="preserve">2026-03-08</x:t>
        </x:is>
      </x:c>
      <x:c r="K27" s="8" t="inlineStr">
        <x:is>
          <x:t xml:space="preserve"/>
        </x:is>
      </x:c>
    </x:row>
    <x:row r="28" ht="70" customHeight="1">
      <x:c r="A28" s="7" t="inlineStr">
        <x:is>
          <x:t xml:space="preserve">Financials</x:t>
        </x:is>
      </x:c>
      <x:c r="B28" s="7" t="inlineStr">
        <x:is>
          <x:t xml:space="preserve">Historical financials</x:t>
        </x:is>
      </x:c>
      <x:c r="C28" s="7" t="inlineStr">
        <x:is>
          <x:t xml:space="preserve">P&amp;L and cashflow to date; bank statements</x:t>
        </x:is>
      </x:c>
      <x:c r="D28" s="7" t="inlineStr">
        <x:is>
          <x:t xml:space="preserve">Reconcile to bank; validate burn; check accounting quality</x:t>
        </x:is>
      </x:c>
      <x:c r="E28" s="7" t="inlineStr">
        <x:is>
          <x:t xml:space="preserve">What is true burn? Any hidden liabilities?</x:t>
        </x:is>
      </x:c>
      <x:c r="F28" s="8" t="inlineStr">
        <x:is>
          <x:t xml:space="preserve"/>
        </x:is>
      </x:c>
      <x:c r="G28" s="8" t="inlineStr">
        <x:is>
          <x:t xml:space="preserve">H</x:t>
        </x:is>
      </x:c>
      <x:c r="H28" s="8" t="inlineStr">
        <x:is>
          <x:t xml:space="preserve">Not started</x:t>
        </x:is>
      </x:c>
      <x:c r="I28" s="8" t="inlineStr">
        <x:is>
          <x:t xml:space="preserve"/>
        </x:is>
      </x:c>
      <x:c r="J28" s="8" t="inlineStr">
        <x:is>
          <x:t xml:space="preserve">2026-03-01</x:t>
        </x:is>
      </x:c>
      <x:c r="K28" s="8" t="inlineStr">
        <x:is>
          <x:t xml:space="preserve"/>
        </x:is>
      </x:c>
    </x:row>
    <x:row r="29" ht="70" customHeight="1">
      <x:c r="A29" s="7" t="inlineStr">
        <x:is>
          <x:t xml:space="preserve">Financials</x:t>
        </x:is>
      </x:c>
      <x:c r="B29" s="7" t="inlineStr">
        <x:is>
          <x:t xml:space="preserve">Runway &amp; burn plan</x:t>
        </x:is>
      </x:c>
      <x:c r="C29" s="7" t="inlineStr">
        <x:is>
          <x:t xml:space="preserve">Monthly burn forecast; runway scenarios</x:t>
        </x:is>
      </x:c>
      <x:c r="D29" s="7" t="inlineStr">
        <x:is>
          <x:t xml:space="preserve">Build simple runway model; stress test hiring and GTM spend</x:t>
        </x:is>
      </x:c>
      <x:c r="E29" s="7" t="inlineStr">
        <x:is>
          <x:t xml:space="preserve">How long is runway under base/downside? What are levers to extend?</x:t>
        </x:is>
      </x:c>
      <x:c r="F29" s="8" t="inlineStr">
        <x:is>
          <x:t xml:space="preserve"/>
        </x:is>
      </x:c>
      <x:c r="G29" s="8" t="inlineStr">
        <x:is>
          <x:t xml:space="preserve">H</x:t>
        </x:is>
      </x:c>
      <x:c r="H29" s="8" t="inlineStr">
        <x:is>
          <x:t xml:space="preserve">Not started</x:t>
        </x:is>
      </x:c>
      <x:c r="I29" s="8" t="inlineStr">
        <x:is>
          <x:t xml:space="preserve"/>
        </x:is>
      </x:c>
      <x:c r="J29" s="8" t="inlineStr">
        <x:is>
          <x:t xml:space="preserve">2026-03-01</x:t>
        </x:is>
      </x:c>
      <x:c r="K29" s="8" t="inlineStr">
        <x:is>
          <x:t xml:space="preserve"/>
        </x:is>
      </x:c>
    </x:row>
    <x:row r="30" ht="70" customHeight="1">
      <x:c r="A30" s="7" t="inlineStr">
        <x:is>
          <x:t xml:space="preserve">Financials</x:t>
        </x:is>
      </x:c>
      <x:c r="B30" s="7" t="inlineStr">
        <x:is>
          <x:t xml:space="preserve">Unit economics</x:t>
        </x:is>
      </x:c>
      <x:c r="C30" s="7" t="inlineStr">
        <x:is>
          <x:t xml:space="preserve">Gross margin, CAC, payback, LTV assumptions</x:t>
        </x:is>
      </x:c>
      <x:c r="D30" s="7" t="inlineStr">
        <x:is>
          <x:t xml:space="preserve">Compute contribution margin; analyze CAC by channel; verify payback</x:t>
        </x:is>
      </x:c>
      <x:c r="E30" s="7" t="inlineStr">
        <x:is>
          <x:t xml:space="preserve">Are unit economics improving with scale? Any margin ceiling?</x:t>
        </x:is>
      </x:c>
      <x:c r="F30" s="8" t="inlineStr">
        <x:is>
          <x:t xml:space="preserve"/>
        </x:is>
      </x:c>
      <x:c r="G30" s="8" t="inlineStr">
        <x:is>
          <x:t xml:space="preserve">H</x:t>
        </x:is>
      </x:c>
      <x:c r="H30" s="8" t="inlineStr">
        <x:is>
          <x:t xml:space="preserve">Not started</x:t>
        </x:is>
      </x:c>
      <x:c r="I30" s="8" t="inlineStr">
        <x:is>
          <x:t xml:space="preserve"/>
        </x:is>
      </x:c>
      <x:c r="J30" s="8" t="inlineStr">
        <x:is>
          <x:t xml:space="preserve">2026-03-08</x:t>
        </x:is>
      </x:c>
      <x:c r="K30" s="8" t="inlineStr">
        <x:is>
          <x:t xml:space="preserve"/>
        </x:is>
      </x:c>
    </x:row>
    <x:row r="31" ht="70" customHeight="1">
      <x:c r="A31" s="7" t="inlineStr">
        <x:is>
          <x:t xml:space="preserve">Financials</x:t>
        </x:is>
      </x:c>
      <x:c r="B31" s="7" t="inlineStr">
        <x:is>
          <x:t xml:space="preserve">Forecast realism</x:t>
        </x:is>
      </x:c>
      <x:c r="C31" s="7" t="inlineStr">
        <x:is>
          <x:t xml:space="preserve">12–24 month plan; key milestones</x:t>
        </x:is>
      </x:c>
      <x:c r="D31" s="7" t="inlineStr">
        <x:is>
          <x:t xml:space="preserve">Review assumptions; compare to benchmarks; identify critical path</x:t>
        </x:is>
      </x:c>
      <x:c r="E31" s="7" t="inlineStr">
        <x:is>
          <x:t xml:space="preserve">What must be true to hit plan? Are timelines credible?</x:t>
        </x:is>
      </x:c>
      <x:c r="F31" s="8" t="inlineStr">
        <x:is>
          <x:t xml:space="preserve"/>
        </x:is>
      </x:c>
      <x:c r="G31" s="8" t="inlineStr">
        <x:is>
          <x:t xml:space="preserve">M</x:t>
        </x:is>
      </x:c>
      <x:c r="H31" s="8" t="inlineStr">
        <x:is>
          <x:t xml:space="preserve">Not started</x:t>
        </x:is>
      </x:c>
      <x:c r="I31" s="8" t="inlineStr">
        <x:is>
          <x:t xml:space="preserve"/>
        </x:is>
      </x:c>
      <x:c r="J31" s="8" t="inlineStr">
        <x:is>
          <x:t xml:space="preserve">2026-03-17</x:t>
        </x:is>
      </x:c>
      <x:c r="K31" s="8" t="inlineStr">
        <x:is>
          <x:t xml:space="preserve"/>
        </x:is>
      </x:c>
    </x:row>
    <x:row r="32" ht="70" customHeight="1">
      <x:c r="A32" s="7" t="inlineStr">
        <x:is>
          <x:t xml:space="preserve">Legal &amp; Compliance</x:t>
        </x:is>
      </x:c>
      <x:c r="B32" s="7" t="inlineStr">
        <x:is>
          <x:t xml:space="preserve">Incorporation &amp; governance</x:t>
        </x:is>
      </x:c>
      <x:c r="C32" s="7" t="inlineStr">
        <x:is>
          <x:t xml:space="preserve">Charter, bylaws, board consents</x:t>
        </x:is>
      </x:c>
      <x:c r="D32" s="7" t="inlineStr">
        <x:is>
          <x:t xml:space="preserve">Review corporate docs; confirm board approvals; check signature authority</x:t>
        </x:is>
      </x:c>
      <x:c r="E32" s="7" t="inlineStr">
        <x:is>
          <x:t xml:space="preserve">Is corporate hygiene clean? Any missing consents?</x:t>
        </x:is>
      </x:c>
      <x:c r="F32" s="8" t="inlineStr">
        <x:is>
          <x:t xml:space="preserve"/>
        </x:is>
      </x:c>
      <x:c r="G32" s="8" t="inlineStr">
        <x:is>
          <x:t xml:space="preserve">H</x:t>
        </x:is>
      </x:c>
      <x:c r="H32" s="8" t="inlineStr">
        <x:is>
          <x:t xml:space="preserve">Not started</x:t>
        </x:is>
      </x:c>
      <x:c r="I32" s="8" t="inlineStr">
        <x:is>
          <x:t xml:space="preserve"/>
        </x:is>
      </x:c>
      <x:c r="J32" s="8" t="inlineStr">
        <x:is>
          <x:t xml:space="preserve">2026-03-08</x:t>
        </x:is>
      </x:c>
      <x:c r="K32" s="8" t="inlineStr">
        <x:is>
          <x:t xml:space="preserve"/>
        </x:is>
      </x:c>
    </x:row>
    <x:row r="33" ht="70" customHeight="1">
      <x:c r="A33" s="7" t="inlineStr">
        <x:is>
          <x:t xml:space="preserve">Legal &amp; Compliance</x:t>
        </x:is>
      </x:c>
      <x:c r="B33" s="7" t="inlineStr">
        <x:is>
          <x:t xml:space="preserve">Cap table health</x:t>
        </x:is>
      </x:c>
      <x:c r="C33" s="7" t="inlineStr">
        <x:is>
          <x:t xml:space="preserve">Cap table, SAFEs/notes, option pool, pro-rata</x:t>
        </x:is>
      </x:c>
      <x:c r="D33" s="7" t="inlineStr">
        <x:is>
          <x:t xml:space="preserve">Validate cap table; check dilution; confirm vesting/repurchase rights</x:t>
        </x:is>
      </x:c>
      <x:c r="E33" s="7" t="inlineStr">
        <x:is>
          <x:t xml:space="preserve">Any unusual terms? Any broken option grants?</x:t>
        </x:is>
      </x:c>
      <x:c r="F33" s="8" t="inlineStr">
        <x:is>
          <x:t xml:space="preserve"/>
        </x:is>
      </x:c>
      <x:c r="G33" s="8" t="inlineStr">
        <x:is>
          <x:t xml:space="preserve">H</x:t>
        </x:is>
      </x:c>
      <x:c r="H33" s="8" t="inlineStr">
        <x:is>
          <x:t xml:space="preserve">In progress</x:t>
        </x:is>
      </x:c>
      <x:c r="I33" s="8" t="inlineStr">
        <x:is>
          <x:t xml:space="preserve"/>
        </x:is>
      </x:c>
      <x:c r="J33" s="8" t="inlineStr">
        <x:is>
          <x:t xml:space="preserve">2026-03-01</x:t>
        </x:is>
      </x:c>
      <x:c r="K33" s="8" t="inlineStr">
        <x:is>
          <x:t xml:space="preserve"/>
        </x:is>
      </x:c>
    </x:row>
    <x:row r="34" ht="70" customHeight="1">
      <x:c r="A34" s="7" t="inlineStr">
        <x:is>
          <x:t xml:space="preserve">Legal &amp; Compliance</x:t>
        </x:is>
      </x:c>
      <x:c r="B34" s="7" t="inlineStr">
        <x:is>
          <x:t xml:space="preserve">Contracts</x:t>
        </x:is>
      </x:c>
      <x:c r="C34" s="7" t="inlineStr">
        <x:is>
          <x:t xml:space="preserve">Customer/vendor contracts; MSAs; SLAs</x:t>
        </x:is>
      </x:c>
      <x:c r="D34" s="7" t="inlineStr">
        <x:is>
          <x:t xml:space="preserve">Review top contracts; redline risky clauses; check termination and liability</x:t>
        </x:is>
      </x:c>
      <x:c r="E34" s="7" t="inlineStr">
        <x:is>
          <x:t xml:space="preserve">Are there change-of-control clauses? Uncapped liability?</x:t>
        </x:is>
      </x:c>
      <x:c r="F34" s="8" t="inlineStr">
        <x:is>
          <x:t xml:space="preserve"/>
        </x:is>
      </x:c>
      <x:c r="G34" s="8" t="inlineStr">
        <x:is>
          <x:t xml:space="preserve">H</x:t>
        </x:is>
      </x:c>
      <x:c r="H34" s="8" t="inlineStr">
        <x:is>
          <x:t xml:space="preserve">Not started</x:t>
        </x:is>
      </x:c>
      <x:c r="I34" s="8" t="inlineStr">
        <x:is>
          <x:t xml:space="preserve"/>
        </x:is>
      </x:c>
      <x:c r="J34" s="8" t="inlineStr">
        <x:is>
          <x:t xml:space="preserve">2026-03-08</x:t>
        </x:is>
      </x:c>
      <x:c r="K34" s="8" t="inlineStr">
        <x:is>
          <x:t xml:space="preserve"/>
        </x:is>
      </x:c>
    </x:row>
    <x:row r="35" ht="70" customHeight="1">
      <x:c r="A35" s="7" t="inlineStr">
        <x:is>
          <x:t xml:space="preserve">Legal &amp; Compliance</x:t>
        </x:is>
      </x:c>
      <x:c r="B35" s="7" t="inlineStr">
        <x:is>
          <x:t xml:space="preserve">Employment &amp; IP assignment</x:t>
        </x:is>
      </x:c>
      <x:c r="C35" s="7" t="inlineStr">
        <x:is>
          <x:t xml:space="preserve">Offer letters, PIIA, contractor agreements</x:t>
        </x:is>
      </x:c>
      <x:c r="D35" s="7" t="inlineStr">
        <x:is>
          <x:t xml:space="preserve">Confirm all IP assigned; check misclassification risks; review founder vesting</x:t>
        </x:is>
      </x:c>
      <x:c r="E35" s="7" t="inlineStr">
        <x:is>
          <x:t xml:space="preserve">Does anyone own critical IP personally? Any contractor leakage?</x:t>
        </x:is>
      </x:c>
      <x:c r="F35" s="8" t="inlineStr">
        <x:is>
          <x:t xml:space="preserve"/>
        </x:is>
      </x:c>
      <x:c r="G35" s="8" t="inlineStr">
        <x:is>
          <x:t xml:space="preserve">H</x:t>
        </x:is>
      </x:c>
      <x:c r="H35" s="8" t="inlineStr">
        <x:is>
          <x:t xml:space="preserve">Not started</x:t>
        </x:is>
      </x:c>
      <x:c r="I35" s="8" t="inlineStr">
        <x:is>
          <x:t xml:space="preserve"/>
        </x:is>
      </x:c>
      <x:c r="J35" s="8" t="inlineStr">
        <x:is>
          <x:t xml:space="preserve">2026-03-08</x:t>
        </x:is>
      </x:c>
      <x:c r="K35" s="8" t="inlineStr">
        <x:is>
          <x:t xml:space="preserve"/>
        </x:is>
      </x:c>
    </x:row>
    <x:row r="36" ht="70" customHeight="1">
      <x:c r="A36" s="7" t="inlineStr">
        <x:is>
          <x:t xml:space="preserve">Legal &amp; Compliance</x:t>
        </x:is>
      </x:c>
      <x:c r="B36" s="7" t="inlineStr">
        <x:is>
          <x:t xml:space="preserve">Regulatory</x:t>
        </x:is>
      </x:c>
      <x:c r="C36" s="7" t="inlineStr">
        <x:is>
          <x:t xml:space="preserve">Regulatory obligations (industry-specific)</x:t>
        </x:is>
      </x:c>
      <x:c r="D36" s="7" t="inlineStr">
        <x:is>
          <x:t xml:space="preserve">Map regulators; review compliance posture; verify licenses if needed</x:t>
        </x:is>
      </x:c>
      <x:c r="E36" s="7" t="inlineStr">
        <x:is>
          <x:t xml:space="preserve">What could stop sales due to regulation? What’s the compliance roadmap?</x:t>
        </x:is>
      </x:c>
      <x:c r="F36" s="8" t="inlineStr">
        <x:is>
          <x:t xml:space="preserve"/>
        </x:is>
      </x:c>
      <x:c r="G36" s="8" t="inlineStr">
        <x:is>
          <x:t xml:space="preserve">M</x:t>
        </x:is>
      </x:c>
      <x:c r="H36" s="8" t="inlineStr">
        <x:is>
          <x:t xml:space="preserve">Not started</x:t>
        </x:is>
      </x:c>
      <x:c r="I36" s="8" t="inlineStr">
        <x:is>
          <x:t xml:space="preserve"/>
        </x:is>
      </x:c>
      <x:c r="J36" s="8" t="inlineStr">
        <x:is>
          <x:t xml:space="preserve">2026-03-17</x:t>
        </x:is>
      </x:c>
      <x:c r="K36" s="8" t="inlineStr">
        <x:is>
          <x:t xml:space="preserve"/>
        </x:is>
      </x:c>
    </x:row>
    <x:row r="37" ht="70" customHeight="1">
      <x:c r="A37" s="7" t="inlineStr">
        <x:is>
          <x:t xml:space="preserve">Operations &amp; Risk</x:t>
        </x:is>
      </x:c>
      <x:c r="B37" s="7" t="inlineStr">
        <x:is>
          <x:t xml:space="preserve">Key person risk</x:t>
        </x:is>
      </x:c>
      <x:c r="C37" s="7" t="inlineStr">
        <x:is>
          <x:t xml:space="preserve">Dependency map; bus factor</x:t>
        </x:is>
      </x:c>
      <x:c r="D37" s="7" t="inlineStr">
        <x:is>
          <x:t xml:space="preserve">Identify single points; mitigation plan; hiring priorities</x:t>
        </x:is>
      </x:c>
      <x:c r="E37" s="7" t="inlineStr">
        <x:is>
          <x:t xml:space="preserve">What breaks if a founder leaves?</x:t>
        </x:is>
      </x:c>
      <x:c r="F37" s="8" t="inlineStr">
        <x:is>
          <x:t xml:space="preserve"/>
        </x:is>
      </x:c>
      <x:c r="G37" s="8" t="inlineStr">
        <x:is>
          <x:t xml:space="preserve">M</x:t>
        </x:is>
      </x:c>
      <x:c r="H37" s="8" t="inlineStr">
        <x:is>
          <x:t xml:space="preserve">Not started</x:t>
        </x:is>
      </x:c>
      <x:c r="I37" s="8" t="inlineStr">
        <x:is>
          <x:t xml:space="preserve"/>
        </x:is>
      </x:c>
      <x:c r="J37" s="8" t="inlineStr">
        <x:is>
          <x:t xml:space="preserve">2026-03-08</x:t>
        </x:is>
      </x:c>
      <x:c r="K37" s="8" t="inlineStr">
        <x:is>
          <x:t xml:space="preserve"/>
        </x:is>
      </x:c>
    </x:row>
    <x:row r="38" ht="70" customHeight="1">
      <x:c r="A38" s="7" t="inlineStr">
        <x:is>
          <x:t xml:space="preserve">Operations &amp; Risk</x:t>
        </x:is>
      </x:c>
      <x:c r="B38" s="7" t="inlineStr">
        <x:is>
          <x:t xml:space="preserve">Vendor / tooling risk</x:t>
        </x:is>
      </x:c>
      <x:c r="C38" s="7" t="inlineStr">
        <x:is>
          <x:t xml:space="preserve">Critical vendors; spend; contracts</x:t>
        </x:is>
      </x:c>
      <x:c r="D38" s="7" t="inlineStr">
        <x:is>
          <x:t xml:space="preserve">Review vendor list; ensure alternatives; confirm cost scaling</x:t>
        </x:is>
      </x:c>
      <x:c r="E38" s="7" t="inlineStr">
        <x:is>
          <x:t xml:space="preserve">Any vendor that can shut down the business?</x:t>
        </x:is>
      </x:c>
      <x:c r="F38" s="8" t="inlineStr">
        <x:is>
          <x:t xml:space="preserve"/>
        </x:is>
      </x:c>
      <x:c r="G38" s="8" t="inlineStr">
        <x:is>
          <x:t xml:space="preserve">M</x:t>
        </x:is>
      </x:c>
      <x:c r="H38" s="8" t="inlineStr">
        <x:is>
          <x:t xml:space="preserve">Not started</x:t>
        </x:is>
      </x:c>
      <x:c r="I38" s="8" t="inlineStr">
        <x:is>
          <x:t xml:space="preserve"/>
        </x:is>
      </x:c>
      <x:c r="J38" s="8" t="inlineStr">
        <x:is>
          <x:t xml:space="preserve">2026-03-17</x:t>
        </x:is>
      </x:c>
      <x:c r="K38" s="8" t="inlineStr">
        <x:is>
          <x:t xml:space="preserve"/>
        </x:is>
      </x:c>
    </x:row>
    <x:row r="39" ht="70" customHeight="1">
      <x:c r="A39" s="7" t="inlineStr">
        <x:is>
          <x:t xml:space="preserve">Operations &amp; Risk</x:t>
        </x:is>
      </x:c>
      <x:c r="B39" s="7" t="inlineStr">
        <x:is>
          <x:t xml:space="preserve">Customer concentration</x:t>
        </x:is>
      </x:c>
      <x:c r="C39" s="7" t="inlineStr">
        <x:is>
          <x:t xml:space="preserve">Revenue by customer; pipeline concentration</x:t>
        </x:is>
      </x:c>
      <x:c r="D39" s="7" t="inlineStr">
        <x:is>
          <x:t xml:space="preserve">Analyze concentration; assess diversification plan</x:t>
        </x:is>
      </x:c>
      <x:c r="E39" s="7" t="inlineStr">
        <x:is>
          <x:t xml:space="preserve">Is the business dependent on 1–2 customers?</x:t>
        </x:is>
      </x:c>
      <x:c r="F39" s="8" t="inlineStr">
        <x:is>
          <x:t xml:space="preserve"/>
        </x:is>
      </x:c>
      <x:c r="G39" s="8" t="inlineStr">
        <x:is>
          <x:t xml:space="preserve">H</x:t>
        </x:is>
      </x:c>
      <x:c r="H39" s="8" t="inlineStr">
        <x:is>
          <x:t xml:space="preserve">Not started</x:t>
        </x:is>
      </x:c>
      <x:c r="I39" s="8" t="inlineStr">
        <x:is>
          <x:t xml:space="preserve"/>
        </x:is>
      </x:c>
      <x:c r="J39" s="8" t="inlineStr">
        <x:is>
          <x:t xml:space="preserve">2026-03-01</x:t>
        </x:is>
      </x:c>
      <x:c r="K39" s="8" t="inlineStr">
        <x:is>
          <x:t xml:space="preserve"/>
        </x:is>
      </x:c>
    </x:row>
    <x:row r="40" ht="70" customHeight="1">
      <x:c r="A40" s="7" t="inlineStr">
        <x:is>
          <x:t xml:space="preserve">Operations &amp; Risk</x:t>
        </x:is>
      </x:c>
      <x:c r="B40" s="7" t="inlineStr">
        <x:is>
          <x:t xml:space="preserve">Ethics &amp; reputation</x:t>
        </x:is>
      </x:c>
      <x:c r="C40" s="7" t="inlineStr">
        <x:is>
          <x:t xml:space="preserve">Policies; litigation; public risk</x:t>
        </x:is>
      </x:c>
      <x:c r="D40" s="7" t="inlineStr">
        <x:is>
          <x:t xml:space="preserve">Background checks; litigation search (if relevant); review comms plan</x:t>
        </x:is>
      </x:c>
      <x:c r="E40" s="7" t="inlineStr">
        <x:is>
          <x:t xml:space="preserve">Any reputational or ethical red flags?</x:t>
        </x:is>
      </x:c>
      <x:c r="F40" s="8" t="inlineStr">
        <x:is>
          <x:t xml:space="preserve"/>
        </x:is>
      </x:c>
      <x:c r="G40" s="8" t="inlineStr">
        <x:is>
          <x:t xml:space="preserve">M</x:t>
        </x:is>
      </x:c>
      <x:c r="H40" s="8" t="inlineStr">
        <x:is>
          <x:t xml:space="preserve">Not started</x:t>
        </x:is>
      </x:c>
      <x:c r="I40" s="8" t="inlineStr">
        <x:is>
          <x:t xml:space="preserve"/>
        </x:is>
      </x:c>
      <x:c r="J40" s="8" t="inlineStr">
        <x:is>
          <x:t xml:space="preserve">2026-03-17</x:t>
        </x:is>
      </x:c>
      <x:c r="K40" s="8" t="inlineStr">
        <x:is>
          <x:t xml:space="preserve"/>
        </x:is>
      </x:c>
    </x:row>
    <x:row r="41" ht="70" customHeight="1">
      <x:c r="A41" s="7" t="inlineStr">
        <x:is>
          <x:t xml:space="preserve">Deal Mechanics</x:t>
        </x:is>
      </x:c>
      <x:c r="B41" s="7" t="inlineStr">
        <x:is>
          <x:t xml:space="preserve">Use of proceeds</x:t>
        </x:is>
      </x:c>
      <x:c r="C41" s="7" t="inlineStr">
        <x:is>
          <x:t xml:space="preserve">Use-of-funds plan tied to milestones</x:t>
        </x:is>
      </x:c>
      <x:c r="D41" s="7" t="inlineStr">
        <x:is>
          <x:t xml:space="preserve">Map spend to outcomes; validate capital efficiency</x:t>
        </x:is>
      </x:c>
      <x:c r="E41" s="7" t="inlineStr">
        <x:is>
          <x:t xml:space="preserve">Does capital meaningfully de-risk the next round?</x:t>
        </x:is>
      </x:c>
      <x:c r="F41" s="8" t="inlineStr">
        <x:is>
          <x:t xml:space="preserve"/>
        </x:is>
      </x:c>
      <x:c r="G41" s="8" t="inlineStr">
        <x:is>
          <x:t xml:space="preserve">H</x:t>
        </x:is>
      </x:c>
      <x:c r="H41" s="8" t="inlineStr">
        <x:is>
          <x:t xml:space="preserve">Not started</x:t>
        </x:is>
      </x:c>
      <x:c r="I41" s="8" t="inlineStr">
        <x:is>
          <x:t xml:space="preserve"/>
        </x:is>
      </x:c>
      <x:c r="J41" s="8" t="inlineStr">
        <x:is>
          <x:t xml:space="preserve">2026-03-01</x:t>
        </x:is>
      </x:c>
      <x:c r="K41" s="8" t="inlineStr">
        <x:is>
          <x:t xml:space="preserve"/>
        </x:is>
      </x:c>
    </x:row>
    <x:row r="42" ht="70" customHeight="1">
      <x:c r="A42" s="7" t="inlineStr">
        <x:is>
          <x:t xml:space="preserve">Deal Mechanics</x:t>
        </x:is>
      </x:c>
      <x:c r="B42" s="7" t="inlineStr">
        <x:is>
          <x:t xml:space="preserve">Valuation &amp; terms</x:t>
        </x:is>
      </x:c>
      <x:c r="C42" s="7" t="inlineStr">
        <x:is>
          <x:t xml:space="preserve">Term sheet; key economic and control terms</x:t>
        </x:is>
      </x:c>
      <x:c r="D42" s="7" t="inlineStr">
        <x:is>
          <x:t xml:space="preserve">Review terms; compare comps; model dilution and control</x:t>
        </x:is>
      </x:c>
      <x:c r="E42" s="7" t="inlineStr">
        <x:is>
          <x:t xml:space="preserve">Are terms aligned with stage risk? Any unusual veto rights?</x:t>
        </x:is>
      </x:c>
      <x:c r="F42" s="8" t="inlineStr">
        <x:is>
          <x:t xml:space="preserve"/>
        </x:is>
      </x:c>
      <x:c r="G42" s="8" t="inlineStr">
        <x:is>
          <x:t xml:space="preserve">H</x:t>
        </x:is>
      </x:c>
      <x:c r="H42" s="8" t="inlineStr">
        <x:is>
          <x:t xml:space="preserve">Not started</x:t>
        </x:is>
      </x:c>
      <x:c r="I42" s="8" t="inlineStr">
        <x:is>
          <x:t xml:space="preserve"/>
        </x:is>
      </x:c>
      <x:c r="J42" s="8" t="inlineStr">
        <x:is>
          <x:t xml:space="preserve">2026-02-25</x:t>
        </x:is>
      </x:c>
      <x:c r="K42" s="8" t="inlineStr">
        <x:is>
          <x:t xml:space="preserve"/>
        </x:is>
      </x:c>
    </x:row>
    <x:row r="43" ht="70" customHeight="1">
      <x:c r="A43" s="7" t="inlineStr">
        <x:is>
          <x:t xml:space="preserve">Deal Mechanics</x:t>
        </x:is>
      </x:c>
      <x:c r="B43" s="7" t="inlineStr">
        <x:is>
          <x:t xml:space="preserve">Next financing path</x:t>
        </x:is>
      </x:c>
      <x:c r="C43" s="7" t="inlineStr">
        <x:is>
          <x:t xml:space="preserve">Target milestone(s) and next round narrative</x:t>
        </x:is>
      </x:c>
      <x:c r="D43" s="7" t="inlineStr">
        <x:is>
          <x:t xml:space="preserve">Define metrics for next raise; check runway to milestones</x:t>
        </x:is>
      </x:c>
      <x:c r="E43" s="7" t="inlineStr">
        <x:is>
          <x:t xml:space="preserve">Is plan fundable? What proof will next investors need?</x:t>
        </x:is>
      </x:c>
      <x:c r="F43" s="8" t="inlineStr">
        <x:is>
          <x:t xml:space="preserve"/>
        </x:is>
      </x:c>
      <x:c r="G43" s="8" t="inlineStr">
        <x:is>
          <x:t xml:space="preserve">M</x:t>
        </x:is>
      </x:c>
      <x:c r="H43" s="8" t="inlineStr">
        <x:is>
          <x:t xml:space="preserve">Not started</x:t>
        </x:is>
      </x:c>
      <x:c r="I43" s="8" t="inlineStr">
        <x:is>
          <x:t xml:space="preserve"/>
        </x:is>
      </x:c>
      <x:c r="J43" s="8" t="inlineStr">
        <x:is>
          <x:t xml:space="preserve">2026-03-08</x:t>
        </x:is>
      </x:c>
      <x:c r="K43" s="8" t="inlineStr">
        <x:is>
          <x:t xml:space="preserve"/>
        </x:is>
      </x:c>
    </x:row>
  </x:sheetData>
  <x:mergeCells>
    <x:mergeCell ref="J3:K3"/>
    <x:mergeCell ref="A2:K2"/>
    <x:mergeCell ref="D3:F3"/>
    <x:mergeCell ref="A3:C3"/>
    <x:mergeCell ref="A1:K1"/>
    <x:mergeCell ref="H3:I3"/>
  </x:mergeCells>
  <x:conditionalFormatting sqref="A5:K43">
    <x:cfRule type="expression" dxfId="0" priority="1">
      <x:formula>AND($J5&lt;TODAY(),$H5&lt;&gt;"Complete",$J5&lt;&gt;"")</x:formula>
    </x:cfRule>
    <x:cfRule type="expression" dxfId="1" priority="2">
      <x:formula>AND($H5="Complete",$F5="")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0a2c966a52d4cd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</x:cols>
  <x:sheetData>
    <x:row r="1" ht="28" customHeight="1">
      <x:c r="A1" s="9" t="inlineStr">
        <x:is>
          <x:t xml:space="preserve">Due Diligence Progress Summary</x:t>
        </x:is>
      </x:c>
    </x:row>
    <x:row r="2">
      <x:c r="A2" s="10" t="inlineStr">
        <x:is>
          <x:t xml:space="preserve">As of:</x:t>
        </x:is>
      </x:c>
      <x:c r="B2" s="11" t="n">
        <x:v>46068</x:v>
      </x:c>
    </x:row>
    <x:row r="4" ht="30" customHeight="1">
      <x:c r="A4" s="12" t="inlineStr">
        <x:is>
          <x:t xml:space="preserve">Total Items</x:t>
        </x:is>
      </x:c>
      <x:c r="B4" s="13">
        <x:f>COUNTA(Checklist!$B$5:$B$43)</x:f>
        <x:v>39</x:v>
      </x:c>
      <x:c r="C4" s="12" t="inlineStr">
        <x:is>
          <x:t xml:space="preserve">Complete</x:t>
        </x:is>
      </x:c>
      <x:c r="D4" s="13">
        <x:f>COUNTIF(Checklist!$H$5:$H$43,"Complete")</x:f>
        <x:v>0</x:v>
      </x:c>
      <x:c r="E4" s="12" t="inlineStr">
        <x:is>
          <x:t xml:space="preserve">In progress</x:t>
        </x:is>
      </x:c>
      <x:c r="F4" s="13">
        <x:f>COUNTIF(Checklist!$H$5:$H$43,"In progress")</x:f>
        <x:v>4</x:v>
      </x:c>
    </x:row>
    <x:row r="7" ht="30" customHeight="1">
      <x:c r="A7" s="12" t="inlineStr">
        <x:is>
          <x:t xml:space="preserve">Waiting on company</x:t>
        </x:is>
      </x:c>
      <x:c r="B7" s="13">
        <x:f>COUNTIF(Checklist!$H$5:$H$43,"Waiting on company")</x:f>
        <x:v>0</x:v>
      </x:c>
      <x:c r="C7" s="12" t="inlineStr">
        <x:is>
          <x:t xml:space="preserve">Blocked</x:t>
        </x:is>
      </x:c>
      <x:c r="D7" s="13">
        <x:f>COUNTIF(Checklist!$H$5:$H$43,"Blocked")</x:f>
        <x:v>0</x:v>
      </x:c>
      <x:c r="E7" s="12" t="inlineStr">
        <x:is>
          <x:t xml:space="preserve">Not started</x:t>
        </x:is>
      </x:c>
      <x:c r="F7" s="13">
        <x:f>COUNTIF(Checklist!$H$5:$H$43,"Not started")</x:f>
        <x:v>35</x:v>
      </x:c>
    </x:row>
    <x:row r="11" ht="22" customHeight="1">
      <x:c r="A11" s="14" t="inlineStr">
        <x:is>
          <x:t xml:space="preserve">Section</x:t>
        </x:is>
      </x:c>
      <x:c r="B11" s="15" t="inlineStr">
        <x:is>
          <x:t xml:space="preserve">Not started</x:t>
        </x:is>
      </x:c>
      <x:c r="C11" s="15" t="inlineStr">
        <x:is>
          <x:t xml:space="preserve">In progress</x:t>
        </x:is>
      </x:c>
      <x:c r="D11" s="15" t="inlineStr">
        <x:is>
          <x:t xml:space="preserve">Waiting on company</x:t>
        </x:is>
      </x:c>
      <x:c r="E11" s="15" t="inlineStr">
        <x:is>
          <x:t xml:space="preserve">Blocked</x:t>
        </x:is>
      </x:c>
      <x:c r="F11" s="15" t="inlineStr">
        <x:is>
          <x:t xml:space="preserve">Complete</x:t>
        </x:is>
      </x:c>
    </x:row>
    <x:row r="12">
      <x:c r="A12" s="16" t="inlineStr">
        <x:is>
          <x:t xml:space="preserve">Deal Mechanics</x:t>
        </x:is>
      </x:c>
      <x:c r="B12" s="17">
        <x:f>COUNTIFS(Checklist!$A$5:$A$43,$A12,Checklist!$H$5:$H$43,B$11)</x:f>
        <x:v>3</x:v>
      </x:c>
      <x:c r="C12" s="17">
        <x:f>COUNTIFS(Checklist!$A$5:$A$43,$A12,Checklist!$H$5:$H$43,B$12)</x:f>
        <x:v>0</x:v>
      </x:c>
      <x:c r="D12" s="17">
        <x:f>COUNTIFS(Checklist!$A$5:$A$43,$A12,Checklist!$H$5:$H$43,B$13)</x:f>
        <x:v>0</x:v>
      </x:c>
      <x:c r="E12" s="17">
        <x:f>COUNTIFS(Checklist!$A$5:$A$43,$A12,Checklist!$H$5:$H$43,B$14)</x:f>
        <x:v>0</x:v>
      </x:c>
      <x:c r="F12" s="17">
        <x:f>COUNTIFS(Checklist!$A$5:$A$43,$A12,Checklist!$H$5:$H$43,B$15)</x:f>
        <x:v>0</x:v>
      </x:c>
    </x:row>
    <x:row r="13">
      <x:c r="A13" s="16" t="inlineStr">
        <x:is>
          <x:t xml:space="preserve">Financials</x:t>
        </x:is>
      </x:c>
      <x:c r="B13" s="17">
        <x:f>COUNTIFS(Checklist!$A$5:$A$43,$A13,Checklist!$H$5:$H$43,B$11)</x:f>
        <x:v>4</x:v>
      </x:c>
      <x:c r="C13" s="17">
        <x:f>COUNTIFS(Checklist!$A$5:$A$43,$A13,Checklist!$H$5:$H$43,B$12)</x:f>
        <x:v>0</x:v>
      </x:c>
      <x:c r="D13" s="17">
        <x:f>COUNTIFS(Checklist!$A$5:$A$43,$A13,Checklist!$H$5:$H$43,B$13)</x:f>
        <x:v>0</x:v>
      </x:c>
      <x:c r="E13" s="17">
        <x:f>COUNTIFS(Checklist!$A$5:$A$43,$A13,Checklist!$H$5:$H$43,B$14)</x:f>
        <x:v>0</x:v>
      </x:c>
      <x:c r="F13" s="17">
        <x:f>COUNTIFS(Checklist!$A$5:$A$43,$A13,Checklist!$H$5:$H$43,B$15)</x:f>
        <x:v>0</x:v>
      </x:c>
    </x:row>
    <x:row r="14">
      <x:c r="A14" s="16" t="inlineStr">
        <x:is>
          <x:t xml:space="preserve">Go-to-Market</x:t>
        </x:is>
      </x:c>
      <x:c r="B14" s="17">
        <x:f>COUNTIFS(Checklist!$A$5:$A$43,$A14,Checklist!$H$5:$H$43,B$11)</x:f>
        <x:v>3</x:v>
      </x:c>
      <x:c r="C14" s="17">
        <x:f>COUNTIFS(Checklist!$A$5:$A$43,$A14,Checklist!$H$5:$H$43,B$12)</x:f>
        <x:v>0</x:v>
      </x:c>
      <x:c r="D14" s="17">
        <x:f>COUNTIFS(Checklist!$A$5:$A$43,$A14,Checklist!$H$5:$H$43,B$13)</x:f>
        <x:v>0</x:v>
      </x:c>
      <x:c r="E14" s="17">
        <x:f>COUNTIFS(Checklist!$A$5:$A$43,$A14,Checklist!$H$5:$H$43,B$14)</x:f>
        <x:v>0</x:v>
      </x:c>
      <x:c r="F14" s="17">
        <x:f>COUNTIFS(Checklist!$A$5:$A$43,$A14,Checklist!$H$5:$H$43,B$15)</x:f>
        <x:v>0</x:v>
      </x:c>
    </x:row>
    <x:row r="15">
      <x:c r="A15" s="16" t="inlineStr">
        <x:is>
          <x:t xml:space="preserve">Legal &amp; Compliance</x:t>
        </x:is>
      </x:c>
      <x:c r="B15" s="17">
        <x:f>COUNTIFS(Checklist!$A$5:$A$43,$A15,Checklist!$H$5:$H$43,B$11)</x:f>
        <x:v>4</x:v>
      </x:c>
      <x:c r="C15" s="17">
        <x:f>COUNTIFS(Checklist!$A$5:$A$43,$A15,Checklist!$H$5:$H$43,B$12)</x:f>
        <x:v>0</x:v>
      </x:c>
      <x:c r="D15" s="17">
        <x:f>COUNTIFS(Checklist!$A$5:$A$43,$A15,Checklist!$H$5:$H$43,B$13)</x:f>
        <x:v>0</x:v>
      </x:c>
      <x:c r="E15" s="17">
        <x:f>COUNTIFS(Checklist!$A$5:$A$43,$A15,Checklist!$H$5:$H$43,B$14)</x:f>
        <x:v>0</x:v>
      </x:c>
      <x:c r="F15" s="17">
        <x:f>COUNTIFS(Checklist!$A$5:$A$43,$A15,Checklist!$H$5:$H$43,B$15)</x:f>
        <x:v>0</x:v>
      </x:c>
    </x:row>
    <x:row r="16">
      <x:c r="A16" s="16" t="inlineStr">
        <x:is>
          <x:t xml:space="preserve">Market &amp; Competition</x:t>
        </x:is>
      </x:c>
      <x:c r="B16" s="17">
        <x:f>COUNTIFS(Checklist!$A$5:$A$43,$A16,Checklist!$H$5:$H$43,B$11)</x:f>
        <x:v>4</x:v>
      </x:c>
      <x:c r="C16" s="17">
        <x:f>COUNTIFS(Checklist!$A$5:$A$43,$A16,Checklist!$H$5:$H$43,B$12)</x:f>
        <x:v>0</x:v>
      </x:c>
      <x:c r="D16" s="17">
        <x:f>COUNTIFS(Checklist!$A$5:$A$43,$A16,Checklist!$H$5:$H$43,B$13)</x:f>
        <x:v>0</x:v>
      </x:c>
      <x:c r="E16" s="17">
        <x:f>COUNTIFS(Checklist!$A$5:$A$43,$A16,Checklist!$H$5:$H$43,B$14)</x:f>
        <x:v>0</x:v>
      </x:c>
      <x:c r="F16" s="17">
        <x:f>COUNTIFS(Checklist!$A$5:$A$43,$A16,Checklist!$H$5:$H$43,B$15)</x:f>
        <x:v>0</x:v>
      </x:c>
    </x:row>
    <x:row r="17">
      <x:c r="A17" s="16" t="inlineStr">
        <x:is>
          <x:t xml:space="preserve">Operations &amp; Risk</x:t>
        </x:is>
      </x:c>
      <x:c r="B17" s="17">
        <x:f>COUNTIFS(Checklist!$A$5:$A$43,$A17,Checklist!$H$5:$H$43,B$11)</x:f>
        <x:v>4</x:v>
      </x:c>
      <x:c r="C17" s="17">
        <x:f>COUNTIFS(Checklist!$A$5:$A$43,$A17,Checklist!$H$5:$H$43,B$12)</x:f>
        <x:v>0</x:v>
      </x:c>
      <x:c r="D17" s="17">
        <x:f>COUNTIFS(Checklist!$A$5:$A$43,$A17,Checklist!$H$5:$H$43,B$13)</x:f>
        <x:v>0</x:v>
      </x:c>
      <x:c r="E17" s="17">
        <x:f>COUNTIFS(Checklist!$A$5:$A$43,$A17,Checklist!$H$5:$H$43,B$14)</x:f>
        <x:v>0</x:v>
      </x:c>
      <x:c r="F17" s="17">
        <x:f>COUNTIFS(Checklist!$A$5:$A$43,$A17,Checklist!$H$5:$H$43,B$15)</x:f>
        <x:v>0</x:v>
      </x:c>
    </x:row>
    <x:row r="18">
      <x:c r="A18" s="16" t="inlineStr">
        <x:is>
          <x:t xml:space="preserve">Product, Tech &amp; IP</x:t>
        </x:is>
      </x:c>
      <x:c r="B18" s="17">
        <x:f>COUNTIFS(Checklist!$A$5:$A$43,$A18,Checklist!$H$5:$H$43,B$11)</x:f>
        <x:v>5</x:v>
      </x:c>
      <x:c r="C18" s="17">
        <x:f>COUNTIFS(Checklist!$A$5:$A$43,$A18,Checklist!$H$5:$H$43,B$12)</x:f>
        <x:v>0</x:v>
      </x:c>
      <x:c r="D18" s="17">
        <x:f>COUNTIFS(Checklist!$A$5:$A$43,$A18,Checklist!$H$5:$H$43,B$13)</x:f>
        <x:v>0</x:v>
      </x:c>
      <x:c r="E18" s="17">
        <x:f>COUNTIFS(Checklist!$A$5:$A$43,$A18,Checklist!$H$5:$H$43,B$14)</x:f>
        <x:v>0</x:v>
      </x:c>
      <x:c r="F18" s="17">
        <x:f>COUNTIFS(Checklist!$A$5:$A$43,$A18,Checklist!$H$5:$H$43,B$15)</x:f>
        <x:v>0</x:v>
      </x:c>
    </x:row>
    <x:row r="19">
      <x:c r="A19" s="16" t="inlineStr">
        <x:is>
          <x:t xml:space="preserve">Team &amp; Culture</x:t>
        </x:is>
      </x:c>
      <x:c r="B19" s="17">
        <x:f>COUNTIFS(Checklist!$A$5:$A$43,$A19,Checklist!$H$5:$H$43,B$11)</x:f>
        <x:v>4</x:v>
      </x:c>
      <x:c r="C19" s="17">
        <x:f>COUNTIFS(Checklist!$A$5:$A$43,$A19,Checklist!$H$5:$H$43,B$12)</x:f>
        <x:v>0</x:v>
      </x:c>
      <x:c r="D19" s="17">
        <x:f>COUNTIFS(Checklist!$A$5:$A$43,$A19,Checklist!$H$5:$H$43,B$13)</x:f>
        <x:v>0</x:v>
      </x:c>
      <x:c r="E19" s="17">
        <x:f>COUNTIFS(Checklist!$A$5:$A$43,$A19,Checklist!$H$5:$H$43,B$14)</x:f>
        <x:v>0</x:v>
      </x:c>
      <x:c r="F19" s="17">
        <x:f>COUNTIFS(Checklist!$A$5:$A$43,$A19,Checklist!$H$5:$H$43,B$15)</x:f>
        <x:v>0</x:v>
      </x:c>
    </x:row>
    <x:row r="20">
      <x:c r="A20" s="16" t="inlineStr">
        <x:is>
          <x:t xml:space="preserve">Traction &amp; Metrics</x:t>
        </x:is>
      </x:c>
      <x:c r="B20" s="17">
        <x:f>COUNTIFS(Checklist!$A$5:$A$43,$A20,Checklist!$H$5:$H$43,B$11)</x:f>
        <x:v>4</x:v>
      </x:c>
      <x:c r="C20" s="17">
        <x:f>COUNTIFS(Checklist!$A$5:$A$43,$A20,Checklist!$H$5:$H$43,B$12)</x:f>
        <x:v>0</x:v>
      </x:c>
      <x:c r="D20" s="17">
        <x:f>COUNTIFS(Checklist!$A$5:$A$43,$A20,Checklist!$H$5:$H$43,B$13)</x:f>
        <x:v>0</x:v>
      </x:c>
      <x:c r="E20" s="17">
        <x:f>COUNTIFS(Checklist!$A$5:$A$43,$A20,Checklist!$H$5:$H$43,B$14)</x:f>
        <x:v>0</x:v>
      </x:c>
      <x:c r="F20" s="17">
        <x:f>COUNTIFS(Checklist!$A$5:$A$43,$A20,Checklist!$H$5:$H$43,B$15)</x:f>
        <x:v>0</x:v>
      </x:c>
    </x:row>
    <x:row r="21">
      <x:c r="A21" s="18" t="inlineStr">
        <x:is>
          <x:t xml:space="preserve">TOTAL</x:t>
        </x:is>
      </x:c>
      <x:c r="B21" s="19">
        <x:f>SUM(B12:B20)</x:f>
        <x:v>35</x:v>
      </x:c>
      <x:c r="C21" s="19">
        <x:f>SUM(C12:C20)</x:f>
        <x:v>0</x:v>
      </x:c>
      <x:c r="D21" s="19">
        <x:f>SUM(D12:D20)</x:f>
        <x:v>0</x:v>
      </x:c>
      <x:c r="E21" s="19">
        <x:f>SUM(E12:E20)</x:f>
        <x:v>0</x:v>
      </x:c>
      <x:c r="F21" s="19">
        <x:f>SUM(F12:F20)</x:f>
        <x:v>0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customWidth="1"/>
    <x:col min="2" max="2" width="44" customWidth="1"/>
    <x:col min="3" max="3" width="10" customWidth="1"/>
    <x:col min="4" max="4" width="12" customWidth="1"/>
    <x:col min="5" max="5" width="12" customWidth="1"/>
    <x:col min="6" max="6" width="16" customWidth="1"/>
    <x:col min="7" max="7" width="28" customWidth="1"/>
  </x:cols>
  <x:sheetData>
    <x:row r="1" ht="28" customHeight="1">
      <x:c r="A1" s="9" t="inlineStr">
        <x:is>
          <x:t xml:space="preserve">Optional: Investment Readiness Scorecard (1–5)</x:t>
        </x:is>
      </x:c>
    </x:row>
    <x:row r="2" ht="30" customHeight="1">
      <x:c r="A2" s="20" t="inlineStr">
        <x:is>
          <x:t xml:space="preserve">Scale: 1=Poor / High risk, 3=Neutral, 5=Excellent / Low risk. Adjust weights for your thesis.</x:t>
        </x:is>
      </x:c>
    </x:row>
    <x:row r="4" ht="26" customHeight="1">
      <x:c r="A4" s="6" t="inlineStr">
        <x:is>
          <x:t xml:space="preserve">Category</x:t>
        </x:is>
      </x:c>
      <x:c r="B4" s="6" t="inlineStr">
        <x:is>
          <x:t xml:space="preserve">What to look for</x:t>
        </x:is>
      </x:c>
      <x:c r="C4" s="6" t="inlineStr">
        <x:is>
          <x:t xml:space="preserve">Weight</x:t>
        </x:is>
      </x:c>
      <x:c r="D4" s="6" t="inlineStr">
        <x:is>
          <x:t xml:space="preserve">Score (1-5)</x:t>
        </x:is>
      </x:c>
      <x:c r="E4" s="6" t="inlineStr">
        <x:is>
          <x:t xml:space="preserve">Weighted</x:t>
        </x:is>
      </x:c>
      <x:c r="F4" s="6" t="inlineStr">
        <x:is>
          <x:t xml:space="preserve">Owner</x:t>
        </x:is>
      </x:c>
      <x:c r="G4" s="6" t="inlineStr">
        <x:is>
          <x:t xml:space="preserve">Notes</x:t>
        </x:is>
      </x:c>
    </x:row>
    <x:row r="5" ht="44" customHeight="1">
      <x:c r="A5" s="21" t="inlineStr">
        <x:is>
          <x:t xml:space="preserve">Team</x:t>
        </x:is>
      </x:c>
      <x:c r="B5" s="22" t="inlineStr">
        <x:is>
          <x:t xml:space="preserve">Founder-market fit, execution velocity, coachability, ability to recruit</x:t>
        </x:is>
      </x:c>
      <x:c r="C5" s="23" t="n">
        <x:v>0.22</x:v>
      </x:c>
      <x:c r="D5" s="24" t="n">
        <x:v>3</x:v>
      </x:c>
      <x:c r="E5" s="25">
        <x:f>C5*D5</x:f>
        <x:v>0.66</x:v>
      </x:c>
      <x:c r="F5" s="24" t="n"/>
      <x:c r="G5" s="24" t="n"/>
    </x:row>
    <x:row r="6" ht="44" customHeight="1">
      <x:c r="A6" s="21" t="inlineStr">
        <x:is>
          <x:t xml:space="preserve">Product</x:t>
        </x:is>
      </x:c>
      <x:c r="B6" s="22" t="inlineStr">
        <x:is>
          <x:t xml:space="preserve">Clear value prop, roadmap credibility, UX, differentiation</x:t>
        </x:is>
      </x:c>
      <x:c r="C6" s="23" t="n">
        <x:v>0.18</x:v>
      </x:c>
      <x:c r="D6" s="24" t="n">
        <x:v>3</x:v>
      </x:c>
      <x:c r="E6" s="25">
        <x:f>C6*D6</x:f>
        <x:v>0.54</x:v>
      </x:c>
      <x:c r="F6" s="24" t="n"/>
      <x:c r="G6" s="24" t="n"/>
    </x:row>
    <x:row r="7" ht="44" customHeight="1">
      <x:c r="A7" s="21" t="inlineStr">
        <x:is>
          <x:t xml:space="preserve">Tech &amp; Security</x:t>
        </x:is>
      </x:c>
      <x:c r="B7" s="22" t="inlineStr">
        <x:is>
          <x:t xml:space="preserve">Scalability, reliability, security posture, IP ownership</x:t>
        </x:is>
      </x:c>
      <x:c r="C7" s="23" t="n">
        <x:v>0.15</x:v>
      </x:c>
      <x:c r="D7" s="24" t="n">
        <x:v>3</x:v>
      </x:c>
      <x:c r="E7" s="25">
        <x:f>C7*D7</x:f>
        <x:v>0.44999999999999996</x:v>
      </x:c>
      <x:c r="F7" s="24" t="n"/>
      <x:c r="G7" s="24" t="n"/>
    </x:row>
    <x:row r="8" ht="44" customHeight="1">
      <x:c r="A8" s="21" t="inlineStr">
        <x:is>
          <x:t xml:space="preserve">Market</x:t>
        </x:is>
      </x:c>
      <x:c r="B8" s="22" t="inlineStr">
        <x:is>
          <x:t xml:space="preserve">Market size, urgency, competitive dynamics</x:t>
        </x:is>
      </x:c>
      <x:c r="C8" s="23" t="n">
        <x:v>0.15</x:v>
      </x:c>
      <x:c r="D8" s="24" t="n">
        <x:v>3</x:v>
      </x:c>
      <x:c r="E8" s="25">
        <x:f>C8*D8</x:f>
        <x:v>0.44999999999999996</x:v>
      </x:c>
      <x:c r="F8" s="24" t="n"/>
      <x:c r="G8" s="24" t="n"/>
    </x:row>
    <x:row r="9" ht="44" customHeight="1">
      <x:c r="A9" s="21" t="inlineStr">
        <x:is>
          <x:t xml:space="preserve">GTM</x:t>
        </x:is>
      </x:c>
      <x:c r="B9" s="22" t="inlineStr">
        <x:is>
          <x:t xml:space="preserve">Repeatable motion, pricing power, channel scalability</x:t>
        </x:is>
      </x:c>
      <x:c r="C9" s="23" t="n">
        <x:v>0.15</x:v>
      </x:c>
      <x:c r="D9" s="24" t="n">
        <x:v>3</x:v>
      </x:c>
      <x:c r="E9" s="25">
        <x:f>C9*D9</x:f>
        <x:v>0.44999999999999996</x:v>
      </x:c>
      <x:c r="F9" s="24" t="n"/>
      <x:c r="G9" s="24" t="n"/>
    </x:row>
    <x:row r="10" ht="44" customHeight="1">
      <x:c r="A10" s="21" t="inlineStr">
        <x:is>
          <x:t xml:space="preserve">Traction</x:t>
        </x:is>
      </x:c>
      <x:c r="B10" s="22" t="inlineStr">
        <x:is>
          <x:t xml:space="preserve">Retention, growth quality, references, usage depth</x:t>
        </x:is>
      </x:c>
      <x:c r="C10" s="23" t="n">
        <x:v>0.1</x:v>
      </x:c>
      <x:c r="D10" s="24" t="n">
        <x:v>3</x:v>
      </x:c>
      <x:c r="E10" s="25">
        <x:f>C10*D10</x:f>
        <x:v>0.30000000000000004</x:v>
      </x:c>
      <x:c r="F10" s="24" t="n"/>
      <x:c r="G10" s="24" t="n"/>
    </x:row>
    <x:row r="11" ht="44" customHeight="1">
      <x:c r="A11" s="21" t="inlineStr">
        <x:is>
          <x:t xml:space="preserve">Financials &amp; Legal</x:t>
        </x:is>
      </x:c>
      <x:c r="B11" s="22" t="inlineStr">
        <x:is>
          <x:t xml:space="preserve">Clean cap table, runway, unit economics, legal hygiene</x:t>
        </x:is>
      </x:c>
      <x:c r="C11" s="23" t="n">
        <x:v>0.05</x:v>
      </x:c>
      <x:c r="D11" s="24" t="n">
        <x:v>3</x:v>
      </x:c>
      <x:c r="E11" s="25">
        <x:f>C11*D11</x:f>
        <x:v>0.15000000000000002</x:v>
      </x:c>
      <x:c r="F11" s="24" t="n"/>
      <x:c r="G11" s="24" t="n"/>
    </x:row>
    <x:row r="13">
      <x:c r="A13" s="18" t="inlineStr">
        <x:is>
          <x:t xml:space="preserve">Total Score</x:t>
        </x:is>
      </x:c>
      <x:c r="B13" s="26" t="n"/>
      <x:c r="C13" s="26" t="n"/>
      <x:c r="D13" s="27" t="n"/>
      <x:c r="E13" s="28">
        <x:f>SUM(E5:E12)</x:f>
        <x:v>3</x:v>
      </x:c>
      <x:c r="F13" s="29" t="n"/>
      <x:c r="G13" s="29" t="n"/>
    </x:row>
  </x:sheetData>
  <x:mergeCells>
    <x:mergeCell ref="A13:D13"/>
    <x:mergeCell ref="A2:G2"/>
    <x:mergeCell ref="A1:G1"/>
  </x:mergeCells>
  <x:pageMargins left="0.7" right="0.7" top="0.75" bottom="0.75" header="0.3" footer="0.3"/>
</x:worksheet>
</file>