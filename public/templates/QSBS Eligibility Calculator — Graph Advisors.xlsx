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5"/>
  </sheets>
  <definedNames/>
  <calcPr/>
</workbook>
</file>

<file path=xl/sharedStrings.xml><?xml version="1.0" encoding="utf-8"?>
<sst xmlns="http://schemas.openxmlformats.org/spreadsheetml/2006/main" count="59" uniqueCount="52">
  <si>
    <t>Qualified Small Business Stock (QSBS) tax benefit</t>
  </si>
  <si>
    <t>Background</t>
  </si>
  <si>
    <t>Benefits</t>
  </si>
  <si>
    <t>The Qualified Small Business Stock (QSBS) tax benefit was introduced to encourage investment in small businesses and startups. It is designed to incentivize investors to provide capital to early-stage companies, fostering innovation, and economic growth.</t>
  </si>
  <si>
    <t>One of the primary benefits of QSBS is the potential exclusion of a significant portion of capital gains upon the sale of qualified stock. Depending on the acquisition date, investors may exclude up to 50% or 75% (or even 100% in certain cases) of their capital gains from taxation.</t>
  </si>
  <si>
    <t>QSBS tax benefits are particularly attractive to early stage investors who often take significant risks by investing in early-stage and high-growth companies. The tax advantages act as a powerful incentive for these investors to support startups and contribute to job creation and innovation.</t>
  </si>
  <si>
    <t>In addition to the exclusion, investors may benefit from a reduced federal capital gains tax rate on the qualifying gain. This reduction in tax rates enhances the overall tax advantage for investors.</t>
  </si>
  <si>
    <t>Eligibility Criteria:</t>
  </si>
  <si>
    <t>Tax-Free Rollover Provision:</t>
  </si>
  <si>
    <t>1/ To qualify for QSBS tax benefits, the stock must be issued by a Qualified Small Business (as defined by the tax code).
2/ The investor must acquire the stock directly from the issuing company and hold it for a minimum of five years.</t>
  </si>
  <si>
    <t>QSBS tax provisions allow investors to roll over gains from the sale of qualified stock into another qualifying small business. This feature provides flexibility for investors to defer capital gains taxes and reinvest in new ventures.</t>
  </si>
  <si>
    <t>QSBS eligibility calculator</t>
  </si>
  <si>
    <t>DISCLAIMER: This is an illustrative guide to check QSBS eligibility. Please consult a professional before undertaking any evaluation for tax or legal perspectives.</t>
  </si>
  <si>
    <t>QSBS test</t>
  </si>
  <si>
    <t>Shareholder must exercise options or acquire shares while the company is a QSB and hold shares for five years before selling.*</t>
  </si>
  <si>
    <t>Were the shares in the company acquired while the company was a QSB?</t>
  </si>
  <si>
    <t>Yes</t>
  </si>
  <si>
    <t>Check if a business is QSB</t>
  </si>
  <si>
    <t>Were the shares held for 5 years before their sale?</t>
  </si>
  <si>
    <t>Result</t>
  </si>
  <si>
    <t>*This is not all encompassing. There are other factors that could impact a shareholder's QSBS eligibility. Please consult a professional.</t>
  </si>
  <si>
    <t>COMPANY REQUIREMENTS</t>
  </si>
  <si>
    <t>RESPONSE</t>
  </si>
  <si>
    <t>1.</t>
  </si>
  <si>
    <t>Incorporated as a U.S. C-corporation</t>
  </si>
  <si>
    <t>2.</t>
  </si>
  <si>
    <t>Gross assets under $50 million at the time of stock issuance (shares, not SAFEs)</t>
  </si>
  <si>
    <t>3.</t>
  </si>
  <si>
    <t>At least 80% of assets are used in the "active conduct of one or more trade or business"</t>
  </si>
  <si>
    <t>4.</t>
  </si>
  <si>
    <t>Not on the list of excluded business types, like consulting, sports, law, health, financial services, banking, farming, and hospitality</t>
  </si>
  <si>
    <t>Evaluation</t>
  </si>
  <si>
    <t>Example of QSBS benefit on exit</t>
  </si>
  <si>
    <t>Assumptions</t>
  </si>
  <si>
    <t>Stock options</t>
  </si>
  <si>
    <t>number</t>
  </si>
  <si>
    <t>Exercise price</t>
  </si>
  <si>
    <t>$ / share</t>
  </si>
  <si>
    <t>Share price on exit</t>
  </si>
  <si>
    <t>Effective tax rate</t>
  </si>
  <si>
    <t>%</t>
  </si>
  <si>
    <t>This is an illustrative number. Effective tax rate will depend on an individual's tax position</t>
  </si>
  <si>
    <t>Illustrative Outcome</t>
  </si>
  <si>
    <t>Without QSBS benefit</t>
  </si>
  <si>
    <t>With QSBS benefit</t>
  </si>
  <si>
    <t>Gain</t>
  </si>
  <si>
    <t>Tax</t>
  </si>
  <si>
    <t>Exercise cost</t>
  </si>
  <si>
    <t>Total received at exit</t>
  </si>
  <si>
    <t>Graph Advisors can implement this tracking and analysis tool for your portfolio</t>
  </si>
  <si>
    <t>As investors, you will track this for your portfolio companies. Graph Advisors' VC OS dashboard helps to document and track such aspects for the companies in an investment portfolio</t>
  </si>
  <si>
    <t>Link to the resources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</si>
</sst>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9">
    <font>
      <sz val="10.0"/>
      <color rgb="FF000000"/>
      <name val="Arial"/>
      <scheme val="minor"/>
    </font>
    <font>
      <b/>
      <sz val="24.0"/>
      <color rgb="FF333333"/>
      <name val="Arial"/>
    </font>
    <font>
      <color theme="1"/>
      <name val="Arial"/>
      <scheme val="minor"/>
    </font>
    <font>
      <b/>
      <sz val="10.0"/>
      <color rgb="FF333333"/>
      <name val="&quot;Inter Display&quot;"/>
    </font>
    <font>
      <sz val="10.0"/>
      <color theme="1"/>
      <name val="Arial"/>
      <scheme val="minor"/>
    </font>
    <font>
      <b/>
      <sz val="10.0"/>
      <color theme="1"/>
      <name val="Arial"/>
      <scheme val="minor"/>
    </font>
    <font>
      <sz val="10.0"/>
      <color rgb="FF333333"/>
      <name val="Arial"/>
    </font>
    <font>
      <b/>
      <sz val="24.0"/>
      <color rgb="FF333333"/>
      <name val="&quot;Inter Display&quot;"/>
    </font>
    <font>
      <b/>
      <i/>
      <color rgb="FFFF0000"/>
      <name val="Arial"/>
      <scheme val="minor"/>
    </font>
    <font>
      <sz val="18.0"/>
      <color theme="1"/>
      <name val="Arial"/>
      <scheme val="minor"/>
    </font>
    <font/>
    <font>
      <u/>
      <color rgb="FF0000FF"/>
    </font>
    <font>
      <b/>
      <color theme="1"/>
      <name val="Arial"/>
      <scheme val="minor"/>
    </font>
    <font>
      <i/>
      <color rgb="FF999999"/>
      <name val="Arial"/>
      <scheme val="minor"/>
    </font>
    <font>
      <b/>
      <i/>
      <color theme="1"/>
      <name val="Arial"/>
      <scheme val="minor"/>
    </font>
    <font>
      <i/>
      <color theme="1"/>
      <name val="Arial"/>
      <scheme val="minor"/>
    </font>
    <font>
      <color rgb="FF0000FF"/>
      <name val="Arial"/>
      <scheme val="minor"/>
    </font>
    <font>
      <b/>
      <sz val="18.0"/>
      <color rgb="FF333333"/>
      <name val="Arial"/>
    </font>
    <font>
      <b/>
      <u/>
      <color rgb="FF0000FF"/>
    </font>
  </fonts>
  <fills count="7">
    <fill>
      <patternFill patternType="none"/>
    </fill>
    <fill>
      <patternFill patternType="lightGray"/>
    </fill>
    <fill>
      <patternFill patternType="solid">
        <fgColor rgb="FFFFFFFF"/>
        <bgColor rgb="FFFFFFFF"/>
      </patternFill>
    </fill>
    <fill>
      <patternFill patternType="solid">
        <fgColor rgb="FFFFFFA2"/>
        <bgColor rgb="FFFFFFA2"/>
      </patternFill>
    </fill>
    <fill>
      <patternFill patternType="solid">
        <fgColor rgb="FFF3F3F3"/>
        <bgColor rgb="FFF3F3F3"/>
      </patternFill>
    </fill>
    <fill>
      <patternFill patternType="solid">
        <fgColor rgb="FFEA9999"/>
        <bgColor rgb="FFEA9999"/>
      </patternFill>
    </fill>
    <fill>
      <patternFill patternType="solid">
        <fgColor rgb="FFB6D7A8"/>
        <bgColor rgb="FFB6D7A8"/>
      </patternFill>
    </fill>
  </fills>
  <borders count="4">
    <border/>
    <border>
      <bottom style="thin">
        <color rgb="FF000000"/>
      </bottom>
    </border>
    <border>
      <left style="thin">
        <color rgb="FF000000"/>
      </left>
      <right style="medium">
        <color rgb="FF000000"/>
      </right>
      <top style="thin">
        <color rgb="FF000000"/>
      </top>
      <bottom style="medium">
        <color rgb="FF000000"/>
      </bottom>
    </border>
    <border>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Border="1" applyFont="1"/>
    <xf borderId="0" fillId="2" fontId="3" numFmtId="0" xfId="0" applyAlignment="1" applyFont="1">
      <alignment horizontal="left" readingOrder="0"/>
    </xf>
    <xf borderId="0" fillId="0" fontId="4" numFmtId="0" xfId="0" applyFont="1"/>
    <xf borderId="0" fillId="0" fontId="5"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xf>
    <xf borderId="0" fillId="2" fontId="6" numFmtId="0" xfId="0" applyAlignment="1" applyFont="1">
      <alignment horizontal="left" readingOrder="0" shrinkToFit="0" wrapText="1"/>
    </xf>
    <xf borderId="1" fillId="2" fontId="7" numFmtId="0" xfId="0" applyAlignment="1" applyBorder="1" applyFont="1">
      <alignment horizontal="left" readingOrder="0"/>
    </xf>
    <xf borderId="0" fillId="0" fontId="8" numFmtId="0" xfId="0" applyAlignment="1" applyFont="1">
      <alignment readingOrder="0"/>
    </xf>
    <xf borderId="0" fillId="0" fontId="8" numFmtId="0" xfId="0" applyAlignment="1" applyFont="1">
      <alignment readingOrder="0" shrinkToFit="0" wrapText="1"/>
    </xf>
    <xf borderId="1" fillId="0" fontId="9" numFmtId="0" xfId="0" applyAlignment="1" applyBorder="1" applyFont="1">
      <alignment readingOrder="0"/>
    </xf>
    <xf borderId="1" fillId="0" fontId="10" numFmtId="0" xfId="0" applyBorder="1" applyFont="1"/>
    <xf borderId="0" fillId="0" fontId="2" numFmtId="0" xfId="0" applyAlignment="1" applyFont="1">
      <alignment readingOrder="0" shrinkToFit="0" wrapText="1"/>
    </xf>
    <xf borderId="0" fillId="0" fontId="2"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2" fillId="0" fontId="2" numFmtId="0" xfId="0" applyAlignment="1" applyBorder="1" applyFont="1">
      <alignment horizontal="center"/>
    </xf>
    <xf borderId="0" fillId="0" fontId="13" numFmtId="0" xfId="0" applyAlignment="1" applyFont="1">
      <alignment readingOrder="0"/>
    </xf>
    <xf borderId="1" fillId="0" fontId="2" numFmtId="0" xfId="0" applyAlignment="1" applyBorder="1" applyFont="1">
      <alignment readingOrder="0"/>
    </xf>
    <xf quotePrefix="1" borderId="0" fillId="0" fontId="2" numFmtId="0" xfId="0" applyAlignment="1" applyFont="1">
      <alignment horizontal="right" readingOrder="0"/>
    </xf>
    <xf borderId="2" fillId="0" fontId="2" numFmtId="0" xfId="0" applyAlignment="1" applyBorder="1" applyFont="1">
      <alignment horizontal="center" shrinkToFit="0" wrapText="1"/>
    </xf>
    <xf borderId="3" fillId="0" fontId="14" numFmtId="0" xfId="0" applyAlignment="1" applyBorder="1" applyFont="1">
      <alignment readingOrder="0"/>
    </xf>
    <xf borderId="3" fillId="0" fontId="14" numFmtId="0" xfId="0" applyBorder="1" applyFont="1"/>
    <xf borderId="0" fillId="0" fontId="15" numFmtId="0" xfId="0" applyAlignment="1" applyFont="1">
      <alignment readingOrder="0"/>
    </xf>
    <xf borderId="0" fillId="3" fontId="16" numFmtId="3" xfId="0" applyAlignment="1" applyFill="1" applyFont="1" applyNumberFormat="1">
      <alignment readingOrder="0"/>
    </xf>
    <xf borderId="0" fillId="3" fontId="16" numFmtId="164" xfId="0" applyAlignment="1" applyFont="1" applyNumberFormat="1">
      <alignment readingOrder="0"/>
    </xf>
    <xf borderId="0" fillId="3" fontId="16" numFmtId="10" xfId="0" applyAlignment="1" applyFont="1" applyNumberFormat="1">
      <alignment readingOrder="0"/>
    </xf>
    <xf borderId="0" fillId="4" fontId="2" numFmtId="0" xfId="0" applyFill="1" applyFont="1"/>
    <xf borderId="0" fillId="5" fontId="2" numFmtId="0" xfId="0" applyAlignment="1" applyFill="1" applyFont="1">
      <alignment horizontal="right" readingOrder="0" shrinkToFit="0" wrapText="1"/>
    </xf>
    <xf borderId="0" fillId="6" fontId="2" numFmtId="0" xfId="0" applyAlignment="1" applyFill="1" applyFont="1">
      <alignment horizontal="right" readingOrder="0" shrinkToFit="0" wrapText="1"/>
    </xf>
    <xf borderId="0" fillId="0" fontId="15" numFmtId="0" xfId="0" applyFont="1"/>
    <xf borderId="0" fillId="0" fontId="15" numFmtId="165" xfId="0" applyAlignment="1" applyFont="1" applyNumberFormat="1">
      <alignment horizontal="right"/>
    </xf>
    <xf borderId="0" fillId="0" fontId="2" numFmtId="165" xfId="0" applyAlignment="1" applyFont="1" applyNumberFormat="1">
      <alignment horizontal="right"/>
    </xf>
    <xf borderId="0" fillId="4" fontId="2" numFmtId="165" xfId="0" applyAlignment="1" applyFont="1" applyNumberFormat="1">
      <alignment horizontal="right" readingOrder="0"/>
    </xf>
    <xf borderId="1" fillId="0" fontId="2" numFmtId="165" xfId="0" applyAlignment="1" applyBorder="1" applyFont="1" applyNumberFormat="1">
      <alignment horizontal="right"/>
    </xf>
    <xf borderId="0" fillId="0" fontId="2" numFmtId="165" xfId="0" applyFont="1" applyNumberFormat="1"/>
    <xf borderId="1" fillId="2" fontId="17" numFmtId="0" xfId="0" applyAlignment="1" applyBorder="1" applyFont="1">
      <alignment horizontal="left" readingOrder="0"/>
    </xf>
    <xf borderId="0" fillId="0" fontId="18" numFmtId="0" xfId="0" applyAlignment="1" applyFont="1">
      <alignment readingOrder="0"/>
    </xf>
  </cellXfs>
  <cellStyles count="1">
    <cellStyle xfId="0" name="Normal" builtinId="0"/>
  </cellStyles>
  <dxfs count="4">
    <dxf>
      <font>
        <b/>
      </font>
      <fill>
        <patternFill patternType="solid">
          <fgColor rgb="FFB7E1CD"/>
          <bgColor rgb="FFB7E1CD"/>
        </patternFill>
      </fill>
      <border/>
    </dxf>
    <dxf>
      <font>
        <b/>
      </font>
      <fill>
        <patternFill patternType="solid">
          <fgColor rgb="FFEA9999"/>
          <bgColor rgb="FFEA9999"/>
        </patternFill>
      </fill>
      <border/>
    </dxf>
    <dxf>
      <font>
        <b/>
      </font>
      <fill>
        <patternFill patternType="solid">
          <fgColor rgb="FFD9D9D9"/>
          <bgColor rgb="FFD9D9D9"/>
        </patternFill>
      </fill>
      <border/>
    </dxf>
    <dxf>
      <font>
        <b/>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raphadvisors.com/resource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
    <col customWidth="1" min="2" max="2" width="17.5"/>
    <col customWidth="1" min="8" max="8" width="20.25"/>
    <col customWidth="1" min="9" max="9" width="18.75"/>
    <col customWidth="1" min="10" max="10" width="6.25"/>
    <col hidden="1" min="11" max="27" width="12.63"/>
  </cols>
  <sheetData>
    <row r="2">
      <c r="B2" s="1" t="s">
        <v>0</v>
      </c>
      <c r="C2" s="2"/>
      <c r="D2" s="2"/>
      <c r="E2" s="2"/>
      <c r="F2" s="2"/>
      <c r="G2" s="2"/>
      <c r="H2" s="2"/>
    </row>
    <row r="3">
      <c r="B3" s="3"/>
      <c r="C3" s="4"/>
      <c r="D3" s="4"/>
      <c r="E3" s="4"/>
      <c r="F3" s="4"/>
      <c r="G3" s="4"/>
      <c r="H3" s="4"/>
      <c r="I3" s="4"/>
    </row>
    <row r="4">
      <c r="B4" s="5" t="s">
        <v>1</v>
      </c>
      <c r="E4" s="6"/>
      <c r="F4" s="5" t="s">
        <v>2</v>
      </c>
      <c r="G4" s="6"/>
      <c r="H4" s="6"/>
      <c r="I4" s="4"/>
    </row>
    <row r="5">
      <c r="B5" s="6" t="s">
        <v>3</v>
      </c>
      <c r="E5" s="6"/>
      <c r="F5" s="6" t="s">
        <v>4</v>
      </c>
      <c r="I5" s="4"/>
    </row>
    <row r="6">
      <c r="B6" s="3"/>
      <c r="C6" s="4"/>
      <c r="D6" s="4"/>
      <c r="E6" s="4"/>
      <c r="F6" s="4"/>
      <c r="G6" s="4"/>
      <c r="H6" s="4"/>
      <c r="I6" s="4"/>
    </row>
    <row r="7">
      <c r="B7" s="6" t="s">
        <v>5</v>
      </c>
      <c r="E7" s="6"/>
      <c r="F7" s="7" t="s">
        <v>6</v>
      </c>
      <c r="I7" s="4"/>
    </row>
    <row r="8">
      <c r="B8" s="3"/>
      <c r="C8" s="4"/>
      <c r="D8" s="4"/>
      <c r="E8" s="4"/>
      <c r="F8" s="4"/>
      <c r="G8" s="4"/>
      <c r="H8" s="4"/>
      <c r="I8" s="4"/>
    </row>
    <row r="9">
      <c r="B9" s="5" t="s">
        <v>7</v>
      </c>
      <c r="E9" s="4"/>
      <c r="F9" s="8" t="s">
        <v>8</v>
      </c>
      <c r="G9" s="4"/>
      <c r="H9" s="4"/>
      <c r="I9" s="4"/>
    </row>
    <row r="10">
      <c r="B10" s="9" t="s">
        <v>9</v>
      </c>
      <c r="E10" s="4"/>
      <c r="F10" s="7" t="s">
        <v>10</v>
      </c>
      <c r="I10" s="4"/>
    </row>
    <row r="11">
      <c r="B11" s="3"/>
      <c r="C11" s="4"/>
      <c r="D11" s="4"/>
      <c r="E11" s="4"/>
      <c r="F11" s="4"/>
      <c r="G11" s="4"/>
      <c r="H11" s="4"/>
      <c r="I11" s="4"/>
    </row>
    <row r="12">
      <c r="B12" s="10" t="s">
        <v>11</v>
      </c>
      <c r="C12" s="2"/>
      <c r="D12" s="2"/>
      <c r="E12" s="2"/>
      <c r="F12" s="2"/>
      <c r="G12" s="2"/>
      <c r="H12" s="2"/>
    </row>
    <row r="13" ht="6.0" customHeight="1">
      <c r="B13" s="11"/>
    </row>
    <row r="14">
      <c r="B14" s="12" t="s">
        <v>12</v>
      </c>
    </row>
    <row r="16">
      <c r="B16" s="13" t="s">
        <v>13</v>
      </c>
      <c r="C16" s="14"/>
      <c r="D16" s="14"/>
      <c r="E16" s="14"/>
      <c r="F16" s="14"/>
      <c r="G16" s="14"/>
      <c r="H16" s="14"/>
    </row>
    <row r="17" ht="6.0" customHeight="1"/>
    <row r="18">
      <c r="B18" s="15" t="s">
        <v>14</v>
      </c>
    </row>
    <row r="20">
      <c r="B20" s="16" t="s">
        <v>15</v>
      </c>
      <c r="H20" s="16" t="s">
        <v>16</v>
      </c>
      <c r="I20" s="17" t="s">
        <v>17</v>
      </c>
    </row>
    <row r="21">
      <c r="B21" s="16" t="s">
        <v>18</v>
      </c>
      <c r="H21" s="16" t="s">
        <v>16</v>
      </c>
    </row>
    <row r="23">
      <c r="B23" s="18" t="s">
        <v>19</v>
      </c>
      <c r="H23" s="19" t="str">
        <f>IF(and(H20="Yes",H21="Yes"),"QSBS eligible",IF(OR(H20="No",H21="No"),"Not eligible",IF(AND(H20="Not sure, check",H21="Not sure, check"),"Check validity",IF(and(H20="Yes",H21="Not sure, check"),"Check validity",if(and(H21="Yes",H20="Not sure, check"),"Check validity","Not eligible")))))</f>
        <v>QSBS eligible</v>
      </c>
    </row>
    <row r="24">
      <c r="B24" s="16"/>
    </row>
    <row r="25">
      <c r="B25" s="20" t="s">
        <v>20</v>
      </c>
    </row>
    <row r="27">
      <c r="B27" s="13" t="s">
        <v>17</v>
      </c>
      <c r="C27" s="14"/>
      <c r="D27" s="14"/>
      <c r="E27" s="14"/>
      <c r="F27" s="14"/>
      <c r="G27" s="14"/>
      <c r="H27" s="14"/>
    </row>
    <row r="29">
      <c r="B29" s="21" t="s">
        <v>21</v>
      </c>
      <c r="C29" s="2"/>
      <c r="D29" s="2"/>
      <c r="E29" s="2"/>
      <c r="F29" s="2"/>
      <c r="G29" s="2"/>
      <c r="H29" s="21" t="s">
        <v>22</v>
      </c>
    </row>
    <row r="30">
      <c r="A30" s="22" t="s">
        <v>23</v>
      </c>
      <c r="B30" s="16" t="s">
        <v>24</v>
      </c>
      <c r="H30" s="16" t="s">
        <v>16</v>
      </c>
    </row>
    <row r="31">
      <c r="A31" s="22" t="s">
        <v>25</v>
      </c>
      <c r="B31" s="16" t="s">
        <v>26</v>
      </c>
      <c r="H31" s="16" t="s">
        <v>16</v>
      </c>
    </row>
    <row r="32">
      <c r="A32" s="22" t="s">
        <v>27</v>
      </c>
      <c r="B32" s="15" t="s">
        <v>28</v>
      </c>
      <c r="H32" s="16" t="s">
        <v>16</v>
      </c>
    </row>
    <row r="33">
      <c r="A33" s="22" t="s">
        <v>29</v>
      </c>
      <c r="B33" s="15" t="s">
        <v>30</v>
      </c>
      <c r="H33" s="16" t="s">
        <v>16</v>
      </c>
    </row>
    <row r="35">
      <c r="B35" s="16" t="s">
        <v>31</v>
      </c>
      <c r="H35" s="23" t="str">
        <f>IF(COUNTIF(H29:H33, "No") &gt; 0, "Not QSB company", IF(COUNTIF(H29:H33, "Not sure, check") &gt; 0, "Check individual requirements, not enough data", "QSB company"))
</f>
        <v>QSB company</v>
      </c>
    </row>
    <row r="37">
      <c r="B37" s="13" t="s">
        <v>32</v>
      </c>
      <c r="C37" s="14"/>
      <c r="D37" s="14"/>
      <c r="E37" s="14"/>
      <c r="F37" s="14"/>
      <c r="G37" s="14"/>
      <c r="H37" s="14"/>
    </row>
    <row r="39">
      <c r="B39" s="24" t="s">
        <v>33</v>
      </c>
      <c r="C39" s="25"/>
      <c r="D39" s="25"/>
      <c r="E39" s="25"/>
    </row>
    <row r="40">
      <c r="B40" s="16" t="s">
        <v>34</v>
      </c>
      <c r="D40" s="26" t="s">
        <v>35</v>
      </c>
      <c r="E40" s="27">
        <v>10000.0</v>
      </c>
    </row>
    <row r="41">
      <c r="B41" s="16" t="s">
        <v>36</v>
      </c>
      <c r="D41" s="16" t="s">
        <v>37</v>
      </c>
      <c r="E41" s="28">
        <v>5.0</v>
      </c>
    </row>
    <row r="42">
      <c r="B42" s="16" t="s">
        <v>38</v>
      </c>
      <c r="D42" s="16" t="s">
        <v>37</v>
      </c>
      <c r="E42" s="28">
        <v>100.0</v>
      </c>
    </row>
    <row r="43">
      <c r="B43" s="16" t="s">
        <v>39</v>
      </c>
      <c r="D43" s="16" t="s">
        <v>40</v>
      </c>
      <c r="E43" s="29">
        <v>0.37</v>
      </c>
      <c r="F43" s="20" t="s">
        <v>41</v>
      </c>
    </row>
    <row r="45">
      <c r="B45" s="24" t="s">
        <v>42</v>
      </c>
      <c r="C45" s="25"/>
      <c r="D45" s="25"/>
      <c r="E45" s="25"/>
    </row>
    <row r="47">
      <c r="B47" s="30"/>
      <c r="C47" s="30"/>
      <c r="D47" s="31" t="s">
        <v>43</v>
      </c>
      <c r="E47" s="32" t="s">
        <v>44</v>
      </c>
    </row>
    <row r="48">
      <c r="B48" s="26" t="s">
        <v>45</v>
      </c>
      <c r="C48" s="33"/>
      <c r="D48" s="34">
        <f t="shared" ref="D48:E48" si="1">D51-D50-D49</f>
        <v>598500</v>
      </c>
      <c r="E48" s="34">
        <f t="shared" si="1"/>
        <v>950000</v>
      </c>
    </row>
    <row r="49">
      <c r="B49" s="16" t="s">
        <v>46</v>
      </c>
      <c r="D49" s="35">
        <f>(D51-D50)*E43</f>
        <v>351500</v>
      </c>
      <c r="E49" s="36">
        <v>0.0</v>
      </c>
    </row>
    <row r="50">
      <c r="B50" s="21" t="s">
        <v>47</v>
      </c>
      <c r="C50" s="2"/>
      <c r="D50" s="37">
        <f t="shared" ref="D50:E50" si="2">$E$41*$E$40</f>
        <v>50000</v>
      </c>
      <c r="E50" s="37">
        <f t="shared" si="2"/>
        <v>50000</v>
      </c>
    </row>
    <row r="51">
      <c r="B51" s="16" t="s">
        <v>48</v>
      </c>
      <c r="D51" s="38">
        <f t="shared" ref="D51:E51" si="3">$E$42*$E$40</f>
        <v>1000000</v>
      </c>
      <c r="E51" s="38">
        <f t="shared" si="3"/>
        <v>1000000</v>
      </c>
    </row>
    <row r="53">
      <c r="B53" s="39" t="s">
        <v>49</v>
      </c>
      <c r="C53" s="2"/>
      <c r="D53" s="2"/>
      <c r="E53" s="2"/>
      <c r="F53" s="2"/>
      <c r="G53" s="2"/>
      <c r="H53" s="2"/>
    </row>
    <row r="55">
      <c r="B55" s="15" t="s">
        <v>50</v>
      </c>
    </row>
    <row r="57">
      <c r="B57" s="40" t="s">
        <v>51</v>
      </c>
    </row>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sheetData>
  <mergeCells count="19">
    <mergeCell ref="B4:D4"/>
    <mergeCell ref="B5:D5"/>
    <mergeCell ref="F5:H5"/>
    <mergeCell ref="B7:D7"/>
    <mergeCell ref="F7:H7"/>
    <mergeCell ref="B9:D9"/>
    <mergeCell ref="B10:D10"/>
    <mergeCell ref="B32:F32"/>
    <mergeCell ref="B33:F33"/>
    <mergeCell ref="B37:H37"/>
    <mergeCell ref="B55:D55"/>
    <mergeCell ref="B57:D57"/>
    <mergeCell ref="F10:H10"/>
    <mergeCell ref="B14:H14"/>
    <mergeCell ref="B16:H16"/>
    <mergeCell ref="B18:H18"/>
    <mergeCell ref="B27:H27"/>
    <mergeCell ref="B30:F30"/>
    <mergeCell ref="B31:F31"/>
  </mergeCells>
  <conditionalFormatting sqref="H23">
    <cfRule type="containsText" dxfId="0" priority="1" operator="containsText" text="QSBS eligible">
      <formula>NOT(ISERROR(SEARCH(("QSBS eligible"),(H23))))</formula>
    </cfRule>
  </conditionalFormatting>
  <conditionalFormatting sqref="H23">
    <cfRule type="containsText" dxfId="1" priority="2" operator="containsText" text="Not eligible">
      <formula>NOT(ISERROR(SEARCH(("Not eligible"),(H23))))</formula>
    </cfRule>
  </conditionalFormatting>
  <conditionalFormatting sqref="H23">
    <cfRule type="containsText" dxfId="2" priority="3" operator="containsText" text="Check validity">
      <formula>NOT(ISERROR(SEARCH(("Check validity"),(H23))))</formula>
    </cfRule>
  </conditionalFormatting>
  <conditionalFormatting sqref="H35">
    <cfRule type="cellIs" dxfId="0" priority="4" operator="equal">
      <formula>"QSB company"</formula>
    </cfRule>
  </conditionalFormatting>
  <conditionalFormatting sqref="H35">
    <cfRule type="cellIs" dxfId="1" priority="5" operator="equal">
      <formula>"Not QSB company"</formula>
    </cfRule>
  </conditionalFormatting>
  <conditionalFormatting sqref="H35">
    <cfRule type="cellIs" dxfId="3" priority="6" operator="equal">
      <formula>"Check individual requirements, not enough data"</formula>
    </cfRule>
  </conditionalFormatting>
  <dataValidations>
    <dataValidation type="list" allowBlank="1" showErrorMessage="1" sqref="H20:H21 H30:H33">
      <formula1>"Yes,No,Not sure, check"</formula1>
    </dataValidation>
  </dataValidations>
  <hyperlinks>
    <hyperlink display="Check if a business is QSB" location="Calculator!A27:H35" ref="I20"/>
    <hyperlink r:id="rId1" ref="B57"/>
  </hyperlinks>
  <drawing r:id="rId2"/>
</worksheet>
</file>