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OpEx Model" sheetId="2" r:id="rId6"/>
  </sheets>
  <definedNames/>
  <calcPr/>
</workbook>
</file>

<file path=xl/sharedStrings.xml><?xml version="1.0" encoding="utf-8"?>
<sst xmlns="http://schemas.openxmlformats.org/spreadsheetml/2006/main" count="44" uniqueCount="43">
  <si>
    <r>
      <rPr>
        <rFont val="Arial"/>
        <color theme="1"/>
      </rPr>
      <t xml:space="preserve">This sheet is setup to help early stage startup founders create an early model. </t>
    </r>
    <r>
      <rPr>
        <rFont val="Arial"/>
        <b/>
        <color theme="1"/>
      </rPr>
      <t>The goal of early stage financial models is more about competency of modeling vs. accuracy of prediction.</t>
    </r>
  </si>
  <si>
    <t>Company</t>
  </si>
  <si>
    <t>FY23</t>
  </si>
  <si>
    <t>Legend</t>
  </si>
  <si>
    <t>Variable Input</t>
  </si>
  <si>
    <t>Formula</t>
  </si>
  <si>
    <t>Operating Forecast</t>
  </si>
  <si>
    <t>Cost to company</t>
  </si>
  <si>
    <t>Base salary</t>
  </si>
  <si>
    <t>Benefits and taxes</t>
  </si>
  <si>
    <t>Co-Founder 1</t>
  </si>
  <si>
    <t>Co-Founder 2</t>
  </si>
  <si>
    <t>Person 3</t>
  </si>
  <si>
    <t>Person 4</t>
  </si>
  <si>
    <t>Team</t>
  </si>
  <si>
    <t>Designer</t>
  </si>
  <si>
    <t>Accounting</t>
  </si>
  <si>
    <t>Contractor 3</t>
  </si>
  <si>
    <t>Contractors</t>
  </si>
  <si>
    <t>Misc. Costs</t>
  </si>
  <si>
    <t>Legal</t>
  </si>
  <si>
    <t>Office</t>
  </si>
  <si>
    <t>Misc Costs</t>
  </si>
  <si>
    <t>Software</t>
  </si>
  <si>
    <t>Hardware</t>
  </si>
  <si>
    <t>Cloud Costs</t>
  </si>
  <si>
    <t>G&amp;A</t>
  </si>
  <si>
    <t>Advertising</t>
  </si>
  <si>
    <t>Marketing/Content</t>
  </si>
  <si>
    <t>Marketing</t>
  </si>
  <si>
    <t>Revenue Forecast</t>
  </si>
  <si>
    <t>New Customers Per Month</t>
  </si>
  <si>
    <t>New Monthly Customer Growth</t>
  </si>
  <si>
    <t>Monthly churn</t>
  </si>
  <si>
    <t>Cohorts</t>
  </si>
  <si>
    <t>Total customers</t>
  </si>
  <si>
    <t>Average Revenue Per Customer</t>
  </si>
  <si>
    <t>Monthly Recurring Revenue MRR</t>
  </si>
  <si>
    <t>Customer Acquisition Costs (CAC)</t>
  </si>
  <si>
    <t>Revenue - CAC</t>
  </si>
  <si>
    <t>Monthly Net Revenue</t>
  </si>
  <si>
    <t>Monthly Operating Expenses</t>
  </si>
  <si>
    <t>Monthly (Burn)/Cash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</si>
</sst>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_(* #,##0_);_(* \(#,##0\);_(* &quot;-&quot;??_);_(@_)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color rgb="FF0000FF"/>
      <name val="Arial"/>
    </font>
    <font>
      <color theme="1"/>
      <name val="Arial"/>
    </font>
    <font>
      <b/>
      <sz val="14.0"/>
      <color theme="1"/>
      <name val="Arial"/>
    </font>
    <font>
      <color rgb="FF0000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BD1"/>
        <bgColor rgb="FFFFFBD1"/>
      </patternFill>
    </fill>
    <fill>
      <patternFill patternType="solid">
        <fgColor rgb="FFFFF2CC"/>
        <bgColor rgb="FFFFF2CC"/>
      </patternFill>
    </fill>
    <fill>
      <patternFill patternType="solid">
        <fgColor rgb="FFEDF2FA"/>
        <bgColor rgb="FFEDF2FA"/>
      </patternFill>
    </fill>
  </fills>
  <borders count="17">
    <border/>
    <border>
      <left style="thin">
        <color rgb="FFFF9900"/>
      </left>
      <top style="thin">
        <color rgb="FFFF9900"/>
      </top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</border>
    <border>
      <right style="thin">
        <color rgb="FFFF9900"/>
      </right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readingOrder="0" shrinkToFit="0" vertical="bottom" wrapText="1"/>
    </xf>
    <xf borderId="0" fillId="0" fontId="3" numFmtId="17" xfId="0" applyAlignment="1" applyFont="1" applyNumberForma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5" numFmtId="0" xfId="0" applyFont="1"/>
    <xf borderId="0" fillId="0" fontId="6" numFmtId="3" xfId="0" applyAlignment="1" applyFont="1" applyNumberFormat="1">
      <alignment readingOrder="0" vertical="bottom"/>
    </xf>
    <xf borderId="0" fillId="0" fontId="4" numFmtId="3" xfId="0" applyAlignment="1" applyFont="1" applyNumberFormat="1">
      <alignment readingOrder="0" vertical="bottom"/>
    </xf>
    <xf borderId="0" fillId="0" fontId="4" numFmtId="3" xfId="0" applyAlignment="1" applyFont="1" applyNumberFormat="1">
      <alignment vertical="bottom"/>
    </xf>
    <xf borderId="0" fillId="0" fontId="5" numFmtId="3" xfId="0" applyFont="1" applyNumberFormat="1"/>
    <xf borderId="10" fillId="3" fontId="7" numFmtId="164" xfId="0" applyAlignment="1" applyBorder="1" applyFill="1" applyFont="1" applyNumberFormat="1">
      <alignment readingOrder="0" vertical="bottom"/>
    </xf>
    <xf borderId="10" fillId="0" fontId="4" numFmtId="3" xfId="0" applyAlignment="1" applyBorder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9" fillId="0" fontId="9" numFmtId="3" xfId="0" applyAlignment="1" applyBorder="1" applyFont="1" applyNumberFormat="1">
      <alignment readingOrder="0" vertical="bottom"/>
    </xf>
    <xf borderId="9" fillId="0" fontId="8" numFmtId="3" xfId="0" applyAlignment="1" applyBorder="1" applyFont="1" applyNumberFormat="1">
      <alignment readingOrder="0" vertical="bottom"/>
    </xf>
    <xf borderId="9" fillId="0" fontId="8" numFmtId="3" xfId="0" applyAlignment="1" applyBorder="1" applyFont="1" applyNumberFormat="1">
      <alignment vertical="bottom"/>
    </xf>
    <xf borderId="0" fillId="0" fontId="1" numFmtId="3" xfId="0" applyFont="1" applyNumberFormat="1"/>
    <xf borderId="0" fillId="0" fontId="8" numFmtId="164" xfId="0" applyAlignment="1" applyFont="1" applyNumberFormat="1">
      <alignment vertical="bottom"/>
    </xf>
    <xf borderId="11" fillId="0" fontId="8" numFmtId="164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readingOrder="0" vertical="bottom"/>
    </xf>
    <xf borderId="0" fillId="3" fontId="7" numFmtId="164" xfId="0" applyAlignment="1" applyFont="1" applyNumberFormat="1">
      <alignment vertical="bottom"/>
    </xf>
    <xf borderId="12" fillId="0" fontId="8" numFmtId="164" xfId="0" applyAlignment="1" applyBorder="1" applyFont="1" applyNumberFormat="1">
      <alignment vertical="bottom"/>
    </xf>
    <xf borderId="0" fillId="0" fontId="8" numFmtId="164" xfId="0" applyAlignment="1" applyFont="1" applyNumberFormat="1">
      <alignment readingOrder="0" vertical="bottom"/>
    </xf>
    <xf borderId="0" fillId="4" fontId="8" numFmtId="165" xfId="0" applyAlignment="1" applyFill="1" applyFont="1" applyNumberFormat="1">
      <alignment readingOrder="0" vertical="bottom"/>
    </xf>
    <xf borderId="0" fillId="4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3" fillId="5" fontId="3" numFmtId="0" xfId="0" applyAlignment="1" applyBorder="1" applyFill="1" applyFont="1">
      <alignment readingOrder="0" vertical="bottom"/>
    </xf>
    <xf borderId="13" fillId="5" fontId="3" numFmtId="164" xfId="0" applyAlignment="1" applyBorder="1" applyFont="1" applyNumberFormat="1">
      <alignment horizontal="right" shrinkToFit="0" vertical="bottom" wrapText="1"/>
    </xf>
    <xf borderId="14" fillId="5" fontId="3" numFmtId="164" xfId="0" applyAlignment="1" applyBorder="1" applyFont="1" applyNumberFormat="1">
      <alignment horizontal="right"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1"/>
    </xf>
    <xf borderId="11" fillId="0" fontId="8" numFmtId="164" xfId="0" applyAlignment="1" applyBorder="1" applyFont="1" applyNumberFormat="1">
      <alignment horizontal="right" shrinkToFit="0" vertical="bottom" wrapText="1"/>
    </xf>
    <xf borderId="0" fillId="2" fontId="8" numFmtId="164" xfId="0" applyAlignment="1" applyFont="1" applyNumberFormat="1">
      <alignment horizontal="right" readingOrder="0" shrinkToFit="0" vertical="bottom" wrapText="1"/>
    </xf>
    <xf borderId="0" fillId="3" fontId="7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readingOrder="0" shrinkToFit="0" vertical="bottom" wrapText="1"/>
    </xf>
    <xf borderId="11" fillId="0" fontId="8" numFmtId="164" xfId="0" applyAlignment="1" applyBorder="1" applyFont="1" applyNumberFormat="1">
      <alignment horizontal="right" readingOrder="0" shrinkToFit="0" vertical="bottom" wrapText="1"/>
    </xf>
    <xf borderId="0" fillId="3" fontId="10" numFmtId="0" xfId="0" applyAlignment="1" applyFont="1">
      <alignment readingOrder="0"/>
    </xf>
    <xf borderId="11" fillId="2" fontId="8" numFmtId="164" xfId="0" applyAlignment="1" applyBorder="1" applyFont="1" applyNumberFormat="1">
      <alignment horizontal="right" readingOrder="0" shrinkToFit="0" vertical="bottom" wrapText="1"/>
    </xf>
    <xf borderId="0" fillId="0" fontId="8" numFmtId="37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3" xfId="0" applyAlignment="1" applyFont="1" applyNumberFormat="1">
      <alignment readingOrder="0" vertical="bottom"/>
    </xf>
    <xf borderId="0" fillId="0" fontId="8" numFmtId="3" xfId="0" applyAlignment="1" applyFont="1" applyNumberFormat="1">
      <alignment vertical="bottom"/>
    </xf>
    <xf borderId="11" fillId="0" fontId="8" numFmtId="3" xfId="0" applyAlignment="1" applyBorder="1" applyFont="1" applyNumberFormat="1">
      <alignment vertical="bottom"/>
    </xf>
    <xf borderId="0" fillId="3" fontId="7" numFmtId="3" xfId="0" applyAlignment="1" applyFont="1" applyNumberFormat="1">
      <alignment readingOrder="0" vertical="bottom"/>
    </xf>
    <xf borderId="0" fillId="3" fontId="7" numFmtId="9" xfId="0" applyAlignment="1" applyFont="1" applyNumberFormat="1">
      <alignment readingOrder="0" vertical="bottom"/>
    </xf>
    <xf borderId="11" fillId="3" fontId="7" numFmtId="9" xfId="0" applyAlignment="1" applyBorder="1" applyFont="1" applyNumberFormat="1">
      <alignment readingOrder="0" vertical="bottom"/>
    </xf>
    <xf borderId="11" fillId="0" fontId="8" numFmtId="164" xfId="0" applyAlignment="1" applyBorder="1" applyFont="1" applyNumberFormat="1">
      <alignment readingOrder="0" vertical="bottom"/>
    </xf>
    <xf borderId="0" fillId="0" fontId="8" numFmtId="17" xfId="0" applyAlignment="1" applyFont="1" applyNumberFormat="1">
      <alignment horizontal="left" readingOrder="0" vertical="bottom"/>
    </xf>
    <xf borderId="11" fillId="0" fontId="8" numFmtId="3" xfId="0" applyAlignment="1" applyBorder="1" applyFont="1" applyNumberFormat="1">
      <alignment readingOrder="0" vertical="bottom"/>
    </xf>
    <xf borderId="0" fillId="2" fontId="8" numFmtId="3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  <xf borderId="11" fillId="0" fontId="3" numFmtId="3" xfId="0" applyAlignment="1" applyBorder="1" applyFont="1" applyNumberFormat="1">
      <alignment readingOrder="0" vertical="bottom"/>
    </xf>
    <xf borderId="0" fillId="3" fontId="7" numFmtId="10" xfId="0" applyAlignment="1" applyFont="1" applyNumberFormat="1">
      <alignment readingOrder="0" vertical="bottom"/>
    </xf>
    <xf borderId="11" fillId="3" fontId="7" numFmtId="10" xfId="0" applyAlignment="1" applyBorder="1" applyFont="1" applyNumberFormat="1">
      <alignment readingOrder="0" vertical="bottom"/>
    </xf>
    <xf borderId="13" fillId="0" fontId="8" numFmtId="0" xfId="0" applyAlignment="1" applyBorder="1" applyFont="1">
      <alignment readingOrder="0" vertical="bottom"/>
    </xf>
    <xf borderId="13" fillId="0" fontId="8" numFmtId="164" xfId="0" applyAlignment="1" applyBorder="1" applyFont="1" applyNumberFormat="1">
      <alignment vertical="bottom"/>
    </xf>
    <xf borderId="14" fillId="0" fontId="8" numFmtId="164" xfId="0" applyAlignment="1" applyBorder="1" applyFont="1" applyNumberFormat="1">
      <alignment vertical="bottom"/>
    </xf>
    <xf borderId="9" fillId="0" fontId="8" numFmtId="0" xfId="0" applyAlignment="1" applyBorder="1" applyFont="1">
      <alignment vertical="bottom"/>
    </xf>
    <xf borderId="9" fillId="0" fontId="8" numFmtId="164" xfId="0" applyAlignment="1" applyBorder="1" applyFont="1" applyNumberFormat="1">
      <alignment vertical="bottom"/>
    </xf>
    <xf borderId="15" fillId="0" fontId="8" numFmtId="164" xfId="0" applyAlignment="1" applyBorder="1" applyFont="1" applyNumberFormat="1">
      <alignment vertical="bottom"/>
    </xf>
    <xf borderId="9" fillId="0" fontId="3" numFmtId="0" xfId="0" applyAlignment="1" applyBorder="1" applyFont="1">
      <alignment readingOrder="0" shrinkToFit="0" vertical="bottom" wrapText="1"/>
    </xf>
    <xf borderId="9" fillId="0" fontId="3" numFmtId="164" xfId="0" applyAlignment="1" applyBorder="1" applyFont="1" applyNumberFormat="1">
      <alignment horizontal="right" shrinkToFit="0" vertical="bottom" wrapText="1"/>
    </xf>
    <xf borderId="15" fillId="0" fontId="3" numFmtId="164" xfId="0" applyAlignment="1" applyBorder="1" applyFont="1" applyNumberFormat="1">
      <alignment horizontal="right" shrinkToFit="0" vertical="bottom" wrapText="1"/>
    </xf>
    <xf borderId="0" fillId="0" fontId="3" numFmtId="166" xfId="0" applyAlignment="1" applyFont="1" applyNumberFormat="1">
      <alignment horizontal="right" shrinkToFit="0" vertical="bottom" wrapText="1"/>
    </xf>
    <xf borderId="9" fillId="0" fontId="8" numFmtId="37" xfId="0" applyAlignment="1" applyBorder="1" applyFont="1" applyNumberFormat="1">
      <alignment vertical="bottom"/>
    </xf>
    <xf borderId="9" fillId="0" fontId="1" numFmtId="0" xfId="0" applyBorder="1" applyFont="1"/>
    <xf borderId="11" fillId="0" fontId="3" numFmtId="164" xfId="0" applyAlignment="1" applyBorder="1" applyFont="1" applyNumberFormat="1">
      <alignment horizontal="right" shrinkToFit="0" vertical="bottom" wrapText="1"/>
    </xf>
    <xf borderId="16" fillId="5" fontId="3" numFmtId="0" xfId="0" applyAlignment="1" applyBorder="1" applyFont="1">
      <alignment readingOrder="0" shrinkToFit="0" vertical="bottom" wrapText="1"/>
    </xf>
    <xf borderId="16" fillId="5" fontId="3" numFmtId="164" xfId="0" applyAlignment="1" applyBorder="1" applyFont="1" applyNumberForma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8" numFmtId="166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1"/>
    </xf>
    <xf borderId="0" fillId="0" fontId="8" numFmtId="10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</xdr:row>
      <xdr:rowOff>133350</xdr:rowOff>
    </xdr:from>
    <xdr:ext cx="4743450" cy="2047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/>
      <c r="E2" s="5"/>
    </row>
    <row r="3">
      <c r="A3" s="4"/>
      <c r="E3" s="5"/>
    </row>
    <row r="4">
      <c r="A4" s="4"/>
      <c r="E4" s="5"/>
    </row>
    <row r="5">
      <c r="A5" s="4"/>
      <c r="E5" s="5"/>
    </row>
    <row r="6">
      <c r="A6" s="4"/>
      <c r="E6" s="5"/>
    </row>
    <row r="7">
      <c r="A7" s="4"/>
      <c r="E7" s="5"/>
    </row>
    <row r="8">
      <c r="A8" s="4"/>
      <c r="E8" s="5"/>
    </row>
    <row r="9">
      <c r="A9" s="4"/>
      <c r="E9" s="5"/>
    </row>
    <row r="10">
      <c r="A10" s="4"/>
      <c r="E10" s="5"/>
    </row>
    <row r="11">
      <c r="A11" s="4"/>
      <c r="E11" s="5"/>
    </row>
    <row r="12">
      <c r="A12" s="4"/>
      <c r="E12" s="5"/>
    </row>
    <row r="13">
      <c r="A13" s="4"/>
      <c r="E13" s="5"/>
    </row>
    <row r="14">
      <c r="A14" s="4"/>
      <c r="E14" s="5"/>
    </row>
    <row r="15">
      <c r="A15" s="4"/>
      <c r="E15" s="5"/>
    </row>
    <row r="16">
      <c r="A16" s="4"/>
      <c r="E16" s="5"/>
    </row>
    <row r="17">
      <c r="A17" s="6"/>
      <c r="B17" s="7"/>
      <c r="C17" s="7"/>
      <c r="D17" s="7"/>
      <c r="E17" s="8"/>
    </row>
  </sheetData>
  <mergeCells count="1">
    <mergeCell ref="A1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6.5"/>
    <col customWidth="1" min="3" max="3" width="9.88"/>
    <col customWidth="1" min="16" max="16" width="14.38"/>
    <col customWidth="1" min="18" max="18" width="15.13"/>
  </cols>
  <sheetData>
    <row r="1">
      <c r="A1" s="9"/>
      <c r="B1" s="9" t="s">
        <v>1</v>
      </c>
      <c r="C1" s="10">
        <v>45292.0</v>
      </c>
      <c r="D1" s="10">
        <v>45323.0</v>
      </c>
      <c r="E1" s="10">
        <v>45354.0</v>
      </c>
      <c r="F1" s="10">
        <v>45385.0</v>
      </c>
      <c r="G1" s="10">
        <v>45416.0</v>
      </c>
      <c r="H1" s="10">
        <v>45447.0</v>
      </c>
      <c r="I1" s="10">
        <v>45478.0</v>
      </c>
      <c r="J1" s="10">
        <v>45509.0</v>
      </c>
      <c r="K1" s="10">
        <v>45540.0</v>
      </c>
      <c r="L1" s="10">
        <v>45571.0</v>
      </c>
      <c r="M1" s="10">
        <v>45602.0</v>
      </c>
      <c r="N1" s="10">
        <v>45633.0</v>
      </c>
      <c r="O1" s="11" t="s">
        <v>2</v>
      </c>
    </row>
    <row r="2">
      <c r="A2" s="12"/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2"/>
      <c r="B3" s="16" t="s">
        <v>3</v>
      </c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5"/>
      <c r="Q3" s="18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2"/>
      <c r="B4" s="20" t="s">
        <v>4</v>
      </c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2"/>
      <c r="B5" s="21" t="s">
        <v>5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5"/>
      <c r="Q5" s="18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2"/>
      <c r="B6" s="16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5"/>
      <c r="Q6" s="18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22"/>
      <c r="B7" s="23" t="s">
        <v>6</v>
      </c>
      <c r="C7" s="24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2"/>
      <c r="B8" s="22"/>
      <c r="C8" s="22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7"/>
      <c r="P8" s="29" t="s">
        <v>7</v>
      </c>
      <c r="Q8" s="29" t="s">
        <v>8</v>
      </c>
      <c r="R8" s="29" t="s">
        <v>9</v>
      </c>
    </row>
    <row r="9">
      <c r="A9" s="22"/>
      <c r="B9" s="22" t="s">
        <v>10</v>
      </c>
      <c r="C9" s="30">
        <f t="shared" ref="C9:C12" si="2">$P$9/12</f>
        <v>13020.83333</v>
      </c>
      <c r="D9" s="27">
        <f t="shared" ref="D9:N9" si="1">C9</f>
        <v>13020.83333</v>
      </c>
      <c r="E9" s="27">
        <f t="shared" si="1"/>
        <v>13020.83333</v>
      </c>
      <c r="F9" s="27">
        <f t="shared" si="1"/>
        <v>13020.83333</v>
      </c>
      <c r="G9" s="27">
        <f t="shared" si="1"/>
        <v>13020.83333</v>
      </c>
      <c r="H9" s="27">
        <f t="shared" si="1"/>
        <v>13020.83333</v>
      </c>
      <c r="I9" s="27">
        <f t="shared" si="1"/>
        <v>13020.83333</v>
      </c>
      <c r="J9" s="27">
        <f t="shared" si="1"/>
        <v>13020.83333</v>
      </c>
      <c r="K9" s="27">
        <f t="shared" si="1"/>
        <v>13020.83333</v>
      </c>
      <c r="L9" s="27">
        <f t="shared" si="1"/>
        <v>13020.83333</v>
      </c>
      <c r="M9" s="27">
        <f t="shared" si="1"/>
        <v>13020.83333</v>
      </c>
      <c r="N9" s="28">
        <f t="shared" si="1"/>
        <v>13020.83333</v>
      </c>
      <c r="O9" s="31">
        <f t="shared" ref="O9:O12" si="4">SUM(C9:N9)</f>
        <v>156250</v>
      </c>
      <c r="P9" s="32">
        <f t="shared" ref="P9:P12" si="5">Q9+(Q9*R9)</f>
        <v>156250</v>
      </c>
      <c r="Q9" s="33">
        <v>125000.0</v>
      </c>
      <c r="R9" s="34">
        <v>0.25</v>
      </c>
    </row>
    <row r="10">
      <c r="A10" s="22"/>
      <c r="B10" s="22" t="s">
        <v>11</v>
      </c>
      <c r="C10" s="30">
        <f t="shared" si="2"/>
        <v>13020.83333</v>
      </c>
      <c r="D10" s="27">
        <f t="shared" ref="D10:N10" si="3">C10</f>
        <v>13020.83333</v>
      </c>
      <c r="E10" s="27">
        <f t="shared" si="3"/>
        <v>13020.83333</v>
      </c>
      <c r="F10" s="27">
        <f t="shared" si="3"/>
        <v>13020.83333</v>
      </c>
      <c r="G10" s="27">
        <f t="shared" si="3"/>
        <v>13020.83333</v>
      </c>
      <c r="H10" s="27">
        <f t="shared" si="3"/>
        <v>13020.83333</v>
      </c>
      <c r="I10" s="27">
        <f t="shared" si="3"/>
        <v>13020.83333</v>
      </c>
      <c r="J10" s="27">
        <f t="shared" si="3"/>
        <v>13020.83333</v>
      </c>
      <c r="K10" s="27">
        <f t="shared" si="3"/>
        <v>13020.83333</v>
      </c>
      <c r="L10" s="27">
        <f t="shared" si="3"/>
        <v>13020.83333</v>
      </c>
      <c r="M10" s="27">
        <f t="shared" si="3"/>
        <v>13020.83333</v>
      </c>
      <c r="N10" s="28">
        <f t="shared" si="3"/>
        <v>13020.83333</v>
      </c>
      <c r="O10" s="31">
        <f t="shared" si="4"/>
        <v>156250</v>
      </c>
      <c r="P10" s="32">
        <f t="shared" si="5"/>
        <v>156250</v>
      </c>
      <c r="Q10" s="33">
        <v>125000.0</v>
      </c>
      <c r="R10" s="34">
        <v>0.25</v>
      </c>
    </row>
    <row r="11">
      <c r="A11" s="22"/>
      <c r="B11" s="22" t="s">
        <v>12</v>
      </c>
      <c r="C11" s="30">
        <f t="shared" si="2"/>
        <v>13020.83333</v>
      </c>
      <c r="D11" s="27">
        <f t="shared" ref="D11:N11" si="6">C11</f>
        <v>13020.83333</v>
      </c>
      <c r="E11" s="27">
        <f t="shared" si="6"/>
        <v>13020.83333</v>
      </c>
      <c r="F11" s="27">
        <f t="shared" si="6"/>
        <v>13020.83333</v>
      </c>
      <c r="G11" s="27">
        <f t="shared" si="6"/>
        <v>13020.83333</v>
      </c>
      <c r="H11" s="27">
        <f t="shared" si="6"/>
        <v>13020.83333</v>
      </c>
      <c r="I11" s="27">
        <f t="shared" si="6"/>
        <v>13020.83333</v>
      </c>
      <c r="J11" s="27">
        <f t="shared" si="6"/>
        <v>13020.83333</v>
      </c>
      <c r="K11" s="27">
        <f t="shared" si="6"/>
        <v>13020.83333</v>
      </c>
      <c r="L11" s="27">
        <f t="shared" si="6"/>
        <v>13020.83333</v>
      </c>
      <c r="M11" s="27">
        <f t="shared" si="6"/>
        <v>13020.83333</v>
      </c>
      <c r="N11" s="28">
        <f t="shared" si="6"/>
        <v>13020.83333</v>
      </c>
      <c r="O11" s="31">
        <f t="shared" si="4"/>
        <v>156250</v>
      </c>
      <c r="P11" s="32">
        <f t="shared" si="5"/>
        <v>218750</v>
      </c>
      <c r="Q11" s="33">
        <v>175000.0</v>
      </c>
      <c r="R11" s="34">
        <v>0.25</v>
      </c>
    </row>
    <row r="12">
      <c r="A12" s="22"/>
      <c r="B12" s="35" t="s">
        <v>13</v>
      </c>
      <c r="C12" s="30">
        <f t="shared" si="2"/>
        <v>13020.83333</v>
      </c>
      <c r="D12" s="27">
        <f t="shared" ref="D12:N12" si="7">C12</f>
        <v>13020.83333</v>
      </c>
      <c r="E12" s="27">
        <f t="shared" si="7"/>
        <v>13020.83333</v>
      </c>
      <c r="F12" s="27">
        <f t="shared" si="7"/>
        <v>13020.83333</v>
      </c>
      <c r="G12" s="27">
        <f t="shared" si="7"/>
        <v>13020.83333</v>
      </c>
      <c r="H12" s="27">
        <f t="shared" si="7"/>
        <v>13020.83333</v>
      </c>
      <c r="I12" s="27">
        <f t="shared" si="7"/>
        <v>13020.83333</v>
      </c>
      <c r="J12" s="27">
        <f t="shared" si="7"/>
        <v>13020.83333</v>
      </c>
      <c r="K12" s="27">
        <f t="shared" si="7"/>
        <v>13020.83333</v>
      </c>
      <c r="L12" s="27">
        <f t="shared" si="7"/>
        <v>13020.83333</v>
      </c>
      <c r="M12" s="27">
        <f t="shared" si="7"/>
        <v>13020.83333</v>
      </c>
      <c r="N12" s="28">
        <f t="shared" si="7"/>
        <v>13020.83333</v>
      </c>
      <c r="O12" s="27">
        <f t="shared" si="4"/>
        <v>156250</v>
      </c>
      <c r="P12" s="32">
        <f t="shared" si="5"/>
        <v>218750</v>
      </c>
      <c r="Q12" s="33">
        <v>175000.0</v>
      </c>
      <c r="R12" s="34">
        <v>0.25</v>
      </c>
    </row>
    <row r="13">
      <c r="A13" s="22"/>
      <c r="B13" s="36" t="s">
        <v>14</v>
      </c>
      <c r="C13" s="37">
        <f t="shared" ref="C13:O13" si="8">SUM(C9:C11)</f>
        <v>39062.5</v>
      </c>
      <c r="D13" s="37">
        <f t="shared" si="8"/>
        <v>39062.5</v>
      </c>
      <c r="E13" s="37">
        <f t="shared" si="8"/>
        <v>39062.5</v>
      </c>
      <c r="F13" s="37">
        <f t="shared" si="8"/>
        <v>39062.5</v>
      </c>
      <c r="G13" s="37">
        <f t="shared" si="8"/>
        <v>39062.5</v>
      </c>
      <c r="H13" s="37">
        <f t="shared" si="8"/>
        <v>39062.5</v>
      </c>
      <c r="I13" s="37">
        <f t="shared" si="8"/>
        <v>39062.5</v>
      </c>
      <c r="J13" s="37">
        <f t="shared" si="8"/>
        <v>39062.5</v>
      </c>
      <c r="K13" s="37">
        <f t="shared" si="8"/>
        <v>39062.5</v>
      </c>
      <c r="L13" s="37">
        <f t="shared" si="8"/>
        <v>39062.5</v>
      </c>
      <c r="M13" s="37">
        <f t="shared" si="8"/>
        <v>39062.5</v>
      </c>
      <c r="N13" s="38">
        <f t="shared" si="8"/>
        <v>39062.5</v>
      </c>
      <c r="O13" s="37">
        <f t="shared" si="8"/>
        <v>468750</v>
      </c>
      <c r="P13" s="39"/>
      <c r="Q13" s="40"/>
    </row>
    <row r="14">
      <c r="A14" s="22"/>
      <c r="B14" s="2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2"/>
      <c r="O14" s="41"/>
      <c r="P14" s="41"/>
      <c r="Q14" s="40"/>
    </row>
    <row r="15">
      <c r="A15" s="22"/>
      <c r="B15" s="35" t="s">
        <v>15</v>
      </c>
      <c r="C15" s="43"/>
      <c r="D15" s="43"/>
      <c r="E15" s="43"/>
      <c r="F15" s="43"/>
      <c r="G15" s="44">
        <v>7500.0</v>
      </c>
      <c r="H15" s="45">
        <f t="shared" ref="H15:N15" si="9">G15</f>
        <v>7500</v>
      </c>
      <c r="I15" s="45">
        <f t="shared" si="9"/>
        <v>7500</v>
      </c>
      <c r="J15" s="45">
        <f t="shared" si="9"/>
        <v>7500</v>
      </c>
      <c r="K15" s="45">
        <f t="shared" si="9"/>
        <v>7500</v>
      </c>
      <c r="L15" s="45">
        <f t="shared" si="9"/>
        <v>7500</v>
      </c>
      <c r="M15" s="45">
        <f t="shared" si="9"/>
        <v>7500</v>
      </c>
      <c r="N15" s="46">
        <f t="shared" si="9"/>
        <v>7500</v>
      </c>
      <c r="O15" s="31">
        <f t="shared" ref="O15:O17" si="11">SUM(C15:N15)</f>
        <v>60000</v>
      </c>
      <c r="P15" s="41"/>
      <c r="Q15" s="40"/>
    </row>
    <row r="16">
      <c r="A16" s="22"/>
      <c r="B16" s="35" t="s">
        <v>16</v>
      </c>
      <c r="C16" s="43"/>
      <c r="D16" s="43"/>
      <c r="E16" s="43"/>
      <c r="F16" s="30">
        <v>2500.0</v>
      </c>
      <c r="G16" s="45">
        <f t="shared" ref="G16:N16" si="10">F16</f>
        <v>2500</v>
      </c>
      <c r="H16" s="45">
        <f t="shared" si="10"/>
        <v>2500</v>
      </c>
      <c r="I16" s="45">
        <f t="shared" si="10"/>
        <v>2500</v>
      </c>
      <c r="J16" s="45">
        <f t="shared" si="10"/>
        <v>2500</v>
      </c>
      <c r="K16" s="45">
        <f t="shared" si="10"/>
        <v>2500</v>
      </c>
      <c r="L16" s="45">
        <f t="shared" si="10"/>
        <v>2500</v>
      </c>
      <c r="M16" s="45">
        <f t="shared" si="10"/>
        <v>2500</v>
      </c>
      <c r="N16" s="46">
        <f t="shared" si="10"/>
        <v>2500</v>
      </c>
      <c r="O16" s="31">
        <f t="shared" si="11"/>
        <v>22500</v>
      </c>
      <c r="P16" s="41"/>
      <c r="Q16" s="40"/>
    </row>
    <row r="17">
      <c r="A17" s="22"/>
      <c r="B17" s="47" t="s">
        <v>17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8"/>
      <c r="O17" s="31">
        <f t="shared" si="11"/>
        <v>0</v>
      </c>
      <c r="P17" s="41"/>
      <c r="Q17" s="40"/>
    </row>
    <row r="18">
      <c r="A18" s="22"/>
      <c r="B18" s="36" t="s">
        <v>18</v>
      </c>
      <c r="C18" s="37">
        <f t="shared" ref="C18:O18" si="12">SUM(C15:C17)</f>
        <v>0</v>
      </c>
      <c r="D18" s="37">
        <f t="shared" si="12"/>
        <v>0</v>
      </c>
      <c r="E18" s="37">
        <f t="shared" si="12"/>
        <v>0</v>
      </c>
      <c r="F18" s="37">
        <f t="shared" si="12"/>
        <v>2500</v>
      </c>
      <c r="G18" s="37">
        <f t="shared" si="12"/>
        <v>10000</v>
      </c>
      <c r="H18" s="37">
        <f t="shared" si="12"/>
        <v>10000</v>
      </c>
      <c r="I18" s="37">
        <f t="shared" si="12"/>
        <v>10000</v>
      </c>
      <c r="J18" s="37">
        <f t="shared" si="12"/>
        <v>10000</v>
      </c>
      <c r="K18" s="37">
        <f t="shared" si="12"/>
        <v>10000</v>
      </c>
      <c r="L18" s="37">
        <f t="shared" si="12"/>
        <v>10000</v>
      </c>
      <c r="M18" s="37">
        <f t="shared" si="12"/>
        <v>10000</v>
      </c>
      <c r="N18" s="38">
        <f t="shared" si="12"/>
        <v>10000</v>
      </c>
      <c r="O18" s="37">
        <f t="shared" si="12"/>
        <v>82500</v>
      </c>
      <c r="P18" s="39"/>
      <c r="Q18" s="49"/>
    </row>
    <row r="19">
      <c r="A19" s="22"/>
      <c r="B19" s="50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  <c r="O19" s="27"/>
      <c r="P19" s="27"/>
      <c r="Q19" s="50"/>
    </row>
    <row r="20">
      <c r="A20" s="22"/>
      <c r="B20" s="22" t="s">
        <v>19</v>
      </c>
      <c r="C20" s="30">
        <v>5000.0</v>
      </c>
      <c r="D20" s="43"/>
      <c r="E20" s="43"/>
      <c r="F20" s="30">
        <v>5000.0</v>
      </c>
      <c r="G20" s="43"/>
      <c r="H20" s="43"/>
      <c r="I20" s="30">
        <v>5000.0</v>
      </c>
      <c r="J20" s="43"/>
      <c r="K20" s="43"/>
      <c r="L20" s="30">
        <v>5000.0</v>
      </c>
      <c r="M20" s="43"/>
      <c r="N20" s="48"/>
      <c r="O20" s="41">
        <f t="shared" ref="O20:O22" si="13">SUM(C20:N20)</f>
        <v>20000</v>
      </c>
      <c r="P20" s="41"/>
      <c r="Q20" s="50"/>
    </row>
    <row r="21">
      <c r="A21" s="22"/>
      <c r="B21" s="22" t="s">
        <v>20</v>
      </c>
      <c r="C21" s="30">
        <v>25000.0</v>
      </c>
      <c r="D21" s="43"/>
      <c r="E21" s="43"/>
      <c r="F21" s="43"/>
      <c r="G21" s="30">
        <v>5000.0</v>
      </c>
      <c r="H21" s="43"/>
      <c r="I21" s="43"/>
      <c r="J21" s="43"/>
      <c r="K21" s="30">
        <v>5000.0</v>
      </c>
      <c r="L21" s="43"/>
      <c r="M21" s="43"/>
      <c r="N21" s="48"/>
      <c r="O21" s="41">
        <f t="shared" si="13"/>
        <v>35000</v>
      </c>
      <c r="P21" s="41"/>
      <c r="Q21" s="50"/>
    </row>
    <row r="22">
      <c r="A22" s="22"/>
      <c r="B22" s="22" t="s">
        <v>21</v>
      </c>
      <c r="C22" s="30">
        <v>2000.0</v>
      </c>
      <c r="D22" s="45">
        <f t="shared" ref="D22:N22" si="14">C22</f>
        <v>2000</v>
      </c>
      <c r="E22" s="45">
        <f t="shared" si="14"/>
        <v>2000</v>
      </c>
      <c r="F22" s="45">
        <f t="shared" si="14"/>
        <v>2000</v>
      </c>
      <c r="G22" s="45">
        <f t="shared" si="14"/>
        <v>2000</v>
      </c>
      <c r="H22" s="45">
        <f t="shared" si="14"/>
        <v>2000</v>
      </c>
      <c r="I22" s="45">
        <f t="shared" si="14"/>
        <v>2000</v>
      </c>
      <c r="J22" s="45">
        <f t="shared" si="14"/>
        <v>2000</v>
      </c>
      <c r="K22" s="45">
        <f t="shared" si="14"/>
        <v>2000</v>
      </c>
      <c r="L22" s="45">
        <f t="shared" si="14"/>
        <v>2000</v>
      </c>
      <c r="M22" s="45">
        <f t="shared" si="14"/>
        <v>2000</v>
      </c>
      <c r="N22" s="46">
        <f t="shared" si="14"/>
        <v>2000</v>
      </c>
      <c r="O22" s="41">
        <f t="shared" si="13"/>
        <v>24000</v>
      </c>
      <c r="P22" s="41"/>
      <c r="Q22" s="50"/>
    </row>
    <row r="23">
      <c r="A23" s="22"/>
      <c r="B23" s="36" t="s">
        <v>22</v>
      </c>
      <c r="C23" s="37">
        <f t="shared" ref="C23:O23" si="15">SUM(C20:C22)</f>
        <v>32000</v>
      </c>
      <c r="D23" s="37">
        <f t="shared" si="15"/>
        <v>2000</v>
      </c>
      <c r="E23" s="37">
        <f t="shared" si="15"/>
        <v>2000</v>
      </c>
      <c r="F23" s="37">
        <f t="shared" si="15"/>
        <v>7000</v>
      </c>
      <c r="G23" s="37">
        <f t="shared" si="15"/>
        <v>7000</v>
      </c>
      <c r="H23" s="37">
        <f t="shared" si="15"/>
        <v>2000</v>
      </c>
      <c r="I23" s="37">
        <f t="shared" si="15"/>
        <v>7000</v>
      </c>
      <c r="J23" s="37">
        <f t="shared" si="15"/>
        <v>2000</v>
      </c>
      <c r="K23" s="37">
        <f t="shared" si="15"/>
        <v>7000</v>
      </c>
      <c r="L23" s="37">
        <f t="shared" si="15"/>
        <v>7000</v>
      </c>
      <c r="M23" s="37">
        <f t="shared" si="15"/>
        <v>2000</v>
      </c>
      <c r="N23" s="38">
        <f t="shared" si="15"/>
        <v>2000</v>
      </c>
      <c r="O23" s="37">
        <f t="shared" si="15"/>
        <v>79000</v>
      </c>
      <c r="P23" s="39"/>
      <c r="Q23" s="49"/>
    </row>
    <row r="24">
      <c r="A24" s="22"/>
      <c r="B24" s="50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  <c r="O24" s="27"/>
      <c r="P24" s="27"/>
      <c r="Q24" s="49"/>
    </row>
    <row r="25">
      <c r="A25" s="22"/>
      <c r="B25" s="22" t="s">
        <v>23</v>
      </c>
      <c r="C25" s="30">
        <v>750.0</v>
      </c>
      <c r="D25" s="45">
        <f t="shared" ref="D25:N25" si="16">C25</f>
        <v>750</v>
      </c>
      <c r="E25" s="45">
        <f t="shared" si="16"/>
        <v>750</v>
      </c>
      <c r="F25" s="45">
        <f t="shared" si="16"/>
        <v>750</v>
      </c>
      <c r="G25" s="45">
        <f t="shared" si="16"/>
        <v>750</v>
      </c>
      <c r="H25" s="45">
        <f t="shared" si="16"/>
        <v>750</v>
      </c>
      <c r="I25" s="45">
        <f t="shared" si="16"/>
        <v>750</v>
      </c>
      <c r="J25" s="45">
        <f t="shared" si="16"/>
        <v>750</v>
      </c>
      <c r="K25" s="45">
        <f t="shared" si="16"/>
        <v>750</v>
      </c>
      <c r="L25" s="45">
        <f t="shared" si="16"/>
        <v>750</v>
      </c>
      <c r="M25" s="45">
        <f t="shared" si="16"/>
        <v>750</v>
      </c>
      <c r="N25" s="46">
        <f t="shared" si="16"/>
        <v>750</v>
      </c>
      <c r="O25" s="41">
        <f t="shared" ref="O25:O27" si="17">SUM(C25:N25)</f>
        <v>9000</v>
      </c>
      <c r="P25" s="41"/>
      <c r="Q25" s="50"/>
    </row>
    <row r="26">
      <c r="A26" s="22"/>
      <c r="B26" s="22" t="s">
        <v>24</v>
      </c>
      <c r="C26" s="30">
        <v>5000.0</v>
      </c>
      <c r="D26" s="43"/>
      <c r="E26" s="43"/>
      <c r="F26" s="43"/>
      <c r="G26" s="30">
        <v>3000.0</v>
      </c>
      <c r="H26" s="43"/>
      <c r="I26" s="43"/>
      <c r="J26" s="43"/>
      <c r="K26" s="43"/>
      <c r="L26" s="43"/>
      <c r="M26" s="43"/>
      <c r="N26" s="48"/>
      <c r="O26" s="41">
        <f t="shared" si="17"/>
        <v>8000</v>
      </c>
      <c r="P26" s="41"/>
      <c r="Q26" s="50"/>
    </row>
    <row r="27">
      <c r="A27" s="22"/>
      <c r="B27" s="22" t="s">
        <v>25</v>
      </c>
      <c r="C27" s="30">
        <v>2000.0</v>
      </c>
      <c r="D27" s="45">
        <f t="shared" ref="D27:N27" si="18">C27</f>
        <v>2000</v>
      </c>
      <c r="E27" s="45">
        <f t="shared" si="18"/>
        <v>2000</v>
      </c>
      <c r="F27" s="45">
        <f t="shared" si="18"/>
        <v>2000</v>
      </c>
      <c r="G27" s="45">
        <f t="shared" si="18"/>
        <v>2000</v>
      </c>
      <c r="H27" s="45">
        <f t="shared" si="18"/>
        <v>2000</v>
      </c>
      <c r="I27" s="45">
        <f t="shared" si="18"/>
        <v>2000</v>
      </c>
      <c r="J27" s="45">
        <f t="shared" si="18"/>
        <v>2000</v>
      </c>
      <c r="K27" s="45">
        <f t="shared" si="18"/>
        <v>2000</v>
      </c>
      <c r="L27" s="45">
        <f t="shared" si="18"/>
        <v>2000</v>
      </c>
      <c r="M27" s="45">
        <f t="shared" si="18"/>
        <v>2000</v>
      </c>
      <c r="N27" s="46">
        <f t="shared" si="18"/>
        <v>2000</v>
      </c>
      <c r="O27" s="41">
        <f t="shared" si="17"/>
        <v>24000</v>
      </c>
      <c r="P27" s="41"/>
      <c r="Q27" s="50"/>
    </row>
    <row r="28">
      <c r="A28" s="22"/>
      <c r="B28" s="36" t="s">
        <v>26</v>
      </c>
      <c r="C28" s="37">
        <f t="shared" ref="C28:O28" si="19">SUM(C25:C27)</f>
        <v>7750</v>
      </c>
      <c r="D28" s="37">
        <f t="shared" si="19"/>
        <v>2750</v>
      </c>
      <c r="E28" s="37">
        <f t="shared" si="19"/>
        <v>2750</v>
      </c>
      <c r="F28" s="37">
        <f t="shared" si="19"/>
        <v>2750</v>
      </c>
      <c r="G28" s="37">
        <f t="shared" si="19"/>
        <v>5750</v>
      </c>
      <c r="H28" s="37">
        <f t="shared" si="19"/>
        <v>2750</v>
      </c>
      <c r="I28" s="37">
        <f t="shared" si="19"/>
        <v>2750</v>
      </c>
      <c r="J28" s="37">
        <f t="shared" si="19"/>
        <v>2750</v>
      </c>
      <c r="K28" s="37">
        <f t="shared" si="19"/>
        <v>2750</v>
      </c>
      <c r="L28" s="37">
        <f t="shared" si="19"/>
        <v>2750</v>
      </c>
      <c r="M28" s="37">
        <f t="shared" si="19"/>
        <v>2750</v>
      </c>
      <c r="N28" s="38">
        <f t="shared" si="19"/>
        <v>2750</v>
      </c>
      <c r="O28" s="37">
        <f t="shared" si="19"/>
        <v>41000</v>
      </c>
      <c r="P28" s="39"/>
      <c r="Q28" s="50"/>
    </row>
    <row r="29">
      <c r="A29" s="22"/>
      <c r="B29" s="50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8"/>
      <c r="O29" s="27"/>
      <c r="P29" s="27"/>
      <c r="Q29" s="50"/>
    </row>
    <row r="30">
      <c r="A30" s="22"/>
      <c r="B30" s="22" t="s">
        <v>27</v>
      </c>
      <c r="C30" s="30">
        <v>12500.0</v>
      </c>
      <c r="D30" s="45">
        <f t="shared" ref="D30:N30" si="20">C30</f>
        <v>12500</v>
      </c>
      <c r="E30" s="45">
        <f t="shared" si="20"/>
        <v>12500</v>
      </c>
      <c r="F30" s="45">
        <f t="shared" si="20"/>
        <v>12500</v>
      </c>
      <c r="G30" s="45">
        <f t="shared" si="20"/>
        <v>12500</v>
      </c>
      <c r="H30" s="45">
        <f t="shared" si="20"/>
        <v>12500</v>
      </c>
      <c r="I30" s="45">
        <f t="shared" si="20"/>
        <v>12500</v>
      </c>
      <c r="J30" s="45">
        <f t="shared" si="20"/>
        <v>12500</v>
      </c>
      <c r="K30" s="45">
        <f t="shared" si="20"/>
        <v>12500</v>
      </c>
      <c r="L30" s="45">
        <f t="shared" si="20"/>
        <v>12500</v>
      </c>
      <c r="M30" s="45">
        <f t="shared" si="20"/>
        <v>12500</v>
      </c>
      <c r="N30" s="46">
        <f t="shared" si="20"/>
        <v>12500</v>
      </c>
      <c r="O30" s="41">
        <f t="shared" ref="O30:O31" si="22">SUM(C30:N30)</f>
        <v>150000</v>
      </c>
      <c r="P30" s="41"/>
      <c r="Q30" s="50"/>
    </row>
    <row r="31">
      <c r="A31" s="22"/>
      <c r="B31" s="22" t="s">
        <v>28</v>
      </c>
      <c r="C31" s="30">
        <v>2500.0</v>
      </c>
      <c r="D31" s="45">
        <f t="shared" ref="D31:N31" si="21">C31</f>
        <v>2500</v>
      </c>
      <c r="E31" s="45">
        <f t="shared" si="21"/>
        <v>2500</v>
      </c>
      <c r="F31" s="45">
        <f t="shared" si="21"/>
        <v>2500</v>
      </c>
      <c r="G31" s="45">
        <f t="shared" si="21"/>
        <v>2500</v>
      </c>
      <c r="H31" s="45">
        <f t="shared" si="21"/>
        <v>2500</v>
      </c>
      <c r="I31" s="45">
        <f t="shared" si="21"/>
        <v>2500</v>
      </c>
      <c r="J31" s="45">
        <f t="shared" si="21"/>
        <v>2500</v>
      </c>
      <c r="K31" s="45">
        <f t="shared" si="21"/>
        <v>2500</v>
      </c>
      <c r="L31" s="45">
        <f t="shared" si="21"/>
        <v>2500</v>
      </c>
      <c r="M31" s="45">
        <f t="shared" si="21"/>
        <v>2500</v>
      </c>
      <c r="N31" s="46">
        <f t="shared" si="21"/>
        <v>2500</v>
      </c>
      <c r="O31" s="41">
        <f t="shared" si="22"/>
        <v>30000</v>
      </c>
      <c r="P31" s="41"/>
      <c r="Q31" s="50"/>
    </row>
    <row r="32">
      <c r="A32" s="22"/>
      <c r="B32" s="36" t="s">
        <v>29</v>
      </c>
      <c r="C32" s="37">
        <f t="shared" ref="C32:O32" si="23">SUM(C30:C31)</f>
        <v>15000</v>
      </c>
      <c r="D32" s="37">
        <f t="shared" si="23"/>
        <v>15000</v>
      </c>
      <c r="E32" s="37">
        <f t="shared" si="23"/>
        <v>15000</v>
      </c>
      <c r="F32" s="37">
        <f t="shared" si="23"/>
        <v>15000</v>
      </c>
      <c r="G32" s="37">
        <f t="shared" si="23"/>
        <v>15000</v>
      </c>
      <c r="H32" s="37">
        <f t="shared" si="23"/>
        <v>15000</v>
      </c>
      <c r="I32" s="37">
        <f t="shared" si="23"/>
        <v>15000</v>
      </c>
      <c r="J32" s="37">
        <f t="shared" si="23"/>
        <v>15000</v>
      </c>
      <c r="K32" s="37">
        <f t="shared" si="23"/>
        <v>15000</v>
      </c>
      <c r="L32" s="37">
        <f t="shared" si="23"/>
        <v>15000</v>
      </c>
      <c r="M32" s="37">
        <f t="shared" si="23"/>
        <v>15000</v>
      </c>
      <c r="N32" s="38">
        <f t="shared" si="23"/>
        <v>15000</v>
      </c>
      <c r="O32" s="37">
        <f t="shared" si="23"/>
        <v>180000</v>
      </c>
      <c r="P32" s="39"/>
      <c r="Q32" s="50"/>
    </row>
    <row r="33">
      <c r="A33" s="22"/>
      <c r="B33" s="50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49"/>
    </row>
    <row r="34">
      <c r="A34" s="22"/>
      <c r="B34" s="50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49"/>
    </row>
    <row r="35">
      <c r="A35" s="22"/>
      <c r="B35" s="23" t="s">
        <v>30</v>
      </c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7"/>
      <c r="P35" s="27"/>
      <c r="Q35" s="49"/>
    </row>
    <row r="36">
      <c r="A36" s="22"/>
      <c r="B36" s="51"/>
      <c r="C36" s="51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3"/>
      <c r="O36" s="27"/>
      <c r="P36" s="27"/>
      <c r="Q36" s="49"/>
    </row>
    <row r="37">
      <c r="A37" s="22"/>
      <c r="B37" s="51" t="s">
        <v>31</v>
      </c>
      <c r="C37" s="54">
        <v>100.0</v>
      </c>
      <c r="D37" s="52">
        <f t="shared" ref="D37:N37" si="24">C37*(1+D$38)</f>
        <v>110</v>
      </c>
      <c r="E37" s="52">
        <f t="shared" si="24"/>
        <v>121</v>
      </c>
      <c r="F37" s="52">
        <f t="shared" si="24"/>
        <v>133.1</v>
      </c>
      <c r="G37" s="52">
        <f t="shared" si="24"/>
        <v>146.41</v>
      </c>
      <c r="H37" s="52">
        <f t="shared" si="24"/>
        <v>161.051</v>
      </c>
      <c r="I37" s="52">
        <f t="shared" si="24"/>
        <v>177.1561</v>
      </c>
      <c r="J37" s="52">
        <f t="shared" si="24"/>
        <v>194.87171</v>
      </c>
      <c r="K37" s="52">
        <f t="shared" si="24"/>
        <v>214.358881</v>
      </c>
      <c r="L37" s="52">
        <f t="shared" si="24"/>
        <v>235.7947691</v>
      </c>
      <c r="M37" s="52">
        <f t="shared" si="24"/>
        <v>259.374246</v>
      </c>
      <c r="N37" s="53">
        <f t="shared" si="24"/>
        <v>285.3116706</v>
      </c>
      <c r="O37" s="27"/>
      <c r="P37" s="27"/>
      <c r="Q37" s="49"/>
    </row>
    <row r="38">
      <c r="A38" s="22"/>
      <c r="B38" s="22" t="s">
        <v>32</v>
      </c>
      <c r="C38" s="55">
        <v>0.1</v>
      </c>
      <c r="D38" s="55">
        <v>0.1</v>
      </c>
      <c r="E38" s="55">
        <v>0.1</v>
      </c>
      <c r="F38" s="55">
        <v>0.1</v>
      </c>
      <c r="G38" s="55">
        <v>0.1</v>
      </c>
      <c r="H38" s="55">
        <v>0.1</v>
      </c>
      <c r="I38" s="55">
        <v>0.1</v>
      </c>
      <c r="J38" s="55">
        <v>0.1</v>
      </c>
      <c r="K38" s="55">
        <v>0.1</v>
      </c>
      <c r="L38" s="55">
        <v>0.1</v>
      </c>
      <c r="M38" s="55">
        <v>0.1</v>
      </c>
      <c r="N38" s="56">
        <v>0.1</v>
      </c>
      <c r="O38" s="27"/>
      <c r="P38" s="27"/>
      <c r="Q38" s="49"/>
    </row>
    <row r="39">
      <c r="A39" s="22"/>
      <c r="B39" s="2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57"/>
      <c r="O39" s="27"/>
      <c r="P39" s="27"/>
      <c r="Q39" s="49"/>
    </row>
    <row r="40">
      <c r="A40" s="22"/>
      <c r="B40" s="22" t="s">
        <v>33</v>
      </c>
      <c r="C40" s="55">
        <v>0.15</v>
      </c>
      <c r="D40" s="55">
        <v>0.15</v>
      </c>
      <c r="E40" s="55">
        <v>0.15</v>
      </c>
      <c r="F40" s="55">
        <v>0.15</v>
      </c>
      <c r="G40" s="55">
        <v>0.15</v>
      </c>
      <c r="H40" s="55">
        <v>0.15</v>
      </c>
      <c r="I40" s="55">
        <v>0.15</v>
      </c>
      <c r="J40" s="55">
        <v>0.15</v>
      </c>
      <c r="K40" s="55">
        <v>0.15</v>
      </c>
      <c r="L40" s="55">
        <v>0.15</v>
      </c>
      <c r="M40" s="55">
        <v>0.15</v>
      </c>
      <c r="N40" s="56">
        <v>0.15</v>
      </c>
      <c r="O40" s="27"/>
      <c r="P40" s="27"/>
      <c r="Q40" s="49"/>
    </row>
    <row r="41">
      <c r="A41" s="22"/>
      <c r="B41" s="22" t="s">
        <v>34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57"/>
      <c r="O41" s="27"/>
      <c r="P41" s="27"/>
      <c r="Q41" s="49"/>
    </row>
    <row r="42">
      <c r="A42" s="22"/>
      <c r="B42" s="58">
        <f t="array" ref="B42:B53">TRANSPOSE(C1:N1)</f>
        <v>45292</v>
      </c>
      <c r="C42" s="51">
        <f>C37</f>
        <v>100</v>
      </c>
      <c r="D42" s="51">
        <f t="shared" ref="D42:N42" si="25">round(C42*(1-D$40),0)</f>
        <v>85</v>
      </c>
      <c r="E42" s="51">
        <f t="shared" si="25"/>
        <v>72</v>
      </c>
      <c r="F42" s="51">
        <f t="shared" si="25"/>
        <v>61</v>
      </c>
      <c r="G42" s="51">
        <f t="shared" si="25"/>
        <v>52</v>
      </c>
      <c r="H42" s="51">
        <f t="shared" si="25"/>
        <v>44</v>
      </c>
      <c r="I42" s="51">
        <f t="shared" si="25"/>
        <v>37</v>
      </c>
      <c r="J42" s="51">
        <f t="shared" si="25"/>
        <v>31</v>
      </c>
      <c r="K42" s="51">
        <f t="shared" si="25"/>
        <v>26</v>
      </c>
      <c r="L42" s="51">
        <f t="shared" si="25"/>
        <v>22</v>
      </c>
      <c r="M42" s="51">
        <f t="shared" si="25"/>
        <v>19</v>
      </c>
      <c r="N42" s="59">
        <f t="shared" si="25"/>
        <v>16</v>
      </c>
      <c r="O42" s="27"/>
      <c r="P42" s="27"/>
      <c r="Q42" s="49"/>
    </row>
    <row r="43">
      <c r="A43" s="22"/>
      <c r="B43" s="58">
        <v>45323.0</v>
      </c>
      <c r="C43" s="60"/>
      <c r="D43" s="51">
        <f>D37</f>
        <v>110</v>
      </c>
      <c r="E43" s="51">
        <f t="shared" ref="E43:N43" si="26">round(D43*(1-E$40),0)</f>
        <v>94</v>
      </c>
      <c r="F43" s="51">
        <f t="shared" si="26"/>
        <v>80</v>
      </c>
      <c r="G43" s="51">
        <f t="shared" si="26"/>
        <v>68</v>
      </c>
      <c r="H43" s="51">
        <f t="shared" si="26"/>
        <v>58</v>
      </c>
      <c r="I43" s="51">
        <f t="shared" si="26"/>
        <v>49</v>
      </c>
      <c r="J43" s="51">
        <f t="shared" si="26"/>
        <v>42</v>
      </c>
      <c r="K43" s="51">
        <f t="shared" si="26"/>
        <v>36</v>
      </c>
      <c r="L43" s="51">
        <f t="shared" si="26"/>
        <v>31</v>
      </c>
      <c r="M43" s="51">
        <f t="shared" si="26"/>
        <v>26</v>
      </c>
      <c r="N43" s="59">
        <f t="shared" si="26"/>
        <v>22</v>
      </c>
      <c r="O43" s="27"/>
      <c r="P43" s="27"/>
      <c r="Q43" s="49"/>
    </row>
    <row r="44">
      <c r="A44" s="22"/>
      <c r="B44" s="58">
        <v>45354.0</v>
      </c>
      <c r="C44" s="60"/>
      <c r="D44" s="60"/>
      <c r="E44" s="51">
        <f>E37</f>
        <v>121</v>
      </c>
      <c r="F44" s="51">
        <f t="shared" ref="F44:N44" si="27">round(E44*(1-F$40),0)</f>
        <v>103</v>
      </c>
      <c r="G44" s="51">
        <f t="shared" si="27"/>
        <v>88</v>
      </c>
      <c r="H44" s="51">
        <f t="shared" si="27"/>
        <v>75</v>
      </c>
      <c r="I44" s="51">
        <f t="shared" si="27"/>
        <v>64</v>
      </c>
      <c r="J44" s="51">
        <f t="shared" si="27"/>
        <v>54</v>
      </c>
      <c r="K44" s="51">
        <f t="shared" si="27"/>
        <v>46</v>
      </c>
      <c r="L44" s="51">
        <f t="shared" si="27"/>
        <v>39</v>
      </c>
      <c r="M44" s="51">
        <f t="shared" si="27"/>
        <v>33</v>
      </c>
      <c r="N44" s="59">
        <f t="shared" si="27"/>
        <v>28</v>
      </c>
      <c r="O44" s="27"/>
      <c r="P44" s="27"/>
      <c r="Q44" s="49"/>
    </row>
    <row r="45">
      <c r="A45" s="22"/>
      <c r="B45" s="58">
        <v>45385.0</v>
      </c>
      <c r="C45" s="60"/>
      <c r="D45" s="60"/>
      <c r="E45" s="60"/>
      <c r="F45" s="51">
        <f>F37</f>
        <v>133.1</v>
      </c>
      <c r="G45" s="51">
        <f t="shared" ref="G45:N45" si="28">round(F45*(1-G$40),0)</f>
        <v>113</v>
      </c>
      <c r="H45" s="51">
        <f t="shared" si="28"/>
        <v>96</v>
      </c>
      <c r="I45" s="51">
        <f t="shared" si="28"/>
        <v>82</v>
      </c>
      <c r="J45" s="51">
        <f t="shared" si="28"/>
        <v>70</v>
      </c>
      <c r="K45" s="51">
        <f t="shared" si="28"/>
        <v>60</v>
      </c>
      <c r="L45" s="51">
        <f t="shared" si="28"/>
        <v>51</v>
      </c>
      <c r="M45" s="51">
        <f t="shared" si="28"/>
        <v>43</v>
      </c>
      <c r="N45" s="59">
        <f t="shared" si="28"/>
        <v>37</v>
      </c>
      <c r="O45" s="27"/>
      <c r="P45" s="27"/>
      <c r="Q45" s="49"/>
    </row>
    <row r="46">
      <c r="A46" s="22"/>
      <c r="B46" s="58">
        <v>45416.0</v>
      </c>
      <c r="C46" s="60"/>
      <c r="D46" s="60"/>
      <c r="E46" s="60"/>
      <c r="F46" s="60"/>
      <c r="G46" s="51">
        <f>G37</f>
        <v>146.41</v>
      </c>
      <c r="H46" s="51">
        <f t="shared" ref="H46:N46" si="29">round(G46*(1-H$40),0)</f>
        <v>124</v>
      </c>
      <c r="I46" s="51">
        <f t="shared" si="29"/>
        <v>105</v>
      </c>
      <c r="J46" s="51">
        <f t="shared" si="29"/>
        <v>89</v>
      </c>
      <c r="K46" s="51">
        <f t="shared" si="29"/>
        <v>76</v>
      </c>
      <c r="L46" s="51">
        <f t="shared" si="29"/>
        <v>65</v>
      </c>
      <c r="M46" s="51">
        <f t="shared" si="29"/>
        <v>55</v>
      </c>
      <c r="N46" s="59">
        <f t="shared" si="29"/>
        <v>47</v>
      </c>
      <c r="O46" s="27"/>
      <c r="P46" s="27"/>
      <c r="Q46" s="49"/>
    </row>
    <row r="47">
      <c r="A47" s="22"/>
      <c r="B47" s="58">
        <v>45447.0</v>
      </c>
      <c r="C47" s="60"/>
      <c r="D47" s="60"/>
      <c r="E47" s="60"/>
      <c r="F47" s="60"/>
      <c r="G47" s="60"/>
      <c r="H47" s="51">
        <f>H37</f>
        <v>161.051</v>
      </c>
      <c r="I47" s="51">
        <f t="shared" ref="I47:N47" si="30">round(H47*(1-I$40),0)</f>
        <v>137</v>
      </c>
      <c r="J47" s="51">
        <f t="shared" si="30"/>
        <v>116</v>
      </c>
      <c r="K47" s="51">
        <f t="shared" si="30"/>
        <v>99</v>
      </c>
      <c r="L47" s="51">
        <f t="shared" si="30"/>
        <v>84</v>
      </c>
      <c r="M47" s="51">
        <f t="shared" si="30"/>
        <v>71</v>
      </c>
      <c r="N47" s="59">
        <f t="shared" si="30"/>
        <v>60</v>
      </c>
      <c r="O47" s="27"/>
      <c r="P47" s="27"/>
      <c r="Q47" s="49"/>
    </row>
    <row r="48">
      <c r="A48" s="22"/>
      <c r="B48" s="58">
        <v>45478.0</v>
      </c>
      <c r="C48" s="60"/>
      <c r="D48" s="60"/>
      <c r="E48" s="60"/>
      <c r="F48" s="60"/>
      <c r="G48" s="60"/>
      <c r="H48" s="60"/>
      <c r="I48" s="51">
        <f>I37</f>
        <v>177.1561</v>
      </c>
      <c r="J48" s="51">
        <f t="shared" ref="J48:N48" si="31">round(I48*(1-J$40),0)</f>
        <v>151</v>
      </c>
      <c r="K48" s="51">
        <f t="shared" si="31"/>
        <v>128</v>
      </c>
      <c r="L48" s="51">
        <f t="shared" si="31"/>
        <v>109</v>
      </c>
      <c r="M48" s="51">
        <f t="shared" si="31"/>
        <v>93</v>
      </c>
      <c r="N48" s="59">
        <f t="shared" si="31"/>
        <v>79</v>
      </c>
      <c r="O48" s="27"/>
      <c r="P48" s="27"/>
      <c r="Q48" s="49"/>
    </row>
    <row r="49">
      <c r="A49" s="22"/>
      <c r="B49" s="58">
        <v>45509.0</v>
      </c>
      <c r="C49" s="60"/>
      <c r="D49" s="60"/>
      <c r="E49" s="60"/>
      <c r="F49" s="60"/>
      <c r="G49" s="60"/>
      <c r="H49" s="60"/>
      <c r="I49" s="60"/>
      <c r="J49" s="51">
        <f>J37</f>
        <v>194.87171</v>
      </c>
      <c r="K49" s="51">
        <f t="shared" ref="K49:N49" si="32">round(J49*(1-K$40),0)</f>
        <v>166</v>
      </c>
      <c r="L49" s="51">
        <f t="shared" si="32"/>
        <v>141</v>
      </c>
      <c r="M49" s="51">
        <f t="shared" si="32"/>
        <v>120</v>
      </c>
      <c r="N49" s="59">
        <f t="shared" si="32"/>
        <v>102</v>
      </c>
      <c r="O49" s="27"/>
      <c r="P49" s="27"/>
      <c r="Q49" s="49"/>
    </row>
    <row r="50">
      <c r="A50" s="22"/>
      <c r="B50" s="58">
        <v>45540.0</v>
      </c>
      <c r="C50" s="60"/>
      <c r="D50" s="60"/>
      <c r="E50" s="60"/>
      <c r="F50" s="60"/>
      <c r="G50" s="60"/>
      <c r="H50" s="60"/>
      <c r="I50" s="60"/>
      <c r="J50" s="60"/>
      <c r="K50" s="51">
        <f>K37</f>
        <v>214.358881</v>
      </c>
      <c r="L50" s="51">
        <f t="shared" ref="L50:N50" si="33">round(K50*(1-L$40),0)</f>
        <v>182</v>
      </c>
      <c r="M50" s="51">
        <f t="shared" si="33"/>
        <v>155</v>
      </c>
      <c r="N50" s="59">
        <f t="shared" si="33"/>
        <v>132</v>
      </c>
      <c r="O50" s="27"/>
      <c r="P50" s="27"/>
      <c r="Q50" s="49"/>
    </row>
    <row r="51">
      <c r="A51" s="22"/>
      <c r="B51" s="58">
        <v>45571.0</v>
      </c>
      <c r="C51" s="60"/>
      <c r="D51" s="60"/>
      <c r="E51" s="60"/>
      <c r="F51" s="60"/>
      <c r="G51" s="60"/>
      <c r="H51" s="60"/>
      <c r="I51" s="60"/>
      <c r="J51" s="60"/>
      <c r="K51" s="60"/>
      <c r="L51" s="51">
        <f>L37</f>
        <v>235.7947691</v>
      </c>
      <c r="M51" s="51">
        <f t="shared" ref="M51:N51" si="34">round(L51*(1-M$40),0)</f>
        <v>200</v>
      </c>
      <c r="N51" s="59">
        <f t="shared" si="34"/>
        <v>170</v>
      </c>
      <c r="O51" s="27"/>
      <c r="P51" s="27"/>
      <c r="Q51" s="49"/>
    </row>
    <row r="52">
      <c r="A52" s="22"/>
      <c r="B52" s="58">
        <v>45602.0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51">
        <f>M37</f>
        <v>259.374246</v>
      </c>
      <c r="N52" s="59">
        <f>round(M52*(1-N$40),0)</f>
        <v>220</v>
      </c>
      <c r="O52" s="27"/>
      <c r="P52" s="27"/>
      <c r="Q52" s="49"/>
    </row>
    <row r="53">
      <c r="A53" s="22"/>
      <c r="B53" s="58">
        <v>45633.0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59">
        <f>N37</f>
        <v>285.3116706</v>
      </c>
      <c r="O53" s="27"/>
      <c r="P53" s="27"/>
      <c r="Q53" s="49"/>
    </row>
    <row r="54">
      <c r="A54" s="22"/>
      <c r="B54" s="2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57"/>
      <c r="O54" s="27"/>
      <c r="P54" s="27"/>
      <c r="Q54" s="49"/>
    </row>
    <row r="55">
      <c r="A55" s="22"/>
      <c r="B55" s="61" t="s">
        <v>35</v>
      </c>
      <c r="C55" s="62">
        <f t="shared" ref="C55:N55" si="35">SUM(C42:C53)</f>
        <v>100</v>
      </c>
      <c r="D55" s="62">
        <f t="shared" si="35"/>
        <v>195</v>
      </c>
      <c r="E55" s="62">
        <f t="shared" si="35"/>
        <v>287</v>
      </c>
      <c r="F55" s="62">
        <f t="shared" si="35"/>
        <v>377.1</v>
      </c>
      <c r="G55" s="62">
        <f t="shared" si="35"/>
        <v>467.41</v>
      </c>
      <c r="H55" s="62">
        <f t="shared" si="35"/>
        <v>558.051</v>
      </c>
      <c r="I55" s="62">
        <f t="shared" si="35"/>
        <v>651.1561</v>
      </c>
      <c r="J55" s="62">
        <f t="shared" si="35"/>
        <v>747.87171</v>
      </c>
      <c r="K55" s="62">
        <f t="shared" si="35"/>
        <v>851.358881</v>
      </c>
      <c r="L55" s="62">
        <f t="shared" si="35"/>
        <v>959.7947691</v>
      </c>
      <c r="M55" s="62">
        <f t="shared" si="35"/>
        <v>1074.374246</v>
      </c>
      <c r="N55" s="63">
        <f t="shared" si="35"/>
        <v>1198.311671</v>
      </c>
      <c r="O55" s="27"/>
      <c r="P55" s="27"/>
      <c r="Q55" s="49"/>
    </row>
    <row r="56">
      <c r="A56" s="22"/>
      <c r="B56" s="22"/>
      <c r="C56" s="2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57"/>
      <c r="O56" s="27"/>
      <c r="P56" s="27"/>
      <c r="Q56" s="49"/>
    </row>
    <row r="57">
      <c r="A57" s="22"/>
      <c r="B57" s="22"/>
      <c r="C57" s="2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57"/>
      <c r="O57" s="27"/>
      <c r="P57" s="27"/>
      <c r="Q57" s="49"/>
    </row>
    <row r="58">
      <c r="A58" s="22"/>
      <c r="B58" s="22" t="s">
        <v>36</v>
      </c>
      <c r="C58" s="30">
        <v>200.0</v>
      </c>
      <c r="D58" s="32">
        <f t="shared" ref="D58:N58" si="36">C58</f>
        <v>200</v>
      </c>
      <c r="E58" s="32">
        <f t="shared" si="36"/>
        <v>200</v>
      </c>
      <c r="F58" s="32">
        <f t="shared" si="36"/>
        <v>200</v>
      </c>
      <c r="G58" s="32">
        <f t="shared" si="36"/>
        <v>200</v>
      </c>
      <c r="H58" s="32">
        <f t="shared" si="36"/>
        <v>200</v>
      </c>
      <c r="I58" s="32">
        <f t="shared" si="36"/>
        <v>200</v>
      </c>
      <c r="J58" s="32">
        <f t="shared" si="36"/>
        <v>200</v>
      </c>
      <c r="K58" s="32">
        <f t="shared" si="36"/>
        <v>200</v>
      </c>
      <c r="L58" s="32">
        <f t="shared" si="36"/>
        <v>200</v>
      </c>
      <c r="M58" s="32">
        <f t="shared" si="36"/>
        <v>200</v>
      </c>
      <c r="N58" s="57">
        <f t="shared" si="36"/>
        <v>200</v>
      </c>
      <c r="O58" s="27"/>
      <c r="P58" s="27"/>
      <c r="Q58" s="49"/>
    </row>
    <row r="59">
      <c r="A59" s="22"/>
      <c r="B59" s="22" t="s">
        <v>37</v>
      </c>
      <c r="C59" s="27">
        <f t="shared" ref="C59:N59" si="37">C58*C55</f>
        <v>20000</v>
      </c>
      <c r="D59" s="27">
        <f t="shared" si="37"/>
        <v>39000</v>
      </c>
      <c r="E59" s="27">
        <f t="shared" si="37"/>
        <v>57400</v>
      </c>
      <c r="F59" s="27">
        <f t="shared" si="37"/>
        <v>75420</v>
      </c>
      <c r="G59" s="27">
        <f t="shared" si="37"/>
        <v>93482</v>
      </c>
      <c r="H59" s="27">
        <f t="shared" si="37"/>
        <v>111610.2</v>
      </c>
      <c r="I59" s="27">
        <f t="shared" si="37"/>
        <v>130231.22</v>
      </c>
      <c r="J59" s="27">
        <f t="shared" si="37"/>
        <v>149574.342</v>
      </c>
      <c r="K59" s="27">
        <f t="shared" si="37"/>
        <v>170271.7762</v>
      </c>
      <c r="L59" s="27">
        <f t="shared" si="37"/>
        <v>191958.9538</v>
      </c>
      <c r="M59" s="27">
        <f t="shared" si="37"/>
        <v>214874.8492</v>
      </c>
      <c r="N59" s="28">
        <f t="shared" si="37"/>
        <v>239662.3341</v>
      </c>
      <c r="O59" s="27"/>
      <c r="P59" s="27"/>
      <c r="Q59" s="49"/>
    </row>
    <row r="60">
      <c r="A60" s="22"/>
      <c r="B60" s="50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27"/>
      <c r="P60" s="27"/>
      <c r="Q60" s="49"/>
    </row>
    <row r="61">
      <c r="A61" s="22"/>
      <c r="B61" s="22" t="s">
        <v>38</v>
      </c>
      <c r="C61" s="64">
        <v>-0.5</v>
      </c>
      <c r="D61" s="64">
        <v>-0.5</v>
      </c>
      <c r="E61" s="64">
        <v>-0.5</v>
      </c>
      <c r="F61" s="64">
        <v>-0.5</v>
      </c>
      <c r="G61" s="64">
        <v>-0.5</v>
      </c>
      <c r="H61" s="64">
        <v>-0.5</v>
      </c>
      <c r="I61" s="64">
        <v>-0.4</v>
      </c>
      <c r="J61" s="64">
        <v>-0.4</v>
      </c>
      <c r="K61" s="64">
        <v>-0.4</v>
      </c>
      <c r="L61" s="64">
        <v>-0.4</v>
      </c>
      <c r="M61" s="64">
        <v>-0.4</v>
      </c>
      <c r="N61" s="65">
        <v>-0.4</v>
      </c>
      <c r="O61" s="27"/>
      <c r="P61" s="27"/>
      <c r="Q61" s="49"/>
    </row>
    <row r="62">
      <c r="A62" s="22"/>
      <c r="B62" s="22" t="s">
        <v>39</v>
      </c>
      <c r="C62" s="27">
        <f t="shared" ref="C62:N62" si="38">C59*C61</f>
        <v>-10000</v>
      </c>
      <c r="D62" s="27">
        <f t="shared" si="38"/>
        <v>-19500</v>
      </c>
      <c r="E62" s="27">
        <f t="shared" si="38"/>
        <v>-28700</v>
      </c>
      <c r="F62" s="27">
        <f t="shared" si="38"/>
        <v>-37710</v>
      </c>
      <c r="G62" s="27">
        <f t="shared" si="38"/>
        <v>-46741</v>
      </c>
      <c r="H62" s="27">
        <f t="shared" si="38"/>
        <v>-55805.1</v>
      </c>
      <c r="I62" s="27">
        <f t="shared" si="38"/>
        <v>-52092.488</v>
      </c>
      <c r="J62" s="27">
        <f t="shared" si="38"/>
        <v>-59829.7368</v>
      </c>
      <c r="K62" s="27">
        <f t="shared" si="38"/>
        <v>-68108.71048</v>
      </c>
      <c r="L62" s="27">
        <f t="shared" si="38"/>
        <v>-76783.58153</v>
      </c>
      <c r="M62" s="27">
        <f t="shared" si="38"/>
        <v>-85949.93968</v>
      </c>
      <c r="N62" s="28">
        <f t="shared" si="38"/>
        <v>-95864.93365</v>
      </c>
      <c r="O62" s="27"/>
      <c r="P62" s="27"/>
      <c r="Q62" s="49"/>
    </row>
    <row r="63">
      <c r="A63" s="22"/>
      <c r="B63" s="66" t="s">
        <v>40</v>
      </c>
      <c r="C63" s="67">
        <f t="shared" ref="C63:N63" si="39">C59+C62</f>
        <v>10000</v>
      </c>
      <c r="D63" s="67">
        <f t="shared" si="39"/>
        <v>19500</v>
      </c>
      <c r="E63" s="67">
        <f t="shared" si="39"/>
        <v>28700</v>
      </c>
      <c r="F63" s="67">
        <f t="shared" si="39"/>
        <v>37710</v>
      </c>
      <c r="G63" s="67">
        <f t="shared" si="39"/>
        <v>46741</v>
      </c>
      <c r="H63" s="67">
        <f t="shared" si="39"/>
        <v>55805.1</v>
      </c>
      <c r="I63" s="67">
        <f t="shared" si="39"/>
        <v>78138.732</v>
      </c>
      <c r="J63" s="67">
        <f t="shared" si="39"/>
        <v>89744.6052</v>
      </c>
      <c r="K63" s="67">
        <f t="shared" si="39"/>
        <v>102163.0657</v>
      </c>
      <c r="L63" s="67">
        <f t="shared" si="39"/>
        <v>115175.3723</v>
      </c>
      <c r="M63" s="67">
        <f t="shared" si="39"/>
        <v>128924.9095</v>
      </c>
      <c r="N63" s="68">
        <f t="shared" si="39"/>
        <v>143797.4005</v>
      </c>
      <c r="O63" s="27"/>
      <c r="P63" s="27"/>
      <c r="Q63" s="49"/>
    </row>
    <row r="64">
      <c r="A64" s="22"/>
      <c r="B64" s="50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8"/>
      <c r="O64" s="27"/>
      <c r="P64" s="27"/>
      <c r="Q64" s="49"/>
    </row>
    <row r="65">
      <c r="A65" s="22"/>
      <c r="B65" s="69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1"/>
      <c r="O65" s="70"/>
      <c r="P65" s="27"/>
      <c r="Q65" s="49"/>
    </row>
    <row r="66">
      <c r="A66" s="22"/>
      <c r="B66" s="72" t="s">
        <v>41</v>
      </c>
      <c r="C66" s="73">
        <f t="shared" ref="C66:N66" si="40">C13+C18+C23+C28+C32</f>
        <v>93812.5</v>
      </c>
      <c r="D66" s="73">
        <f t="shared" si="40"/>
        <v>58812.5</v>
      </c>
      <c r="E66" s="73">
        <f t="shared" si="40"/>
        <v>58812.5</v>
      </c>
      <c r="F66" s="73">
        <f t="shared" si="40"/>
        <v>66312.5</v>
      </c>
      <c r="G66" s="73">
        <f t="shared" si="40"/>
        <v>76812.5</v>
      </c>
      <c r="H66" s="73">
        <f t="shared" si="40"/>
        <v>68812.5</v>
      </c>
      <c r="I66" s="73">
        <f t="shared" si="40"/>
        <v>73812.5</v>
      </c>
      <c r="J66" s="73">
        <f t="shared" si="40"/>
        <v>68812.5</v>
      </c>
      <c r="K66" s="73">
        <f t="shared" si="40"/>
        <v>73812.5</v>
      </c>
      <c r="L66" s="73">
        <f t="shared" si="40"/>
        <v>73812.5</v>
      </c>
      <c r="M66" s="73">
        <f t="shared" si="40"/>
        <v>68812.5</v>
      </c>
      <c r="N66" s="74">
        <f t="shared" si="40"/>
        <v>68812.5</v>
      </c>
      <c r="O66" s="73">
        <f>SUM(C66:N66)</f>
        <v>851250</v>
      </c>
      <c r="P66" s="75"/>
      <c r="Q66" s="76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>
      <c r="A67" s="22"/>
      <c r="B67" s="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78"/>
      <c r="O67" s="39"/>
      <c r="P67" s="75"/>
      <c r="Q67" s="49"/>
    </row>
    <row r="68">
      <c r="A68" s="22"/>
      <c r="B68" s="9" t="s">
        <v>40</v>
      </c>
      <c r="C68" s="39">
        <f t="shared" ref="C68:N68" si="41">C63</f>
        <v>10000</v>
      </c>
      <c r="D68" s="39">
        <f t="shared" si="41"/>
        <v>19500</v>
      </c>
      <c r="E68" s="39">
        <f t="shared" si="41"/>
        <v>28700</v>
      </c>
      <c r="F68" s="39">
        <f t="shared" si="41"/>
        <v>37710</v>
      </c>
      <c r="G68" s="39">
        <f t="shared" si="41"/>
        <v>46741</v>
      </c>
      <c r="H68" s="39">
        <f t="shared" si="41"/>
        <v>55805.1</v>
      </c>
      <c r="I68" s="39">
        <f t="shared" si="41"/>
        <v>78138.732</v>
      </c>
      <c r="J68" s="39">
        <f t="shared" si="41"/>
        <v>89744.6052</v>
      </c>
      <c r="K68" s="39">
        <f t="shared" si="41"/>
        <v>102163.0657</v>
      </c>
      <c r="L68" s="39">
        <f t="shared" si="41"/>
        <v>115175.3723</v>
      </c>
      <c r="M68" s="39">
        <f t="shared" si="41"/>
        <v>128924.9095</v>
      </c>
      <c r="N68" s="78">
        <f t="shared" si="41"/>
        <v>143797.4005</v>
      </c>
      <c r="O68" s="39">
        <f>SUM(C68:N68)</f>
        <v>856400.1852</v>
      </c>
      <c r="P68" s="75"/>
      <c r="Q68" s="49"/>
    </row>
    <row r="69">
      <c r="A69" s="22"/>
      <c r="B69" s="79" t="s">
        <v>42</v>
      </c>
      <c r="C69" s="80">
        <f t="shared" ref="C69:N69" si="42">C68-C66</f>
        <v>-83812.5</v>
      </c>
      <c r="D69" s="80">
        <f t="shared" si="42"/>
        <v>-39312.5</v>
      </c>
      <c r="E69" s="80">
        <f t="shared" si="42"/>
        <v>-30112.5</v>
      </c>
      <c r="F69" s="80">
        <f t="shared" si="42"/>
        <v>-28602.5</v>
      </c>
      <c r="G69" s="80">
        <f t="shared" si="42"/>
        <v>-30071.5</v>
      </c>
      <c r="H69" s="80">
        <f t="shared" si="42"/>
        <v>-13007.4</v>
      </c>
      <c r="I69" s="80">
        <f t="shared" si="42"/>
        <v>4326.232</v>
      </c>
      <c r="J69" s="80">
        <f t="shared" si="42"/>
        <v>20932.1052</v>
      </c>
      <c r="K69" s="80">
        <f t="shared" si="42"/>
        <v>28350.56572</v>
      </c>
      <c r="L69" s="80">
        <f t="shared" si="42"/>
        <v>41362.87229</v>
      </c>
      <c r="M69" s="80">
        <f t="shared" si="42"/>
        <v>60112.40952</v>
      </c>
      <c r="N69" s="80">
        <f t="shared" si="42"/>
        <v>74984.90047</v>
      </c>
      <c r="O69" s="80">
        <f>O13+O18+O23+O28+O32</f>
        <v>851250</v>
      </c>
      <c r="P69" s="75"/>
      <c r="Q69" s="49"/>
    </row>
    <row r="70">
      <c r="A70" s="22"/>
      <c r="B70" s="81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75"/>
      <c r="Q70" s="49"/>
    </row>
    <row r="71">
      <c r="A71" s="22"/>
      <c r="B71" s="50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49"/>
    </row>
    <row r="72">
      <c r="A72" s="22"/>
      <c r="B72" s="50"/>
      <c r="C72" s="83" t="str">
        <f>IFERROR((C66-P69)/P69,"")</f>
        <v/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2"/>
      <c r="P72" s="84"/>
      <c r="Q72" s="49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  <row r="1001">
      <c r="A1001" s="22"/>
    </row>
    <row r="1002">
      <c r="A1002" s="22"/>
    </row>
    <row r="1003">
      <c r="A1003" s="22"/>
    </row>
    <row r="1004">
      <c r="A1004" s="22"/>
    </row>
    <row r="1005">
      <c r="A1005" s="22"/>
    </row>
    <row r="1006">
      <c r="A1006" s="22"/>
    </row>
    <row r="1007">
      <c r="A1007" s="22"/>
    </row>
    <row r="1008">
      <c r="A1008" s="22"/>
    </row>
    <row r="1009">
      <c r="A1009" s="22"/>
    </row>
    <row r="1010">
      <c r="A1010" s="22"/>
    </row>
    <row r="1011">
      <c r="A1011" s="22"/>
    </row>
    <row r="1012">
      <c r="A1012" s="22"/>
    </row>
    <row r="1013">
      <c r="A1013" s="22"/>
    </row>
    <row r="1014">
      <c r="A1014" s="22"/>
    </row>
    <row r="1015">
      <c r="A1015" s="22"/>
    </row>
    <row r="1016">
      <c r="A1016" s="22"/>
    </row>
    <row r="1017">
      <c r="A1017" s="22"/>
    </row>
    <row r="1018">
      <c r="A1018" s="22"/>
    </row>
    <row r="1019">
      <c r="A1019" s="22"/>
    </row>
    <row r="1020">
      <c r="A1020" s="22"/>
    </row>
    <row r="1021">
      <c r="A1021" s="22"/>
    </row>
    <row r="1022">
      <c r="A1022" s="22"/>
    </row>
    <row r="1023">
      <c r="A1023" s="22"/>
    </row>
    <row r="1024">
      <c r="A1024" s="22"/>
    </row>
    <row r="1025">
      <c r="A1025" s="22"/>
    </row>
    <row r="1026">
      <c r="A1026" s="22"/>
    </row>
    <row r="1027">
      <c r="A1027" s="22"/>
    </row>
    <row r="1028">
      <c r="A1028" s="22"/>
    </row>
    <row r="1029">
      <c r="A1029" s="22"/>
    </row>
    <row r="1030">
      <c r="A1030" s="22"/>
    </row>
    <row r="1031">
      <c r="A1031" s="22"/>
    </row>
    <row r="1032">
      <c r="A1032" s="22"/>
    </row>
    <row r="1033">
      <c r="A1033" s="22"/>
    </row>
    <row r="1034">
      <c r="A1034" s="22"/>
    </row>
    <row r="1035">
      <c r="A1035" s="22"/>
    </row>
    <row r="1036">
      <c r="A1036" s="22"/>
    </row>
    <row r="1037">
      <c r="A1037" s="22"/>
    </row>
    <row r="1038">
      <c r="A1038" s="22"/>
    </row>
    <row r="1039">
      <c r="A1039" s="22"/>
    </row>
    <row r="1040">
      <c r="A1040" s="22"/>
    </row>
    <row r="1041">
      <c r="A1041" s="22"/>
    </row>
    <row r="1042">
      <c r="A1042" s="22"/>
    </row>
    <row r="1043">
      <c r="A1043" s="22"/>
    </row>
    <row r="1044">
      <c r="A1044" s="22"/>
    </row>
    <row r="1045">
      <c r="A1045" s="22"/>
    </row>
    <row r="1046">
      <c r="A1046" s="22"/>
    </row>
    <row r="1047">
      <c r="A1047" s="22"/>
    </row>
    <row r="1048">
      <c r="A1048" s="22"/>
    </row>
    <row r="1049">
      <c r="A1049" s="22"/>
    </row>
    <row r="1050">
      <c r="A1050" s="22"/>
    </row>
    <row r="1051">
      <c r="A1051" s="22"/>
    </row>
  </sheetData>
  <drawing r:id="rId1"/>
</worksheet>
</file>