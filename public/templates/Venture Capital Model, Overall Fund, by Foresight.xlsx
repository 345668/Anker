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ME" sheetId="1" r:id="rId4"/>
    <sheet state="visible" name="License" sheetId="2" r:id="rId5"/>
    <sheet state="visible" name="Forecast" sheetId="3" r:id="rId6"/>
    <sheet state="visible" name="Resources" sheetId="4" r:id="rId7"/>
    <sheet state="visible" name="Model Comparison" sheetId="5" r:id="rId8"/>
    <sheet state="visible" name="Glossary" sheetId="6" r:id="rId9"/>
  </sheets>
  <definedNames/>
  <calcPr/>
</workbook>
</file>

<file path=xl/sharedStrings.xml><?xml version="1.0" encoding="utf-8"?>
<sst xmlns="http://schemas.openxmlformats.org/spreadsheetml/2006/main" count="368" uniqueCount="306">
  <si>
    <t>Venture Capital Model, Overall Fund</t>
  </si>
  <si>
    <t>Copyright &amp; Contact</t>
  </si>
  <si>
    <t xml:space="preserve">This was created by Taylor Davidson (@tdavidson) of Foresight.
© 2023, Unstructured Ventures, LLC.
Questions, contact taylor@foresight.is or @tdavidson
</t>
  </si>
  <si>
    <t>License</t>
  </si>
  <si>
    <r>
      <rPr>
        <color rgb="FF000000"/>
      </rPr>
      <t xml:space="preserve">tl:dr; You can modify, edit, use, and share within your company (and with third-parties as needed to operate your business). You may not redistribute, resell, give away to others. </t>
    </r>
    <r>
      <rPr>
        <color rgb="FF1155CC"/>
        <u/>
      </rPr>
      <t xml:space="preserve">Full license.
</t>
    </r>
  </si>
  <si>
    <t>Goal</t>
  </si>
  <si>
    <t xml:space="preserve">Simplified model for forecasting a venture fund, to help understand overall fund assumptions. I've worked with countless founders building complicated models for fund construction - see Venture Investor Model for one - but want to create a simple model to help managers create their first fund forecast. For other models with more features, see the Model Comparison sheet.
</t>
  </si>
  <si>
    <t>Copy to Google Sheets or Download to Excel</t>
  </si>
  <si>
    <r>
      <rPr/>
      <t xml:space="preserve">File &gt; Make a Copy to copy it to your own Google Drive, or File &gt; Download to download this to use in Excel or other spreadsheet programs. </t>
    </r>
    <r>
      <rPr>
        <color rgb="FF1155CC"/>
        <u/>
      </rPr>
      <t xml:space="preserve">See License for warranties and liabilities.
</t>
    </r>
  </si>
  <si>
    <t>Support</t>
  </si>
  <si>
    <r>
      <rPr/>
      <t xml:space="preserve">Questions, happy to assist, contact anytime. More details on how I provide support: </t>
    </r>
    <r>
      <rPr>
        <color rgb="FF1155CC"/>
        <u/>
      </rPr>
      <t xml:space="preserve">https://foresight.is/learn/support
</t>
    </r>
  </si>
  <si>
    <t>Missing a feature you need?</t>
  </si>
  <si>
    <r>
      <rPr/>
      <t xml:space="preserve">Check out the </t>
    </r>
    <r>
      <rPr>
        <color rgb="FF1155CC"/>
        <u/>
      </rPr>
      <t>Resources</t>
    </r>
    <r>
      <rPr/>
      <t xml:space="preserve"> for other resources for modeling venture funds, and check out Foresight's </t>
    </r>
    <r>
      <rPr>
        <color rgb="FF1155CC"/>
        <u/>
      </rPr>
      <t>Venture Investor Model</t>
    </r>
    <r>
      <rPr/>
      <t xml:space="preserve"> for a more detailed fund model with financial statements, management company budgeting, and more.
</t>
    </r>
  </si>
  <si>
    <t>Quickstart</t>
  </si>
  <si>
    <t>Input overall fund assumptions on Forecast sheet, review outputs on Forecast sheet.</t>
  </si>
  <si>
    <t>Outline</t>
  </si>
  <si>
    <t>README</t>
  </si>
  <si>
    <t>Contact into, overview on model. Safe to delete or hide.</t>
  </si>
  <si>
    <t xml:space="preserve">   Formatting and Colors Overview</t>
  </si>
  <si>
    <t>Details on what the colors and formatting in the model mean. https://foresight.is/learn/colors-and-formatting</t>
  </si>
  <si>
    <t>Terms of use of the model. Safe to delete or hide. https://foresight.is/license</t>
  </si>
  <si>
    <t>Forecast</t>
  </si>
  <si>
    <t>The core calculations to forecast the operations of the fund. Inputs and outputs on one sheet.</t>
  </si>
  <si>
    <t>Resources</t>
  </si>
  <si>
    <t>Links to other models and resources for modeling venture capital funds and investments, from around the web. Safe to delete or hide.</t>
  </si>
  <si>
    <t>Model Comparison</t>
  </si>
  <si>
    <t>Detailed feature comparison of the range of Foresight models for venture investors</t>
  </si>
  <si>
    <t>Glossary</t>
  </si>
  <si>
    <t>Glossary of key terminology in the model. Safe to delete or hide.</t>
  </si>
  <si>
    <t>Admin Tools</t>
  </si>
  <si>
    <t>Links to fund administration platforms and service providers.</t>
  </si>
  <si>
    <t>Changelog</t>
  </si>
  <si>
    <t>List of what has been changed in model versions. Safe to delete or hide, although I'd advise to hide (instead of delete) so can always check to see what model version you are using to compare to future changes.</t>
  </si>
  <si>
    <t>License Agreement</t>
  </si>
  <si>
    <t>This license agreement is also at https://foresight.is/license</t>
  </si>
  <si>
    <t>This License Agreement (“the Agreement”) between you, the licensee, and Unstructured Ventures, LLC (the “Company”) a limited liability corporation headquartered and registered in the Commonwealth of Pennsylvania and organized under the laws of the state of Delaware. The Company owns the financial model (the “Product”) and any edits, additions, or customizations (the "Service") delivered under this Agreement. This Agreement grants you a non-exclusive, non-transferable right to use and incorporate the Product and Service in personal and corporate projects for the organization that purchased the Product and/or Service.</t>
  </si>
  <si>
    <t>You agree as follows:</t>
  </si>
  <si>
    <t>1. Scope of use</t>
  </si>
  <si>
    <t>* Use and incorporate the Product and/or Service in personal and commercial projects for your company including financial models, business plans, pitch decks, etc.</t>
  </si>
  <si>
    <t>* You may modify the Product and/or Service to better serve your project.</t>
  </si>
  <si>
    <t>* You are granted unlimited usage of the Product and/or Service purchased in your organization.</t>
  </si>
  <si>
    <t>* If an organization is the licensee, all employees of the organization may use the same license.</t>
  </si>
  <si>
    <t>2. Limitations and non-use</t>
  </si>
  <si>
    <t>* You may not redistribute, sublicense or resell the Product and/or Service.</t>
  </si>
  <si>
    <t>* You may not distribute, license or sell derivative, recompiled, reverse engineered, or modified versions of the Product and/or Service.</t>
  </si>
  <si>
    <t>* You may not use the Product and/or Service as in projects for other organizations.</t>
  </si>
  <si>
    <t>* If your customers would like to use the Product and/or Service as a part of their own product, you must obtain a separate license for each client.</t>
  </si>
  <si>
    <t>* The Product and/or Service is provided “as is” without a warranty of any kind, either expressed or implied.</t>
  </si>
  <si>
    <t>* The Company owns all right, title, intellectual property, and interest in the Product and/or Service.</t>
  </si>
  <si>
    <t>* The design, text, graphics, selection and arrangement in the Product and/or Service are the copyright © of the Company, all rights reserved.</t>
  </si>
  <si>
    <t>The Company’s liability to you for costs, damages, or other losses arising from your use of the Product and/or Service — including third-party claims against you — is limited to a refund of your license fee of the Product and/or the fees paid in the 12 months preceding the Service in question. The Company may not be held liable for any consequential damages related to your use of the Product and/orService. We are not financial advisors, planners, brokers, or tax advisors, and the Company, Product, and Service are not intended to provide legal, tax, or financial advice. Your financial situation is unique, and any information and advice obtained through the Product and/or Service may not be appropriate for your situation. Accordingly, before making any final decisions or implementing any financial strategy, you should consider obtaining additional information and advice from your accountant or other financial advisers who are fully aware of your individual situation.</t>
  </si>
  <si>
    <t>TO THE FULLEST EXTENT PERMITTED BY LAW, WE AND OUR AFFILIATES, SUPPLIERS AND DISTRIBUTORS MAKE NO WARRANTIES, EITHER EXPRESS OR IMPLIED, ABOUT THE PRODUCTS AND SERVICES. THE PRODUCTS AND SERVICES ARE PROVIDED "AS IS." WE ALSO DISCLAIM ANY WARRANTIES OF MERCHANTABILITY, FITNESS FOR A PARTICULAR PURPOSE AND NON-INFRINGEMENT.  INFORMATION AND OPINIONS RECEIVED VIA THE PRODUCT, SERVICE, AND WEBSITE SHOULD NOT BE RELIED UPON FOR PERSONAL, MEDICAL, LEGAL OR FINANCIAL DECISIONS AND YOU SHOULD CONSULT AN APPROPRIATE PROFESSIONAL FOR SPECIFIC ADVICE TAILORED TO YOUR SITUATION.</t>
  </si>
  <si>
    <t>TO THE FULLEST EXTENT PERMITTED BY LAW, IN NO EVENT WILL WE, OUR AFFILIATES, SUPPLIERS OR DISTRIBUTORS BE LIABLE FOR ANY INDIRECT, SPECIAL, INCIDENTAL, PUNITIVE, EXEMPLARY OR CONSEQUENTIAL DAMAGES OR ANY LOSS OF USE, DATA, BUSINESS, OR PROFITS, REGARDLESS OF LEGAL THEORY, WHETHER OR NOT WE HAVE BEEN WARNED OF THE POSSIBILITY OF SUCH DAMAGES, AND EVEN IF A REMEDY FAILS OF ITS ESSENTIAL PURPOSE.</t>
  </si>
  <si>
    <t>This Agreement is governed by the laws of the Commonwealth of Pennsylvania and the applicable laws of the United States of America. Legal proceedings related to this Agreement may only be brought in the courts of Pennsylvania. You agree to service of process at the e-mail address on your original order. Notices may be sent to Unstructured Ventures, LLC by email to hello@unstructuredventures.com or by post to Unstructured Ventures, LLC, 6360 Broad St, #5226, Pittsburgh, PA, 15206, USA.</t>
  </si>
  <si>
    <t>Assumptions &amp; Forecast</t>
  </si>
  <si>
    <t>Key model assumptions</t>
  </si>
  <si>
    <t>Capital and Fund Assumptions</t>
  </si>
  <si>
    <t>Capital, Management Fees, base Fund-level assumptions</t>
  </si>
  <si>
    <t>Detail</t>
  </si>
  <si>
    <t>Unit</t>
  </si>
  <si>
    <t>Assumption</t>
  </si>
  <si>
    <t>Options</t>
  </si>
  <si>
    <t>Notes</t>
  </si>
  <si>
    <t>Total Commited Capital (Fund Size)</t>
  </si>
  <si>
    <t>$</t>
  </si>
  <si>
    <t>Fund size</t>
  </si>
  <si>
    <t>GP Commit, as % of committed capital</t>
  </si>
  <si>
    <t>%</t>
  </si>
  <si>
    <t>see glossary for details, the option is whether the GP commit is excluded from management fees on the GP commit's contribution to LP capital (checked in Google Sheets, TRUE in Excel), or whther it does incur management fees (unchecked in Google Sheets, FALSE in Excel)</t>
  </si>
  <si>
    <t>Organizational Expenses (one time)</t>
  </si>
  <si>
    <t>see glossary for details</t>
  </si>
  <si>
    <t>Operational Expenses (annual)</t>
  </si>
  <si>
    <t>paid by fund, in addition to management fees</t>
  </si>
  <si>
    <t>Management Fees, per year, as % of committed capital</t>
  </si>
  <si>
    <t>model works for management fees based on called and committed capital (can be edited for fee structures based on assets under management). if you have a management fee structure that steps down over time, you can edit the management fees directly on the Forecast sheet.</t>
  </si>
  <si>
    <t>Management Fees Recycled</t>
  </si>
  <si>
    <t>recycling proceeds, as a % of management fees</t>
  </si>
  <si>
    <t>Carry</t>
  </si>
  <si>
    <t>carry is the % of gains that are paid to the managers of the fund. part of the commonly cited "2 and 20" fees structure for funds</t>
  </si>
  <si>
    <t>Portfolio Construction</t>
  </si>
  <si>
    <t>Capital Allocation and Investment Timeframe Assumptions.</t>
  </si>
  <si>
    <t>New</t>
  </si>
  <si>
    <t>Follow</t>
  </si>
  <si>
    <t>% Allocation of Invested Capital</t>
  </si>
  <si>
    <t>remainder is allocated to follow on investments. detail on portfolio construction sheet</t>
  </si>
  <si>
    <t>Average Check Size</t>
  </si>
  <si>
    <t># of Checks</t>
  </si>
  <si>
    <t>#</t>
  </si>
  <si>
    <t># of new checks = # of unique companies invested into. # of follow checks = # of rounds participated in, can consist of multiple follow checks into a single company</t>
  </si>
  <si>
    <t>Average Holding period, from investment to exit</t>
  </si>
  <si>
    <t>New Investment Period (years)</t>
  </si>
  <si>
    <t>time period for new investments (follow ons by default assumed to come over time)</t>
  </si>
  <si>
    <t>Management Fees time period (years)</t>
  </si>
  <si>
    <t>time period used for assuming management fees, tied to the fund duration and not including the fund extension period, if applicable</t>
  </si>
  <si>
    <t>Fund Operations time period (years)</t>
  </si>
  <si>
    <t>time period used for assuming operational expenses, which is calculated from the new invesetment and exit timeframes, to cover the periods the fund incurrs operational expenses. you can override the calculated period if desired.</t>
  </si>
  <si>
    <t>Return Assumptions</t>
  </si>
  <si>
    <t>Estimate your type of returns using average gross exit muliples. Used to create overall proceeds forecast.</t>
  </si>
  <si>
    <t>Type of Exit</t>
  </si>
  <si>
    <t>% of Invested Capital</t>
  </si>
  <si>
    <t># of Investments</t>
  </si>
  <si>
    <t>Average Gross Exit Multiple</t>
  </si>
  <si>
    <t>% of Total Proceeds</t>
  </si>
  <si>
    <t>Writeoff</t>
  </si>
  <si>
    <t>#, %</t>
  </si>
  <si>
    <t>A couple of the structures are calculated from the total. The model calculates the average fross exit multiple from the portfolio construction, then backs into the components of this section based on the data there. This is created for presentation purposes to help craft and communicate your investment strategy.</t>
  </si>
  <si>
    <t>Small</t>
  </si>
  <si>
    <t>Medium</t>
  </si>
  <si>
    <t>Large</t>
  </si>
  <si>
    <t>Fund Performance</t>
  </si>
  <si>
    <t>Fund performance summary</t>
  </si>
  <si>
    <t>Called Capital (also called Paid in Capital)</t>
  </si>
  <si>
    <t>Management Fees and Fund Expenses</t>
  </si>
  <si>
    <t>Recycled Capital</t>
  </si>
  <si>
    <t>Invested Capital</t>
  </si>
  <si>
    <t>Proceeds</t>
  </si>
  <si>
    <t>Carried Interest</t>
  </si>
  <si>
    <t>(proceeds less paid in capital) * carry %. e.g. carry is paid on the gains earned by the fund. assuming a simple carry structure, not including tiers</t>
  </si>
  <si>
    <t>Distributions</t>
  </si>
  <si>
    <t>distributions to investors in the fund</t>
  </si>
  <si>
    <t>Gross Multiple</t>
  </si>
  <si>
    <t>proceeds / invested capital. also known as MOIC (multiple on invested capital)</t>
  </si>
  <si>
    <t>Net Multiple</t>
  </si>
  <si>
    <t>distributions / paid in capital</t>
  </si>
  <si>
    <t>Gross IRR (estimated)</t>
  </si>
  <si>
    <t>this is a simplified calculation. in practice, exits will happen at different times and sizes, and IRR will vary to reflect that. this simplified model can only make a simplified estimate of IRR for baseline forecasting</t>
  </si>
  <si>
    <t>Net IRR (estimated)</t>
  </si>
  <si>
    <t>PIC (Paid in Capital)</t>
  </si>
  <si>
    <t>At fund exit, all capital is deployed, so PIC = 1</t>
  </si>
  <si>
    <t>DPI (Distributed to Paid in Capital)</t>
  </si>
  <si>
    <t>At fund exit, all proceeds are distributed, so DPI = TVPI</t>
  </si>
  <si>
    <t>RVPI (Residual Value to Paid in Capital)</t>
  </si>
  <si>
    <t>At fund exit, residual value = 0, so RVPI = 0.</t>
  </si>
  <si>
    <t>TVPI (Total Value to Paid in Capital)</t>
  </si>
  <si>
    <t>At fund exit, equivalent to net multiple</t>
  </si>
  <si>
    <t>Resources and Templates</t>
  </si>
  <si>
    <t>Every tool and template has its own rationale and goals, almost all share the same goal, to help emerging managers and entrepreneurs understand how the economics for venture funds work.</t>
  </si>
  <si>
    <t>Name</t>
  </si>
  <si>
    <t>Key Attributes</t>
  </si>
  <si>
    <t>Link</t>
  </si>
  <si>
    <t>How to Model a Venture Capital Fund</t>
  </si>
  <si>
    <t>Post detailing how to model a venture capital fund, detailing all the components, methods, considerations, and links to template models to review</t>
  </si>
  <si>
    <t>https://openvc.app/blog/how-to-model-a-venture-capital-fund</t>
  </si>
  <si>
    <t>Portfolio Construction for Dummies, by Hadley Harris (Eniac Ventures)</t>
  </si>
  <si>
    <t>Free Excel and Google Sheets Model and explanations on how to model a venture fund</t>
  </si>
  <si>
    <t>https://eniacvc.medium.com/seed-fund-portfolio-construction-for-dummies-9ec5b4d152dc</t>
  </si>
  <si>
    <t>Tactyc Venture Manager</t>
  </si>
  <si>
    <t>Web app to build, manage and strategize venture portfolio models</t>
  </si>
  <si>
    <t>https://vc.tactyc.io/</t>
  </si>
  <si>
    <t>Venture Fund Model, by Craig Thomas</t>
  </si>
  <si>
    <t>Free model in Causal for modeling portfolio construction</t>
  </si>
  <si>
    <t>https://my.causal.app/models/7140</t>
  </si>
  <si>
    <t>Open Source Venture Model (V1), by Sam Gerstenzang</t>
  </si>
  <si>
    <t>Google Sheet, open source, helpful for understanding how follow-on dynamics work in modeling and planning for reserves.</t>
  </si>
  <si>
    <t>https://medium.com/@gerstenzang/open-source-venture-model-osvm-v1-55bebf3eda9</t>
  </si>
  <si>
    <t>Airstream Alpha</t>
  </si>
  <si>
    <t>Fund budget template from a fund CFO firm (submit email to access)</t>
  </si>
  <si>
    <t>https://airstreamalpha.com/financial-model/</t>
  </si>
  <si>
    <t>Venture Capital Starter Model, by Foresight</t>
  </si>
  <si>
    <t>Free Google Sheet (can download to Excel) for forecasting a venture fund, including basic fund performance metrics. Calculates at an overall portfolio level (does not model cashflows over time)</t>
  </si>
  <si>
    <t>https://foresight.is/vc</t>
  </si>
  <si>
    <t>Simple, free model in Causal to show overall returns based on fund size, follow-on reserves, and fees.</t>
  </si>
  <si>
    <t>Venture Capital Model, Annual Forecast, by Foresight</t>
  </si>
  <si>
    <t>Free Google Sheet (can download to Excel) for forecasting a venture fund, including all fund performance metrics, showing annual cashflows over time.</t>
  </si>
  <si>
    <t>Venture Capital Model, Annual Forecast, by Foresight (Causal)</t>
  </si>
  <si>
    <t>Free Causal model for forecasting a venture fund, including all fund performance metrics, showing annual cashflows over time.</t>
  </si>
  <si>
    <t>Venture Fund Model, Quarterly Forecast, by Foresight</t>
  </si>
  <si>
    <t>$$ Excel and Google Sheets model to use in detailing cash flows and presenting to LPs in fundraising. Used by hundreds of emerging managers to raise funds. Includes financial statements for the fund, full forecast and statements for the management company, done on a quarterly timescale.</t>
  </si>
  <si>
    <t>https://foresight.is/venture-fund-model</t>
  </si>
  <si>
    <t>Venture Fund Model, Quarterly, with Tracking by Foresight</t>
  </si>
  <si>
    <t>$$ Excel and Google Sheets model to use in detailing cash flows and presenting to LPs in fundraising. Used by hundreds of emerging managers to raise funds. Includes financial statements for the fund, full forecast and statements for the management company, done on a quarterly timescale. Adds in tracking to track actual investments, compare budgeted investment pacing and performance to actuals, and create rolling forecasts.</t>
  </si>
  <si>
    <t>Venture Portfolio Construction, by Foresight</t>
  </si>
  <si>
    <t>Free Google Sheet (can download to Excel) to help understand portfolio construction.</t>
  </si>
  <si>
    <t>Contact taylor@foresight.is</t>
  </si>
  <si>
    <t>Angel and Solo GP Portfolio Tracking, by Foresight</t>
  </si>
  <si>
    <t>Free Google Sheet (can download to Excel) for angel investors to track and report performance metrics</t>
  </si>
  <si>
    <t>https://foresight.is/venture-portfolio-model</t>
  </si>
  <si>
    <t>Rolling Fund Template, by Foresight</t>
  </si>
  <si>
    <t>Free Google Sheet (can download to Excel) for budgeting capital, fees and investments for Angellist rolling funds</t>
  </si>
  <si>
    <t>https://www.angellist.com/blog/rolling-fund-budget</t>
  </si>
  <si>
    <t>Cap Table and Exit Waterfall Tool, by Foresight</t>
  </si>
  <si>
    <t xml:space="preserve">Free Excel Model (can upload to Google Sheets) to create a cap table through multiple rounds of investments, and forecast how investment rounds impact ownership, dilution, valuations, and distribution of proceeds to entrepreneurs and investors through a detailed exit waterfall. </t>
  </si>
  <si>
    <t>https://foresight.is/cap-table</t>
  </si>
  <si>
    <t>Venture Valuation Tool, by Foresight</t>
  </si>
  <si>
    <t>Free Excel Model (can upload to Google Sheets), useful for evaluating a specific investment, projected dilution, returns to shareholders participating in each round of investment</t>
  </si>
  <si>
    <t>https://foresight.is/learn/venture-valuation</t>
  </si>
  <si>
    <t>VC Fund Performance Calculator, by Angellist</t>
  </si>
  <si>
    <t>Percentile scores of venture funds across vintage years by combining performance data from hundreds of recent venture capital funds.</t>
  </si>
  <si>
    <t>https://angel.co/v/venture/calculator</t>
  </si>
  <si>
    <t>Venture Fund Economics, by Fred Wilson</t>
  </si>
  <si>
    <t>An outline of fund economics, with examples based on USV</t>
  </si>
  <si>
    <t>https://avc.com/2008/08/venture-fund-1/</t>
  </si>
  <si>
    <t>Venture Capital Method (Valuation)</t>
  </si>
  <si>
    <t>Examples of how to use the Venture Capital Method for valuation, free Google Sheets</t>
  </si>
  <si>
    <t>https://vcmethod.com/</t>
  </si>
  <si>
    <t>Foresight Template Comparison</t>
  </si>
  <si>
    <t>I offer a range of templates for venture funds and angels. Here's a breakdown of the models and how they compare.</t>
  </si>
  <si>
    <t>Template</t>
  </si>
  <si>
    <t>Software</t>
  </si>
  <si>
    <t>Price</t>
  </si>
  <si>
    <t>Overall Portfolio Forecast</t>
  </si>
  <si>
    <t>Annual Portfolio Forecast</t>
  </si>
  <si>
    <t>Quarterly Portfolio Forecast</t>
  </si>
  <si>
    <t>Fund Performance Metrics</t>
  </si>
  <si>
    <t>Financial Statements</t>
  </si>
  <si>
    <t>Track Actual Investments</t>
  </si>
  <si>
    <t>Budget v. Actuals, and rolling Forecast</t>
  </si>
  <si>
    <t>Multi-tiered Carried Interest</t>
  </si>
  <si>
    <t>Preferred Return (and GP Catchup)</t>
  </si>
  <si>
    <t>Rolling Funds</t>
  </si>
  <si>
    <t>Individual Investment Evaluation</t>
  </si>
  <si>
    <t>Management Company Budgeting</t>
  </si>
  <si>
    <t>Venture Capital Model, Overall Portfolio, by Foresight</t>
  </si>
  <si>
    <t>https://foresight.is/venture-fund-model-overall/</t>
  </si>
  <si>
    <t>Google Sheets, download to Excel, Causal</t>
  </si>
  <si>
    <t>Free</t>
  </si>
  <si>
    <t>https://foresight.is/venture-fund-model-annual/</t>
  </si>
  <si>
    <t>Venture Capital Model, Annual forecast using Portfolio Model, by Foresight</t>
  </si>
  <si>
    <t>https://foresight.is/venture-fund-model-portfolio/</t>
  </si>
  <si>
    <t>Google Sheets, download to Excel</t>
  </si>
  <si>
    <t>Venture Capital Model, Annual Forecast, Intermediate Portfolio Construction</t>
  </si>
  <si>
    <t>https://foresight.is/venture-fund-model-detailed/</t>
  </si>
  <si>
    <t>$74 USD</t>
  </si>
  <si>
    <t>Venture Fund Model, Quarterly, by Foresight</t>
  </si>
  <si>
    <t>$349 USD</t>
  </si>
  <si>
    <t>https://foresight.is/venture-fund-model-tracking/</t>
  </si>
  <si>
    <t>$479 USD</t>
  </si>
  <si>
    <t>Angel and Venture Fund Portfolio Tracking, by Foresight</t>
  </si>
  <si>
    <t>https://foresight.is/venture-portfolio-model/</t>
  </si>
  <si>
    <t>https://foresight.is/rolling-fund-template/</t>
  </si>
  <si>
    <t>Excel, upload to Google Sheets</t>
  </si>
  <si>
    <t>https://foresight.is/venture-valuation-tool/</t>
  </si>
  <si>
    <t>Runway and Cash Budget Tool</t>
  </si>
  <si>
    <t>https://foresight.is/runway-cash-forecasting</t>
  </si>
  <si>
    <t>Custom Services</t>
  </si>
  <si>
    <t>Customization, edits to models, and custom services in Excel, Google Sheets, Causal</t>
  </si>
  <si>
    <t>Quote</t>
  </si>
  <si>
    <t>Key venture terms and metrics used in this model. For more, http://www.allenlatta.com/glossary-of-private-equity-terms.html is a good resource</t>
  </si>
  <si>
    <t>Term</t>
  </si>
  <si>
    <t>Definition</t>
  </si>
  <si>
    <t>Limited Partner</t>
  </si>
  <si>
    <t>Part-owner of a company whose liability for the firm's debts cannot exceed the amount that an individual invested in the company. In VC, the investors in the fund. https://www.investopedia.com/terms/l/limited-partner.asp</t>
  </si>
  <si>
    <t>General Partner</t>
  </si>
  <si>
    <t>A general partner is one of two or more investors who jointly own a business that is structured as a partnership, and who assumes a day-to-day role in managing it. In venture capital, often the management company or the owners and managers of the management company. https://www.investopedia.com/terms/g/generalpartner.asp</t>
  </si>
  <si>
    <t>Rolling Fund</t>
  </si>
  <si>
    <t>A newer fund structure created where each quarter is its own "fund" for reporting purposes, so that new limited partners can be accepted into the fund at every quarter. See https://www.angellist.com/blog/rolling-fund-budget for budgeting for rolling funds and more details on the structure</t>
  </si>
  <si>
    <t>Evergreen Fund</t>
  </si>
  <si>
    <t>Fund structure where proceeds are continually recycled, and typically limited partners can invest and divest regularly throughout the fund's life. (This model does not fit an evergreen structure.)</t>
  </si>
  <si>
    <t>Committed Capital</t>
  </si>
  <si>
    <t>Also known as total fund size. Total capital committed to the fund. May vary over a fund's lifetime if the fund is holding multiple closes.</t>
  </si>
  <si>
    <t>Called Capital</t>
  </si>
  <si>
    <t>Capital called from limited partners. Used to pay fund expenses and invest in companies. Once all capital is called, total called capital will equal committed capital.</t>
  </si>
  <si>
    <t>GP Commit</t>
  </si>
  <si>
    <t>% of total called capital that is required to be contributed by the general partners of the fund. May be funded through management fees if limited partners allow in fund operating agreements.</t>
  </si>
  <si>
    <t>Organizational Expenses</t>
  </si>
  <si>
    <t>Expenses occured in creating a fund entity, which can often be charged to the fund (in addition to management fees)</t>
  </si>
  <si>
    <t>Operational Expenses</t>
  </si>
  <si>
    <t>Expenses occured in operating a fund, which can often be charged to the fund (in addition to management fees). Can include fund administration, fund tax reporting, legal costs in working on investment opportunities, and more.</t>
  </si>
  <si>
    <t>Management Fees</t>
  </si>
  <si>
    <t>Fees charged by the management company operating the fund to the fund. They are revenues to the management company, and used to pay expenses such as salaries, insurance, marketing, operating costs, and more.</t>
  </si>
  <si>
    <t>Many funds will recycle their management fees, meaning they reinvest early proceeds back into new investments. The rationale is that it allows the management company to invest more capital from the same fund size and improve returns. Recycling all fees into new investments can be difficult to do, based on the timeframe for new investments and the timing of when proceeds happen. Budgeting a schedule of invested capital for management fee recycling can be difficult. Many funds will target higher recycling earlier (&gt;100%) knowing they will not be able to recycle all management fees into new investments later in period, or to be more aggressive in redeploying capital/.</t>
  </si>
  <si>
    <t>Proceeds received from the sale of investments. Proceeds may be distributed to investors in the fund, recycled into new investments, or retained to distribute at a later time. Thus, proceeds are calculated separately from distributions.</t>
  </si>
  <si>
    <t>Preferred Return</t>
  </si>
  <si>
    <t>Common in private equity, common in non-US venture capital, very rare in US venture capital. Also known as a hurdle rate, a rate of return promised to limited partners before carry is paid to general partners.</t>
  </si>
  <si>
    <t>GP Catchup</t>
  </si>
  <si>
    <t>Many funds that have a preferred return provide the ability to the General Partners to "catch-up" on the carry they would have earned on the preferred return that was first paid to limited partners.</t>
  </si>
  <si>
    <t>Also called "carry', the percentage of gains (proceeds less paid in capital) from investments that are paid to the managers of the fund.</t>
  </si>
  <si>
    <t>European Waterfall</t>
  </si>
  <si>
    <t>Also known as "total fund carry". Default assumption for US venture capital, and this model, which calculates carry on a total fund basis, so that carry is not paid until the entire fund earns a return</t>
  </si>
  <si>
    <t>American Waterfall</t>
  </si>
  <si>
    <t>Also known as "deal by deal carry". Rare in US venture capital, occurs in non-US venture capital, common in private equity. Carry is paid on a deal-by-deal basis, rather than a total fund. The effect is that carry is often paid earlier in a fund's lifecycle. Often comes with clawback provisions.</t>
  </si>
  <si>
    <t>Clawback</t>
  </si>
  <si>
    <t>Provisions in fund operating agreements for funds with American Waterfalls</t>
  </si>
  <si>
    <t>Distributions to investors in the fund. This is net of carried interest paid to the managers of the fund. Distributions = Proceeds less carried interest less recycled capital less retained proceeds, it captures the actual cash disbursed to investors in the fund.</t>
  </si>
  <si>
    <t>Writeoffs</t>
  </si>
  <si>
    <t>Investments that are written off from companies going out of business. Estimated using the portfolio construction sheet.</t>
  </si>
  <si>
    <t>Change in Invested Capital</t>
  </si>
  <si>
    <t>value of the original capital invested. goes up when investments are made, down when investments are written off, and down when investments exit</t>
  </si>
  <si>
    <t>Change in Unrealized Gain (Loss)</t>
  </si>
  <si>
    <t>simplified calc in this model. one way to do this is to take the gross IRR from exits to back into an estimate of markups and changes in valuations overtime, smoothing those unrealized gains over time. in reality, unrealized gains would be tied to changes in the value of the underlying investments and far spikier in terms of how much and when they occur. unrealized gains go down over time as they are realized, so unrealized gains over a fund's life should equal zero. this model uses the portfolio construction markups and exits to estimate the changes over time, so it attempts to more closely reflect the spikiness from the portfolio construction assumptions.</t>
  </si>
  <si>
    <t>Change in Residual Value</t>
  </si>
  <si>
    <t>change in invested capital + change in residual value</t>
  </si>
  <si>
    <t>Paid in Capital (PIC)</t>
  </si>
  <si>
    <t>equivalent to called capital</t>
  </si>
  <si>
    <t>Residual Value to Paid in Capital (RVPI)</t>
  </si>
  <si>
    <t>Ratio of Residual Value to Paid in Capital.</t>
  </si>
  <si>
    <t>Distributed Value to Paid in Capital (DVPI)</t>
  </si>
  <si>
    <t>Ratio of cumulative distributions to paid in capital</t>
  </si>
  <si>
    <t>Total Value to Paid in Capital (TVPI)</t>
  </si>
  <si>
    <t>Ratio of (residual value remaining in portfolio + realized distributions) to paid in capital</t>
  </si>
  <si>
    <t>Net (Investments) Proceeds</t>
  </si>
  <si>
    <t>Gross cash flows per period, used to calculate gross IRRs</t>
  </si>
  <si>
    <t>Cumulative proceeds divided by cumulative invested capital, at the end of each period. Used to reflect the performance of the fund's investments.</t>
  </si>
  <si>
    <t>Gross IRR</t>
  </si>
  <si>
    <t>IRR (internal rate of return) of the investments and proceeds</t>
  </si>
  <si>
    <t>Net (Called Capital) Distributions</t>
  </si>
  <si>
    <t>Net cash flows per period, used to calculate net IRRs</t>
  </si>
  <si>
    <t>Cumulative distributions divided by cumulative paid in capital, at the end of each period. Used to reflect the cash on cash performance of the fund, including the effect of the fund's expenses on returns.</t>
  </si>
  <si>
    <t>Net IRR</t>
  </si>
  <si>
    <t>IRR (internatl rate of return) of paid in capital and distributions.</t>
  </si>
  <si>
    <t>Interim Net IRR</t>
  </si>
  <si>
    <t>Interim IRRs reflect a rate of return that includes the unrealized value of the existing investments in the portfolio. Good read:http://www.allenlatta.com/allens-blog/lp-corner-fund-performance-metrics-internal-rate-of-return-irr-part-two</t>
  </si>
  <si>
    <t>J Curve</t>
  </si>
  <si>
    <t>Created by charting Interim IRR over the fund's life. Venture capital funds typically show negative IRRs early inthe fund's life, as the residual value is less than the paid in capital (from taking out fees, and since investments often have not received markups), then increase over time as exits occur and the portfolio is marked up from investments increasing in value. http://www.allenlatta.com/allens-blog/lp-corner-the-j-curve</t>
  </si>
  <si>
    <t>Pro rata</t>
  </si>
  <si>
    <t>Potential investment amount in a new investment round offered to an pre-existing investor, often an amount that allows them to maintain their ownership position. Managers should have a strategy about how to handle pro rata investment opportunities, as well as a point of view on pro rata investment rights and their desire and ability to secure pro rata rights in investments.</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</si>
</sst>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0;(#,##0)"/>
    <numFmt numFmtId="165" formatCode="#,##0_);(#,##0);_(&quot;-&quot;_);_(@_)"/>
    <numFmt numFmtId="166" formatCode="#,##0.00;(#,##0.00)"/>
    <numFmt numFmtId="167" formatCode="&quot;$&quot;#,##0"/>
  </numFmts>
  <fonts count="29">
    <font>
      <sz val="10.0"/>
      <color rgb="FF000000"/>
      <name val="Arial"/>
      <scheme val="minor"/>
    </font>
    <font>
      <b/>
      <sz val="14.0"/>
      <color theme="1"/>
      <name val="Arial"/>
      <scheme val="minor"/>
    </font>
    <font>
      <color rgb="FF000000"/>
      <name val="Arial"/>
      <scheme val="minor"/>
    </font>
    <font>
      <b/>
      <color theme="1"/>
      <name val="Arial"/>
      <scheme val="minor"/>
    </font>
    <font>
      <color rgb="FF000000"/>
    </font>
    <font>
      <color theme="1"/>
      <name val="Arial"/>
      <scheme val="minor"/>
    </font>
    <font>
      <u/>
      <color rgb="FF0000FF"/>
    </font>
    <font>
      <b/>
      <sz val="12.0"/>
      <color theme="1"/>
      <name val="Arial"/>
      <scheme val="minor"/>
    </font>
    <font>
      <u/>
      <color rgb="FF0000FF"/>
    </font>
    <font>
      <i/>
      <sz val="10.0"/>
      <color rgb="FF000000"/>
      <name val="&quot;Avenir Book&quot;"/>
    </font>
    <font>
      <sz val="10.0"/>
      <color rgb="FF000000"/>
      <name val="&quot;Avenir Book&quot;"/>
    </font>
    <font>
      <color rgb="FF666666"/>
      <name val="Arial"/>
      <scheme val="minor"/>
    </font>
    <font>
      <b/>
      <i/>
      <sz val="12.0"/>
      <color theme="1"/>
      <name val="Arial"/>
      <scheme val="minor"/>
    </font>
    <font>
      <color rgb="FF0000FF"/>
      <name val="Arial"/>
      <scheme val="minor"/>
    </font>
    <font>
      <color theme="1"/>
      <name val="Arial"/>
    </font>
    <font>
      <color rgb="FF0000FF"/>
      <name val="Arial"/>
    </font>
    <font>
      <b/>
      <sz val="14.0"/>
      <color theme="1"/>
      <name val="Arial"/>
    </font>
    <font>
      <color rgb="FF666666"/>
      <name val="Arial"/>
    </font>
    <font>
      <u/>
      <color rgb="FF1155CC"/>
      <name val="Arial"/>
    </font>
    <font>
      <u/>
      <color rgb="FF1155CC"/>
      <name val="Arial"/>
    </font>
    <font>
      <u/>
      <color rgb="FF1155CC"/>
      <name val="Arial"/>
    </font>
    <font>
      <u/>
      <color rgb="FF1155CC"/>
      <name val="Arial"/>
    </font>
    <font>
      <u/>
      <color rgb="FF1155CC"/>
      <name val="Arial"/>
    </font>
    <font>
      <u/>
      <color rgb="FF1155CC"/>
      <name val="Arial"/>
    </font>
    <font>
      <u/>
      <color rgb="FF1155CC"/>
      <name val="Arial"/>
    </font>
    <font>
      <u/>
      <color rgb="FF1155CC"/>
      <name val="Arial"/>
    </font>
    <font>
      <u/>
      <color rgb="FF1155CC"/>
      <name val="Arial"/>
    </font>
    <font>
      <u/>
      <color rgb="FF0000FF"/>
      <name val="Arial"/>
    </font>
    <font>
      <u/>
      <color rgb="FF0000FF"/>
    </font>
  </fonts>
  <fills count="4">
    <fill>
      <patternFill patternType="none"/>
    </fill>
    <fill>
      <patternFill patternType="lightGray"/>
    </fill>
    <fill>
      <patternFill patternType="solid">
        <fgColor rgb="FFF3F3F3"/>
        <bgColor rgb="FFF3F3F3"/>
      </patternFill>
    </fill>
    <fill>
      <patternFill patternType="solid">
        <fgColor rgb="FFFFFFFF"/>
        <bgColor rgb="FFFFFFFF"/>
      </patternFill>
    </fill>
  </fills>
  <borders count="4">
    <border/>
    <border>
      <bottom style="thin">
        <color rgb="FF000000"/>
      </bottom>
    </border>
    <border>
      <top style="thin">
        <color rgb="FF000000"/>
      </top>
    </border>
    <border>
      <right/>
    </border>
  </borders>
  <cellStyleXfs count="1">
    <xf borderId="0" fillId="0" fontId="0" numFmtId="0" applyAlignment="1" applyFont="1"/>
  </cellStyleXfs>
  <cellXfs count="103">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3" numFmtId="0" xfId="0" applyAlignment="1" applyFont="1">
      <alignment readingOrder="0" shrinkToFit="0" vertical="top" wrapText="1"/>
    </xf>
    <xf borderId="0" fillId="0" fontId="2" numFmtId="0" xfId="0" applyAlignment="1" applyFont="1">
      <alignment readingOrder="0" shrinkToFit="0" wrapText="1"/>
    </xf>
    <xf borderId="0" fillId="0" fontId="4" numFmtId="0" xfId="0" applyAlignment="1" applyFont="1">
      <alignment readingOrder="0" shrinkToFit="0" vertical="top" wrapText="1"/>
    </xf>
    <xf borderId="0" fillId="0" fontId="5" numFmtId="0" xfId="0" applyAlignment="1" applyFont="1">
      <alignment readingOrder="0" shrinkToFit="0" vertical="top" wrapText="1"/>
    </xf>
    <xf borderId="0" fillId="0" fontId="3" numFmtId="0" xfId="0" applyAlignment="1" applyFont="1">
      <alignment readingOrder="0" shrinkToFit="0" vertical="top" wrapText="1"/>
    </xf>
    <xf borderId="0" fillId="0" fontId="6" numFmtId="0" xfId="0" applyAlignment="1" applyFont="1">
      <alignment readingOrder="0" shrinkToFit="0" vertical="top" wrapText="1"/>
    </xf>
    <xf borderId="0" fillId="0" fontId="5" numFmtId="0" xfId="0" applyAlignment="1" applyFont="1">
      <alignment readingOrder="0" shrinkToFit="0" vertical="top" wrapText="1"/>
    </xf>
    <xf borderId="0" fillId="0" fontId="5" numFmtId="0" xfId="0" applyAlignment="1" applyFont="1">
      <alignment shrinkToFit="0" vertical="top" wrapText="1"/>
    </xf>
    <xf borderId="0" fillId="0" fontId="7" numFmtId="0" xfId="0" applyAlignment="1" applyFont="1">
      <alignment readingOrder="0" shrinkToFit="0" vertical="top" wrapText="1"/>
    </xf>
    <xf borderId="0" fillId="0" fontId="5" numFmtId="0" xfId="0" applyAlignment="1" applyFont="1">
      <alignment readingOrder="0" vertical="top"/>
    </xf>
    <xf borderId="0" fillId="0" fontId="2" numFmtId="0" xfId="0" applyAlignment="1" applyFont="1">
      <alignment readingOrder="0" shrinkToFit="0" vertical="top" wrapText="1"/>
    </xf>
    <xf borderId="0" fillId="0" fontId="5" numFmtId="0" xfId="0" applyAlignment="1" applyFont="1">
      <alignment vertical="top"/>
    </xf>
    <xf borderId="0" fillId="0" fontId="5" numFmtId="0" xfId="0" applyAlignment="1" applyFont="1">
      <alignment vertical="top"/>
    </xf>
    <xf borderId="0" fillId="0" fontId="5" numFmtId="0" xfId="0" applyAlignment="1" applyFont="1">
      <alignment shrinkToFit="0" vertical="top" wrapText="1"/>
    </xf>
    <xf borderId="0" fillId="0" fontId="8" numFmtId="0" xfId="0" applyAlignment="1" applyFont="1">
      <alignment shrinkToFit="0" vertical="top" wrapText="1"/>
    </xf>
    <xf borderId="0" fillId="0" fontId="5" numFmtId="0" xfId="0" applyAlignment="1" applyFont="1">
      <alignment readingOrder="0"/>
    </xf>
    <xf borderId="0" fillId="0" fontId="5" numFmtId="0" xfId="0" applyAlignment="1" applyFont="1">
      <alignment readingOrder="0" shrinkToFit="0" vertical="top" wrapText="1"/>
    </xf>
    <xf borderId="0" fillId="0" fontId="9" numFmtId="0" xfId="0" applyAlignment="1" applyFont="1">
      <alignment readingOrder="0" shrinkToFit="0" vertical="bottom" wrapText="1"/>
    </xf>
    <xf borderId="0" fillId="0" fontId="10" numFmtId="0" xfId="0" applyAlignment="1" applyFont="1">
      <alignment shrinkToFit="0" vertical="bottom" wrapText="1"/>
    </xf>
    <xf borderId="0" fillId="0" fontId="10" numFmtId="0" xfId="0" applyAlignment="1" applyFont="1">
      <alignment readingOrder="0" shrinkToFit="0" vertical="bottom" wrapText="1"/>
    </xf>
    <xf borderId="0" fillId="0" fontId="5" numFmtId="0" xfId="0" applyAlignment="1" applyFont="1">
      <alignment horizontal="center"/>
    </xf>
    <xf borderId="0" fillId="0" fontId="11" numFmtId="0" xfId="0" applyAlignment="1" applyFont="1">
      <alignment readingOrder="0"/>
    </xf>
    <xf borderId="0" fillId="0" fontId="12" numFmtId="0" xfId="0" applyAlignment="1" applyFont="1">
      <alignment readingOrder="0"/>
    </xf>
    <xf borderId="0" fillId="0" fontId="5" numFmtId="0" xfId="0" applyAlignment="1" applyFont="1">
      <alignment horizontal="center" readingOrder="0"/>
    </xf>
    <xf borderId="0" fillId="0" fontId="5" numFmtId="0" xfId="0" applyAlignment="1" applyFont="1">
      <alignment horizontal="right" readingOrder="0"/>
    </xf>
    <xf borderId="1" fillId="0" fontId="5" numFmtId="0" xfId="0" applyAlignment="1" applyBorder="1" applyFont="1">
      <alignment readingOrder="0"/>
    </xf>
    <xf borderId="1" fillId="0" fontId="5" numFmtId="0" xfId="0" applyAlignment="1" applyBorder="1" applyFont="1">
      <alignment horizontal="center" readingOrder="0"/>
    </xf>
    <xf borderId="1" fillId="0" fontId="5" numFmtId="0" xfId="0" applyAlignment="1" applyBorder="1" applyFont="1">
      <alignment horizontal="right" readingOrder="0"/>
    </xf>
    <xf borderId="1" fillId="0" fontId="5" numFmtId="0" xfId="0" applyAlignment="1" applyBorder="1" applyFont="1">
      <alignment horizontal="left" readingOrder="0"/>
    </xf>
    <xf borderId="0" fillId="2" fontId="13" numFmtId="164" xfId="0" applyAlignment="1" applyFill="1" applyFont="1" applyNumberFormat="1">
      <alignment horizontal="center" readingOrder="0"/>
    </xf>
    <xf borderId="0" fillId="2" fontId="13" numFmtId="164" xfId="0" applyAlignment="1" applyFont="1" applyNumberFormat="1">
      <alignment readingOrder="0"/>
    </xf>
    <xf borderId="0" fillId="0" fontId="5" numFmtId="164" xfId="0" applyFont="1" applyNumberFormat="1"/>
    <xf borderId="0" fillId="2" fontId="13" numFmtId="10" xfId="0" applyAlignment="1" applyFont="1" applyNumberFormat="1">
      <alignment readingOrder="0"/>
    </xf>
    <xf borderId="0" fillId="0" fontId="14" numFmtId="165" xfId="0" applyAlignment="1" applyFont="1" applyNumberFormat="1">
      <alignment horizontal="center" readingOrder="0"/>
    </xf>
    <xf borderId="0" fillId="0" fontId="5" numFmtId="164" xfId="0" applyAlignment="1" applyFont="1" applyNumberFormat="1">
      <alignment horizontal="center" readingOrder="0"/>
    </xf>
    <xf borderId="0" fillId="0" fontId="5" numFmtId="164" xfId="0" applyAlignment="1" applyFont="1" applyNumberFormat="1">
      <alignment horizontal="right" readingOrder="0"/>
    </xf>
    <xf borderId="1" fillId="0" fontId="5" numFmtId="164" xfId="0" applyAlignment="1" applyBorder="1" applyFont="1" applyNumberFormat="1">
      <alignment horizontal="right" readingOrder="0"/>
    </xf>
    <xf borderId="0" fillId="2" fontId="13" numFmtId="9" xfId="0" applyAlignment="1" applyFont="1" applyNumberFormat="1">
      <alignment readingOrder="0"/>
    </xf>
    <xf borderId="0" fillId="0" fontId="5" numFmtId="9" xfId="0" applyFont="1" applyNumberFormat="1"/>
    <xf borderId="0" fillId="0" fontId="5" numFmtId="1" xfId="0" applyFont="1" applyNumberFormat="1"/>
    <xf borderId="0" fillId="0" fontId="14" numFmtId="0" xfId="0" applyAlignment="1" applyFont="1">
      <alignment vertical="bottom"/>
    </xf>
    <xf borderId="0" fillId="0" fontId="14" numFmtId="164" xfId="0" applyAlignment="1" applyFont="1" applyNumberFormat="1">
      <alignment shrinkToFit="0" vertical="bottom" wrapText="0"/>
    </xf>
    <xf borderId="0" fillId="2" fontId="13" numFmtId="164" xfId="0" applyAlignment="1" applyFont="1" applyNumberFormat="1">
      <alignment horizontal="left" readingOrder="0"/>
    </xf>
    <xf borderId="2" fillId="2" fontId="15" numFmtId="9" xfId="0" applyAlignment="1" applyBorder="1" applyFont="1" applyNumberFormat="1">
      <alignment horizontal="right" vertical="bottom"/>
    </xf>
    <xf borderId="2" fillId="2" fontId="15" numFmtId="166" xfId="0" applyAlignment="1" applyBorder="1" applyFont="1" applyNumberFormat="1">
      <alignment horizontal="right" vertical="bottom"/>
    </xf>
    <xf borderId="0" fillId="2" fontId="15" numFmtId="9" xfId="0" applyAlignment="1" applyFont="1" applyNumberFormat="1">
      <alignment horizontal="right" vertical="bottom"/>
    </xf>
    <xf borderId="0" fillId="2" fontId="15" numFmtId="166" xfId="0" applyAlignment="1" applyFont="1" applyNumberFormat="1">
      <alignment horizontal="right" vertical="bottom"/>
    </xf>
    <xf borderId="1" fillId="2" fontId="15" numFmtId="166" xfId="0" applyAlignment="1" applyBorder="1" applyFont="1" applyNumberFormat="1">
      <alignment horizontal="right" vertical="bottom"/>
    </xf>
    <xf borderId="2" fillId="0" fontId="5" numFmtId="9" xfId="0" applyBorder="1" applyFont="1" applyNumberFormat="1"/>
    <xf borderId="2" fillId="0" fontId="5" numFmtId="1" xfId="0" applyBorder="1" applyFont="1" applyNumberFormat="1"/>
    <xf borderId="2" fillId="0" fontId="5" numFmtId="2" xfId="0" applyAlignment="1" applyBorder="1" applyFont="1" applyNumberFormat="1">
      <alignment horizontal="right"/>
    </xf>
    <xf borderId="2" fillId="0" fontId="5" numFmtId="9" xfId="0" applyAlignment="1" applyBorder="1" applyFont="1" applyNumberFormat="1">
      <alignment readingOrder="0"/>
    </xf>
    <xf borderId="0" fillId="0" fontId="5" numFmtId="165" xfId="0" applyFont="1" applyNumberFormat="1"/>
    <xf borderId="0" fillId="0" fontId="5" numFmtId="2" xfId="0" applyFont="1" applyNumberFormat="1"/>
    <xf borderId="0" fillId="0" fontId="5" numFmtId="10" xfId="0" applyFont="1" applyNumberFormat="1"/>
    <xf borderId="0" fillId="0" fontId="5" numFmtId="2" xfId="0" applyAlignment="1" applyFont="1" applyNumberFormat="1">
      <alignment horizontal="right" readingOrder="0"/>
    </xf>
    <xf borderId="0" fillId="0" fontId="14" numFmtId="0" xfId="0" applyAlignment="1" applyFont="1">
      <alignment vertical="bottom"/>
    </xf>
    <xf borderId="0" fillId="0" fontId="16" numFmtId="0" xfId="0" applyAlignment="1" applyFont="1">
      <alignment vertical="bottom"/>
    </xf>
    <xf borderId="3" fillId="0" fontId="17" numFmtId="0" xfId="0" applyAlignment="1" applyBorder="1" applyFont="1">
      <alignment shrinkToFit="0" vertical="bottom" wrapText="0"/>
    </xf>
    <xf borderId="3" fillId="0" fontId="14" numFmtId="0" xfId="0" applyAlignment="1" applyBorder="1" applyFont="1">
      <alignment vertical="bottom"/>
    </xf>
    <xf borderId="1" fillId="0" fontId="14" numFmtId="0" xfId="0" applyAlignment="1" applyBorder="1" applyFont="1">
      <alignment vertical="bottom"/>
    </xf>
    <xf borderId="0" fillId="2" fontId="14" numFmtId="0" xfId="0" applyAlignment="1" applyFont="1">
      <alignment shrinkToFit="0" vertical="top" wrapText="1"/>
    </xf>
    <xf borderId="0" fillId="2" fontId="18" numFmtId="0" xfId="0" applyAlignment="1" applyFont="1">
      <alignment vertical="top"/>
    </xf>
    <xf borderId="0" fillId="3" fontId="14" numFmtId="0" xfId="0" applyAlignment="1" applyFill="1" applyFont="1">
      <alignment shrinkToFit="0" vertical="top" wrapText="1"/>
    </xf>
    <xf borderId="0" fillId="3" fontId="19" numFmtId="0" xfId="0" applyAlignment="1" applyFont="1">
      <alignment vertical="top"/>
    </xf>
    <xf borderId="0" fillId="0" fontId="14" numFmtId="0" xfId="0" applyFont="1"/>
    <xf borderId="0" fillId="0" fontId="14" numFmtId="0" xfId="0" applyFont="1"/>
    <xf borderId="3" fillId="2" fontId="20" numFmtId="0" xfId="0" applyAlignment="1" applyBorder="1" applyFont="1">
      <alignment vertical="top"/>
    </xf>
    <xf borderId="3" fillId="3" fontId="21" numFmtId="0" xfId="0" applyAlignment="1" applyBorder="1" applyFont="1">
      <alignment vertical="top"/>
    </xf>
    <xf borderId="0" fillId="2" fontId="14" numFmtId="0" xfId="0" applyAlignment="1" applyFont="1">
      <alignment shrinkToFit="0" vertical="top" wrapText="1"/>
    </xf>
    <xf borderId="0" fillId="2" fontId="14" numFmtId="0" xfId="0" applyAlignment="1" applyFont="1">
      <alignment vertical="top"/>
    </xf>
    <xf borderId="0" fillId="2" fontId="22" numFmtId="0" xfId="0" applyAlignment="1" applyFont="1">
      <alignment vertical="top"/>
    </xf>
    <xf borderId="0" fillId="3" fontId="14" numFmtId="0" xfId="0" applyAlignment="1" applyFont="1">
      <alignment shrinkToFit="0" vertical="top" wrapText="1"/>
    </xf>
    <xf borderId="0" fillId="3" fontId="23" numFmtId="0" xfId="0" applyAlignment="1" applyFont="1">
      <alignment vertical="top"/>
    </xf>
    <xf borderId="0" fillId="0" fontId="5" numFmtId="0" xfId="0" applyAlignment="1" applyFont="1">
      <alignment shrinkToFit="0" wrapText="1"/>
    </xf>
    <xf borderId="1" fillId="0" fontId="5" numFmtId="0" xfId="0" applyAlignment="1" applyBorder="1" applyFont="1">
      <alignment readingOrder="0" shrinkToFit="0" wrapText="1"/>
    </xf>
    <xf borderId="1" fillId="0" fontId="5" numFmtId="0" xfId="0" applyAlignment="1" applyBorder="1" applyFont="1">
      <alignment horizontal="center" readingOrder="0" shrinkToFit="0" wrapText="1"/>
    </xf>
    <xf borderId="0" fillId="0" fontId="5" numFmtId="0" xfId="0" applyAlignment="1" applyFont="1">
      <alignment shrinkToFit="0" vertical="top" wrapText="0"/>
    </xf>
    <xf borderId="0" fillId="0" fontId="5" numFmtId="0" xfId="0" applyAlignment="1" applyFont="1">
      <alignment horizontal="center" readingOrder="0" shrinkToFit="0" vertical="top" wrapText="1"/>
    </xf>
    <xf borderId="0" fillId="0" fontId="5" numFmtId="0" xfId="0" applyAlignment="1" applyFont="1">
      <alignment horizontal="center" shrinkToFit="0" vertical="top" wrapText="1"/>
    </xf>
    <xf borderId="0" fillId="0" fontId="14" numFmtId="0" xfId="0" applyAlignment="1" applyFont="1">
      <alignment shrinkToFit="0" vertical="top" wrapText="1"/>
    </xf>
    <xf borderId="0" fillId="2" fontId="24" numFmtId="0" xfId="0" applyAlignment="1" applyFont="1">
      <alignment readingOrder="0" vertical="top"/>
    </xf>
    <xf borderId="0" fillId="2" fontId="14" numFmtId="0" xfId="0" applyAlignment="1" applyFont="1">
      <alignment readingOrder="0" shrinkToFit="0" vertical="top" wrapText="1"/>
    </xf>
    <xf borderId="0" fillId="0" fontId="5" numFmtId="0" xfId="0" applyAlignment="1" applyFont="1">
      <alignment horizontal="center" readingOrder="0" shrinkToFit="0" vertical="center" wrapText="1"/>
    </xf>
    <xf borderId="0" fillId="0" fontId="5" numFmtId="0" xfId="0" applyAlignment="1" applyFont="1">
      <alignment horizontal="center" shrinkToFit="0" vertical="center" wrapText="1"/>
    </xf>
    <xf borderId="0" fillId="0" fontId="25" numFmtId="0" xfId="0" applyAlignment="1" applyFont="1">
      <alignment readingOrder="0" vertical="top"/>
    </xf>
    <xf borderId="0" fillId="0" fontId="14" numFmtId="0" xfId="0" applyAlignment="1" applyFont="1">
      <alignment readingOrder="0" shrinkToFit="0" vertical="top" wrapText="1"/>
    </xf>
    <xf borderId="0" fillId="0" fontId="14" numFmtId="0" xfId="0" applyAlignment="1" applyFont="1">
      <alignment shrinkToFit="0" vertical="top" wrapText="1"/>
    </xf>
    <xf borderId="0" fillId="0" fontId="14" numFmtId="0" xfId="0" applyAlignment="1" applyFont="1">
      <alignment vertical="top"/>
    </xf>
    <xf borderId="0" fillId="3" fontId="26" numFmtId="0" xfId="0" applyAlignment="1" applyFont="1">
      <alignment readingOrder="0" vertical="top"/>
    </xf>
    <xf borderId="0" fillId="0" fontId="14" numFmtId="167" xfId="0" applyAlignment="1" applyFont="1" applyNumberFormat="1">
      <alignment readingOrder="0" shrinkToFit="0" vertical="top" wrapText="1"/>
    </xf>
    <xf borderId="0" fillId="0" fontId="14" numFmtId="0" xfId="0" applyAlignment="1" applyFont="1">
      <alignment readingOrder="0"/>
    </xf>
    <xf borderId="0" fillId="2" fontId="14" numFmtId="167" xfId="0" applyAlignment="1" applyFont="1" applyNumberFormat="1">
      <alignment shrinkToFit="0" vertical="top" wrapText="1"/>
    </xf>
    <xf borderId="0" fillId="0" fontId="27" numFmtId="0" xfId="0" applyAlignment="1" applyFont="1">
      <alignment readingOrder="0" vertical="top"/>
    </xf>
    <xf borderId="0" fillId="0" fontId="14" numFmtId="167" xfId="0" applyAlignment="1" applyFont="1" applyNumberFormat="1">
      <alignment shrinkToFit="0" vertical="top" wrapText="1"/>
    </xf>
    <xf borderId="0" fillId="0" fontId="5" numFmtId="0" xfId="0" applyAlignment="1" applyFont="1">
      <alignment shrinkToFit="0" vertical="top" wrapText="1"/>
    </xf>
    <xf borderId="0" fillId="0" fontId="28" numFmtId="0" xfId="0" applyAlignment="1" applyFont="1">
      <alignment readingOrder="0" shrinkToFit="0" vertical="top" wrapText="0"/>
    </xf>
    <xf borderId="0" fillId="0" fontId="14" numFmtId="0" xfId="0" applyAlignment="1" applyFont="1">
      <alignment readingOrder="0" vertical="top"/>
    </xf>
    <xf borderId="0" fillId="0" fontId="14" numFmtId="0" xfId="0" applyAlignment="1" applyFont="1">
      <alignment shrinkToFit="0" vertical="top" wrapText="1"/>
    </xf>
    <xf borderId="0" fillId="0" fontId="14" numFmtId="0" xfId="0" applyAlignment="1" applyFont="1">
      <alignment readingOrder="0" shrinkToFit="0" vertical="top" wrapText="1"/>
    </xf>
  </cellXfs>
  <cellStyles count="1">
    <cellStyle xfId="0" name="Normal" builtinId="0"/>
  </cellStyles>
  <dxfs count="4">
    <dxf>
      <font/>
      <fill>
        <patternFill patternType="none"/>
      </fill>
      <border/>
    </dxf>
    <dxf>
      <font/>
      <fill>
        <patternFill patternType="solid">
          <fgColor rgb="FFF3F3F3"/>
          <bgColor rgb="FFF3F3F3"/>
        </patternFill>
      </fill>
      <border/>
    </dxf>
    <dxf>
      <font/>
      <fill>
        <patternFill patternType="solid">
          <fgColor rgb="FFFFFFFF"/>
          <bgColor rgb="FFFFFFFF"/>
        </patternFill>
      </fill>
      <border/>
    </dxf>
    <dxf>
      <font/>
      <fill>
        <patternFill patternType="solid">
          <fgColor rgb="FFDDF2F0"/>
          <bgColor rgb="FFDDF2F0"/>
        </patternFill>
      </fill>
      <border/>
    </dxf>
  </dxfs>
  <tableStyles count="5">
    <tableStyle count="3" pivot="0" name="README-style">
      <tableStyleElement dxfId="1" type="headerRow"/>
      <tableStyleElement dxfId="2" type="firstRowStripe"/>
      <tableStyleElement dxfId="1" type="secondRowStripe"/>
    </tableStyle>
    <tableStyle count="3" pivot="0" name="README-style 2">
      <tableStyleElement dxfId="3" type="headerRow"/>
      <tableStyleElement dxfId="2" type="firstRowStripe"/>
      <tableStyleElement dxfId="3" type="secondRowStripe"/>
    </tableStyle>
    <tableStyle count="3" pivot="0" name="Resources-style">
      <tableStyleElement dxfId="1" type="headerRow"/>
      <tableStyleElement dxfId="2" type="firstRowStripe"/>
      <tableStyleElement dxfId="1" type="secondRowStripe"/>
    </tableStyle>
    <tableStyle count="3" pivot="0" name="Model Comparison-style">
      <tableStyleElement dxfId="1" type="headerRow"/>
      <tableStyleElement dxfId="2" type="firstRowStripe"/>
      <tableStyleElement dxfId="1" type="secondRowStripe"/>
    </tableStyle>
    <tableStyle count="3" pivot="0" name="Glossary-style">
      <tableStyleElement dxfId="1" type="headerRow"/>
      <tableStyleElement dxfId="2" type="firstRowStripe"/>
      <tableStyleElement dxfId="1"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B4:C10" displayName="Table_1" id="1">
  <tableColumns count="2">
    <tableColumn name="Copyright &amp; Contact" id="1"/>
    <tableColumn name="This was created by Taylor Davidson (@tdavidson) of Foresight._x000a_© 2023, Unstructured Ventures, LLC._x000a_Questions, contact taylor@foresight.is or @tdavidson_x000a_" id="2"/>
  </tableColumns>
  <tableStyleInfo name="README-style" showColumnStripes="0" showFirstColumn="1" showLastColumn="1" showRowStripes="1"/>
</table>
</file>

<file path=xl/tables/table2.xml><?xml version="1.0" encoding="utf-8"?>
<table xmlns="http://schemas.openxmlformats.org/spreadsheetml/2006/main" ref="B14:C22" displayName="Table_2" id="2">
  <tableColumns count="2">
    <tableColumn name="README" id="1"/>
    <tableColumn name="Contact into, overview on model. Safe to delete or hide." id="2"/>
  </tableColumns>
  <tableStyleInfo name="README-style 2" showColumnStripes="0" showFirstColumn="1" showLastColumn="1" showRowStripes="1"/>
</table>
</file>

<file path=xl/tables/table3.xml><?xml version="1.0" encoding="utf-8"?>
<table xmlns="http://schemas.openxmlformats.org/spreadsheetml/2006/main" ref="B7:D25" displayName="Table_3" id="3">
  <tableColumns count="3">
    <tableColumn name="How to Model a Venture Capital Fund" id="1"/>
    <tableColumn name="Post detailing how to model a venture capital fund, detailing all the components, methods, considerations, and links to template models to review" id="2"/>
    <tableColumn name="https://openvc.app/blog/how-to-model-a-venture-capital-fund" id="3"/>
  </tableColumns>
  <tableStyleInfo name="Resources-style" showColumnStripes="0" showFirstColumn="1" showLastColumn="1" showRowStripes="1"/>
</table>
</file>

<file path=xl/tables/table4.xml><?xml version="1.0" encoding="utf-8"?>
<table xmlns="http://schemas.openxmlformats.org/spreadsheetml/2006/main" headerRowCount="0" ref="B7:R18" displayName="Table_4" id="4">
  <tableColumns count="17">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s>
  <tableStyleInfo name="Model Comparison-style" showColumnStripes="0" showFirstColumn="1" showLastColumn="1" showRowStripes="1"/>
  <extLst>
    <ext uri="GoogleSheetsCustomDataVersion1">
      <go:sheetsCustomData xmlns:go="http://customooxmlschemas.google.com/" headerRowCount="1"/>
    </ext>
  </extLst>
</table>
</file>

<file path=xl/tables/table5.xml><?xml version="1.0" encoding="utf-8"?>
<table xmlns="http://schemas.openxmlformats.org/spreadsheetml/2006/main" ref="B7:C42" displayName="Table_5" id="5">
  <tableColumns count="2">
    <tableColumn name="Limited Partner" id="1"/>
    <tableColumn name="Part-owner of a company whose liability for the firm's debts cannot exceed the amount that an individual invested in the company. In VC, the investors in the fund. https://www.investopedia.com/terms/l/limited-partner.asp" id="2"/>
  </tableColumns>
  <tableStyleInfo name="Glossary-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foresight.is/learn/support" TargetMode="External"/><Relationship Id="rId2" Type="http://schemas.openxmlformats.org/officeDocument/2006/relationships/hyperlink" Target="https://foresight.is/learn/colors-and-formatting" TargetMode="External"/><Relationship Id="rId3" Type="http://schemas.openxmlformats.org/officeDocument/2006/relationships/hyperlink" Target="https://foresight.is/license" TargetMode="External"/><Relationship Id="rId4" Type="http://schemas.openxmlformats.org/officeDocument/2006/relationships/drawing" Target="../drawings/drawing1.xml"/><Relationship Id="rId7" Type="http://schemas.openxmlformats.org/officeDocument/2006/relationships/table" Target="../tables/table1.xml"/><Relationship Id="rId8" Type="http://schemas.openxmlformats.org/officeDocument/2006/relationships/table" Target="../tables/table2.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0" Type="http://schemas.openxmlformats.org/officeDocument/2006/relationships/drawing" Target="../drawings/drawing4.xml"/><Relationship Id="rId11" Type="http://schemas.openxmlformats.org/officeDocument/2006/relationships/hyperlink" Target="https://foresight.is/venture-fund-model" TargetMode="External"/><Relationship Id="rId22" Type="http://schemas.openxmlformats.org/officeDocument/2006/relationships/table" Target="../tables/table3.xml"/><Relationship Id="rId10" Type="http://schemas.openxmlformats.org/officeDocument/2006/relationships/hyperlink" Target="https://foresight.is/vc" TargetMode="External"/><Relationship Id="rId13" Type="http://schemas.openxmlformats.org/officeDocument/2006/relationships/hyperlink" Target="https://foresight.is/venture-portfolio-model" TargetMode="External"/><Relationship Id="rId12" Type="http://schemas.openxmlformats.org/officeDocument/2006/relationships/hyperlink" Target="https://foresight.is/vc" TargetMode="External"/><Relationship Id="rId1" Type="http://schemas.openxmlformats.org/officeDocument/2006/relationships/hyperlink" Target="https://openvc.app/blog/how-to-model-a-venture-capital-fund" TargetMode="External"/><Relationship Id="rId2" Type="http://schemas.openxmlformats.org/officeDocument/2006/relationships/hyperlink" Target="https://eniacvc.medium.com/seed-fund-portfolio-construction-for-dummies-9ec5b4d152dc" TargetMode="External"/><Relationship Id="rId3" Type="http://schemas.openxmlformats.org/officeDocument/2006/relationships/hyperlink" Target="https://vc.tactyc.io/" TargetMode="External"/><Relationship Id="rId4" Type="http://schemas.openxmlformats.org/officeDocument/2006/relationships/hyperlink" Target="https://my.causal.app/models/7140" TargetMode="External"/><Relationship Id="rId9" Type="http://schemas.openxmlformats.org/officeDocument/2006/relationships/hyperlink" Target="https://foresight.is/vc" TargetMode="External"/><Relationship Id="rId15" Type="http://schemas.openxmlformats.org/officeDocument/2006/relationships/hyperlink" Target="https://foresight.is/cap-table" TargetMode="External"/><Relationship Id="rId14" Type="http://schemas.openxmlformats.org/officeDocument/2006/relationships/hyperlink" Target="https://www.angellist.com/blog/rolling-fund-budget" TargetMode="External"/><Relationship Id="rId17" Type="http://schemas.openxmlformats.org/officeDocument/2006/relationships/hyperlink" Target="https://angel.co/v/venture/calculator" TargetMode="External"/><Relationship Id="rId16" Type="http://schemas.openxmlformats.org/officeDocument/2006/relationships/hyperlink" Target="https://foresight.is/learn/venture-valuation" TargetMode="External"/><Relationship Id="rId5" Type="http://schemas.openxmlformats.org/officeDocument/2006/relationships/hyperlink" Target="https://medium.com/@gerstenzang/open-source-venture-model-osvm-v1-55bebf3eda9" TargetMode="External"/><Relationship Id="rId19" Type="http://schemas.openxmlformats.org/officeDocument/2006/relationships/hyperlink" Target="https://vcmethod.com/" TargetMode="External"/><Relationship Id="rId6" Type="http://schemas.openxmlformats.org/officeDocument/2006/relationships/hyperlink" Target="https://airstreamalpha.com/financial-model/" TargetMode="External"/><Relationship Id="rId18" Type="http://schemas.openxmlformats.org/officeDocument/2006/relationships/hyperlink" Target="https://avc.com/2008/08/venture-fund-1/" TargetMode="External"/><Relationship Id="rId7" Type="http://schemas.openxmlformats.org/officeDocument/2006/relationships/hyperlink" Target="https://foresight.is/vc" TargetMode="External"/><Relationship Id="rId8" Type="http://schemas.openxmlformats.org/officeDocument/2006/relationships/hyperlink" Target="https://foresight.is/vc" TargetMode="External"/></Relationships>
</file>

<file path=xl/worksheets/_rels/sheet5.xml.rels><?xml version="1.0" encoding="UTF-8" standalone="yes"?><Relationships xmlns="http://schemas.openxmlformats.org/package/2006/relationships"><Relationship Id="rId11" Type="http://schemas.openxmlformats.org/officeDocument/2006/relationships/hyperlink" Target="https://foresight.is/runway-cash-forecasting" TargetMode="External"/><Relationship Id="rId10" Type="http://schemas.openxmlformats.org/officeDocument/2006/relationships/hyperlink" Target="https://foresight.is/venture-valuation-tool/" TargetMode="External"/><Relationship Id="rId12" Type="http://schemas.openxmlformats.org/officeDocument/2006/relationships/drawing" Target="../drawings/drawing5.xml"/><Relationship Id="rId1" Type="http://schemas.openxmlformats.org/officeDocument/2006/relationships/hyperlink" Target="https://foresight.is/venture-fund-model-overall/" TargetMode="External"/><Relationship Id="rId2" Type="http://schemas.openxmlformats.org/officeDocument/2006/relationships/hyperlink" Target="https://foresight.is/venture-fund-model-annual/" TargetMode="External"/><Relationship Id="rId3" Type="http://schemas.openxmlformats.org/officeDocument/2006/relationships/hyperlink" Target="https://foresight.is/venture-fund-model-portfolio/" TargetMode="External"/><Relationship Id="rId4" Type="http://schemas.openxmlformats.org/officeDocument/2006/relationships/hyperlink" Target="https://foresight.is/venture-fund-model-detailed/" TargetMode="External"/><Relationship Id="rId9" Type="http://schemas.openxmlformats.org/officeDocument/2006/relationships/hyperlink" Target="https://foresight.is/cap-table" TargetMode="External"/><Relationship Id="rId14" Type="http://schemas.openxmlformats.org/officeDocument/2006/relationships/table" Target="../tables/table4.xml"/><Relationship Id="rId5" Type="http://schemas.openxmlformats.org/officeDocument/2006/relationships/hyperlink" Target="https://foresight.is/venture-fund-model" TargetMode="External"/><Relationship Id="rId6" Type="http://schemas.openxmlformats.org/officeDocument/2006/relationships/hyperlink" Target="https://foresight.is/venture-fund-model-tracking/" TargetMode="External"/><Relationship Id="rId7" Type="http://schemas.openxmlformats.org/officeDocument/2006/relationships/hyperlink" Target="https://foresight.is/venture-portfolio-model/" TargetMode="External"/><Relationship Id="rId8" Type="http://schemas.openxmlformats.org/officeDocument/2006/relationships/hyperlink" Target="https://foresight.is/rolling-fund-template/"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4.13"/>
    <col customWidth="1" min="2" max="2" width="35.13"/>
    <col customWidth="1" min="3" max="3" width="65.63"/>
    <col customWidth="1" min="4" max="4" width="22.75"/>
  </cols>
  <sheetData>
    <row r="2">
      <c r="B2" s="1" t="s">
        <v>0</v>
      </c>
    </row>
    <row r="3">
      <c r="B3" s="2"/>
    </row>
    <row r="4">
      <c r="B4" s="3" t="s">
        <v>1</v>
      </c>
      <c r="C4" s="4" t="s">
        <v>2</v>
      </c>
    </row>
    <row r="5">
      <c r="B5" s="3" t="s">
        <v>3</v>
      </c>
      <c r="C5" s="5" t="s">
        <v>4</v>
      </c>
    </row>
    <row r="6">
      <c r="B6" s="3" t="s">
        <v>5</v>
      </c>
      <c r="C6" s="6" t="s">
        <v>6</v>
      </c>
    </row>
    <row r="7">
      <c r="B7" s="7" t="s">
        <v>7</v>
      </c>
      <c r="C7" s="8" t="s">
        <v>8</v>
      </c>
    </row>
    <row r="8">
      <c r="B8" s="7" t="s">
        <v>9</v>
      </c>
      <c r="C8" s="8" t="s">
        <v>10</v>
      </c>
    </row>
    <row r="9">
      <c r="B9" s="7" t="s">
        <v>11</v>
      </c>
      <c r="C9" s="8" t="s">
        <v>12</v>
      </c>
    </row>
    <row r="10">
      <c r="B10" s="3" t="s">
        <v>13</v>
      </c>
      <c r="C10" s="6" t="s">
        <v>14</v>
      </c>
    </row>
    <row r="11">
      <c r="B11" s="9"/>
      <c r="C11" s="10"/>
    </row>
    <row r="12">
      <c r="B12" s="11" t="s">
        <v>15</v>
      </c>
      <c r="C12" s="12"/>
    </row>
    <row r="13">
      <c r="B13" s="13"/>
      <c r="C13" s="14"/>
    </row>
    <row r="14">
      <c r="B14" s="15" t="s">
        <v>16</v>
      </c>
      <c r="C14" s="16" t="s">
        <v>17</v>
      </c>
    </row>
    <row r="15">
      <c r="B15" s="15" t="s">
        <v>18</v>
      </c>
      <c r="C15" s="17" t="s">
        <v>19</v>
      </c>
    </row>
    <row r="16">
      <c r="B16" s="15" t="s">
        <v>3</v>
      </c>
      <c r="C16" s="17" t="s">
        <v>20</v>
      </c>
    </row>
    <row r="17">
      <c r="B17" s="15" t="s">
        <v>21</v>
      </c>
      <c r="C17" s="6" t="s">
        <v>22</v>
      </c>
    </row>
    <row r="18">
      <c r="B18" s="15" t="s">
        <v>23</v>
      </c>
      <c r="C18" s="16" t="s">
        <v>24</v>
      </c>
    </row>
    <row r="19">
      <c r="B19" s="15" t="s">
        <v>25</v>
      </c>
      <c r="C19" s="16" t="s">
        <v>26</v>
      </c>
    </row>
    <row r="20">
      <c r="B20" s="15" t="s">
        <v>27</v>
      </c>
      <c r="C20" s="16" t="s">
        <v>28</v>
      </c>
    </row>
    <row r="21">
      <c r="B21" s="15" t="s">
        <v>29</v>
      </c>
      <c r="C21" s="16" t="s">
        <v>30</v>
      </c>
    </row>
    <row r="22">
      <c r="B22" s="15" t="s">
        <v>31</v>
      </c>
      <c r="C22" s="16" t="s">
        <v>32</v>
      </c>
    </row>
    <row r="23">
      <c r="B23" s="18"/>
      <c r="C23" s="19"/>
    </row>
  </sheetData>
  <hyperlinks>
    <hyperlink display="tl:dr; You can modify, edit, use, and share within your company (and with third-parties as needed to operate your business). You may not redistribute, resell, give away to others. Full license.&#10;" location="License!A1" ref="C5"/>
    <hyperlink display="File &gt; Make a Copy to copy it to your own Google Drive, or File &gt; Download to download this to use in Excel or other spreadsheet programs. See License for warranties and liabilities.&#10;" location="License!A1" ref="C7"/>
    <hyperlink r:id="rId1" ref="C8"/>
    <hyperlink display="Check out the Resources for other resources for modeling venture funds, and check out Foresight's Venture Investor Model for a more detailed fund model with financial statements, management company budgeting, and more.&#10;" location="null!A1" ref="C9"/>
    <hyperlink r:id="rId2" ref="C15"/>
    <hyperlink r:id="rId3" ref="C16"/>
  </hyperlinks>
  <drawing r:id="rId4"/>
  <tableParts count="2">
    <tablePart r:id="rId7"/>
    <tablePart r:id="rId8"/>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88"/>
    <col customWidth="1" min="2" max="2" width="70.88"/>
  </cols>
  <sheetData>
    <row r="1" ht="29.25" customHeight="1">
      <c r="A1" s="1"/>
      <c r="B1" s="1" t="s">
        <v>33</v>
      </c>
    </row>
    <row r="2" ht="19.5" customHeight="1">
      <c r="A2" s="20"/>
      <c r="B2" s="20" t="s">
        <v>34</v>
      </c>
    </row>
    <row r="3">
      <c r="A3" s="21"/>
      <c r="B3" s="21"/>
    </row>
    <row r="4">
      <c r="A4" s="22"/>
      <c r="B4" s="22" t="s">
        <v>35</v>
      </c>
    </row>
    <row r="5">
      <c r="A5" s="21"/>
      <c r="B5" s="21"/>
    </row>
    <row r="6">
      <c r="A6" s="22"/>
      <c r="B6" s="22" t="s">
        <v>36</v>
      </c>
    </row>
    <row r="7">
      <c r="A7" s="21"/>
      <c r="B7" s="21"/>
    </row>
    <row r="8">
      <c r="A8" s="22"/>
      <c r="B8" s="22" t="s">
        <v>37</v>
      </c>
    </row>
    <row r="9">
      <c r="A9" s="22"/>
      <c r="B9" s="22" t="s">
        <v>38</v>
      </c>
    </row>
    <row r="10">
      <c r="A10" s="22"/>
      <c r="B10" s="22" t="s">
        <v>39</v>
      </c>
    </row>
    <row r="11">
      <c r="A11" s="22"/>
      <c r="B11" s="22" t="s">
        <v>40</v>
      </c>
    </row>
    <row r="12">
      <c r="A12" s="22"/>
      <c r="B12" s="22" t="s">
        <v>41</v>
      </c>
    </row>
    <row r="13">
      <c r="A13" s="21"/>
      <c r="B13" s="21"/>
    </row>
    <row r="14">
      <c r="A14" s="22"/>
      <c r="B14" s="22" t="s">
        <v>42</v>
      </c>
    </row>
    <row r="15">
      <c r="A15" s="22"/>
      <c r="B15" s="22" t="s">
        <v>43</v>
      </c>
    </row>
    <row r="16">
      <c r="A16" s="22"/>
      <c r="B16" s="22" t="s">
        <v>44</v>
      </c>
    </row>
    <row r="17">
      <c r="A17" s="22"/>
      <c r="B17" s="22" t="s">
        <v>45</v>
      </c>
    </row>
    <row r="18">
      <c r="A18" s="22"/>
      <c r="B18" s="22" t="s">
        <v>46</v>
      </c>
    </row>
    <row r="19">
      <c r="A19" s="22"/>
      <c r="B19" s="22" t="s">
        <v>47</v>
      </c>
    </row>
    <row r="20">
      <c r="A20" s="22"/>
      <c r="B20" s="22" t="s">
        <v>48</v>
      </c>
    </row>
    <row r="21">
      <c r="A21" s="22"/>
      <c r="B21" s="22" t="s">
        <v>49</v>
      </c>
    </row>
    <row r="22">
      <c r="A22" s="21"/>
      <c r="B22" s="21"/>
    </row>
    <row r="23">
      <c r="A23" s="22"/>
      <c r="B23" s="22" t="s">
        <v>50</v>
      </c>
    </row>
    <row r="24">
      <c r="A24" s="21"/>
      <c r="B24" s="21"/>
    </row>
    <row r="25">
      <c r="A25" s="22"/>
      <c r="B25" s="22" t="s">
        <v>51</v>
      </c>
    </row>
    <row r="26">
      <c r="A26" s="21"/>
      <c r="B26" s="21"/>
    </row>
    <row r="27">
      <c r="A27" s="22"/>
      <c r="B27" s="22" t="s">
        <v>52</v>
      </c>
    </row>
    <row r="28">
      <c r="A28" s="21"/>
      <c r="B28" s="21"/>
    </row>
    <row r="29">
      <c r="A29" s="22"/>
      <c r="B29" s="22" t="s">
        <v>53</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4.38"/>
    <col customWidth="1" min="2" max="2" width="41.75"/>
    <col customWidth="1" min="3" max="3" width="5.25"/>
    <col customWidth="1" min="8" max="8" width="8.38"/>
    <col customWidth="1" min="9" max="9" width="79.25"/>
  </cols>
  <sheetData>
    <row r="1">
      <c r="C1" s="23"/>
      <c r="F1" s="23"/>
    </row>
    <row r="2">
      <c r="B2" s="1" t="s">
        <v>54</v>
      </c>
      <c r="C2" s="23"/>
      <c r="F2" s="23"/>
    </row>
    <row r="3">
      <c r="B3" s="24" t="s">
        <v>55</v>
      </c>
      <c r="C3" s="23"/>
      <c r="F3" s="23"/>
    </row>
    <row r="4">
      <c r="B4" s="25"/>
      <c r="F4" s="23"/>
    </row>
    <row r="5">
      <c r="B5" s="25" t="s">
        <v>56</v>
      </c>
      <c r="F5" s="23"/>
    </row>
    <row r="6">
      <c r="B6" s="24" t="s">
        <v>57</v>
      </c>
      <c r="C6" s="26"/>
      <c r="D6" s="27"/>
      <c r="E6" s="27"/>
      <c r="F6" s="23"/>
    </row>
    <row r="7">
      <c r="B7" s="18"/>
      <c r="C7" s="26"/>
      <c r="D7" s="27"/>
      <c r="E7" s="27"/>
      <c r="F7" s="23"/>
    </row>
    <row r="8">
      <c r="B8" s="28" t="s">
        <v>58</v>
      </c>
      <c r="C8" s="29" t="s">
        <v>59</v>
      </c>
      <c r="D8" s="30" t="s">
        <v>60</v>
      </c>
      <c r="E8" s="30" t="s">
        <v>21</v>
      </c>
      <c r="F8" s="29" t="s">
        <v>61</v>
      </c>
      <c r="I8" s="31" t="s">
        <v>62</v>
      </c>
    </row>
    <row r="9">
      <c r="B9" s="18" t="s">
        <v>63</v>
      </c>
      <c r="C9" s="32" t="s">
        <v>64</v>
      </c>
      <c r="D9" s="33">
        <v>2.5E7</v>
      </c>
      <c r="E9" s="34">
        <f>D9</f>
        <v>25000000</v>
      </c>
      <c r="F9" s="23"/>
      <c r="I9" s="18" t="s">
        <v>65</v>
      </c>
    </row>
    <row r="10">
      <c r="B10" s="18" t="s">
        <v>66</v>
      </c>
      <c r="C10" s="26" t="s">
        <v>67</v>
      </c>
      <c r="D10" s="35">
        <v>0.02</v>
      </c>
      <c r="E10" s="34">
        <f>D10*E$9</f>
        <v>500000</v>
      </c>
      <c r="F10" s="36" t="b">
        <v>1</v>
      </c>
      <c r="I10" s="18" t="s">
        <v>68</v>
      </c>
    </row>
    <row r="11">
      <c r="B11" s="18" t="s">
        <v>69</v>
      </c>
      <c r="C11" s="37" t="str">
        <f t="shared" ref="C11:C12" si="1">C$9</f>
        <v>$</v>
      </c>
      <c r="D11" s="33">
        <v>150000.0</v>
      </c>
      <c r="E11" s="34">
        <f>D11</f>
        <v>150000</v>
      </c>
      <c r="F11" s="23"/>
      <c r="I11" s="18" t="s">
        <v>70</v>
      </c>
    </row>
    <row r="12">
      <c r="B12" s="18" t="s">
        <v>71</v>
      </c>
      <c r="C12" s="37" t="str">
        <f t="shared" si="1"/>
        <v>$</v>
      </c>
      <c r="D12" s="33">
        <v>100000.0</v>
      </c>
      <c r="E12" s="34">
        <f>D12*D28</f>
        <v>1200000</v>
      </c>
      <c r="F12" s="23"/>
      <c r="G12" s="18"/>
      <c r="H12" s="18"/>
      <c r="I12" s="18" t="s">
        <v>72</v>
      </c>
    </row>
    <row r="13">
      <c r="B13" s="18" t="s">
        <v>73</v>
      </c>
      <c r="C13" s="26" t="s">
        <v>67</v>
      </c>
      <c r="D13" s="35">
        <v>0.02</v>
      </c>
      <c r="E13" s="34">
        <f>D13*D27*D9*if(F10=true,(1-D10),1)</f>
        <v>4900000</v>
      </c>
      <c r="F13" s="23"/>
      <c r="G13" s="18"/>
      <c r="H13" s="18"/>
      <c r="I13" s="18" t="s">
        <v>74</v>
      </c>
    </row>
    <row r="14">
      <c r="B14" s="18" t="s">
        <v>75</v>
      </c>
      <c r="C14" s="26" t="s">
        <v>67</v>
      </c>
      <c r="D14" s="35">
        <v>1.0</v>
      </c>
      <c r="E14" s="34">
        <f>D14*E13</f>
        <v>4900000</v>
      </c>
      <c r="F14" s="23"/>
      <c r="G14" s="18"/>
      <c r="H14" s="18"/>
      <c r="I14" s="18" t="s">
        <v>76</v>
      </c>
    </row>
    <row r="15">
      <c r="B15" s="18" t="s">
        <v>77</v>
      </c>
      <c r="C15" s="26" t="s">
        <v>67</v>
      </c>
      <c r="D15" s="35">
        <v>0.2</v>
      </c>
      <c r="E15" s="34">
        <f>D49</f>
        <v>12940000</v>
      </c>
      <c r="F15" s="23"/>
      <c r="I15" s="18" t="s">
        <v>78</v>
      </c>
    </row>
    <row r="16">
      <c r="B16" s="34"/>
      <c r="C16" s="34"/>
      <c r="D16" s="34"/>
      <c r="E16" s="34"/>
      <c r="F16" s="23"/>
      <c r="G16" s="18"/>
      <c r="H16" s="18"/>
      <c r="I16" s="18"/>
    </row>
    <row r="17">
      <c r="B17" s="34"/>
      <c r="C17" s="34"/>
      <c r="D17" s="34"/>
      <c r="E17" s="34"/>
      <c r="F17" s="23"/>
      <c r="G17" s="18"/>
      <c r="H17" s="18"/>
      <c r="I17" s="18"/>
    </row>
    <row r="18">
      <c r="B18" s="25" t="s">
        <v>79</v>
      </c>
      <c r="C18" s="34"/>
      <c r="D18" s="34"/>
      <c r="E18" s="34"/>
      <c r="F18" s="23"/>
      <c r="G18" s="18"/>
      <c r="H18" s="18"/>
    </row>
    <row r="19">
      <c r="B19" s="24" t="s">
        <v>80</v>
      </c>
      <c r="C19" s="34"/>
      <c r="D19" s="38"/>
      <c r="E19" s="38"/>
      <c r="F19" s="23"/>
      <c r="G19" s="18"/>
      <c r="H19" s="18"/>
      <c r="I19" s="18"/>
    </row>
    <row r="20">
      <c r="B20" s="18"/>
      <c r="C20" s="26"/>
      <c r="D20" s="38"/>
      <c r="E20" s="38"/>
      <c r="F20" s="23"/>
      <c r="G20" s="18"/>
      <c r="H20" s="18"/>
      <c r="I20" s="18"/>
    </row>
    <row r="21">
      <c r="B21" s="28" t="s">
        <v>58</v>
      </c>
      <c r="C21" s="29" t="s">
        <v>59</v>
      </c>
      <c r="D21" s="39" t="s">
        <v>81</v>
      </c>
      <c r="E21" s="39" t="s">
        <v>82</v>
      </c>
      <c r="F21" s="23"/>
      <c r="G21" s="18"/>
      <c r="H21" s="18"/>
      <c r="I21" s="18"/>
    </row>
    <row r="22">
      <c r="B22" s="18" t="s">
        <v>83</v>
      </c>
      <c r="C22" s="26" t="s">
        <v>67</v>
      </c>
      <c r="D22" s="40">
        <v>1.0</v>
      </c>
      <c r="E22" s="41">
        <f>1-D22</f>
        <v>0</v>
      </c>
      <c r="F22" s="23"/>
      <c r="G22" s="18"/>
      <c r="H22" s="18"/>
      <c r="I22" s="18" t="s">
        <v>84</v>
      </c>
    </row>
    <row r="23">
      <c r="B23" s="18" t="s">
        <v>85</v>
      </c>
      <c r="C23" s="37" t="str">
        <f>C$9</f>
        <v>$</v>
      </c>
      <c r="D23" s="33">
        <v>650000.0</v>
      </c>
      <c r="E23" s="33">
        <v>0.0</v>
      </c>
      <c r="F23" s="23"/>
      <c r="G23" s="18"/>
      <c r="H23" s="18"/>
      <c r="I23" s="18"/>
    </row>
    <row r="24">
      <c r="B24" s="18" t="s">
        <v>86</v>
      </c>
      <c r="C24" s="26" t="s">
        <v>87</v>
      </c>
      <c r="D24" s="42">
        <f>D22*$D47/D23</f>
        <v>36.38461538</v>
      </c>
      <c r="E24" s="42">
        <f>iferror(E22*$D47/E23,0)</f>
        <v>0</v>
      </c>
      <c r="F24" s="23"/>
      <c r="G24" s="18"/>
      <c r="H24" s="18"/>
      <c r="I24" s="18" t="s">
        <v>88</v>
      </c>
    </row>
    <row r="25">
      <c r="B25" s="18" t="s">
        <v>89</v>
      </c>
      <c r="C25" s="26" t="s">
        <v>87</v>
      </c>
      <c r="D25" s="33">
        <v>8.0</v>
      </c>
      <c r="F25" s="23"/>
    </row>
    <row r="26">
      <c r="B26" s="18" t="s">
        <v>90</v>
      </c>
      <c r="C26" s="26" t="s">
        <v>87</v>
      </c>
      <c r="D26" s="33">
        <v>4.0</v>
      </c>
      <c r="F26" s="23"/>
      <c r="I26" s="43" t="s">
        <v>91</v>
      </c>
    </row>
    <row r="27">
      <c r="B27" s="43" t="s">
        <v>92</v>
      </c>
      <c r="C27" s="26" t="s">
        <v>87</v>
      </c>
      <c r="D27" s="33">
        <v>10.0</v>
      </c>
      <c r="E27" s="34"/>
      <c r="F27" s="23"/>
      <c r="G27" s="34"/>
      <c r="H27" s="34"/>
      <c r="I27" s="44" t="s">
        <v>93</v>
      </c>
    </row>
    <row r="28">
      <c r="B28" s="43" t="s">
        <v>94</v>
      </c>
      <c r="C28" s="26" t="s">
        <v>87</v>
      </c>
      <c r="D28" s="33">
        <f>D26+D25</f>
        <v>12</v>
      </c>
      <c r="F28" s="23"/>
      <c r="I28" s="44" t="s">
        <v>95</v>
      </c>
    </row>
    <row r="29">
      <c r="B29" s="25"/>
      <c r="C29" s="26"/>
      <c r="F29" s="23"/>
    </row>
    <row r="30">
      <c r="B30" s="18"/>
      <c r="C30" s="26"/>
      <c r="F30" s="23"/>
    </row>
    <row r="31">
      <c r="B31" s="25" t="s">
        <v>96</v>
      </c>
      <c r="C31" s="26"/>
      <c r="F31" s="23"/>
    </row>
    <row r="32">
      <c r="B32" s="24" t="s">
        <v>97</v>
      </c>
      <c r="C32" s="26"/>
      <c r="D32" s="18"/>
      <c r="E32" s="18"/>
      <c r="F32" s="26"/>
      <c r="G32" s="18"/>
    </row>
    <row r="33">
      <c r="B33" s="18"/>
      <c r="C33" s="26"/>
      <c r="D33" s="18"/>
      <c r="E33" s="18"/>
      <c r="F33" s="26"/>
      <c r="G33" s="18"/>
    </row>
    <row r="34">
      <c r="B34" s="28" t="s">
        <v>98</v>
      </c>
      <c r="C34" s="29" t="s">
        <v>59</v>
      </c>
      <c r="D34" s="28" t="s">
        <v>99</v>
      </c>
      <c r="E34" s="28" t="s">
        <v>100</v>
      </c>
      <c r="F34" s="29" t="s">
        <v>101</v>
      </c>
      <c r="G34" s="28" t="s">
        <v>102</v>
      </c>
    </row>
    <row r="35">
      <c r="B35" s="45" t="s">
        <v>103</v>
      </c>
      <c r="C35" s="26" t="s">
        <v>104</v>
      </c>
      <c r="D35" s="46">
        <v>0.6</v>
      </c>
      <c r="E35" s="42">
        <f t="shared" ref="E35:E38" si="2">D35*E$39</f>
        <v>21.83076923</v>
      </c>
      <c r="F35" s="47">
        <v>0.0</v>
      </c>
      <c r="G35" s="41">
        <f t="shared" ref="G35:G38" si="3">F35*D35*D$47/D$48</f>
        <v>0</v>
      </c>
      <c r="I35" s="18" t="s">
        <v>105</v>
      </c>
    </row>
    <row r="36">
      <c r="B36" s="45" t="s">
        <v>106</v>
      </c>
      <c r="C36" s="26" t="s">
        <v>104</v>
      </c>
      <c r="D36" s="48">
        <v>0.2</v>
      </c>
      <c r="E36" s="42">
        <f t="shared" si="2"/>
        <v>7.276923077</v>
      </c>
      <c r="F36" s="49">
        <v>1.5</v>
      </c>
      <c r="G36" s="41">
        <f t="shared" si="3"/>
        <v>0.075</v>
      </c>
    </row>
    <row r="37">
      <c r="B37" s="45" t="s">
        <v>107</v>
      </c>
      <c r="C37" s="26" t="s">
        <v>104</v>
      </c>
      <c r="D37" s="48">
        <v>0.1</v>
      </c>
      <c r="E37" s="42">
        <f t="shared" si="2"/>
        <v>3.638461538</v>
      </c>
      <c r="F37" s="49">
        <v>5.0</v>
      </c>
      <c r="G37" s="41">
        <f t="shared" si="3"/>
        <v>0.125</v>
      </c>
    </row>
    <row r="38">
      <c r="B38" s="45" t="s">
        <v>108</v>
      </c>
      <c r="C38" s="26" t="s">
        <v>104</v>
      </c>
      <c r="D38" s="41">
        <f>max(0,1-sum(D35:D37))</f>
        <v>0.1</v>
      </c>
      <c r="E38" s="42">
        <f t="shared" si="2"/>
        <v>3.638461538</v>
      </c>
      <c r="F38" s="50">
        <v>32.0</v>
      </c>
      <c r="G38" s="41">
        <f t="shared" si="3"/>
        <v>0.8</v>
      </c>
    </row>
    <row r="39">
      <c r="B39" s="18"/>
      <c r="C39" s="26"/>
      <c r="D39" s="51">
        <f>sum(D35:D38)</f>
        <v>1</v>
      </c>
      <c r="E39" s="52">
        <f>D24</f>
        <v>36.38461538</v>
      </c>
      <c r="F39" s="53">
        <f>sumproduct(F35:F38,D35:D38)</f>
        <v>4</v>
      </c>
      <c r="G39" s="54">
        <f>sum(G35:G38)</f>
        <v>1</v>
      </c>
      <c r="H39" s="18"/>
    </row>
    <row r="40">
      <c r="B40" s="25"/>
      <c r="C40" s="26"/>
      <c r="F40" s="23"/>
    </row>
    <row r="41">
      <c r="B41" s="25" t="s">
        <v>109</v>
      </c>
      <c r="C41" s="26"/>
      <c r="F41" s="23"/>
    </row>
    <row r="42">
      <c r="B42" s="24" t="s">
        <v>110</v>
      </c>
      <c r="C42" s="26"/>
      <c r="D42" s="55"/>
      <c r="F42" s="23"/>
    </row>
    <row r="43">
      <c r="B43" s="18"/>
      <c r="C43" s="26"/>
      <c r="D43" s="55"/>
      <c r="F43" s="23"/>
    </row>
    <row r="44">
      <c r="B44" s="18" t="s">
        <v>111</v>
      </c>
      <c r="C44" s="37" t="str">
        <f t="shared" ref="C44:C50" si="4">C$9</f>
        <v>$</v>
      </c>
      <c r="D44" s="55">
        <f>E9</f>
        <v>25000000</v>
      </c>
      <c r="F44" s="23"/>
    </row>
    <row r="45">
      <c r="B45" s="18" t="s">
        <v>112</v>
      </c>
      <c r="C45" s="37" t="str">
        <f t="shared" si="4"/>
        <v>$</v>
      </c>
      <c r="D45" s="55">
        <f>E11+E12+E13</f>
        <v>6250000</v>
      </c>
      <c r="F45" s="23"/>
    </row>
    <row r="46">
      <c r="B46" s="18" t="s">
        <v>113</v>
      </c>
      <c r="C46" s="37" t="str">
        <f t="shared" si="4"/>
        <v>$</v>
      </c>
      <c r="D46" s="55">
        <f>E14</f>
        <v>4900000</v>
      </c>
      <c r="F46" s="23"/>
    </row>
    <row r="47">
      <c r="B47" s="18" t="s">
        <v>114</v>
      </c>
      <c r="C47" s="37" t="str">
        <f t="shared" si="4"/>
        <v>$</v>
      </c>
      <c r="D47" s="55">
        <f>E9-E11-E12-E13+E14</f>
        <v>23650000</v>
      </c>
      <c r="F47" s="23"/>
    </row>
    <row r="48">
      <c r="B48" s="18" t="s">
        <v>115</v>
      </c>
      <c r="C48" s="37" t="str">
        <f t="shared" si="4"/>
        <v>$</v>
      </c>
      <c r="D48" s="55">
        <f>F39*D47</f>
        <v>94600000</v>
      </c>
      <c r="F48" s="23"/>
    </row>
    <row r="49">
      <c r="B49" s="18" t="s">
        <v>116</v>
      </c>
      <c r="C49" s="37" t="str">
        <f t="shared" si="4"/>
        <v>$</v>
      </c>
      <c r="D49" s="55">
        <f>max(0,(D48-D44-D46)*D15)</f>
        <v>12940000</v>
      </c>
      <c r="F49" s="23"/>
      <c r="I49" s="18" t="s">
        <v>117</v>
      </c>
    </row>
    <row r="50">
      <c r="B50" s="18" t="s">
        <v>118</v>
      </c>
      <c r="C50" s="37" t="str">
        <f t="shared" si="4"/>
        <v>$</v>
      </c>
      <c r="D50" s="55">
        <f>D48-D49</f>
        <v>81660000</v>
      </c>
      <c r="F50" s="23"/>
      <c r="I50" s="18" t="s">
        <v>119</v>
      </c>
    </row>
    <row r="51">
      <c r="B51" s="18"/>
      <c r="C51" s="26"/>
      <c r="F51" s="23"/>
    </row>
    <row r="52">
      <c r="B52" s="18" t="s">
        <v>120</v>
      </c>
      <c r="C52" s="26" t="s">
        <v>87</v>
      </c>
      <c r="D52" s="56">
        <f>iferror(D48/D47,0)</f>
        <v>4</v>
      </c>
      <c r="F52" s="23"/>
      <c r="G52" s="18"/>
      <c r="H52" s="18"/>
      <c r="I52" s="18" t="s">
        <v>121</v>
      </c>
    </row>
    <row r="53">
      <c r="B53" s="18" t="s">
        <v>122</v>
      </c>
      <c r="C53" s="26" t="s">
        <v>87</v>
      </c>
      <c r="D53" s="56">
        <f>iferror(D50/D44,0)</f>
        <v>3.2664</v>
      </c>
      <c r="F53" s="23"/>
      <c r="G53" s="18"/>
      <c r="H53" s="18"/>
      <c r="I53" s="18" t="s">
        <v>123</v>
      </c>
    </row>
    <row r="54">
      <c r="B54" s="18" t="s">
        <v>124</v>
      </c>
      <c r="C54" s="26" t="s">
        <v>67</v>
      </c>
      <c r="D54" s="57">
        <f t="shared" ref="D54:D55" si="5">D52^(1/D$25)-1</f>
        <v>0.189207115</v>
      </c>
      <c r="F54" s="23"/>
      <c r="G54" s="18"/>
      <c r="H54" s="18"/>
      <c r="I54" s="18" t="s">
        <v>125</v>
      </c>
    </row>
    <row r="55">
      <c r="B55" s="18" t="s">
        <v>126</v>
      </c>
      <c r="C55" s="26" t="s">
        <v>67</v>
      </c>
      <c r="D55" s="57">
        <f t="shared" si="5"/>
        <v>0.1594677431</v>
      </c>
      <c r="F55" s="23"/>
      <c r="G55" s="18"/>
      <c r="H55" s="18"/>
      <c r="I55" s="18" t="s">
        <v>125</v>
      </c>
    </row>
    <row r="56">
      <c r="B56" s="18"/>
      <c r="C56" s="26"/>
      <c r="F56" s="23"/>
    </row>
    <row r="57">
      <c r="B57" s="18" t="s">
        <v>127</v>
      </c>
      <c r="C57" s="26" t="s">
        <v>87</v>
      </c>
      <c r="D57" s="56">
        <f>iferror(D44/E9,0)</f>
        <v>1</v>
      </c>
      <c r="F57" s="23"/>
      <c r="H57" s="18"/>
      <c r="I57" s="18" t="s">
        <v>128</v>
      </c>
    </row>
    <row r="58">
      <c r="B58" s="18" t="s">
        <v>129</v>
      </c>
      <c r="C58" s="26" t="s">
        <v>87</v>
      </c>
      <c r="D58" s="58">
        <f>D60</f>
        <v>3.2664</v>
      </c>
      <c r="F58" s="23"/>
      <c r="H58" s="18"/>
      <c r="I58" s="18" t="s">
        <v>130</v>
      </c>
    </row>
    <row r="59">
      <c r="B59" s="18" t="s">
        <v>131</v>
      </c>
      <c r="C59" s="26" t="s">
        <v>87</v>
      </c>
      <c r="D59" s="58">
        <v>0.0</v>
      </c>
      <c r="F59" s="23"/>
      <c r="H59" s="18"/>
      <c r="I59" s="18" t="s">
        <v>132</v>
      </c>
    </row>
    <row r="60">
      <c r="B60" s="18" t="s">
        <v>133</v>
      </c>
      <c r="C60" s="26" t="s">
        <v>87</v>
      </c>
      <c r="D60" s="56">
        <f>D53</f>
        <v>3.2664</v>
      </c>
      <c r="F60" s="23"/>
      <c r="H60" s="18"/>
      <c r="I60" s="18" t="s">
        <v>134</v>
      </c>
    </row>
    <row r="61">
      <c r="B61" s="18"/>
      <c r="C61" s="26"/>
      <c r="F61" s="23"/>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4.5"/>
    <col customWidth="1" min="2" max="2" width="37.75"/>
    <col customWidth="1" min="3" max="3" width="43.38"/>
    <col customWidth="1" min="4" max="4" width="70.13"/>
  </cols>
  <sheetData>
    <row r="1">
      <c r="A1" s="59"/>
      <c r="B1" s="59"/>
      <c r="C1" s="59"/>
      <c r="D1" s="59"/>
      <c r="E1" s="59"/>
      <c r="F1" s="59"/>
    </row>
    <row r="2">
      <c r="A2" s="59"/>
      <c r="B2" s="60" t="s">
        <v>135</v>
      </c>
      <c r="C2" s="59"/>
      <c r="D2" s="59"/>
      <c r="E2" s="59"/>
      <c r="F2" s="59"/>
    </row>
    <row r="3">
      <c r="A3" s="59"/>
      <c r="B3" s="61" t="s">
        <v>136</v>
      </c>
      <c r="C3" s="62"/>
      <c r="D3" s="43"/>
      <c r="E3" s="59"/>
      <c r="F3" s="59"/>
    </row>
    <row r="4">
      <c r="A4" s="59"/>
      <c r="B4" s="43"/>
      <c r="C4" s="43"/>
      <c r="D4" s="43"/>
      <c r="E4" s="59"/>
      <c r="F4" s="59"/>
    </row>
    <row r="5">
      <c r="A5" s="59"/>
      <c r="B5" s="63" t="s">
        <v>137</v>
      </c>
      <c r="C5" s="63" t="s">
        <v>138</v>
      </c>
      <c r="D5" s="63" t="s">
        <v>139</v>
      </c>
      <c r="E5" s="59"/>
      <c r="F5" s="59"/>
    </row>
    <row r="6">
      <c r="A6" s="59"/>
      <c r="B6" s="43"/>
      <c r="C6" s="43"/>
      <c r="D6" s="43"/>
      <c r="E6" s="59"/>
      <c r="F6" s="59"/>
    </row>
    <row r="7">
      <c r="A7" s="59"/>
      <c r="B7" s="64" t="s">
        <v>140</v>
      </c>
      <c r="C7" s="64" t="s">
        <v>141</v>
      </c>
      <c r="D7" s="65" t="s">
        <v>142</v>
      </c>
      <c r="E7" s="59"/>
      <c r="F7" s="59"/>
    </row>
    <row r="8">
      <c r="A8" s="59"/>
      <c r="B8" s="66" t="s">
        <v>143</v>
      </c>
      <c r="C8" s="66" t="s">
        <v>144</v>
      </c>
      <c r="D8" s="67" t="s">
        <v>145</v>
      </c>
      <c r="E8" s="59"/>
      <c r="F8" s="59"/>
    </row>
    <row r="9">
      <c r="A9" s="59"/>
      <c r="B9" s="64" t="s">
        <v>146</v>
      </c>
      <c r="C9" s="64" t="s">
        <v>147</v>
      </c>
      <c r="D9" s="65" t="s">
        <v>148</v>
      </c>
      <c r="E9" s="59"/>
      <c r="F9" s="59"/>
    </row>
    <row r="10">
      <c r="A10" s="59"/>
      <c r="B10" s="66" t="s">
        <v>149</v>
      </c>
      <c r="C10" s="66" t="s">
        <v>150</v>
      </c>
      <c r="D10" s="67" t="s">
        <v>151</v>
      </c>
      <c r="E10" s="59"/>
      <c r="F10" s="59"/>
    </row>
    <row r="11">
      <c r="A11" s="43"/>
      <c r="B11" s="64" t="s">
        <v>152</v>
      </c>
      <c r="C11" s="64" t="s">
        <v>153</v>
      </c>
      <c r="D11" s="65" t="s">
        <v>154</v>
      </c>
      <c r="E11" s="59"/>
      <c r="F11" s="59"/>
    </row>
    <row r="12">
      <c r="A12" s="68"/>
      <c r="B12" s="66" t="s">
        <v>155</v>
      </c>
      <c r="C12" s="66" t="s">
        <v>156</v>
      </c>
      <c r="D12" s="67" t="s">
        <v>157</v>
      </c>
      <c r="E12" s="59"/>
      <c r="F12" s="59"/>
    </row>
    <row r="13">
      <c r="A13" s="69"/>
      <c r="B13" s="64" t="s">
        <v>158</v>
      </c>
      <c r="C13" s="64" t="s">
        <v>159</v>
      </c>
      <c r="D13" s="70" t="s">
        <v>160</v>
      </c>
      <c r="E13" s="59"/>
      <c r="F13" s="59"/>
    </row>
    <row r="14">
      <c r="A14" s="59"/>
      <c r="B14" s="66" t="s">
        <v>158</v>
      </c>
      <c r="C14" s="66" t="s">
        <v>161</v>
      </c>
      <c r="D14" s="71" t="s">
        <v>160</v>
      </c>
      <c r="E14" s="59"/>
      <c r="F14" s="59"/>
    </row>
    <row r="15">
      <c r="A15" s="43"/>
      <c r="B15" s="64" t="s">
        <v>162</v>
      </c>
      <c r="C15" s="64" t="s">
        <v>163</v>
      </c>
      <c r="D15" s="70" t="s">
        <v>160</v>
      </c>
      <c r="E15" s="59"/>
      <c r="F15" s="59"/>
    </row>
    <row r="16">
      <c r="A16" s="68"/>
      <c r="B16" s="66" t="s">
        <v>164</v>
      </c>
      <c r="C16" s="66" t="s">
        <v>165</v>
      </c>
      <c r="D16" s="71" t="s">
        <v>160</v>
      </c>
      <c r="E16" s="59"/>
      <c r="F16" s="59"/>
    </row>
    <row r="17">
      <c r="A17" s="69"/>
      <c r="B17" s="64" t="s">
        <v>166</v>
      </c>
      <c r="C17" s="64" t="s">
        <v>167</v>
      </c>
      <c r="D17" s="65" t="s">
        <v>168</v>
      </c>
      <c r="E17" s="59"/>
      <c r="F17" s="59"/>
    </row>
    <row r="18">
      <c r="A18" s="59"/>
      <c r="B18" s="66" t="s">
        <v>169</v>
      </c>
      <c r="C18" s="66" t="s">
        <v>170</v>
      </c>
      <c r="D18" s="71" t="s">
        <v>160</v>
      </c>
      <c r="E18" s="59"/>
      <c r="F18" s="59"/>
    </row>
    <row r="19">
      <c r="A19" s="59"/>
      <c r="B19" s="72" t="s">
        <v>171</v>
      </c>
      <c r="C19" s="64" t="s">
        <v>172</v>
      </c>
      <c r="D19" s="73" t="s">
        <v>173</v>
      </c>
      <c r="E19" s="59"/>
      <c r="F19" s="59"/>
    </row>
    <row r="20">
      <c r="A20" s="59"/>
      <c r="B20" s="66" t="s">
        <v>174</v>
      </c>
      <c r="C20" s="66" t="s">
        <v>175</v>
      </c>
      <c r="D20" s="71" t="s">
        <v>176</v>
      </c>
      <c r="E20" s="59"/>
      <c r="F20" s="59"/>
    </row>
    <row r="21">
      <c r="A21" s="59"/>
      <c r="B21" s="64" t="s">
        <v>177</v>
      </c>
      <c r="C21" s="64" t="s">
        <v>178</v>
      </c>
      <c r="D21" s="65" t="s">
        <v>179</v>
      </c>
      <c r="E21" s="59"/>
      <c r="F21" s="59"/>
    </row>
    <row r="22">
      <c r="A22" s="59"/>
      <c r="B22" s="66" t="s">
        <v>180</v>
      </c>
      <c r="C22" s="66" t="s">
        <v>181</v>
      </c>
      <c r="D22" s="67" t="s">
        <v>182</v>
      </c>
      <c r="E22" s="59"/>
      <c r="F22" s="59"/>
    </row>
    <row r="23">
      <c r="A23" s="59"/>
      <c r="B23" s="64" t="s">
        <v>183</v>
      </c>
      <c r="C23" s="64" t="s">
        <v>184</v>
      </c>
      <c r="D23" s="65" t="s">
        <v>185</v>
      </c>
      <c r="E23" s="59"/>
      <c r="F23" s="59"/>
    </row>
    <row r="24">
      <c r="A24" s="59"/>
      <c r="B24" s="66" t="s">
        <v>186</v>
      </c>
      <c r="C24" s="66" t="s">
        <v>187</v>
      </c>
      <c r="D24" s="67" t="s">
        <v>188</v>
      </c>
      <c r="E24" s="59"/>
      <c r="F24" s="59"/>
    </row>
    <row r="25">
      <c r="A25" s="59"/>
      <c r="B25" s="72" t="s">
        <v>189</v>
      </c>
      <c r="C25" s="72" t="s">
        <v>190</v>
      </c>
      <c r="D25" s="74" t="s">
        <v>191</v>
      </c>
      <c r="E25" s="59"/>
      <c r="F25" s="59"/>
    </row>
    <row r="26">
      <c r="A26" s="59"/>
      <c r="B26" s="75" t="s">
        <v>192</v>
      </c>
      <c r="C26" s="75" t="s">
        <v>193</v>
      </c>
      <c r="D26" s="76" t="s">
        <v>194</v>
      </c>
      <c r="E26" s="59"/>
      <c r="F26" s="59"/>
    </row>
    <row r="27">
      <c r="A27" s="59"/>
      <c r="B27" s="59"/>
      <c r="C27" s="59"/>
      <c r="D27" s="59"/>
      <c r="E27" s="59"/>
      <c r="F27" s="59"/>
    </row>
  </sheetData>
  <hyperlinks>
    <hyperlink r:id="rId1" ref="D7"/>
    <hyperlink r:id="rId2" ref="D8"/>
    <hyperlink r:id="rId3" ref="D9"/>
    <hyperlink r:id="rId4" ref="D10"/>
    <hyperlink r:id="rId5" ref="D11"/>
    <hyperlink r:id="rId6" ref="D12"/>
    <hyperlink r:id="rId7" ref="D13"/>
    <hyperlink r:id="rId8" ref="D14"/>
    <hyperlink r:id="rId9" ref="D15"/>
    <hyperlink r:id="rId10" ref="D16"/>
    <hyperlink r:id="rId11" ref="D17"/>
    <hyperlink r:id="rId12" ref="D18"/>
    <hyperlink r:id="rId13" ref="D20"/>
    <hyperlink r:id="rId14" ref="D21"/>
    <hyperlink r:id="rId15" ref="D22"/>
    <hyperlink r:id="rId16" ref="D23"/>
    <hyperlink r:id="rId17" ref="D24"/>
    <hyperlink r:id="rId18" ref="D25"/>
    <hyperlink r:id="rId19" ref="D26"/>
  </hyperlinks>
  <drawing r:id="rId20"/>
  <tableParts count="1">
    <tablePart r:id="rId22"/>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5.25"/>
    <col customWidth="1" min="2" max="2" width="28.63"/>
    <col customWidth="1" min="3" max="3" width="21.13"/>
    <col customWidth="1" min="4" max="4" width="16.38"/>
    <col customWidth="1" min="5" max="5" width="11.38"/>
    <col customWidth="1" min="6" max="18" width="12.63"/>
  </cols>
  <sheetData>
    <row r="1">
      <c r="F1" s="23"/>
      <c r="G1" s="23"/>
      <c r="H1" s="23"/>
      <c r="I1" s="23"/>
      <c r="J1" s="23"/>
      <c r="K1" s="23"/>
      <c r="L1" s="23"/>
      <c r="M1" s="23"/>
      <c r="N1" s="23"/>
      <c r="O1" s="23"/>
      <c r="P1" s="23"/>
      <c r="Q1" s="23"/>
      <c r="R1" s="23"/>
    </row>
    <row r="2">
      <c r="B2" s="1" t="s">
        <v>195</v>
      </c>
      <c r="F2" s="23"/>
      <c r="G2" s="23"/>
      <c r="H2" s="23"/>
      <c r="I2" s="23"/>
      <c r="J2" s="23"/>
      <c r="K2" s="23"/>
      <c r="L2" s="23"/>
      <c r="M2" s="23"/>
      <c r="N2" s="23"/>
      <c r="O2" s="23"/>
      <c r="P2" s="23"/>
      <c r="Q2" s="23"/>
      <c r="R2" s="23"/>
    </row>
    <row r="3">
      <c r="B3" s="24" t="s">
        <v>196</v>
      </c>
      <c r="F3" s="23"/>
      <c r="G3" s="23"/>
      <c r="H3" s="23"/>
      <c r="I3" s="23"/>
      <c r="J3" s="23"/>
      <c r="K3" s="23"/>
      <c r="L3" s="23"/>
      <c r="M3" s="23"/>
      <c r="N3" s="23"/>
      <c r="O3" s="23"/>
      <c r="P3" s="23"/>
      <c r="Q3" s="23"/>
      <c r="R3" s="23"/>
    </row>
    <row r="4">
      <c r="F4" s="23"/>
      <c r="G4" s="23"/>
      <c r="H4" s="23"/>
      <c r="I4" s="23"/>
      <c r="J4" s="23"/>
      <c r="K4" s="23"/>
      <c r="L4" s="23"/>
      <c r="M4" s="23"/>
      <c r="N4" s="23"/>
      <c r="O4" s="23"/>
      <c r="P4" s="23"/>
      <c r="Q4" s="23"/>
      <c r="R4" s="23"/>
    </row>
    <row r="5">
      <c r="A5" s="77"/>
      <c r="B5" s="78" t="s">
        <v>197</v>
      </c>
      <c r="C5" s="78" t="s">
        <v>139</v>
      </c>
      <c r="D5" s="78" t="s">
        <v>198</v>
      </c>
      <c r="E5" s="78" t="s">
        <v>199</v>
      </c>
      <c r="F5" s="79" t="s">
        <v>200</v>
      </c>
      <c r="G5" s="79" t="s">
        <v>201</v>
      </c>
      <c r="H5" s="79" t="s">
        <v>202</v>
      </c>
      <c r="I5" s="79" t="s">
        <v>203</v>
      </c>
      <c r="J5" s="79" t="s">
        <v>79</v>
      </c>
      <c r="K5" s="79" t="s">
        <v>204</v>
      </c>
      <c r="L5" s="79" t="s">
        <v>205</v>
      </c>
      <c r="M5" s="79" t="s">
        <v>206</v>
      </c>
      <c r="N5" s="79" t="s">
        <v>207</v>
      </c>
      <c r="O5" s="79" t="s">
        <v>208</v>
      </c>
      <c r="P5" s="79" t="s">
        <v>209</v>
      </c>
      <c r="Q5" s="79" t="s">
        <v>210</v>
      </c>
      <c r="R5" s="79" t="s">
        <v>211</v>
      </c>
      <c r="S5" s="77"/>
    </row>
    <row r="6">
      <c r="A6" s="10"/>
      <c r="B6" s="10"/>
      <c r="C6" s="80"/>
      <c r="D6" s="19"/>
      <c r="E6" s="19"/>
      <c r="F6" s="81"/>
      <c r="G6" s="82"/>
      <c r="H6" s="81"/>
      <c r="I6" s="81"/>
      <c r="J6" s="82"/>
      <c r="K6" s="82"/>
      <c r="L6" s="82"/>
      <c r="M6" s="82"/>
      <c r="N6" s="82"/>
      <c r="O6" s="82"/>
      <c r="P6" s="82"/>
      <c r="Q6" s="82"/>
      <c r="R6" s="82"/>
      <c r="S6" s="10"/>
    </row>
    <row r="7">
      <c r="A7" s="10"/>
      <c r="B7" s="83" t="s">
        <v>212</v>
      </c>
      <c r="C7" s="84" t="s">
        <v>213</v>
      </c>
      <c r="D7" s="85" t="s">
        <v>214</v>
      </c>
      <c r="E7" s="64" t="s">
        <v>215</v>
      </c>
      <c r="F7" s="86" t="b">
        <v>1</v>
      </c>
      <c r="G7" s="87" t="b">
        <v>0</v>
      </c>
      <c r="H7" s="86" t="b">
        <v>0</v>
      </c>
      <c r="I7" s="86" t="b">
        <v>1</v>
      </c>
      <c r="J7" s="87" t="b">
        <v>0</v>
      </c>
      <c r="K7" s="87" t="b">
        <v>0</v>
      </c>
      <c r="L7" s="87" t="b">
        <v>0</v>
      </c>
      <c r="M7" s="87" t="b">
        <v>0</v>
      </c>
      <c r="N7" s="87" t="b">
        <v>0</v>
      </c>
      <c r="O7" s="87" t="b">
        <v>0</v>
      </c>
      <c r="P7" s="87" t="b">
        <v>0</v>
      </c>
      <c r="Q7" s="87" t="b">
        <v>0</v>
      </c>
      <c r="R7" s="87" t="b">
        <v>0</v>
      </c>
      <c r="S7" s="10"/>
    </row>
    <row r="8">
      <c r="A8" s="10"/>
      <c r="B8" s="83" t="s">
        <v>162</v>
      </c>
      <c r="C8" s="88" t="s">
        <v>216</v>
      </c>
      <c r="D8" s="89" t="s">
        <v>214</v>
      </c>
      <c r="E8" s="90" t="s">
        <v>215</v>
      </c>
      <c r="F8" s="86" t="b">
        <v>1</v>
      </c>
      <c r="G8" s="86" t="b">
        <v>1</v>
      </c>
      <c r="H8" s="86" t="b">
        <v>0</v>
      </c>
      <c r="I8" s="86" t="b">
        <v>1</v>
      </c>
      <c r="J8" s="87" t="b">
        <v>0</v>
      </c>
      <c r="K8" s="86" t="b">
        <v>0</v>
      </c>
      <c r="L8" s="87" t="b">
        <v>0</v>
      </c>
      <c r="M8" s="87" t="b">
        <v>0</v>
      </c>
      <c r="N8" s="86" t="b">
        <v>0</v>
      </c>
      <c r="O8" s="87" t="b">
        <v>0</v>
      </c>
      <c r="P8" s="87" t="b">
        <v>0</v>
      </c>
      <c r="Q8" s="87" t="b">
        <v>0</v>
      </c>
      <c r="R8" s="87" t="b">
        <v>0</v>
      </c>
      <c r="S8" s="10"/>
    </row>
    <row r="9">
      <c r="A9" s="91"/>
      <c r="B9" s="83" t="s">
        <v>217</v>
      </c>
      <c r="C9" s="84" t="s">
        <v>218</v>
      </c>
      <c r="D9" s="64" t="s">
        <v>219</v>
      </c>
      <c r="E9" s="64" t="s">
        <v>215</v>
      </c>
      <c r="F9" s="68" t="b">
        <v>1</v>
      </c>
      <c r="G9" s="68" t="b">
        <v>1</v>
      </c>
      <c r="H9" s="68" t="b">
        <v>0</v>
      </c>
      <c r="I9" s="68" t="b">
        <v>1</v>
      </c>
      <c r="J9" s="69" t="b">
        <v>1</v>
      </c>
      <c r="K9" s="68" t="b">
        <v>0</v>
      </c>
      <c r="L9" s="68" t="b">
        <v>0</v>
      </c>
      <c r="M9" s="69" t="b">
        <v>0</v>
      </c>
      <c r="N9" s="69" t="b">
        <v>0</v>
      </c>
      <c r="O9" s="69" t="b">
        <v>0</v>
      </c>
      <c r="P9" s="69" t="b">
        <v>0</v>
      </c>
      <c r="Q9" s="69" t="b">
        <v>0</v>
      </c>
      <c r="R9" s="69" t="b">
        <v>0</v>
      </c>
      <c r="S9" s="91"/>
    </row>
    <row r="10">
      <c r="A10" s="91"/>
      <c r="B10" s="89" t="s">
        <v>220</v>
      </c>
      <c r="C10" s="92" t="s">
        <v>221</v>
      </c>
      <c r="D10" s="90" t="s">
        <v>219</v>
      </c>
      <c r="E10" s="93" t="s">
        <v>222</v>
      </c>
      <c r="F10" s="68" t="b">
        <v>1</v>
      </c>
      <c r="G10" s="68" t="b">
        <v>1</v>
      </c>
      <c r="H10" s="68" t="b">
        <v>0</v>
      </c>
      <c r="I10" s="68" t="b">
        <v>1</v>
      </c>
      <c r="J10" s="69" t="b">
        <v>1</v>
      </c>
      <c r="K10" s="68" t="b">
        <v>0</v>
      </c>
      <c r="L10" s="68" t="b">
        <v>0</v>
      </c>
      <c r="M10" s="69" t="b">
        <v>0</v>
      </c>
      <c r="N10" s="69" t="b">
        <v>0</v>
      </c>
      <c r="O10" s="69" t="b">
        <v>0</v>
      </c>
      <c r="P10" s="69" t="b">
        <v>0</v>
      </c>
      <c r="Q10" s="69" t="b">
        <v>0</v>
      </c>
      <c r="R10" s="94" t="b">
        <v>1</v>
      </c>
      <c r="S10" s="91"/>
    </row>
    <row r="11">
      <c r="A11" s="91"/>
      <c r="B11" s="89" t="s">
        <v>223</v>
      </c>
      <c r="C11" s="65" t="s">
        <v>168</v>
      </c>
      <c r="D11" s="64" t="s">
        <v>219</v>
      </c>
      <c r="E11" s="95" t="s">
        <v>224</v>
      </c>
      <c r="F11" s="68" t="b">
        <v>1</v>
      </c>
      <c r="G11" s="68" t="b">
        <v>1</v>
      </c>
      <c r="H11" s="94" t="b">
        <v>1</v>
      </c>
      <c r="I11" s="68" t="b">
        <v>1</v>
      </c>
      <c r="J11" s="68" t="b">
        <v>1</v>
      </c>
      <c r="K11" s="68" t="b">
        <v>1</v>
      </c>
      <c r="L11" s="94" t="b">
        <v>0</v>
      </c>
      <c r="M11" s="94" t="b">
        <v>0</v>
      </c>
      <c r="N11" s="68" t="b">
        <v>1</v>
      </c>
      <c r="O11" s="68" t="b">
        <v>1</v>
      </c>
      <c r="P11" s="69" t="b">
        <v>0</v>
      </c>
      <c r="Q11" s="68" t="b">
        <v>0</v>
      </c>
      <c r="R11" s="94" t="b">
        <v>1</v>
      </c>
      <c r="S11" s="91"/>
    </row>
    <row r="12">
      <c r="A12" s="91"/>
      <c r="B12" s="89" t="s">
        <v>169</v>
      </c>
      <c r="C12" s="96" t="s">
        <v>225</v>
      </c>
      <c r="D12" s="90" t="s">
        <v>219</v>
      </c>
      <c r="E12" s="97" t="s">
        <v>226</v>
      </c>
      <c r="F12" s="68" t="b">
        <v>1</v>
      </c>
      <c r="G12" s="68" t="b">
        <v>1</v>
      </c>
      <c r="H12" s="94" t="b">
        <v>1</v>
      </c>
      <c r="I12" s="68" t="b">
        <v>1</v>
      </c>
      <c r="J12" s="68" t="b">
        <v>1</v>
      </c>
      <c r="K12" s="68" t="b">
        <v>1</v>
      </c>
      <c r="L12" s="68" t="b">
        <v>1</v>
      </c>
      <c r="M12" s="68" t="b">
        <v>1</v>
      </c>
      <c r="N12" s="68" t="b">
        <v>1</v>
      </c>
      <c r="O12" s="68" t="b">
        <v>1</v>
      </c>
      <c r="P12" s="69" t="b">
        <v>0</v>
      </c>
      <c r="Q12" s="68" t="b">
        <v>0</v>
      </c>
      <c r="R12" s="94" t="b">
        <v>1</v>
      </c>
      <c r="S12" s="91"/>
    </row>
    <row r="13">
      <c r="A13" s="91"/>
      <c r="B13" s="89" t="s">
        <v>227</v>
      </c>
      <c r="C13" s="84" t="s">
        <v>228</v>
      </c>
      <c r="D13" s="64" t="s">
        <v>219</v>
      </c>
      <c r="E13" s="64" t="s">
        <v>215</v>
      </c>
      <c r="F13" s="68" t="b">
        <v>1</v>
      </c>
      <c r="G13" s="68" t="b">
        <v>0</v>
      </c>
      <c r="H13" s="69" t="b">
        <v>0</v>
      </c>
      <c r="I13" s="69" t="b">
        <v>1</v>
      </c>
      <c r="J13" s="69" t="b">
        <v>0</v>
      </c>
      <c r="K13" s="69" t="b">
        <v>0</v>
      </c>
      <c r="L13" s="69" t="b">
        <v>1</v>
      </c>
      <c r="M13" s="69" t="b">
        <v>0</v>
      </c>
      <c r="N13" s="69" t="b">
        <v>0</v>
      </c>
      <c r="O13" s="69" t="b">
        <v>0</v>
      </c>
      <c r="P13" s="68" t="b">
        <v>0</v>
      </c>
      <c r="Q13" s="94" t="b">
        <v>0</v>
      </c>
      <c r="R13" s="69" t="b">
        <v>0</v>
      </c>
      <c r="S13" s="91"/>
    </row>
    <row r="14">
      <c r="A14" s="10"/>
      <c r="B14" s="98" t="s">
        <v>177</v>
      </c>
      <c r="C14" s="92" t="s">
        <v>229</v>
      </c>
      <c r="D14" s="66" t="s">
        <v>219</v>
      </c>
      <c r="E14" s="66" t="s">
        <v>215</v>
      </c>
      <c r="F14" s="86" t="b">
        <v>1</v>
      </c>
      <c r="G14" s="86" t="b">
        <v>1</v>
      </c>
      <c r="H14" s="87" t="b">
        <v>0</v>
      </c>
      <c r="I14" s="87" t="b">
        <v>0</v>
      </c>
      <c r="J14" s="87" t="b">
        <v>0</v>
      </c>
      <c r="K14" s="87" t="b">
        <v>0</v>
      </c>
      <c r="L14" s="87" t="b">
        <v>0</v>
      </c>
      <c r="M14" s="87" t="b">
        <v>0</v>
      </c>
      <c r="N14" s="87" t="b">
        <v>0</v>
      </c>
      <c r="O14" s="87" t="b">
        <v>0</v>
      </c>
      <c r="P14" s="86" t="b">
        <v>1</v>
      </c>
      <c r="Q14" s="87" t="b">
        <v>0</v>
      </c>
      <c r="R14" s="87" t="b">
        <v>0</v>
      </c>
      <c r="S14" s="10"/>
    </row>
    <row r="15">
      <c r="A15" s="10"/>
      <c r="B15" s="98" t="s">
        <v>180</v>
      </c>
      <c r="C15" s="99" t="s">
        <v>182</v>
      </c>
      <c r="D15" s="6" t="s">
        <v>230</v>
      </c>
      <c r="E15" s="6" t="s">
        <v>215</v>
      </c>
      <c r="F15" s="87" t="b">
        <v>0</v>
      </c>
      <c r="G15" s="87" t="b">
        <v>0</v>
      </c>
      <c r="H15" s="87" t="b">
        <v>0</v>
      </c>
      <c r="I15" s="87" t="b">
        <v>0</v>
      </c>
      <c r="J15" s="87" t="b">
        <v>0</v>
      </c>
      <c r="K15" s="87" t="b">
        <v>0</v>
      </c>
      <c r="L15" s="87" t="b">
        <v>0</v>
      </c>
      <c r="M15" s="87" t="b">
        <v>0</v>
      </c>
      <c r="N15" s="87" t="b">
        <v>0</v>
      </c>
      <c r="O15" s="87" t="b">
        <v>0</v>
      </c>
      <c r="P15" s="87" t="b">
        <v>0</v>
      </c>
      <c r="Q15" s="86" t="b">
        <v>1</v>
      </c>
      <c r="R15" s="87" t="b">
        <v>0</v>
      </c>
      <c r="S15" s="10"/>
    </row>
    <row r="16">
      <c r="A16" s="10"/>
      <c r="B16" s="98" t="s">
        <v>183</v>
      </c>
      <c r="C16" s="99" t="s">
        <v>231</v>
      </c>
      <c r="D16" s="6" t="s">
        <v>230</v>
      </c>
      <c r="E16" s="6" t="s">
        <v>215</v>
      </c>
      <c r="F16" s="87" t="b">
        <v>0</v>
      </c>
      <c r="G16" s="87" t="b">
        <v>0</v>
      </c>
      <c r="H16" s="87" t="b">
        <v>0</v>
      </c>
      <c r="I16" s="87" t="b">
        <v>0</v>
      </c>
      <c r="J16" s="87" t="b">
        <v>0</v>
      </c>
      <c r="K16" s="87" t="b">
        <v>0</v>
      </c>
      <c r="L16" s="87" t="b">
        <v>0</v>
      </c>
      <c r="M16" s="87" t="b">
        <v>0</v>
      </c>
      <c r="N16" s="87" t="b">
        <v>0</v>
      </c>
      <c r="O16" s="87" t="b">
        <v>0</v>
      </c>
      <c r="P16" s="87" t="b">
        <v>0</v>
      </c>
      <c r="Q16" s="86" t="b">
        <v>1</v>
      </c>
      <c r="R16" s="87" t="b">
        <v>0</v>
      </c>
      <c r="S16" s="10"/>
    </row>
    <row r="17">
      <c r="A17" s="10"/>
      <c r="B17" s="6" t="s">
        <v>232</v>
      </c>
      <c r="C17" s="99" t="s">
        <v>233</v>
      </c>
      <c r="D17" s="6" t="s">
        <v>230</v>
      </c>
      <c r="E17" s="6" t="s">
        <v>215</v>
      </c>
      <c r="F17" s="86" t="b">
        <v>0</v>
      </c>
      <c r="G17" s="87" t="b">
        <v>0</v>
      </c>
      <c r="H17" s="87" t="b">
        <v>0</v>
      </c>
      <c r="I17" s="87" t="b">
        <v>0</v>
      </c>
      <c r="J17" s="87" t="b">
        <v>0</v>
      </c>
      <c r="K17" s="87" t="b">
        <v>0</v>
      </c>
      <c r="L17" s="87" t="b">
        <v>0</v>
      </c>
      <c r="M17" s="87" t="b">
        <v>0</v>
      </c>
      <c r="N17" s="87" t="b">
        <v>0</v>
      </c>
      <c r="O17" s="87" t="b">
        <v>0</v>
      </c>
      <c r="P17" s="87" t="b">
        <v>0</v>
      </c>
      <c r="Q17" s="87" t="b">
        <v>0</v>
      </c>
      <c r="R17" s="86" t="b">
        <v>1</v>
      </c>
      <c r="S17" s="10"/>
    </row>
    <row r="18">
      <c r="A18" s="59"/>
      <c r="B18" s="83" t="s">
        <v>234</v>
      </c>
      <c r="C18" s="100" t="s">
        <v>173</v>
      </c>
      <c r="D18" s="83" t="s">
        <v>235</v>
      </c>
      <c r="E18" s="83" t="s">
        <v>236</v>
      </c>
      <c r="F18" s="86" t="b">
        <v>0</v>
      </c>
      <c r="G18" s="87" t="b">
        <v>0</v>
      </c>
      <c r="H18" s="87" t="b">
        <v>0</v>
      </c>
      <c r="I18" s="87" t="b">
        <v>0</v>
      </c>
      <c r="J18" s="87" t="b">
        <v>0</v>
      </c>
      <c r="K18" s="87" t="b">
        <v>0</v>
      </c>
      <c r="L18" s="87" t="b">
        <v>0</v>
      </c>
      <c r="M18" s="87" t="b">
        <v>0</v>
      </c>
      <c r="N18" s="87" t="b">
        <v>0</v>
      </c>
      <c r="O18" s="87" t="b">
        <v>0</v>
      </c>
      <c r="P18" s="87" t="b">
        <v>0</v>
      </c>
      <c r="Q18" s="87" t="b">
        <v>0</v>
      </c>
      <c r="R18" s="86" t="b">
        <v>0</v>
      </c>
      <c r="S18" s="59"/>
    </row>
    <row r="19">
      <c r="F19" s="23"/>
      <c r="G19" s="23"/>
      <c r="H19" s="23"/>
      <c r="I19" s="23"/>
      <c r="J19" s="23"/>
      <c r="K19" s="23"/>
      <c r="L19" s="23"/>
      <c r="M19" s="23"/>
      <c r="N19" s="23"/>
      <c r="O19" s="23"/>
      <c r="P19" s="23"/>
      <c r="Q19" s="23"/>
      <c r="R19" s="23"/>
    </row>
  </sheetData>
  <hyperlinks>
    <hyperlink r:id="rId1" ref="C7"/>
    <hyperlink r:id="rId2" ref="C8"/>
    <hyperlink r:id="rId3" ref="C9"/>
    <hyperlink r:id="rId4" ref="C10"/>
    <hyperlink r:id="rId5" ref="C11"/>
    <hyperlink r:id="rId6" ref="C12"/>
    <hyperlink r:id="rId7" ref="C13"/>
    <hyperlink r:id="rId8" ref="C14"/>
    <hyperlink r:id="rId9" ref="C15"/>
    <hyperlink r:id="rId10" ref="C16"/>
    <hyperlink r:id="rId11" ref="C17"/>
  </hyperlinks>
  <drawing r:id="rId12"/>
  <tableParts count="1">
    <tablePart r:id="rId14"/>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5.5"/>
    <col customWidth="1" min="2" max="2" width="31.63"/>
    <col customWidth="1" min="3" max="3" width="80.25"/>
  </cols>
  <sheetData>
    <row r="2">
      <c r="B2" s="1" t="s">
        <v>27</v>
      </c>
    </row>
    <row r="3">
      <c r="B3" s="24" t="s">
        <v>237</v>
      </c>
    </row>
    <row r="4">
      <c r="B4" s="18"/>
    </row>
    <row r="5">
      <c r="B5" s="28" t="s">
        <v>238</v>
      </c>
      <c r="C5" s="28" t="s">
        <v>239</v>
      </c>
    </row>
    <row r="6">
      <c r="B6" s="19"/>
      <c r="C6" s="19"/>
    </row>
    <row r="7">
      <c r="B7" s="6" t="s">
        <v>240</v>
      </c>
      <c r="C7" s="6" t="s">
        <v>241</v>
      </c>
    </row>
    <row r="8">
      <c r="B8" s="6" t="s">
        <v>242</v>
      </c>
      <c r="C8" s="6" t="s">
        <v>243</v>
      </c>
    </row>
    <row r="9">
      <c r="B9" s="6" t="s">
        <v>244</v>
      </c>
      <c r="C9" s="6" t="s">
        <v>245</v>
      </c>
    </row>
    <row r="10">
      <c r="B10" s="6" t="s">
        <v>246</v>
      </c>
      <c r="C10" s="6" t="s">
        <v>247</v>
      </c>
    </row>
    <row r="11">
      <c r="B11" s="6" t="s">
        <v>248</v>
      </c>
      <c r="C11" s="6" t="s">
        <v>249</v>
      </c>
    </row>
    <row r="12">
      <c r="B12" s="6" t="s">
        <v>250</v>
      </c>
      <c r="C12" s="6" t="s">
        <v>251</v>
      </c>
    </row>
    <row r="13">
      <c r="B13" s="6" t="s">
        <v>252</v>
      </c>
      <c r="C13" s="6" t="s">
        <v>253</v>
      </c>
    </row>
    <row r="14">
      <c r="B14" s="6" t="s">
        <v>254</v>
      </c>
      <c r="C14" s="6" t="s">
        <v>255</v>
      </c>
    </row>
    <row r="15">
      <c r="B15" s="6" t="s">
        <v>256</v>
      </c>
      <c r="C15" s="6" t="s">
        <v>257</v>
      </c>
    </row>
    <row r="16">
      <c r="B16" s="6" t="s">
        <v>258</v>
      </c>
      <c r="C16" s="6" t="s">
        <v>259</v>
      </c>
    </row>
    <row r="17">
      <c r="B17" s="6" t="s">
        <v>75</v>
      </c>
      <c r="C17" s="6" t="s">
        <v>260</v>
      </c>
    </row>
    <row r="18">
      <c r="B18" s="101" t="s">
        <v>115</v>
      </c>
      <c r="C18" s="6" t="s">
        <v>261</v>
      </c>
    </row>
    <row r="19">
      <c r="B19" s="102" t="s">
        <v>262</v>
      </c>
      <c r="C19" s="6" t="s">
        <v>263</v>
      </c>
    </row>
    <row r="20">
      <c r="B20" s="102" t="s">
        <v>264</v>
      </c>
      <c r="C20" s="6" t="s">
        <v>265</v>
      </c>
    </row>
    <row r="21">
      <c r="B21" s="102" t="s">
        <v>116</v>
      </c>
      <c r="C21" s="6" t="s">
        <v>266</v>
      </c>
    </row>
    <row r="22">
      <c r="B22" s="102" t="s">
        <v>267</v>
      </c>
      <c r="C22" s="6" t="s">
        <v>268</v>
      </c>
    </row>
    <row r="23">
      <c r="B23" s="102" t="s">
        <v>269</v>
      </c>
      <c r="C23" s="6" t="s">
        <v>270</v>
      </c>
    </row>
    <row r="24">
      <c r="B24" s="102" t="s">
        <v>271</v>
      </c>
      <c r="C24" s="6" t="s">
        <v>272</v>
      </c>
    </row>
    <row r="25">
      <c r="B25" s="101" t="s">
        <v>118</v>
      </c>
      <c r="C25" s="6" t="s">
        <v>273</v>
      </c>
    </row>
    <row r="26">
      <c r="B26" s="101" t="s">
        <v>274</v>
      </c>
      <c r="C26" s="6" t="s">
        <v>275</v>
      </c>
    </row>
    <row r="27">
      <c r="B27" s="101" t="s">
        <v>276</v>
      </c>
      <c r="C27" s="6" t="s">
        <v>277</v>
      </c>
    </row>
    <row r="28">
      <c r="B28" s="101" t="s">
        <v>278</v>
      </c>
      <c r="C28" s="6" t="s">
        <v>279</v>
      </c>
    </row>
    <row r="29">
      <c r="B29" s="101" t="s">
        <v>280</v>
      </c>
      <c r="C29" s="6" t="s">
        <v>281</v>
      </c>
    </row>
    <row r="30">
      <c r="B30" s="101" t="s">
        <v>282</v>
      </c>
      <c r="C30" s="6" t="s">
        <v>283</v>
      </c>
    </row>
    <row r="31">
      <c r="B31" s="101" t="s">
        <v>284</v>
      </c>
      <c r="C31" s="6" t="s">
        <v>285</v>
      </c>
    </row>
    <row r="32">
      <c r="B32" s="101" t="s">
        <v>286</v>
      </c>
      <c r="C32" s="6" t="s">
        <v>287</v>
      </c>
    </row>
    <row r="33">
      <c r="B33" s="101" t="s">
        <v>288</v>
      </c>
      <c r="C33" s="6" t="s">
        <v>289</v>
      </c>
    </row>
    <row r="34">
      <c r="B34" s="101" t="s">
        <v>290</v>
      </c>
      <c r="C34" s="6" t="s">
        <v>291</v>
      </c>
    </row>
    <row r="35">
      <c r="B35" s="101" t="s">
        <v>120</v>
      </c>
      <c r="C35" s="6" t="s">
        <v>292</v>
      </c>
    </row>
    <row r="36">
      <c r="B36" s="101" t="s">
        <v>293</v>
      </c>
      <c r="C36" s="6" t="s">
        <v>294</v>
      </c>
    </row>
    <row r="37">
      <c r="B37" s="101" t="s">
        <v>295</v>
      </c>
      <c r="C37" s="6" t="s">
        <v>296</v>
      </c>
    </row>
    <row r="38">
      <c r="B38" s="101" t="s">
        <v>122</v>
      </c>
      <c r="C38" s="6" t="s">
        <v>297</v>
      </c>
    </row>
    <row r="39">
      <c r="B39" s="101" t="s">
        <v>298</v>
      </c>
      <c r="C39" s="6" t="s">
        <v>299</v>
      </c>
    </row>
    <row r="40">
      <c r="B40" s="101" t="s">
        <v>300</v>
      </c>
      <c r="C40" s="6" t="s">
        <v>301</v>
      </c>
    </row>
    <row r="41">
      <c r="B41" s="6" t="s">
        <v>302</v>
      </c>
      <c r="C41" s="6" t="s">
        <v>303</v>
      </c>
    </row>
    <row r="42">
      <c r="B42" s="6" t="s">
        <v>304</v>
      </c>
      <c r="C42" s="6" t="s">
        <v>305</v>
      </c>
    </row>
  </sheetData>
  <drawing r:id="rId1"/>
  <tableParts count="1">
    <tablePart r:id="rId3"/>
  </tableParts>
</worksheet>
</file>