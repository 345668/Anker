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ylordavidson/Downloads/"/>
    </mc:Choice>
  </mc:AlternateContent>
  <xr:revisionPtr revIDLastSave="0" documentId="13_ncr:1_{2F3D9EC3-2F08-F540-9BEE-C12B81F25519}" xr6:coauthVersionLast="47" xr6:coauthVersionMax="47" xr10:uidLastSave="{00000000-0000-0000-0000-000000000000}"/>
  <bookViews>
    <workbookView xWindow="0" yWindow="640" windowWidth="29400" windowHeight="18480" xr2:uid="{00000000-000D-0000-FFFF-FFFF00000000}"/>
  </bookViews>
  <sheets>
    <sheet name="README" sheetId="1" r:id="rId1"/>
    <sheet name="License" sheetId="2" r:id="rId2"/>
    <sheet name="Get Started" sheetId="3" r:id="rId3"/>
    <sheet name="Key Reports" sheetId="4" r:id="rId4"/>
    <sheet name="Forecast" sheetId="5" r:id="rId5"/>
    <sheet name="Resources" sheetId="6" r:id="rId6"/>
    <sheet name="Model Comparison" sheetId="7" r:id="rId7"/>
    <sheet name="Glossary" sheetId="8" r:id="rId8"/>
    <sheet name="Changelog"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1" i="5" l="1"/>
  <c r="G190" i="5"/>
  <c r="G189" i="5"/>
  <c r="B180" i="5"/>
  <c r="B179" i="5"/>
  <c r="B178" i="5"/>
  <c r="B177" i="5"/>
  <c r="B176" i="5"/>
  <c r="B175" i="5"/>
  <c r="B174" i="5"/>
  <c r="B166" i="5"/>
  <c r="B151" i="5"/>
  <c r="B147" i="5"/>
  <c r="B146" i="5"/>
  <c r="B145" i="5"/>
  <c r="F142" i="5"/>
  <c r="F141" i="5"/>
  <c r="F140" i="5"/>
  <c r="F139" i="5"/>
  <c r="F138" i="5"/>
  <c r="B127" i="5"/>
  <c r="B110" i="5"/>
  <c r="B111" i="5" s="1"/>
  <c r="B112" i="5" s="1"/>
  <c r="B113" i="5" s="1"/>
  <c r="B114" i="5" s="1"/>
  <c r="B115" i="5" s="1"/>
  <c r="B116" i="5" s="1"/>
  <c r="B117" i="5" s="1"/>
  <c r="B118" i="5" s="1"/>
  <c r="B119" i="5" s="1"/>
  <c r="B120" i="5" s="1"/>
  <c r="B121" i="5" s="1"/>
  <c r="B122" i="5" s="1"/>
  <c r="B123" i="5" s="1"/>
  <c r="B105" i="5"/>
  <c r="B106" i="5" s="1"/>
  <c r="B107" i="5" s="1"/>
  <c r="B108" i="5" s="1"/>
  <c r="B109" i="5" s="1"/>
  <c r="B100" i="5"/>
  <c r="B96" i="5"/>
  <c r="F92" i="5"/>
  <c r="F91" i="5"/>
  <c r="F90" i="5"/>
  <c r="F89" i="5"/>
  <c r="B87" i="5"/>
  <c r="B86" i="5"/>
  <c r="B84" i="5"/>
  <c r="B83" i="5"/>
  <c r="B82" i="5"/>
  <c r="B81" i="5"/>
  <c r="B80" i="5"/>
  <c r="B79" i="5"/>
  <c r="B78" i="5"/>
  <c r="B77" i="5"/>
  <c r="B76" i="5"/>
  <c r="B75" i="5"/>
  <c r="G74" i="5"/>
  <c r="H74" i="5" s="1"/>
  <c r="I74" i="5" s="1"/>
  <c r="J74" i="5" s="1"/>
  <c r="K74" i="5" s="1"/>
  <c r="L74" i="5" s="1"/>
  <c r="M74" i="5" s="1"/>
  <c r="N74" i="5" s="1"/>
  <c r="O74" i="5" s="1"/>
  <c r="P74" i="5" s="1"/>
  <c r="Q74" i="5" s="1"/>
  <c r="R74" i="5" s="1"/>
  <c r="S74" i="5" s="1"/>
  <c r="T74" i="5" s="1"/>
  <c r="U74" i="5" s="1"/>
  <c r="V74" i="5" s="1"/>
  <c r="W74" i="5" s="1"/>
  <c r="X74" i="5" s="1"/>
  <c r="Y74" i="5" s="1"/>
  <c r="Z74" i="5" s="1"/>
  <c r="E74" i="5" s="1"/>
  <c r="B74" i="5"/>
  <c r="N73" i="5"/>
  <c r="O73" i="5" s="1"/>
  <c r="P73" i="5" s="1"/>
  <c r="Q73" i="5" s="1"/>
  <c r="R73" i="5" s="1"/>
  <c r="S73" i="5" s="1"/>
  <c r="T73" i="5" s="1"/>
  <c r="U73" i="5" s="1"/>
  <c r="V73" i="5" s="1"/>
  <c r="W73" i="5" s="1"/>
  <c r="X73" i="5" s="1"/>
  <c r="Y73" i="5" s="1"/>
  <c r="Z73" i="5" s="1"/>
  <c r="E73" i="5" s="1"/>
  <c r="M73" i="5"/>
  <c r="G73" i="5"/>
  <c r="H73" i="5" s="1"/>
  <c r="I73" i="5" s="1"/>
  <c r="J73" i="5" s="1"/>
  <c r="K73" i="5" s="1"/>
  <c r="L73" i="5" s="1"/>
  <c r="B73" i="5"/>
  <c r="B72" i="5"/>
  <c r="B71" i="5"/>
  <c r="B70" i="5"/>
  <c r="B69" i="5"/>
  <c r="B68" i="5"/>
  <c r="B67" i="5"/>
  <c r="B66" i="5"/>
  <c r="B65" i="5"/>
  <c r="G64" i="5"/>
  <c r="H64" i="5" s="1"/>
  <c r="I64" i="5" s="1"/>
  <c r="J64" i="5" s="1"/>
  <c r="K64" i="5" s="1"/>
  <c r="L64" i="5" s="1"/>
  <c r="M64" i="5" s="1"/>
  <c r="N64" i="5" s="1"/>
  <c r="O64" i="5" s="1"/>
  <c r="P64" i="5" s="1"/>
  <c r="Q64" i="5" s="1"/>
  <c r="R64" i="5" s="1"/>
  <c r="S64" i="5" s="1"/>
  <c r="T64" i="5" s="1"/>
  <c r="U64" i="5" s="1"/>
  <c r="V64" i="5" s="1"/>
  <c r="W64" i="5" s="1"/>
  <c r="X64" i="5" s="1"/>
  <c r="Y64" i="5" s="1"/>
  <c r="Z64" i="5" s="1"/>
  <c r="E64" i="5" s="1"/>
  <c r="B64" i="5"/>
  <c r="L63" i="5"/>
  <c r="M63" i="5" s="1"/>
  <c r="N63" i="5" s="1"/>
  <c r="O63" i="5" s="1"/>
  <c r="P63" i="5" s="1"/>
  <c r="Q63" i="5" s="1"/>
  <c r="R63" i="5" s="1"/>
  <c r="S63" i="5" s="1"/>
  <c r="T63" i="5" s="1"/>
  <c r="U63" i="5" s="1"/>
  <c r="V63" i="5" s="1"/>
  <c r="W63" i="5" s="1"/>
  <c r="X63" i="5" s="1"/>
  <c r="Y63" i="5" s="1"/>
  <c r="Z63" i="5" s="1"/>
  <c r="E63" i="5" s="1"/>
  <c r="G63" i="5"/>
  <c r="H63" i="5" s="1"/>
  <c r="I63" i="5" s="1"/>
  <c r="J63" i="5" s="1"/>
  <c r="K63" i="5" s="1"/>
  <c r="B63" i="5"/>
  <c r="B62" i="5"/>
  <c r="H61" i="5"/>
  <c r="I61" i="5" s="1"/>
  <c r="J61" i="5" s="1"/>
  <c r="K61" i="5" s="1"/>
  <c r="L61" i="5" s="1"/>
  <c r="M61" i="5" s="1"/>
  <c r="N61" i="5" s="1"/>
  <c r="O61" i="5" s="1"/>
  <c r="P61" i="5" s="1"/>
  <c r="Q61" i="5" s="1"/>
  <c r="R61" i="5" s="1"/>
  <c r="S61" i="5" s="1"/>
  <c r="T61" i="5" s="1"/>
  <c r="U61" i="5" s="1"/>
  <c r="V61" i="5" s="1"/>
  <c r="W61" i="5" s="1"/>
  <c r="X61" i="5" s="1"/>
  <c r="Y61" i="5" s="1"/>
  <c r="Z61" i="5" s="1"/>
  <c r="E61" i="5" s="1"/>
  <c r="G61" i="5"/>
  <c r="B61" i="5"/>
  <c r="B60" i="5"/>
  <c r="G59" i="5"/>
  <c r="B59" i="5"/>
  <c r="B56" i="5"/>
  <c r="B85" i="5" s="1"/>
  <c r="Z54" i="5"/>
  <c r="Y54" i="5"/>
  <c r="X54" i="5"/>
  <c r="W54" i="5"/>
  <c r="R54" i="5"/>
  <c r="Q54" i="5"/>
  <c r="P54" i="5"/>
  <c r="O54" i="5"/>
  <c r="J54" i="5"/>
  <c r="I54" i="5"/>
  <c r="H54" i="5"/>
  <c r="G54" i="5"/>
  <c r="G83" i="5" s="1"/>
  <c r="G48" i="5"/>
  <c r="E45" i="5"/>
  <c r="E44" i="5"/>
  <c r="G43" i="5"/>
  <c r="G72" i="5" s="1"/>
  <c r="E35" i="5"/>
  <c r="E34" i="5"/>
  <c r="E32" i="5"/>
  <c r="Z30" i="5"/>
  <c r="Y30" i="5"/>
  <c r="X30" i="5"/>
  <c r="W30" i="5"/>
  <c r="V30" i="5"/>
  <c r="V54" i="5" s="1"/>
  <c r="U30" i="5"/>
  <c r="U54" i="5" s="1"/>
  <c r="T30" i="5"/>
  <c r="T54" i="5" s="1"/>
  <c r="S30" i="5"/>
  <c r="R30" i="5"/>
  <c r="Q30" i="5"/>
  <c r="P30" i="5"/>
  <c r="O30" i="5"/>
  <c r="N30" i="5"/>
  <c r="N54" i="5" s="1"/>
  <c r="M30" i="5"/>
  <c r="M54" i="5" s="1"/>
  <c r="L30" i="5"/>
  <c r="L54" i="5" s="1"/>
  <c r="K30" i="5"/>
  <c r="J30" i="5"/>
  <c r="I30" i="5"/>
  <c r="H30" i="5"/>
  <c r="G30" i="5"/>
  <c r="E30" i="5"/>
  <c r="G22" i="5"/>
  <c r="E22" i="5"/>
  <c r="E20" i="5"/>
  <c r="E19" i="5"/>
  <c r="H18" i="5"/>
  <c r="I18" i="5" s="1"/>
  <c r="J18" i="5" s="1"/>
  <c r="K18" i="5" s="1"/>
  <c r="L18" i="5" s="1"/>
  <c r="M18" i="5" s="1"/>
  <c r="N18" i="5" s="1"/>
  <c r="O18" i="5" s="1"/>
  <c r="P18" i="5" s="1"/>
  <c r="Q18" i="5" s="1"/>
  <c r="R18" i="5" s="1"/>
  <c r="S18" i="5" s="1"/>
  <c r="T18" i="5" s="1"/>
  <c r="U18" i="5" s="1"/>
  <c r="V18" i="5" s="1"/>
  <c r="W18" i="5" s="1"/>
  <c r="X18" i="5" s="1"/>
  <c r="Y18" i="5" s="1"/>
  <c r="Z18" i="5" s="1"/>
  <c r="E18" i="5"/>
  <c r="Z16" i="5"/>
  <c r="Y16" i="5"/>
  <c r="X16" i="5"/>
  <c r="W16" i="5"/>
  <c r="V16" i="5"/>
  <c r="U16" i="5"/>
  <c r="T16" i="5"/>
  <c r="S16" i="5"/>
  <c r="R16" i="5"/>
  <c r="Q16" i="5"/>
  <c r="P16" i="5"/>
  <c r="O16" i="5"/>
  <c r="N16" i="5"/>
  <c r="M16" i="5"/>
  <c r="L16" i="5"/>
  <c r="K16" i="5"/>
  <c r="J16" i="5"/>
  <c r="I16" i="5"/>
  <c r="H16" i="5"/>
  <c r="G16" i="5"/>
  <c r="E16" i="5"/>
  <c r="H15" i="5"/>
  <c r="B15" i="5"/>
  <c r="B10" i="5"/>
  <c r="B9" i="5"/>
  <c r="G8" i="5"/>
  <c r="B8" i="5"/>
  <c r="G5" i="5"/>
  <c r="H5" i="5" s="1"/>
  <c r="I5" i="5" s="1"/>
  <c r="J5" i="5" s="1"/>
  <c r="K5" i="5" s="1"/>
  <c r="L5" i="5" s="1"/>
  <c r="M5" i="5" s="1"/>
  <c r="N5" i="5" s="1"/>
  <c r="O5" i="5" s="1"/>
  <c r="P5" i="5" s="1"/>
  <c r="Q5" i="5" s="1"/>
  <c r="R5" i="5" s="1"/>
  <c r="S5" i="5" s="1"/>
  <c r="T5" i="5" s="1"/>
  <c r="U5" i="5" s="1"/>
  <c r="V5" i="5" s="1"/>
  <c r="W5" i="5" s="1"/>
  <c r="X5" i="5" s="1"/>
  <c r="Y5" i="5" s="1"/>
  <c r="Z5" i="5" s="1"/>
  <c r="H4" i="5"/>
  <c r="H8" i="5" s="1"/>
  <c r="G4" i="5"/>
  <c r="C60" i="3"/>
  <c r="C59" i="3"/>
  <c r="C58" i="3"/>
  <c r="C57" i="3"/>
  <c r="C56" i="3"/>
  <c r="C55" i="3"/>
  <c r="C54" i="3"/>
  <c r="H49" i="3"/>
  <c r="G49" i="3"/>
  <c r="E49" i="3"/>
  <c r="E48" i="3"/>
  <c r="C37" i="3"/>
  <c r="F36" i="3"/>
  <c r="B29" i="3"/>
  <c r="B28" i="3"/>
  <c r="B27" i="3"/>
  <c r="B26" i="3"/>
  <c r="B25" i="3"/>
  <c r="E18" i="3"/>
  <c r="E17" i="3"/>
  <c r="C12" i="3"/>
  <c r="C11" i="3"/>
  <c r="H83" i="5" l="1"/>
  <c r="H172" i="5"/>
  <c r="H11" i="5"/>
  <c r="G170" i="5"/>
  <c r="G186" i="5"/>
  <c r="G178" i="5"/>
  <c r="G147" i="5"/>
  <c r="G176" i="5"/>
  <c r="G167" i="5"/>
  <c r="G165" i="5"/>
  <c r="G145" i="5"/>
  <c r="G168" i="5"/>
  <c r="G39" i="5"/>
  <c r="G10" i="5"/>
  <c r="G49" i="5"/>
  <c r="G9" i="5"/>
  <c r="H186" i="5"/>
  <c r="H178" i="5"/>
  <c r="H147" i="5"/>
  <c r="H168" i="5"/>
  <c r="H165" i="5"/>
  <c r="H176" i="5"/>
  <c r="H170" i="5"/>
  <c r="H145" i="5"/>
  <c r="H167" i="5"/>
  <c r="H104" i="5"/>
  <c r="H39" i="5"/>
  <c r="H10" i="5"/>
  <c r="H40" i="5" s="1"/>
  <c r="H158" i="5" s="1"/>
  <c r="G180" i="5"/>
  <c r="H59" i="5"/>
  <c r="I59" i="5" s="1"/>
  <c r="J59" i="5" s="1"/>
  <c r="K59" i="5" s="1"/>
  <c r="L59" i="5" s="1"/>
  <c r="M59" i="5" s="1"/>
  <c r="N59" i="5" s="1"/>
  <c r="O59" i="5" s="1"/>
  <c r="P59" i="5" s="1"/>
  <c r="Q59" i="5" s="1"/>
  <c r="R59" i="5" s="1"/>
  <c r="S59" i="5" s="1"/>
  <c r="T59" i="5" s="1"/>
  <c r="U59" i="5" s="1"/>
  <c r="V59" i="5" s="1"/>
  <c r="W59" i="5" s="1"/>
  <c r="X59" i="5" s="1"/>
  <c r="Y59" i="5" s="1"/>
  <c r="Z59" i="5" s="1"/>
  <c r="E59" i="5" s="1"/>
  <c r="I4" i="5"/>
  <c r="G184" i="5"/>
  <c r="G162" i="5"/>
  <c r="G36" i="5" s="1"/>
  <c r="G77" i="5"/>
  <c r="G24" i="5"/>
  <c r="H48" i="5"/>
  <c r="K54" i="5"/>
  <c r="S54" i="5"/>
  <c r="E54" i="5" s="1"/>
  <c r="H49" i="5"/>
  <c r="H43" i="5"/>
  <c r="H24" i="5" s="1"/>
  <c r="G11" i="5"/>
  <c r="F9" i="3"/>
  <c r="H191" i="5"/>
  <c r="H189" i="5"/>
  <c r="H190" i="5"/>
  <c r="I15" i="5"/>
  <c r="G139" i="5" l="1"/>
  <c r="G65" i="5"/>
  <c r="G78" i="5"/>
  <c r="H78" i="5" s="1"/>
  <c r="H179" i="5"/>
  <c r="H171" i="5"/>
  <c r="H148" i="5"/>
  <c r="G14" i="5"/>
  <c r="I191" i="5"/>
  <c r="I189" i="5"/>
  <c r="I190" i="5"/>
  <c r="J15" i="5"/>
  <c r="H72" i="5"/>
  <c r="H180" i="5"/>
  <c r="F26" i="3"/>
  <c r="F10" i="3"/>
  <c r="G171" i="5"/>
  <c r="G148" i="5"/>
  <c r="H77" i="5"/>
  <c r="G172" i="5"/>
  <c r="H157" i="5"/>
  <c r="G157" i="5"/>
  <c r="G68" i="5"/>
  <c r="H68" i="5" s="1"/>
  <c r="G40" i="5"/>
  <c r="H9" i="5"/>
  <c r="H14" i="5" s="1"/>
  <c r="H159" i="5" s="1"/>
  <c r="I176" i="5"/>
  <c r="I178" i="5"/>
  <c r="I147" i="5"/>
  <c r="I170" i="5"/>
  <c r="I104" i="5"/>
  <c r="I105" i="5"/>
  <c r="I39" i="5"/>
  <c r="I10" i="5"/>
  <c r="I40" i="5" s="1"/>
  <c r="I158" i="5" s="1"/>
  <c r="I49" i="5"/>
  <c r="J4" i="5"/>
  <c r="I8" i="5"/>
  <c r="G179" i="5"/>
  <c r="I83" i="5"/>
  <c r="J83" i="5" s="1"/>
  <c r="K83" i="5" s="1"/>
  <c r="L83" i="5" s="1"/>
  <c r="M83" i="5" s="1"/>
  <c r="N83" i="5" s="1"/>
  <c r="O83" i="5" s="1"/>
  <c r="P83" i="5" s="1"/>
  <c r="Q83" i="5" s="1"/>
  <c r="R83" i="5" s="1"/>
  <c r="S83" i="5" s="1"/>
  <c r="T83" i="5" s="1"/>
  <c r="U83" i="5" s="1"/>
  <c r="V83" i="5" s="1"/>
  <c r="W83" i="5" s="1"/>
  <c r="X83" i="5" s="1"/>
  <c r="Y83" i="5" s="1"/>
  <c r="Z83" i="5" s="1"/>
  <c r="E83" i="5" s="1"/>
  <c r="G160" i="5" l="1"/>
  <c r="I78" i="5"/>
  <c r="I180" i="5"/>
  <c r="I11" i="5"/>
  <c r="G159" i="5"/>
  <c r="G41" i="5"/>
  <c r="J178" i="5"/>
  <c r="J176" i="5"/>
  <c r="J105" i="5"/>
  <c r="J106" i="5"/>
  <c r="J104" i="5"/>
  <c r="J8" i="5"/>
  <c r="K4" i="5"/>
  <c r="J39" i="5"/>
  <c r="J9" i="5"/>
  <c r="J14" i="5" s="1"/>
  <c r="J159" i="5" s="1"/>
  <c r="J10" i="5"/>
  <c r="J40" i="5" s="1"/>
  <c r="J158" i="5" s="1"/>
  <c r="G158" i="5"/>
  <c r="G69" i="5"/>
  <c r="H69" i="5" s="1"/>
  <c r="I69" i="5" s="1"/>
  <c r="J69" i="5" s="1"/>
  <c r="H41" i="5"/>
  <c r="G26" i="5"/>
  <c r="J191" i="5"/>
  <c r="J189" i="5"/>
  <c r="J190" i="5"/>
  <c r="K15" i="5"/>
  <c r="I157" i="5"/>
  <c r="I68" i="5"/>
  <c r="J68" i="5" s="1"/>
  <c r="I9" i="5"/>
  <c r="I14" i="5" s="1"/>
  <c r="I159" i="5" s="1"/>
  <c r="G140" i="5"/>
  <c r="G149" i="5"/>
  <c r="G151" i="5" l="1"/>
  <c r="G150" i="5"/>
  <c r="G42" i="5"/>
  <c r="J157" i="5"/>
  <c r="J140" i="5"/>
  <c r="I179" i="5"/>
  <c r="I171" i="5"/>
  <c r="I148" i="5"/>
  <c r="G175" i="5"/>
  <c r="H140" i="5"/>
  <c r="H26" i="5"/>
  <c r="G70" i="5"/>
  <c r="H70" i="5" s="1"/>
  <c r="I172" i="5"/>
  <c r="K176" i="5"/>
  <c r="K178" i="5"/>
  <c r="K106" i="5"/>
  <c r="K107" i="5"/>
  <c r="K105" i="5"/>
  <c r="K104" i="5"/>
  <c r="L4" i="5"/>
  <c r="K10" i="5"/>
  <c r="K39" i="5"/>
  <c r="K9" i="5"/>
  <c r="K14" i="5" s="1"/>
  <c r="K159" i="5" s="1"/>
  <c r="K8" i="5"/>
  <c r="I41" i="5"/>
  <c r="J41" i="5"/>
  <c r="J26" i="5" s="1"/>
  <c r="K189" i="5"/>
  <c r="K190" i="5"/>
  <c r="K191" i="5"/>
  <c r="K41" i="5"/>
  <c r="L15" i="5"/>
  <c r="J11" i="5"/>
  <c r="K68" i="5"/>
  <c r="G174" i="5"/>
  <c r="H174" i="5" s="1"/>
  <c r="I174" i="5" s="1"/>
  <c r="J174" i="5" s="1"/>
  <c r="K11" i="5" l="1"/>
  <c r="I70" i="5"/>
  <c r="J70" i="5" s="1"/>
  <c r="K70" i="5" s="1"/>
  <c r="K157" i="5"/>
  <c r="K140" i="5"/>
  <c r="K26" i="5"/>
  <c r="H149" i="5"/>
  <c r="H151" i="5" s="1"/>
  <c r="I140" i="5"/>
  <c r="I26" i="5"/>
  <c r="L189" i="5"/>
  <c r="L190" i="5"/>
  <c r="L191" i="5"/>
  <c r="M15" i="5"/>
  <c r="J179" i="5"/>
  <c r="J180" i="5"/>
  <c r="K40" i="5"/>
  <c r="K174" i="5"/>
  <c r="L176" i="5"/>
  <c r="L178" i="5"/>
  <c r="L107" i="5"/>
  <c r="L108" i="5"/>
  <c r="L106" i="5"/>
  <c r="L105" i="5"/>
  <c r="L8" i="5"/>
  <c r="L9" i="5"/>
  <c r="L14" i="5" s="1"/>
  <c r="L41" i="5" s="1"/>
  <c r="L104" i="5"/>
  <c r="M4" i="5"/>
  <c r="L10" i="5"/>
  <c r="L40" i="5" s="1"/>
  <c r="L158" i="5" s="1"/>
  <c r="L39" i="5"/>
  <c r="G71" i="5"/>
  <c r="J172" i="5"/>
  <c r="H160" i="5"/>
  <c r="H175" i="5" s="1"/>
  <c r="I160" i="5" l="1"/>
  <c r="I175" i="5" s="1"/>
  <c r="L159" i="5"/>
  <c r="L11" i="5"/>
  <c r="L174" i="5"/>
  <c r="L157" i="5"/>
  <c r="L140" i="5"/>
  <c r="L26" i="5"/>
  <c r="K158" i="5"/>
  <c r="K69" i="5"/>
  <c r="L69" i="5" s="1"/>
  <c r="M178" i="5"/>
  <c r="M176" i="5"/>
  <c r="M108" i="5"/>
  <c r="M109" i="5"/>
  <c r="M107" i="5"/>
  <c r="M105" i="5"/>
  <c r="M106" i="5"/>
  <c r="M104" i="5"/>
  <c r="M8" i="5"/>
  <c r="N4" i="5"/>
  <c r="M10" i="5"/>
  <c r="M9" i="5" s="1"/>
  <c r="M39" i="5"/>
  <c r="M190" i="5"/>
  <c r="M191" i="5"/>
  <c r="M189" i="5"/>
  <c r="N15" i="5"/>
  <c r="I149" i="5"/>
  <c r="I151" i="5" s="1"/>
  <c r="K179" i="5"/>
  <c r="K180" i="5" s="1"/>
  <c r="L70" i="5"/>
  <c r="L68" i="5"/>
  <c r="M68" i="5" s="1"/>
  <c r="H150" i="5"/>
  <c r="H42" i="5"/>
  <c r="M14" i="5" l="1"/>
  <c r="M69" i="5"/>
  <c r="N69" i="5" s="1"/>
  <c r="M157" i="5"/>
  <c r="N190" i="5"/>
  <c r="N191" i="5"/>
  <c r="N189" i="5"/>
  <c r="N159" i="5"/>
  <c r="O15" i="5"/>
  <c r="I150" i="5"/>
  <c r="I42" i="5"/>
  <c r="L179" i="5"/>
  <c r="M11" i="5"/>
  <c r="M40" i="5"/>
  <c r="H71" i="5"/>
  <c r="I71" i="5" s="1"/>
  <c r="N176" i="5"/>
  <c r="N178" i="5"/>
  <c r="N109" i="5"/>
  <c r="N110" i="5"/>
  <c r="N108" i="5"/>
  <c r="N105" i="5"/>
  <c r="N107" i="5"/>
  <c r="N9" i="5"/>
  <c r="N14" i="5" s="1"/>
  <c r="N41" i="5" s="1"/>
  <c r="N106" i="5"/>
  <c r="N39" i="5"/>
  <c r="N10" i="5"/>
  <c r="N40" i="5" s="1"/>
  <c r="N158" i="5" s="1"/>
  <c r="N104" i="5"/>
  <c r="N8" i="5"/>
  <c r="O4" i="5"/>
  <c r="L180" i="5"/>
  <c r="N11" i="5" l="1"/>
  <c r="N140" i="5"/>
  <c r="N157" i="5"/>
  <c r="N26" i="5"/>
  <c r="M179" i="5"/>
  <c r="M180" i="5" s="1"/>
  <c r="O178" i="5"/>
  <c r="O176" i="5"/>
  <c r="O110" i="5"/>
  <c r="O111" i="5"/>
  <c r="O104" i="5"/>
  <c r="O109" i="5"/>
  <c r="O107" i="5"/>
  <c r="O105" i="5"/>
  <c r="O106" i="5"/>
  <c r="O39" i="5"/>
  <c r="O10" i="5"/>
  <c r="O108" i="5"/>
  <c r="O9" i="5"/>
  <c r="O14" i="5" s="1"/>
  <c r="O41" i="5" s="1"/>
  <c r="O8" i="5"/>
  <c r="P4" i="5"/>
  <c r="M158" i="5"/>
  <c r="O190" i="5"/>
  <c r="O191" i="5"/>
  <c r="O189" i="5"/>
  <c r="O159" i="5"/>
  <c r="P15" i="5"/>
  <c r="N68" i="5"/>
  <c r="M159" i="5"/>
  <c r="M174" i="5" s="1"/>
  <c r="N174" i="5" s="1"/>
  <c r="M41" i="5"/>
  <c r="M70" i="5" s="1"/>
  <c r="N70" i="5" s="1"/>
  <c r="P178" i="5" l="1"/>
  <c r="P176" i="5"/>
  <c r="P111" i="5"/>
  <c r="P112" i="5"/>
  <c r="P104" i="5"/>
  <c r="P105" i="5"/>
  <c r="P110" i="5"/>
  <c r="P107" i="5"/>
  <c r="P109" i="5"/>
  <c r="P39" i="5"/>
  <c r="P10" i="5"/>
  <c r="P40" i="5" s="1"/>
  <c r="P158" i="5" s="1"/>
  <c r="P108" i="5"/>
  <c r="P106" i="5"/>
  <c r="P8" i="5"/>
  <c r="Q4" i="5"/>
  <c r="O70" i="5"/>
  <c r="M26" i="5"/>
  <c r="N179" i="5"/>
  <c r="N180" i="5" s="1"/>
  <c r="O157" i="5"/>
  <c r="O26" i="5"/>
  <c r="O174" i="5"/>
  <c r="O11" i="5"/>
  <c r="O68" i="5"/>
  <c r="P68" i="5" s="1"/>
  <c r="P191" i="5"/>
  <c r="P189" i="5"/>
  <c r="P190" i="5"/>
  <c r="Q15" i="5"/>
  <c r="O40" i="5"/>
  <c r="O140" i="5" s="1"/>
  <c r="M140" i="5"/>
  <c r="Q176" i="5" l="1"/>
  <c r="Q178" i="5"/>
  <c r="Q112" i="5"/>
  <c r="Q104" i="5"/>
  <c r="Q105" i="5"/>
  <c r="Q113" i="5"/>
  <c r="Q106" i="5"/>
  <c r="Q111" i="5"/>
  <c r="Q109" i="5"/>
  <c r="Q107" i="5"/>
  <c r="Q110" i="5"/>
  <c r="Q108" i="5"/>
  <c r="Q39" i="5"/>
  <c r="Q10" i="5"/>
  <c r="Q40" i="5" s="1"/>
  <c r="Q158" i="5" s="1"/>
  <c r="Q9" i="5"/>
  <c r="Q14" i="5" s="1"/>
  <c r="Q159" i="5" s="1"/>
  <c r="R4" i="5"/>
  <c r="Q8" i="5"/>
  <c r="O179" i="5"/>
  <c r="P157" i="5"/>
  <c r="Q68" i="5"/>
  <c r="Q191" i="5"/>
  <c r="Q189" i="5"/>
  <c r="Q190" i="5"/>
  <c r="R15" i="5"/>
  <c r="Q41" i="5"/>
  <c r="P9" i="5"/>
  <c r="P14" i="5" s="1"/>
  <c r="O158" i="5"/>
  <c r="O69" i="5"/>
  <c r="P69" i="5" s="1"/>
  <c r="O180" i="5"/>
  <c r="P11" i="5"/>
  <c r="R191" i="5" l="1"/>
  <c r="R189" i="5"/>
  <c r="R190" i="5"/>
  <c r="S15" i="5"/>
  <c r="P179" i="5"/>
  <c r="P180" i="5" s="1"/>
  <c r="Q157" i="5"/>
  <c r="Q140" i="5"/>
  <c r="Q26" i="5"/>
  <c r="Q11" i="5"/>
  <c r="P159" i="5"/>
  <c r="P174" i="5" s="1"/>
  <c r="Q174" i="5" s="1"/>
  <c r="P41" i="5"/>
  <c r="R178" i="5"/>
  <c r="R176" i="5"/>
  <c r="R105" i="5"/>
  <c r="R113" i="5"/>
  <c r="R106" i="5"/>
  <c r="R107" i="5"/>
  <c r="R112" i="5"/>
  <c r="R104" i="5"/>
  <c r="R109" i="5"/>
  <c r="R114" i="5"/>
  <c r="R111" i="5"/>
  <c r="R110" i="5"/>
  <c r="R8" i="5"/>
  <c r="R108" i="5"/>
  <c r="R10" i="5"/>
  <c r="R40" i="5" s="1"/>
  <c r="R39" i="5"/>
  <c r="S4" i="5"/>
  <c r="Q69" i="5"/>
  <c r="S189" i="5" l="1"/>
  <c r="S190" i="5"/>
  <c r="S191" i="5"/>
  <c r="T15" i="5"/>
  <c r="R11" i="5"/>
  <c r="S178" i="5"/>
  <c r="S176" i="5"/>
  <c r="S115" i="5"/>
  <c r="S113" i="5"/>
  <c r="S106" i="5"/>
  <c r="S107" i="5"/>
  <c r="S108" i="5"/>
  <c r="S105" i="5"/>
  <c r="S114" i="5"/>
  <c r="S111" i="5"/>
  <c r="S104" i="5"/>
  <c r="S109" i="5"/>
  <c r="S110" i="5"/>
  <c r="S8" i="5"/>
  <c r="S112" i="5"/>
  <c r="S10" i="5"/>
  <c r="S40" i="5" s="1"/>
  <c r="S158" i="5" s="1"/>
  <c r="S39" i="5"/>
  <c r="T4" i="5"/>
  <c r="Q179" i="5"/>
  <c r="Q180" i="5" s="1"/>
  <c r="R157" i="5"/>
  <c r="R68" i="5"/>
  <c r="R158" i="5"/>
  <c r="P140" i="5"/>
  <c r="P70" i="5"/>
  <c r="Q70" i="5" s="1"/>
  <c r="P26" i="5"/>
  <c r="R9" i="5"/>
  <c r="R14" i="5" s="1"/>
  <c r="R69" i="5"/>
  <c r="S157" i="5" l="1"/>
  <c r="R179" i="5"/>
  <c r="R159" i="5"/>
  <c r="R174" i="5" s="1"/>
  <c r="R41" i="5"/>
  <c r="T189" i="5"/>
  <c r="T190" i="5"/>
  <c r="T191" i="5"/>
  <c r="U15" i="5"/>
  <c r="S68" i="5"/>
  <c r="T68" i="5" s="1"/>
  <c r="T176" i="5"/>
  <c r="T178" i="5"/>
  <c r="T113" i="5"/>
  <c r="T107" i="5"/>
  <c r="T108" i="5"/>
  <c r="T109" i="5"/>
  <c r="T115" i="5"/>
  <c r="T106" i="5"/>
  <c r="T111" i="5"/>
  <c r="T104" i="5"/>
  <c r="T114" i="5"/>
  <c r="T8" i="5"/>
  <c r="T116" i="5"/>
  <c r="T112" i="5"/>
  <c r="T105" i="5"/>
  <c r="T110" i="5"/>
  <c r="T39" i="5"/>
  <c r="U4" i="5"/>
  <c r="T10" i="5"/>
  <c r="T40" i="5" s="1"/>
  <c r="T158" i="5" s="1"/>
  <c r="R180" i="5"/>
  <c r="R70" i="5"/>
  <c r="S11" i="5"/>
  <c r="S69" i="5"/>
  <c r="S9" i="5"/>
  <c r="S14" i="5" s="1"/>
  <c r="S159" i="5" l="1"/>
  <c r="S41" i="5"/>
  <c r="T69" i="5"/>
  <c r="S70" i="5"/>
  <c r="S174" i="5"/>
  <c r="S179" i="5"/>
  <c r="S180" i="5" s="1"/>
  <c r="T157" i="5"/>
  <c r="U190" i="5"/>
  <c r="U191" i="5"/>
  <c r="U189" i="5"/>
  <c r="V15" i="5"/>
  <c r="U178" i="5"/>
  <c r="U176" i="5"/>
  <c r="U116" i="5"/>
  <c r="U117" i="5"/>
  <c r="U114" i="5"/>
  <c r="U108" i="5"/>
  <c r="U109" i="5"/>
  <c r="U110" i="5"/>
  <c r="U113" i="5"/>
  <c r="U107" i="5"/>
  <c r="U104" i="5"/>
  <c r="U106" i="5"/>
  <c r="U111" i="5"/>
  <c r="U112" i="5"/>
  <c r="U105" i="5"/>
  <c r="U115" i="5"/>
  <c r="U8" i="5"/>
  <c r="U39" i="5"/>
  <c r="V4" i="5"/>
  <c r="U10" i="5"/>
  <c r="U40" i="5" s="1"/>
  <c r="U158" i="5" s="1"/>
  <c r="T9" i="5"/>
  <c r="T14" i="5" s="1"/>
  <c r="T11" i="5"/>
  <c r="R140" i="5"/>
  <c r="R26" i="5"/>
  <c r="U9" i="5" l="1"/>
  <c r="U14" i="5" s="1"/>
  <c r="U11" i="5"/>
  <c r="U69" i="5"/>
  <c r="U157" i="5"/>
  <c r="U68" i="5"/>
  <c r="V190" i="5"/>
  <c r="V191" i="5"/>
  <c r="V189" i="5"/>
  <c r="W15" i="5"/>
  <c r="S140" i="5"/>
  <c r="S26" i="5"/>
  <c r="T179" i="5"/>
  <c r="V176" i="5"/>
  <c r="V178" i="5"/>
  <c r="V117" i="5"/>
  <c r="V118" i="5"/>
  <c r="V115" i="5"/>
  <c r="V109" i="5"/>
  <c r="V110" i="5"/>
  <c r="V114" i="5"/>
  <c r="V111" i="5"/>
  <c r="V108" i="5"/>
  <c r="V106" i="5"/>
  <c r="V113" i="5"/>
  <c r="V104" i="5"/>
  <c r="V116" i="5"/>
  <c r="V9" i="5"/>
  <c r="V14" i="5" s="1"/>
  <c r="V159" i="5" s="1"/>
  <c r="V107" i="5"/>
  <c r="V39" i="5"/>
  <c r="V10" i="5"/>
  <c r="V40" i="5" s="1"/>
  <c r="V158" i="5" s="1"/>
  <c r="V112" i="5"/>
  <c r="V105" i="5"/>
  <c r="V8" i="5"/>
  <c r="W4" i="5"/>
  <c r="T180" i="5"/>
  <c r="T41" i="5"/>
  <c r="T159" i="5"/>
  <c r="T174" i="5" s="1"/>
  <c r="U179" i="5" l="1"/>
  <c r="W178" i="5"/>
  <c r="W176" i="5"/>
  <c r="W118" i="5"/>
  <c r="W119" i="5"/>
  <c r="W116" i="5"/>
  <c r="W110" i="5"/>
  <c r="W114" i="5"/>
  <c r="W111" i="5"/>
  <c r="W112" i="5"/>
  <c r="W104" i="5"/>
  <c r="W109" i="5"/>
  <c r="W106" i="5"/>
  <c r="W113" i="5"/>
  <c r="W108" i="5"/>
  <c r="W107" i="5"/>
  <c r="W39" i="5"/>
  <c r="W10" i="5"/>
  <c r="W40" i="5" s="1"/>
  <c r="W158" i="5" s="1"/>
  <c r="W105" i="5"/>
  <c r="W117" i="5"/>
  <c r="W115" i="5"/>
  <c r="W9" i="5"/>
  <c r="W14" i="5" s="1"/>
  <c r="W41" i="5" s="1"/>
  <c r="W8" i="5"/>
  <c r="X4" i="5"/>
  <c r="V68" i="5"/>
  <c r="W190" i="5"/>
  <c r="W191" i="5"/>
  <c r="W189" i="5"/>
  <c r="W159" i="5"/>
  <c r="X15" i="5"/>
  <c r="U180" i="5"/>
  <c r="V41" i="5"/>
  <c r="V26" i="5" s="1"/>
  <c r="U41" i="5"/>
  <c r="U159" i="5"/>
  <c r="U174" i="5" s="1"/>
  <c r="V174" i="5" s="1"/>
  <c r="W174" i="5" s="1"/>
  <c r="V140" i="5"/>
  <c r="V157" i="5"/>
  <c r="V11" i="5"/>
  <c r="T140" i="5"/>
  <c r="T26" i="5"/>
  <c r="T70" i="5"/>
  <c r="V69" i="5"/>
  <c r="W69" i="5" s="1"/>
  <c r="W11" i="5" l="1"/>
  <c r="X191" i="5"/>
  <c r="X189" i="5"/>
  <c r="X190" i="5"/>
  <c r="Y15" i="5"/>
  <c r="V179" i="5"/>
  <c r="V180" i="5" s="1"/>
  <c r="X69" i="5"/>
  <c r="W68" i="5"/>
  <c r="W157" i="5"/>
  <c r="W140" i="5"/>
  <c r="W26" i="5"/>
  <c r="U140" i="5"/>
  <c r="U26" i="5"/>
  <c r="U70" i="5"/>
  <c r="V70" i="5" s="1"/>
  <c r="W70" i="5" s="1"/>
  <c r="X178" i="5"/>
  <c r="X176" i="5"/>
  <c r="X119" i="5"/>
  <c r="X120" i="5"/>
  <c r="X117" i="5"/>
  <c r="X114" i="5"/>
  <c r="X111" i="5"/>
  <c r="X118" i="5"/>
  <c r="X112" i="5"/>
  <c r="X104" i="5"/>
  <c r="X105" i="5"/>
  <c r="X110" i="5"/>
  <c r="X113" i="5"/>
  <c r="X108" i="5"/>
  <c r="X106" i="5"/>
  <c r="X107" i="5"/>
  <c r="X39" i="5"/>
  <c r="X10" i="5"/>
  <c r="X40" i="5" s="1"/>
  <c r="X158" i="5" s="1"/>
  <c r="X115" i="5"/>
  <c r="X109" i="5"/>
  <c r="X116" i="5"/>
  <c r="X8" i="5"/>
  <c r="Y4" i="5"/>
  <c r="Y178" i="5" l="1"/>
  <c r="Y176" i="5"/>
  <c r="Y120" i="5"/>
  <c r="Y121" i="5"/>
  <c r="Y118" i="5"/>
  <c r="Y119" i="5"/>
  <c r="Y112" i="5"/>
  <c r="Y104" i="5"/>
  <c r="Y105" i="5"/>
  <c r="Y116" i="5"/>
  <c r="Y106" i="5"/>
  <c r="Y114" i="5"/>
  <c r="Y111" i="5"/>
  <c r="Y108" i="5"/>
  <c r="Y110" i="5"/>
  <c r="Y113" i="5"/>
  <c r="Y115" i="5"/>
  <c r="Y117" i="5"/>
  <c r="Y109" i="5"/>
  <c r="Y107" i="5"/>
  <c r="Y39" i="5"/>
  <c r="Y10" i="5"/>
  <c r="Y40" i="5" s="1"/>
  <c r="Y158" i="5" s="1"/>
  <c r="Y9" i="5"/>
  <c r="Y14" i="5" s="1"/>
  <c r="Y159" i="5" s="1"/>
  <c r="Z4" i="5"/>
  <c r="Y8" i="5"/>
  <c r="W179" i="5"/>
  <c r="X157" i="5"/>
  <c r="X9" i="5"/>
  <c r="X14" i="5" s="1"/>
  <c r="Y191" i="5"/>
  <c r="Y189" i="5"/>
  <c r="Y190" i="5"/>
  <c r="Z15" i="5"/>
  <c r="Y41" i="5"/>
  <c r="W180" i="5"/>
  <c r="X11" i="5"/>
  <c r="X68" i="5"/>
  <c r="Y68" i="5" s="1"/>
  <c r="Y11" i="5" l="1"/>
  <c r="Z191" i="5"/>
  <c r="E191" i="5" s="1"/>
  <c r="Z189" i="5"/>
  <c r="E189" i="5" s="1"/>
  <c r="Z190" i="5"/>
  <c r="E190" i="5" s="1"/>
  <c r="E15" i="5"/>
  <c r="X159" i="5"/>
  <c r="X174" i="5" s="1"/>
  <c r="Y174" i="5" s="1"/>
  <c r="X41" i="5"/>
  <c r="X179" i="5"/>
  <c r="Z178" i="5"/>
  <c r="E178" i="5" s="1"/>
  <c r="Z176" i="5"/>
  <c r="Z121" i="5"/>
  <c r="Z122" i="5"/>
  <c r="Z119" i="5"/>
  <c r="Z118" i="5"/>
  <c r="Z105" i="5"/>
  <c r="Z116" i="5"/>
  <c r="Z106" i="5"/>
  <c r="Z120" i="5"/>
  <c r="Z115" i="5"/>
  <c r="Z113" i="5"/>
  <c r="Z107" i="5"/>
  <c r="Z112" i="5"/>
  <c r="Z104" i="5"/>
  <c r="Z110" i="5"/>
  <c r="Z108" i="5"/>
  <c r="Z114" i="5"/>
  <c r="Z111" i="5"/>
  <c r="Z8" i="5"/>
  <c r="Z117" i="5"/>
  <c r="Z109" i="5"/>
  <c r="Z10" i="5"/>
  <c r="Z39" i="5"/>
  <c r="Z9" i="5"/>
  <c r="X180" i="5"/>
  <c r="Y157" i="5"/>
  <c r="Y140" i="5"/>
  <c r="Y26" i="5"/>
  <c r="Y69" i="5"/>
  <c r="Z14" i="5" l="1"/>
  <c r="E9" i="5"/>
  <c r="X26" i="5"/>
  <c r="X70" i="5"/>
  <c r="Y70" i="5" s="1"/>
  <c r="X140" i="5"/>
  <c r="Y179" i="5"/>
  <c r="Y180" i="5" s="1"/>
  <c r="Z40" i="5"/>
  <c r="E10" i="5"/>
  <c r="Z157" i="5"/>
  <c r="E157" i="5" s="1"/>
  <c r="E39" i="5"/>
  <c r="Z69" i="5"/>
  <c r="E69" i="5" s="1"/>
  <c r="E176" i="5"/>
  <c r="Z68" i="5"/>
  <c r="E68" i="5" s="1"/>
  <c r="Z183" i="5"/>
  <c r="Z11" i="5"/>
  <c r="E8" i="5"/>
  <c r="H183" i="5" l="1"/>
  <c r="G183" i="5"/>
  <c r="I183" i="5"/>
  <c r="J183" i="5"/>
  <c r="K183" i="5"/>
  <c r="L183" i="5"/>
  <c r="M183" i="5"/>
  <c r="N183" i="5"/>
  <c r="O183" i="5"/>
  <c r="P183" i="5"/>
  <c r="Q183" i="5"/>
  <c r="R183" i="5"/>
  <c r="S183" i="5"/>
  <c r="T183" i="5"/>
  <c r="U183" i="5"/>
  <c r="V183" i="5"/>
  <c r="W183" i="5"/>
  <c r="X183" i="5"/>
  <c r="Y183" i="5"/>
  <c r="Z185" i="5"/>
  <c r="Z179" i="5"/>
  <c r="E179" i="5" s="1"/>
  <c r="E11" i="5"/>
  <c r="Z158" i="5"/>
  <c r="E158" i="5" s="1"/>
  <c r="E40" i="5"/>
  <c r="F12" i="3" s="1"/>
  <c r="Z180" i="5"/>
  <c r="E180" i="5" s="1"/>
  <c r="F11" i="3"/>
  <c r="E14" i="5"/>
  <c r="Z159" i="5"/>
  <c r="Z41" i="5"/>
  <c r="V184" i="5" l="1"/>
  <c r="U185" i="5" s="1"/>
  <c r="R184" i="5"/>
  <c r="Q185" i="5"/>
  <c r="M184" i="5"/>
  <c r="L185" i="5" s="1"/>
  <c r="P184" i="5"/>
  <c r="O185" i="5" s="1"/>
  <c r="U186" i="5" s="1"/>
  <c r="G161" i="5"/>
  <c r="W184" i="5"/>
  <c r="V185" i="5" s="1"/>
  <c r="K184" i="5"/>
  <c r="J185" i="5"/>
  <c r="E41" i="5"/>
  <c r="Z26" i="5"/>
  <c r="E26" i="5" s="1"/>
  <c r="Z140" i="5"/>
  <c r="E140" i="5" s="1"/>
  <c r="J184" i="5"/>
  <c r="I185" i="5"/>
  <c r="E159" i="5"/>
  <c r="Z174" i="5"/>
  <c r="E174" i="5" s="1"/>
  <c r="Y177" i="5"/>
  <c r="Y184" i="5"/>
  <c r="X185" i="5" s="1"/>
  <c r="Q184" i="5"/>
  <c r="P185" i="5" s="1"/>
  <c r="X184" i="5"/>
  <c r="W185" i="5" s="1"/>
  <c r="G177" i="5"/>
  <c r="T184" i="5"/>
  <c r="S185" i="5" s="1"/>
  <c r="L184" i="5"/>
  <c r="K185" i="5"/>
  <c r="I184" i="5"/>
  <c r="H185" i="5" s="1"/>
  <c r="Z184" i="5"/>
  <c r="Y185" i="5" s="1"/>
  <c r="N184" i="5"/>
  <c r="M185" i="5" s="1"/>
  <c r="R177" i="5"/>
  <c r="J177" i="5"/>
  <c r="G188" i="5"/>
  <c r="E183" i="5"/>
  <c r="H184" i="5"/>
  <c r="E184" i="5" s="1"/>
  <c r="G187" i="5"/>
  <c r="U184" i="5"/>
  <c r="T185" i="5"/>
  <c r="X177" i="5"/>
  <c r="H146" i="5"/>
  <c r="W177" i="5"/>
  <c r="Z70" i="5"/>
  <c r="E70" i="5" s="1"/>
  <c r="V177" i="5"/>
  <c r="N177" i="5"/>
  <c r="G169" i="5"/>
  <c r="S184" i="5"/>
  <c r="R185" i="5"/>
  <c r="O184" i="5"/>
  <c r="N185" i="5" s="1"/>
  <c r="T186" i="5" s="1"/>
  <c r="Z177" i="5"/>
  <c r="E177" i="5" s="1"/>
  <c r="Y186" i="5" l="1"/>
  <c r="R186" i="5"/>
  <c r="S186" i="5"/>
  <c r="V186" i="5"/>
  <c r="L186" i="5"/>
  <c r="N186" i="5"/>
  <c r="G166" i="5"/>
  <c r="G164" i="5"/>
  <c r="H162" i="5"/>
  <c r="G33" i="5"/>
  <c r="H187" i="5"/>
  <c r="F13" i="3"/>
  <c r="E55" i="3"/>
  <c r="K177" i="5"/>
  <c r="M177" i="5"/>
  <c r="H169" i="5"/>
  <c r="T177" i="5"/>
  <c r="H177" i="5"/>
  <c r="U177" i="5"/>
  <c r="S177" i="5"/>
  <c r="I161" i="5"/>
  <c r="L177" i="5"/>
  <c r="G146" i="5"/>
  <c r="H161" i="5"/>
  <c r="G185" i="5"/>
  <c r="X186" i="5"/>
  <c r="I177" i="5"/>
  <c r="W186" i="5"/>
  <c r="P186" i="5"/>
  <c r="H188" i="5"/>
  <c r="I188" i="5" s="1"/>
  <c r="J188" i="5" s="1"/>
  <c r="K188" i="5" s="1"/>
  <c r="L188" i="5" s="1"/>
  <c r="M188" i="5" s="1"/>
  <c r="N188" i="5" s="1"/>
  <c r="O188" i="5" s="1"/>
  <c r="P188" i="5" s="1"/>
  <c r="Q188" i="5" s="1"/>
  <c r="R188" i="5" s="1"/>
  <c r="S188" i="5" s="1"/>
  <c r="T188" i="5" s="1"/>
  <c r="U188" i="5" s="1"/>
  <c r="V188" i="5" s="1"/>
  <c r="W188" i="5" s="1"/>
  <c r="X188" i="5" s="1"/>
  <c r="Y188" i="5" s="1"/>
  <c r="Z188" i="5" s="1"/>
  <c r="E188" i="5" s="1"/>
  <c r="Q186" i="5"/>
  <c r="P177" i="5"/>
  <c r="I169" i="5"/>
  <c r="O186" i="5"/>
  <c r="Z186" i="5"/>
  <c r="O177" i="5"/>
  <c r="I146" i="5"/>
  <c r="Q177" i="5"/>
  <c r="G138" i="5" l="1"/>
  <c r="G62" i="5"/>
  <c r="G37" i="5"/>
  <c r="G38" i="5"/>
  <c r="H36" i="5"/>
  <c r="E185" i="5"/>
  <c r="I186" i="5"/>
  <c r="J186" i="5"/>
  <c r="K186" i="5"/>
  <c r="M186" i="5"/>
  <c r="G156" i="5"/>
  <c r="H166" i="5"/>
  <c r="I162" i="5"/>
  <c r="I36" i="5" s="1"/>
  <c r="I139" i="5" s="1"/>
  <c r="H164" i="5"/>
  <c r="H33" i="5"/>
  <c r="G163" i="5"/>
  <c r="J162" i="5"/>
  <c r="J36" i="5" s="1"/>
  <c r="J139" i="5" s="1"/>
  <c r="I33" i="5"/>
  <c r="H62" i="5" l="1"/>
  <c r="I62" i="5" s="1"/>
  <c r="G66" i="5"/>
  <c r="I48" i="5"/>
  <c r="I43" i="5"/>
  <c r="I145" i="5"/>
  <c r="J49" i="5"/>
  <c r="J147" i="5"/>
  <c r="E186" i="5"/>
  <c r="I187" i="5"/>
  <c r="J187" i="5" s="1"/>
  <c r="K187" i="5" s="1"/>
  <c r="L187" i="5" s="1"/>
  <c r="M187" i="5" s="1"/>
  <c r="N187" i="5" s="1"/>
  <c r="O187" i="5" s="1"/>
  <c r="P187" i="5" s="1"/>
  <c r="Q187" i="5" s="1"/>
  <c r="R187" i="5" s="1"/>
  <c r="S187" i="5" s="1"/>
  <c r="T187" i="5" s="1"/>
  <c r="U187" i="5" s="1"/>
  <c r="V187" i="5" s="1"/>
  <c r="W187" i="5" s="1"/>
  <c r="X187" i="5" s="1"/>
  <c r="Y187" i="5" s="1"/>
  <c r="Z187" i="5" s="1"/>
  <c r="E187" i="5" s="1"/>
  <c r="I138" i="5"/>
  <c r="I37" i="5"/>
  <c r="I38" i="5"/>
  <c r="G173" i="5"/>
  <c r="H138" i="5"/>
  <c r="H37" i="5"/>
  <c r="J43" i="5" s="1"/>
  <c r="J24" i="5" s="1"/>
  <c r="H38" i="5"/>
  <c r="H139" i="5"/>
  <c r="H65" i="5"/>
  <c r="I65" i="5" s="1"/>
  <c r="J65" i="5" s="1"/>
  <c r="I167" i="5"/>
  <c r="I168" i="5"/>
  <c r="I165" i="5"/>
  <c r="J170" i="5"/>
  <c r="I163" i="5"/>
  <c r="K165" i="5" s="1"/>
  <c r="I164" i="5"/>
  <c r="H163" i="5"/>
  <c r="K170" i="5" s="1"/>
  <c r="G95" i="5"/>
  <c r="G50" i="5"/>
  <c r="G67" i="5"/>
  <c r="G27" i="5"/>
  <c r="G31" i="5"/>
  <c r="K49" i="5" l="1"/>
  <c r="K48" i="5"/>
  <c r="L170" i="5"/>
  <c r="K167" i="5"/>
  <c r="I95" i="5"/>
  <c r="I50" i="5"/>
  <c r="I56" i="5" s="1"/>
  <c r="I27" i="5"/>
  <c r="G23" i="5"/>
  <c r="G17" i="5"/>
  <c r="G55" i="5"/>
  <c r="G60" i="5"/>
  <c r="G53" i="5"/>
  <c r="J48" i="5"/>
  <c r="L49" i="5"/>
  <c r="L147" i="5"/>
  <c r="K168" i="5"/>
  <c r="I77" i="5"/>
  <c r="H67" i="5"/>
  <c r="G97" i="5"/>
  <c r="K43" i="5"/>
  <c r="K24" i="5" s="1"/>
  <c r="J169" i="5"/>
  <c r="J171" i="5"/>
  <c r="J146" i="5"/>
  <c r="J148" i="5"/>
  <c r="H66" i="5"/>
  <c r="I66" i="5" s="1"/>
  <c r="K169" i="5"/>
  <c r="K171" i="5"/>
  <c r="H95" i="5"/>
  <c r="H50" i="5"/>
  <c r="H56" i="5" s="1"/>
  <c r="H27" i="5"/>
  <c r="I24" i="5"/>
  <c r="I72" i="5"/>
  <c r="J167" i="5"/>
  <c r="G79" i="5"/>
  <c r="G56" i="5"/>
  <c r="G96" i="5"/>
  <c r="H96" i="5" s="1"/>
  <c r="J165" i="5"/>
  <c r="J145" i="5"/>
  <c r="I166" i="5"/>
  <c r="K145" i="5"/>
  <c r="K147" i="5"/>
  <c r="J168" i="5"/>
  <c r="H156" i="5"/>
  <c r="H173" i="5" s="1"/>
  <c r="J78" i="5"/>
  <c r="K78" i="5" s="1"/>
  <c r="G98" i="5"/>
  <c r="I98" i="5"/>
  <c r="H98" i="5"/>
  <c r="J77" i="5" l="1"/>
  <c r="K77" i="5" s="1"/>
  <c r="I96" i="5"/>
  <c r="L78" i="5"/>
  <c r="H79" i="5"/>
  <c r="G85" i="5"/>
  <c r="H85" i="5" s="1"/>
  <c r="I85" i="5" s="1"/>
  <c r="G128" i="5"/>
  <c r="I79" i="5"/>
  <c r="J160" i="5"/>
  <c r="L146" i="5"/>
  <c r="L148" i="5"/>
  <c r="G82" i="5"/>
  <c r="J72" i="5"/>
  <c r="H31" i="5"/>
  <c r="K146" i="5"/>
  <c r="K148" i="5"/>
  <c r="I156" i="5"/>
  <c r="I173" i="5" s="1"/>
  <c r="J149" i="5"/>
  <c r="G84" i="5"/>
  <c r="I67" i="5"/>
  <c r="I97" i="5" s="1"/>
  <c r="H97" i="5"/>
  <c r="L169" i="5"/>
  <c r="L171" i="5"/>
  <c r="J175" i="5" l="1"/>
  <c r="J161" i="5"/>
  <c r="J150" i="5"/>
  <c r="J42" i="5"/>
  <c r="J71" i="5" s="1"/>
  <c r="J151" i="5"/>
  <c r="K72" i="5"/>
  <c r="H55" i="5"/>
  <c r="H23" i="5"/>
  <c r="H17" i="5"/>
  <c r="H53" i="5"/>
  <c r="H82" i="5" s="1"/>
  <c r="H60" i="5"/>
  <c r="I31" i="5" l="1"/>
  <c r="K149" i="5"/>
  <c r="K160" i="5"/>
  <c r="H84" i="5"/>
  <c r="J164" i="5"/>
  <c r="J156" i="5" s="1"/>
  <c r="K162" i="5"/>
  <c r="J163" i="5"/>
  <c r="J166" i="5"/>
  <c r="J33" i="5"/>
  <c r="K150" i="5" l="1"/>
  <c r="K42" i="5"/>
  <c r="K71" i="5" s="1"/>
  <c r="I55" i="5"/>
  <c r="I84" i="5" s="1"/>
  <c r="I23" i="5"/>
  <c r="I17" i="5"/>
  <c r="I53" i="5"/>
  <c r="J138" i="5"/>
  <c r="J37" i="5"/>
  <c r="J38" i="5"/>
  <c r="J62" i="5"/>
  <c r="K151" i="5"/>
  <c r="K36" i="5"/>
  <c r="K172" i="5"/>
  <c r="K161" i="5"/>
  <c r="I60" i="5"/>
  <c r="K175" i="5"/>
  <c r="L168" i="5"/>
  <c r="L167" i="5"/>
  <c r="M170" i="5"/>
  <c r="L165" i="5"/>
  <c r="J173" i="5"/>
  <c r="L160" i="5" l="1"/>
  <c r="L175" i="5" s="1"/>
  <c r="K166" i="5"/>
  <c r="K164" i="5"/>
  <c r="K156" i="5" s="1"/>
  <c r="L162" i="5"/>
  <c r="L36" i="5" s="1"/>
  <c r="L139" i="5" s="1"/>
  <c r="K33" i="5"/>
  <c r="J31" i="5"/>
  <c r="K62" i="5"/>
  <c r="I82" i="5"/>
  <c r="J95" i="5"/>
  <c r="J27" i="5"/>
  <c r="J50" i="5"/>
  <c r="J67" i="5"/>
  <c r="K139" i="5"/>
  <c r="K65" i="5"/>
  <c r="L48" i="5"/>
  <c r="M49" i="5"/>
  <c r="L145" i="5"/>
  <c r="L43" i="5"/>
  <c r="M147" i="5"/>
  <c r="J66" i="5"/>
  <c r="M169" i="5"/>
  <c r="M171" i="5"/>
  <c r="L149" i="5"/>
  <c r="J98" i="5"/>
  <c r="K173" i="5" l="1"/>
  <c r="M160" i="5"/>
  <c r="M175" i="5"/>
  <c r="J23" i="5"/>
  <c r="J55" i="5"/>
  <c r="J84" i="5" s="1"/>
  <c r="J17" i="5"/>
  <c r="J53" i="5"/>
  <c r="J82" i="5" s="1"/>
  <c r="K163" i="5"/>
  <c r="M78" i="5"/>
  <c r="L150" i="5"/>
  <c r="L42" i="5"/>
  <c r="L71" i="5" s="1"/>
  <c r="M146" i="5"/>
  <c r="M148" i="5"/>
  <c r="L77" i="5"/>
  <c r="J96" i="5"/>
  <c r="L24" i="5"/>
  <c r="L72" i="5"/>
  <c r="J56" i="5"/>
  <c r="J79" i="5"/>
  <c r="J60" i="5"/>
  <c r="L151" i="5"/>
  <c r="L65" i="5"/>
  <c r="L172" i="5"/>
  <c r="L161" i="5"/>
  <c r="J97" i="5"/>
  <c r="K138" i="5"/>
  <c r="K38" i="5"/>
  <c r="K37" i="5"/>
  <c r="K66" i="5" s="1"/>
  <c r="M48" i="5" l="1"/>
  <c r="M145" i="5"/>
  <c r="M43" i="5"/>
  <c r="N147" i="5"/>
  <c r="N49" i="5"/>
  <c r="N78" i="5" s="1"/>
  <c r="M172" i="5"/>
  <c r="M161" i="5"/>
  <c r="J85" i="5"/>
  <c r="K95" i="5"/>
  <c r="K27" i="5"/>
  <c r="K50" i="5"/>
  <c r="M149" i="5"/>
  <c r="M151" i="5" s="1"/>
  <c r="K31" i="5"/>
  <c r="L156" i="5"/>
  <c r="L173" i="5" s="1"/>
  <c r="M162" i="5"/>
  <c r="M36" i="5" s="1"/>
  <c r="M65" i="5" s="1"/>
  <c r="L166" i="5"/>
  <c r="L164" i="5"/>
  <c r="L33" i="5"/>
  <c r="M165" i="5"/>
  <c r="N170" i="5"/>
  <c r="M168" i="5"/>
  <c r="M167" i="5"/>
  <c r="K67" i="5"/>
  <c r="K96" i="5"/>
  <c r="K98" i="5"/>
  <c r="L163" i="5" l="1"/>
  <c r="M150" i="5"/>
  <c r="M42" i="5"/>
  <c r="M71" i="5" s="1"/>
  <c r="K97" i="5"/>
  <c r="M164" i="5"/>
  <c r="M156" i="5" s="1"/>
  <c r="M173" i="5" s="1"/>
  <c r="M166" i="5"/>
  <c r="N162" i="5"/>
  <c r="N36" i="5" s="1"/>
  <c r="N139" i="5" s="1"/>
  <c r="M33" i="5"/>
  <c r="N146" i="5"/>
  <c r="N148" i="5"/>
  <c r="N149" i="5" s="1"/>
  <c r="M24" i="5"/>
  <c r="K55" i="5"/>
  <c r="K84" i="5" s="1"/>
  <c r="K23" i="5"/>
  <c r="K17" i="5"/>
  <c r="K53" i="5"/>
  <c r="K82" i="5" s="1"/>
  <c r="N169" i="5"/>
  <c r="N171" i="5"/>
  <c r="N160" i="5" s="1"/>
  <c r="L138" i="5"/>
  <c r="L38" i="5"/>
  <c r="L67" i="5" s="1"/>
  <c r="L37" i="5"/>
  <c r="L62" i="5"/>
  <c r="K56" i="5"/>
  <c r="M72" i="5"/>
  <c r="K79" i="5"/>
  <c r="M139" i="5"/>
  <c r="K60" i="5"/>
  <c r="M77" i="5"/>
  <c r="N65" i="5" l="1"/>
  <c r="N167" i="5"/>
  <c r="N165" i="5"/>
  <c r="O170" i="5"/>
  <c r="N168" i="5"/>
  <c r="N150" i="5"/>
  <c r="N42" i="5"/>
  <c r="N151" i="5"/>
  <c r="N172" i="5"/>
  <c r="N161" i="5"/>
  <c r="N175" i="5"/>
  <c r="M138" i="5"/>
  <c r="M38" i="5"/>
  <c r="M67" i="5" s="1"/>
  <c r="M37" i="5"/>
  <c r="O43" i="5" s="1"/>
  <c r="O24" i="5" s="1"/>
  <c r="N71" i="5"/>
  <c r="M62" i="5"/>
  <c r="N48" i="5"/>
  <c r="N43" i="5"/>
  <c r="N24" i="5" s="1"/>
  <c r="N145" i="5"/>
  <c r="O49" i="5"/>
  <c r="O78" i="5" s="1"/>
  <c r="O147" i="5"/>
  <c r="L66" i="5"/>
  <c r="M163" i="5"/>
  <c r="L79" i="5"/>
  <c r="L97" i="5"/>
  <c r="L95" i="5"/>
  <c r="L27" i="5"/>
  <c r="L50" i="5"/>
  <c r="K85" i="5"/>
  <c r="L31" i="5"/>
  <c r="L98" i="5"/>
  <c r="N72" i="5" l="1"/>
  <c r="P147" i="5"/>
  <c r="P148" i="5" s="1"/>
  <c r="O145" i="5"/>
  <c r="P49" i="5"/>
  <c r="P78" i="5" s="1"/>
  <c r="O169" i="5"/>
  <c r="O171" i="5"/>
  <c r="O160" i="5" s="1"/>
  <c r="O175" i="5" s="1"/>
  <c r="M66" i="5"/>
  <c r="N164" i="5"/>
  <c r="N156" i="5" s="1"/>
  <c r="N173" i="5" s="1"/>
  <c r="N166" i="5"/>
  <c r="O162" i="5"/>
  <c r="O36" i="5" s="1"/>
  <c r="N33" i="5"/>
  <c r="L23" i="5"/>
  <c r="L55" i="5"/>
  <c r="L84" i="5" s="1"/>
  <c r="L17" i="5"/>
  <c r="L53" i="5"/>
  <c r="L82" i="5" s="1"/>
  <c r="P146" i="5"/>
  <c r="M95" i="5"/>
  <c r="M50" i="5"/>
  <c r="M56" i="5" s="1"/>
  <c r="M27" i="5"/>
  <c r="L96" i="5"/>
  <c r="M96" i="5" s="1"/>
  <c r="L60" i="5"/>
  <c r="O146" i="5"/>
  <c r="O148" i="5"/>
  <c r="O149" i="5" s="1"/>
  <c r="O48" i="5"/>
  <c r="O72" i="5"/>
  <c r="L56" i="5"/>
  <c r="L85" i="5" s="1"/>
  <c r="M85" i="5" s="1"/>
  <c r="N77" i="5"/>
  <c r="M97" i="5"/>
  <c r="O167" i="5"/>
  <c r="P170" i="5"/>
  <c r="O165" i="5"/>
  <c r="O168" i="5"/>
  <c r="M98" i="5"/>
  <c r="M79" i="5" l="1"/>
  <c r="O150" i="5"/>
  <c r="O42" i="5"/>
  <c r="O71" i="5" s="1"/>
  <c r="O151" i="5"/>
  <c r="N138" i="5"/>
  <c r="N38" i="5"/>
  <c r="N37" i="5"/>
  <c r="N163" i="5"/>
  <c r="M31" i="5"/>
  <c r="O172" i="5"/>
  <c r="O161" i="5"/>
  <c r="O77" i="5"/>
  <c r="O139" i="5"/>
  <c r="O65" i="5"/>
  <c r="P169" i="5"/>
  <c r="P171" i="5"/>
  <c r="P160" i="5" s="1"/>
  <c r="N62" i="5"/>
  <c r="P172" i="5" l="1"/>
  <c r="P161" i="5"/>
  <c r="P175" i="5"/>
  <c r="O166" i="5"/>
  <c r="O164" i="5"/>
  <c r="O156" i="5" s="1"/>
  <c r="O173" i="5" s="1"/>
  <c r="P162" i="5"/>
  <c r="P36" i="5" s="1"/>
  <c r="P139" i="5" s="1"/>
  <c r="O33" i="5"/>
  <c r="O62" i="5" s="1"/>
  <c r="N95" i="5"/>
  <c r="N27" i="5"/>
  <c r="N50" i="5"/>
  <c r="N67" i="5"/>
  <c r="P167" i="5"/>
  <c r="P165" i="5"/>
  <c r="P168" i="5"/>
  <c r="Q170" i="5"/>
  <c r="P48" i="5"/>
  <c r="P77" i="5" s="1"/>
  <c r="P43" i="5"/>
  <c r="P145" i="5"/>
  <c r="N66" i="5"/>
  <c r="Q49" i="5"/>
  <c r="Q78" i="5" s="1"/>
  <c r="Q147" i="5"/>
  <c r="P149" i="5"/>
  <c r="P151" i="5" s="1"/>
  <c r="M23" i="5"/>
  <c r="M17" i="5"/>
  <c r="M53" i="5"/>
  <c r="M82" i="5" s="1"/>
  <c r="M55" i="5"/>
  <c r="M84" i="5" s="1"/>
  <c r="M60" i="5"/>
  <c r="N98" i="5"/>
  <c r="O138" i="5" l="1"/>
  <c r="O37" i="5"/>
  <c r="O66" i="5" s="1"/>
  <c r="O38" i="5"/>
  <c r="Q146" i="5"/>
  <c r="Q148" i="5"/>
  <c r="Q149" i="5" s="1"/>
  <c r="P65" i="5"/>
  <c r="N56" i="5"/>
  <c r="N85" i="5" s="1"/>
  <c r="N79" i="5"/>
  <c r="P24" i="5"/>
  <c r="P72" i="5"/>
  <c r="N31" i="5"/>
  <c r="N60" i="5" s="1"/>
  <c r="Q169" i="5"/>
  <c r="Q171" i="5"/>
  <c r="Q160" i="5" s="1"/>
  <c r="Q175" i="5" s="1"/>
  <c r="O163" i="5"/>
  <c r="P166" i="5"/>
  <c r="P164" i="5"/>
  <c r="P156" i="5" s="1"/>
  <c r="P173" i="5" s="1"/>
  <c r="Q162" i="5"/>
  <c r="Q36" i="5" s="1"/>
  <c r="Q139" i="5" s="1"/>
  <c r="P33" i="5"/>
  <c r="P150" i="5"/>
  <c r="P42" i="5"/>
  <c r="P71" i="5" s="1"/>
  <c r="O67" i="5"/>
  <c r="N97" i="5"/>
  <c r="N96" i="5"/>
  <c r="Q150" i="5" l="1"/>
  <c r="Q42" i="5"/>
  <c r="Q151" i="5"/>
  <c r="O31" i="5"/>
  <c r="P66" i="5"/>
  <c r="O95" i="5"/>
  <c r="O96" i="5" s="1"/>
  <c r="O50" i="5"/>
  <c r="O56" i="5" s="1"/>
  <c r="O85" i="5" s="1"/>
  <c r="O27" i="5"/>
  <c r="P138" i="5"/>
  <c r="P37" i="5"/>
  <c r="R43" i="5" s="1"/>
  <c r="R24" i="5" s="1"/>
  <c r="P38" i="5"/>
  <c r="P67" i="5" s="1"/>
  <c r="S170" i="5"/>
  <c r="R168" i="5"/>
  <c r="R165" i="5"/>
  <c r="R167" i="5"/>
  <c r="Q167" i="5"/>
  <c r="R170" i="5"/>
  <c r="Q168" i="5"/>
  <c r="Q165" i="5"/>
  <c r="P163" i="5"/>
  <c r="P62" i="5"/>
  <c r="Q172" i="5"/>
  <c r="Q161" i="5"/>
  <c r="O97" i="5"/>
  <c r="Q48" i="5"/>
  <c r="S49" i="5"/>
  <c r="S147" i="5"/>
  <c r="Q145" i="5"/>
  <c r="R145" i="5"/>
  <c r="R49" i="5"/>
  <c r="R78" i="5" s="1"/>
  <c r="Q43" i="5"/>
  <c r="Q24" i="5" s="1"/>
  <c r="R147" i="5"/>
  <c r="N23" i="5"/>
  <c r="N17" i="5"/>
  <c r="N55" i="5"/>
  <c r="N84" i="5" s="1"/>
  <c r="N53" i="5"/>
  <c r="N82" i="5" s="1"/>
  <c r="Q71" i="5"/>
  <c r="Q65" i="5"/>
  <c r="O98" i="5"/>
  <c r="O79" i="5" l="1"/>
  <c r="R169" i="5"/>
  <c r="R171" i="5"/>
  <c r="R160" i="5" s="1"/>
  <c r="S169" i="5"/>
  <c r="S171" i="5"/>
  <c r="R146" i="5"/>
  <c r="R148" i="5"/>
  <c r="R149" i="5" s="1"/>
  <c r="O23" i="5"/>
  <c r="O17" i="5"/>
  <c r="O55" i="5"/>
  <c r="O84" i="5" s="1"/>
  <c r="O53" i="5"/>
  <c r="O82" i="5" s="1"/>
  <c r="O60" i="5"/>
  <c r="P97" i="5"/>
  <c r="S78" i="5"/>
  <c r="P95" i="5"/>
  <c r="P96" i="5" s="1"/>
  <c r="P50" i="5"/>
  <c r="P56" i="5" s="1"/>
  <c r="P85" i="5" s="1"/>
  <c r="P27" i="5"/>
  <c r="Q72" i="5"/>
  <c r="Q164" i="5"/>
  <c r="Q156" i="5" s="1"/>
  <c r="Q173" i="5" s="1"/>
  <c r="Q166" i="5"/>
  <c r="R162" i="5"/>
  <c r="R36" i="5" s="1"/>
  <c r="R139" i="5" s="1"/>
  <c r="Q163" i="5"/>
  <c r="Q33" i="5"/>
  <c r="S146" i="5"/>
  <c r="S148" i="5"/>
  <c r="Q77" i="5"/>
  <c r="R48" i="5"/>
  <c r="P98" i="5"/>
  <c r="R65" i="5" l="1"/>
  <c r="S168" i="5"/>
  <c r="R150" i="5"/>
  <c r="R42" i="5"/>
  <c r="R71" i="5" s="1"/>
  <c r="R77" i="5"/>
  <c r="T170" i="5"/>
  <c r="Q138" i="5"/>
  <c r="Q37" i="5"/>
  <c r="Q38" i="5"/>
  <c r="S165" i="5"/>
  <c r="R151" i="5"/>
  <c r="P79" i="5"/>
  <c r="P31" i="5"/>
  <c r="P60" i="5" s="1"/>
  <c r="R172" i="5"/>
  <c r="R161" i="5"/>
  <c r="R175" i="5"/>
  <c r="S167" i="5"/>
  <c r="Q62" i="5"/>
  <c r="R72" i="5"/>
  <c r="Q31" i="5" l="1"/>
  <c r="Q95" i="5"/>
  <c r="Q50" i="5"/>
  <c r="Q56" i="5" s="1"/>
  <c r="Q85" i="5" s="1"/>
  <c r="Q27" i="5"/>
  <c r="Q67" i="5"/>
  <c r="S48" i="5"/>
  <c r="S77" i="5" s="1"/>
  <c r="S145" i="5"/>
  <c r="S43" i="5"/>
  <c r="S24" i="5" s="1"/>
  <c r="Q66" i="5"/>
  <c r="T147" i="5"/>
  <c r="T49" i="5"/>
  <c r="T78" i="5" s="1"/>
  <c r="Q79" i="5"/>
  <c r="S160" i="5"/>
  <c r="P55" i="5"/>
  <c r="P84" i="5" s="1"/>
  <c r="P23" i="5"/>
  <c r="P17" i="5"/>
  <c r="P53" i="5"/>
  <c r="P82" i="5" s="1"/>
  <c r="T169" i="5"/>
  <c r="T171" i="5"/>
  <c r="R164" i="5"/>
  <c r="R156" i="5" s="1"/>
  <c r="R173" i="5" s="1"/>
  <c r="S162" i="5"/>
  <c r="S36" i="5" s="1"/>
  <c r="R166" i="5"/>
  <c r="R163" i="5"/>
  <c r="R33" i="5"/>
  <c r="S149" i="5"/>
  <c r="S151" i="5" s="1"/>
  <c r="Q98" i="5"/>
  <c r="S172" i="5" l="1"/>
  <c r="S161" i="5"/>
  <c r="Q55" i="5"/>
  <c r="Q84" i="5" s="1"/>
  <c r="Q23" i="5"/>
  <c r="Q17" i="5"/>
  <c r="Q53" i="5"/>
  <c r="R138" i="5"/>
  <c r="R37" i="5"/>
  <c r="R38" i="5"/>
  <c r="R67" i="5" s="1"/>
  <c r="T146" i="5"/>
  <c r="T148" i="5"/>
  <c r="T149" i="5" s="1"/>
  <c r="Q96" i="5"/>
  <c r="Q60" i="5"/>
  <c r="Q97" i="5"/>
  <c r="T167" i="5"/>
  <c r="T165" i="5"/>
  <c r="U170" i="5"/>
  <c r="T168" i="5"/>
  <c r="S175" i="5"/>
  <c r="S139" i="5"/>
  <c r="S65" i="5"/>
  <c r="Q82" i="5"/>
  <c r="S72" i="5"/>
  <c r="S150" i="5"/>
  <c r="S42" i="5"/>
  <c r="S71" i="5" s="1"/>
  <c r="R62" i="5"/>
  <c r="R97" i="5" l="1"/>
  <c r="T160" i="5"/>
  <c r="T48" i="5"/>
  <c r="U49" i="5"/>
  <c r="U78" i="5" s="1"/>
  <c r="T145" i="5"/>
  <c r="U147" i="5"/>
  <c r="T43" i="5"/>
  <c r="T24" i="5" s="1"/>
  <c r="R95" i="5"/>
  <c r="R96" i="5" s="1"/>
  <c r="R27" i="5"/>
  <c r="R50" i="5"/>
  <c r="U169" i="5"/>
  <c r="U171" i="5"/>
  <c r="R31" i="5"/>
  <c r="T150" i="5"/>
  <c r="T42" i="5"/>
  <c r="T71" i="5" s="1"/>
  <c r="T151" i="5"/>
  <c r="R66" i="5"/>
  <c r="S166" i="5"/>
  <c r="S164" i="5"/>
  <c r="S156" i="5" s="1"/>
  <c r="S173" i="5" s="1"/>
  <c r="T162" i="5"/>
  <c r="T36" i="5" s="1"/>
  <c r="T139" i="5" s="1"/>
  <c r="S33" i="5"/>
  <c r="S62" i="5" s="1"/>
  <c r="R98" i="5"/>
  <c r="T65" i="5" l="1"/>
  <c r="T72" i="5"/>
  <c r="S163" i="5"/>
  <c r="U168" i="5" s="1"/>
  <c r="T77" i="5"/>
  <c r="T172" i="5"/>
  <c r="T161" i="5"/>
  <c r="V170" i="5"/>
  <c r="U165" i="5"/>
  <c r="T175" i="5"/>
  <c r="U146" i="5"/>
  <c r="U148" i="5"/>
  <c r="U149" i="5" s="1"/>
  <c r="U151" i="5" s="1"/>
  <c r="S138" i="5"/>
  <c r="S38" i="5"/>
  <c r="S37" i="5"/>
  <c r="S66" i="5" s="1"/>
  <c r="R23" i="5"/>
  <c r="R17" i="5"/>
  <c r="R55" i="5"/>
  <c r="R84" i="5" s="1"/>
  <c r="R53" i="5"/>
  <c r="R82" i="5" s="1"/>
  <c r="R56" i="5"/>
  <c r="R85" i="5" s="1"/>
  <c r="R79" i="5"/>
  <c r="R60" i="5"/>
  <c r="U167" i="5" l="1"/>
  <c r="V169" i="5"/>
  <c r="V171" i="5"/>
  <c r="S27" i="5"/>
  <c r="S95" i="5"/>
  <c r="S50" i="5"/>
  <c r="S56" i="5" s="1"/>
  <c r="S85" i="5" s="1"/>
  <c r="S67" i="5"/>
  <c r="U162" i="5"/>
  <c r="U36" i="5" s="1"/>
  <c r="T166" i="5"/>
  <c r="T164" i="5"/>
  <c r="T156" i="5" s="1"/>
  <c r="T173" i="5" s="1"/>
  <c r="T33" i="5"/>
  <c r="U150" i="5"/>
  <c r="U42" i="5"/>
  <c r="U71" i="5" s="1"/>
  <c r="U48" i="5"/>
  <c r="U77" i="5" s="1"/>
  <c r="U43" i="5"/>
  <c r="V147" i="5"/>
  <c r="V49" i="5"/>
  <c r="V78" i="5" s="1"/>
  <c r="U145" i="5"/>
  <c r="S31" i="5"/>
  <c r="U160" i="5"/>
  <c r="U175" i="5" s="1"/>
  <c r="S98" i="5"/>
  <c r="T163" i="5" l="1"/>
  <c r="U24" i="5"/>
  <c r="U72" i="5"/>
  <c r="V160" i="5"/>
  <c r="V175" i="5" s="1"/>
  <c r="S79" i="5"/>
  <c r="S96" i="5"/>
  <c r="S17" i="5"/>
  <c r="S55" i="5"/>
  <c r="S84" i="5" s="1"/>
  <c r="S23" i="5"/>
  <c r="S53" i="5"/>
  <c r="S82" i="5" s="1"/>
  <c r="S60" i="5"/>
  <c r="V146" i="5"/>
  <c r="V148" i="5"/>
  <c r="V149" i="5" s="1"/>
  <c r="T138" i="5"/>
  <c r="T38" i="5"/>
  <c r="T67" i="5" s="1"/>
  <c r="T37" i="5"/>
  <c r="T62" i="5"/>
  <c r="V165" i="5"/>
  <c r="V167" i="5"/>
  <c r="V168" i="5"/>
  <c r="W170" i="5"/>
  <c r="U139" i="5"/>
  <c r="U65" i="5"/>
  <c r="U172" i="5"/>
  <c r="U161" i="5"/>
  <c r="S97" i="5"/>
  <c r="V150" i="5" l="1"/>
  <c r="V42" i="5"/>
  <c r="V71" i="5" s="1"/>
  <c r="V151" i="5"/>
  <c r="W169" i="5"/>
  <c r="W171" i="5"/>
  <c r="W160" i="5" s="1"/>
  <c r="V48" i="5"/>
  <c r="T66" i="5"/>
  <c r="W49" i="5"/>
  <c r="W78" i="5" s="1"/>
  <c r="V43" i="5"/>
  <c r="V24" i="5" s="1"/>
  <c r="V145" i="5"/>
  <c r="W147" i="5"/>
  <c r="V172" i="5"/>
  <c r="V161" i="5"/>
  <c r="T97" i="5"/>
  <c r="U166" i="5"/>
  <c r="U164" i="5"/>
  <c r="U156" i="5" s="1"/>
  <c r="U173" i="5" s="1"/>
  <c r="V162" i="5"/>
  <c r="V36" i="5" s="1"/>
  <c r="V139" i="5" s="1"/>
  <c r="U33" i="5"/>
  <c r="T95" i="5"/>
  <c r="T27" i="5"/>
  <c r="T50" i="5"/>
  <c r="T56" i="5" s="1"/>
  <c r="T85" i="5" s="1"/>
  <c r="T31" i="5"/>
  <c r="T60" i="5" s="1"/>
  <c r="T96" i="5"/>
  <c r="T98" i="5"/>
  <c r="T79" i="5" l="1"/>
  <c r="W172" i="5"/>
  <c r="W161" i="5"/>
  <c r="W175" i="5"/>
  <c r="U138" i="5"/>
  <c r="U38" i="5"/>
  <c r="U37" i="5"/>
  <c r="U66" i="5" s="1"/>
  <c r="W146" i="5"/>
  <c r="W148" i="5"/>
  <c r="U163" i="5"/>
  <c r="W149" i="5"/>
  <c r="W151" i="5"/>
  <c r="U62" i="5"/>
  <c r="V77" i="5"/>
  <c r="V72" i="5"/>
  <c r="T17" i="5"/>
  <c r="T55" i="5"/>
  <c r="T84" i="5" s="1"/>
  <c r="T23" i="5"/>
  <c r="T53" i="5"/>
  <c r="T82" i="5" s="1"/>
  <c r="V65" i="5"/>
  <c r="V164" i="5"/>
  <c r="V156" i="5" s="1"/>
  <c r="V173" i="5" s="1"/>
  <c r="V166" i="5"/>
  <c r="W162" i="5"/>
  <c r="W36" i="5" s="1"/>
  <c r="W139" i="5" s="1"/>
  <c r="V33" i="5"/>
  <c r="V62" i="5" l="1"/>
  <c r="W65" i="5"/>
  <c r="U95" i="5"/>
  <c r="U27" i="5"/>
  <c r="U50" i="5"/>
  <c r="U67" i="5"/>
  <c r="W150" i="5"/>
  <c r="W42" i="5"/>
  <c r="W71" i="5" s="1"/>
  <c r="U31" i="5"/>
  <c r="W164" i="5"/>
  <c r="W156" i="5" s="1"/>
  <c r="W173" i="5" s="1"/>
  <c r="X162" i="5"/>
  <c r="X36" i="5" s="1"/>
  <c r="X139" i="5" s="1"/>
  <c r="W33" i="5"/>
  <c r="W62" i="5" s="1"/>
  <c r="W167" i="5"/>
  <c r="W168" i="5"/>
  <c r="X168" i="5"/>
  <c r="X170" i="5"/>
  <c r="W165" i="5"/>
  <c r="W166" i="5" s="1"/>
  <c r="V138" i="5"/>
  <c r="V38" i="5"/>
  <c r="V37" i="5"/>
  <c r="X145" i="5" s="1"/>
  <c r="V163" i="5"/>
  <c r="X167" i="5" s="1"/>
  <c r="W48" i="5"/>
  <c r="W77" i="5" s="1"/>
  <c r="W43" i="5"/>
  <c r="W24" i="5" s="1"/>
  <c r="X49" i="5"/>
  <c r="X78" i="5" s="1"/>
  <c r="W145" i="5"/>
  <c r="X147" i="5"/>
  <c r="U98" i="5"/>
  <c r="X65" i="5" l="1"/>
  <c r="Y49" i="5"/>
  <c r="Y78" i="5" s="1"/>
  <c r="X43" i="5"/>
  <c r="X24" i="5" s="1"/>
  <c r="V66" i="5"/>
  <c r="Y147" i="5"/>
  <c r="Y146" i="5" s="1"/>
  <c r="W72" i="5"/>
  <c r="X72" i="5" s="1"/>
  <c r="V67" i="5"/>
  <c r="U97" i="5"/>
  <c r="U56" i="5"/>
  <c r="U85" i="5" s="1"/>
  <c r="U79" i="5"/>
  <c r="X165" i="5"/>
  <c r="U96" i="5"/>
  <c r="V96" i="5" s="1"/>
  <c r="X169" i="5"/>
  <c r="X171" i="5"/>
  <c r="X160" i="5" s="1"/>
  <c r="U23" i="5"/>
  <c r="U17" i="5"/>
  <c r="U55" i="5"/>
  <c r="U84" i="5" s="1"/>
  <c r="U53" i="5"/>
  <c r="U82" i="5" s="1"/>
  <c r="U60" i="5"/>
  <c r="W138" i="5"/>
  <c r="W38" i="5"/>
  <c r="W37" i="5"/>
  <c r="Z147" i="5" s="1"/>
  <c r="W163" i="5"/>
  <c r="Z170" i="5" s="1"/>
  <c r="X146" i="5"/>
  <c r="X148" i="5"/>
  <c r="X149" i="5" s="1"/>
  <c r="X48" i="5"/>
  <c r="X77" i="5" s="1"/>
  <c r="V95" i="5"/>
  <c r="V27" i="5"/>
  <c r="V50" i="5"/>
  <c r="V56" i="5" s="1"/>
  <c r="Y170" i="5"/>
  <c r="V98" i="5"/>
  <c r="Y148" i="5" l="1"/>
  <c r="V85" i="5"/>
  <c r="V79" i="5"/>
  <c r="Z169" i="5"/>
  <c r="Z171" i="5"/>
  <c r="E170" i="5"/>
  <c r="X150" i="5"/>
  <c r="X42" i="5"/>
  <c r="X71" i="5" s="1"/>
  <c r="X151" i="5"/>
  <c r="Y165" i="5"/>
  <c r="Y167" i="5"/>
  <c r="Y168" i="5"/>
  <c r="Z146" i="5"/>
  <c r="E146" i="5" s="1"/>
  <c r="Z148" i="5"/>
  <c r="E148" i="5" s="1"/>
  <c r="E147" i="5"/>
  <c r="F28" i="3" s="1"/>
  <c r="Y169" i="5"/>
  <c r="Y171" i="5"/>
  <c r="Y48" i="5"/>
  <c r="Y77" i="5" s="1"/>
  <c r="Y145" i="5"/>
  <c r="Y43" i="5"/>
  <c r="Y24" i="5" s="1"/>
  <c r="V31" i="5"/>
  <c r="W67" i="5"/>
  <c r="V97" i="5"/>
  <c r="X172" i="5"/>
  <c r="X161" i="5"/>
  <c r="X175" i="5"/>
  <c r="Z49" i="5"/>
  <c r="E49" i="5" s="1"/>
  <c r="W95" i="5"/>
  <c r="W50" i="5"/>
  <c r="W56" i="5" s="1"/>
  <c r="W85" i="5" s="1"/>
  <c r="W27" i="5"/>
  <c r="W66" i="5"/>
  <c r="W98" i="5"/>
  <c r="W79" i="5" l="1"/>
  <c r="Y72" i="5"/>
  <c r="Y160" i="5"/>
  <c r="V23" i="5"/>
  <c r="V17" i="5"/>
  <c r="V55" i="5"/>
  <c r="V84" i="5" s="1"/>
  <c r="V53" i="5"/>
  <c r="V82" i="5" s="1"/>
  <c r="Z78" i="5"/>
  <c r="E78" i="5" s="1"/>
  <c r="E171" i="5"/>
  <c r="Y149" i="5"/>
  <c r="Y151" i="5" s="1"/>
  <c r="V60" i="5"/>
  <c r="E169" i="5"/>
  <c r="X166" i="5"/>
  <c r="X164" i="5"/>
  <c r="X156" i="5" s="1"/>
  <c r="X173" i="5" s="1"/>
  <c r="Y162" i="5"/>
  <c r="Y36" i="5" s="1"/>
  <c r="X33" i="5"/>
  <c r="W97" i="5"/>
  <c r="W96" i="5"/>
  <c r="X138" i="5" l="1"/>
  <c r="X37" i="5"/>
  <c r="X38" i="5"/>
  <c r="X62" i="5"/>
  <c r="Y172" i="5"/>
  <c r="Y161" i="5"/>
  <c r="X163" i="5"/>
  <c r="Y175" i="5"/>
  <c r="W31" i="5"/>
  <c r="W60" i="5" s="1"/>
  <c r="Y139" i="5"/>
  <c r="Y65" i="5"/>
  <c r="Z149" i="5"/>
  <c r="Y150" i="5"/>
  <c r="Y42" i="5"/>
  <c r="Y71" i="5" s="1"/>
  <c r="X31" i="5" l="1"/>
  <c r="Z150" i="5"/>
  <c r="E150" i="5" s="1"/>
  <c r="Z42" i="5"/>
  <c r="E42" i="5" s="1"/>
  <c r="E149" i="5"/>
  <c r="E153" i="5" s="1"/>
  <c r="Z160" i="5"/>
  <c r="Z175" i="5"/>
  <c r="E175" i="5" s="1"/>
  <c r="Y164" i="5"/>
  <c r="Y156" i="5" s="1"/>
  <c r="Y173" i="5" s="1"/>
  <c r="Z162" i="5"/>
  <c r="Y163" i="5" s="1"/>
  <c r="Y166" i="5"/>
  <c r="Y33" i="5"/>
  <c r="Z151" i="5"/>
  <c r="E151" i="5" s="1"/>
  <c r="E152" i="5" s="1"/>
  <c r="X95" i="5"/>
  <c r="X50" i="5"/>
  <c r="X27" i="5"/>
  <c r="X67" i="5"/>
  <c r="Z48" i="5"/>
  <c r="Z43" i="5"/>
  <c r="Z145" i="5"/>
  <c r="E145" i="5" s="1"/>
  <c r="F27" i="3" s="1"/>
  <c r="X66" i="5"/>
  <c r="W23" i="5"/>
  <c r="W17" i="5"/>
  <c r="W55" i="5"/>
  <c r="W84" i="5" s="1"/>
  <c r="W53" i="5"/>
  <c r="W82" i="5" s="1"/>
  <c r="Z168" i="5"/>
  <c r="E168" i="5" s="1"/>
  <c r="Z167" i="5"/>
  <c r="E167" i="5" s="1"/>
  <c r="Z165" i="5"/>
  <c r="E165" i="5" s="1"/>
  <c r="X98" i="5"/>
  <c r="X97" i="5" l="1"/>
  <c r="Z36" i="5"/>
  <c r="E162" i="5"/>
  <c r="X56" i="5"/>
  <c r="X85" i="5" s="1"/>
  <c r="X79" i="5"/>
  <c r="E48" i="5"/>
  <c r="Z77" i="5"/>
  <c r="E77" i="5" s="1"/>
  <c r="Z24" i="5"/>
  <c r="E24" i="5" s="1"/>
  <c r="E43" i="5"/>
  <c r="E58" i="3" s="1"/>
  <c r="Z72" i="5"/>
  <c r="Y138" i="5"/>
  <c r="Y37" i="5"/>
  <c r="Y66" i="5" s="1"/>
  <c r="Y38" i="5"/>
  <c r="X82" i="5"/>
  <c r="F29" i="3"/>
  <c r="F25" i="3" s="1"/>
  <c r="E56" i="3"/>
  <c r="X55" i="5"/>
  <c r="X84" i="5" s="1"/>
  <c r="X23" i="5"/>
  <c r="X17" i="5"/>
  <c r="X53" i="5"/>
  <c r="X60" i="5"/>
  <c r="X96" i="5"/>
  <c r="Y62" i="5"/>
  <c r="Z172" i="5"/>
  <c r="E172" i="5" s="1"/>
  <c r="Z161" i="5"/>
  <c r="E160" i="5"/>
  <c r="Z71" i="5"/>
  <c r="E71" i="5" s="1"/>
  <c r="Z164" i="5" l="1"/>
  <c r="Z166" i="5"/>
  <c r="E166" i="5" s="1"/>
  <c r="Z163" i="5"/>
  <c r="E163" i="5" s="1"/>
  <c r="Z33" i="5"/>
  <c r="E161" i="5"/>
  <c r="Z62" i="5"/>
  <c r="E62" i="5" s="1"/>
  <c r="Y31" i="5"/>
  <c r="Y60" i="5" s="1"/>
  <c r="E72" i="5"/>
  <c r="Z139" i="5"/>
  <c r="E139" i="5" s="1"/>
  <c r="E36" i="5"/>
  <c r="Z65" i="5"/>
  <c r="E65" i="5" s="1"/>
  <c r="Y95" i="5"/>
  <c r="Y50" i="5"/>
  <c r="Y56" i="5" s="1"/>
  <c r="Y85" i="5" s="1"/>
  <c r="Y27" i="5"/>
  <c r="Y67" i="5"/>
  <c r="Y98" i="5"/>
  <c r="E164" i="5" l="1"/>
  <c r="Z156" i="5"/>
  <c r="Y79" i="5"/>
  <c r="G131" i="5"/>
  <c r="H131" i="5"/>
  <c r="I131" i="5"/>
  <c r="J131" i="5"/>
  <c r="K131" i="5"/>
  <c r="L131" i="5"/>
  <c r="M131" i="5"/>
  <c r="N131" i="5"/>
  <c r="O131" i="5"/>
  <c r="P131" i="5"/>
  <c r="Y55" i="5"/>
  <c r="Y84" i="5" s="1"/>
  <c r="Y23" i="5"/>
  <c r="Y17" i="5"/>
  <c r="Y53" i="5"/>
  <c r="Y82" i="5" s="1"/>
  <c r="Y96" i="5"/>
  <c r="Y97" i="5"/>
  <c r="Z138" i="5"/>
  <c r="E138" i="5" s="1"/>
  <c r="Z37" i="5"/>
  <c r="Z38" i="5"/>
  <c r="Z31" i="5" s="1"/>
  <c r="E33" i="5"/>
  <c r="Z55" i="5" l="1"/>
  <c r="E55" i="5" s="1"/>
  <c r="Z23" i="5"/>
  <c r="E23" i="5" s="1"/>
  <c r="Z17" i="5"/>
  <c r="E17" i="5" s="1"/>
  <c r="Z53" i="5"/>
  <c r="E53" i="5" s="1"/>
  <c r="E31" i="5"/>
  <c r="E54" i="3" s="1"/>
  <c r="Z60" i="5"/>
  <c r="E37" i="5"/>
  <c r="Z66" i="5"/>
  <c r="E66" i="5" s="1"/>
  <c r="Z95" i="5"/>
  <c r="Z27" i="5"/>
  <c r="E27" i="5" s="1"/>
  <c r="Z50" i="5"/>
  <c r="E38" i="5"/>
  <c r="E156" i="5"/>
  <c r="Z173" i="5"/>
  <c r="E173" i="5" s="1"/>
  <c r="Z84" i="5"/>
  <c r="Z67" i="5"/>
  <c r="Z96" i="5"/>
  <c r="E96" i="5" s="1"/>
  <c r="Z98" i="5"/>
  <c r="E98" i="5" l="1"/>
  <c r="E64" i="3" s="1"/>
  <c r="E84" i="5"/>
  <c r="E95" i="5"/>
  <c r="E57" i="3"/>
  <c r="G129" i="5"/>
  <c r="H129" i="5"/>
  <c r="I129" i="5"/>
  <c r="J129" i="5"/>
  <c r="K129" i="5"/>
  <c r="L129" i="5"/>
  <c r="M129" i="5"/>
  <c r="N129" i="5"/>
  <c r="O129" i="5"/>
  <c r="P129" i="5"/>
  <c r="Q129" i="5"/>
  <c r="R129" i="5"/>
  <c r="S129" i="5"/>
  <c r="T129" i="5"/>
  <c r="U129" i="5"/>
  <c r="V129" i="5"/>
  <c r="W129" i="5"/>
  <c r="X129" i="5"/>
  <c r="Y129" i="5"/>
  <c r="Z129" i="5"/>
  <c r="E60" i="5"/>
  <c r="Z56" i="5"/>
  <c r="E50" i="5"/>
  <c r="E67" i="5"/>
  <c r="Z97" i="5"/>
  <c r="E97" i="5" s="1"/>
  <c r="E62" i="3" s="1"/>
  <c r="Z79" i="5"/>
  <c r="E79" i="5" s="1"/>
  <c r="Z82" i="5"/>
  <c r="E82" i="5" s="1"/>
  <c r="E129" i="5" l="1"/>
  <c r="G130" i="5"/>
  <c r="E56" i="5"/>
  <c r="Z85" i="5"/>
  <c r="E85" i="5" s="1"/>
  <c r="G89" i="5"/>
  <c r="H89" i="5"/>
  <c r="I89" i="5"/>
  <c r="J89" i="5"/>
  <c r="K89" i="5"/>
  <c r="L89" i="5"/>
  <c r="M89" i="5"/>
  <c r="N89" i="5"/>
  <c r="O89" i="5"/>
  <c r="P89" i="5"/>
  <c r="Q89" i="5"/>
  <c r="R89" i="5"/>
  <c r="S89" i="5"/>
  <c r="T89" i="5"/>
  <c r="U89" i="5"/>
  <c r="V89" i="5"/>
  <c r="W89" i="5"/>
  <c r="X89" i="5"/>
  <c r="Y89" i="5"/>
  <c r="Z89" i="5"/>
  <c r="E89" i="5" s="1"/>
  <c r="I47" i="3"/>
  <c r="I46" i="3"/>
  <c r="F49" i="3"/>
  <c r="I45" i="3"/>
  <c r="I48" i="3"/>
  <c r="F38" i="3"/>
  <c r="G132" i="5" l="1"/>
  <c r="G134" i="5"/>
  <c r="F45" i="3"/>
  <c r="E38" i="3"/>
  <c r="F47" i="3"/>
  <c r="F46" i="3"/>
  <c r="F48" i="3"/>
  <c r="I49" i="3"/>
  <c r="G135" i="5" l="1"/>
  <c r="G47" i="5"/>
  <c r="G133" i="5"/>
  <c r="G141" i="5" l="1"/>
  <c r="G76" i="5"/>
  <c r="G113" i="5"/>
  <c r="G112" i="5"/>
  <c r="G106" i="5"/>
  <c r="G121" i="5"/>
  <c r="G114" i="5"/>
  <c r="G99" i="5"/>
  <c r="G122" i="5"/>
  <c r="G116" i="5"/>
  <c r="G117" i="5"/>
  <c r="G109" i="5"/>
  <c r="G107" i="5"/>
  <c r="G105" i="5"/>
  <c r="G123" i="5"/>
  <c r="G108" i="5"/>
  <c r="G119" i="5"/>
  <c r="G115" i="5"/>
  <c r="G118" i="5"/>
  <c r="G111" i="5"/>
  <c r="G120" i="5"/>
  <c r="G110" i="5"/>
  <c r="G46" i="5"/>
  <c r="G25" i="5" s="1"/>
  <c r="G101" i="5" l="1"/>
  <c r="G91" i="5"/>
  <c r="G28" i="5"/>
  <c r="H22" i="5" s="1"/>
  <c r="G142" i="5"/>
  <c r="G58" i="5"/>
  <c r="G75" i="5"/>
  <c r="G100" i="5"/>
  <c r="G102" i="5"/>
  <c r="H128" i="5" l="1"/>
  <c r="G87" i="5"/>
  <c r="G57" i="5"/>
  <c r="G93" i="5"/>
  <c r="G86" i="5" l="1"/>
  <c r="H130" i="5"/>
  <c r="H132" i="5" l="1"/>
  <c r="H134" i="5"/>
  <c r="H135" i="5" l="1"/>
  <c r="H133" i="5"/>
  <c r="H47" i="5"/>
  <c r="H141" i="5" l="1"/>
  <c r="H123" i="5"/>
  <c r="H119" i="5"/>
  <c r="H109" i="5"/>
  <c r="H117" i="5"/>
  <c r="H116" i="5"/>
  <c r="H115" i="5"/>
  <c r="H121" i="5"/>
  <c r="H113" i="5"/>
  <c r="H118" i="5"/>
  <c r="H120" i="5"/>
  <c r="H107" i="5"/>
  <c r="H99" i="5"/>
  <c r="H110" i="5"/>
  <c r="H106" i="5"/>
  <c r="H112" i="5"/>
  <c r="H108" i="5"/>
  <c r="H122" i="5"/>
  <c r="H111" i="5"/>
  <c r="H114" i="5"/>
  <c r="H76" i="5"/>
  <c r="H46" i="5"/>
  <c r="H25" i="5" s="1"/>
  <c r="H102" i="5"/>
  <c r="H28" i="5" l="1"/>
  <c r="I22" i="5" s="1"/>
  <c r="H100" i="5"/>
  <c r="H142" i="5"/>
  <c r="H58" i="5"/>
  <c r="H75" i="5"/>
  <c r="H101" i="5"/>
  <c r="H91" i="5"/>
  <c r="H87" i="5" l="1"/>
  <c r="H57" i="5"/>
  <c r="H93" i="5"/>
  <c r="I128" i="5"/>
  <c r="I130" i="5" l="1"/>
  <c r="H86" i="5"/>
  <c r="I132" i="5" l="1"/>
  <c r="I134" i="5"/>
  <c r="I135" i="5" l="1"/>
  <c r="I133" i="5"/>
  <c r="I47" i="5"/>
  <c r="I141" i="5" l="1"/>
  <c r="I109" i="5"/>
  <c r="I123" i="5"/>
  <c r="I115" i="5"/>
  <c r="I120" i="5"/>
  <c r="I116" i="5"/>
  <c r="I113" i="5"/>
  <c r="I108" i="5"/>
  <c r="I110" i="5"/>
  <c r="I112" i="5"/>
  <c r="I122" i="5"/>
  <c r="I107" i="5"/>
  <c r="I119" i="5"/>
  <c r="I117" i="5"/>
  <c r="I111" i="5"/>
  <c r="I118" i="5"/>
  <c r="I99" i="5"/>
  <c r="I114" i="5"/>
  <c r="I121" i="5"/>
  <c r="I76" i="5"/>
  <c r="I46" i="5"/>
  <c r="I25" i="5" s="1"/>
  <c r="I102" i="5"/>
  <c r="I28" i="5" l="1"/>
  <c r="J22" i="5" s="1"/>
  <c r="I101" i="5"/>
  <c r="I91" i="5"/>
  <c r="I100" i="5"/>
  <c r="I142" i="5"/>
  <c r="I58" i="5"/>
  <c r="I75" i="5"/>
  <c r="J128" i="5" l="1"/>
  <c r="I87" i="5"/>
  <c r="I57" i="5"/>
  <c r="I93" i="5"/>
  <c r="J130" i="5" l="1"/>
  <c r="I86" i="5"/>
  <c r="J132" i="5" l="1"/>
  <c r="J134" i="5"/>
  <c r="J135" i="5" l="1"/>
  <c r="J133" i="5"/>
  <c r="J47" i="5"/>
  <c r="J141" i="5" l="1"/>
  <c r="J123" i="5"/>
  <c r="J108" i="5"/>
  <c r="J112" i="5"/>
  <c r="J110" i="5"/>
  <c r="J118" i="5"/>
  <c r="J120" i="5"/>
  <c r="J119" i="5"/>
  <c r="J111" i="5"/>
  <c r="J99" i="5"/>
  <c r="J114" i="5"/>
  <c r="J122" i="5"/>
  <c r="J117" i="5"/>
  <c r="J121" i="5"/>
  <c r="J113" i="5"/>
  <c r="J109" i="5"/>
  <c r="J115" i="5"/>
  <c r="J116" i="5"/>
  <c r="J76" i="5"/>
  <c r="J46" i="5"/>
  <c r="J102" i="5"/>
  <c r="J142" i="5" l="1"/>
  <c r="J58" i="5"/>
  <c r="J75" i="5"/>
  <c r="J101" i="5"/>
  <c r="J91" i="5"/>
  <c r="J25" i="5"/>
  <c r="J100" i="5"/>
  <c r="J93" i="5" l="1"/>
  <c r="J87" i="5"/>
  <c r="J57" i="5"/>
  <c r="J28" i="5"/>
  <c r="K22" i="5" s="1"/>
  <c r="J86" i="5" l="1"/>
  <c r="K128" i="5"/>
  <c r="K130" i="5" l="1"/>
  <c r="K132" i="5" l="1"/>
  <c r="K134" i="5"/>
  <c r="K135" i="5" l="1"/>
  <c r="K133" i="5"/>
  <c r="K47" i="5"/>
  <c r="K141" i="5" l="1"/>
  <c r="K123" i="5"/>
  <c r="K120" i="5"/>
  <c r="K117" i="5"/>
  <c r="K116" i="5"/>
  <c r="K121" i="5"/>
  <c r="K109" i="5"/>
  <c r="K111" i="5"/>
  <c r="K115" i="5"/>
  <c r="K118" i="5"/>
  <c r="K113" i="5"/>
  <c r="K122" i="5"/>
  <c r="K114" i="5"/>
  <c r="K112" i="5"/>
  <c r="K110" i="5"/>
  <c r="K99" i="5"/>
  <c r="K119" i="5"/>
  <c r="K76" i="5"/>
  <c r="K46" i="5"/>
  <c r="K102" i="5"/>
  <c r="K142" i="5" l="1"/>
  <c r="K58" i="5"/>
  <c r="K75" i="5"/>
  <c r="K91" i="5"/>
  <c r="K101" i="5"/>
  <c r="K100" i="5"/>
  <c r="K25" i="5"/>
  <c r="K93" i="5" l="1"/>
  <c r="K28" i="5"/>
  <c r="L22" i="5" s="1"/>
  <c r="K87" i="5"/>
  <c r="K57" i="5"/>
  <c r="L128" i="5" l="1"/>
  <c r="K86" i="5"/>
  <c r="L130" i="5" l="1"/>
  <c r="L132" i="5" l="1"/>
  <c r="L134" i="5"/>
  <c r="L135" i="5" s="1"/>
  <c r="L46" i="5" s="1"/>
  <c r="L142" i="5" l="1"/>
  <c r="L75" i="5"/>
  <c r="L133" i="5"/>
  <c r="L47" i="5"/>
  <c r="L141" i="5" l="1"/>
  <c r="L25" i="5"/>
  <c r="L28" i="5" s="1"/>
  <c r="M22" i="5" s="1"/>
  <c r="L118" i="5"/>
  <c r="L111" i="5"/>
  <c r="L110" i="5"/>
  <c r="L99" i="5"/>
  <c r="L114" i="5"/>
  <c r="L113" i="5"/>
  <c r="L120" i="5"/>
  <c r="L115" i="5"/>
  <c r="L121" i="5"/>
  <c r="L119" i="5"/>
  <c r="L117" i="5"/>
  <c r="L123" i="5"/>
  <c r="L116" i="5"/>
  <c r="L122" i="5"/>
  <c r="L112" i="5"/>
  <c r="L76" i="5"/>
  <c r="L58" i="5"/>
  <c r="L87" i="5" s="1"/>
  <c r="L102" i="5"/>
  <c r="L100" i="5" l="1"/>
  <c r="L101" i="5"/>
  <c r="L91" i="5"/>
  <c r="M128" i="5"/>
  <c r="L57" i="5"/>
  <c r="L86" i="5" s="1"/>
  <c r="M130" i="5" l="1"/>
  <c r="L93" i="5"/>
  <c r="M132" i="5" l="1"/>
  <c r="M134" i="5"/>
  <c r="M135" i="5" s="1"/>
  <c r="M46" i="5" s="1"/>
  <c r="M142" i="5" l="1"/>
  <c r="M75" i="5"/>
  <c r="M133" i="5"/>
  <c r="M47" i="5"/>
  <c r="M141" i="5" l="1"/>
  <c r="M25" i="5"/>
  <c r="M28" i="5" s="1"/>
  <c r="N22" i="5" s="1"/>
  <c r="M121" i="5"/>
  <c r="M111" i="5"/>
  <c r="M123" i="5"/>
  <c r="M114" i="5"/>
  <c r="M116" i="5"/>
  <c r="M112" i="5"/>
  <c r="M117" i="5"/>
  <c r="M113" i="5"/>
  <c r="M122" i="5"/>
  <c r="M118" i="5"/>
  <c r="M119" i="5"/>
  <c r="M99" i="5"/>
  <c r="M120" i="5"/>
  <c r="M115" i="5"/>
  <c r="M76" i="5"/>
  <c r="M58" i="5"/>
  <c r="M87" i="5" s="1"/>
  <c r="M102" i="5"/>
  <c r="M101" i="5" l="1"/>
  <c r="M91" i="5"/>
  <c r="M100" i="5"/>
  <c r="N128" i="5"/>
  <c r="M57" i="5"/>
  <c r="M86" i="5" s="1"/>
  <c r="N130" i="5" l="1"/>
  <c r="M93" i="5"/>
  <c r="N132" i="5" l="1"/>
  <c r="N134" i="5"/>
  <c r="N135" i="5" s="1"/>
  <c r="N46" i="5" s="1"/>
  <c r="N142" i="5" l="1"/>
  <c r="N75" i="5"/>
  <c r="N133" i="5"/>
  <c r="N47" i="5"/>
  <c r="N141" i="5" l="1"/>
  <c r="N25" i="5"/>
  <c r="N28" i="5" s="1"/>
  <c r="O22" i="5" s="1"/>
  <c r="N123" i="5"/>
  <c r="N117" i="5"/>
  <c r="N99" i="5"/>
  <c r="N114" i="5"/>
  <c r="N115" i="5"/>
  <c r="N122" i="5"/>
  <c r="N119" i="5"/>
  <c r="N118" i="5"/>
  <c r="N120" i="5"/>
  <c r="N112" i="5"/>
  <c r="N121" i="5"/>
  <c r="N116" i="5"/>
  <c r="N113" i="5"/>
  <c r="N76" i="5"/>
  <c r="N58" i="5"/>
  <c r="N87" i="5" s="1"/>
  <c r="N102" i="5"/>
  <c r="N57" i="5" l="1"/>
  <c r="N86" i="5" s="1"/>
  <c r="N100" i="5"/>
  <c r="O128" i="5"/>
  <c r="N101" i="5"/>
  <c r="N91" i="5"/>
  <c r="O130" i="5" l="1"/>
  <c r="N93" i="5"/>
  <c r="O132" i="5" l="1"/>
  <c r="O134" i="5"/>
  <c r="O135" i="5" s="1"/>
  <c r="O46" i="5" s="1"/>
  <c r="O142" i="5" l="1"/>
  <c r="O75" i="5"/>
  <c r="O133" i="5"/>
  <c r="O47" i="5"/>
  <c r="O141" i="5" l="1"/>
  <c r="O25" i="5"/>
  <c r="O28" i="5" s="1"/>
  <c r="P22" i="5" s="1"/>
  <c r="O120" i="5"/>
  <c r="O115" i="5"/>
  <c r="O123" i="5"/>
  <c r="O121" i="5"/>
  <c r="O122" i="5"/>
  <c r="O116" i="5"/>
  <c r="O99" i="5"/>
  <c r="O113" i="5"/>
  <c r="O117" i="5"/>
  <c r="O119" i="5"/>
  <c r="O118" i="5"/>
  <c r="O114" i="5"/>
  <c r="O76" i="5"/>
  <c r="O58" i="5"/>
  <c r="O87" i="5" s="1"/>
  <c r="O102" i="5"/>
  <c r="O100" i="5" l="1"/>
  <c r="O57" i="5"/>
  <c r="O86" i="5" s="1"/>
  <c r="P128" i="5"/>
  <c r="O101" i="5"/>
  <c r="O91" i="5"/>
  <c r="P130" i="5" l="1"/>
  <c r="O93" i="5"/>
  <c r="P132" i="5" l="1"/>
  <c r="P134" i="5"/>
  <c r="P135" i="5" s="1"/>
  <c r="P46" i="5" s="1"/>
  <c r="P142" i="5" l="1"/>
  <c r="P75" i="5"/>
  <c r="P133" i="5"/>
  <c r="P47" i="5"/>
  <c r="P141" i="5" l="1"/>
  <c r="P25" i="5"/>
  <c r="P28" i="5" s="1"/>
  <c r="Q22" i="5" s="1"/>
  <c r="P120" i="5"/>
  <c r="P116" i="5"/>
  <c r="P118" i="5"/>
  <c r="P117" i="5"/>
  <c r="P115" i="5"/>
  <c r="P121" i="5"/>
  <c r="P123" i="5"/>
  <c r="P122" i="5"/>
  <c r="P114" i="5"/>
  <c r="P99" i="5"/>
  <c r="P119" i="5"/>
  <c r="P76" i="5"/>
  <c r="P58" i="5"/>
  <c r="P87" i="5" s="1"/>
  <c r="P102" i="5"/>
  <c r="P101" i="5" l="1"/>
  <c r="P91" i="5"/>
  <c r="P100" i="5"/>
  <c r="Q128" i="5"/>
  <c r="P57" i="5"/>
  <c r="P86" i="5" s="1"/>
  <c r="Q130" i="5" l="1"/>
  <c r="P93" i="5"/>
  <c r="Q131" i="5" l="1"/>
  <c r="Q134" i="5"/>
  <c r="Q135" i="5" s="1"/>
  <c r="Q46" i="5" s="1"/>
  <c r="Q142" i="5" l="1"/>
  <c r="Q75" i="5"/>
  <c r="Q132" i="5"/>
  <c r="Q47" i="5"/>
  <c r="Q141" i="5" l="1"/>
  <c r="Q25" i="5"/>
  <c r="Q28" i="5" s="1"/>
  <c r="R22" i="5" s="1"/>
  <c r="Q116" i="5"/>
  <c r="Q121" i="5"/>
  <c r="Q119" i="5"/>
  <c r="Q123" i="5"/>
  <c r="Q117" i="5"/>
  <c r="Q118" i="5"/>
  <c r="Q115" i="5"/>
  <c r="Q99" i="5"/>
  <c r="Q122" i="5"/>
  <c r="Q120" i="5"/>
  <c r="Q76" i="5"/>
  <c r="Q133" i="5"/>
  <c r="Q58" i="5"/>
  <c r="Q87" i="5" s="1"/>
  <c r="Q102" i="5"/>
  <c r="Q100" i="5" l="1"/>
  <c r="Q101" i="5"/>
  <c r="Q91" i="5"/>
  <c r="Q57" i="5"/>
  <c r="Q86" i="5" s="1"/>
  <c r="R128" i="5"/>
  <c r="R130" i="5" l="1"/>
  <c r="Q93" i="5"/>
  <c r="R131" i="5" l="1"/>
  <c r="R132" i="5" s="1"/>
  <c r="R134" i="5"/>
  <c r="R135" i="5" s="1"/>
  <c r="R46" i="5" s="1"/>
  <c r="R133" i="5" l="1"/>
  <c r="R142" i="5"/>
  <c r="R75" i="5"/>
  <c r="R47" i="5"/>
  <c r="R141" i="5" l="1"/>
  <c r="R25" i="5"/>
  <c r="R28" i="5" s="1"/>
  <c r="S22" i="5" s="1"/>
  <c r="R119" i="5"/>
  <c r="R122" i="5"/>
  <c r="R118" i="5"/>
  <c r="R116" i="5"/>
  <c r="R120" i="5"/>
  <c r="R117" i="5"/>
  <c r="R121" i="5"/>
  <c r="R99" i="5"/>
  <c r="R123" i="5"/>
  <c r="R76" i="5"/>
  <c r="R58" i="5"/>
  <c r="R87" i="5" s="1"/>
  <c r="R102" i="5"/>
  <c r="R101" i="5" l="1"/>
  <c r="R91" i="5"/>
  <c r="R100" i="5"/>
  <c r="R57" i="5"/>
  <c r="R86" i="5" s="1"/>
  <c r="S128" i="5"/>
  <c r="R93" i="5" l="1"/>
  <c r="S130" i="5"/>
  <c r="S131" i="5" l="1"/>
  <c r="S132" i="5" s="1"/>
  <c r="S134" i="5"/>
  <c r="S135" i="5" s="1"/>
  <c r="S46" i="5" s="1"/>
  <c r="S133" i="5" l="1"/>
  <c r="S142" i="5"/>
  <c r="S75" i="5"/>
  <c r="S47" i="5"/>
  <c r="S58" i="5" s="1"/>
  <c r="S87" i="5" s="1"/>
  <c r="S141" i="5" l="1"/>
  <c r="S57" i="5"/>
  <c r="S86" i="5" s="1"/>
  <c r="S25" i="5"/>
  <c r="S28" i="5" s="1"/>
  <c r="T22" i="5" s="1"/>
  <c r="S123" i="5"/>
  <c r="S119" i="5"/>
  <c r="S99" i="5"/>
  <c r="S120" i="5"/>
  <c r="S117" i="5"/>
  <c r="S122" i="5"/>
  <c r="S118" i="5"/>
  <c r="S121" i="5"/>
  <c r="S76" i="5"/>
  <c r="S102" i="5"/>
  <c r="S100" i="5" l="1"/>
  <c r="S101" i="5"/>
  <c r="S91" i="5"/>
  <c r="T128" i="5"/>
  <c r="T130" i="5" l="1"/>
  <c r="S93" i="5"/>
  <c r="T131" i="5" l="1"/>
  <c r="T132" i="5" s="1"/>
  <c r="T134" i="5"/>
  <c r="T135" i="5" s="1"/>
  <c r="T46" i="5" s="1"/>
  <c r="T133" i="5" l="1"/>
  <c r="T142" i="5"/>
  <c r="T75" i="5"/>
  <c r="T47" i="5"/>
  <c r="T141" i="5" l="1"/>
  <c r="T25" i="5"/>
  <c r="T28" i="5" s="1"/>
  <c r="U22" i="5" s="1"/>
  <c r="T99" i="5"/>
  <c r="T119" i="5"/>
  <c r="T121" i="5"/>
  <c r="T122" i="5"/>
  <c r="T120" i="5"/>
  <c r="T123" i="5"/>
  <c r="T118" i="5"/>
  <c r="T76" i="5"/>
  <c r="T58" i="5"/>
  <c r="T87" i="5" s="1"/>
  <c r="T102" i="5"/>
  <c r="T101" i="5" l="1"/>
  <c r="T91" i="5"/>
  <c r="T57" i="5"/>
  <c r="T86" i="5" s="1"/>
  <c r="T100" i="5"/>
  <c r="U128" i="5"/>
  <c r="T93" i="5" l="1"/>
  <c r="U130" i="5"/>
  <c r="U131" i="5" l="1"/>
  <c r="U132" i="5" s="1"/>
  <c r="U134" i="5"/>
  <c r="U135" i="5" s="1"/>
  <c r="U46" i="5" s="1"/>
  <c r="U133" i="5" l="1"/>
  <c r="U142" i="5"/>
  <c r="U75" i="5"/>
  <c r="U47" i="5"/>
  <c r="U58" i="5" s="1"/>
  <c r="U87" i="5" s="1"/>
  <c r="U141" i="5" l="1"/>
  <c r="U57" i="5"/>
  <c r="U86" i="5" s="1"/>
  <c r="U25" i="5"/>
  <c r="U28" i="5" s="1"/>
  <c r="V22" i="5" s="1"/>
  <c r="U120" i="5"/>
  <c r="U119" i="5"/>
  <c r="U122" i="5"/>
  <c r="U123" i="5"/>
  <c r="U121" i="5"/>
  <c r="U99" i="5"/>
  <c r="U76" i="5"/>
  <c r="U102" i="5"/>
  <c r="U101" i="5" l="1"/>
  <c r="U91" i="5"/>
  <c r="U100" i="5"/>
  <c r="V128" i="5"/>
  <c r="V130" i="5" l="1"/>
  <c r="U93" i="5"/>
  <c r="V131" i="5" l="1"/>
  <c r="V132" i="5" s="1"/>
  <c r="V134" i="5"/>
  <c r="V135" i="5" s="1"/>
  <c r="V46" i="5" s="1"/>
  <c r="V133" i="5" l="1"/>
  <c r="V142" i="5"/>
  <c r="V75" i="5"/>
  <c r="V47" i="5"/>
  <c r="V58" i="5" s="1"/>
  <c r="V87" i="5" s="1"/>
  <c r="V141" i="5" l="1"/>
  <c r="V57" i="5"/>
  <c r="V86" i="5" s="1"/>
  <c r="V25" i="5"/>
  <c r="V28" i="5" s="1"/>
  <c r="W22" i="5" s="1"/>
  <c r="V99" i="5"/>
  <c r="V121" i="5"/>
  <c r="V122" i="5"/>
  <c r="V123" i="5"/>
  <c r="V120" i="5"/>
  <c r="V76" i="5"/>
  <c r="V102" i="5"/>
  <c r="V100" i="5" l="1"/>
  <c r="W128" i="5"/>
  <c r="V91" i="5"/>
  <c r="V101" i="5"/>
  <c r="W130" i="5" l="1"/>
  <c r="V93" i="5"/>
  <c r="W131" i="5" l="1"/>
  <c r="W132" i="5" s="1"/>
  <c r="W134" i="5"/>
  <c r="W135" i="5" s="1"/>
  <c r="W46" i="5" s="1"/>
  <c r="W133" i="5" l="1"/>
  <c r="W142" i="5"/>
  <c r="W75" i="5"/>
  <c r="W47" i="5"/>
  <c r="W141" i="5" l="1"/>
  <c r="W25" i="5"/>
  <c r="W28" i="5" s="1"/>
  <c r="X22" i="5" s="1"/>
  <c r="W123" i="5"/>
  <c r="W121" i="5"/>
  <c r="W99" i="5"/>
  <c r="W122" i="5"/>
  <c r="W76" i="5"/>
  <c r="W58" i="5"/>
  <c r="W87" i="5" s="1"/>
  <c r="W102" i="5"/>
  <c r="W100" i="5" l="1"/>
  <c r="W57" i="5"/>
  <c r="W86" i="5" s="1"/>
  <c r="X128" i="5"/>
  <c r="W101" i="5"/>
  <c r="W91" i="5"/>
  <c r="X130" i="5" l="1"/>
  <c r="W93" i="5"/>
  <c r="X131" i="5" l="1"/>
  <c r="X132" i="5" s="1"/>
  <c r="X134" i="5"/>
  <c r="X135" i="5" s="1"/>
  <c r="X46" i="5" s="1"/>
  <c r="X133" i="5" l="1"/>
  <c r="X142" i="5"/>
  <c r="X75" i="5"/>
  <c r="X47" i="5"/>
  <c r="X141" i="5" l="1"/>
  <c r="X25" i="5"/>
  <c r="X28" i="5" s="1"/>
  <c r="Y22" i="5" s="1"/>
  <c r="X122" i="5"/>
  <c r="X123" i="5"/>
  <c r="X99" i="5"/>
  <c r="X76" i="5"/>
  <c r="X58" i="5"/>
  <c r="X87" i="5" s="1"/>
  <c r="X102" i="5"/>
  <c r="X100" i="5" l="1"/>
  <c r="X57" i="5"/>
  <c r="X86" i="5" s="1"/>
  <c r="X101" i="5"/>
  <c r="X91" i="5"/>
  <c r="Y128" i="5"/>
  <c r="Y130" i="5" l="1"/>
  <c r="X93" i="5"/>
  <c r="Y131" i="5" l="1"/>
  <c r="Y132" i="5" s="1"/>
  <c r="Y134" i="5"/>
  <c r="Y135" i="5" s="1"/>
  <c r="Y46" i="5" s="1"/>
  <c r="Y133" i="5" l="1"/>
  <c r="Y142" i="5"/>
  <c r="Y75" i="5"/>
  <c r="Y47" i="5"/>
  <c r="Y141" i="5" l="1"/>
  <c r="Y25" i="5"/>
  <c r="Y28" i="5" s="1"/>
  <c r="Z22" i="5" s="1"/>
  <c r="Y123" i="5"/>
  <c r="Y99" i="5"/>
  <c r="Y76" i="5"/>
  <c r="Y58" i="5"/>
  <c r="Y87" i="5" s="1"/>
  <c r="Y102" i="5"/>
  <c r="Y57" i="5" l="1"/>
  <c r="Y86" i="5" s="1"/>
  <c r="Y100" i="5"/>
  <c r="Z128" i="5"/>
  <c r="Y101" i="5"/>
  <c r="Y91" i="5"/>
  <c r="E128" i="5" l="1"/>
  <c r="Z130" i="5"/>
  <c r="Y93" i="5"/>
  <c r="E130" i="5" l="1"/>
  <c r="Z131" i="5"/>
  <c r="E131" i="5" s="1"/>
  <c r="Z134" i="5"/>
  <c r="Z135" i="5" l="1"/>
  <c r="E134" i="5"/>
  <c r="Z132" i="5"/>
  <c r="Z47" i="5"/>
  <c r="Z141" i="5" l="1"/>
  <c r="E141" i="5" s="1"/>
  <c r="Z99" i="5"/>
  <c r="E47" i="5"/>
  <c r="E60" i="3" s="1"/>
  <c r="Z76" i="5"/>
  <c r="E132" i="5"/>
  <c r="Z133" i="5"/>
  <c r="E133" i="5" s="1"/>
  <c r="Z46" i="5"/>
  <c r="Z25" i="5" s="1"/>
  <c r="E135" i="5"/>
  <c r="E59" i="3" s="1"/>
  <c r="F14" i="3" s="1"/>
  <c r="Z102" i="5"/>
  <c r="E102" i="5" l="1"/>
  <c r="E65" i="3" s="1"/>
  <c r="Z101" i="5"/>
  <c r="E101" i="5" s="1"/>
  <c r="E63" i="3" s="1"/>
  <c r="Z91" i="5"/>
  <c r="E76" i="5"/>
  <c r="Z142" i="5"/>
  <c r="E142" i="5" s="1"/>
  <c r="Z58" i="5"/>
  <c r="E46" i="5"/>
  <c r="Z75" i="5"/>
  <c r="E75" i="5" s="1"/>
  <c r="E99" i="5"/>
  <c r="Z100" i="5"/>
  <c r="E25" i="5"/>
  <c r="Z28" i="5"/>
  <c r="E28" i="5" s="1"/>
  <c r="E91" i="5" l="1"/>
  <c r="E58" i="5"/>
  <c r="Z87" i="5"/>
  <c r="E87" i="5" s="1"/>
  <c r="Z57" i="5"/>
  <c r="G51" i="5"/>
  <c r="H51" i="5"/>
  <c r="H52" i="5" s="1"/>
  <c r="I51" i="5"/>
  <c r="I52" i="5" s="1"/>
  <c r="J51" i="5"/>
  <c r="J52" i="5" s="1"/>
  <c r="K51" i="5"/>
  <c r="K52" i="5" s="1"/>
  <c r="L51" i="5"/>
  <c r="L52" i="5" s="1"/>
  <c r="M51" i="5"/>
  <c r="M52" i="5" s="1"/>
  <c r="N51" i="5"/>
  <c r="N52" i="5" s="1"/>
  <c r="O51" i="5"/>
  <c r="O52" i="5" s="1"/>
  <c r="E100" i="5"/>
  <c r="Z93" i="5"/>
  <c r="E93" i="5" s="1"/>
  <c r="E66" i="3" s="1"/>
  <c r="E57" i="5" l="1"/>
  <c r="Z86" i="5"/>
  <c r="E86" i="5" s="1"/>
  <c r="G80" i="5"/>
  <c r="H80" i="5" s="1"/>
  <c r="I80" i="5" s="1"/>
  <c r="J80" i="5" s="1"/>
  <c r="K80" i="5" s="1"/>
  <c r="L80" i="5" s="1"/>
  <c r="M80" i="5" s="1"/>
  <c r="N80" i="5" s="1"/>
  <c r="O80" i="5" s="1"/>
  <c r="G52" i="5"/>
  <c r="P51" i="5"/>
  <c r="P52" i="5" s="1"/>
  <c r="P80" i="5" l="1"/>
  <c r="G81" i="5"/>
  <c r="Q51" i="5"/>
  <c r="Q80" i="5" s="1"/>
  <c r="Q52" i="5" l="1"/>
  <c r="R51" i="5"/>
  <c r="G124" i="5"/>
  <c r="G125" i="5"/>
  <c r="G90" i="5"/>
  <c r="G92" i="5" s="1"/>
  <c r="H81" i="5"/>
  <c r="G104" i="5"/>
  <c r="S51" i="5" l="1"/>
  <c r="S52" i="5" s="1"/>
  <c r="R52" i="5"/>
  <c r="T51" i="5"/>
  <c r="T52" i="5" s="1"/>
  <c r="C104" i="5"/>
  <c r="G103" i="5" s="1"/>
  <c r="E104" i="5"/>
  <c r="H124" i="5"/>
  <c r="H125" i="5"/>
  <c r="H90" i="5"/>
  <c r="H92" i="5" s="1"/>
  <c r="I81" i="5"/>
  <c r="H105" i="5"/>
  <c r="U51" i="5"/>
  <c r="R80" i="5"/>
  <c r="S80" i="5" s="1"/>
  <c r="T80" i="5" s="1"/>
  <c r="U80" i="5" s="1"/>
  <c r="U52" i="5" l="1"/>
  <c r="V51" i="5"/>
  <c r="C105" i="5"/>
  <c r="H103" i="5" s="1"/>
  <c r="E105" i="5"/>
  <c r="I125" i="5"/>
  <c r="I124" i="5"/>
  <c r="J81" i="5"/>
  <c r="I90" i="5"/>
  <c r="I92" i="5" s="1"/>
  <c r="I106" i="5"/>
  <c r="J125" i="5" l="1"/>
  <c r="J124" i="5"/>
  <c r="J90" i="5"/>
  <c r="J92" i="5" s="1"/>
  <c r="K81" i="5"/>
  <c r="J107" i="5"/>
  <c r="V52" i="5"/>
  <c r="W51" i="5"/>
  <c r="V80" i="5"/>
  <c r="E106" i="5"/>
  <c r="C106" i="5"/>
  <c r="I103" i="5" s="1"/>
  <c r="W80" i="5" l="1"/>
  <c r="C107" i="5"/>
  <c r="J103" i="5" s="1"/>
  <c r="E107" i="5"/>
  <c r="K125" i="5"/>
  <c r="K124" i="5"/>
  <c r="K90" i="5"/>
  <c r="K92" i="5" s="1"/>
  <c r="L81" i="5"/>
  <c r="K108" i="5"/>
  <c r="W52" i="5"/>
  <c r="X51" i="5"/>
  <c r="E108" i="5" l="1"/>
  <c r="C108" i="5"/>
  <c r="K103" i="5" s="1"/>
  <c r="L124" i="5"/>
  <c r="L125" i="5"/>
  <c r="L90" i="5"/>
  <c r="L92" i="5" s="1"/>
  <c r="M81" i="5"/>
  <c r="L109" i="5"/>
  <c r="X52" i="5"/>
  <c r="Y51" i="5"/>
  <c r="X80" i="5"/>
  <c r="Y80" i="5" s="1"/>
  <c r="C109" i="5" l="1"/>
  <c r="L103" i="5" s="1"/>
  <c r="E109" i="5"/>
  <c r="M124" i="5"/>
  <c r="M125" i="5"/>
  <c r="M90" i="5"/>
  <c r="M92" i="5" s="1"/>
  <c r="N81" i="5"/>
  <c r="M110" i="5"/>
  <c r="Z80" i="5"/>
  <c r="E80" i="5" s="1"/>
  <c r="Y52" i="5"/>
  <c r="Z51" i="5"/>
  <c r="C110" i="5" l="1"/>
  <c r="M103" i="5" s="1"/>
  <c r="E110" i="5"/>
  <c r="N124" i="5"/>
  <c r="N125" i="5"/>
  <c r="N90" i="5"/>
  <c r="N92" i="5" s="1"/>
  <c r="O81" i="5"/>
  <c r="N111" i="5"/>
  <c r="Z52" i="5"/>
  <c r="E52" i="5" s="1"/>
  <c r="E51" i="5"/>
  <c r="E111" i="5" l="1"/>
  <c r="C111" i="5"/>
  <c r="N103" i="5" s="1"/>
  <c r="O124" i="5"/>
  <c r="O125" i="5"/>
  <c r="O90" i="5"/>
  <c r="O92" i="5" s="1"/>
  <c r="P81" i="5"/>
  <c r="O112" i="5"/>
  <c r="C112" i="5" l="1"/>
  <c r="O103" i="5" s="1"/>
  <c r="E112" i="5"/>
  <c r="P124" i="5"/>
  <c r="P125" i="5"/>
  <c r="P90" i="5"/>
  <c r="P92" i="5" s="1"/>
  <c r="Q81" i="5"/>
  <c r="P113" i="5"/>
  <c r="E113" i="5" l="1"/>
  <c r="C113" i="5"/>
  <c r="P103" i="5" s="1"/>
  <c r="Q125" i="5"/>
  <c r="Q124" i="5"/>
  <c r="Q90" i="5"/>
  <c r="Q92" i="5" s="1"/>
  <c r="R81" i="5"/>
  <c r="Q114" i="5"/>
  <c r="E114" i="5" l="1"/>
  <c r="C114" i="5"/>
  <c r="Q103" i="5" s="1"/>
  <c r="R125" i="5"/>
  <c r="R124" i="5"/>
  <c r="R90" i="5"/>
  <c r="R92" i="5" s="1"/>
  <c r="S81" i="5"/>
  <c r="R115" i="5"/>
  <c r="C115" i="5" l="1"/>
  <c r="R103" i="5" s="1"/>
  <c r="E115" i="5"/>
  <c r="S125" i="5"/>
  <c r="S124" i="5"/>
  <c r="S90" i="5"/>
  <c r="S92" i="5" s="1"/>
  <c r="T81" i="5"/>
  <c r="S116" i="5"/>
  <c r="E116" i="5" l="1"/>
  <c r="C116" i="5"/>
  <c r="S103" i="5" s="1"/>
  <c r="T124" i="5"/>
  <c r="T125" i="5"/>
  <c r="T90" i="5"/>
  <c r="T92" i="5" s="1"/>
  <c r="U81" i="5"/>
  <c r="T117" i="5"/>
  <c r="E117" i="5" l="1"/>
  <c r="C117" i="5"/>
  <c r="T103" i="5" s="1"/>
  <c r="U124" i="5"/>
  <c r="U125" i="5"/>
  <c r="U90" i="5"/>
  <c r="U92" i="5" s="1"/>
  <c r="V81" i="5"/>
  <c r="U118" i="5"/>
  <c r="E118" i="5" l="1"/>
  <c r="C118" i="5"/>
  <c r="U103" i="5" s="1"/>
  <c r="V124" i="5"/>
  <c r="V125" i="5"/>
  <c r="V90" i="5"/>
  <c r="V92" i="5" s="1"/>
  <c r="W81" i="5"/>
  <c r="V119" i="5"/>
  <c r="E119" i="5" l="1"/>
  <c r="C119" i="5"/>
  <c r="V103" i="5" s="1"/>
  <c r="W124" i="5"/>
  <c r="W125" i="5"/>
  <c r="W90" i="5"/>
  <c r="W92" i="5" s="1"/>
  <c r="X81" i="5"/>
  <c r="W120" i="5"/>
  <c r="E120" i="5" l="1"/>
  <c r="C120" i="5"/>
  <c r="W103" i="5" s="1"/>
  <c r="X124" i="5"/>
  <c r="X125" i="5"/>
  <c r="X90" i="5"/>
  <c r="X92" i="5" s="1"/>
  <c r="Y81" i="5"/>
  <c r="X121" i="5"/>
  <c r="E121" i="5" l="1"/>
  <c r="C121" i="5"/>
  <c r="X103" i="5" s="1"/>
  <c r="Y125" i="5"/>
  <c r="Y124" i="5"/>
  <c r="Z81" i="5"/>
  <c r="Y90" i="5"/>
  <c r="Y92" i="5" s="1"/>
  <c r="Y122" i="5"/>
  <c r="C122" i="5" l="1"/>
  <c r="Y103" i="5" s="1"/>
  <c r="E122" i="5"/>
  <c r="Z125" i="5"/>
  <c r="E125" i="5" s="1"/>
  <c r="Z124" i="5"/>
  <c r="E124" i="5" s="1"/>
  <c r="Z90" i="5"/>
  <c r="E81" i="5"/>
  <c r="Z123" i="5"/>
  <c r="E123" i="5" l="1"/>
  <c r="C123" i="5"/>
  <c r="Z103" i="5" s="1"/>
  <c r="E103" i="5" s="1"/>
  <c r="E90" i="5"/>
  <c r="Z92" i="5"/>
  <c r="E92" i="5" s="1"/>
</calcChain>
</file>

<file path=xl/sharedStrings.xml><?xml version="1.0" encoding="utf-8"?>
<sst xmlns="http://schemas.openxmlformats.org/spreadsheetml/2006/main" count="765" uniqueCount="479">
  <si>
    <t>Venture Capital Model, with Annual Forecast</t>
  </si>
  <si>
    <t>Copyright &amp; Contact</t>
  </si>
  <si>
    <t>License</t>
  </si>
  <si>
    <r>
      <rPr>
        <sz val="10"/>
        <color rgb="FF000000"/>
        <rFont val="Arial"/>
      </rPr>
      <t xml:space="preserve">tl:dr; You can modify, edit, use, and share within your company (and with third-parties as needed to operate your business). You may not redistribute, resell, give away to others. </t>
    </r>
    <r>
      <rPr>
        <u/>
        <sz val="10"/>
        <color rgb="FF1155CC"/>
        <rFont val="Arial"/>
      </rPr>
      <t xml:space="preserve">Full license.
</t>
    </r>
  </si>
  <si>
    <t>Goal</t>
  </si>
  <si>
    <r>
      <t xml:space="preserve">Simplified model for forecasting a venture fund, to help understand overall fund assumptions and how portfolio construction impacts returns. I've worked with countless founders building complicated models for fund construction - see </t>
    </r>
    <r>
      <rPr>
        <u/>
        <sz val="10"/>
        <color rgb="FF1155CC"/>
        <rFont val="Arial"/>
      </rPr>
      <t>Venture Investor Model</t>
    </r>
    <r>
      <rPr>
        <sz val="10"/>
        <color rgb="FF000000"/>
        <rFont val="Arial"/>
        <scheme val="minor"/>
      </rPr>
      <t xml:space="preserve"> for one - but want to create a simpler, more accessible model that removes some of the lesser-used edge cases and covers the basics for most emerging managers.
</t>
    </r>
  </si>
  <si>
    <t>Copy to Google Sheets or Download to Excel</t>
  </si>
  <si>
    <r>
      <t xml:space="preserve">File &gt; Make a Copy to copy it to your own Google Drive, or File &gt; Download to download this to use in Excel or other spreadsheet programs. </t>
    </r>
    <r>
      <rPr>
        <u/>
        <sz val="10"/>
        <color rgb="FF1155CC"/>
        <rFont val="Arial"/>
      </rPr>
      <t xml:space="preserve">See License for warranties and liabilities.
</t>
    </r>
  </si>
  <si>
    <t>Support</t>
  </si>
  <si>
    <r>
      <t xml:space="preserve">Questions, happy to assist, contact anytime. More details on how I provide support: </t>
    </r>
    <r>
      <rPr>
        <u/>
        <sz val="10"/>
        <color rgb="FF1155CC"/>
        <rFont val="Arial"/>
      </rPr>
      <t xml:space="preserve">https://foresight.is/help
</t>
    </r>
  </si>
  <si>
    <t>Missing a feature you need?</t>
  </si>
  <si>
    <r>
      <t xml:space="preserve">Check out the </t>
    </r>
    <r>
      <rPr>
        <u/>
        <sz val="10"/>
        <color rgb="FF1155CC"/>
        <rFont val="Arial"/>
      </rPr>
      <t>Resources</t>
    </r>
    <r>
      <rPr>
        <sz val="10"/>
        <color rgb="FF000000"/>
        <rFont val="Arial"/>
        <scheme val="minor"/>
      </rPr>
      <t xml:space="preserve"> for other resources for modeling venture funds, and check out Foresight's </t>
    </r>
    <r>
      <rPr>
        <u/>
        <sz val="10"/>
        <color rgb="FF1155CC"/>
        <rFont val="Arial"/>
      </rPr>
      <t>Venture Investor Model</t>
    </r>
    <r>
      <rPr>
        <sz val="10"/>
        <color rgb="FF000000"/>
        <rFont val="Arial"/>
        <scheme val="minor"/>
      </rPr>
      <t xml:space="preserve"> for a more detailed fund model with financial statements, management company budgeting, and more.
</t>
    </r>
  </si>
  <si>
    <t>Quickstart</t>
  </si>
  <si>
    <r>
      <t xml:space="preserve">Input fund structural assumptions on Get Started sheet, then review the Key Reports and Forecast sheet to see the key outputs. More details at </t>
    </r>
    <r>
      <rPr>
        <u/>
        <sz val="10"/>
        <color rgb="FF1155CC"/>
        <rFont val="Arial"/>
      </rPr>
      <t>https://foresight.is/docs/</t>
    </r>
    <r>
      <rPr>
        <sz val="10"/>
        <color rgb="FF000000"/>
        <rFont val="Arial"/>
        <scheme val="minor"/>
      </rPr>
      <t xml:space="preserve">
</t>
    </r>
  </si>
  <si>
    <t>Outline</t>
  </si>
  <si>
    <t>README</t>
  </si>
  <si>
    <t>Contact into, overview on model. Safe to delete or hide.</t>
  </si>
  <si>
    <t xml:space="preserve">   Formatting and Colors Overview</t>
  </si>
  <si>
    <t>Details on what the colors and formatting in the model mean. https://foresight.is/learn/colors-and-formatting</t>
  </si>
  <si>
    <t>Terms of use of the model. Safe to delete or hide. https://foresight.is/license</t>
  </si>
  <si>
    <t>Get Started</t>
  </si>
  <si>
    <t>Core assumptions for the fund. Do not delete, safe to hide.</t>
  </si>
  <si>
    <t xml:space="preserve">   Capital and Fund Assumptions</t>
  </si>
  <si>
    <t>Assumptions for fund economics</t>
  </si>
  <si>
    <t xml:space="preserve">   Recycling</t>
  </si>
  <si>
    <t>Optional section for assuming fund recycling policy</t>
  </si>
  <si>
    <t xml:space="preserve">   Portfolio Construction Assumptions</t>
  </si>
  <si>
    <t>Core portfolio construction assumptions</t>
  </si>
  <si>
    <t xml:space="preserve">   Return Assumptions</t>
  </si>
  <si>
    <t>Investment performance assumptions</t>
  </si>
  <si>
    <t xml:space="preserve">   Fund Performance</t>
  </si>
  <si>
    <t>Summary of fund performance. Details and more metrics on Forecast sheet</t>
  </si>
  <si>
    <t>Key Reports</t>
  </si>
  <si>
    <t>Key charts to summarize the model. Safe to delete or hide.</t>
  </si>
  <si>
    <t>Forecast</t>
  </si>
  <si>
    <t>The core calculations to forecast the operations of the fund. The core of the model.</t>
  </si>
  <si>
    <t>Resources</t>
  </si>
  <si>
    <t>Links to other models and resources for modeling venture capital funds and investments, from around the web. Safe to delete or hide.</t>
  </si>
  <si>
    <t>Model Comparison</t>
  </si>
  <si>
    <t>Detailed feature comparison of the range of Foresight models for venture investors. Safe to delete or hide.</t>
  </si>
  <si>
    <t>Glossary</t>
  </si>
  <si>
    <t>Glossary of key terminology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</si>
  <si>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</si>
  <si>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</si>
  <si>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</si>
  <si>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</si>
  <si>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</si>
  <si>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</si>
  <si>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</si>
  <si>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</si>
  <si>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</si>
  <si>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</si>
  <si>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</si>
  <si>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</si>
  <si>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</si>
  <si>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</si>
  <si>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</si>
  <si>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</si>
  <si>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</si>
  <si>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</si>
  <si>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</si>
  <si>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</si>
  <si>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</si>
  <si>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</si>
  <si>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</si>
  <si>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Key model assumptions and performance metrics</t>
  </si>
  <si>
    <t>Capital and Fund Assumptions</t>
  </si>
  <si>
    <t>Capital, Management Fees, base Fund-level assumptions</t>
  </si>
  <si>
    <t>Detail</t>
  </si>
  <si>
    <t>Unit</t>
  </si>
  <si>
    <t>Assumption</t>
  </si>
  <si>
    <t>Notes</t>
  </si>
  <si>
    <t>Total Commited Capital (Fund Size)</t>
  </si>
  <si>
    <t>$</t>
  </si>
  <si>
    <t>Fund size. By default, assumes all committed capital is closed at the start. Can adjust that by modifying the committed capital on Forecast sheet.</t>
  </si>
  <si>
    <t>GP Commit, as % of committed capital</t>
  </si>
  <si>
    <t>%</t>
  </si>
  <si>
    <t>GP commit is treated as an LP interest for purposes of calculating mangement fees and carried interest. see glossary for additional details</t>
  </si>
  <si>
    <t>Organizational Expenses (one time)</t>
  </si>
  <si>
    <t>paid by fund, in addition to management fees. one time costs associated with forming the fund, primarily legal fees</t>
  </si>
  <si>
    <t>Operational Expenses (annual)</t>
  </si>
  <si>
    <t>paid by fund, in addition to management fees. see https://foresight.is/docs/management-company/ for more context. calculated based on the fund operations period for operating expenses</t>
  </si>
  <si>
    <t>Management Fees, per year, as % of committed capital</t>
  </si>
  <si>
    <t>model works for management fees based on called and committed capital (can be edited for fee structures based on assets under management). if you have a management fee structure that steps down over time, you can edit the management fees directly on the Forecast sheet.</t>
  </si>
  <si>
    <t>Carry</t>
  </si>
  <si>
    <t>carry is the % of gains that are paid to the managers of the fund. part of the commonly cited "2 and 20" fees structure for funds</t>
  </si>
  <si>
    <t>New Investment time period (years)</t>
  </si>
  <si>
    <t>#</t>
  </si>
  <si>
    <t>time period for new investments (follow ons by default assumed to come over time)</t>
  </si>
  <si>
    <t>Fund Duration (Management Fees time period) (quarters)</t>
  </si>
  <si>
    <t>time period used for assuming management fees, tied to the fund duration and not including the fund extension period, if applicable</t>
  </si>
  <si>
    <t>Fund Operations time period (years)</t>
  </si>
  <si>
    <t>time period used for assuming operational expenses, which is calculated from the new invesetment and exit timeframes, to cover the periods the fund incurrs operational expenses. you can override the calculated period if desired.</t>
  </si>
  <si>
    <t>Fund Duration Extension Period (years)</t>
  </si>
  <si>
    <t>extra time period calculated from your deployment and holding period assumptions. purely for informational purposes, the model uses the fund duration for calculating management fees, this just shows how long of an extension you will need based on your assumptions</t>
  </si>
  <si>
    <t>Recycling</t>
  </si>
  <si>
    <t>Details on recycling provisions for closed end and evergreen funds</t>
  </si>
  <si>
    <t>more at https://foresight.is/docs/management-fee-recycling/</t>
  </si>
  <si>
    <t>input is for the target % to recycle, and the forecast shows the % that is achievable given the parameters in the assumptions below. It is very common for the max acheivable to be less than the target. Note that LPAs may set the number differently; for example, some LPAs may note that recycling is 125% of committed capital (meaning that the total can be 25% higher than the amount of committed capital), or it may say that recycling is 25% of committed capital. They mean the same thing, but the number may be expressed differently. The model uses an assumption of 25% of recycling + 100% of committed capital = 125% of total committed capital plus recycling</t>
  </si>
  <si>
    <t>-</t>
  </si>
  <si>
    <t>committed capital</t>
  </si>
  <si>
    <t>can be set to management fees or committed capital, and the forecast outputs the amount of it forecasted in the model</t>
  </si>
  <si>
    <t>can set the time limit from original investment to time to proceeds (exit), and only allow exits within that timeframe to recycle their proceeds. if there is no limit, simply input a number greater thant the fund operations period or the max holding period in the return assumptions</t>
  </si>
  <si>
    <t>invested capital</t>
  </si>
  <si>
    <t>can set to recycle the amount originally invested in the company (meaning any profits would be distributed), the amount invested in the company plus the cost basis (allocating expenses to the invested capital, so that it reflects paid in capital related to the investent), or all proceeds, meaning all proceeds from the exit</t>
  </si>
  <si>
    <t>new investments</t>
  </si>
  <si>
    <t>can set to new investments only, or new and follow on investments. this will set the proceeds recycling timeframe on the forecast sheet, meaning the period when recycling can be done</t>
  </si>
  <si>
    <t>Portfolio Construction</t>
  </si>
  <si>
    <t>Capital Allocation and Investment Timeframe Assumptions</t>
  </si>
  <si>
    <t>New</t>
  </si>
  <si>
    <t>Follow</t>
  </si>
  <si>
    <t>% Allocation of Invested Capital</t>
  </si>
  <si>
    <t>Allocation of overall invested capital to new and follow</t>
  </si>
  <si>
    <t>Average Check Size</t>
  </si>
  <si>
    <r>
      <t xml:space="preserve">Follow ons are assumed to be on average 1-2 years after the new investment. If more detailed required, consider the Venture Investor Model (see </t>
    </r>
    <r>
      <rPr>
        <u/>
        <sz val="10"/>
        <color rgb="FF1155CC"/>
        <rFont val="Arial"/>
      </rPr>
      <t>Model Comparison sheet</t>
    </r>
    <r>
      <rPr>
        <sz val="10"/>
        <color rgb="FF000000"/>
        <rFont val="Arial"/>
        <scheme val="minor"/>
      </rPr>
      <t>)</t>
    </r>
  </si>
  <si>
    <t># of Checks</t>
  </si>
  <si>
    <t># of new checks = # of unique companies invested into. # of follow checks = # of rounds participated in, can consist of multiple follow checks into a single company</t>
  </si>
  <si>
    <t>Return Assumptions</t>
  </si>
  <si>
    <t>Used to create estimates of average investment outcome by gross exit multiple and hold period</t>
  </si>
  <si>
    <t>Type of Exit</t>
  </si>
  <si>
    <t>% of Investments</t>
  </si>
  <si>
    <t># of Investments</t>
  </si>
  <si>
    <t>Average Gross Exit Multiple</t>
  </si>
  <si>
    <t>Average Hold Period (years)</t>
  </si>
  <si>
    <t>% of Total Proceeds</t>
  </si>
  <si>
    <t>Type of Exit can be defined in a few ways: by returns (writeoffs, small, medium, large), by strategy (Seed, A, B, etc.), by investment strategy (early, late, growth), or industry strategy (tech, energy, etc.)</t>
  </si>
  <si>
    <t>Writeoff</t>
  </si>
  <si>
    <t>#, %</t>
  </si>
  <si>
    <t>Average Hold Period is the average time from initial investment to exit, per # of investments, used to calculate the timing of proceeds and writeoffs</t>
  </si>
  <si>
    <t>Small</t>
  </si>
  <si>
    <r>
      <t xml:space="preserve">The % of total proceeds is calculated from the gross exit multiple and the % of investments for each exit type, to estimate where the fund returns come from. More complicated methods for estimated proceeds are in the paid venture models at </t>
    </r>
    <r>
      <rPr>
        <u/>
        <sz val="10"/>
        <color rgb="FF1155CC"/>
        <rFont val="Arial"/>
      </rPr>
      <t>https://foresight.is/vc</t>
    </r>
  </si>
  <si>
    <t>Medium</t>
  </si>
  <si>
    <t>Large</t>
  </si>
  <si>
    <t>Can adjust this structure to add additional lines for types of exits, just note will need to make a few edits on Forecast sheet to pull those into the calculations of proceeds and changes in invested capital.</t>
  </si>
  <si>
    <t>Fund Performance</t>
  </si>
  <si>
    <t>Fund performance summary</t>
  </si>
  <si>
    <t>Called Capital (also called Paid in Capital)</t>
  </si>
  <si>
    <t xml:space="preserve">should equal committed capital. in some cases this will not, e.g. when using assets under management to calculate management fees, or when selecting "new and follow investments" as a recycling method. the natural circularity in those calculations and the slight deviation from committed capital using the algebra in the model aligns with the difficulty in planning (in real life) for investments and expenses with those methods </t>
  </si>
  <si>
    <t>Management Fees and Fund Expenses</t>
  </si>
  <si>
    <t>management fees + operating expenses + organizational expenses</t>
  </si>
  <si>
    <t>Recycled Capital</t>
  </si>
  <si>
    <t>recycled capital, calculated using recycling assumptions above</t>
  </si>
  <si>
    <t>Invested Capital</t>
  </si>
  <si>
    <t>committed capital - expenses - management fees + recycled capital, accounting for expenses being covered by recycled capital</t>
  </si>
  <si>
    <t>Proceeds</t>
  </si>
  <si>
    <t>invested capital * gross exit multiple. calculated on forecast sheet</t>
  </si>
  <si>
    <t>Carried Interest</t>
  </si>
  <si>
    <t>proceeds less return of capital * carried interest rate, accounting for (1) the fund waterfall structure, (2) any preferred return and GP catchup structure, and (3) any clawbacks in payments of carried interest</t>
  </si>
  <si>
    <t>Distributions</t>
  </si>
  <si>
    <t>proceeds distributed to LPs less carried interest plus preferred return less GP catchup less any fund expenses paid out of proceeds</t>
  </si>
  <si>
    <t>Gross Multiple</t>
  </si>
  <si>
    <t>proceeds / invested capital. also known as MOIC (multiple on invested capital)</t>
  </si>
  <si>
    <t>Net Multiple</t>
  </si>
  <si>
    <t>distributions / paid in capital</t>
  </si>
  <si>
    <t>Gross IRR</t>
  </si>
  <si>
    <t>this is a simplified calculation. in practice, exits will happen at different times and sizes, and IRR will vary to reflect that. this simplified model can only make a simplified estimate of IRR for baseline forecasting</t>
  </si>
  <si>
    <t>Net IRR</t>
  </si>
  <si>
    <t>Max Exposure, as % of Committed Capital</t>
  </si>
  <si>
    <t>Annual Forecast</t>
  </si>
  <si>
    <t>Relative Year</t>
  </si>
  <si>
    <t>Date at end of period</t>
  </si>
  <si>
    <t>Triggers</t>
  </si>
  <si>
    <t>period for making new investments only</t>
  </si>
  <si>
    <t>sum</t>
  </si>
  <si>
    <r>
      <t xml:space="preserve">see FAST Standard for how to use triggers: </t>
    </r>
    <r>
      <rPr>
        <u/>
        <sz val="10"/>
        <color rgb="FF1155CC"/>
        <rFont val="Arial"/>
      </rPr>
      <t>https://foresight.is/learn/fast-standard</t>
    </r>
  </si>
  <si>
    <t>Proceeds Recycling period (years)</t>
  </si>
  <si>
    <t>Inputs</t>
  </si>
  <si>
    <t>Management Fees</t>
  </si>
  <si>
    <t>committed</t>
  </si>
  <si>
    <t>GP Commit, excluded from LP capital. By default, GP commit is treated as an LP interest. Check the box to have the GP commit not treated as an LP investment. This will affect management fees (management fees will not be charged on the GP commit if it's not an LP interest, and it will change the waterfall so that GPs only get carried interest, and not carried interest + their share of distributions as an LP)</t>
  </si>
  <si>
    <t>GP Commit, excluded from management fees. Check the box to have the GP commit - capital contributed by the GP as LP capital and an ownership in the fund - excluded from calculation of management fees</t>
  </si>
  <si>
    <t>GP Commit, covered via cashless contributions from management fees</t>
  </si>
  <si>
    <t>if management fees are used to cover for a GP Commit. Please discuss the implications of this with your tax advisor and fund admin if you choose this option</t>
  </si>
  <si>
    <t>final</t>
  </si>
  <si>
    <t>Commited Capital, % of total fund committed per year</t>
  </si>
  <si>
    <t>Called Capital, % of total fund committed</t>
  </si>
  <si>
    <t>optional manual override to the automatically calculated called capital schedule, if you do not want to use the calculated schedule. this will not change your investment deployment, only your called capital and cash balances</t>
  </si>
  <si>
    <t>Capital, beginning of period</t>
  </si>
  <si>
    <t>initial</t>
  </si>
  <si>
    <t>Called Capital</t>
  </si>
  <si>
    <t>Distributions + Carried Interest</t>
  </si>
  <si>
    <t>Fees</t>
  </si>
  <si>
    <t>Investments</t>
  </si>
  <si>
    <t>Capital, end of period</t>
  </si>
  <si>
    <t>Committed Capital</t>
  </si>
  <si>
    <t>Manual Investments</t>
  </si>
  <si>
    <t>New Investments</t>
  </si>
  <si>
    <t>if(G8=1,'Get Started'!$E56/'Get Started'!$E15*'Get Started'!$E36+G149*'Get Started'!$E36,0)</t>
  </si>
  <si>
    <t>Prorata Opportunities</t>
  </si>
  <si>
    <t>Reserves for Follow on</t>
  </si>
  <si>
    <t>change in reserves per period, increase in reserves when new investments are made, decrease when follow on are made or investments are written off</t>
  </si>
  <si>
    <t>Follow on Investments</t>
  </si>
  <si>
    <t>offset(G33,0,-1)*'Get Started'!$F36/'Get Started'!$E36</t>
  </si>
  <si>
    <t>Total Investments, by cohort of New Investments</t>
  </si>
  <si>
    <t>Total Investments</t>
  </si>
  <si>
    <t>Organizational Expenses</t>
  </si>
  <si>
    <t>Operational Expenses</t>
  </si>
  <si>
    <t>if(H15="called",$E30*H159,H14*(H85+G85)/2*if($C17=true,1-'Get Started'!$E10,1))</t>
  </si>
  <si>
    <t>Preferred Return</t>
  </si>
  <si>
    <t>GP Catchup</t>
  </si>
  <si>
    <t>Writeoffs</t>
  </si>
  <si>
    <t>Invested Capital Exited</t>
  </si>
  <si>
    <t>value of the original capital invested, that exits (proceeds &gt; 0)</t>
  </si>
  <si>
    <t>Change in Invested Capital</t>
  </si>
  <si>
    <t>value of the original capital invested. goes up when investments are made, down when investments are written off, and down when investments exit</t>
  </si>
  <si>
    <t>Change in Unrealized Gain (Loss)</t>
  </si>
  <si>
    <t>estimated from the gross IRR and accounting for value of invested capital and exits; please note this an estimate created as the model does not have sufficient tracking of intermediate changes in value of the portfolio to actually do this accurately, and you may alter the logic behind this if you want to change the estimate</t>
  </si>
  <si>
    <t>Change in Residual Value</t>
  </si>
  <si>
    <t>change in invested capital + change in residual value</t>
  </si>
  <si>
    <t>Change in Undrawn Capital Commitments</t>
  </si>
  <si>
    <t>Committed Capital from LPs</t>
  </si>
  <si>
    <t>Called Capital from LPs</t>
  </si>
  <si>
    <t>Distributions to LPs</t>
  </si>
  <si>
    <t>Distributions to GPs</t>
  </si>
  <si>
    <t>equal to residual value at end of period. also known as net asset value</t>
  </si>
  <si>
    <t>Paid in Capital (PIC)</t>
  </si>
  <si>
    <t>Residual Value to Paid in Capital (RVPI)</t>
  </si>
  <si>
    <t>Distributed Value to Paid in Capital (DVPI)</t>
  </si>
  <si>
    <t>Total Value to Paid in Capital (TVPI)</t>
  </si>
  <si>
    <t>Exposure, as % of Total Committed Capital</t>
  </si>
  <si>
    <t>idea from https://blog.newfundcap.com/vc-calculator/</t>
  </si>
  <si>
    <t>max</t>
  </si>
  <si>
    <t>Net (Investments) Proceeds</t>
  </si>
  <si>
    <t>realized only</t>
  </si>
  <si>
    <t>Net (Called Capital) Distributions</t>
  </si>
  <si>
    <t>Interim Net IRR</t>
  </si>
  <si>
    <t>will differ from net IRR simply because of difference in using XIRR and IRR and how they handle dates differently</t>
  </si>
  <si>
    <t>Gross MOIC (Multiple on invested capital)</t>
  </si>
  <si>
    <t>realized and unrealized, gross</t>
  </si>
  <si>
    <t>Net MOIC (Multiple on invested capital)</t>
  </si>
  <si>
    <t>realized and unrealized, net</t>
  </si>
  <si>
    <t>Deal-by-deal with clawback (American)</t>
  </si>
  <si>
    <t>Proceeds to Distribute</t>
  </si>
  <si>
    <t>proceeds less recycled capital less expenses not budgeted for</t>
  </si>
  <si>
    <t>Cost Basis of Capital Exited</t>
  </si>
  <si>
    <t>Estimates fees on top of invested capital to calculate cost basis. Used to build up the total capital exited, to use in calculating deal-by-deal carry and estimate clawbacks. Will be zero if using Total Fun (European) Waterfall.</t>
  </si>
  <si>
    <t>Return of Capital</t>
  </si>
  <si>
    <t>invested capital returned through distributions in this period</t>
  </si>
  <si>
    <t>Clawback of Carried Interest</t>
  </si>
  <si>
    <t>clawback of carried interest paid if full return of capital is not met</t>
  </si>
  <si>
    <t>Cumulative Return of Capital</t>
  </si>
  <si>
    <t>cumulative return of invested capital. This will calculate back to the total forecasted invested capital, not the amount invested to date</t>
  </si>
  <si>
    <t>Cumulative Capital not returned</t>
  </si>
  <si>
    <t>this will turn to 0 when all invested capital is returned to investor. Since this is based on total invested capital in the investment period - not the investment to date - this may turn zero when the fund has returned capital before it has all been called. Questions about this, just email help@foresight.is</t>
  </si>
  <si>
    <t>Proceeds applicable for Carry</t>
  </si>
  <si>
    <t>by default carry is paid once capital is returned. see model comparison for more detailed models with features for more complexity for these calcs</t>
  </si>
  <si>
    <t>proceeds applicable for carry * carry %.</t>
  </si>
  <si>
    <t>Detail for Charts</t>
  </si>
  <si>
    <t>Calculation for recycling</t>
  </si>
  <si>
    <t>Proceeds to be recycled, within recycling timeframe</t>
  </si>
  <si>
    <t>Proceeds Recycled</t>
  </si>
  <si>
    <t>Max % recycling, as a % of committed capital</t>
  </si>
  <si>
    <t>total</t>
  </si>
  <si>
    <t>Max % recycling, as a % of management fees</t>
  </si>
  <si>
    <t>Calculation for deployment</t>
  </si>
  <si>
    <t>called capital</t>
  </si>
  <si>
    <t>organizational expenses</t>
  </si>
  <si>
    <t>operating expenses</t>
  </si>
  <si>
    <t>management fees</t>
  </si>
  <si>
    <t>proceeds recycled</t>
  </si>
  <si>
    <t>new invested capital</t>
  </si>
  <si>
    <t>if('Get Started'!$E29="new and follow investments",((G8/$E8*'Get Started'!$E36*(1-$E157-$E158-$E159)+G160*'Get Started'!$E36*G8) + (G8/$E8*'Get Started'!$E36*(1-$E157-$E158-$E159)+G160*'Get Started'!$E36*G8)*'Get Started'!$F36/'Get Started'!$E36)*$E180/$E8*'Get Started'!$E36,0)</t>
  </si>
  <si>
    <t>follow invested capital</t>
  </si>
  <si>
    <t>invested capital, per cohort</t>
  </si>
  <si>
    <t>exited invested capital</t>
  </si>
  <si>
    <t>proceeds</t>
  </si>
  <si>
    <t>proceeds from investments exited within timeframe</t>
  </si>
  <si>
    <t>cost basis of investments exited within timeframe</t>
  </si>
  <si>
    <t>invested capital from investments exited within timeframe</t>
  </si>
  <si>
    <t>proceds to be recycled, within recycling timeframe</t>
  </si>
  <si>
    <t>capital to add to budgeted invested capital</t>
  </si>
  <si>
    <t>cumulative called capital</t>
  </si>
  <si>
    <t>average</t>
  </si>
  <si>
    <t>Calculation for invested capital using Assets under Management</t>
  </si>
  <si>
    <t>total invested capital</t>
  </si>
  <si>
    <t>cumulative invested capital</t>
  </si>
  <si>
    <t>sum of management fees, if assets under management</t>
  </si>
  <si>
    <t>called capital, if called capital for managment fees</t>
  </si>
  <si>
    <t>invested capital, if assets under management</t>
  </si>
  <si>
    <t>Resources and Templates</t>
  </si>
  <si>
    <t>Every tool and template has its own rationale and goals, almost all share the same goal, to help emerging managers and entrepreneurs understand how the economics for venture funds work.</t>
  </si>
  <si>
    <t>Name</t>
  </si>
  <si>
    <t>Key Attributes</t>
  </si>
  <si>
    <t>Link</t>
  </si>
  <si>
    <t>How to Model a Venture Capital Fund</t>
  </si>
  <si>
    <t>Post detailing how to model a venture capital fund, detailing all the components, methods, considerations, and links to template models to review</t>
  </si>
  <si>
    <t>https://openvc.app/blog/how-to-model-a-venture-capital-fund</t>
  </si>
  <si>
    <t>Portfolio Construction for Dummies, by Hadley Harris (Eniac Ventures)</t>
  </si>
  <si>
    <t>Free Excel and Google Sheets Model and explanations on how to model a venture fund</t>
  </si>
  <si>
    <t>https://eniacvc.medium.com/seed-fund-portfolio-construction-for-dummies-9ec5b4d152dc</t>
  </si>
  <si>
    <t>Tactyc Venture Manager</t>
  </si>
  <si>
    <t>Web app to build, manage and strategize venture portfolio models</t>
  </si>
  <si>
    <t>https://vc.tactyc.io/</t>
  </si>
  <si>
    <t>Venture Fund Model, by Craig Thomas</t>
  </si>
  <si>
    <t>Free model in Causal for modeling portfolio construction</t>
  </si>
  <si>
    <t>https://my.causal.app/models/7140</t>
  </si>
  <si>
    <t>Open Source Venture Model (V1), by Sam Gerstenzang</t>
  </si>
  <si>
    <t>Google Sheet, open source, helpful for understanding how follow-on dynamics work in modeling and planning for reserves.</t>
  </si>
  <si>
    <t>https://medium.com/@gerstenzang/open-source-venture-model-osvm-v1-55bebf3eda9</t>
  </si>
  <si>
    <t>Airstream Alpha</t>
  </si>
  <si>
    <t>Fund budget template from a fund CFO firm (submit email to access)</t>
  </si>
  <si>
    <t>https://airstreamalpha.com/financial-model/</t>
  </si>
  <si>
    <t>Venture Capital Starter Model, by Foresight</t>
  </si>
  <si>
    <t>Free Google Sheet (can download to Excel) for forecasting a venture fund, including basic fund performance metrics. Calculates at an overall portfolio level (does not model cashflows over time)</t>
  </si>
  <si>
    <t>https://foresight.is/vc</t>
  </si>
  <si>
    <t>Simple, free model in Causal to show overall returns based on fund size, follow-on reserves, and fees.</t>
  </si>
  <si>
    <t>Venture Capital Model, Annual Forecast, by Foresight</t>
  </si>
  <si>
    <t>Free Google Sheet (can download to Excel) for forecasting a venture fund, including all fund performance metrics, showing annual cashflows over time.</t>
  </si>
  <si>
    <t>Venture Capital Model, Annual Forecast, by Foresight (Causal)</t>
  </si>
  <si>
    <t>Free Causal model for forecasting a venture fund, including all fund performance metrics, showing annual cashflows over time.</t>
  </si>
  <si>
    <t>Venture Fund Model, Quarterly Forecast,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</si>
  <si>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t>
  </si>
  <si>
    <t>https://foresight.is/venture-fund-model</t>
  </si>
  <si>
    <t>Venture Fund Model, Quarterly, with Tracking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</si>
  <si>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 Adds in tracking to track actual investments, compare budgeted investment pacing and performance to actuals, and create rolling forecasts.</t>
  </si>
  <si>
    <t>Venture Portfolio Construction, by Foresight</t>
  </si>
  <si>
    <t>Free Google Sheet (can download to Excel) to help understand portfolio construction.</t>
  </si>
  <si>
    <t>Contact taylor@foresight.is</t>
  </si>
  <si>
    <t>Angel and Solo GP Portfolio Tracking, by Foresight</t>
  </si>
  <si>
    <t>Free Google Sheet (can download to Excel) for angel investors to track and report performance metrics</t>
  </si>
  <si>
    <t>https://foresight.is/venture-portfolio-model</t>
  </si>
  <si>
    <t>Rolling Fund Template, by Foresight</t>
  </si>
  <si>
    <t>Free Google Sheet (can download to Excel) for budgeting capital, fees and investments for Angellist rolling funds</t>
  </si>
  <si>
    <t>https://www.angellist.com/blog/rolling-fund-budget</t>
  </si>
  <si>
    <t>Cap Table and Exit Waterfall Tool, by Foresight</t>
  </si>
  <si>
    <t xml:space="preserve">Free Excel Model (can upload to Google Sheets) to create a cap table through multiple rounds of investments, and forecast how investment rounds impact ownership, dilution, valuations, and distribution of proceeds to entrepreneurs and investors through a detailed exit waterfall. </t>
  </si>
  <si>
    <t>https://foresight.is/cap-table</t>
  </si>
  <si>
    <t>Venture Valuation Tool, by Foresight</t>
  </si>
  <si>
    <t>Free Excel Model (can upload to Google Sheets), useful for evaluating a specific investment, projected dilution, returns to shareholders participating in each round of investment</t>
  </si>
  <si>
    <t>https://foresight.is/learn/venture-valuation</t>
  </si>
  <si>
    <t>VC Fund Performance Calculator, by Angellist</t>
  </si>
  <si>
    <t>Percentile scores of venture funds across vintage years by combining performance data from hundreds of recent venture capital funds.</t>
  </si>
  <si>
    <t>https://angel.co/v/venture/calculator</t>
  </si>
  <si>
    <t>Venture Fund Economics, by Fred Wilson</t>
  </si>
  <si>
    <t>An outline of fund economics, with examples based on USV</t>
  </si>
  <si>
    <t>https://avc.com/2008/08/venture-fund-1/</t>
  </si>
  <si>
    <t>Venture Capital Method (Valuation)</t>
  </si>
  <si>
    <t>Examples of how to use the Venture Capital Method for valuation, free Google Sheets</t>
  </si>
  <si>
    <t>https://vcmethod.com/</t>
  </si>
  <si>
    <t>Foresight Template Comparison</t>
  </si>
  <si>
    <t>I offer a range of templates for venture funds and angels. Here's a breakdown of the models and how they compare.</t>
  </si>
  <si>
    <t>Template</t>
  </si>
  <si>
    <t>Software</t>
  </si>
  <si>
    <t>Price</t>
  </si>
  <si>
    <t>Overall Portfolio Forecast</t>
  </si>
  <si>
    <t>Annual Portfolio Forecast</t>
  </si>
  <si>
    <t>Quarterly Portfolio Forecast</t>
  </si>
  <si>
    <t>Fund Performance Metrics</t>
  </si>
  <si>
    <t>Scenarios</t>
  </si>
  <si>
    <t>Financial Statements</t>
  </si>
  <si>
    <t>Track Actual Investments</t>
  </si>
  <si>
    <t>Budget v. Actuals, and rolling Forecast</t>
  </si>
  <si>
    <t>Multi-tiered Carried Interest</t>
  </si>
  <si>
    <t>Preferred Return (and GP Catchup)</t>
  </si>
  <si>
    <t>Rolling Funds</t>
  </si>
  <si>
    <t>Individual Investment Evaluation</t>
  </si>
  <si>
    <t>Venture Studios</t>
  </si>
  <si>
    <t>Management Company Budgeting</t>
  </si>
  <si>
    <t>Fund-of-Funds</t>
  </si>
  <si>
    <t>Venture Capital Model, Overall Portfolio, by Foresight</t>
  </si>
  <si>
    <t>https://foresight.is/venture-fund-model-overall/</t>
  </si>
  <si>
    <t>Google Sheets, download to Excel, Causal</t>
  </si>
  <si>
    <t>Free</t>
  </si>
  <si>
    <t>https://foresight.is/venture-fund-model-annual/</t>
  </si>
  <si>
    <t>Free, Suggested Donation</t>
  </si>
  <si>
    <t>Venture Capital Model, Quarterly Forecast, by Foresight</t>
  </si>
  <si>
    <t>https://foresight.is/venture-fund-model-quarterly/</t>
  </si>
  <si>
    <t>Venture Capital Model, Manual Investment Input, by Foresight</t>
  </si>
  <si>
    <t>https://foresight.is/venture-fund-model-portfolio/</t>
  </si>
  <si>
    <t>Google Sheets, download to Excel</t>
  </si>
  <si>
    <t>Venture Studio Model, Annual Forecast, by Foresight</t>
  </si>
  <si>
    <t>https://foresight.is/venture-studio-model</t>
  </si>
  <si>
    <t>Venture Capital Model, Average Cap Table</t>
  </si>
  <si>
    <t>https://foresight.is/venture-fund-model-detailed/</t>
  </si>
  <si>
    <t>$74 USD</t>
  </si>
  <si>
    <t>Venture Investor Model, by Foresight</t>
  </si>
  <si>
    <t>$349 USD</t>
  </si>
  <si>
    <t>Angel and Venture Fund Portfolio Tracking, by Foresight</t>
  </si>
  <si>
    <t>https://foresight.is/venture-portfolio-model/</t>
  </si>
  <si>
    <t>Fund of Venture Funds</t>
  </si>
  <si>
    <t>https://foresight.is/fund-of-funds/</t>
  </si>
  <si>
    <t>https://foresight.is/rolling-fund-template/</t>
  </si>
  <si>
    <t>Excel, upload to Google Sheets</t>
  </si>
  <si>
    <t>https://foresight.is/venture-valuation-tool/</t>
  </si>
  <si>
    <t>Runway and Cash Budget Tool</t>
  </si>
  <si>
    <t>https://foresight.is/runway-cash-forecasting</t>
  </si>
  <si>
    <t>Custom Services</t>
  </si>
  <si>
    <t>Customization, edits to models, and custom services in Excel, Google Sheets, Causal</t>
  </si>
  <si>
    <t>Quote</t>
  </si>
  <si>
    <t>Key venture terms and metrics used in this model. For more, http://www.allenlatta.com/glossary-of-private-equity-terms.html is a good resource</t>
  </si>
  <si>
    <t>Term</t>
  </si>
  <si>
    <t>Definition</t>
  </si>
  <si>
    <t>Limited Partner</t>
  </si>
  <si>
    <t>Part-owner of a company whose liability for the firm's debts cannot exceed the amount that an individual invested in the company. In VC, the investors in the fund. https://www.investopedia.com/terms/l/limited-partner.asp</t>
  </si>
  <si>
    <t>General Partner</t>
  </si>
  <si>
    <t>A general partner is one of two or more investors who jointly own a business that is structured as a partnership, and who assumes a day-to-day role in managing it. In venture capital, often the management company or the owners and managers of the management company. https://www.investopedia.com/terms/g/generalpartner.asp</t>
  </si>
  <si>
    <t>Rolling Fund</t>
  </si>
  <si>
    <t>A newer fund structure created where each quarter is its own "fund" for reporting purposes, so that new limited partners can be accepted into the fund at every quarter. See https://www.angellist.com/blog/rolling-fund-budget for budgeting for rolling funds and more details on the structure</t>
  </si>
  <si>
    <t>Evergreen Fund</t>
  </si>
  <si>
    <t>Fund structure where proceeds are continually recycled, and typically limited partners can invest and divest regularly throughout the fund's life. (This model does not fit an evergreen structure.)</t>
  </si>
  <si>
    <t>Also known as total fund size. Total capital committed to the fund. May vary over a fund's lifetime if the fund is holding multiple closes.</t>
  </si>
  <si>
    <t>Capital called from limited partners. Used to pay fund expenses and invest in companies. Once all capital is called, total called capital will equal committed capital.</t>
  </si>
  <si>
    <t>GP Commit</t>
  </si>
  <si>
    <t>% of total called capital that is required to be contributed by the general partners of the fund. May be funded through management fees if limited partners allow in fund operating agreements.</t>
  </si>
  <si>
    <t>Expenses occured in creating a fund entity, which can often be charged to the fund (in addition to management fees)</t>
  </si>
  <si>
    <t>Expenses occured in operating a fund, which can often be charged to the fund (in addition to management fees). Can include fund administration, fund tax reporting, legal costs in working on investment opportunities, and more.</t>
  </si>
  <si>
    <t>Fees charged by the management company operating the fund to the fund. They are revenues to the management company, and used to pay expenses such as salaries, insurance, marketing, operating costs, and more.</t>
  </si>
  <si>
    <t>Management Fees Recycled</t>
  </si>
  <si>
    <t>Many funds will recycle their management fees, meaning they reinvest early proceeds back into new investments. The rationale is that it allows the management company to invest more capital from the same fund size and improve returns. Recycling all fees into new investments can be difficult to do, based on the timeframe for new investments and the timing of when proceeds happen. Budgeting a schedule of invested capital for management fee recycling can be difficult. Many funds will target higher recycling earlier (&gt;100%) knowing they will not be able to recycle all management fees into new investments later in period, or to be more aggressive in redeploying capital/.</t>
  </si>
  <si>
    <t>Proceeds received from the sale of investments. Proceeds may be distributed to investors in the fund, recycled into new investments, or retained to distribute at a later time. Thus, proceeds are calculated separately from distributions.</t>
  </si>
  <si>
    <t>Common in private equity, common in non-US venture capital, very rare in US venture capital. Also known as a hurdle rate, a rate of return promised to limited partners before carry is paid to general partners.</t>
  </si>
  <si>
    <t>Many funds that have a preferred return provide the ability to the General Partners to "catch-up" on the carry they would have earned on the preferred return that was first paid to limited partners.</t>
  </si>
  <si>
    <t>Also called "carry', the percentage of gains (proceeds less paid in capital) from investments that are paid to the managers of the fund.</t>
  </si>
  <si>
    <t>European Waterfall</t>
  </si>
  <si>
    <t>Also known as "total fund carry". Default assumption for US venture capital, and this model, which calculates carry on a total fund basis, so that carry is not paid until the entire fund earns a return</t>
  </si>
  <si>
    <t>American Waterfall</t>
  </si>
  <si>
    <t>Also known as "deal by deal carry". Rare in US venture capital, occurs in non-US venture capital, common in private equity. Carry is paid on a deal-by-deal basis, rather than a total fund. The effect is that carry is often paid earlier in a fund's lifecycle. Often comes with clawback provisions.</t>
  </si>
  <si>
    <t>Clawback</t>
  </si>
  <si>
    <t>Provisions in fund operating agreements for funds with American Waterfalls</t>
  </si>
  <si>
    <t>Distributions to investors in the fund. This is net of carried interest paid to the managers of the fund. Distributions = Proceeds less carried interest less recycled capital less retained proceeds, it captures the actual cash disbursed to investors in the fund.</t>
  </si>
  <si>
    <t>Investments that are written off from companies going out of business. Estimated using the portfolio construction sheet.</t>
  </si>
  <si>
    <t>simplified calc in this model. one way to do this is to take the gross IRR from exits to back into an estimate of markups and changes in valuations overtime, smoothing those unrealized gains over time. in reality, unrealized gains would be tied to changes in the value of the underlying investments and far spikier in terms of how much and when they occur. unrealized gains go down over time as they are realized, so unrealized gains over a fund's life should equal zero. this model uses the portfolio construction markups and exits to estimate the changes over time, so it attempts to more closely reflect the spikiness from the portfolio construction assumptions.</t>
  </si>
  <si>
    <t>equivalent to called capital</t>
  </si>
  <si>
    <t>Ratio of Residual Value to Paid in Capital.</t>
  </si>
  <si>
    <t>Ratio of cumulative distributions to paid in capital</t>
  </si>
  <si>
    <t>Ratio of (residual value remaining in portfolio + realized distributions) to paid in capital</t>
  </si>
  <si>
    <t>Gross cash flows per period, used to calculate gross IRRs</t>
  </si>
  <si>
    <t>Cumulative proceeds divided by cumulative invested capital, at the end of each period. Used to reflect the performance of the fund's investments.</t>
  </si>
  <si>
    <t>IRR (internal rate of return) of the investments and proceeds</t>
  </si>
  <si>
    <t>Net cash flows per period, used to calculate net IRRs</t>
  </si>
  <si>
    <t>Cumulative distributions divided by cumulative paid in capital, at the end of each period. Used to reflect the cash on cash performance of the fund, including the effect of the fund's expenses on returns.</t>
  </si>
  <si>
    <t>IRR (internatl rate of return) of paid in capital and distributions.</t>
  </si>
  <si>
    <t>Interim IRRs reflect a rate of return that includes the unrealized value of the existing investments in the portfolio. Good read:http://www.allenlatta.com/allens-blog/lp-corner-fund-performance-metrics-internal-rate-of-return-irr-part-two</t>
  </si>
  <si>
    <t>J Curve</t>
  </si>
  <si>
    <t>Created by charting Interim IRR over the fund's life. Venture capital funds typically show negative IRRs early inthe fund's life, as the residual value is less than the paid in capital (from taking out fees, and since investments often have not received markups), then increase over time as exits occur and the portfolio is marked up from investments increasing in value. http://www.allenlatta.com/allens-blog/lp-corner-the-j-curve</t>
  </si>
  <si>
    <t>Pro rata</t>
  </si>
  <si>
    <t>Potential investment amount in a new investment round offered to an pre-existing investor, often an amount that allows them to maintain their ownership position. Managers should have a strategy about how to handle pro rata investment opportunities, as well as a point of view on pro rata investment rights and their desire and ability to secure pro rata rights in investments.</t>
  </si>
  <si>
    <t>Here's what has changed.</t>
  </si>
  <si>
    <t>Version</t>
  </si>
  <si>
    <t>Date</t>
  </si>
  <si>
    <t>v4.3.6</t>
  </si>
  <si>
    <t>Edited the Forecast sheet to bring back called capital as a base for calculating management fees. This is similarly tricky to assets under management to use for forecast for fund deployment, so the method currently approximates it "pretty close", similar to the description for assets under management below. Additionally, added a catchup on management fees for multiple closes of committted capital to both called capital and assets under management methods. Unlikley that this would happen for a fund, but included for completeness.</t>
  </si>
  <si>
    <t>v4.3.5</t>
  </si>
  <si>
    <t>Edited the calculations around calculation of invested capital budgeting when using assets under management and updating the approach when recycling is using "new and follow investments". The details are complicated, but essentially changing the approach to use the calculated deployment schedule based on $1 of capital to drive the forecast of total invested capital instead of the previous approach of calculating the total to invest and then deploying it over time. The algebra is complicated, but the usage of the model should be straightfoward. In some cases of recycling, follow ons, and base for management fee calculations called capital will not exactly equal committed capital, but I think this accurately reflects the fact that budgeting for full deployment when the fees and recycling in the later periods are highly unknown is an intrinsically difficult real-world problem to solve for. The deviation of called capital from committed capital should be &lt; 5%, and since the performance metrics are based on called capital (not committed), any deviation will not impact performance ratios and metrics.</t>
  </si>
  <si>
    <t>v4.3.4</t>
  </si>
  <si>
    <t>Edited the calculations around recycling when using "new and follow investments". Basically, this option presents a special problem in trying to forecast the total amount to invest, because the recycling of proceeds allocated for follow investments (during the period when there are follow investments but no new investments) depends on the new investments originally made, and that must be adjusted to account for recycling in later periods. The current algebra-based calc is close, not exact, but is significantly better than the previous method.</t>
  </si>
  <si>
    <t>v4.3.3</t>
  </si>
  <si>
    <t>Edited recycling calcs on Forecast sheet to adjust for the "invested capital" and "invested capital plus cost basis" calculation to remove the potential for invested capital that returns less than 1x to lead to recycling more capital than possible.</t>
  </si>
  <si>
    <t>v4.3.2</t>
  </si>
  <si>
    <t>Edit to Forecast sheet to add in a clawback for return of proceeds. This is something that I've always wanted to add in, but acknowledge that almost no users of these models will ever need. Almost nobody forecasts a fund that gets lots of proceeds early but then none at the end, which is what would create a scenario in which a clawback would occur, so almost nobody actually needs this. But for completeness, this is helpful to explain how it would work, and it's something I added into the closed-end fund models as I've been working on other fund model structures.</t>
  </si>
  <si>
    <t>v4.3.1</t>
  </si>
  <si>
    <t>Edits to Forecast to add new options for make multiple capital calls easier - input for % of committed capital called per period - and new option to make creating a custom capital call schedule easier - an input for % of committed capital called per period - with accompanying edits to Committed Capital, Called Capital, and Proceeds to Distribute (in Waterfall) lines</t>
  </si>
  <si>
    <t>v4.3</t>
  </si>
  <si>
    <t>New recycling options rolled out in parallel with an edit to the investment deployment forecasting methodology. 
Instead of a percentage of management fees recycling option, the model now offers a new set of assumptions on `Get Started` to more closely align with the options typical in fund LPAs (limited partnership agreements). The new recycling subroutine calculations on the `Forecast` sheet detail the potential recycling per period with each option, and help users understand how different recycling options impact cash flows.
In addition, the structure for forecasting invested capital was changed to match up the timing of recycled capital with investments, which will make the cash deployment and budgeting clearer and easier. A new output on `Get Started` reports the Budgeted Invested Capital separate from the proceeds that are recycled into investments, and the Called Capital and New Investments lines on the `Forecast` sheet were edited to reflect a different approach to budgeting for investments.</t>
  </si>
  <si>
    <t>v4.2.1</t>
  </si>
  <si>
    <t>Adjusted methodology for estimating forecasted unrealized gains. I could write an essay on this, but in short, this is a best estimate using the gross IRR and accounting for value of invested capital and exits; please note this model does not have sufficient tracking of intermediate changes in value of the portfolio to actually calculate this accurately, so an estimate is a best it can do, and you may alter the logic behind this if you want to change the estimate. If you want a more specific method of doing this, that requires the more advanced portfolio construction method at https://foresight.is/venture-fund-model</t>
  </si>
  <si>
    <t>v4.2.0</t>
  </si>
  <si>
    <t>So, I always say circulars can be solved with algebra, and I've said that the algebra for calculating management fees using assets under management was too hard. Well, I solved it with a new methodology. On Forecast sheet there is a subcalculation routine that calculates assets under management as a % of invested capital given the capital deployment strategy and investment strategy (expectations of writeoffs and exits). Three primary changes: (a) modified the forecast of invested capital to allow the option to use circulars, now a checkbox on Forecast sheet, (b) removed the manual adjustment to the invested capital, and (c) new method used to forecast invested capital on Get Started. It's still doing the same thing (committed capital - expenses - management fees + recycled capital) but now it's using a lot more subcalculations for management fees to make it work. Now, you can select management fees to use committed capital at any point in the fund life, and the model will adjust, without requiring circulars. The option to use circulars is now just a backup.
Edited Proceeds, Writeoffs, and Invested Capital Exited to use the assumptions on Get Started a bit differently. No change in the results (except previously, I reported writeoffs as part of invested capital exited, now it is separated), but required to make the changes above.</t>
  </si>
  <si>
    <t>v4.1.9</t>
  </si>
  <si>
    <t>Edited Get Started and Forecast to make the model a bit smarter about handling expense overruns. Now the model will reduce distributions to handle any unbudgeted expenses, as well as call capital around recycling a bit differently. Changes to Called Capital per period, Management Fees Recycled per period, and Proceeds available for distribution (in the Waterfall) lines.
Created new input on Forecast to allow for a manual adjustment to invested capital; this gets added to Invested Capital on Get Started and added to the total budgeted invested capital. The intent is for this to only be used in cases where management fees are charged on assets under management or called capital; the previous change to remove the circular on charging fees based on assets under management results in called capital &lt; committed capital, this manual adjustment allows for a fund manager to increase their budget to get them to equal (previously the model would calculate it using circulars, but that can be problematic in some use cases as Excel/Google Sheets will struggle to find a consistent answer, removing the circular removes that spreadsheet program issue but introduces the tradeoff of making it harder for the model to create the capital call schedule, and this edit allows the fund manager to adjust the model to fix that. Basically, replacing a spreadsheet auto calc with a human adjustment to deal with the practical issue with circulars).</t>
  </si>
  <si>
    <t>v4.1.8</t>
  </si>
  <si>
    <t>Edited Get Started and Forecast to build new way to forecast operational expenses. Previously model assumed operational fees were not charged to the fund in the extension period, after the initial fund operations period, if the fund was not yet exited out of all investments. Now by default it does estimate that period and use that for budgeting for operational expenses.</t>
  </si>
  <si>
    <t>v4.1.7</t>
  </si>
  <si>
    <t>Edited Get Started to create new calculation of invested capital if using assets under management as the base for any period in calculating management fees. Previously the model relied on circular references to calculate fees and create a schedule of called capital, but that method sometimes failed to work reliably because of how iterative calculations work to resolve circulars (context on circulars, https://foresight.is/circulars ). Now, if the model observes any option other than committed capital used, it will alter the estimate of invested capital so that it does not create a circular. The trade-off is that the model will not result in called capital = committed capital if you are not recycling 100% of management fees, due to the difficulty in estimating the budget for management fees.</t>
  </si>
  <si>
    <t>v4.1.6</t>
  </si>
  <si>
    <t>Edited Forecast sheet, adding a toggle(checkbox in Google Sheets, TRUE/FALSE in Excel) to choose whether the GP commit into the LP capital in the fund is charged management fees. By default in previous model versions the GP commit incurred management fees, by default now it does not, but there is a checkbox to toggle the treatment. Added one new line, and edited Management Fees line.</t>
  </si>
  <si>
    <t>v4.1.5</t>
  </si>
  <si>
    <t>Edited Forecast sheet, calculation of RVPI, to estimate the value of carried interest. Previously RVPI was reported on a gross basis, while DPI was reported on a net basis, creating a TVPI that reflected a net DPI and gross RVPI, slightly overestimating TVPI because it did not estimate carried interest to net from the residual value. A small edit that removed the slight change in TVPI on the last period where RVPI goes to zero.</t>
  </si>
  <si>
    <t>v4.1.4</t>
  </si>
  <si>
    <r>
      <rPr>
        <sz val="10"/>
        <rFont val="Arial"/>
      </rPr>
      <t xml:space="preserve">Edited Get Started to eliminate the section on ownership percentages and valuations. (a) it was not used in the calculation of proceeds or any calculation in the modl, only for informational purposes, and (b) because of that it was commonly misunderstood by people. More complicated methods for calculating portfolio construction are in the paid venture models at </t>
    </r>
    <r>
      <rPr>
        <u/>
        <sz val="10"/>
        <color rgb="FF1155CC"/>
        <rFont val="Arial"/>
      </rPr>
      <t>https://foresight.is/vc</t>
    </r>
  </si>
  <si>
    <t>v4.1.3</t>
  </si>
  <si>
    <t>Edited Forecast, Distributions to GPs to include GP Catchup. Only impacts models with preferred returns and catchups, and only impacts the chart reporting relative distributions to GPs and LPs</t>
  </si>
  <si>
    <t>v4.1.2</t>
  </si>
  <si>
    <t>Edited Forecast sheet to add one more performance metric to the model
Edited logic behind the change in unrealized gains calculation on Forecast, based on conversation with a user. I think the numbers calculated previously were directionally correct, although the logic behind the formula didn't make sense. So, I revisted the logic and created a new formula that uses a different logic to calculate this estimate, by accounting for all capital to date. The end result isn't that different, but I do think the logic makes more sense.</t>
  </si>
  <si>
    <t>v4.1.1</t>
  </si>
  <si>
    <t>Edited the Interim IRR calculation for the first period in the model, so that it would capture the change in value during the first year and record a negative IRR. No change to any other calculations, no change in cash flows, just to change the reporting of the IRR in the first year</t>
  </si>
  <si>
    <t>v4.1.0</t>
  </si>
  <si>
    <r>
      <t xml:space="preserve">Fresh start on the Venture Investor Model. Clean new version of model, building in 80% of the features of the preexisting v4.0 beta and v3.15 (last stable previous version).
A number of features were not built into this model, primarily towards the goal of reducing overall complexity, and removing features not commonly used. Timescale reduced to annual, and is relative by default. Hooks structure removed, removed a number of options including American waterfall, rolling funds, tiered carry, recasting (a v3 version feature not brought into v4), and proceeds recycling (no longer separate from management fees recycling). Portfolio construction was massively redone; it follows the idea of the v4 beta, but implemented in a different way that should be much more clear and intuitive (i.e. less confusing). Management company budgeting and financial was removed; a better way to do it is by using the free </t>
    </r>
    <r>
      <rPr>
        <u/>
        <sz val="10"/>
        <color rgb="FF1155CC"/>
        <rFont val="Arial"/>
      </rPr>
      <t>Runway and Cash Budget Tool from Foresight</t>
    </r>
    <r>
      <rPr>
        <sz val="10"/>
        <color rgb="FF000000"/>
        <rFont val="Arial"/>
        <scheme val="minor"/>
      </rPr>
      <t>, as it's made for budgeting for companies; linking in management fees as a revenue item is easy to do, and it's a better base structure for modeling the management companies
Feature requests, feedback, bu</t>
    </r>
    <r>
      <rPr>
        <sz val="10"/>
        <color rgb="FF000000"/>
        <rFont val="Arial"/>
      </rPr>
      <t>gs,</t>
    </r>
    <r>
      <rPr>
        <sz val="10"/>
        <color rgb="FF000000"/>
        <rFont val="Arial"/>
        <scheme val="minor"/>
      </rPr>
      <t xml:space="preserve"> email me.</t>
    </r>
  </si>
  <si>
    <t xml:space="preserve">This was created by Taylor Davidson (@tdavidson) of Foresight.
© 2025, Unstructured Ventures, LLC.
Questions, contact taylor@foresight.is or @tdavidson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</si>
</sst>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0;\(#,##0\)"/>
    <numFmt numFmtId="165" formatCode="#,##0_);\(#,##0\);_(&quot;-&quot;_);_(@_)"/>
    <numFmt numFmtId="166" formatCode="#,##0.00;\(#,##0.00\)"/>
    <numFmt numFmtId="167" formatCode="\Q0"/>
    <numFmt numFmtId="168" formatCode="&quot;Year&quot;\ #,##0_);\(#,##0\);_(&quot;-&quot;_);_(@_)"/>
    <numFmt numFmtId="169" formatCode="m/d/yyyy"/>
    <numFmt numFmtId="170" formatCode="#,##0.000000000_);\(#,##0.000000000\);_(&quot;-&quot;_);_(@_)"/>
    <numFmt numFmtId="171" formatCode="0.0000000000"/>
    <numFmt numFmtId="172" formatCode="#,##0.00_);\(#,##0.00\);_(&quot;-&quot;_);_(@_)"/>
    <numFmt numFmtId="173" formatCode="#,##0.00000_);\(#,##0.00000\);_(&quot;-&quot;_);_(@_)"/>
    <numFmt numFmtId="174" formatCode="0.000"/>
    <numFmt numFmtId="175" formatCode="#,##0.0000_);\(#,##0.0000\);_(&quot;-&quot;_);_(@_)"/>
    <numFmt numFmtId="176" formatCode="#,##0.000_);\(#,##0.000\);_(&quot;-&quot;_);_(@_)"/>
    <numFmt numFmtId="177" formatCode="&quot;$&quot;#,##0"/>
  </numFmts>
  <fonts count="39">
    <font>
      <sz val="10"/>
      <color rgb="FF000000"/>
      <name val="Arial"/>
      <scheme val="minor"/>
    </font>
    <font>
      <sz val="10"/>
      <color theme="1"/>
      <name val="Arial"/>
      <scheme val="minor"/>
    </font>
    <font>
      <b/>
      <sz val="14"/>
      <color theme="1"/>
      <name val="Arial"/>
      <scheme val="minor"/>
    </font>
    <font>
      <sz val="10"/>
      <color rgb="FF000000"/>
      <name val="Arial"/>
      <scheme val="minor"/>
    </font>
    <font>
      <b/>
      <sz val="10"/>
      <color theme="1"/>
      <name val="Arial"/>
      <scheme val="minor"/>
    </font>
    <font>
      <sz val="10"/>
      <color rgb="FF000000"/>
      <name val="Arial"/>
    </font>
    <font>
      <u/>
      <sz val="10"/>
      <color rgb="FF0000FF"/>
      <name val="Arial"/>
    </font>
    <font>
      <b/>
      <sz val="12"/>
      <color theme="1"/>
      <name val="Arial"/>
      <scheme val="minor"/>
    </font>
    <font>
      <u/>
      <sz val="10"/>
      <color rgb="FF0000FF"/>
      <name val="Arial"/>
    </font>
    <font>
      <i/>
      <sz val="10"/>
      <color rgb="FF000000"/>
      <name val="&quot;Avenir Book&quot;"/>
    </font>
    <font>
      <u/>
      <sz val="10"/>
      <color rgb="FF1155CC"/>
      <name val="Arial"/>
    </font>
    <font>
      <sz val="10"/>
      <color rgb="FF000000"/>
      <name val="&quot;Avenir Book&quot;"/>
    </font>
    <font>
      <sz val="10"/>
      <color rgb="FF666666"/>
      <name val="Arial"/>
      <scheme val="minor"/>
    </font>
    <font>
      <b/>
      <i/>
      <sz val="12"/>
      <color theme="1"/>
      <name val="Arial"/>
      <scheme val="minor"/>
    </font>
    <font>
      <sz val="10"/>
      <color rgb="FF0000FF"/>
      <name val="Arial"/>
      <scheme val="minor"/>
    </font>
    <font>
      <sz val="10"/>
      <color rgb="FF0000FF"/>
      <name val="Arial"/>
    </font>
    <font>
      <sz val="10"/>
      <color theme="1"/>
      <name val="Arial"/>
    </font>
    <font>
      <u/>
      <sz val="10"/>
      <color rgb="FF0000FF"/>
      <name val="Arial"/>
    </font>
    <font>
      <i/>
      <sz val="10"/>
      <color theme="1"/>
      <name val="Arial"/>
      <scheme val="minor"/>
    </font>
    <font>
      <sz val="10"/>
      <color rgb="FFFFFFFF"/>
      <name val="Arial"/>
      <scheme val="minor"/>
    </font>
    <font>
      <b/>
      <sz val="10"/>
      <color theme="1"/>
      <name val="Arial"/>
    </font>
    <font>
      <i/>
      <sz val="10"/>
      <color theme="1"/>
      <name val="Arial"/>
    </font>
    <font>
      <sz val="10"/>
      <color rgb="FFFFFFFF"/>
      <name val="Arial"/>
    </font>
    <font>
      <b/>
      <sz val="14"/>
      <color theme="1"/>
      <name val="Arial"/>
    </font>
    <font>
      <sz val="10"/>
      <color rgb="FF666666"/>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sz val="10"/>
      <color rgb="FF0000FF"/>
      <name val="Arial"/>
    </font>
    <font>
      <sz val="10"/>
      <name val="Arial"/>
    </font>
    <font>
      <sz val="10"/>
      <color rgb="FF000000"/>
      <name val="Arial"/>
      <family val="2"/>
      <scheme val="minor"/>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4">
    <border>
      <left/>
      <right/>
      <top/>
      <bottom/>
      <diagonal/>
    </border>
    <border>
      <left/>
      <right/>
      <top/>
      <bottom style="thin">
        <color rgb="FF000000"/>
      </bottom>
      <diagonal/>
    </border>
    <border>
      <left/>
      <right/>
      <top style="thin">
        <color rgb="FF000000"/>
      </top>
      <bottom/>
      <diagonal/>
    </border>
    <border>
      <left/>
      <right/>
      <top/>
      <bottom/>
      <diagonal/>
    </border>
  </borders>
  <cellStyleXfs count="1">
    <xf numFmtId="0" fontId="0" fillId="0" borderId="0"/>
  </cellStyleXfs>
  <cellXfs count="124">
    <xf numFmtId="0" fontId="0" fillId="0" borderId="0" xfId="0"/>
    <xf numFmtId="0" fontId="1" fillId="0" borderId="0" xfId="0" applyFont="1" applyAlignment="1">
      <alignment horizontal="right"/>
    </xf>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 fillId="0" borderId="0" xfId="0" applyFont="1" applyAlignment="1">
      <alignment vertical="top"/>
    </xf>
    <xf numFmtId="0" fontId="3" fillId="0" borderId="0" xfId="0" applyFont="1" applyAlignment="1">
      <alignment vertical="top" wrapText="1"/>
    </xf>
    <xf numFmtId="0" fontId="1" fillId="0" borderId="0" xfId="0" applyFont="1" applyAlignment="1">
      <alignment vertical="top" wrapText="1"/>
    </xf>
    <xf numFmtId="0" fontId="8" fillId="0" borderId="0" xfId="0" applyFont="1" applyAlignment="1">
      <alignment vertical="top" wrapText="1"/>
    </xf>
    <xf numFmtId="0" fontId="1" fillId="0" borderId="0" xfId="0" applyFont="1"/>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0" xfId="0" applyFont="1" applyAlignment="1">
      <alignment horizontal="center"/>
    </xf>
    <xf numFmtId="0" fontId="12" fillId="0" borderId="0" xfId="0" applyFont="1"/>
    <xf numFmtId="0" fontId="13" fillId="0" borderId="0" xfId="0" applyFont="1"/>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right"/>
    </xf>
    <xf numFmtId="0" fontId="1" fillId="0" borderId="1" xfId="0" applyFont="1" applyBorder="1" applyAlignment="1">
      <alignment horizontal="left"/>
    </xf>
    <xf numFmtId="164" fontId="14" fillId="2" borderId="0" xfId="0" applyNumberFormat="1" applyFont="1" applyFill="1" applyAlignment="1">
      <alignment horizontal="center"/>
    </xf>
    <xf numFmtId="165" fontId="14" fillId="0" borderId="0" xfId="0" applyNumberFormat="1" applyFont="1"/>
    <xf numFmtId="165" fontId="14" fillId="2" borderId="0" xfId="0" applyNumberFormat="1" applyFont="1" applyFill="1"/>
    <xf numFmtId="165" fontId="1" fillId="0" borderId="0" xfId="0" applyNumberFormat="1" applyFont="1"/>
    <xf numFmtId="10" fontId="14" fillId="0" borderId="0" xfId="0" applyNumberFormat="1" applyFont="1"/>
    <xf numFmtId="10" fontId="14" fillId="2" borderId="0" xfId="0" applyNumberFormat="1" applyFont="1" applyFill="1"/>
    <xf numFmtId="164" fontId="1" fillId="0" borderId="0" xfId="0" applyNumberFormat="1" applyFont="1" applyAlignment="1">
      <alignment horizontal="center"/>
    </xf>
    <xf numFmtId="164" fontId="14" fillId="0" borderId="0" xfId="0" applyNumberFormat="1" applyFont="1"/>
    <xf numFmtId="165" fontId="15" fillId="2" borderId="0" xfId="0" applyNumberFormat="1" applyFont="1" applyFill="1" applyAlignment="1">
      <alignment horizontal="right"/>
    </xf>
    <xf numFmtId="164" fontId="1" fillId="0" borderId="0" xfId="0" applyNumberFormat="1" applyFont="1"/>
    <xf numFmtId="165" fontId="16" fillId="0" borderId="0" xfId="0" applyNumberFormat="1" applyFont="1" applyAlignment="1">
      <alignment horizontal="right"/>
    </xf>
    <xf numFmtId="0" fontId="16" fillId="0" borderId="0" xfId="0" applyFont="1"/>
    <xf numFmtId="164" fontId="16" fillId="0" borderId="0" xfId="0" applyNumberFormat="1" applyFont="1" applyAlignment="1">
      <alignment horizontal="center"/>
    </xf>
    <xf numFmtId="164" fontId="16" fillId="0" borderId="0" xfId="0" applyNumberFormat="1" applyFont="1"/>
    <xf numFmtId="9" fontId="1" fillId="0" borderId="0" xfId="0" applyNumberFormat="1" applyFont="1"/>
    <xf numFmtId="0" fontId="15" fillId="2" borderId="0" xfId="0" applyFont="1" applyFill="1"/>
    <xf numFmtId="164" fontId="14" fillId="2" borderId="0" xfId="0" applyNumberFormat="1" applyFont="1" applyFill="1"/>
    <xf numFmtId="164" fontId="1" fillId="0" borderId="0" xfId="0" applyNumberFormat="1" applyFont="1" applyAlignment="1">
      <alignment horizontal="right"/>
    </xf>
    <xf numFmtId="164" fontId="1" fillId="0" borderId="1" xfId="0" applyNumberFormat="1" applyFont="1" applyBorder="1" applyAlignment="1">
      <alignment horizontal="right"/>
    </xf>
    <xf numFmtId="9" fontId="14" fillId="0" borderId="0" xfId="0" applyNumberFormat="1" applyFont="1"/>
    <xf numFmtId="9" fontId="14" fillId="2" borderId="0" xfId="0" applyNumberFormat="1" applyFont="1" applyFill="1"/>
    <xf numFmtId="0" fontId="17" fillId="0" borderId="0" xfId="0" applyFont="1"/>
    <xf numFmtId="1" fontId="1" fillId="0" borderId="0" xfId="0" applyNumberFormat="1" applyFont="1"/>
    <xf numFmtId="164" fontId="14" fillId="2" borderId="0" xfId="0" applyNumberFormat="1" applyFont="1" applyFill="1" applyAlignment="1">
      <alignment horizontal="left"/>
    </xf>
    <xf numFmtId="166" fontId="14" fillId="2" borderId="0" xfId="0" applyNumberFormat="1" applyFont="1" applyFill="1"/>
    <xf numFmtId="9" fontId="1" fillId="0" borderId="2" xfId="0" applyNumberFormat="1" applyFont="1" applyBorder="1"/>
    <xf numFmtId="1" fontId="1" fillId="0" borderId="2" xfId="0" applyNumberFormat="1" applyFont="1" applyBorder="1"/>
    <xf numFmtId="2" fontId="1" fillId="0" borderId="2" xfId="0" applyNumberFormat="1" applyFont="1" applyBorder="1"/>
    <xf numFmtId="2" fontId="1" fillId="0" borderId="0" xfId="0" applyNumberFormat="1" applyFont="1"/>
    <xf numFmtId="2" fontId="16" fillId="0" borderId="0" xfId="0" applyNumberFormat="1" applyFont="1" applyAlignment="1">
      <alignment horizontal="right"/>
    </xf>
    <xf numFmtId="10" fontId="16" fillId="0" borderId="0" xfId="0" applyNumberFormat="1" applyFont="1" applyAlignment="1">
      <alignment horizontal="right"/>
    </xf>
    <xf numFmtId="0" fontId="16" fillId="0" borderId="0" xfId="0" applyFont="1" applyAlignment="1">
      <alignment horizontal="center"/>
    </xf>
    <xf numFmtId="0" fontId="4" fillId="0" borderId="0" xfId="0" applyFont="1"/>
    <xf numFmtId="167" fontId="1" fillId="0" borderId="1" xfId="0" applyNumberFormat="1" applyFont="1" applyBorder="1" applyAlignment="1">
      <alignment horizontal="left"/>
    </xf>
    <xf numFmtId="167" fontId="1" fillId="0" borderId="1" xfId="0" applyNumberFormat="1" applyFont="1" applyBorder="1" applyAlignment="1">
      <alignment horizontal="right"/>
    </xf>
    <xf numFmtId="167" fontId="1" fillId="0" borderId="1" xfId="0" applyNumberFormat="1" applyFont="1" applyBorder="1"/>
    <xf numFmtId="168" fontId="1" fillId="0" borderId="1" xfId="0" applyNumberFormat="1" applyFont="1" applyBorder="1"/>
    <xf numFmtId="167" fontId="1" fillId="0" borderId="0" xfId="0" applyNumberFormat="1" applyFont="1"/>
    <xf numFmtId="169" fontId="14" fillId="2" borderId="0" xfId="0" applyNumberFormat="1" applyFont="1" applyFill="1"/>
    <xf numFmtId="14" fontId="1" fillId="0" borderId="0" xfId="0" applyNumberFormat="1" applyFont="1"/>
    <xf numFmtId="0" fontId="18" fillId="0" borderId="0" xfId="0" applyFont="1"/>
    <xf numFmtId="165" fontId="16" fillId="0" borderId="0" xfId="0" applyNumberFormat="1" applyFont="1"/>
    <xf numFmtId="10" fontId="1" fillId="0" borderId="0" xfId="0" applyNumberFormat="1" applyFont="1"/>
    <xf numFmtId="0" fontId="14" fillId="2" borderId="0" xfId="0" applyFont="1" applyFill="1" applyAlignment="1">
      <alignment horizontal="right"/>
    </xf>
    <xf numFmtId="10" fontId="16" fillId="0" borderId="0" xfId="0" applyNumberFormat="1" applyFont="1"/>
    <xf numFmtId="9" fontId="15" fillId="2" borderId="0" xfId="0" applyNumberFormat="1" applyFont="1" applyFill="1" applyAlignment="1">
      <alignment horizontal="right"/>
    </xf>
    <xf numFmtId="165" fontId="1" fillId="0" borderId="2" xfId="0" applyNumberFormat="1" applyFont="1" applyBorder="1"/>
    <xf numFmtId="165" fontId="19" fillId="0" borderId="0" xfId="0" applyNumberFormat="1" applyFont="1"/>
    <xf numFmtId="0" fontId="19" fillId="0" borderId="0" xfId="0" applyFont="1"/>
    <xf numFmtId="170" fontId="1" fillId="0" borderId="0" xfId="0" applyNumberFormat="1" applyFont="1"/>
    <xf numFmtId="171" fontId="1" fillId="0" borderId="0" xfId="0" applyNumberFormat="1" applyFont="1"/>
    <xf numFmtId="171" fontId="19" fillId="0" borderId="0" xfId="0" applyNumberFormat="1" applyFont="1"/>
    <xf numFmtId="172" fontId="1" fillId="0" borderId="0" xfId="0" applyNumberFormat="1" applyFont="1"/>
    <xf numFmtId="10" fontId="1" fillId="0" borderId="0" xfId="0" applyNumberFormat="1" applyFont="1" applyAlignment="1">
      <alignment horizontal="right"/>
    </xf>
    <xf numFmtId="168" fontId="1" fillId="0" borderId="0" xfId="0" applyNumberFormat="1" applyFont="1"/>
    <xf numFmtId="172" fontId="16" fillId="0" borderId="0" xfId="0" applyNumberFormat="1" applyFont="1" applyAlignment="1">
      <alignment horizontal="right"/>
    </xf>
    <xf numFmtId="0" fontId="20" fillId="0" borderId="0" xfId="0" applyFont="1"/>
    <xf numFmtId="173" fontId="1" fillId="0" borderId="0" xfId="0" applyNumberFormat="1" applyFont="1"/>
    <xf numFmtId="0" fontId="21" fillId="0" borderId="0" xfId="0" applyFont="1"/>
    <xf numFmtId="174" fontId="16" fillId="0" borderId="0" xfId="0" applyNumberFormat="1" applyFont="1"/>
    <xf numFmtId="175" fontId="16" fillId="0" borderId="0" xfId="0" applyNumberFormat="1" applyFont="1" applyAlignment="1">
      <alignment horizontal="right"/>
    </xf>
    <xf numFmtId="172" fontId="16" fillId="0" borderId="0" xfId="0" applyNumberFormat="1" applyFont="1"/>
    <xf numFmtId="176" fontId="16" fillId="0" borderId="0" xfId="0" applyNumberFormat="1" applyFont="1" applyAlignment="1">
      <alignment horizontal="right"/>
    </xf>
    <xf numFmtId="175" fontId="22" fillId="0" borderId="0" xfId="0" applyNumberFormat="1" applyFont="1"/>
    <xf numFmtId="176" fontId="16" fillId="0" borderId="0" xfId="0" applyNumberFormat="1" applyFont="1"/>
    <xf numFmtId="175" fontId="16" fillId="0" borderId="0" xfId="0" applyNumberFormat="1" applyFont="1"/>
    <xf numFmtId="0" fontId="23" fillId="0" borderId="0" xfId="0" applyFont="1"/>
    <xf numFmtId="0" fontId="24" fillId="0" borderId="3" xfId="0" applyFont="1" applyBorder="1"/>
    <xf numFmtId="0" fontId="16" fillId="0" borderId="3" xfId="0" applyFont="1" applyBorder="1"/>
    <xf numFmtId="0" fontId="16" fillId="0" borderId="1" xfId="0" applyFont="1" applyBorder="1"/>
    <xf numFmtId="0" fontId="16" fillId="2" borderId="0" xfId="0" applyFont="1" applyFill="1" applyAlignment="1">
      <alignment vertical="top" wrapText="1"/>
    </xf>
    <xf numFmtId="0" fontId="25" fillId="2" borderId="0" xfId="0" applyFont="1" applyFill="1" applyAlignment="1">
      <alignment vertical="top"/>
    </xf>
    <xf numFmtId="0" fontId="16" fillId="3" borderId="0" xfId="0" applyFont="1" applyFill="1" applyAlignment="1">
      <alignment vertical="top" wrapText="1"/>
    </xf>
    <xf numFmtId="0" fontId="26" fillId="3" borderId="0" xfId="0" applyFont="1" applyFill="1" applyAlignment="1">
      <alignment vertical="top"/>
    </xf>
    <xf numFmtId="0" fontId="27" fillId="2" borderId="3" xfId="0" applyFont="1" applyFill="1" applyBorder="1" applyAlignment="1">
      <alignment vertical="top"/>
    </xf>
    <xf numFmtId="0" fontId="28" fillId="3" borderId="3" xfId="0" applyFont="1" applyFill="1" applyBorder="1" applyAlignment="1">
      <alignment vertical="top"/>
    </xf>
    <xf numFmtId="0" fontId="16" fillId="2" borderId="0" xfId="0" applyFont="1" applyFill="1" applyAlignment="1">
      <alignment vertical="top"/>
    </xf>
    <xf numFmtId="0" fontId="29" fillId="2" borderId="0" xfId="0" applyFont="1" applyFill="1" applyAlignment="1">
      <alignment vertical="top"/>
    </xf>
    <xf numFmtId="0" fontId="30" fillId="3" borderId="0" xfId="0" applyFont="1" applyFill="1" applyAlignment="1">
      <alignment vertical="top"/>
    </xf>
    <xf numFmtId="0" fontId="24" fillId="0" borderId="0" xfId="0" applyFont="1"/>
    <xf numFmtId="0" fontId="16" fillId="0" borderId="1" xfId="0" applyFont="1" applyBorder="1" applyAlignment="1">
      <alignment wrapText="1"/>
    </xf>
    <xf numFmtId="0" fontId="16" fillId="0" borderId="1" xfId="0" applyFont="1" applyBorder="1" applyAlignment="1">
      <alignment horizontal="center" wrapText="1"/>
    </xf>
    <xf numFmtId="0" fontId="16" fillId="0" borderId="0" xfId="0" applyFont="1" applyAlignment="1">
      <alignment vertical="top"/>
    </xf>
    <xf numFmtId="0" fontId="16" fillId="0" borderId="0" xfId="0" applyFont="1" applyAlignment="1">
      <alignment vertical="top" wrapText="1"/>
    </xf>
    <xf numFmtId="0" fontId="31" fillId="0" borderId="0" xfId="0" applyFont="1" applyAlignment="1">
      <alignment vertical="top"/>
    </xf>
    <xf numFmtId="0" fontId="32" fillId="0" borderId="0" xfId="0" applyFont="1" applyAlignment="1">
      <alignment vertical="top"/>
    </xf>
    <xf numFmtId="0" fontId="33" fillId="0" borderId="0" xfId="0" applyFont="1" applyAlignment="1">
      <alignment vertical="top"/>
    </xf>
    <xf numFmtId="177" fontId="16" fillId="0" borderId="0" xfId="0" applyNumberFormat="1" applyFont="1" applyAlignment="1">
      <alignment vertical="top" wrapText="1"/>
    </xf>
    <xf numFmtId="0" fontId="34" fillId="0" borderId="0" xfId="0" applyFont="1" applyAlignment="1">
      <alignment vertical="top"/>
    </xf>
    <xf numFmtId="0" fontId="1" fillId="0" borderId="0" xfId="0" applyFont="1" applyAlignment="1">
      <alignment horizontal="left"/>
    </xf>
    <xf numFmtId="0" fontId="1" fillId="0" borderId="0" xfId="0" applyFont="1" applyAlignment="1">
      <alignment horizontal="left" vertical="top" wrapText="1"/>
    </xf>
    <xf numFmtId="0" fontId="38" fillId="0" borderId="0" xfId="0" applyFont="1" applyAlignment="1">
      <alignment wrapText="1"/>
    </xf>
    <xf numFmtId="165" fontId="16" fillId="0" borderId="0" xfId="0" applyNumberFormat="1" applyFont="1">
      <extLst>
        <ext xmlns:xfpb="http://schemas.microsoft.com/office/spreadsheetml/2022/featurepropertybag" uri="{C7286773-470A-42A8-94C5-96B5CB345126}">
          <xfpb:xfComplement i="0"/>
        </ext>
      </extLst>
    </xf>
    <xf numFmtId="0" fontId="16" fillId="0" borderId="0" xfId="0" applyFont="1" applyAlignment="1">
      <alignment horizontal="center" vertical="center"/>
      <extLst>
        <ext xmlns:xfpb="http://schemas.microsoft.com/office/spreadsheetml/2022/featurepropertybag" uri="{C7286773-470A-42A8-94C5-96B5CB345126}">
          <xfpb:xfComplement i="0"/>
        </ext>
      </extLst>
    </xf>
    <xf numFmtId="0" fontId="16" fillId="0" borderId="0" xfId="0" applyFont="1" applyFill="1" applyAlignment="1">
      <alignment vertical="top" wrapText="1"/>
    </xf>
    <xf numFmtId="169" fontId="16" fillId="0" borderId="0" xfId="0" applyNumberFormat="1" applyFont="1" applyFill="1" applyAlignment="1">
      <alignment horizontal="left" vertical="top" wrapText="1"/>
    </xf>
    <xf numFmtId="0" fontId="0" fillId="0" borderId="0" xfId="0" applyFill="1"/>
    <xf numFmtId="0" fontId="35" fillId="0" borderId="0" xfId="0" applyFont="1" applyFill="1" applyAlignment="1">
      <alignment vertical="top" wrapText="1"/>
    </xf>
    <xf numFmtId="0" fontId="1" fillId="0" borderId="0" xfId="0" applyFont="1" applyFill="1" applyAlignment="1">
      <alignment vertical="top" wrapText="1"/>
    </xf>
    <xf numFmtId="169" fontId="1" fillId="0" borderId="0" xfId="0" applyNumberFormat="1" applyFont="1" applyFill="1" applyAlignment="1">
      <alignment horizontal="left" vertical="top" wrapText="1"/>
    </xf>
    <xf numFmtId="0" fontId="36" fillId="0" borderId="0" xfId="0" applyFont="1" applyFill="1" applyAlignment="1">
      <alignment vertical="top" wrapText="1"/>
    </xf>
  </cellXfs>
  <cellStyles count="1">
    <cellStyle name="Normal" xfId="0" builtinId="0"/>
  </cellStyles>
  <dxfs count="32">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DDF2F0"/>
          <bgColor rgb="FFDDF2F0"/>
        </patternFill>
      </fill>
    </dxf>
    <dxf>
      <fill>
        <patternFill patternType="solid">
          <fgColor rgb="FFFFFFFF"/>
          <bgColor rgb="FFFFFFFF"/>
        </patternFill>
      </fill>
    </dxf>
    <dxf>
      <fill>
        <patternFill patternType="solid">
          <fgColor rgb="FFDDF2F0"/>
          <bgColor rgb="FFDDF2F0"/>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6">
    <tableStyle name="README-style" pivot="0" count="3" xr9:uid="{00000000-0011-0000-FFFF-FFFF00000000}">
      <tableStyleElement type="headerRow" dxfId="31"/>
      <tableStyleElement type="firstRowStripe" dxfId="30"/>
      <tableStyleElement type="secondRowStripe" dxfId="29"/>
    </tableStyle>
    <tableStyle name="README-style 2" pivot="0" count="3" xr9:uid="{00000000-0011-0000-FFFF-FFFF01000000}">
      <tableStyleElement type="headerRow" dxfId="28"/>
      <tableStyleElement type="firstRowStripe" dxfId="27"/>
      <tableStyleElement type="secondRowStripe" dxfId="26"/>
    </tableStyle>
    <tableStyle name="Resources-style" pivot="0" count="3" xr9:uid="{00000000-0011-0000-FFFF-FFFF02000000}">
      <tableStyleElement type="headerRow" dxfId="25"/>
      <tableStyleElement type="firstRowStripe" dxfId="24"/>
      <tableStyleElement type="secondRowStripe" dxfId="23"/>
    </tableStyle>
    <tableStyle name="Model Comparison-style" pivot="0" count="2" xr9:uid="{00000000-0011-0000-FFFF-FFFF03000000}">
      <tableStyleElement type="firstRowStripe" dxfId="22"/>
      <tableStyleElement type="secondRowStripe" dxfId="21"/>
    </tableStyle>
    <tableStyle name="Glossary-style" pivot="0" count="3" xr9:uid="{00000000-0011-0000-FFFF-FFFF04000000}">
      <tableStyleElement type="headerRow" dxfId="20"/>
      <tableStyleElement type="firstRowStripe" dxfId="19"/>
      <tableStyleElement type="secondRowStripe" dxfId="18"/>
    </tableStyle>
    <tableStyle name="Changelog-style" pivot="0" count="2" xr9:uid="{00000000-0011-0000-FFFF-FFFF05000000}">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Interim IRR</a:t>
            </a:r>
          </a:p>
        </c:rich>
      </c:tx>
      <c:overlay val="0"/>
    </c:title>
    <c:autoTitleDeleted val="0"/>
    <c:plotArea>
      <c:layout/>
      <c:lineChart>
        <c:grouping val="standard"/>
        <c:varyColors val="0"/>
        <c:ser>
          <c:idx val="0"/>
          <c:order val="0"/>
          <c:spPr>
            <a:ln cmpd="sng">
              <a:solidFill>
                <a:srgbClr val="4285F4"/>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Forecast!$G$103:$Z$103</c:f>
              <c:numCache>
                <c:formatCode>0.00%</c:formatCode>
                <c:ptCount val="20"/>
                <c:pt idx="0">
                  <c:v>0</c:v>
                </c:pt>
                <c:pt idx="1">
                  <c:v>-0.22455499771793708</c:v>
                </c:pt>
                <c:pt idx="2">
                  <c:v>-9.985869251679258E-2</c:v>
                </c:pt>
                <c:pt idx="3">
                  <c:v>-7.7863773635722167E-2</c:v>
                </c:pt>
                <c:pt idx="4">
                  <c:v>-4.745168535097799E-2</c:v>
                </c:pt>
                <c:pt idx="5">
                  <c:v>-6.7891839342339555E-2</c:v>
                </c:pt>
                <c:pt idx="6">
                  <c:v>8.692333711100475E-2</c:v>
                </c:pt>
                <c:pt idx="7">
                  <c:v>0.15626238618206867</c:v>
                </c:pt>
                <c:pt idx="8">
                  <c:v>0.19543673648802051</c:v>
                </c:pt>
                <c:pt idx="9">
                  <c:v>0.22428626349915404</c:v>
                </c:pt>
                <c:pt idx="10">
                  <c:v>0.22428626349915404</c:v>
                </c:pt>
                <c:pt idx="11">
                  <c:v>0.22428626349915404</c:v>
                </c:pt>
                <c:pt idx="12">
                  <c:v>0.22428626349915404</c:v>
                </c:pt>
                <c:pt idx="13">
                  <c:v>0.22428626349915404</c:v>
                </c:pt>
                <c:pt idx="14">
                  <c:v>0.22428626349915404</c:v>
                </c:pt>
                <c:pt idx="15">
                  <c:v>0.22428626349915404</c:v>
                </c:pt>
                <c:pt idx="16">
                  <c:v>0.22428626349915404</c:v>
                </c:pt>
                <c:pt idx="17">
                  <c:v>0.22428626349915404</c:v>
                </c:pt>
                <c:pt idx="18">
                  <c:v>0.22428626349915404</c:v>
                </c:pt>
                <c:pt idx="19">
                  <c:v>0.22428626349915404</c:v>
                </c:pt>
              </c:numCache>
            </c:numRef>
          </c:val>
          <c:smooth val="0"/>
          <c:extLst>
            <c:ext xmlns:c16="http://schemas.microsoft.com/office/drawing/2014/chart" uri="{C3380CC4-5D6E-409C-BE32-E72D297353CC}">
              <c16:uniqueId val="{00000000-18F2-894A-8E85-9D3D7C0DC9EC}"/>
            </c:ext>
          </c:extLst>
        </c:ser>
        <c:dLbls>
          <c:showLegendKey val="0"/>
          <c:showVal val="0"/>
          <c:showCatName val="0"/>
          <c:showSerName val="0"/>
          <c:showPercent val="0"/>
          <c:showBubbleSize val="0"/>
        </c:dLbls>
        <c:smooth val="0"/>
        <c:axId val="1036755577"/>
        <c:axId val="1698307817"/>
      </c:lineChart>
      <c:catAx>
        <c:axId val="1036755577"/>
        <c:scaling>
          <c:orientation val="minMax"/>
        </c:scaling>
        <c:delete val="0"/>
        <c:axPos val="b"/>
        <c:title>
          <c:tx>
            <c:rich>
              <a:bodyPr/>
              <a:lstStyle/>
              <a:p>
                <a:pPr lvl="0">
                  <a:defRPr b="0">
                    <a:solidFill>
                      <a:srgbClr val="000000"/>
                    </a:solidFill>
                    <a:latin typeface="+mn-lt"/>
                  </a:defRPr>
                </a:pPr>
                <a:endParaRPr/>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1698307817"/>
        <c:crosses val="autoZero"/>
        <c:auto val="1"/>
        <c:lblAlgn val="ctr"/>
        <c:lblOffset val="100"/>
        <c:noMultiLvlLbl val="1"/>
      </c:catAx>
      <c:valAx>
        <c:axId val="16983078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03675557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Performance Ratios</a:t>
            </a:r>
          </a:p>
        </c:rich>
      </c:tx>
      <c:overlay val="0"/>
    </c:title>
    <c:autoTitleDeleted val="0"/>
    <c:plotArea>
      <c:layout/>
      <c:lineChart>
        <c:grouping val="standard"/>
        <c:varyColors val="1"/>
        <c:ser>
          <c:idx val="0"/>
          <c:order val="0"/>
          <c:tx>
            <c:strRef>
              <c:f>Forecast!$F$89</c:f>
              <c:strCache>
                <c:ptCount val="1"/>
                <c:pt idx="0">
                  <c:v> Paid in Capital (PIC) </c:v>
                </c:pt>
              </c:strCache>
            </c:strRef>
          </c:tx>
          <c:spPr>
            <a:ln cmpd="sng">
              <a:solidFill>
                <a:srgbClr val="4285F4"/>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Forecast!$G$89:$Z$89</c:f>
              <c:numCache>
                <c:formatCode>#,##0.00_);\(#,##0.00\);_("-"_);_(@_)</c:formatCode>
                <c:ptCount val="20"/>
                <c:pt idx="0">
                  <c:v>0.21909999999999999</c:v>
                </c:pt>
                <c:pt idx="1">
                  <c:v>0.43419999999999997</c:v>
                </c:pt>
                <c:pt idx="2">
                  <c:v>0.64929999999999999</c:v>
                </c:pt>
                <c:pt idx="3">
                  <c:v>0.86439999999999995</c:v>
                </c:pt>
                <c:pt idx="4">
                  <c:v>0.88700000000000001</c:v>
                </c:pt>
                <c:pt idx="5">
                  <c:v>0.90959999999999996</c:v>
                </c:pt>
                <c:pt idx="6">
                  <c:v>0.93220000000000003</c:v>
                </c:pt>
                <c:pt idx="7">
                  <c:v>0.95479999999999998</c:v>
                </c:pt>
                <c:pt idx="8">
                  <c:v>0.97740000000000005</c:v>
                </c:pt>
                <c:pt idx="9">
                  <c:v>1</c:v>
                </c:pt>
                <c:pt idx="10">
                  <c:v>1</c:v>
                </c:pt>
                <c:pt idx="11">
                  <c:v>1</c:v>
                </c:pt>
                <c:pt idx="12">
                  <c:v>1</c:v>
                </c:pt>
                <c:pt idx="13">
                  <c:v>1</c:v>
                </c:pt>
                <c:pt idx="14">
                  <c:v>1</c:v>
                </c:pt>
                <c:pt idx="15">
                  <c:v>1</c:v>
                </c:pt>
                <c:pt idx="16">
                  <c:v>1</c:v>
                </c:pt>
                <c:pt idx="17">
                  <c:v>1</c:v>
                </c:pt>
                <c:pt idx="18">
                  <c:v>1</c:v>
                </c:pt>
                <c:pt idx="19">
                  <c:v>1</c:v>
                </c:pt>
              </c:numCache>
            </c:numRef>
          </c:val>
          <c:smooth val="0"/>
          <c:extLst>
            <c:ext xmlns:c16="http://schemas.microsoft.com/office/drawing/2014/chart" uri="{C3380CC4-5D6E-409C-BE32-E72D297353CC}">
              <c16:uniqueId val="{00000000-2A2D-D048-AF3F-89DA4BF0933A}"/>
            </c:ext>
          </c:extLst>
        </c:ser>
        <c:ser>
          <c:idx val="1"/>
          <c:order val="1"/>
          <c:tx>
            <c:strRef>
              <c:f>Forecast!$F$90</c:f>
              <c:strCache>
                <c:ptCount val="1"/>
                <c:pt idx="0">
                  <c:v> Residual Value to Paid in Capital (RVPI) </c:v>
                </c:pt>
              </c:strCache>
            </c:strRef>
          </c:tx>
          <c:spPr>
            <a:ln cmpd="sng">
              <a:solidFill>
                <a:srgbClr val="EA4335"/>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Forecast!$G$90:$Z$90</c:f>
              <c:numCache>
                <c:formatCode>#,##0.00_);\(#,##0.00\);_("-"_);_(@_)</c:formatCode>
                <c:ptCount val="20"/>
                <c:pt idx="0">
                  <c:v>0.87859424920127793</c:v>
                </c:pt>
                <c:pt idx="1">
                  <c:v>0.88668816213726387</c:v>
                </c:pt>
                <c:pt idx="2">
                  <c:v>0.90289100332636885</c:v>
                </c:pt>
                <c:pt idx="3">
                  <c:v>0.86639330874989873</c:v>
                </c:pt>
                <c:pt idx="4">
                  <c:v>0.69517192550409135</c:v>
                </c:pt>
                <c:pt idx="5">
                  <c:v>0.44745788366137035</c:v>
                </c:pt>
                <c:pt idx="6">
                  <c:v>0.20102031021945097</c:v>
                </c:pt>
                <c:pt idx="7">
                  <c:v>0.11377381905752448</c:v>
                </c:pt>
                <c:pt idx="8">
                  <c:v>7.7962310333716089E-2</c:v>
                </c:pt>
                <c:pt idx="9">
                  <c:v>7.4505805969238295E-17</c:v>
                </c:pt>
                <c:pt idx="10">
                  <c:v>7.4505805969238295E-17</c:v>
                </c:pt>
                <c:pt idx="11">
                  <c:v>7.4505805969238295E-17</c:v>
                </c:pt>
                <c:pt idx="12">
                  <c:v>7.4505805969238295E-17</c:v>
                </c:pt>
                <c:pt idx="13">
                  <c:v>7.4505805969238295E-17</c:v>
                </c:pt>
                <c:pt idx="14">
                  <c:v>7.4505805969238295E-17</c:v>
                </c:pt>
                <c:pt idx="15">
                  <c:v>7.4505805969238295E-17</c:v>
                </c:pt>
                <c:pt idx="16">
                  <c:v>7.4505805969238295E-17</c:v>
                </c:pt>
                <c:pt idx="17">
                  <c:v>7.4505805969238295E-17</c:v>
                </c:pt>
                <c:pt idx="18">
                  <c:v>7.4505805969238295E-17</c:v>
                </c:pt>
                <c:pt idx="19">
                  <c:v>7.4505805969238295E-17</c:v>
                </c:pt>
              </c:numCache>
            </c:numRef>
          </c:val>
          <c:smooth val="0"/>
          <c:extLst>
            <c:ext xmlns:c16="http://schemas.microsoft.com/office/drawing/2014/chart" uri="{C3380CC4-5D6E-409C-BE32-E72D297353CC}">
              <c16:uniqueId val="{00000001-2A2D-D048-AF3F-89DA4BF0933A}"/>
            </c:ext>
          </c:extLst>
        </c:ser>
        <c:ser>
          <c:idx val="2"/>
          <c:order val="2"/>
          <c:tx>
            <c:strRef>
              <c:f>Forecast!$F$91</c:f>
              <c:strCache>
                <c:ptCount val="1"/>
                <c:pt idx="0">
                  <c:v> Distributed Value to Paid in Capital (DVPI) </c:v>
                </c:pt>
              </c:strCache>
            </c:strRef>
          </c:tx>
          <c:spPr>
            <a:ln cmpd="sng">
              <a:solidFill>
                <a:srgbClr val="FBBC04"/>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Forecast!$G$91:$Z$91</c:f>
              <c:numCache>
                <c:formatCode>#,##0.00_);\(#,##0.00\);_("-"_);_(@_)</c:formatCode>
                <c:ptCount val="20"/>
                <c:pt idx="0">
                  <c:v>0</c:v>
                </c:pt>
                <c:pt idx="1">
                  <c:v>0</c:v>
                </c:pt>
                <c:pt idx="2">
                  <c:v>0</c:v>
                </c:pt>
                <c:pt idx="3">
                  <c:v>2.2269782508098107E-2</c:v>
                </c:pt>
                <c:pt idx="4">
                  <c:v>0.19532130777903042</c:v>
                </c:pt>
                <c:pt idx="5">
                  <c:v>0.35977352682497798</c:v>
                </c:pt>
                <c:pt idx="6">
                  <c:v>1.1436254227071647</c:v>
                </c:pt>
                <c:pt idx="7">
                  <c:v>1.7404313044866038</c:v>
                </c:pt>
                <c:pt idx="8">
                  <c:v>2.2092548744482441</c:v>
                </c:pt>
                <c:pt idx="9">
                  <c:v>2.7563999999999993</c:v>
                </c:pt>
                <c:pt idx="10">
                  <c:v>2.7563999999999993</c:v>
                </c:pt>
                <c:pt idx="11">
                  <c:v>2.7563999999999993</c:v>
                </c:pt>
                <c:pt idx="12">
                  <c:v>2.7563999999999993</c:v>
                </c:pt>
                <c:pt idx="13">
                  <c:v>2.7563999999999993</c:v>
                </c:pt>
                <c:pt idx="14">
                  <c:v>2.7563999999999993</c:v>
                </c:pt>
                <c:pt idx="15">
                  <c:v>2.7563999999999993</c:v>
                </c:pt>
                <c:pt idx="16">
                  <c:v>2.7563999999999993</c:v>
                </c:pt>
                <c:pt idx="17">
                  <c:v>2.7563999999999993</c:v>
                </c:pt>
                <c:pt idx="18">
                  <c:v>2.7563999999999993</c:v>
                </c:pt>
                <c:pt idx="19">
                  <c:v>2.7563999999999993</c:v>
                </c:pt>
              </c:numCache>
            </c:numRef>
          </c:val>
          <c:smooth val="0"/>
          <c:extLst>
            <c:ext xmlns:c16="http://schemas.microsoft.com/office/drawing/2014/chart" uri="{C3380CC4-5D6E-409C-BE32-E72D297353CC}">
              <c16:uniqueId val="{00000002-2A2D-D048-AF3F-89DA4BF0933A}"/>
            </c:ext>
          </c:extLst>
        </c:ser>
        <c:ser>
          <c:idx val="3"/>
          <c:order val="3"/>
          <c:tx>
            <c:strRef>
              <c:f>Forecast!$F$92</c:f>
              <c:strCache>
                <c:ptCount val="1"/>
                <c:pt idx="0">
                  <c:v> Total Value to Paid in Capital (TVPI) </c:v>
                </c:pt>
              </c:strCache>
            </c:strRef>
          </c:tx>
          <c:spPr>
            <a:ln cmpd="sng">
              <a:solidFill>
                <a:srgbClr val="34A853"/>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Forecast!$G$92:$Z$92</c:f>
              <c:numCache>
                <c:formatCode>#,##0.00_);\(#,##0.00\);_("-"_);_(@_)</c:formatCode>
                <c:ptCount val="20"/>
                <c:pt idx="0">
                  <c:v>0.87859424920127793</c:v>
                </c:pt>
                <c:pt idx="1">
                  <c:v>0.88668816213726387</c:v>
                </c:pt>
                <c:pt idx="2">
                  <c:v>0.90289100332636885</c:v>
                </c:pt>
                <c:pt idx="3">
                  <c:v>0.88866309125799681</c:v>
                </c:pt>
                <c:pt idx="4">
                  <c:v>0.8904932332831218</c:v>
                </c:pt>
                <c:pt idx="5">
                  <c:v>0.80723141048634828</c:v>
                </c:pt>
                <c:pt idx="6">
                  <c:v>1.3446457329266157</c:v>
                </c:pt>
                <c:pt idx="7">
                  <c:v>1.8542051235441281</c:v>
                </c:pt>
                <c:pt idx="8">
                  <c:v>2.28721718478196</c:v>
                </c:pt>
                <c:pt idx="9">
                  <c:v>2.7563999999999993</c:v>
                </c:pt>
                <c:pt idx="10">
                  <c:v>2.7563999999999993</c:v>
                </c:pt>
                <c:pt idx="11">
                  <c:v>2.7563999999999993</c:v>
                </c:pt>
                <c:pt idx="12">
                  <c:v>2.7563999999999993</c:v>
                </c:pt>
                <c:pt idx="13">
                  <c:v>2.7563999999999993</c:v>
                </c:pt>
                <c:pt idx="14">
                  <c:v>2.7563999999999993</c:v>
                </c:pt>
                <c:pt idx="15">
                  <c:v>2.7563999999999993</c:v>
                </c:pt>
                <c:pt idx="16">
                  <c:v>2.7563999999999993</c:v>
                </c:pt>
                <c:pt idx="17">
                  <c:v>2.7563999999999993</c:v>
                </c:pt>
                <c:pt idx="18">
                  <c:v>2.7563999999999993</c:v>
                </c:pt>
                <c:pt idx="19">
                  <c:v>2.7563999999999993</c:v>
                </c:pt>
              </c:numCache>
            </c:numRef>
          </c:val>
          <c:smooth val="0"/>
          <c:extLst>
            <c:ext xmlns:c16="http://schemas.microsoft.com/office/drawing/2014/chart" uri="{C3380CC4-5D6E-409C-BE32-E72D297353CC}">
              <c16:uniqueId val="{00000003-2A2D-D048-AF3F-89DA4BF0933A}"/>
            </c:ext>
          </c:extLst>
        </c:ser>
        <c:dLbls>
          <c:showLegendKey val="0"/>
          <c:showVal val="0"/>
          <c:showCatName val="0"/>
          <c:showSerName val="0"/>
          <c:showPercent val="0"/>
          <c:showBubbleSize val="0"/>
        </c:dLbls>
        <c:smooth val="0"/>
        <c:axId val="22385938"/>
        <c:axId val="1836600908"/>
      </c:lineChart>
      <c:catAx>
        <c:axId val="22385938"/>
        <c:scaling>
          <c:orientation val="minMax"/>
        </c:scaling>
        <c:delete val="0"/>
        <c:axPos val="b"/>
        <c:title>
          <c:tx>
            <c:rich>
              <a:bodyPr/>
              <a:lstStyle/>
              <a:p>
                <a:pPr lvl="0">
                  <a:defRPr b="0">
                    <a:solidFill>
                      <a:srgbClr val="000000"/>
                    </a:solidFill>
                    <a:latin typeface="+mn-lt"/>
                  </a:defRPr>
                </a:pPr>
                <a:endParaRPr/>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1836600908"/>
        <c:crosses val="autoZero"/>
        <c:auto val="1"/>
        <c:lblAlgn val="ctr"/>
        <c:lblOffset val="100"/>
        <c:noMultiLvlLbl val="1"/>
      </c:catAx>
      <c:valAx>
        <c:axId val="18366009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_);\(#,##0.00\);_(&quot;-&quot;_);_(@_)" sourceLinked="1"/>
        <c:majorTickMark val="none"/>
        <c:minorTickMark val="none"/>
        <c:tickLblPos val="nextTo"/>
        <c:spPr>
          <a:ln/>
        </c:spPr>
        <c:txPr>
          <a:bodyPr/>
          <a:lstStyle/>
          <a:p>
            <a:pPr lvl="0">
              <a:defRPr b="0">
                <a:solidFill>
                  <a:srgbClr val="000000"/>
                </a:solidFill>
                <a:latin typeface="+mn-lt"/>
              </a:defRPr>
            </a:pPr>
            <a:endParaRPr lang="en-US"/>
          </a:p>
        </c:txPr>
        <c:crossAx val="22385938"/>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Investments by Outcome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'Get Started'!$B$45:$B$48</c:f>
              <c:strCache>
                <c:ptCount val="4"/>
                <c:pt idx="0">
                  <c:v>Writeoff</c:v>
                </c:pt>
                <c:pt idx="1">
                  <c:v>Small</c:v>
                </c:pt>
                <c:pt idx="2">
                  <c:v>Medium</c:v>
                </c:pt>
                <c:pt idx="3">
                  <c:v>Large</c:v>
                </c:pt>
              </c:strCache>
            </c:strRef>
          </c:cat>
          <c:val>
            <c:numRef>
              <c:f>'Get Started'!$F$45:$F$48</c:f>
              <c:numCache>
                <c:formatCode>0</c:formatCode>
                <c:ptCount val="4"/>
                <c:pt idx="0">
                  <c:v>24.254999999999992</c:v>
                </c:pt>
                <c:pt idx="1">
                  <c:v>8.0849999999999991</c:v>
                </c:pt>
                <c:pt idx="2">
                  <c:v>4.0424999999999995</c:v>
                </c:pt>
                <c:pt idx="3">
                  <c:v>4.0424999999999978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6C-F242-86A6-AB29343C2775}"/>
            </c:ext>
          </c:extLst>
        </c:ser>
        <c:dLbls>
          <c:showLegendKey val="0"/>
          <c:showVal val="0"/>
          <c:showCatName val="0"/>
          <c:showSerName val="0"/>
          <c:showPercent val="0"/>
          <c:showBubbleSize val="0"/>
        </c:dLbls>
        <c:gapWidth val="150"/>
        <c:axId val="671349289"/>
        <c:axId val="42463555"/>
      </c:barChart>
      <c:catAx>
        <c:axId val="67134928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463555"/>
        <c:crosses val="autoZero"/>
        <c:auto val="1"/>
        <c:lblAlgn val="ctr"/>
        <c:lblOffset val="100"/>
        <c:noMultiLvlLbl val="1"/>
      </c:catAx>
      <c:valAx>
        <c:axId val="424635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67134928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Fund Cash Flows</a:t>
            </a:r>
          </a:p>
        </c:rich>
      </c:tx>
      <c:overlay val="0"/>
    </c:title>
    <c:autoTitleDeleted val="0"/>
    <c:plotArea>
      <c:layout/>
      <c:barChart>
        <c:barDir val="col"/>
        <c:grouping val="stacked"/>
        <c:varyColors val="1"/>
        <c:ser>
          <c:idx val="0"/>
          <c:order val="0"/>
          <c:tx>
            <c:strRef>
              <c:f>Forecast!$F$138</c:f>
              <c:strCache>
                <c:ptCount val="1"/>
                <c:pt idx="0">
                  <c:v> New Investments </c:v>
                </c:pt>
              </c:strCache>
            </c:strRef>
          </c:tx>
          <c:spPr>
            <a:solidFill>
              <a:srgbClr val="4285F4"/>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Forecast!$G$138:$Z$138</c:f>
              <c:numCache>
                <c:formatCode>#,##0_);\(#,##0\);_("-"_);_(@_)</c:formatCode>
                <c:ptCount val="20"/>
                <c:pt idx="0">
                  <c:v>-4812499.9999999991</c:v>
                </c:pt>
                <c:pt idx="1">
                  <c:v>-4812499.9999999991</c:v>
                </c:pt>
                <c:pt idx="2">
                  <c:v>-4812499.9999999991</c:v>
                </c:pt>
                <c:pt idx="3">
                  <c:v>-5775000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949-EE43-B544-B46175F21D4E}"/>
            </c:ext>
          </c:extLst>
        </c:ser>
        <c:ser>
          <c:idx val="1"/>
          <c:order val="1"/>
          <c:tx>
            <c:strRef>
              <c:f>Forecast!$F$139</c:f>
              <c:strCache>
                <c:ptCount val="1"/>
                <c:pt idx="0">
                  <c:v> Follow on Investments </c:v>
                </c:pt>
              </c:strCache>
            </c:strRef>
          </c:tx>
          <c:spPr>
            <a:solidFill>
              <a:srgbClr val="EA4335"/>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Forecast!$G$139:$Z$139</c:f>
              <c:numCache>
                <c:formatCode>#,##0_);\(#,##0\);_("-"_);_(@_)</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949-EE43-B544-B46175F21D4E}"/>
            </c:ext>
          </c:extLst>
        </c:ser>
        <c:ser>
          <c:idx val="2"/>
          <c:order val="2"/>
          <c:tx>
            <c:strRef>
              <c:f>Forecast!$F$140</c:f>
              <c:strCache>
                <c:ptCount val="1"/>
                <c:pt idx="0">
                  <c:v> Fees </c:v>
                </c:pt>
              </c:strCache>
            </c:strRef>
          </c:tx>
          <c:spPr>
            <a:solidFill>
              <a:srgbClr val="FBBC04"/>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Forecast!$G$140:$Z$140</c:f>
              <c:numCache>
                <c:formatCode>#,##0_);\(#,##0\);_("-"_);_(@_)</c:formatCode>
                <c:ptCount val="20"/>
                <c:pt idx="0">
                  <c:v>-665000</c:v>
                </c:pt>
                <c:pt idx="1">
                  <c:v>-565000</c:v>
                </c:pt>
                <c:pt idx="2">
                  <c:v>-565000</c:v>
                </c:pt>
                <c:pt idx="3">
                  <c:v>-565000</c:v>
                </c:pt>
                <c:pt idx="4">
                  <c:v>-565000</c:v>
                </c:pt>
                <c:pt idx="5">
                  <c:v>-565000</c:v>
                </c:pt>
                <c:pt idx="6">
                  <c:v>-565000</c:v>
                </c:pt>
                <c:pt idx="7">
                  <c:v>-565000</c:v>
                </c:pt>
                <c:pt idx="8">
                  <c:v>-565000</c:v>
                </c:pt>
                <c:pt idx="9">
                  <c:v>-565000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949-EE43-B544-B46175F21D4E}"/>
            </c:ext>
          </c:extLst>
        </c:ser>
        <c:ser>
          <c:idx val="3"/>
          <c:order val="3"/>
          <c:tx>
            <c:strRef>
              <c:f>Forecast!$F$141</c:f>
              <c:strCache>
                <c:ptCount val="1"/>
                <c:pt idx="0">
                  <c:v> Distributions </c:v>
                </c:pt>
              </c:strCache>
            </c:strRef>
          </c:tx>
          <c:spPr>
            <a:solidFill>
              <a:srgbClr val="34A853"/>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Forecast!$G$141:$Z$141</c:f>
              <c:numCache>
                <c:formatCode>#,##0_);\(#,##0\);_("-"_);_(@_)</c:formatCode>
                <c:ptCount val="20"/>
                <c:pt idx="0">
                  <c:v>0</c:v>
                </c:pt>
                <c:pt idx="1">
                  <c:v>0</c:v>
                </c:pt>
                <c:pt idx="2">
                  <c:v>0</c:v>
                </c:pt>
                <c:pt idx="3">
                  <c:v>481250</c:v>
                </c:pt>
                <c:pt idx="4">
                  <c:v>3849999.9999999991</c:v>
                </c:pt>
                <c:pt idx="5">
                  <c:v>3849999.9999999991</c:v>
                </c:pt>
                <c:pt idx="6">
                  <c:v>18470940.47619047</c:v>
                </c:pt>
                <c:pt idx="7">
                  <c:v>14891904.761904756</c:v>
                </c:pt>
                <c:pt idx="8">
                  <c:v>12439047.619047614</c:v>
                </c:pt>
                <c:pt idx="9">
                  <c:v>14926857.14285714</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949-EE43-B544-B46175F21D4E}"/>
            </c:ext>
          </c:extLst>
        </c:ser>
        <c:ser>
          <c:idx val="4"/>
          <c:order val="4"/>
          <c:tx>
            <c:strRef>
              <c:f>Forecast!$F$142</c:f>
              <c:strCache>
                <c:ptCount val="1"/>
                <c:pt idx="0">
                  <c:v> Carried Interest </c:v>
                </c:pt>
              </c:strCache>
            </c:strRef>
          </c:tx>
          <c:spPr>
            <a:solidFill>
              <a:srgbClr val="FF6D01"/>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Forecast!$G$142:$Z$142</c:f>
              <c:numCache>
                <c:formatCode>#,##0_);\(#,##0\);_("-"_);_(@_)</c:formatCode>
                <c:ptCount val="20"/>
                <c:pt idx="0">
                  <c:v>0</c:v>
                </c:pt>
                <c:pt idx="1">
                  <c:v>0</c:v>
                </c:pt>
                <c:pt idx="2">
                  <c:v>0</c:v>
                </c:pt>
                <c:pt idx="3">
                  <c:v>0</c:v>
                </c:pt>
                <c:pt idx="4">
                  <c:v>0</c:v>
                </c:pt>
                <c:pt idx="5">
                  <c:v>0</c:v>
                </c:pt>
                <c:pt idx="6">
                  <c:v>1067809.5238095222</c:v>
                </c:pt>
                <c:pt idx="7">
                  <c:v>3395595.2380952369</c:v>
                </c:pt>
                <c:pt idx="8">
                  <c:v>2960952.3809523806</c:v>
                </c:pt>
                <c:pt idx="9">
                  <c:v>3553142.8571428568</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949-EE43-B544-B46175F21D4E}"/>
            </c:ext>
          </c:extLst>
        </c:ser>
        <c:dLbls>
          <c:showLegendKey val="0"/>
          <c:showVal val="0"/>
          <c:showCatName val="0"/>
          <c:showSerName val="0"/>
          <c:showPercent val="0"/>
          <c:showBubbleSize val="0"/>
        </c:dLbls>
        <c:gapWidth val="150"/>
        <c:overlap val="100"/>
        <c:axId val="1329550470"/>
        <c:axId val="1737372219"/>
      </c:barChart>
      <c:catAx>
        <c:axId val="1329550470"/>
        <c:scaling>
          <c:orientation val="minMax"/>
        </c:scaling>
        <c:delete val="0"/>
        <c:axPos val="b"/>
        <c:title>
          <c:tx>
            <c:rich>
              <a:bodyPr/>
              <a:lstStyle/>
              <a:p>
                <a:pPr lvl="0">
                  <a:defRPr b="0">
                    <a:solidFill>
                      <a:srgbClr val="000000"/>
                    </a:solidFill>
                    <a:latin typeface="+mn-lt"/>
                  </a:defRPr>
                </a:pPr>
                <a:endParaRPr/>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1737372219"/>
        <c:crosses val="autoZero"/>
        <c:auto val="1"/>
        <c:lblAlgn val="ctr"/>
        <c:lblOffset val="100"/>
        <c:noMultiLvlLbl val="1"/>
      </c:catAx>
      <c:valAx>
        <c:axId val="17373722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1329550470"/>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Cumulative cash flows</a:t>
            </a:r>
          </a:p>
        </c:rich>
      </c:tx>
      <c:overlay val="0"/>
    </c:title>
    <c:autoTitleDeleted val="0"/>
    <c:plotArea>
      <c:layout/>
      <c:areaChart>
        <c:grouping val="standard"/>
        <c:varyColors val="1"/>
        <c:ser>
          <c:idx val="0"/>
          <c:order val="0"/>
          <c:spPr>
            <a:solidFill>
              <a:srgbClr val="4285F4">
                <a:alpha val="30000"/>
              </a:srgbClr>
            </a:solidFill>
            <a:ln cmpd="sng">
              <a:solidFill>
                <a:srgbClr val="4285F4"/>
              </a:solidFill>
            </a:ln>
          </c:spP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Forecast!$G$100:$Z$100</c:f>
              <c:numCache>
                <c:formatCode>#,##0_);\(#,##0\);_("-"_);_(@_)</c:formatCode>
                <c:ptCount val="20"/>
                <c:pt idx="0">
                  <c:v>-5477499.9999999991</c:v>
                </c:pt>
                <c:pt idx="1">
                  <c:v>-10854999.999999998</c:v>
                </c:pt>
                <c:pt idx="2">
                  <c:v>-16232499.999999996</c:v>
                </c:pt>
                <c:pt idx="3">
                  <c:v>-21128749.999999996</c:v>
                </c:pt>
                <c:pt idx="4">
                  <c:v>-17843749.999999996</c:v>
                </c:pt>
                <c:pt idx="5">
                  <c:v>-14558749.999999996</c:v>
                </c:pt>
                <c:pt idx="6">
                  <c:v>3347190.4761904739</c:v>
                </c:pt>
                <c:pt idx="7">
                  <c:v>17674095.238095231</c:v>
                </c:pt>
                <c:pt idx="8">
                  <c:v>29548142.857142843</c:v>
                </c:pt>
                <c:pt idx="9">
                  <c:v>43909999.999999985</c:v>
                </c:pt>
                <c:pt idx="10">
                  <c:v>43909999.999999985</c:v>
                </c:pt>
                <c:pt idx="11">
                  <c:v>43909999.999999985</c:v>
                </c:pt>
                <c:pt idx="12">
                  <c:v>43909999.999999985</c:v>
                </c:pt>
                <c:pt idx="13">
                  <c:v>43909999.999999985</c:v>
                </c:pt>
                <c:pt idx="14">
                  <c:v>43909999.999999985</c:v>
                </c:pt>
                <c:pt idx="15">
                  <c:v>43909999.999999985</c:v>
                </c:pt>
                <c:pt idx="16">
                  <c:v>43909999.999999985</c:v>
                </c:pt>
                <c:pt idx="17">
                  <c:v>43909999.999999985</c:v>
                </c:pt>
                <c:pt idx="18">
                  <c:v>43909999.999999985</c:v>
                </c:pt>
                <c:pt idx="19">
                  <c:v>43909999.999999985</c:v>
                </c:pt>
              </c:numCache>
            </c:numRef>
          </c:val>
          <c:extLst>
            <c:ext xmlns:c16="http://schemas.microsoft.com/office/drawing/2014/chart" uri="{C3380CC4-5D6E-409C-BE32-E72D297353CC}">
              <c16:uniqueId val="{00000000-AB55-1A46-B203-35FF5E4820D0}"/>
            </c:ext>
          </c:extLst>
        </c:ser>
        <c:dLbls>
          <c:showLegendKey val="0"/>
          <c:showVal val="0"/>
          <c:showCatName val="0"/>
          <c:showSerName val="0"/>
          <c:showPercent val="0"/>
          <c:showBubbleSize val="0"/>
        </c:dLbls>
        <c:axId val="1805839839"/>
        <c:axId val="700030938"/>
      </c:areaChart>
      <c:catAx>
        <c:axId val="1805839839"/>
        <c:scaling>
          <c:orientation val="minMax"/>
        </c:scaling>
        <c:delete val="0"/>
        <c:axPos val="b"/>
        <c:title>
          <c:tx>
            <c:rich>
              <a:bodyPr/>
              <a:lstStyle/>
              <a:p>
                <a:pPr lvl="0">
                  <a:defRPr b="0">
                    <a:solidFill>
                      <a:srgbClr val="000000"/>
                    </a:solidFill>
                    <a:latin typeface="+mn-lt"/>
                  </a:defRPr>
                </a:pPr>
                <a:endParaRPr/>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700030938"/>
        <c:crosses val="autoZero"/>
        <c:auto val="1"/>
        <c:lblAlgn val="ctr"/>
        <c:lblOffset val="100"/>
        <c:noMultiLvlLbl val="1"/>
      </c:catAx>
      <c:valAx>
        <c:axId val="7000309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1805839839"/>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Fund Proceeds by Outcome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'Get Started'!$B$45:$B$48</c:f>
              <c:strCache>
                <c:ptCount val="4"/>
                <c:pt idx="0">
                  <c:v>Writeoff</c:v>
                </c:pt>
                <c:pt idx="1">
                  <c:v>Small</c:v>
                </c:pt>
                <c:pt idx="2">
                  <c:v>Medium</c:v>
                </c:pt>
                <c:pt idx="3">
                  <c:v>Large</c:v>
                </c:pt>
              </c:strCache>
            </c:strRef>
          </c:cat>
          <c:val>
            <c:numRef>
              <c:f>'Get Started'!$I$45:$I$48</c:f>
              <c:numCache>
                <c:formatCode>0%</c:formatCode>
                <c:ptCount val="4"/>
                <c:pt idx="0">
                  <c:v>0</c:v>
                </c:pt>
                <c:pt idx="1">
                  <c:v>7.5000000000000025E-2</c:v>
                </c:pt>
                <c:pt idx="2">
                  <c:v>0.12500000000000003</c:v>
                </c:pt>
                <c:pt idx="3">
                  <c:v>0.79999999999999993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271-2545-94D5-B4B873AB1865}"/>
            </c:ext>
          </c:extLst>
        </c:ser>
        <c:dLbls>
          <c:showLegendKey val="0"/>
          <c:showVal val="0"/>
          <c:showCatName val="0"/>
          <c:showSerName val="0"/>
          <c:showPercent val="0"/>
          <c:showBubbleSize val="0"/>
        </c:dLbls>
        <c:gapWidth val="150"/>
        <c:axId val="1151908320"/>
        <c:axId val="969984187"/>
      </c:barChart>
      <c:catAx>
        <c:axId val="115190832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69984187"/>
        <c:crosses val="autoZero"/>
        <c:auto val="1"/>
        <c:lblAlgn val="ctr"/>
        <c:lblOffset val="100"/>
        <c:noMultiLvlLbl val="1"/>
      </c:catAx>
      <c:valAx>
        <c:axId val="9699841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15190832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857250</xdr:colOff>
      <xdr:row>1</xdr:row>
      <xdr:rowOff>142875</xdr:rowOff>
    </xdr:from>
    <xdr:ext cx="5715000" cy="35337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857250</xdr:colOff>
      <xdr:row>20</xdr:row>
      <xdr:rowOff>180975</xdr:rowOff>
    </xdr:from>
    <xdr:ext cx="5781675" cy="3581400"/>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409575</xdr:colOff>
      <xdr:row>40</xdr:row>
      <xdr:rowOff>19050</xdr:rowOff>
    </xdr:from>
    <xdr:ext cx="5715000" cy="3533775"/>
    <xdr:graphicFrame macro="">
      <xdr:nvGraphicFramePr>
        <xdr:cNvPr id="4" name="Chart 3"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409575</xdr:colOff>
      <xdr:row>1</xdr:row>
      <xdr:rowOff>142875</xdr:rowOff>
    </xdr:from>
    <xdr:ext cx="5715000" cy="3533775"/>
    <xdr:graphicFrame macro="">
      <xdr:nvGraphicFramePr>
        <xdr:cNvPr id="5" name="Chart 4"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21</xdr:row>
      <xdr:rowOff>9525</xdr:rowOff>
    </xdr:from>
    <xdr:ext cx="5715000" cy="3533775"/>
    <xdr:graphicFrame macro="">
      <xdr:nvGraphicFramePr>
        <xdr:cNvPr id="6" name="Chart 5" titl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895350</xdr:colOff>
      <xdr:row>40</xdr:row>
      <xdr:rowOff>19050</xdr:rowOff>
    </xdr:from>
    <xdr:ext cx="5715000" cy="3533775"/>
    <xdr:graphicFrame macro="">
      <xdr:nvGraphicFramePr>
        <xdr:cNvPr id="7" name="Chart 6" titl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C10">
  <tableColumns count="2">
    <tableColumn id="1" xr3:uid="{00000000-0010-0000-0000-000001000000}" name="Copyright &amp; Contact"/>
    <tableColumn id="2" xr3:uid="{00000000-0010-0000-0000-000002000000}" name="This was created by Taylor Davidson (@tdavidson) of Foresight._x000a_© 2025, Unstructured Ventures, LLC._x000a_Questions, contact taylor@foresight.is or @tdavidson_x000a_"/>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4:C28">
  <tableColumns count="2">
    <tableColumn id="1" xr3:uid="{00000000-0010-0000-0100-000001000000}" name="README"/>
    <tableColumn id="2" xr3:uid="{00000000-0010-0000-0100-000002000000}" name="Contact into, overview on model. Safe to delete or hide."/>
  </tableColumns>
  <tableStyleInfo name="READM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7:D25">
  <tableColumns count="3">
    <tableColumn id="1" xr3:uid="{00000000-0010-0000-0200-000001000000}" name="How to Model a Venture Capital Fund"/>
    <tableColumn id="2" xr3:uid="{00000000-0010-0000-0200-000002000000}" name="Post detailing how to model a venture capital fund, detailing all the components, methods, considerations, and links to template models to review"/>
    <tableColumn id="3" xr3:uid="{00000000-0010-0000-0200-000003000000}" name="https://openvc.app/blog/how-to-model-a-venture-capital-fund"/>
  </tableColumns>
  <tableStyleInfo name="Resourc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7:U20" headerRowCount="0">
  <tableColumns count="20">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dataDxfId="15"/>
    <tableColumn id="6" xr3:uid="{00000000-0010-0000-0300-000006000000}" name="Column6" dataDxfId="14"/>
    <tableColumn id="7" xr3:uid="{00000000-0010-0000-0300-000007000000}" name="Column7" dataDxfId="13"/>
    <tableColumn id="8" xr3:uid="{00000000-0010-0000-0300-000008000000}" name="Column8" dataDxfId="12"/>
    <tableColumn id="9" xr3:uid="{00000000-0010-0000-0300-000009000000}" name="Column9" dataDxfId="11"/>
    <tableColumn id="10" xr3:uid="{00000000-0010-0000-0300-00000A000000}" name="Column10" dataDxfId="10"/>
    <tableColumn id="11" xr3:uid="{00000000-0010-0000-0300-00000B000000}" name="Column11" dataDxfId="9"/>
    <tableColumn id="12" xr3:uid="{00000000-0010-0000-0300-00000C000000}" name="Column12" dataDxfId="8"/>
    <tableColumn id="13" xr3:uid="{00000000-0010-0000-0300-00000D000000}" name="Column13" dataDxfId="7"/>
    <tableColumn id="14" xr3:uid="{00000000-0010-0000-0300-00000E000000}" name="Column14" dataDxfId="6"/>
    <tableColumn id="15" xr3:uid="{00000000-0010-0000-0300-00000F000000}" name="Column15" dataDxfId="5"/>
    <tableColumn id="16" xr3:uid="{00000000-0010-0000-0300-000010000000}" name="Column16" dataDxfId="4"/>
    <tableColumn id="17" xr3:uid="{00000000-0010-0000-0300-000011000000}" name="Column17" dataDxfId="3"/>
    <tableColumn id="18" xr3:uid="{00000000-0010-0000-0300-000012000000}" name="Column18" dataDxfId="2"/>
    <tableColumn id="19" xr3:uid="{00000000-0010-0000-0300-000013000000}" name="Column19" dataDxfId="1"/>
    <tableColumn id="20" xr3:uid="{00000000-0010-0000-0300-000014000000}" name="Column20" dataDxfId="0"/>
  </tableColumns>
  <tableStyleInfo name="Model Comparison-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7:C42">
  <tableColumns count="2">
    <tableColumn id="1" xr3:uid="{00000000-0010-0000-0400-000001000000}" name="Limited Partner"/>
    <tableColumn id="2" xr3:uid="{00000000-0010-0000-0400-000002000000}" name="Part-owner of a company whose liability for the firm's debts cannot exceed the amount that an individual invested in the company. In VC, the investors in the fund. https://www.investopedia.com/terms/l/limited-partner.asp"/>
  </tableColumns>
  <tableStyleInfo name="Glossary-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6:D25" headerRowCount="0">
  <tableColumns count="3">
    <tableColumn id="1" xr3:uid="{00000000-0010-0000-0500-000001000000}" name="Column1"/>
    <tableColumn id="2" xr3:uid="{00000000-0010-0000-0500-000002000000}" name="Column2"/>
    <tableColumn id="3" xr3:uid="{00000000-0010-0000-0500-000003000000}" name="Column3"/>
  </tableColumns>
  <tableStyleInfo name="Change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esight.is/docs/" TargetMode="External"/><Relationship Id="rId7" Type="http://schemas.openxmlformats.org/officeDocument/2006/relationships/table" Target="../tables/table2.xml"/><Relationship Id="rId2" Type="http://schemas.openxmlformats.org/officeDocument/2006/relationships/hyperlink" Target="https://foresight.is/help" TargetMode="External"/><Relationship Id="rId1" Type="http://schemas.openxmlformats.org/officeDocument/2006/relationships/hyperlink" Target="https://foresight.is/venture-fund-model" TargetMode="External"/><Relationship Id="rId6" Type="http://schemas.openxmlformats.org/officeDocument/2006/relationships/table" Target="../tables/table1.xml"/><Relationship Id="rId5" Type="http://schemas.openxmlformats.org/officeDocument/2006/relationships/hyperlink" Target="https://foresight.is/license" TargetMode="External"/><Relationship Id="rId4" Type="http://schemas.openxmlformats.org/officeDocument/2006/relationships/hyperlink" Target="https://foresight.is/learn/colors-and-formatt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foresight.is/vc"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foresight.is/learn/fast-standar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foresight.is/vc" TargetMode="External"/><Relationship Id="rId13" Type="http://schemas.openxmlformats.org/officeDocument/2006/relationships/hyperlink" Target="https://foresight.is/venture-portfolio-model" TargetMode="External"/><Relationship Id="rId18" Type="http://schemas.openxmlformats.org/officeDocument/2006/relationships/hyperlink" Target="https://avc.com/2008/08/venture-fund-1/" TargetMode="External"/><Relationship Id="rId3" Type="http://schemas.openxmlformats.org/officeDocument/2006/relationships/hyperlink" Target="https://vc.tactyc.io/" TargetMode="External"/><Relationship Id="rId7" Type="http://schemas.openxmlformats.org/officeDocument/2006/relationships/hyperlink" Target="https://foresight.is/vc" TargetMode="External"/><Relationship Id="rId12" Type="http://schemas.openxmlformats.org/officeDocument/2006/relationships/hyperlink" Target="https://foresight.is/vc" TargetMode="External"/><Relationship Id="rId17" Type="http://schemas.openxmlformats.org/officeDocument/2006/relationships/hyperlink" Target="https://angel.co/v/venture/calculator" TargetMode="External"/><Relationship Id="rId2" Type="http://schemas.openxmlformats.org/officeDocument/2006/relationships/hyperlink" Target="https://eniacvc.medium.com/seed-fund-portfolio-construction-for-dummies-9ec5b4d152dc" TargetMode="External"/><Relationship Id="rId16" Type="http://schemas.openxmlformats.org/officeDocument/2006/relationships/hyperlink" Target="https://foresight.is/learn/venture-valuation" TargetMode="External"/><Relationship Id="rId20" Type="http://schemas.openxmlformats.org/officeDocument/2006/relationships/table" Target="../tables/table3.xml"/><Relationship Id="rId1" Type="http://schemas.openxmlformats.org/officeDocument/2006/relationships/hyperlink" Target="https://openvc.app/blog/how-to-model-a-venture-capital-fund" TargetMode="External"/><Relationship Id="rId6" Type="http://schemas.openxmlformats.org/officeDocument/2006/relationships/hyperlink" Target="https://airstreamalpha.com/financial-model/" TargetMode="External"/><Relationship Id="rId11" Type="http://schemas.openxmlformats.org/officeDocument/2006/relationships/hyperlink" Target="https://foresight.is/venture-fund-model" TargetMode="External"/><Relationship Id="rId5" Type="http://schemas.openxmlformats.org/officeDocument/2006/relationships/hyperlink" Target="https://medium.com/@gerstenzang/open-source-venture-model-osvm-v1-55bebf3eda9" TargetMode="External"/><Relationship Id="rId15" Type="http://schemas.openxmlformats.org/officeDocument/2006/relationships/hyperlink" Target="https://foresight.is/cap-table" TargetMode="External"/><Relationship Id="rId10" Type="http://schemas.openxmlformats.org/officeDocument/2006/relationships/hyperlink" Target="https://foresight.is/vc" TargetMode="External"/><Relationship Id="rId19" Type="http://schemas.openxmlformats.org/officeDocument/2006/relationships/hyperlink" Target="https://vcmethod.com/" TargetMode="External"/><Relationship Id="rId4" Type="http://schemas.openxmlformats.org/officeDocument/2006/relationships/hyperlink" Target="https://my.causal.app/models/7140" TargetMode="External"/><Relationship Id="rId9" Type="http://schemas.openxmlformats.org/officeDocument/2006/relationships/hyperlink" Target="https://foresight.is/vc" TargetMode="External"/><Relationship Id="rId14" Type="http://schemas.openxmlformats.org/officeDocument/2006/relationships/hyperlink" Target="https://www.angellist.com/blog/rolling-fund-budget"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foresight.is/venture-portfolio-model/" TargetMode="External"/><Relationship Id="rId13" Type="http://schemas.openxmlformats.org/officeDocument/2006/relationships/hyperlink" Target="https://foresight.is/runway-cash-forecasting" TargetMode="External"/><Relationship Id="rId3" Type="http://schemas.openxmlformats.org/officeDocument/2006/relationships/hyperlink" Target="https://foresight.is/venture-fund-model-quarterly/" TargetMode="External"/><Relationship Id="rId7" Type="http://schemas.openxmlformats.org/officeDocument/2006/relationships/hyperlink" Target="https://foresight.is/venture-fund-model" TargetMode="External"/><Relationship Id="rId12" Type="http://schemas.openxmlformats.org/officeDocument/2006/relationships/hyperlink" Target="https://foresight.is/venture-valuation-tool/" TargetMode="External"/><Relationship Id="rId2" Type="http://schemas.openxmlformats.org/officeDocument/2006/relationships/hyperlink" Target="https://foresight.is/venture-fund-model-annual/" TargetMode="External"/><Relationship Id="rId1" Type="http://schemas.openxmlformats.org/officeDocument/2006/relationships/hyperlink" Target="https://foresight.is/venture-fund-model-overall/" TargetMode="External"/><Relationship Id="rId6" Type="http://schemas.openxmlformats.org/officeDocument/2006/relationships/hyperlink" Target="https://foresight.is/venture-fund-model-detailed/" TargetMode="External"/><Relationship Id="rId11" Type="http://schemas.openxmlformats.org/officeDocument/2006/relationships/hyperlink" Target="https://foresight.is/cap-table" TargetMode="External"/><Relationship Id="rId5" Type="http://schemas.openxmlformats.org/officeDocument/2006/relationships/hyperlink" Target="https://foresight.is/venture-studio-model" TargetMode="External"/><Relationship Id="rId15" Type="http://schemas.openxmlformats.org/officeDocument/2006/relationships/table" Target="../tables/table4.xml"/><Relationship Id="rId10" Type="http://schemas.openxmlformats.org/officeDocument/2006/relationships/hyperlink" Target="https://foresight.is/rolling-fund-template/" TargetMode="External"/><Relationship Id="rId4" Type="http://schemas.openxmlformats.org/officeDocument/2006/relationships/hyperlink" Target="https://foresight.is/venture-fund-model-portfolio/" TargetMode="External"/><Relationship Id="rId9" Type="http://schemas.openxmlformats.org/officeDocument/2006/relationships/hyperlink" Target="https://foresight.is/fund-of-funds/" TargetMode="External"/><Relationship Id="rId14" Type="http://schemas.openxmlformats.org/officeDocument/2006/relationships/hyperlink" Target="https://foresight.is/cap-tabl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foresight.is/runway-cash-forecasting" TargetMode="External"/><Relationship Id="rId1" Type="http://schemas.openxmlformats.org/officeDocument/2006/relationships/hyperlink" Target="https://foresight.is/v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9"/>
  <sheetViews>
    <sheetView showGridLines="0" tabSelected="1" workbookViewId="0">
      <selection activeCell="C5" sqref="C5"/>
    </sheetView>
  </sheetViews>
  <sheetFormatPr baseColWidth="10" defaultColWidth="12.6640625" defaultRowHeight="15.75" customHeight="1"/>
  <cols>
    <col min="1" max="1" width="4.1640625" customWidth="1"/>
    <col min="2" max="2" width="35.1640625" customWidth="1"/>
    <col min="3" max="3" width="65.6640625" customWidth="1"/>
    <col min="4" max="5" width="22.6640625" customWidth="1"/>
  </cols>
  <sheetData>
    <row r="1" spans="1:3" ht="15.75" customHeight="1">
      <c r="A1" s="1"/>
    </row>
    <row r="2" spans="1:3">
      <c r="B2" s="2" t="s">
        <v>0</v>
      </c>
    </row>
    <row r="3" spans="1:3" ht="15.75" customHeight="1">
      <c r="B3" s="3"/>
    </row>
    <row r="4" spans="1:3" ht="51" customHeight="1">
      <c r="B4" s="4" t="s">
        <v>1</v>
      </c>
      <c r="C4" s="114" t="s">
        <v>478</v>
      </c>
    </row>
    <row r="5" spans="1:3" ht="51" customHeight="1">
      <c r="B5" s="4" t="s">
        <v>2</v>
      </c>
      <c r="C5" s="5" t="s">
        <v>3</v>
      </c>
    </row>
    <row r="6" spans="1:3" ht="51" customHeight="1">
      <c r="B6" s="4" t="s">
        <v>4</v>
      </c>
      <c r="C6" s="6" t="s">
        <v>5</v>
      </c>
    </row>
    <row r="7" spans="1:3" ht="51" customHeight="1">
      <c r="B7" s="4" t="s">
        <v>6</v>
      </c>
      <c r="C7" s="6" t="s">
        <v>7</v>
      </c>
    </row>
    <row r="8" spans="1:3" ht="51" customHeight="1">
      <c r="B8" s="4" t="s">
        <v>8</v>
      </c>
      <c r="C8" s="6" t="s">
        <v>9</v>
      </c>
    </row>
    <row r="9" spans="1:3" ht="51" customHeight="1">
      <c r="B9" s="4" t="s">
        <v>10</v>
      </c>
      <c r="C9" s="6" t="s">
        <v>11</v>
      </c>
    </row>
    <row r="10" spans="1:3" ht="51" customHeight="1">
      <c r="B10" s="4" t="s">
        <v>12</v>
      </c>
      <c r="C10" s="6" t="s">
        <v>13</v>
      </c>
    </row>
    <row r="11" spans="1:3" ht="15.75" customHeight="1">
      <c r="B11" s="7"/>
      <c r="C11" s="8"/>
    </row>
    <row r="12" spans="1:3" ht="15.75" customHeight="1">
      <c r="B12" s="7" t="s">
        <v>14</v>
      </c>
      <c r="C12" s="8"/>
    </row>
    <row r="13" spans="1:3" ht="15.75" customHeight="1">
      <c r="B13" s="9"/>
      <c r="C13" s="8"/>
    </row>
    <row r="14" spans="1:3" ht="15.75" customHeight="1">
      <c r="B14" s="10" t="s">
        <v>15</v>
      </c>
      <c r="C14" s="10" t="s">
        <v>16</v>
      </c>
    </row>
    <row r="15" spans="1:3" ht="15.75" customHeight="1">
      <c r="B15" s="10" t="s">
        <v>17</v>
      </c>
      <c r="C15" s="11" t="s">
        <v>18</v>
      </c>
    </row>
    <row r="16" spans="1:3" ht="15.75" customHeight="1">
      <c r="B16" s="10" t="s">
        <v>2</v>
      </c>
      <c r="C16" s="11" t="s">
        <v>19</v>
      </c>
    </row>
    <row r="17" spans="2:3" ht="15.75" customHeight="1">
      <c r="B17" s="10" t="s">
        <v>20</v>
      </c>
      <c r="C17" s="10" t="s">
        <v>21</v>
      </c>
    </row>
    <row r="18" spans="2:3" ht="15.75" customHeight="1">
      <c r="B18" s="10" t="s">
        <v>22</v>
      </c>
      <c r="C18" s="10" t="s">
        <v>23</v>
      </c>
    </row>
    <row r="19" spans="2:3" ht="15.75" customHeight="1">
      <c r="B19" s="10" t="s">
        <v>24</v>
      </c>
      <c r="C19" s="10" t="s">
        <v>25</v>
      </c>
    </row>
    <row r="20" spans="2:3" ht="15.75" customHeight="1">
      <c r="B20" s="10" t="s">
        <v>26</v>
      </c>
      <c r="C20" s="10" t="s">
        <v>27</v>
      </c>
    </row>
    <row r="21" spans="2:3" ht="15.75" customHeight="1">
      <c r="B21" s="10" t="s">
        <v>28</v>
      </c>
      <c r="C21" s="10" t="s">
        <v>29</v>
      </c>
    </row>
    <row r="22" spans="2:3" ht="15.75" customHeight="1">
      <c r="B22" s="10" t="s">
        <v>30</v>
      </c>
      <c r="C22" s="10" t="s">
        <v>31</v>
      </c>
    </row>
    <row r="23" spans="2:3" ht="15.75" customHeight="1">
      <c r="B23" s="10" t="s">
        <v>32</v>
      </c>
      <c r="C23" s="10" t="s">
        <v>33</v>
      </c>
    </row>
    <row r="24" spans="2:3" ht="15.75" customHeight="1">
      <c r="B24" s="10" t="s">
        <v>34</v>
      </c>
      <c r="C24" s="10" t="s">
        <v>35</v>
      </c>
    </row>
    <row r="25" spans="2:3" ht="15.75" customHeight="1">
      <c r="B25" s="10" t="s">
        <v>36</v>
      </c>
      <c r="C25" s="10" t="s">
        <v>37</v>
      </c>
    </row>
    <row r="26" spans="2:3" ht="15.75" customHeight="1">
      <c r="B26" s="10" t="s">
        <v>38</v>
      </c>
      <c r="C26" s="10" t="s">
        <v>39</v>
      </c>
    </row>
    <row r="27" spans="2:3" ht="15.75" customHeight="1">
      <c r="B27" s="10" t="s">
        <v>40</v>
      </c>
      <c r="C27" s="10" t="s">
        <v>41</v>
      </c>
    </row>
    <row r="28" spans="2:3" ht="15.75" customHeight="1">
      <c r="B28" s="10" t="s">
        <v>42</v>
      </c>
      <c r="C28" s="10" t="s">
        <v>43</v>
      </c>
    </row>
    <row r="29" spans="2:3" ht="15.75" customHeight="1">
      <c r="B29" s="12"/>
      <c r="C29" s="10"/>
    </row>
  </sheetData>
  <hyperlinks>
    <hyperlink ref="C5" location="License!A1" display="tl:dr; You can modify, edit, use, and share within your company (and with third-parties as needed to operate your business). You may not redistribute, resell, give away to others. Full license._x000a_" xr:uid="{00000000-0004-0000-0000-000000000000}"/>
    <hyperlink ref="C6" r:id="rId1" xr:uid="{00000000-0004-0000-0000-000001000000}"/>
    <hyperlink ref="C7" location="License!A1" display="File &gt; Make a Copy to copy it to your own Google Drive, or File &gt; Download to download this to use in Excel or other spreadsheet programs. See License for warranties and liabilities._x000a_" xr:uid="{00000000-0004-0000-0000-000002000000}"/>
    <hyperlink ref="C8" r:id="rId2" xr:uid="{00000000-0004-0000-0000-000003000000}"/>
    <hyperlink ref="C9" location="null!A1" display="Check out the Resources for other resources for modeling venture funds, and check out Foresight's Venture Investor Model for a more detailed fund model with financial statements, management company budgeting, and more._x000a_" xr:uid="{00000000-0004-0000-0000-000004000000}"/>
    <hyperlink ref="C10" r:id="rId3" xr:uid="{00000000-0004-0000-0000-000005000000}"/>
    <hyperlink ref="C15" r:id="rId4" xr:uid="{00000000-0004-0000-0000-000006000000}"/>
    <hyperlink ref="C16" r:id="rId5" xr:uid="{00000000-0004-0000-0000-000007000000}"/>
  </hyperlinks>
  <pageMargins left="0.7" right="0.7" top="0.75" bottom="0.75" header="0.3" footer="0.3"/>
  <tableParts count="2">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baseColWidth="10" defaultColWidth="12.6640625" defaultRowHeight="15.75" customHeight="1"/>
  <cols>
    <col min="1" max="1" width="2.83203125" customWidth="1"/>
    <col min="2" max="2" width="79.1640625" customWidth="1"/>
  </cols>
  <sheetData>
    <row r="1" spans="1:2" ht="29.25" customHeight="1">
      <c r="A1" s="2"/>
      <c r="B1" s="2" t="s">
        <v>44</v>
      </c>
    </row>
    <row r="2" spans="1:2" ht="19.5" customHeight="1">
      <c r="A2" s="13"/>
      <c r="B2" s="14" t="s">
        <v>45</v>
      </c>
    </row>
    <row r="3" spans="1:2" ht="13">
      <c r="A3" s="15"/>
      <c r="B3" s="15"/>
    </row>
    <row r="4" spans="1:2" ht="98">
      <c r="A4" s="15"/>
      <c r="B4" s="15" t="s">
        <v>46</v>
      </c>
    </row>
    <row r="5" spans="1:2" ht="13">
      <c r="A5" s="15"/>
      <c r="B5" s="15"/>
    </row>
    <row r="6" spans="1:2" ht="14">
      <c r="A6" s="15"/>
      <c r="B6" s="15" t="s">
        <v>47</v>
      </c>
    </row>
    <row r="7" spans="1:2" ht="13">
      <c r="A7" s="15"/>
      <c r="B7" s="15"/>
    </row>
    <row r="8" spans="1:2" ht="14">
      <c r="A8" s="15"/>
      <c r="B8" s="15" t="s">
        <v>48</v>
      </c>
    </row>
    <row r="9" spans="1:2" ht="28">
      <c r="A9" s="15"/>
      <c r="B9" s="15" t="s">
        <v>49</v>
      </c>
    </row>
    <row r="10" spans="1:2" ht="14">
      <c r="A10" s="15"/>
      <c r="B10" s="15" t="s">
        <v>50</v>
      </c>
    </row>
    <row r="11" spans="1:2" ht="14">
      <c r="A11" s="15"/>
      <c r="B11" s="15" t="s">
        <v>51</v>
      </c>
    </row>
    <row r="12" spans="1:2" ht="14">
      <c r="A12" s="15"/>
      <c r="B12" s="15" t="s">
        <v>52</v>
      </c>
    </row>
    <row r="13" spans="1:2" ht="13">
      <c r="A13" s="15"/>
      <c r="B13" s="15"/>
    </row>
    <row r="14" spans="1:2" ht="14">
      <c r="A14" s="15"/>
      <c r="B14" s="15" t="s">
        <v>53</v>
      </c>
    </row>
    <row r="15" spans="1:2" ht="14">
      <c r="A15" s="15"/>
      <c r="B15" s="15" t="s">
        <v>54</v>
      </c>
    </row>
    <row r="16" spans="1:2" ht="28">
      <c r="A16" s="15"/>
      <c r="B16" s="15" t="s">
        <v>55</v>
      </c>
    </row>
    <row r="17" spans="1:2" ht="14">
      <c r="A17" s="15"/>
      <c r="B17" s="15" t="s">
        <v>56</v>
      </c>
    </row>
    <row r="18" spans="1:2" ht="28">
      <c r="A18" s="15"/>
      <c r="B18" s="15" t="s">
        <v>57</v>
      </c>
    </row>
    <row r="19" spans="1:2" ht="28">
      <c r="A19" s="15"/>
      <c r="B19" s="15" t="s">
        <v>58</v>
      </c>
    </row>
    <row r="20" spans="1:2" ht="14">
      <c r="A20" s="15"/>
      <c r="B20" s="15" t="s">
        <v>59</v>
      </c>
    </row>
    <row r="21" spans="1:2" ht="28">
      <c r="A21" s="15"/>
      <c r="B21" s="15" t="s">
        <v>60</v>
      </c>
    </row>
    <row r="22" spans="1:2" ht="13">
      <c r="A22" s="15"/>
      <c r="B22" s="15"/>
    </row>
    <row r="23" spans="1:2" ht="154">
      <c r="A23" s="15"/>
      <c r="B23" s="15" t="s">
        <v>61</v>
      </c>
    </row>
    <row r="24" spans="1:2" ht="13">
      <c r="A24" s="15"/>
      <c r="B24" s="15"/>
    </row>
    <row r="25" spans="1:2" ht="112">
      <c r="A25" s="15"/>
      <c r="B25" s="15" t="s">
        <v>62</v>
      </c>
    </row>
    <row r="26" spans="1:2" ht="13">
      <c r="A26" s="15"/>
      <c r="B26" s="15"/>
    </row>
    <row r="27" spans="1:2" ht="84">
      <c r="A27" s="15"/>
      <c r="B27" s="15" t="s">
        <v>63</v>
      </c>
    </row>
    <row r="28" spans="1:2" ht="13">
      <c r="A28" s="15"/>
      <c r="B28" s="15"/>
    </row>
    <row r="29" spans="1:2" ht="84">
      <c r="A29" s="15"/>
      <c r="B29" s="15" t="s">
        <v>64</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67"/>
  <sheetViews>
    <sheetView showGridLines="0" workbookViewId="0"/>
  </sheetViews>
  <sheetFormatPr baseColWidth="10" defaultColWidth="12.6640625" defaultRowHeight="15.75" customHeight="1"/>
  <cols>
    <col min="1" max="1" width="4.33203125" customWidth="1"/>
    <col min="2" max="2" width="41.6640625" customWidth="1"/>
    <col min="3" max="4" width="3.1640625" customWidth="1"/>
    <col min="7" max="7" width="10.5" customWidth="1"/>
    <col min="9" max="9" width="13.6640625" customWidth="1"/>
    <col min="10" max="10" width="8.33203125" customWidth="1"/>
    <col min="11" max="11" width="79.1640625" customWidth="1"/>
  </cols>
  <sheetData>
    <row r="1" spans="2:11" ht="15.75" customHeight="1">
      <c r="C1" s="16"/>
    </row>
    <row r="2" spans="2:11">
      <c r="B2" s="2" t="s">
        <v>20</v>
      </c>
      <c r="C2" s="16"/>
    </row>
    <row r="3" spans="2:11" ht="15.75" customHeight="1">
      <c r="B3" s="17" t="s">
        <v>65</v>
      </c>
      <c r="C3" s="16"/>
    </row>
    <row r="4" spans="2:11">
      <c r="B4" s="18"/>
    </row>
    <row r="5" spans="2:11">
      <c r="B5" s="18" t="s">
        <v>66</v>
      </c>
    </row>
    <row r="6" spans="2:11" ht="15.75" customHeight="1">
      <c r="B6" s="17" t="s">
        <v>67</v>
      </c>
      <c r="C6" s="16"/>
      <c r="D6" s="1"/>
      <c r="E6" s="1"/>
      <c r="F6" s="1"/>
    </row>
    <row r="7" spans="2:11" ht="15.75" customHeight="1">
      <c r="B7" s="12"/>
      <c r="C7" s="16"/>
      <c r="D7" s="1"/>
      <c r="E7" s="1"/>
      <c r="F7" s="1"/>
    </row>
    <row r="8" spans="2:11" ht="15.75" customHeight="1">
      <c r="B8" s="19" t="s">
        <v>68</v>
      </c>
      <c r="C8" s="20" t="s">
        <v>69</v>
      </c>
      <c r="D8" s="21"/>
      <c r="E8" s="21" t="s">
        <v>70</v>
      </c>
      <c r="F8" s="21" t="s">
        <v>34</v>
      </c>
      <c r="K8" s="22" t="s">
        <v>71</v>
      </c>
    </row>
    <row r="9" spans="2:11" ht="15.75" customHeight="1">
      <c r="B9" s="12" t="s">
        <v>72</v>
      </c>
      <c r="C9" s="23" t="s">
        <v>73</v>
      </c>
      <c r="D9" s="24"/>
      <c r="E9" s="25">
        <v>25000000</v>
      </c>
      <c r="F9" s="26">
        <f>Forecast!E30</f>
        <v>25000000</v>
      </c>
      <c r="K9" s="12" t="s">
        <v>74</v>
      </c>
    </row>
    <row r="10" spans="2:11" ht="15.75" customHeight="1">
      <c r="B10" s="12" t="s">
        <v>75</v>
      </c>
      <c r="C10" s="16" t="s">
        <v>76</v>
      </c>
      <c r="D10" s="27"/>
      <c r="E10" s="28">
        <v>0.02</v>
      </c>
      <c r="F10" s="26">
        <f>E10*F$9</f>
        <v>500000</v>
      </c>
      <c r="K10" s="12" t="s">
        <v>77</v>
      </c>
    </row>
    <row r="11" spans="2:11" ht="15.75" customHeight="1">
      <c r="B11" s="12" t="s">
        <v>78</v>
      </c>
      <c r="C11" s="29" t="str">
        <f t="shared" ref="C11:C12" si="0">C$9</f>
        <v>$</v>
      </c>
      <c r="D11" s="24"/>
      <c r="E11" s="25">
        <v>100000</v>
      </c>
      <c r="F11" s="26">
        <f>Forecast!E39</f>
        <v>100000</v>
      </c>
      <c r="K11" s="12" t="s">
        <v>79</v>
      </c>
    </row>
    <row r="12" spans="2:11" ht="15.75" customHeight="1">
      <c r="B12" s="12" t="s">
        <v>80</v>
      </c>
      <c r="C12" s="29" t="str">
        <f t="shared" si="0"/>
        <v>$</v>
      </c>
      <c r="D12" s="24"/>
      <c r="E12" s="25">
        <v>75000</v>
      </c>
      <c r="F12" s="26">
        <f>Forecast!E40</f>
        <v>750000</v>
      </c>
      <c r="I12" s="12"/>
      <c r="J12" s="12"/>
      <c r="K12" s="12" t="s">
        <v>81</v>
      </c>
    </row>
    <row r="13" spans="2:11" ht="15.75" customHeight="1">
      <c r="B13" s="12" t="s">
        <v>82</v>
      </c>
      <c r="C13" s="16" t="s">
        <v>76</v>
      </c>
      <c r="D13" s="27"/>
      <c r="E13" s="28">
        <v>0.02</v>
      </c>
      <c r="F13" s="26">
        <f>Forecast!E41</f>
        <v>4900000</v>
      </c>
      <c r="I13" s="12"/>
      <c r="J13" s="12"/>
      <c r="K13" s="12" t="s">
        <v>83</v>
      </c>
    </row>
    <row r="14" spans="2:11" ht="15.75" customHeight="1">
      <c r="B14" s="12" t="s">
        <v>84</v>
      </c>
      <c r="C14" s="16" t="s">
        <v>76</v>
      </c>
      <c r="D14" s="27"/>
      <c r="E14" s="28">
        <v>0.2</v>
      </c>
      <c r="F14" s="26">
        <f ca="1">E59</f>
        <v>10977499.999999996</v>
      </c>
      <c r="K14" s="12" t="s">
        <v>85</v>
      </c>
    </row>
    <row r="15" spans="2:11" ht="15.75" customHeight="1">
      <c r="B15" s="12" t="s">
        <v>86</v>
      </c>
      <c r="C15" s="16" t="s">
        <v>87</v>
      </c>
      <c r="D15" s="30"/>
      <c r="E15" s="31">
        <v>4</v>
      </c>
      <c r="F15" s="32"/>
      <c r="I15" s="12"/>
      <c r="J15" s="12"/>
      <c r="K15" s="12" t="s">
        <v>88</v>
      </c>
    </row>
    <row r="16" spans="2:11" ht="15.75" customHeight="1">
      <c r="B16" s="12" t="s">
        <v>89</v>
      </c>
      <c r="C16" s="16" t="s">
        <v>87</v>
      </c>
      <c r="D16" s="30"/>
      <c r="E16" s="31">
        <v>10</v>
      </c>
      <c r="F16" s="32"/>
      <c r="I16" s="32"/>
      <c r="J16" s="32"/>
      <c r="K16" s="32" t="s">
        <v>90</v>
      </c>
    </row>
    <row r="17" spans="1:12" ht="15.75" customHeight="1">
      <c r="B17" s="12" t="s">
        <v>91</v>
      </c>
      <c r="C17" s="16" t="s">
        <v>87</v>
      </c>
      <c r="D17" s="30"/>
      <c r="E17" s="33">
        <f>E15+MAX(H45:H48)</f>
        <v>10</v>
      </c>
      <c r="K17" s="32" t="s">
        <v>92</v>
      </c>
    </row>
    <row r="18" spans="1:12" ht="15.75" customHeight="1">
      <c r="A18" s="34"/>
      <c r="B18" s="34" t="s">
        <v>93</v>
      </c>
      <c r="C18" s="35" t="s">
        <v>87</v>
      </c>
      <c r="D18" s="36"/>
      <c r="E18" s="33">
        <f>MAX(0,E17-E16)</f>
        <v>0</v>
      </c>
      <c r="F18" s="36"/>
      <c r="G18" s="34"/>
      <c r="H18" s="34"/>
      <c r="I18" s="34"/>
      <c r="J18" s="34"/>
      <c r="K18" s="34" t="s">
        <v>94</v>
      </c>
      <c r="L18" s="34"/>
    </row>
    <row r="19" spans="1:12" ht="15.75" customHeight="1">
      <c r="B19" s="12"/>
      <c r="C19" s="32"/>
      <c r="D19" s="32"/>
      <c r="E19" s="32"/>
      <c r="F19" s="32"/>
      <c r="I19" s="12"/>
      <c r="J19" s="12"/>
    </row>
    <row r="20" spans="1:12" ht="15.75" customHeight="1">
      <c r="B20" s="12"/>
      <c r="C20" s="32"/>
      <c r="D20" s="32"/>
      <c r="E20" s="32"/>
      <c r="F20" s="32"/>
      <c r="I20" s="12"/>
      <c r="J20" s="12"/>
    </row>
    <row r="21" spans="1:12">
      <c r="B21" s="18" t="s">
        <v>95</v>
      </c>
      <c r="C21" s="32"/>
      <c r="D21" s="32"/>
      <c r="E21" s="32"/>
      <c r="F21" s="32"/>
      <c r="I21" s="12"/>
      <c r="J21" s="12"/>
    </row>
    <row r="22" spans="1:12" ht="15.75" customHeight="1">
      <c r="B22" s="17" t="s">
        <v>96</v>
      </c>
      <c r="C22" s="32"/>
      <c r="D22" s="32"/>
      <c r="E22" s="32"/>
      <c r="F22" s="32"/>
      <c r="I22" s="12"/>
      <c r="J22" s="12"/>
      <c r="K22" s="12" t="s">
        <v>97</v>
      </c>
    </row>
    <row r="23" spans="1:12" ht="15.75" customHeight="1">
      <c r="B23" s="12"/>
      <c r="C23" s="32"/>
      <c r="D23" s="32"/>
      <c r="F23" s="32"/>
      <c r="I23" s="12"/>
      <c r="J23" s="12"/>
    </row>
    <row r="24" spans="1:12" ht="15.75" customHeight="1">
      <c r="B24" s="19" t="s">
        <v>68</v>
      </c>
      <c r="C24" s="20" t="s">
        <v>69</v>
      </c>
      <c r="D24" s="21"/>
      <c r="E24" s="21" t="s">
        <v>70</v>
      </c>
      <c r="F24" s="21" t="s">
        <v>34</v>
      </c>
      <c r="K24" s="22" t="s">
        <v>71</v>
      </c>
    </row>
    <row r="25" spans="1:12" ht="15.75" customHeight="1">
      <c r="B25" s="12" t="str">
        <f>"Target recycling %, and max achievable"</f>
        <v>Target recycling %, and max achievable</v>
      </c>
      <c r="C25" s="16" t="s">
        <v>76</v>
      </c>
      <c r="D25" s="27"/>
      <c r="E25" s="28">
        <v>0.25</v>
      </c>
      <c r="F25" s="37">
        <f ca="1">IFERROR(F29/F26,0)</f>
        <v>3.8499999999999993E-2</v>
      </c>
      <c r="I25" s="12"/>
      <c r="J25" s="12"/>
      <c r="K25" s="12" t="s">
        <v>98</v>
      </c>
    </row>
    <row r="26" spans="1:12" ht="15.75" customHeight="1">
      <c r="B26" s="12" t="str">
        <f>"... based on "&amp;E26</f>
        <v>... based on committed capital</v>
      </c>
      <c r="C26" s="29" t="s">
        <v>99</v>
      </c>
      <c r="D26" s="32"/>
      <c r="E26" s="38" t="s">
        <v>100</v>
      </c>
      <c r="F26" s="33">
        <f>IF(E26="management fees",F13,F9)</f>
        <v>25000000</v>
      </c>
      <c r="I26" s="12"/>
      <c r="J26" s="12"/>
      <c r="K26" s="12" t="s">
        <v>101</v>
      </c>
    </row>
    <row r="27" spans="1:12" ht="15.75" customHeight="1">
      <c r="B27" s="12" t="str">
        <f>"... from exits "&amp;E27&amp;" years or less post-investment"</f>
        <v>... from exits 6 years or less post-investment</v>
      </c>
      <c r="C27" s="16" t="s">
        <v>87</v>
      </c>
      <c r="D27" s="32"/>
      <c r="E27" s="31">
        <v>6</v>
      </c>
      <c r="F27" s="33">
        <f ca="1">Forecast!E145</f>
        <v>80849999.99999997</v>
      </c>
      <c r="I27" s="12"/>
      <c r="J27" s="12"/>
      <c r="K27" s="12" t="s">
        <v>102</v>
      </c>
    </row>
    <row r="28" spans="1:12" ht="15.75" customHeight="1">
      <c r="B28" s="12" t="str">
        <f>"... up to the amount of "&amp;E28&amp;" per investment exited"</f>
        <v>... up to the amount of invested capital per investment exited</v>
      </c>
      <c r="C28" s="29" t="s">
        <v>99</v>
      </c>
      <c r="D28" s="32"/>
      <c r="E28" s="39" t="s">
        <v>103</v>
      </c>
      <c r="F28" s="26">
        <f ca="1">IF(E28="invested capital",Forecast!E147,IF(E28="invested capital plus cost basis",Forecast!E146,Forecast!E145))</f>
        <v>8084999.9999999991</v>
      </c>
      <c r="I28" s="12"/>
      <c r="J28" s="12"/>
      <c r="K28" s="12" t="s">
        <v>104</v>
      </c>
    </row>
    <row r="29" spans="1:12" ht="15.75" customHeight="1">
      <c r="B29" s="12" t="str">
        <f>"... able to invest in "&amp;E29</f>
        <v>... able to invest in new investments</v>
      </c>
      <c r="C29" s="29" t="s">
        <v>99</v>
      </c>
      <c r="D29" s="32"/>
      <c r="E29" s="39" t="s">
        <v>105</v>
      </c>
      <c r="F29" s="33">
        <f ca="1">Forecast!E42</f>
        <v>962499.99999999988</v>
      </c>
      <c r="I29" s="12"/>
      <c r="J29" s="12"/>
      <c r="K29" s="12" t="s">
        <v>106</v>
      </c>
    </row>
    <row r="30" spans="1:12" ht="15.75" customHeight="1">
      <c r="F30" s="32"/>
      <c r="I30" s="12"/>
      <c r="J30" s="12"/>
    </row>
    <row r="31" spans="1:12" ht="15.75" customHeight="1">
      <c r="B31" s="12"/>
      <c r="C31" s="32"/>
      <c r="D31" s="32"/>
      <c r="E31" s="32"/>
      <c r="F31" s="32"/>
      <c r="I31" s="12"/>
      <c r="J31" s="12"/>
    </row>
    <row r="32" spans="1:12">
      <c r="B32" s="18" t="s">
        <v>107</v>
      </c>
      <c r="C32" s="32"/>
      <c r="D32" s="32"/>
      <c r="E32" s="32"/>
      <c r="F32" s="32"/>
      <c r="I32" s="12"/>
      <c r="J32" s="12"/>
    </row>
    <row r="33" spans="2:11" ht="15.75" customHeight="1">
      <c r="B33" s="17" t="s">
        <v>108</v>
      </c>
      <c r="C33" s="32"/>
      <c r="D33" s="40"/>
      <c r="E33" s="40"/>
      <c r="F33" s="40"/>
      <c r="I33" s="12"/>
      <c r="J33" s="12"/>
      <c r="K33" s="12"/>
    </row>
    <row r="34" spans="2:11" ht="15.75" customHeight="1">
      <c r="B34" s="12"/>
      <c r="C34" s="16"/>
      <c r="D34" s="40"/>
      <c r="E34" s="40"/>
      <c r="F34" s="40"/>
      <c r="I34" s="12"/>
      <c r="J34" s="12"/>
      <c r="K34" s="12"/>
    </row>
    <row r="35" spans="2:11" ht="15.75" customHeight="1">
      <c r="B35" s="19" t="s">
        <v>68</v>
      </c>
      <c r="C35" s="20" t="s">
        <v>69</v>
      </c>
      <c r="D35" s="41"/>
      <c r="E35" s="41" t="s">
        <v>109</v>
      </c>
      <c r="F35" s="41" t="s">
        <v>110</v>
      </c>
      <c r="I35" s="12"/>
      <c r="J35" s="12"/>
      <c r="K35" s="12"/>
    </row>
    <row r="36" spans="2:11" ht="15.75" customHeight="1">
      <c r="B36" s="12" t="s">
        <v>111</v>
      </c>
      <c r="C36" s="16" t="s">
        <v>76</v>
      </c>
      <c r="D36" s="42"/>
      <c r="E36" s="43">
        <v>1</v>
      </c>
      <c r="F36" s="37">
        <f>1-E36</f>
        <v>0</v>
      </c>
      <c r="I36" s="12"/>
      <c r="J36" s="12"/>
      <c r="K36" s="12" t="s">
        <v>112</v>
      </c>
    </row>
    <row r="37" spans="2:11" ht="15.75" customHeight="1">
      <c r="B37" s="12" t="s">
        <v>113</v>
      </c>
      <c r="C37" s="29" t="str">
        <f>C$9</f>
        <v>$</v>
      </c>
      <c r="D37" s="30"/>
      <c r="E37" s="39">
        <v>500000</v>
      </c>
      <c r="F37" s="39">
        <v>0</v>
      </c>
      <c r="I37" s="12"/>
      <c r="J37" s="12"/>
      <c r="K37" s="44" t="s">
        <v>114</v>
      </c>
    </row>
    <row r="38" spans="2:11" ht="15.75" customHeight="1">
      <c r="B38" s="12" t="s">
        <v>115</v>
      </c>
      <c r="C38" s="16" t="s">
        <v>87</v>
      </c>
      <c r="D38" s="45"/>
      <c r="E38" s="45">
        <f ca="1">F49</f>
        <v>40.42499999999999</v>
      </c>
      <c r="F38" s="32">
        <f ca="1">IFERROR(F36*E57/F37,0)</f>
        <v>0</v>
      </c>
      <c r="I38" s="12"/>
      <c r="J38" s="12"/>
      <c r="K38" s="12" t="s">
        <v>116</v>
      </c>
    </row>
    <row r="40" spans="2:11">
      <c r="B40" s="18"/>
      <c r="C40" s="16"/>
    </row>
    <row r="41" spans="2:11">
      <c r="B41" s="18" t="s">
        <v>117</v>
      </c>
      <c r="C41" s="16"/>
    </row>
    <row r="42" spans="2:11" ht="15.75" customHeight="1">
      <c r="B42" s="17" t="s">
        <v>118</v>
      </c>
      <c r="C42" s="16"/>
      <c r="D42" s="12"/>
      <c r="E42" s="12"/>
      <c r="F42" s="12"/>
      <c r="G42" s="12"/>
    </row>
    <row r="43" spans="2:11" ht="15.75" customHeight="1">
      <c r="B43" s="12"/>
      <c r="C43" s="16"/>
      <c r="D43" s="12"/>
      <c r="E43" s="12"/>
      <c r="F43" s="12"/>
      <c r="G43" s="12"/>
    </row>
    <row r="44" spans="2:11" ht="15.75" customHeight="1">
      <c r="B44" s="19" t="s">
        <v>119</v>
      </c>
      <c r="C44" s="20" t="s">
        <v>69</v>
      </c>
      <c r="D44" s="19"/>
      <c r="E44" s="19" t="s">
        <v>120</v>
      </c>
      <c r="F44" s="19" t="s">
        <v>121</v>
      </c>
      <c r="G44" s="19" t="s">
        <v>122</v>
      </c>
      <c r="H44" s="19" t="s">
        <v>123</v>
      </c>
      <c r="I44" s="19" t="s">
        <v>124</v>
      </c>
      <c r="K44" s="12" t="s">
        <v>125</v>
      </c>
    </row>
    <row r="45" spans="2:11" ht="15.75" customHeight="1">
      <c r="B45" s="46" t="s">
        <v>126</v>
      </c>
      <c r="C45" s="16" t="s">
        <v>127</v>
      </c>
      <c r="D45" s="42"/>
      <c r="E45" s="43">
        <v>0.6</v>
      </c>
      <c r="F45" s="45">
        <f t="shared" ref="F45:F48" ca="1" si="1">E45*F$49</f>
        <v>24.254999999999992</v>
      </c>
      <c r="G45" s="47">
        <v>0</v>
      </c>
      <c r="H45" s="31">
        <v>2</v>
      </c>
      <c r="I45" s="37">
        <f t="shared" ref="I45:I48" ca="1" si="2">IFERROR(G45*E45*E$57/E$58,0)</f>
        <v>0</v>
      </c>
      <c r="K45" s="12" t="s">
        <v>128</v>
      </c>
    </row>
    <row r="46" spans="2:11" ht="15.75" customHeight="1">
      <c r="B46" s="46" t="s">
        <v>129</v>
      </c>
      <c r="C46" s="16" t="s">
        <v>127</v>
      </c>
      <c r="D46" s="42"/>
      <c r="E46" s="43">
        <v>0.2</v>
      </c>
      <c r="F46" s="45">
        <f t="shared" ca="1" si="1"/>
        <v>8.0849999999999991</v>
      </c>
      <c r="G46" s="47">
        <v>1.5</v>
      </c>
      <c r="H46" s="31">
        <v>3</v>
      </c>
      <c r="I46" s="37">
        <f t="shared" ca="1" si="2"/>
        <v>7.5000000000000025E-2</v>
      </c>
      <c r="K46" s="44" t="s">
        <v>130</v>
      </c>
    </row>
    <row r="47" spans="2:11" ht="15.75" customHeight="1">
      <c r="B47" s="46" t="s">
        <v>131</v>
      </c>
      <c r="C47" s="16" t="s">
        <v>127</v>
      </c>
      <c r="D47" s="42"/>
      <c r="E47" s="43">
        <v>0.1</v>
      </c>
      <c r="F47" s="45">
        <f t="shared" ca="1" si="1"/>
        <v>4.0424999999999995</v>
      </c>
      <c r="G47" s="47">
        <v>5</v>
      </c>
      <c r="H47" s="31">
        <v>4</v>
      </c>
      <c r="I47" s="37">
        <f t="shared" ca="1" si="2"/>
        <v>0.12500000000000003</v>
      </c>
    </row>
    <row r="48" spans="2:11" ht="15.75" customHeight="1">
      <c r="B48" s="46" t="s">
        <v>132</v>
      </c>
      <c r="C48" s="16" t="s">
        <v>127</v>
      </c>
      <c r="D48" s="37"/>
      <c r="E48" s="37">
        <f>MAX(0,1-SUM(E45:E47))</f>
        <v>9.9999999999999978E-2</v>
      </c>
      <c r="F48" s="45">
        <f t="shared" ca="1" si="1"/>
        <v>4.0424999999999978</v>
      </c>
      <c r="G48" s="47">
        <v>32</v>
      </c>
      <c r="H48" s="31">
        <v>6</v>
      </c>
      <c r="I48" s="37">
        <f t="shared" ca="1" si="2"/>
        <v>0.79999999999999993</v>
      </c>
      <c r="K48" s="12"/>
    </row>
    <row r="49" spans="2:11" ht="15.75" customHeight="1">
      <c r="B49" s="12"/>
      <c r="C49" s="16"/>
      <c r="D49" s="37"/>
      <c r="E49" s="48">
        <f>SUM(E45:E48)</f>
        <v>1</v>
      </c>
      <c r="F49" s="49">
        <f ca="1">IFERROR(E57*E36/E37,0)</f>
        <v>40.42499999999999</v>
      </c>
      <c r="G49" s="50">
        <f t="shared" ref="G49:H49" si="3">SUMPRODUCT(G45:G48,$E45:$E48)</f>
        <v>3.9999999999999991</v>
      </c>
      <c r="H49" s="50">
        <f t="shared" si="3"/>
        <v>2.8</v>
      </c>
      <c r="I49" s="48">
        <f ca="1">SUM(I45:I48)</f>
        <v>1</v>
      </c>
      <c r="K49" s="12" t="s">
        <v>133</v>
      </c>
    </row>
    <row r="50" spans="2:11">
      <c r="B50" s="18"/>
      <c r="C50" s="16"/>
    </row>
    <row r="51" spans="2:11">
      <c r="B51" s="18" t="s">
        <v>134</v>
      </c>
      <c r="C51" s="16"/>
    </row>
    <row r="52" spans="2:11" ht="15.75" customHeight="1">
      <c r="B52" s="17" t="s">
        <v>135</v>
      </c>
      <c r="C52" s="16"/>
      <c r="D52" s="26"/>
      <c r="E52" s="26"/>
    </row>
    <row r="53" spans="2:11" ht="15.75" customHeight="1">
      <c r="B53" s="12"/>
      <c r="C53" s="16"/>
      <c r="D53" s="26"/>
      <c r="E53" s="26"/>
    </row>
    <row r="54" spans="2:11" ht="13">
      <c r="B54" s="12" t="s">
        <v>136</v>
      </c>
      <c r="C54" s="29" t="str">
        <f t="shared" ref="C54:C60" si="4">C$9</f>
        <v>$</v>
      </c>
      <c r="D54" s="33"/>
      <c r="E54" s="33">
        <f ca="1">Forecast!E31</f>
        <v>24999999.999999996</v>
      </c>
      <c r="K54" s="34" t="s">
        <v>137</v>
      </c>
    </row>
    <row r="55" spans="2:11" ht="13">
      <c r="B55" s="12" t="s">
        <v>138</v>
      </c>
      <c r="C55" s="29" t="str">
        <f t="shared" si="4"/>
        <v>$</v>
      </c>
      <c r="D55" s="33"/>
      <c r="E55" s="33">
        <f>Forecast!E41+Forecast!E40+Forecast!E39</f>
        <v>5750000</v>
      </c>
      <c r="G55" s="26"/>
      <c r="K55" s="34" t="s">
        <v>139</v>
      </c>
    </row>
    <row r="56" spans="2:11" ht="13">
      <c r="B56" s="12" t="s">
        <v>140</v>
      </c>
      <c r="C56" s="29" t="str">
        <f t="shared" si="4"/>
        <v>$</v>
      </c>
      <c r="D56" s="33"/>
      <c r="E56" s="33">
        <f ca="1">Forecast!E42</f>
        <v>962499.99999999988</v>
      </c>
      <c r="K56" s="34" t="s">
        <v>141</v>
      </c>
    </row>
    <row r="57" spans="2:11" ht="13">
      <c r="B57" s="12" t="s">
        <v>142</v>
      </c>
      <c r="C57" s="29" t="str">
        <f t="shared" si="4"/>
        <v>$</v>
      </c>
      <c r="D57" s="33"/>
      <c r="E57" s="33">
        <f ca="1">Forecast!E38</f>
        <v>20212499.999999996</v>
      </c>
      <c r="F57" s="51"/>
      <c r="K57" s="34" t="s">
        <v>143</v>
      </c>
    </row>
    <row r="58" spans="2:11" ht="13">
      <c r="B58" s="12" t="s">
        <v>144</v>
      </c>
      <c r="C58" s="29" t="str">
        <f t="shared" si="4"/>
        <v>$</v>
      </c>
      <c r="D58" s="33"/>
      <c r="E58" s="33">
        <f ca="1">Forecast!E43</f>
        <v>80849999.99999997</v>
      </c>
      <c r="K58" s="12" t="s">
        <v>145</v>
      </c>
    </row>
    <row r="59" spans="2:11" ht="13">
      <c r="B59" s="12" t="s">
        <v>146</v>
      </c>
      <c r="C59" s="29" t="str">
        <f t="shared" si="4"/>
        <v>$</v>
      </c>
      <c r="D59" s="33"/>
      <c r="E59" s="33">
        <f ca="1">Forecast!E135</f>
        <v>10977499.999999996</v>
      </c>
      <c r="F59" s="26"/>
      <c r="K59" s="12" t="s">
        <v>147</v>
      </c>
    </row>
    <row r="60" spans="2:11" ht="13">
      <c r="B60" s="12" t="s">
        <v>148</v>
      </c>
      <c r="C60" s="29" t="str">
        <f t="shared" si="4"/>
        <v>$</v>
      </c>
      <c r="D60" s="33"/>
      <c r="E60" s="33">
        <f ca="1">Forecast!E47</f>
        <v>68909999.99999997</v>
      </c>
      <c r="K60" s="12" t="s">
        <v>149</v>
      </c>
    </row>
    <row r="61" spans="2:11" ht="13">
      <c r="B61" s="12"/>
      <c r="C61" s="16"/>
      <c r="D61" s="34"/>
      <c r="E61" s="34"/>
    </row>
    <row r="62" spans="2:11" ht="13">
      <c r="B62" s="12" t="s">
        <v>150</v>
      </c>
      <c r="C62" s="16" t="s">
        <v>87</v>
      </c>
      <c r="D62" s="52"/>
      <c r="E62" s="52">
        <f ca="1">Forecast!E97</f>
        <v>3.9999999999999991</v>
      </c>
      <c r="G62" s="37"/>
      <c r="I62" s="12"/>
      <c r="J62" s="12"/>
      <c r="K62" s="12" t="s">
        <v>151</v>
      </c>
    </row>
    <row r="63" spans="2:11" ht="13">
      <c r="B63" s="12" t="s">
        <v>152</v>
      </c>
      <c r="C63" s="16" t="s">
        <v>87</v>
      </c>
      <c r="D63" s="52"/>
      <c r="E63" s="52">
        <f ca="1">Forecast!E101</f>
        <v>2.7563999999999993</v>
      </c>
      <c r="I63" s="12"/>
      <c r="J63" s="12"/>
      <c r="K63" s="12" t="s">
        <v>153</v>
      </c>
    </row>
    <row r="64" spans="2:11" ht="13">
      <c r="B64" s="12" t="s">
        <v>154</v>
      </c>
      <c r="C64" s="16" t="s">
        <v>76</v>
      </c>
      <c r="D64" s="53"/>
      <c r="E64" s="53">
        <f ca="1">Forecast!E98</f>
        <v>0.29338164925575261</v>
      </c>
      <c r="I64" s="12"/>
      <c r="J64" s="12"/>
      <c r="K64" s="12" t="s">
        <v>155</v>
      </c>
    </row>
    <row r="65" spans="2:11" ht="13">
      <c r="B65" s="12" t="s">
        <v>156</v>
      </c>
      <c r="C65" s="16" t="s">
        <v>76</v>
      </c>
      <c r="D65" s="53"/>
      <c r="E65" s="53">
        <f ca="1">Forecast!E102</f>
        <v>0.22412012219429017</v>
      </c>
      <c r="I65" s="12"/>
      <c r="J65" s="12"/>
      <c r="K65" s="12" t="s">
        <v>155</v>
      </c>
    </row>
    <row r="66" spans="2:11" ht="13">
      <c r="B66" s="34" t="s">
        <v>157</v>
      </c>
      <c r="C66" s="54" t="s">
        <v>76</v>
      </c>
      <c r="D66" s="53"/>
      <c r="E66" s="53">
        <f ca="1">Forecast!E93</f>
        <v>0.84514999999999985</v>
      </c>
    </row>
    <row r="67" spans="2:11" ht="13">
      <c r="B67" s="12"/>
      <c r="C67" s="16"/>
    </row>
  </sheetData>
  <dataValidations count="3">
    <dataValidation type="list" allowBlank="1" showErrorMessage="1" sqref="E28" xr:uid="{00000000-0002-0000-0200-000000000000}">
      <formula1>"invested capital,invested capital plus cost basis,all proceeds"</formula1>
    </dataValidation>
    <dataValidation type="list" allowBlank="1" showErrorMessage="1" sqref="E29" xr:uid="{00000000-0002-0000-0200-000001000000}">
      <formula1>"new investments,new and follow investments"</formula1>
    </dataValidation>
    <dataValidation type="list" allowBlank="1" showErrorMessage="1" sqref="E26" xr:uid="{00000000-0002-0000-0200-000002000000}">
      <formula1>"management fees,committed capital"</formula1>
    </dataValidation>
  </dataValidations>
  <hyperlinks>
    <hyperlink ref="K37" location="null!A1" display="Follow ons are assumed to be on average 1-2 years after the new investment. If more detailed required, consider the Venture Investor Model (see Model Comparison sheet)" xr:uid="{00000000-0004-0000-0200-000000000000}"/>
    <hyperlink ref="K46" r:id="rId1"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showGridLines="0" workbookViewId="0"/>
  </sheetViews>
  <sheetFormatPr baseColWidth="10" defaultColWidth="12.6640625" defaultRowHeight="15.75" customHeight="1"/>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93"/>
  <sheetViews>
    <sheetView showGridLines="0" workbookViewId="0">
      <selection activeCell="H38" sqref="H38"/>
    </sheetView>
  </sheetViews>
  <sheetFormatPr baseColWidth="10" defaultColWidth="12.6640625" defaultRowHeight="15.75" customHeight="1" outlineLevelRow="1"/>
  <cols>
    <col min="1" max="1" width="4.33203125" customWidth="1"/>
    <col min="2" max="2" width="27" customWidth="1"/>
    <col min="3" max="3" width="12.5" customWidth="1"/>
    <col min="4" max="4" width="10.33203125" customWidth="1"/>
    <col min="5" max="5" width="11" customWidth="1"/>
    <col min="6" max="6" width="5.1640625" customWidth="1"/>
  </cols>
  <sheetData>
    <row r="1" spans="1:26" ht="13">
      <c r="A1" s="1"/>
      <c r="B1" s="55"/>
    </row>
    <row r="2" spans="1:26" ht="18">
      <c r="B2" s="2" t="s">
        <v>158</v>
      </c>
    </row>
    <row r="4" spans="1:26" ht="13">
      <c r="A4" s="12"/>
      <c r="B4" s="19" t="s">
        <v>159</v>
      </c>
      <c r="C4" s="56"/>
      <c r="D4" s="57"/>
      <c r="E4" s="57"/>
      <c r="F4" s="58"/>
      <c r="G4" s="59">
        <f>1</f>
        <v>1</v>
      </c>
      <c r="H4" s="59">
        <f t="shared" ref="H4:Z4" si="0">G4+1</f>
        <v>2</v>
      </c>
      <c r="I4" s="59">
        <f t="shared" si="0"/>
        <v>3</v>
      </c>
      <c r="J4" s="59">
        <f t="shared" si="0"/>
        <v>4</v>
      </c>
      <c r="K4" s="59">
        <f t="shared" si="0"/>
        <v>5</v>
      </c>
      <c r="L4" s="59">
        <f t="shared" si="0"/>
        <v>6</v>
      </c>
      <c r="M4" s="59">
        <f t="shared" si="0"/>
        <v>7</v>
      </c>
      <c r="N4" s="59">
        <f t="shared" si="0"/>
        <v>8</v>
      </c>
      <c r="O4" s="59">
        <f t="shared" si="0"/>
        <v>9</v>
      </c>
      <c r="P4" s="59">
        <f t="shared" si="0"/>
        <v>10</v>
      </c>
      <c r="Q4" s="59">
        <f t="shared" si="0"/>
        <v>11</v>
      </c>
      <c r="R4" s="59">
        <f t="shared" si="0"/>
        <v>12</v>
      </c>
      <c r="S4" s="59">
        <f t="shared" si="0"/>
        <v>13</v>
      </c>
      <c r="T4" s="59">
        <f t="shared" si="0"/>
        <v>14</v>
      </c>
      <c r="U4" s="59">
        <f t="shared" si="0"/>
        <v>15</v>
      </c>
      <c r="V4" s="59">
        <f t="shared" si="0"/>
        <v>16</v>
      </c>
      <c r="W4" s="59">
        <f t="shared" si="0"/>
        <v>17</v>
      </c>
      <c r="X4" s="59">
        <f t="shared" si="0"/>
        <v>18</v>
      </c>
      <c r="Y4" s="59">
        <f t="shared" si="0"/>
        <v>19</v>
      </c>
      <c r="Z4" s="59">
        <f t="shared" si="0"/>
        <v>20</v>
      </c>
    </row>
    <row r="5" spans="1:26" ht="13">
      <c r="B5" s="12" t="s">
        <v>160</v>
      </c>
      <c r="C5" s="12"/>
      <c r="F5" s="60"/>
      <c r="G5" s="61">
        <f ca="1">DATE(YEAR(TODAY()),12,31)</f>
        <v>46022</v>
      </c>
      <c r="H5" s="62">
        <f t="shared" ref="H5:Z5" ca="1" si="1">EDATE(G5,12)</f>
        <v>46387</v>
      </c>
      <c r="I5" s="62">
        <f t="shared" ca="1" si="1"/>
        <v>46752</v>
      </c>
      <c r="J5" s="62">
        <f t="shared" ca="1" si="1"/>
        <v>47118</v>
      </c>
      <c r="K5" s="62">
        <f t="shared" ca="1" si="1"/>
        <v>47483</v>
      </c>
      <c r="L5" s="62">
        <f t="shared" ca="1" si="1"/>
        <v>47848</v>
      </c>
      <c r="M5" s="62">
        <f t="shared" ca="1" si="1"/>
        <v>48213</v>
      </c>
      <c r="N5" s="62">
        <f t="shared" ca="1" si="1"/>
        <v>48579</v>
      </c>
      <c r="O5" s="62">
        <f t="shared" ca="1" si="1"/>
        <v>48944</v>
      </c>
      <c r="P5" s="62">
        <f t="shared" ca="1" si="1"/>
        <v>49309</v>
      </c>
      <c r="Q5" s="62">
        <f t="shared" ca="1" si="1"/>
        <v>49674</v>
      </c>
      <c r="R5" s="62">
        <f t="shared" ca="1" si="1"/>
        <v>50040</v>
      </c>
      <c r="S5" s="62">
        <f t="shared" ca="1" si="1"/>
        <v>50405</v>
      </c>
      <c r="T5" s="62">
        <f t="shared" ca="1" si="1"/>
        <v>50770</v>
      </c>
      <c r="U5" s="62">
        <f t="shared" ca="1" si="1"/>
        <v>51135</v>
      </c>
      <c r="V5" s="62">
        <f t="shared" ca="1" si="1"/>
        <v>51501</v>
      </c>
      <c r="W5" s="62">
        <f t="shared" ca="1" si="1"/>
        <v>51866</v>
      </c>
      <c r="X5" s="62">
        <f t="shared" ca="1" si="1"/>
        <v>52231</v>
      </c>
      <c r="Y5" s="62">
        <f t="shared" ca="1" si="1"/>
        <v>52596</v>
      </c>
      <c r="Z5" s="62">
        <f t="shared" ca="1" si="1"/>
        <v>52962</v>
      </c>
    </row>
    <row r="6" spans="1:26" ht="13">
      <c r="B6" s="12"/>
      <c r="C6" s="12"/>
      <c r="D6" s="12"/>
      <c r="E6" s="12"/>
      <c r="F6" s="60"/>
      <c r="G6" s="32"/>
      <c r="H6" s="32"/>
      <c r="I6" s="32"/>
      <c r="J6" s="32"/>
      <c r="K6" s="32"/>
      <c r="L6" s="32"/>
      <c r="M6" s="32"/>
      <c r="N6" s="32"/>
      <c r="O6" s="32"/>
      <c r="P6" s="32"/>
      <c r="Q6" s="32"/>
      <c r="R6" s="32"/>
      <c r="S6" s="32"/>
      <c r="T6" s="32"/>
      <c r="U6" s="32"/>
      <c r="V6" s="32"/>
      <c r="W6" s="32"/>
      <c r="X6" s="32"/>
      <c r="Y6" s="32"/>
      <c r="Z6" s="32"/>
    </row>
    <row r="7" spans="1:26" ht="13">
      <c r="B7" s="63" t="s">
        <v>161</v>
      </c>
      <c r="D7" s="12"/>
      <c r="E7" s="12"/>
      <c r="F7" s="26"/>
      <c r="G7" s="26"/>
      <c r="H7" s="26"/>
      <c r="I7" s="26"/>
      <c r="J7" s="26"/>
      <c r="K7" s="26"/>
      <c r="L7" s="26"/>
      <c r="M7" s="26"/>
      <c r="N7" s="26"/>
      <c r="O7" s="26"/>
      <c r="P7" s="26"/>
      <c r="Q7" s="26"/>
      <c r="R7" s="26"/>
      <c r="S7" s="26"/>
      <c r="T7" s="26"/>
      <c r="U7" s="26"/>
      <c r="V7" s="26"/>
      <c r="W7" s="26"/>
      <c r="X7" s="26"/>
      <c r="Y7" s="26"/>
      <c r="Z7" s="26"/>
    </row>
    <row r="8" spans="1:26" ht="13">
      <c r="B8" s="12" t="str">
        <f>'Get Started'!B15</f>
        <v>New Investment time period (years)</v>
      </c>
      <c r="C8" s="12" t="s">
        <v>162</v>
      </c>
      <c r="D8" s="12" t="s">
        <v>163</v>
      </c>
      <c r="E8" s="26">
        <f t="shared" ref="E8:E10" si="2">IF(D8="sum",SUM(G8:Z8),IF(D8="final",Z8,IF(D8="initial",G8,IF(D8="average",AVERAGE(G8:Z8),0))))</f>
        <v>4</v>
      </c>
      <c r="F8" s="26"/>
      <c r="G8" s="26">
        <f>IF(G$4&lt;='Get Started'!$E15,1,0)</f>
        <v>1</v>
      </c>
      <c r="H8" s="26">
        <f>IF(H$4&lt;='Get Started'!$E15,1,0)</f>
        <v>1</v>
      </c>
      <c r="I8" s="26">
        <f>IF(I$4&lt;='Get Started'!$E15,1,0)</f>
        <v>1</v>
      </c>
      <c r="J8" s="26">
        <f>IF(J$4&lt;='Get Started'!$E15,1,0)</f>
        <v>1</v>
      </c>
      <c r="K8" s="26">
        <f>IF(K$4&lt;='Get Started'!$E15,1,0)</f>
        <v>0</v>
      </c>
      <c r="L8" s="26">
        <f>IF(L$4&lt;='Get Started'!$E15,1,0)</f>
        <v>0</v>
      </c>
      <c r="M8" s="26">
        <f>IF(M$4&lt;='Get Started'!$E15,1,0)</f>
        <v>0</v>
      </c>
      <c r="N8" s="26">
        <f>IF(N$4&lt;='Get Started'!$E15,1,0)</f>
        <v>0</v>
      </c>
      <c r="O8" s="26">
        <f>IF(O$4&lt;='Get Started'!$E15,1,0)</f>
        <v>0</v>
      </c>
      <c r="P8" s="26">
        <f>IF(P$4&lt;='Get Started'!$E15,1,0)</f>
        <v>0</v>
      </c>
      <c r="Q8" s="26">
        <f>IF(Q$4&lt;='Get Started'!$E15,1,0)</f>
        <v>0</v>
      </c>
      <c r="R8" s="26">
        <f>IF(R$4&lt;='Get Started'!$E15,1,0)</f>
        <v>0</v>
      </c>
      <c r="S8" s="26">
        <f>IF(S$4&lt;='Get Started'!$E15,1,0)</f>
        <v>0</v>
      </c>
      <c r="T8" s="26">
        <f>IF(T$4&lt;='Get Started'!$E15,1,0)</f>
        <v>0</v>
      </c>
      <c r="U8" s="26">
        <f>IF(U$4&lt;='Get Started'!$E15,1,0)</f>
        <v>0</v>
      </c>
      <c r="V8" s="26">
        <f>IF(V$4&lt;='Get Started'!$E15,1,0)</f>
        <v>0</v>
      </c>
      <c r="W8" s="26">
        <f>IF(W$4&lt;='Get Started'!$E15,1,0)</f>
        <v>0</v>
      </c>
      <c r="X8" s="26">
        <f>IF(X$4&lt;='Get Started'!$E15,1,0)</f>
        <v>0</v>
      </c>
      <c r="Y8" s="26">
        <f>IF(Y$4&lt;='Get Started'!$E15,1,0)</f>
        <v>0</v>
      </c>
      <c r="Z8" s="26">
        <f>IF(Z$4&lt;='Get Started'!$E15,1,0)</f>
        <v>0</v>
      </c>
    </row>
    <row r="9" spans="1:26" ht="13">
      <c r="B9" s="12" t="str">
        <f>'Get Started'!B16</f>
        <v>Fund Duration (Management Fees time period) (quarters)</v>
      </c>
      <c r="C9" s="44" t="s">
        <v>164</v>
      </c>
      <c r="D9" s="12" t="s">
        <v>163</v>
      </c>
      <c r="E9" s="26">
        <f t="shared" si="2"/>
        <v>10</v>
      </c>
      <c r="F9" s="26"/>
      <c r="G9" s="26">
        <f>IF(G$4&lt;='Get Started'!$E16,1,0)*G10</f>
        <v>1</v>
      </c>
      <c r="H9" s="26">
        <f>IF(H$4&lt;='Get Started'!$E16,1,0)*H10</f>
        <v>1</v>
      </c>
      <c r="I9" s="26">
        <f>IF(I$4&lt;='Get Started'!$E16,1,0)*I10</f>
        <v>1</v>
      </c>
      <c r="J9" s="26">
        <f>IF(J$4&lt;='Get Started'!$E16,1,0)*J10</f>
        <v>1</v>
      </c>
      <c r="K9" s="26">
        <f>IF(K$4&lt;='Get Started'!$E16,1,0)*K10</f>
        <v>1</v>
      </c>
      <c r="L9" s="26">
        <f>IF(L$4&lt;='Get Started'!$E16,1,0)*L10</f>
        <v>1</v>
      </c>
      <c r="M9" s="26">
        <f>IF(M$4&lt;='Get Started'!$E16,1,0)*M10</f>
        <v>1</v>
      </c>
      <c r="N9" s="26">
        <f>IF(N$4&lt;='Get Started'!$E16,1,0)*N10</f>
        <v>1</v>
      </c>
      <c r="O9" s="26">
        <f>IF(O$4&lt;='Get Started'!$E16,1,0)*O10</f>
        <v>1</v>
      </c>
      <c r="P9" s="26">
        <f>IF(P$4&lt;='Get Started'!$E16,1,0)*P10</f>
        <v>1</v>
      </c>
      <c r="Q9" s="26">
        <f>IF(Q$4&lt;='Get Started'!$E16,1,0)*Q10</f>
        <v>0</v>
      </c>
      <c r="R9" s="26">
        <f>IF(R$4&lt;='Get Started'!$E16,1,0)*R10</f>
        <v>0</v>
      </c>
      <c r="S9" s="26">
        <f>IF(S$4&lt;='Get Started'!$E16,1,0)*S10</f>
        <v>0</v>
      </c>
      <c r="T9" s="26">
        <f>IF(T$4&lt;='Get Started'!$E16,1,0)*T10</f>
        <v>0</v>
      </c>
      <c r="U9" s="26">
        <f>IF(U$4&lt;='Get Started'!$E16,1,0)*U10</f>
        <v>0</v>
      </c>
      <c r="V9" s="26">
        <f>IF(V$4&lt;='Get Started'!$E16,1,0)*V10</f>
        <v>0</v>
      </c>
      <c r="W9" s="26">
        <f>IF(W$4&lt;='Get Started'!$E16,1,0)*W10</f>
        <v>0</v>
      </c>
      <c r="X9" s="26">
        <f>IF(X$4&lt;='Get Started'!$E16,1,0)*X10</f>
        <v>0</v>
      </c>
      <c r="Y9" s="26">
        <f>IF(Y$4&lt;='Get Started'!$E16,1,0)*Y10</f>
        <v>0</v>
      </c>
      <c r="Z9" s="26">
        <f>IF(Z$4&lt;='Get Started'!$E16,1,0)*Z10</f>
        <v>0</v>
      </c>
    </row>
    <row r="10" spans="1:26" ht="13">
      <c r="B10" s="12" t="str">
        <f>'Get Started'!B17</f>
        <v>Fund Operations time period (years)</v>
      </c>
      <c r="C10" s="12"/>
      <c r="D10" s="12" t="s">
        <v>163</v>
      </c>
      <c r="E10" s="26">
        <f t="shared" si="2"/>
        <v>10</v>
      </c>
      <c r="F10" s="26"/>
      <c r="G10" s="26">
        <f>IF(G$4&lt;='Get Started'!$E17,1,0)</f>
        <v>1</v>
      </c>
      <c r="H10" s="26">
        <f>IF(H$4&lt;='Get Started'!$E17,1,0)</f>
        <v>1</v>
      </c>
      <c r="I10" s="26">
        <f>IF(I$4&lt;='Get Started'!$E17,1,0)</f>
        <v>1</v>
      </c>
      <c r="J10" s="26">
        <f>IF(J$4&lt;='Get Started'!$E17,1,0)</f>
        <v>1</v>
      </c>
      <c r="K10" s="26">
        <f>IF(K$4&lt;='Get Started'!$E17,1,0)</f>
        <v>1</v>
      </c>
      <c r="L10" s="26">
        <f>IF(L$4&lt;='Get Started'!$E17,1,0)</f>
        <v>1</v>
      </c>
      <c r="M10" s="26">
        <f>IF(M$4&lt;='Get Started'!$E17,1,0)</f>
        <v>1</v>
      </c>
      <c r="N10" s="26">
        <f>IF(N$4&lt;='Get Started'!$E17,1,0)</f>
        <v>1</v>
      </c>
      <c r="O10" s="26">
        <f>IF(O$4&lt;='Get Started'!$E17,1,0)</f>
        <v>1</v>
      </c>
      <c r="P10" s="26">
        <f>IF(P$4&lt;='Get Started'!$E17,1,0)</f>
        <v>1</v>
      </c>
      <c r="Q10" s="26">
        <f>IF(Q$4&lt;='Get Started'!$E17,1,0)</f>
        <v>0</v>
      </c>
      <c r="R10" s="26">
        <f>IF(R$4&lt;='Get Started'!$E17,1,0)</f>
        <v>0</v>
      </c>
      <c r="S10" s="26">
        <f>IF(S$4&lt;='Get Started'!$E17,1,0)</f>
        <v>0</v>
      </c>
      <c r="T10" s="26">
        <f>IF(T$4&lt;='Get Started'!$E17,1,0)</f>
        <v>0</v>
      </c>
      <c r="U10" s="26">
        <f>IF(U$4&lt;='Get Started'!$E17,1,0)</f>
        <v>0</v>
      </c>
      <c r="V10" s="26">
        <f>IF(V$4&lt;='Get Started'!$E17,1,0)</f>
        <v>0</v>
      </c>
      <c r="W10" s="26">
        <f>IF(W$4&lt;='Get Started'!$E17,1,0)</f>
        <v>0</v>
      </c>
      <c r="X10" s="26">
        <f>IF(X$4&lt;='Get Started'!$E17,1,0)</f>
        <v>0</v>
      </c>
      <c r="Y10" s="26">
        <f>IF(Y$4&lt;='Get Started'!$E17,1,0)</f>
        <v>0</v>
      </c>
      <c r="Z10" s="26">
        <f>IF(Z$4&lt;='Get Started'!$E17,1,0)</f>
        <v>0</v>
      </c>
    </row>
    <row r="11" spans="1:26" ht="13">
      <c r="B11" s="34" t="s">
        <v>165</v>
      </c>
      <c r="D11" s="34" t="s">
        <v>163</v>
      </c>
      <c r="E11" s="33">
        <f>IF(D11="sum",SUM(G11:CH11),IF(D11="final",CH11,IF(D11="initial",G11,IF(D11="average",AVERAGE(G11:CH11),0))))</f>
        <v>4</v>
      </c>
      <c r="F11" s="64"/>
      <c r="G11" s="33">
        <f>IF('Get Started'!$E29="new investments",G8,IF(G$4&lt;='Get Started'!$E15,1,IF(AND(G$4&lt;='Get Started'!$E15+2,'Get Started'!$F36&lt;&gt;0),1,0)))</f>
        <v>1</v>
      </c>
      <c r="H11" s="33">
        <f>IF('Get Started'!$E29="new investments",H8,IF(H$4&lt;='Get Started'!$E15,1,IF(AND(H$4&lt;='Get Started'!$E15+1,'Get Started'!$F36&lt;&gt;0),1,0)))</f>
        <v>1</v>
      </c>
      <c r="I11" s="33">
        <f>IF('Get Started'!$E29="new investments",I8,IF(I$4&lt;='Get Started'!$E15,1,IF(AND(I$4&lt;='Get Started'!$E15+1,'Get Started'!$F36&lt;&gt;0),1,0)))</f>
        <v>1</v>
      </c>
      <c r="J11" s="33">
        <f>IF('Get Started'!$E29="new investments",J8,IF(J$4&lt;='Get Started'!$E15,1,IF(AND(J$4&lt;='Get Started'!$E15+1,'Get Started'!$F36&lt;&gt;0),1,0)))</f>
        <v>1</v>
      </c>
      <c r="K11" s="33">
        <f>IF('Get Started'!$E29="new investments",K8,IF(K$4&lt;='Get Started'!$E15,1,IF(AND(K$4&lt;='Get Started'!$E15+1,'Get Started'!$F36&lt;&gt;0),1,0)))</f>
        <v>0</v>
      </c>
      <c r="L11" s="33">
        <f>IF('Get Started'!$E29="new investments",L8,IF(L$4&lt;='Get Started'!$E15,1,IF(AND(L$4&lt;='Get Started'!$E15+1,'Get Started'!$F36&lt;&gt;0),1,0)))</f>
        <v>0</v>
      </c>
      <c r="M11" s="33">
        <f>IF('Get Started'!$E29="new investments",M8,IF(M$4&lt;='Get Started'!$E15,1,IF(AND(M$4&lt;='Get Started'!$E15+1,'Get Started'!$F36&lt;&gt;0),1,0)))</f>
        <v>0</v>
      </c>
      <c r="N11" s="33">
        <f>IF('Get Started'!$E29="new investments",N8,IF(N$4&lt;='Get Started'!$E15,1,IF(AND(N$4&lt;='Get Started'!$E15+1,'Get Started'!$F36&lt;&gt;0),1,0)))</f>
        <v>0</v>
      </c>
      <c r="O11" s="33">
        <f>IF('Get Started'!$E29="new investments",O8,IF(O$4&lt;='Get Started'!$E15,1,IF(AND(O$4&lt;='Get Started'!$E15+1,'Get Started'!$F36&lt;&gt;0),1,0)))</f>
        <v>0</v>
      </c>
      <c r="P11" s="33">
        <f>IF('Get Started'!$E29="new investments",P8,IF(P$4&lt;='Get Started'!$E15,1,IF(AND(P$4&lt;='Get Started'!$E15+1,'Get Started'!$F36&lt;&gt;0),1,0)))</f>
        <v>0</v>
      </c>
      <c r="Q11" s="33">
        <f>IF('Get Started'!$E29="new investments",Q8,IF(Q$4&lt;='Get Started'!$E15,1,IF(AND(Q$4&lt;='Get Started'!$E15+1,'Get Started'!$F36&lt;&gt;0),1,0)))</f>
        <v>0</v>
      </c>
      <c r="R11" s="33">
        <f>IF('Get Started'!$E29="new investments",R8,IF(R$4&lt;='Get Started'!$E15,1,IF(AND(R$4&lt;='Get Started'!$E15+1,'Get Started'!$F36&lt;&gt;0),1,0)))</f>
        <v>0</v>
      </c>
      <c r="S11" s="33">
        <f>IF('Get Started'!$E29="new investments",S8,IF(S$4&lt;='Get Started'!$E15,1,IF(AND(S$4&lt;='Get Started'!$E15+1,'Get Started'!$F36&lt;&gt;0),1,0)))</f>
        <v>0</v>
      </c>
      <c r="T11" s="33">
        <f>IF('Get Started'!$E29="new investments",T8,IF(T$4&lt;='Get Started'!$E15,1,IF(AND(T$4&lt;='Get Started'!$E15+1,'Get Started'!$F36&lt;&gt;0),1,0)))</f>
        <v>0</v>
      </c>
      <c r="U11" s="33">
        <f>IF('Get Started'!$E29="new investments",U8,IF(U$4&lt;='Get Started'!$E15,1,IF(AND(U$4&lt;='Get Started'!$E15+1,'Get Started'!$F36&lt;&gt;0),1,0)))</f>
        <v>0</v>
      </c>
      <c r="V11" s="33">
        <f>IF('Get Started'!$E29="new investments",V8,IF(V$4&lt;='Get Started'!$E15,1,IF(AND(V$4&lt;='Get Started'!$E15+1,'Get Started'!$F36&lt;&gt;0),1,0)))</f>
        <v>0</v>
      </c>
      <c r="W11" s="33">
        <f>IF('Get Started'!$E29="new investments",W8,IF(W$4&lt;='Get Started'!$E15,1,IF(AND(W$4&lt;='Get Started'!$E15+1,'Get Started'!$F36&lt;&gt;0),1,0)))</f>
        <v>0</v>
      </c>
      <c r="X11" s="33">
        <f>IF('Get Started'!$E29="new investments",X8,IF(X$4&lt;='Get Started'!$E15,1,IF(AND(X$4&lt;='Get Started'!$E15+1,'Get Started'!$F36&lt;&gt;0),1,0)))</f>
        <v>0</v>
      </c>
      <c r="Y11" s="33">
        <f>IF('Get Started'!$E29="new investments",Y8,IF(Y$4&lt;='Get Started'!$E15,1,IF(AND(Y$4&lt;='Get Started'!$E15+1,'Get Started'!$F36&lt;&gt;0),1,0)))</f>
        <v>0</v>
      </c>
      <c r="Z11" s="33">
        <f>IF('Get Started'!$E29="new investments",Z8,IF(Z$4&lt;='Get Started'!$E15,1,IF(AND(Z$4&lt;='Get Started'!$E15+1,'Get Started'!$F36&lt;&gt;0),1,0)))</f>
        <v>0</v>
      </c>
    </row>
    <row r="12" spans="1:26" ht="13">
      <c r="B12" s="12"/>
      <c r="C12" s="12"/>
      <c r="D12" s="12"/>
      <c r="E12" s="12"/>
      <c r="F12" s="26"/>
      <c r="G12" s="26"/>
      <c r="H12" s="26"/>
      <c r="I12" s="26"/>
      <c r="J12" s="26"/>
      <c r="K12" s="26"/>
      <c r="L12" s="26"/>
      <c r="M12" s="26"/>
      <c r="N12" s="26"/>
      <c r="O12" s="26"/>
      <c r="P12" s="26"/>
      <c r="Q12" s="26"/>
      <c r="R12" s="26"/>
      <c r="S12" s="26"/>
      <c r="T12" s="26"/>
      <c r="U12" s="26"/>
      <c r="V12" s="26"/>
      <c r="W12" s="26"/>
      <c r="X12" s="26"/>
      <c r="Y12" s="26"/>
      <c r="Z12" s="26"/>
    </row>
    <row r="13" spans="1:26" ht="13">
      <c r="B13" s="63" t="s">
        <v>166</v>
      </c>
      <c r="C13" s="12"/>
      <c r="D13" s="12"/>
      <c r="E13" s="12"/>
      <c r="F13" s="26"/>
      <c r="G13" s="26"/>
      <c r="H13" s="26"/>
      <c r="I13" s="26"/>
      <c r="J13" s="26"/>
      <c r="K13" s="26"/>
      <c r="L13" s="26"/>
      <c r="M13" s="26"/>
      <c r="N13" s="26"/>
      <c r="O13" s="26"/>
      <c r="P13" s="26"/>
      <c r="Q13" s="26"/>
      <c r="R13" s="26"/>
      <c r="S13" s="26"/>
      <c r="T13" s="26"/>
      <c r="U13" s="26"/>
      <c r="V13" s="26"/>
      <c r="W13" s="26"/>
      <c r="X13" s="26"/>
      <c r="Y13" s="26"/>
      <c r="Z13" s="26"/>
    </row>
    <row r="14" spans="1:26" ht="13">
      <c r="B14" s="12" t="s">
        <v>167</v>
      </c>
      <c r="D14" s="12" t="s">
        <v>163</v>
      </c>
      <c r="E14" s="65">
        <f t="shared" ref="E14:E17" si="3">IF(D14="sum",SUM(G14:Z14),IF(D14="final",Z14,IF(D14="initial",G14,IF(D14="average",AVERAGE(G14:Z14),0))))</f>
        <v>0.19999999999999998</v>
      </c>
      <c r="F14" s="26"/>
      <c r="G14" s="28">
        <f>IF(G9=1,'Get Started'!$E13,0)</f>
        <v>0.02</v>
      </c>
      <c r="H14" s="28">
        <f>IF(H9=1,'Get Started'!$E13,0)</f>
        <v>0.02</v>
      </c>
      <c r="I14" s="28">
        <f>IF(I9=1,'Get Started'!$E13,0)</f>
        <v>0.02</v>
      </c>
      <c r="J14" s="28">
        <f>IF(J9=1,'Get Started'!$E13,0)</f>
        <v>0.02</v>
      </c>
      <c r="K14" s="28">
        <f>IF(K9=1,'Get Started'!$E13,0)</f>
        <v>0.02</v>
      </c>
      <c r="L14" s="28">
        <f>IF(L9=1,'Get Started'!$E13,0)</f>
        <v>0.02</v>
      </c>
      <c r="M14" s="28">
        <f>IF(M9=1,'Get Started'!$E13,0)</f>
        <v>0.02</v>
      </c>
      <c r="N14" s="28">
        <f>IF(N9=1,'Get Started'!$E13,0)</f>
        <v>0.02</v>
      </c>
      <c r="O14" s="28">
        <f>IF(O9=1,'Get Started'!$E13,0)</f>
        <v>0.02</v>
      </c>
      <c r="P14" s="28">
        <f>IF(P9=1,'Get Started'!$E13,0)</f>
        <v>0.02</v>
      </c>
      <c r="Q14" s="28">
        <f>IF(Q9=1,'Get Started'!$E13,0)</f>
        <v>0</v>
      </c>
      <c r="R14" s="28">
        <f>IF(R9=1,'Get Started'!$E13,0)</f>
        <v>0</v>
      </c>
      <c r="S14" s="28">
        <f>IF(S9=1,'Get Started'!$E13,0)</f>
        <v>0</v>
      </c>
      <c r="T14" s="28">
        <f>IF(T9=1,'Get Started'!$E13,0)</f>
        <v>0</v>
      </c>
      <c r="U14" s="28">
        <f>IF(U9=1,'Get Started'!$E13,0)</f>
        <v>0</v>
      </c>
      <c r="V14" s="28">
        <f>IF(V9=1,'Get Started'!$E13,0)</f>
        <v>0</v>
      </c>
      <c r="W14" s="28">
        <f>IF(W9=1,'Get Started'!$E13,0)</f>
        <v>0</v>
      </c>
      <c r="X14" s="28">
        <f>IF(X9=1,'Get Started'!$E13,0)</f>
        <v>0</v>
      </c>
      <c r="Y14" s="28">
        <f>IF(Y9=1,'Get Started'!$E13,0)</f>
        <v>0</v>
      </c>
      <c r="Z14" s="28">
        <f>IF(Z9=1,'Get Started'!$E13,0)</f>
        <v>0</v>
      </c>
    </row>
    <row r="15" spans="1:26" ht="13">
      <c r="B15" s="12" t="str">
        <f>"Management Fees based on "&amp;G15&amp;" capital. Can change per period if method for calc changes."</f>
        <v>Management Fees based on committed capital. Can change per period if method for calc changes.</v>
      </c>
      <c r="D15" s="12" t="s">
        <v>163</v>
      </c>
      <c r="E15" s="26">
        <f t="shared" si="3"/>
        <v>0</v>
      </c>
      <c r="F15" s="26"/>
      <c r="G15" s="66" t="s">
        <v>168</v>
      </c>
      <c r="H15" s="66" t="str">
        <f t="shared" ref="H15:Z15" si="4">G15</f>
        <v>committed</v>
      </c>
      <c r="I15" s="66" t="str">
        <f t="shared" si="4"/>
        <v>committed</v>
      </c>
      <c r="J15" s="66" t="str">
        <f t="shared" si="4"/>
        <v>committed</v>
      </c>
      <c r="K15" s="66" t="str">
        <f t="shared" si="4"/>
        <v>committed</v>
      </c>
      <c r="L15" s="66" t="str">
        <f t="shared" si="4"/>
        <v>committed</v>
      </c>
      <c r="M15" s="66" t="str">
        <f t="shared" si="4"/>
        <v>committed</v>
      </c>
      <c r="N15" s="66" t="str">
        <f t="shared" si="4"/>
        <v>committed</v>
      </c>
      <c r="O15" s="66" t="str">
        <f t="shared" si="4"/>
        <v>committed</v>
      </c>
      <c r="P15" s="66" t="str">
        <f t="shared" si="4"/>
        <v>committed</v>
      </c>
      <c r="Q15" s="66" t="str">
        <f t="shared" si="4"/>
        <v>committed</v>
      </c>
      <c r="R15" s="66" t="str">
        <f t="shared" si="4"/>
        <v>committed</v>
      </c>
      <c r="S15" s="66" t="str">
        <f t="shared" si="4"/>
        <v>committed</v>
      </c>
      <c r="T15" s="66" t="str">
        <f t="shared" si="4"/>
        <v>committed</v>
      </c>
      <c r="U15" s="66" t="str">
        <f t="shared" si="4"/>
        <v>committed</v>
      </c>
      <c r="V15" s="66" t="str">
        <f t="shared" si="4"/>
        <v>committed</v>
      </c>
      <c r="W15" s="66" t="str">
        <f t="shared" si="4"/>
        <v>committed</v>
      </c>
      <c r="X15" s="66" t="str">
        <f t="shared" si="4"/>
        <v>committed</v>
      </c>
      <c r="Y15" s="66" t="str">
        <f t="shared" si="4"/>
        <v>committed</v>
      </c>
      <c r="Z15" s="66" t="str">
        <f t="shared" si="4"/>
        <v>committed</v>
      </c>
    </row>
    <row r="16" spans="1:26" ht="13">
      <c r="A16" s="34"/>
      <c r="B16" s="34" t="s">
        <v>169</v>
      </c>
      <c r="C16" s="115" t="b">
        <v>0</v>
      </c>
      <c r="D16" s="12" t="s">
        <v>163</v>
      </c>
      <c r="E16" s="33">
        <f t="shared" si="3"/>
        <v>0</v>
      </c>
      <c r="F16" s="64"/>
      <c r="G16" s="33">
        <f>IF($C16=TRUE,G31*'Get Started'!$E10,0)</f>
        <v>0</v>
      </c>
      <c r="H16" s="33">
        <f>IF($C16=TRUE,H31*'Get Started'!$E10,0)</f>
        <v>0</v>
      </c>
      <c r="I16" s="33">
        <f>IF($C16=TRUE,I31*'Get Started'!$E10,0)</f>
        <v>0</v>
      </c>
      <c r="J16" s="33">
        <f>IF($C16=TRUE,J31*'Get Started'!$E10,0)</f>
        <v>0</v>
      </c>
      <c r="K16" s="33">
        <f>IF($C16=TRUE,K31*'Get Started'!$E10,0)</f>
        <v>0</v>
      </c>
      <c r="L16" s="33">
        <f>IF($C16=TRUE,L31*'Get Started'!$E10,0)</f>
        <v>0</v>
      </c>
      <c r="M16" s="33">
        <f>IF($C16=TRUE,M31*'Get Started'!$E10,0)</f>
        <v>0</v>
      </c>
      <c r="N16" s="33">
        <f>IF($C16=TRUE,N31*'Get Started'!$E10,0)</f>
        <v>0</v>
      </c>
      <c r="O16" s="33">
        <f>IF($C16=TRUE,O31*'Get Started'!$E10,0)</f>
        <v>0</v>
      </c>
      <c r="P16" s="33">
        <f>IF($C16=TRUE,P31*'Get Started'!$E10,0)</f>
        <v>0</v>
      </c>
      <c r="Q16" s="33">
        <f>IF($C16=TRUE,Q31*'Get Started'!$E10,0)</f>
        <v>0</v>
      </c>
      <c r="R16" s="33">
        <f>IF($C16=TRUE,R31*'Get Started'!$E10,0)</f>
        <v>0</v>
      </c>
      <c r="S16" s="33">
        <f>IF($C16=TRUE,S31*'Get Started'!$E10,0)</f>
        <v>0</v>
      </c>
      <c r="T16" s="33">
        <f>IF($C16=TRUE,T31*'Get Started'!$E10,0)</f>
        <v>0</v>
      </c>
      <c r="U16" s="33">
        <f>IF($C16=TRUE,U31*'Get Started'!$E10,0)</f>
        <v>0</v>
      </c>
      <c r="V16" s="33">
        <f>IF($C16=TRUE,V31*'Get Started'!$E10,0)</f>
        <v>0</v>
      </c>
      <c r="W16" s="33">
        <f>IF($C16=TRUE,W31*'Get Started'!$E10,0)</f>
        <v>0</v>
      </c>
      <c r="X16" s="33">
        <f>IF($C16=TRUE,X31*'Get Started'!$E10,0)</f>
        <v>0</v>
      </c>
      <c r="Y16" s="33">
        <f>IF($C16=TRUE,Y31*'Get Started'!$E10,0)</f>
        <v>0</v>
      </c>
      <c r="Z16" s="33">
        <f>IF($C16=TRUE,Z31*'Get Started'!$E10,0)</f>
        <v>0</v>
      </c>
    </row>
    <row r="17" spans="1:26" ht="13">
      <c r="B17" s="12" t="s">
        <v>170</v>
      </c>
      <c r="C17" s="115" t="b">
        <v>1</v>
      </c>
      <c r="D17" s="12" t="s">
        <v>163</v>
      </c>
      <c r="E17" s="33">
        <f t="shared" ca="1" si="3"/>
        <v>499999.99999999994</v>
      </c>
      <c r="F17" s="26"/>
      <c r="G17" s="33">
        <f ca="1">IF($C17=TRUE,G31*'Get Started'!$E10,0)</f>
        <v>109549.99999999999</v>
      </c>
      <c r="H17" s="33">
        <f ca="1">IF($C17=TRUE,H31*'Get Started'!$E10,0)</f>
        <v>107549.99999999999</v>
      </c>
      <c r="I17" s="33">
        <f ca="1">IF($C17=TRUE,I31*'Get Started'!$E10,0)</f>
        <v>107549.99999999999</v>
      </c>
      <c r="J17" s="33">
        <f ca="1">IF($C17=TRUE,J31*'Get Started'!$E10,0)</f>
        <v>107550</v>
      </c>
      <c r="K17" s="33">
        <f ca="1">IF($C17=TRUE,K31*'Get Started'!$E10,0)</f>
        <v>11300</v>
      </c>
      <c r="L17" s="33">
        <f ca="1">IF($C17=TRUE,L31*'Get Started'!$E10,0)</f>
        <v>11300</v>
      </c>
      <c r="M17" s="33">
        <f ca="1">IF($C17=TRUE,M31*'Get Started'!$E10,0)</f>
        <v>11300</v>
      </c>
      <c r="N17" s="33">
        <f ca="1">IF($C17=TRUE,N31*'Get Started'!$E10,0)</f>
        <v>11300</v>
      </c>
      <c r="O17" s="33">
        <f ca="1">IF($C17=TRUE,O31*'Get Started'!$E10,0)</f>
        <v>11300</v>
      </c>
      <c r="P17" s="33">
        <f ca="1">IF($C17=TRUE,P31*'Get Started'!$E10,0)</f>
        <v>11300</v>
      </c>
      <c r="Q17" s="33">
        <f ca="1">IF($C17=TRUE,Q31*'Get Started'!$E10,0)</f>
        <v>0</v>
      </c>
      <c r="R17" s="33">
        <f ca="1">IF($C17=TRUE,R31*'Get Started'!$E10,0)</f>
        <v>0</v>
      </c>
      <c r="S17" s="33">
        <f ca="1">IF($C17=TRUE,S31*'Get Started'!$E10,0)</f>
        <v>0</v>
      </c>
      <c r="T17" s="33">
        <f ca="1">IF($C17=TRUE,T31*'Get Started'!$E10,0)</f>
        <v>0</v>
      </c>
      <c r="U17" s="33">
        <f ca="1">IF($C17=TRUE,U31*'Get Started'!$E10,0)</f>
        <v>0</v>
      </c>
      <c r="V17" s="33">
        <f ca="1">IF($C17=TRUE,V31*'Get Started'!$E10,0)</f>
        <v>0</v>
      </c>
      <c r="W17" s="33">
        <f ca="1">IF($C17=TRUE,W31*'Get Started'!$E10,0)</f>
        <v>0</v>
      </c>
      <c r="X17" s="33">
        <f ca="1">IF($C17=TRUE,X31*'Get Started'!$E10,0)</f>
        <v>0</v>
      </c>
      <c r="Y17" s="33">
        <f ca="1">IF($C17=TRUE,Y31*'Get Started'!$E10,0)</f>
        <v>0</v>
      </c>
      <c r="Z17" s="33">
        <f ca="1">IF($C17=TRUE,Z31*'Get Started'!$E10,0)</f>
        <v>0</v>
      </c>
    </row>
    <row r="18" spans="1:26" ht="13">
      <c r="A18" s="34"/>
      <c r="B18" s="34" t="s">
        <v>171</v>
      </c>
      <c r="C18" s="34" t="s">
        <v>172</v>
      </c>
      <c r="D18" s="64" t="s">
        <v>173</v>
      </c>
      <c r="E18" s="67">
        <f t="shared" ref="E18:E19" si="5">IF(D18="sum",SUM(G18:CH18),IF(D18="final",CH18,IF(D18="initial",G18,IF(D18="average",AVERAGE(G18:CH18),0))))</f>
        <v>0</v>
      </c>
      <c r="F18" s="64"/>
      <c r="G18" s="68">
        <v>0</v>
      </c>
      <c r="H18" s="68">
        <f t="shared" ref="H18:Z18" si="6">G18</f>
        <v>0</v>
      </c>
      <c r="I18" s="68">
        <f t="shared" si="6"/>
        <v>0</v>
      </c>
      <c r="J18" s="68">
        <f t="shared" si="6"/>
        <v>0</v>
      </c>
      <c r="K18" s="68">
        <f t="shared" si="6"/>
        <v>0</v>
      </c>
      <c r="L18" s="68">
        <f t="shared" si="6"/>
        <v>0</v>
      </c>
      <c r="M18" s="68">
        <f t="shared" si="6"/>
        <v>0</v>
      </c>
      <c r="N18" s="68">
        <f t="shared" si="6"/>
        <v>0</v>
      </c>
      <c r="O18" s="68">
        <f t="shared" si="6"/>
        <v>0</v>
      </c>
      <c r="P18" s="68">
        <f t="shared" si="6"/>
        <v>0</v>
      </c>
      <c r="Q18" s="68">
        <f t="shared" si="6"/>
        <v>0</v>
      </c>
      <c r="R18" s="68">
        <f t="shared" si="6"/>
        <v>0</v>
      </c>
      <c r="S18" s="68">
        <f t="shared" si="6"/>
        <v>0</v>
      </c>
      <c r="T18" s="68">
        <f t="shared" si="6"/>
        <v>0</v>
      </c>
      <c r="U18" s="68">
        <f t="shared" si="6"/>
        <v>0</v>
      </c>
      <c r="V18" s="68">
        <f t="shared" si="6"/>
        <v>0</v>
      </c>
      <c r="W18" s="68">
        <f t="shared" si="6"/>
        <v>0</v>
      </c>
      <c r="X18" s="68">
        <f t="shared" si="6"/>
        <v>0</v>
      </c>
      <c r="Y18" s="68">
        <f t="shared" si="6"/>
        <v>0</v>
      </c>
      <c r="Z18" s="68">
        <f t="shared" si="6"/>
        <v>0</v>
      </c>
    </row>
    <row r="19" spans="1:26" ht="13">
      <c r="A19" s="34"/>
      <c r="B19" s="34" t="s">
        <v>174</v>
      </c>
      <c r="C19" s="34"/>
      <c r="D19" s="64" t="s">
        <v>163</v>
      </c>
      <c r="E19" s="53">
        <f t="shared" si="5"/>
        <v>1</v>
      </c>
      <c r="F19" s="64"/>
      <c r="G19" s="68">
        <v>1</v>
      </c>
      <c r="H19" s="68">
        <v>0</v>
      </c>
      <c r="I19" s="68">
        <v>0</v>
      </c>
      <c r="J19" s="68">
        <v>0</v>
      </c>
      <c r="K19" s="68">
        <v>0</v>
      </c>
      <c r="L19" s="68">
        <v>0</v>
      </c>
      <c r="M19" s="68">
        <v>0</v>
      </c>
      <c r="N19" s="68">
        <v>0</v>
      </c>
      <c r="O19" s="68">
        <v>0</v>
      </c>
      <c r="P19" s="68">
        <v>0</v>
      </c>
      <c r="Q19" s="68">
        <v>0</v>
      </c>
      <c r="R19" s="68">
        <v>0</v>
      </c>
      <c r="S19" s="68">
        <v>0</v>
      </c>
      <c r="T19" s="68">
        <v>0</v>
      </c>
      <c r="U19" s="68">
        <v>0</v>
      </c>
      <c r="V19" s="68">
        <v>0</v>
      </c>
      <c r="W19" s="68">
        <v>0</v>
      </c>
      <c r="X19" s="68">
        <v>0</v>
      </c>
      <c r="Y19" s="68">
        <v>0</v>
      </c>
      <c r="Z19" s="68">
        <v>0</v>
      </c>
    </row>
    <row r="20" spans="1:26" ht="13">
      <c r="B20" s="34" t="s">
        <v>175</v>
      </c>
      <c r="C20" s="34" t="s">
        <v>176</v>
      </c>
      <c r="D20" s="64" t="s">
        <v>163</v>
      </c>
      <c r="E20" s="53">
        <f>IF(D20="sum",SUM(G20:EP20),IF(D20="final",EP20,IF(D20="initial",G20,IF(D20="average",AVERAGE(G20:EP20),0))))</f>
        <v>0</v>
      </c>
      <c r="F20" s="64"/>
      <c r="G20" s="68">
        <v>0</v>
      </c>
      <c r="H20" s="68">
        <v>0</v>
      </c>
      <c r="I20" s="68">
        <v>0</v>
      </c>
      <c r="J20" s="68">
        <v>0</v>
      </c>
      <c r="K20" s="68">
        <v>0</v>
      </c>
      <c r="L20" s="68">
        <v>0</v>
      </c>
      <c r="M20" s="68">
        <v>0</v>
      </c>
      <c r="N20" s="68">
        <v>0</v>
      </c>
      <c r="O20" s="68">
        <v>0</v>
      </c>
      <c r="P20" s="68">
        <v>0</v>
      </c>
      <c r="Q20" s="68">
        <v>0</v>
      </c>
      <c r="R20" s="68">
        <v>0</v>
      </c>
      <c r="S20" s="68">
        <v>0</v>
      </c>
      <c r="T20" s="68">
        <v>0</v>
      </c>
      <c r="U20" s="68">
        <v>0</v>
      </c>
      <c r="V20" s="68">
        <v>0</v>
      </c>
      <c r="W20" s="68">
        <v>0</v>
      </c>
      <c r="X20" s="68">
        <v>0</v>
      </c>
      <c r="Y20" s="68">
        <v>0</v>
      </c>
      <c r="Z20" s="68">
        <v>0</v>
      </c>
    </row>
    <row r="21" spans="1:26" ht="13">
      <c r="B21" s="12"/>
      <c r="C21" s="12"/>
      <c r="D21" s="26"/>
      <c r="E21" s="26"/>
      <c r="F21" s="26"/>
      <c r="G21" s="26"/>
      <c r="H21" s="26"/>
      <c r="I21" s="26"/>
      <c r="J21" s="26"/>
      <c r="K21" s="26"/>
      <c r="L21" s="26"/>
      <c r="M21" s="26"/>
      <c r="N21" s="26"/>
      <c r="O21" s="26"/>
      <c r="P21" s="26"/>
      <c r="Q21" s="26"/>
      <c r="R21" s="26"/>
      <c r="S21" s="26"/>
      <c r="T21" s="26"/>
      <c r="U21" s="26"/>
      <c r="V21" s="26"/>
      <c r="W21" s="26"/>
      <c r="X21" s="26"/>
      <c r="Y21" s="26"/>
      <c r="Z21" s="26"/>
    </row>
    <row r="22" spans="1:26" ht="13">
      <c r="B22" s="12" t="s">
        <v>177</v>
      </c>
      <c r="C22" s="12"/>
      <c r="D22" s="12" t="s">
        <v>178</v>
      </c>
      <c r="E22" s="26">
        <f t="shared" ref="E22:E28" si="7">IF(D22="sum",SUM(G22:Z22),IF(D22="final",Z22,IF(D22="initial",G22,IF(D22="average",AVERAGE(G22:Z22),0))))</f>
        <v>0</v>
      </c>
      <c r="F22" s="26"/>
      <c r="G22" s="26">
        <f t="shared" ref="G22:Z22" si="8">F28</f>
        <v>0</v>
      </c>
      <c r="H22" s="26">
        <f t="shared" ca="1" si="8"/>
        <v>0</v>
      </c>
      <c r="I22" s="26">
        <f t="shared" ca="1" si="8"/>
        <v>0</v>
      </c>
      <c r="J22" s="26">
        <f t="shared" ca="1" si="8"/>
        <v>0</v>
      </c>
      <c r="K22" s="26">
        <f t="shared" ca="1" si="8"/>
        <v>0</v>
      </c>
      <c r="L22" s="26">
        <f t="shared" ca="1" si="8"/>
        <v>0</v>
      </c>
      <c r="M22" s="26">
        <f t="shared" ca="1" si="8"/>
        <v>0</v>
      </c>
      <c r="N22" s="26">
        <f t="shared" ca="1" si="8"/>
        <v>0</v>
      </c>
      <c r="O22" s="26">
        <f t="shared" ca="1" si="8"/>
        <v>0</v>
      </c>
      <c r="P22" s="26">
        <f t="shared" ca="1" si="8"/>
        <v>0</v>
      </c>
      <c r="Q22" s="26">
        <f t="shared" ca="1" si="8"/>
        <v>0</v>
      </c>
      <c r="R22" s="26">
        <f t="shared" ca="1" si="8"/>
        <v>0</v>
      </c>
      <c r="S22" s="26">
        <f t="shared" ca="1" si="8"/>
        <v>0</v>
      </c>
      <c r="T22" s="26">
        <f t="shared" ca="1" si="8"/>
        <v>0</v>
      </c>
      <c r="U22" s="26">
        <f t="shared" ca="1" si="8"/>
        <v>0</v>
      </c>
      <c r="V22" s="26">
        <f t="shared" ca="1" si="8"/>
        <v>0</v>
      </c>
      <c r="W22" s="26">
        <f t="shared" ca="1" si="8"/>
        <v>0</v>
      </c>
      <c r="X22" s="26">
        <f t="shared" ca="1" si="8"/>
        <v>0</v>
      </c>
      <c r="Y22" s="26">
        <f t="shared" ca="1" si="8"/>
        <v>0</v>
      </c>
      <c r="Z22" s="26">
        <f t="shared" ca="1" si="8"/>
        <v>0</v>
      </c>
    </row>
    <row r="23" spans="1:26" ht="13">
      <c r="B23" s="12" t="s">
        <v>179</v>
      </c>
      <c r="C23" s="12"/>
      <c r="D23" s="12" t="s">
        <v>163</v>
      </c>
      <c r="E23" s="26">
        <f t="shared" ca="1" si="7"/>
        <v>24999999.999999996</v>
      </c>
      <c r="F23" s="26"/>
      <c r="G23" s="26">
        <f t="shared" ref="G23:Z23" ca="1" si="9">G31</f>
        <v>5477499.9999999991</v>
      </c>
      <c r="H23" s="26">
        <f t="shared" ca="1" si="9"/>
        <v>5377499.9999999991</v>
      </c>
      <c r="I23" s="26">
        <f t="shared" ca="1" si="9"/>
        <v>5377499.9999999991</v>
      </c>
      <c r="J23" s="26">
        <f t="shared" ca="1" si="9"/>
        <v>5377500</v>
      </c>
      <c r="K23" s="26">
        <f t="shared" ca="1" si="9"/>
        <v>565000</v>
      </c>
      <c r="L23" s="26">
        <f t="shared" ca="1" si="9"/>
        <v>565000</v>
      </c>
      <c r="M23" s="26">
        <f t="shared" ca="1" si="9"/>
        <v>565000</v>
      </c>
      <c r="N23" s="26">
        <f t="shared" ca="1" si="9"/>
        <v>565000</v>
      </c>
      <c r="O23" s="26">
        <f t="shared" ca="1" si="9"/>
        <v>565000</v>
      </c>
      <c r="P23" s="26">
        <f t="shared" ca="1" si="9"/>
        <v>565000</v>
      </c>
      <c r="Q23" s="26">
        <f t="shared" ca="1" si="9"/>
        <v>0</v>
      </c>
      <c r="R23" s="26">
        <f t="shared" ca="1" si="9"/>
        <v>0</v>
      </c>
      <c r="S23" s="26">
        <f t="shared" ca="1" si="9"/>
        <v>0</v>
      </c>
      <c r="T23" s="26">
        <f t="shared" ca="1" si="9"/>
        <v>0</v>
      </c>
      <c r="U23" s="26">
        <f t="shared" ca="1" si="9"/>
        <v>0</v>
      </c>
      <c r="V23" s="26">
        <f t="shared" ca="1" si="9"/>
        <v>0</v>
      </c>
      <c r="W23" s="26">
        <f t="shared" ca="1" si="9"/>
        <v>0</v>
      </c>
      <c r="X23" s="26">
        <f t="shared" ca="1" si="9"/>
        <v>0</v>
      </c>
      <c r="Y23" s="26">
        <f t="shared" ca="1" si="9"/>
        <v>0</v>
      </c>
      <c r="Z23" s="26">
        <f t="shared" ca="1" si="9"/>
        <v>0</v>
      </c>
    </row>
    <row r="24" spans="1:26" ht="13">
      <c r="B24" s="12" t="s">
        <v>144</v>
      </c>
      <c r="C24" s="12"/>
      <c r="D24" s="12" t="s">
        <v>163</v>
      </c>
      <c r="E24" s="26">
        <f t="shared" ca="1" si="7"/>
        <v>80849999.99999997</v>
      </c>
      <c r="F24" s="26"/>
      <c r="G24" s="26">
        <f t="shared" ref="G24:Z24" ca="1" si="10">G43</f>
        <v>0</v>
      </c>
      <c r="H24" s="26">
        <f t="shared" ca="1" si="10"/>
        <v>0</v>
      </c>
      <c r="I24" s="26">
        <f t="shared" ca="1" si="10"/>
        <v>0</v>
      </c>
      <c r="J24" s="26">
        <f t="shared" ca="1" si="10"/>
        <v>1443749.9999999998</v>
      </c>
      <c r="K24" s="26">
        <f t="shared" ca="1" si="10"/>
        <v>3849999.9999999991</v>
      </c>
      <c r="L24" s="26">
        <f t="shared" ca="1" si="10"/>
        <v>3849999.9999999991</v>
      </c>
      <c r="M24" s="26">
        <f t="shared" ca="1" si="10"/>
        <v>19538749.999999993</v>
      </c>
      <c r="N24" s="26">
        <f t="shared" ca="1" si="10"/>
        <v>18287499.999999993</v>
      </c>
      <c r="O24" s="26">
        <f t="shared" ca="1" si="10"/>
        <v>15399999.999999994</v>
      </c>
      <c r="P24" s="26">
        <f t="shared" ca="1" si="10"/>
        <v>18479999.999999996</v>
      </c>
      <c r="Q24" s="26">
        <f t="shared" ca="1" si="10"/>
        <v>0</v>
      </c>
      <c r="R24" s="26">
        <f t="shared" ca="1" si="10"/>
        <v>0</v>
      </c>
      <c r="S24" s="26">
        <f t="shared" ca="1" si="10"/>
        <v>0</v>
      </c>
      <c r="T24" s="26">
        <f t="shared" ca="1" si="10"/>
        <v>0</v>
      </c>
      <c r="U24" s="26">
        <f t="shared" ca="1" si="10"/>
        <v>0</v>
      </c>
      <c r="V24" s="26">
        <f t="shared" ca="1" si="10"/>
        <v>0</v>
      </c>
      <c r="W24" s="26">
        <f t="shared" ca="1" si="10"/>
        <v>0</v>
      </c>
      <c r="X24" s="26">
        <f t="shared" ca="1" si="10"/>
        <v>0</v>
      </c>
      <c r="Y24" s="26">
        <f t="shared" ca="1" si="10"/>
        <v>0</v>
      </c>
      <c r="Z24" s="26">
        <f t="shared" ca="1" si="10"/>
        <v>0</v>
      </c>
    </row>
    <row r="25" spans="1:26" ht="13">
      <c r="B25" s="12" t="s">
        <v>180</v>
      </c>
      <c r="C25" s="12"/>
      <c r="D25" s="12" t="s">
        <v>163</v>
      </c>
      <c r="E25" s="26">
        <f t="shared" ca="1" si="7"/>
        <v>-79887499.99999997</v>
      </c>
      <c r="F25" s="26"/>
      <c r="G25" s="26">
        <f t="shared" ref="G25:Z25" ca="1" si="11">SUM(G47,G46,G45)*-1</f>
        <v>0</v>
      </c>
      <c r="H25" s="26">
        <f t="shared" ca="1" si="11"/>
        <v>0</v>
      </c>
      <c r="I25" s="26">
        <f t="shared" ca="1" si="11"/>
        <v>0</v>
      </c>
      <c r="J25" s="26">
        <f t="shared" ca="1" si="11"/>
        <v>-481250</v>
      </c>
      <c r="K25" s="26">
        <f t="shared" ca="1" si="11"/>
        <v>-3849999.9999999991</v>
      </c>
      <c r="L25" s="26">
        <f t="shared" ca="1" si="11"/>
        <v>-3849999.9999999991</v>
      </c>
      <c r="M25" s="26">
        <f t="shared" ca="1" si="11"/>
        <v>-19538749.999999993</v>
      </c>
      <c r="N25" s="26">
        <f t="shared" ca="1" si="11"/>
        <v>-18287499.999999993</v>
      </c>
      <c r="O25" s="26">
        <f t="shared" ca="1" si="11"/>
        <v>-15399999.999999994</v>
      </c>
      <c r="P25" s="26">
        <f t="shared" ca="1" si="11"/>
        <v>-18479999.999999996</v>
      </c>
      <c r="Q25" s="26">
        <f t="shared" ca="1" si="11"/>
        <v>0</v>
      </c>
      <c r="R25" s="26">
        <f t="shared" ca="1" si="11"/>
        <v>0</v>
      </c>
      <c r="S25" s="26">
        <f t="shared" ca="1" si="11"/>
        <v>0</v>
      </c>
      <c r="T25" s="26">
        <f t="shared" ca="1" si="11"/>
        <v>0</v>
      </c>
      <c r="U25" s="26">
        <f t="shared" ca="1" si="11"/>
        <v>0</v>
      </c>
      <c r="V25" s="26">
        <f t="shared" ca="1" si="11"/>
        <v>0</v>
      </c>
      <c r="W25" s="26">
        <f t="shared" ca="1" si="11"/>
        <v>0</v>
      </c>
      <c r="X25" s="26">
        <f t="shared" ca="1" si="11"/>
        <v>0</v>
      </c>
      <c r="Y25" s="26">
        <f t="shared" ca="1" si="11"/>
        <v>0</v>
      </c>
      <c r="Z25" s="26">
        <f t="shared" ca="1" si="11"/>
        <v>0</v>
      </c>
    </row>
    <row r="26" spans="1:26" ht="13">
      <c r="B26" s="12" t="s">
        <v>181</v>
      </c>
      <c r="C26" s="12"/>
      <c r="D26" s="12" t="s">
        <v>163</v>
      </c>
      <c r="E26" s="26">
        <f t="shared" si="7"/>
        <v>-5750000</v>
      </c>
      <c r="F26" s="26"/>
      <c r="G26" s="26">
        <f t="shared" ref="G26:Z26" si="12">SUM(G39,G40,G41)*-1</f>
        <v>-665000</v>
      </c>
      <c r="H26" s="26">
        <f t="shared" si="12"/>
        <v>-565000</v>
      </c>
      <c r="I26" s="26">
        <f t="shared" si="12"/>
        <v>-565000</v>
      </c>
      <c r="J26" s="26">
        <f t="shared" si="12"/>
        <v>-565000</v>
      </c>
      <c r="K26" s="26">
        <f t="shared" si="12"/>
        <v>-565000</v>
      </c>
      <c r="L26" s="26">
        <f t="shared" si="12"/>
        <v>-565000</v>
      </c>
      <c r="M26" s="26">
        <f t="shared" si="12"/>
        <v>-565000</v>
      </c>
      <c r="N26" s="26">
        <f t="shared" si="12"/>
        <v>-565000</v>
      </c>
      <c r="O26" s="26">
        <f t="shared" si="12"/>
        <v>-565000</v>
      </c>
      <c r="P26" s="26">
        <f t="shared" si="12"/>
        <v>-565000</v>
      </c>
      <c r="Q26" s="26">
        <f t="shared" si="12"/>
        <v>0</v>
      </c>
      <c r="R26" s="26">
        <f t="shared" si="12"/>
        <v>0</v>
      </c>
      <c r="S26" s="26">
        <f t="shared" si="12"/>
        <v>0</v>
      </c>
      <c r="T26" s="26">
        <f t="shared" si="12"/>
        <v>0</v>
      </c>
      <c r="U26" s="26">
        <f t="shared" si="12"/>
        <v>0</v>
      </c>
      <c r="V26" s="26">
        <f t="shared" si="12"/>
        <v>0</v>
      </c>
      <c r="W26" s="26">
        <f t="shared" si="12"/>
        <v>0</v>
      </c>
      <c r="X26" s="26">
        <f t="shared" si="12"/>
        <v>0</v>
      </c>
      <c r="Y26" s="26">
        <f t="shared" si="12"/>
        <v>0</v>
      </c>
      <c r="Z26" s="26">
        <f t="shared" si="12"/>
        <v>0</v>
      </c>
    </row>
    <row r="27" spans="1:26" ht="13">
      <c r="B27" s="12" t="s">
        <v>182</v>
      </c>
      <c r="C27" s="12"/>
      <c r="D27" s="12" t="s">
        <v>163</v>
      </c>
      <c r="E27" s="26">
        <f t="shared" ca="1" si="7"/>
        <v>-20212499.999999996</v>
      </c>
      <c r="F27" s="26"/>
      <c r="G27" s="26">
        <f t="shared" ref="G27:Z27" ca="1" si="13">G38*-1</f>
        <v>-4812499.9999999991</v>
      </c>
      <c r="H27" s="26">
        <f t="shared" ca="1" si="13"/>
        <v>-4812499.9999999991</v>
      </c>
      <c r="I27" s="26">
        <f t="shared" ca="1" si="13"/>
        <v>-4812499.9999999991</v>
      </c>
      <c r="J27" s="26">
        <f t="shared" ca="1" si="13"/>
        <v>-5775000</v>
      </c>
      <c r="K27" s="26">
        <f t="shared" ca="1" si="13"/>
        <v>0</v>
      </c>
      <c r="L27" s="26">
        <f t="shared" ca="1" si="13"/>
        <v>0</v>
      </c>
      <c r="M27" s="26">
        <f t="shared" ca="1" si="13"/>
        <v>0</v>
      </c>
      <c r="N27" s="26">
        <f t="shared" ca="1" si="13"/>
        <v>0</v>
      </c>
      <c r="O27" s="26">
        <f t="shared" ca="1" si="13"/>
        <v>0</v>
      </c>
      <c r="P27" s="26">
        <f t="shared" ca="1" si="13"/>
        <v>0</v>
      </c>
      <c r="Q27" s="26">
        <f t="shared" ca="1" si="13"/>
        <v>0</v>
      </c>
      <c r="R27" s="26">
        <f t="shared" ca="1" si="13"/>
        <v>0</v>
      </c>
      <c r="S27" s="26">
        <f t="shared" ca="1" si="13"/>
        <v>0</v>
      </c>
      <c r="T27" s="26">
        <f t="shared" ca="1" si="13"/>
        <v>0</v>
      </c>
      <c r="U27" s="26">
        <f t="shared" ca="1" si="13"/>
        <v>0</v>
      </c>
      <c r="V27" s="26">
        <f t="shared" ca="1" si="13"/>
        <v>0</v>
      </c>
      <c r="W27" s="26">
        <f t="shared" ca="1" si="13"/>
        <v>0</v>
      </c>
      <c r="X27" s="26">
        <f t="shared" ca="1" si="13"/>
        <v>0</v>
      </c>
      <c r="Y27" s="26">
        <f t="shared" ca="1" si="13"/>
        <v>0</v>
      </c>
      <c r="Z27" s="26">
        <f t="shared" ca="1" si="13"/>
        <v>0</v>
      </c>
    </row>
    <row r="28" spans="1:26" ht="13">
      <c r="B28" s="12" t="s">
        <v>183</v>
      </c>
      <c r="C28" s="12"/>
      <c r="D28" s="12" t="s">
        <v>173</v>
      </c>
      <c r="E28" s="26">
        <f t="shared" ca="1" si="7"/>
        <v>0</v>
      </c>
      <c r="F28" s="26"/>
      <c r="G28" s="69">
        <f t="shared" ref="G28:Z28" ca="1" si="14">SUM(G22:G27)</f>
        <v>0</v>
      </c>
      <c r="H28" s="69">
        <f t="shared" ca="1" si="14"/>
        <v>0</v>
      </c>
      <c r="I28" s="69">
        <f t="shared" ca="1" si="14"/>
        <v>0</v>
      </c>
      <c r="J28" s="69">
        <f t="shared" ca="1" si="14"/>
        <v>0</v>
      </c>
      <c r="K28" s="69">
        <f t="shared" ca="1" si="14"/>
        <v>0</v>
      </c>
      <c r="L28" s="69">
        <f t="shared" ca="1" si="14"/>
        <v>0</v>
      </c>
      <c r="M28" s="69">
        <f t="shared" ca="1" si="14"/>
        <v>0</v>
      </c>
      <c r="N28" s="69">
        <f t="shared" ca="1" si="14"/>
        <v>0</v>
      </c>
      <c r="O28" s="69">
        <f t="shared" ca="1" si="14"/>
        <v>0</v>
      </c>
      <c r="P28" s="69">
        <f t="shared" ca="1" si="14"/>
        <v>0</v>
      </c>
      <c r="Q28" s="69">
        <f t="shared" ca="1" si="14"/>
        <v>0</v>
      </c>
      <c r="R28" s="69">
        <f t="shared" ca="1" si="14"/>
        <v>0</v>
      </c>
      <c r="S28" s="69">
        <f t="shared" ca="1" si="14"/>
        <v>0</v>
      </c>
      <c r="T28" s="69">
        <f t="shared" ca="1" si="14"/>
        <v>0</v>
      </c>
      <c r="U28" s="69">
        <f t="shared" ca="1" si="14"/>
        <v>0</v>
      </c>
      <c r="V28" s="69">
        <f t="shared" ca="1" si="14"/>
        <v>0</v>
      </c>
      <c r="W28" s="69">
        <f t="shared" ca="1" si="14"/>
        <v>0</v>
      </c>
      <c r="X28" s="69">
        <f t="shared" ca="1" si="14"/>
        <v>0</v>
      </c>
      <c r="Y28" s="69">
        <f t="shared" ca="1" si="14"/>
        <v>0</v>
      </c>
      <c r="Z28" s="69">
        <f t="shared" ca="1" si="14"/>
        <v>0</v>
      </c>
    </row>
    <row r="29" spans="1:26" ht="13">
      <c r="B29" s="12"/>
      <c r="C29" s="12"/>
      <c r="D29" s="12"/>
      <c r="G29" s="26"/>
      <c r="H29" s="26"/>
      <c r="I29" s="26"/>
      <c r="J29" s="26"/>
      <c r="K29" s="26"/>
      <c r="L29" s="26"/>
    </row>
    <row r="30" spans="1:26" ht="13">
      <c r="A30" s="34"/>
      <c r="B30" s="34" t="s">
        <v>184</v>
      </c>
      <c r="C30" s="34"/>
      <c r="D30" s="34" t="s">
        <v>163</v>
      </c>
      <c r="E30" s="33">
        <f>IF(D30="sum",SUM(G30:Z30),IF(D30="final",Z30,IF(D30="initial",G30,IF(D30="average",AVERAGE(G30:Z30),0))))</f>
        <v>25000000</v>
      </c>
      <c r="F30" s="64"/>
      <c r="G30" s="33">
        <f>'Get Started'!$E9*G19</f>
        <v>25000000</v>
      </c>
      <c r="H30" s="33">
        <f>'Get Started'!$E9*H19</f>
        <v>0</v>
      </c>
      <c r="I30" s="33">
        <f>'Get Started'!$E9*I19</f>
        <v>0</v>
      </c>
      <c r="J30" s="33">
        <f>'Get Started'!$E9*J19</f>
        <v>0</v>
      </c>
      <c r="K30" s="33">
        <f>'Get Started'!$E9*K19</f>
        <v>0</v>
      </c>
      <c r="L30" s="33">
        <f>'Get Started'!$E9*L19</f>
        <v>0</v>
      </c>
      <c r="M30" s="33">
        <f>'Get Started'!$E9*M19</f>
        <v>0</v>
      </c>
      <c r="N30" s="33">
        <f>'Get Started'!$E9*N19</f>
        <v>0</v>
      </c>
      <c r="O30" s="33">
        <f>'Get Started'!$E9*O19</f>
        <v>0</v>
      </c>
      <c r="P30" s="33">
        <f>'Get Started'!$E9*P19</f>
        <v>0</v>
      </c>
      <c r="Q30" s="33">
        <f>'Get Started'!$E9*Q19</f>
        <v>0</v>
      </c>
      <c r="R30" s="33">
        <f>'Get Started'!$E9*R19</f>
        <v>0</v>
      </c>
      <c r="S30" s="33">
        <f>'Get Started'!$E9*S19</f>
        <v>0</v>
      </c>
      <c r="T30" s="33">
        <f>'Get Started'!$E9*T19</f>
        <v>0</v>
      </c>
      <c r="U30" s="33">
        <f>'Get Started'!$E9*U19</f>
        <v>0</v>
      </c>
      <c r="V30" s="33">
        <f>'Get Started'!$E9*V19</f>
        <v>0</v>
      </c>
      <c r="W30" s="33">
        <f>'Get Started'!$E9*W19</f>
        <v>0</v>
      </c>
      <c r="X30" s="33">
        <f>'Get Started'!$E9*X19</f>
        <v>0</v>
      </c>
      <c r="Y30" s="33">
        <f>'Get Started'!$E9*Y19</f>
        <v>0</v>
      </c>
      <c r="Z30" s="33">
        <f>'Get Started'!$E9*Z19</f>
        <v>0</v>
      </c>
    </row>
    <row r="31" spans="1:26" ht="13">
      <c r="B31" s="34" t="s">
        <v>179</v>
      </c>
      <c r="C31" s="34"/>
      <c r="D31" s="34" t="s">
        <v>163</v>
      </c>
      <c r="E31" s="33">
        <f ca="1">IF(D31="sum",SUM(G31:CH31),IF(D31="final",CH31,IF(D31="initial",G31,IF(D31="average",AVERAGE(G31:CH31),0))))</f>
        <v>24999999.999999996</v>
      </c>
      <c r="F31" s="64"/>
      <c r="G31" s="33">
        <f t="shared" ref="G31:Z31" ca="1" si="15">IF($E20&lt;&gt;0,G20*$E30, MIN($E30-F60, MAX(0,G38+G39+G40+G41-G42)))</f>
        <v>5477499.9999999991</v>
      </c>
      <c r="H31" s="33">
        <f t="shared" ca="1" si="15"/>
        <v>5377499.9999999991</v>
      </c>
      <c r="I31" s="33">
        <f t="shared" ca="1" si="15"/>
        <v>5377499.9999999991</v>
      </c>
      <c r="J31" s="33">
        <f t="shared" ca="1" si="15"/>
        <v>5377500</v>
      </c>
      <c r="K31" s="33">
        <f t="shared" ca="1" si="15"/>
        <v>565000</v>
      </c>
      <c r="L31" s="33">
        <f t="shared" ca="1" si="15"/>
        <v>565000</v>
      </c>
      <c r="M31" s="33">
        <f t="shared" ca="1" si="15"/>
        <v>565000</v>
      </c>
      <c r="N31" s="33">
        <f t="shared" ca="1" si="15"/>
        <v>565000</v>
      </c>
      <c r="O31" s="33">
        <f t="shared" ca="1" si="15"/>
        <v>565000</v>
      </c>
      <c r="P31" s="33">
        <f t="shared" ca="1" si="15"/>
        <v>565000</v>
      </c>
      <c r="Q31" s="33">
        <f t="shared" ca="1" si="15"/>
        <v>0</v>
      </c>
      <c r="R31" s="33">
        <f t="shared" ca="1" si="15"/>
        <v>0</v>
      </c>
      <c r="S31" s="33">
        <f t="shared" ca="1" si="15"/>
        <v>0</v>
      </c>
      <c r="T31" s="33">
        <f t="shared" ca="1" si="15"/>
        <v>0</v>
      </c>
      <c r="U31" s="33">
        <f t="shared" ca="1" si="15"/>
        <v>0</v>
      </c>
      <c r="V31" s="33">
        <f t="shared" ca="1" si="15"/>
        <v>0</v>
      </c>
      <c r="W31" s="33">
        <f t="shared" ca="1" si="15"/>
        <v>0</v>
      </c>
      <c r="X31" s="33">
        <f t="shared" ca="1" si="15"/>
        <v>0</v>
      </c>
      <c r="Y31" s="33">
        <f t="shared" ca="1" si="15"/>
        <v>0</v>
      </c>
      <c r="Z31" s="33">
        <f t="shared" ca="1" si="15"/>
        <v>0</v>
      </c>
    </row>
    <row r="32" spans="1:26" ht="13">
      <c r="B32" s="12" t="s">
        <v>185</v>
      </c>
      <c r="C32" s="65"/>
      <c r="D32" s="12" t="s">
        <v>163</v>
      </c>
      <c r="E32" s="26">
        <f t="shared" ref="E32:E34" si="16">IF(D32="sum",SUM(G32:Z32),IF(D32="final",Z32,IF(D32="initial",G32,IF(D32="average",AVERAGE(G32:Z32),0))))</f>
        <v>0</v>
      </c>
      <c r="F32" s="26"/>
      <c r="G32" s="26">
        <v>0</v>
      </c>
      <c r="H32" s="26">
        <v>0</v>
      </c>
      <c r="I32" s="26">
        <v>0</v>
      </c>
      <c r="J32" s="26">
        <v>0</v>
      </c>
      <c r="K32" s="26">
        <v>0</v>
      </c>
      <c r="L32" s="26">
        <v>0</v>
      </c>
      <c r="M32" s="26">
        <v>0</v>
      </c>
      <c r="N32" s="26">
        <v>0</v>
      </c>
      <c r="O32" s="26">
        <v>0</v>
      </c>
      <c r="P32" s="26">
        <v>0</v>
      </c>
      <c r="Q32" s="26">
        <v>0</v>
      </c>
      <c r="R32" s="26">
        <v>0</v>
      </c>
      <c r="S32" s="26">
        <v>0</v>
      </c>
      <c r="T32" s="26">
        <v>0</v>
      </c>
      <c r="U32" s="26">
        <v>0</v>
      </c>
      <c r="V32" s="26">
        <v>0</v>
      </c>
      <c r="W32" s="26">
        <v>0</v>
      </c>
      <c r="X32" s="26">
        <v>0</v>
      </c>
      <c r="Y32" s="26">
        <v>0</v>
      </c>
      <c r="Z32" s="26">
        <v>0</v>
      </c>
    </row>
    <row r="33" spans="1:26" ht="13">
      <c r="B33" s="12" t="s">
        <v>186</v>
      </c>
      <c r="C33" s="70" t="s">
        <v>187</v>
      </c>
      <c r="D33" s="12" t="s">
        <v>163</v>
      </c>
      <c r="E33" s="26">
        <f t="shared" ca="1" si="16"/>
        <v>20212499.999999996</v>
      </c>
      <c r="F33" s="26"/>
      <c r="G33" s="26">
        <f t="shared" ref="G33:Z33" ca="1" si="17">$E30*G161</f>
        <v>4812499.9999999991</v>
      </c>
      <c r="H33" s="26">
        <f t="shared" ca="1" si="17"/>
        <v>4812499.9999999991</v>
      </c>
      <c r="I33" s="26">
        <f t="shared" ca="1" si="17"/>
        <v>4812499.9999999991</v>
      </c>
      <c r="J33" s="26">
        <f t="shared" ca="1" si="17"/>
        <v>5775000</v>
      </c>
      <c r="K33" s="26">
        <f t="shared" ca="1" si="17"/>
        <v>0</v>
      </c>
      <c r="L33" s="26">
        <f t="shared" ca="1" si="17"/>
        <v>0</v>
      </c>
      <c r="M33" s="26">
        <f t="shared" ca="1" si="17"/>
        <v>0</v>
      </c>
      <c r="N33" s="26">
        <f t="shared" ca="1" si="17"/>
        <v>0</v>
      </c>
      <c r="O33" s="26">
        <f t="shared" ca="1" si="17"/>
        <v>0</v>
      </c>
      <c r="P33" s="26">
        <f t="shared" ca="1" si="17"/>
        <v>0</v>
      </c>
      <c r="Q33" s="26">
        <f t="shared" ca="1" si="17"/>
        <v>0</v>
      </c>
      <c r="R33" s="26">
        <f t="shared" ca="1" si="17"/>
        <v>0</v>
      </c>
      <c r="S33" s="26">
        <f t="shared" ca="1" si="17"/>
        <v>0</v>
      </c>
      <c r="T33" s="26">
        <f t="shared" ca="1" si="17"/>
        <v>0</v>
      </c>
      <c r="U33" s="26">
        <f t="shared" ca="1" si="17"/>
        <v>0</v>
      </c>
      <c r="V33" s="26">
        <f t="shared" ca="1" si="17"/>
        <v>0</v>
      </c>
      <c r="W33" s="26">
        <f t="shared" ca="1" si="17"/>
        <v>0</v>
      </c>
      <c r="X33" s="26">
        <f t="shared" ca="1" si="17"/>
        <v>0</v>
      </c>
      <c r="Y33" s="26">
        <f t="shared" ca="1" si="17"/>
        <v>0</v>
      </c>
      <c r="Z33" s="26">
        <f t="shared" ca="1" si="17"/>
        <v>0</v>
      </c>
    </row>
    <row r="34" spans="1:26" ht="13">
      <c r="B34" s="12" t="s">
        <v>188</v>
      </c>
      <c r="C34" s="12"/>
      <c r="D34" s="12" t="s">
        <v>163</v>
      </c>
      <c r="E34" s="26">
        <f t="shared" si="16"/>
        <v>0</v>
      </c>
      <c r="F34" s="26"/>
      <c r="G34" s="26">
        <v>0</v>
      </c>
      <c r="H34" s="26">
        <v>0</v>
      </c>
      <c r="I34" s="26">
        <v>0</v>
      </c>
      <c r="J34" s="26">
        <v>0</v>
      </c>
      <c r="K34" s="26">
        <v>0</v>
      </c>
      <c r="L34" s="26">
        <v>0</v>
      </c>
      <c r="M34" s="26">
        <v>0</v>
      </c>
      <c r="N34" s="26">
        <v>0</v>
      </c>
      <c r="O34" s="26">
        <v>0</v>
      </c>
      <c r="P34" s="26">
        <v>0</v>
      </c>
      <c r="Q34" s="26">
        <v>0</v>
      </c>
      <c r="R34" s="26">
        <v>0</v>
      </c>
      <c r="S34" s="26">
        <v>0</v>
      </c>
      <c r="T34" s="26">
        <v>0</v>
      </c>
      <c r="U34" s="26">
        <v>0</v>
      </c>
      <c r="V34" s="26">
        <v>0</v>
      </c>
      <c r="W34" s="26">
        <v>0</v>
      </c>
      <c r="X34" s="26">
        <v>0</v>
      </c>
      <c r="Y34" s="26">
        <v>0</v>
      </c>
      <c r="Z34" s="26">
        <v>0</v>
      </c>
    </row>
    <row r="35" spans="1:26" ht="13">
      <c r="A35" s="34"/>
      <c r="B35" s="34" t="s">
        <v>189</v>
      </c>
      <c r="C35" s="34" t="s">
        <v>190</v>
      </c>
      <c r="D35" s="34" t="s">
        <v>163</v>
      </c>
      <c r="E35" s="33">
        <f>IF(D35="sum",SUM(G35:CH35),IF(D35="final",CH35,IF(D35="initial",G35,IF(D35="average",AVERAGE(G35:CH35),0))))</f>
        <v>0</v>
      </c>
      <c r="F35" s="64"/>
      <c r="G35" s="33">
        <v>0</v>
      </c>
      <c r="H35" s="33">
        <v>0</v>
      </c>
      <c r="I35" s="33">
        <v>0</v>
      </c>
      <c r="J35" s="33">
        <v>0</v>
      </c>
      <c r="K35" s="33">
        <v>0</v>
      </c>
      <c r="L35" s="33">
        <v>0</v>
      </c>
      <c r="M35" s="33">
        <v>0</v>
      </c>
      <c r="N35" s="33">
        <v>0</v>
      </c>
      <c r="O35" s="33">
        <v>0</v>
      </c>
      <c r="P35" s="33">
        <v>0</v>
      </c>
      <c r="Q35" s="33">
        <v>0</v>
      </c>
      <c r="R35" s="33">
        <v>0</v>
      </c>
      <c r="S35" s="33">
        <v>0</v>
      </c>
      <c r="T35" s="33">
        <v>0</v>
      </c>
      <c r="U35" s="33">
        <v>0</v>
      </c>
      <c r="V35" s="33">
        <v>0</v>
      </c>
      <c r="W35" s="33">
        <v>0</v>
      </c>
      <c r="X35" s="33">
        <v>0</v>
      </c>
      <c r="Y35" s="33">
        <v>0</v>
      </c>
      <c r="Z35" s="33">
        <v>0</v>
      </c>
    </row>
    <row r="36" spans="1:26" ht="13">
      <c r="B36" s="12" t="s">
        <v>191</v>
      </c>
      <c r="C36" s="71" t="s">
        <v>192</v>
      </c>
      <c r="D36" s="12" t="s">
        <v>163</v>
      </c>
      <c r="E36" s="26">
        <f t="shared" ref="E36:E87" ca="1" si="18">IF(D36="sum",SUM(G36:Z36),IF(D36="final",Z36,IF(D36="initial",G36,IF(D36="average",AVERAGE(G36:Z36),0))))</f>
        <v>0</v>
      </c>
      <c r="F36" s="26"/>
      <c r="G36" s="26">
        <f t="shared" ref="G36:Z36" si="19">$E30*G162</f>
        <v>0</v>
      </c>
      <c r="H36" s="26">
        <f t="shared" ca="1" si="19"/>
        <v>0</v>
      </c>
      <c r="I36" s="26">
        <f t="shared" ca="1" si="19"/>
        <v>0</v>
      </c>
      <c r="J36" s="26">
        <f t="shared" ca="1" si="19"/>
        <v>0</v>
      </c>
      <c r="K36" s="26">
        <f t="shared" ca="1" si="19"/>
        <v>0</v>
      </c>
      <c r="L36" s="26">
        <f t="shared" ca="1" si="19"/>
        <v>0</v>
      </c>
      <c r="M36" s="26">
        <f t="shared" ca="1" si="19"/>
        <v>0</v>
      </c>
      <c r="N36" s="26">
        <f t="shared" ca="1" si="19"/>
        <v>0</v>
      </c>
      <c r="O36" s="26">
        <f t="shared" ca="1" si="19"/>
        <v>0</v>
      </c>
      <c r="P36" s="26">
        <f t="shared" ca="1" si="19"/>
        <v>0</v>
      </c>
      <c r="Q36" s="26">
        <f t="shared" ca="1" si="19"/>
        <v>0</v>
      </c>
      <c r="R36" s="26">
        <f t="shared" ca="1" si="19"/>
        <v>0</v>
      </c>
      <c r="S36" s="26">
        <f t="shared" ca="1" si="19"/>
        <v>0</v>
      </c>
      <c r="T36" s="26">
        <f t="shared" ca="1" si="19"/>
        <v>0</v>
      </c>
      <c r="U36" s="26">
        <f t="shared" ca="1" si="19"/>
        <v>0</v>
      </c>
      <c r="V36" s="26">
        <f t="shared" ca="1" si="19"/>
        <v>0</v>
      </c>
      <c r="W36" s="26">
        <f t="shared" ca="1" si="19"/>
        <v>0</v>
      </c>
      <c r="X36" s="26">
        <f t="shared" ca="1" si="19"/>
        <v>0</v>
      </c>
      <c r="Y36" s="26">
        <f t="shared" ca="1" si="19"/>
        <v>0</v>
      </c>
      <c r="Z36" s="26">
        <f t="shared" ca="1" si="19"/>
        <v>0</v>
      </c>
    </row>
    <row r="37" spans="1:26" ht="13">
      <c r="B37" s="12" t="s">
        <v>193</v>
      </c>
      <c r="D37" s="12" t="s">
        <v>163</v>
      </c>
      <c r="E37" s="26">
        <f t="shared" ca="1" si="18"/>
        <v>20212499.999999996</v>
      </c>
      <c r="F37" s="26"/>
      <c r="G37" s="26">
        <f ca="1">G33*'Get Started'!$F36/'Get Started'!$E36+G33+G32</f>
        <v>4812499.9999999991</v>
      </c>
      <c r="H37" s="26">
        <f ca="1">H33*'Get Started'!$F36/'Get Started'!$E36+H33+H32</f>
        <v>4812499.9999999991</v>
      </c>
      <c r="I37" s="26">
        <f ca="1">I33*'Get Started'!$F36/'Get Started'!$E36+I33+I32</f>
        <v>4812499.9999999991</v>
      </c>
      <c r="J37" s="26">
        <f ca="1">J33*'Get Started'!$F36/'Get Started'!$E36+J33+J32</f>
        <v>5775000</v>
      </c>
      <c r="K37" s="26">
        <f ca="1">K33*'Get Started'!$F36/'Get Started'!$E36+K33+K32</f>
        <v>0</v>
      </c>
      <c r="L37" s="26">
        <f ca="1">L33*'Get Started'!$F36/'Get Started'!$E36+L33+L32</f>
        <v>0</v>
      </c>
      <c r="M37" s="26">
        <f ca="1">M33*'Get Started'!$F36/'Get Started'!$E36+M33+M32</f>
        <v>0</v>
      </c>
      <c r="N37" s="26">
        <f ca="1">N33*'Get Started'!$F36/'Get Started'!$E36+N33+N32</f>
        <v>0</v>
      </c>
      <c r="O37" s="26">
        <f ca="1">O33*'Get Started'!$F36/'Get Started'!$E36+O33+O32</f>
        <v>0</v>
      </c>
      <c r="P37" s="26">
        <f ca="1">P33*'Get Started'!$F36/'Get Started'!$E36+P33+P32</f>
        <v>0</v>
      </c>
      <c r="Q37" s="26">
        <f ca="1">Q33*'Get Started'!$F36/'Get Started'!$E36+Q33+Q32</f>
        <v>0</v>
      </c>
      <c r="R37" s="26">
        <f ca="1">R33*'Get Started'!$F36/'Get Started'!$E36+R33+R32</f>
        <v>0</v>
      </c>
      <c r="S37" s="26">
        <f ca="1">S33*'Get Started'!$F36/'Get Started'!$E36+S33+S32</f>
        <v>0</v>
      </c>
      <c r="T37" s="26">
        <f ca="1">T33*'Get Started'!$F36/'Get Started'!$E36+T33+T32</f>
        <v>0</v>
      </c>
      <c r="U37" s="26">
        <f ca="1">U33*'Get Started'!$F36/'Get Started'!$E36+U33+U32</f>
        <v>0</v>
      </c>
      <c r="V37" s="26">
        <f ca="1">V33*'Get Started'!$F36/'Get Started'!$E36+V33+V32</f>
        <v>0</v>
      </c>
      <c r="W37" s="26">
        <f ca="1">W33*'Get Started'!$F36/'Get Started'!$E36+W33+W32</f>
        <v>0</v>
      </c>
      <c r="X37" s="26">
        <f ca="1">X33*'Get Started'!$F36/'Get Started'!$E36+X33+X32</f>
        <v>0</v>
      </c>
      <c r="Y37" s="26">
        <f ca="1">Y33*'Get Started'!$F36/'Get Started'!$E36+Y33+Y32</f>
        <v>0</v>
      </c>
      <c r="Z37" s="26">
        <f ca="1">Z33*'Get Started'!$F36/'Get Started'!$E36+Z33+Z32</f>
        <v>0</v>
      </c>
    </row>
    <row r="38" spans="1:26" ht="13">
      <c r="B38" s="12" t="s">
        <v>194</v>
      </c>
      <c r="C38" s="72"/>
      <c r="D38" s="12" t="s">
        <v>163</v>
      </c>
      <c r="E38" s="26">
        <f t="shared" ca="1" si="18"/>
        <v>20212499.999999996</v>
      </c>
      <c r="F38" s="26"/>
      <c r="G38" s="26">
        <f t="shared" ref="G38:Z38" ca="1" si="20">SUM(G33,G36,G32)</f>
        <v>4812499.9999999991</v>
      </c>
      <c r="H38" s="26">
        <f t="shared" ca="1" si="20"/>
        <v>4812499.9999999991</v>
      </c>
      <c r="I38" s="26">
        <f t="shared" ca="1" si="20"/>
        <v>4812499.9999999991</v>
      </c>
      <c r="J38" s="26">
        <f t="shared" ca="1" si="20"/>
        <v>5775000</v>
      </c>
      <c r="K38" s="26">
        <f t="shared" ca="1" si="20"/>
        <v>0</v>
      </c>
      <c r="L38" s="26">
        <f t="shared" ca="1" si="20"/>
        <v>0</v>
      </c>
      <c r="M38" s="26">
        <f t="shared" ca="1" si="20"/>
        <v>0</v>
      </c>
      <c r="N38" s="26">
        <f t="shared" ca="1" si="20"/>
        <v>0</v>
      </c>
      <c r="O38" s="26">
        <f t="shared" ca="1" si="20"/>
        <v>0</v>
      </c>
      <c r="P38" s="26">
        <f t="shared" ca="1" si="20"/>
        <v>0</v>
      </c>
      <c r="Q38" s="26">
        <f t="shared" ca="1" si="20"/>
        <v>0</v>
      </c>
      <c r="R38" s="26">
        <f t="shared" ca="1" si="20"/>
        <v>0</v>
      </c>
      <c r="S38" s="26">
        <f t="shared" ca="1" si="20"/>
        <v>0</v>
      </c>
      <c r="T38" s="26">
        <f t="shared" ca="1" si="20"/>
        <v>0</v>
      </c>
      <c r="U38" s="26">
        <f t="shared" ca="1" si="20"/>
        <v>0</v>
      </c>
      <c r="V38" s="26">
        <f t="shared" ca="1" si="20"/>
        <v>0</v>
      </c>
      <c r="W38" s="26">
        <f t="shared" ca="1" si="20"/>
        <v>0</v>
      </c>
      <c r="X38" s="26">
        <f t="shared" ca="1" si="20"/>
        <v>0</v>
      </c>
      <c r="Y38" s="26">
        <f t="shared" ca="1" si="20"/>
        <v>0</v>
      </c>
      <c r="Z38" s="26">
        <f t="shared" ca="1" si="20"/>
        <v>0</v>
      </c>
    </row>
    <row r="39" spans="1:26" ht="13">
      <c r="B39" s="12" t="s">
        <v>195</v>
      </c>
      <c r="C39" s="73"/>
      <c r="D39" s="12" t="s">
        <v>163</v>
      </c>
      <c r="E39" s="26">
        <f t="shared" si="18"/>
        <v>100000</v>
      </c>
      <c r="F39" s="26"/>
      <c r="G39" s="26">
        <f>IF(G4=1,'Get Started'!$E11,0)</f>
        <v>100000</v>
      </c>
      <c r="H39" s="26">
        <f>IF(H4=1,'Get Started'!$E11,0)</f>
        <v>0</v>
      </c>
      <c r="I39" s="26">
        <f>IF(I4=1,'Get Started'!$E11,0)</f>
        <v>0</v>
      </c>
      <c r="J39" s="26">
        <f>IF(J4=1,'Get Started'!$E11,0)</f>
        <v>0</v>
      </c>
      <c r="K39" s="26">
        <f>IF(K4=1,'Get Started'!$E11,0)</f>
        <v>0</v>
      </c>
      <c r="L39" s="26">
        <f>IF(L4=1,'Get Started'!$E11,0)</f>
        <v>0</v>
      </c>
      <c r="M39" s="26">
        <f>IF(M4=1,'Get Started'!$E11,0)</f>
        <v>0</v>
      </c>
      <c r="N39" s="26">
        <f>IF(N4=1,'Get Started'!$E11,0)</f>
        <v>0</v>
      </c>
      <c r="O39" s="26">
        <f>IF(O4=1,'Get Started'!$E11,0)</f>
        <v>0</v>
      </c>
      <c r="P39" s="26">
        <f>IF(P4=1,'Get Started'!$E11,0)</f>
        <v>0</v>
      </c>
      <c r="Q39" s="26">
        <f>IF(Q4=1,'Get Started'!$E11,0)</f>
        <v>0</v>
      </c>
      <c r="R39" s="26">
        <f>IF(R4=1,'Get Started'!$E11,0)</f>
        <v>0</v>
      </c>
      <c r="S39" s="26">
        <f>IF(S4=1,'Get Started'!$E11,0)</f>
        <v>0</v>
      </c>
      <c r="T39" s="26">
        <f>IF(T4=1,'Get Started'!$E11,0)</f>
        <v>0</v>
      </c>
      <c r="U39" s="26">
        <f>IF(U4=1,'Get Started'!$E11,0)</f>
        <v>0</v>
      </c>
      <c r="V39" s="26">
        <f>IF(V4=1,'Get Started'!$E11,0)</f>
        <v>0</v>
      </c>
      <c r="W39" s="26">
        <f>IF(W4=1,'Get Started'!$E11,0)</f>
        <v>0</v>
      </c>
      <c r="X39" s="26">
        <f>IF(X4=1,'Get Started'!$E11,0)</f>
        <v>0</v>
      </c>
      <c r="Y39" s="26">
        <f>IF(Y4=1,'Get Started'!$E11,0)</f>
        <v>0</v>
      </c>
      <c r="Z39" s="26">
        <f>IF(Z4=1,'Get Started'!$E11,0)</f>
        <v>0</v>
      </c>
    </row>
    <row r="40" spans="1:26" ht="13">
      <c r="B40" s="12" t="s">
        <v>196</v>
      </c>
      <c r="C40" s="73"/>
      <c r="D40" s="12" t="s">
        <v>163</v>
      </c>
      <c r="E40" s="26">
        <f t="shared" si="18"/>
        <v>750000</v>
      </c>
      <c r="F40" s="26"/>
      <c r="G40" s="26">
        <f>'Get Started'!$E12*G10</f>
        <v>75000</v>
      </c>
      <c r="H40" s="26">
        <f>'Get Started'!$E12*H10</f>
        <v>75000</v>
      </c>
      <c r="I40" s="26">
        <f>'Get Started'!$E12*I10</f>
        <v>75000</v>
      </c>
      <c r="J40" s="26">
        <f>'Get Started'!$E12*J10</f>
        <v>75000</v>
      </c>
      <c r="K40" s="26">
        <f>'Get Started'!$E12*K10</f>
        <v>75000</v>
      </c>
      <c r="L40" s="26">
        <f>'Get Started'!$E12*L10</f>
        <v>75000</v>
      </c>
      <c r="M40" s="26">
        <f>'Get Started'!$E12*M10</f>
        <v>75000</v>
      </c>
      <c r="N40" s="26">
        <f>'Get Started'!$E12*N10</f>
        <v>75000</v>
      </c>
      <c r="O40" s="26">
        <f>'Get Started'!$E12*O10</f>
        <v>75000</v>
      </c>
      <c r="P40" s="26">
        <f>'Get Started'!$E12*P10</f>
        <v>75000</v>
      </c>
      <c r="Q40" s="26">
        <f>'Get Started'!$E12*Q10</f>
        <v>0</v>
      </c>
      <c r="R40" s="26">
        <f>'Get Started'!$E12*R10</f>
        <v>0</v>
      </c>
      <c r="S40" s="26">
        <f>'Get Started'!$E12*S10</f>
        <v>0</v>
      </c>
      <c r="T40" s="26">
        <f>'Get Started'!$E12*T10</f>
        <v>0</v>
      </c>
      <c r="U40" s="26">
        <f>'Get Started'!$E12*U10</f>
        <v>0</v>
      </c>
      <c r="V40" s="26">
        <f>'Get Started'!$E12*V10</f>
        <v>0</v>
      </c>
      <c r="W40" s="26">
        <f>'Get Started'!$E12*W10</f>
        <v>0</v>
      </c>
      <c r="X40" s="26">
        <f>'Get Started'!$E12*X10</f>
        <v>0</v>
      </c>
      <c r="Y40" s="26">
        <f>'Get Started'!$E12*Y10</f>
        <v>0</v>
      </c>
      <c r="Z40" s="26">
        <f>'Get Started'!$E12*Z10</f>
        <v>0</v>
      </c>
    </row>
    <row r="41" spans="1:26" ht="13">
      <c r="A41" s="34"/>
      <c r="B41" s="34" t="s">
        <v>167</v>
      </c>
      <c r="C41" s="74" t="s">
        <v>197</v>
      </c>
      <c r="D41" s="34" t="s">
        <v>163</v>
      </c>
      <c r="E41" s="33">
        <f t="shared" si="18"/>
        <v>4900000</v>
      </c>
      <c r="F41" s="64"/>
      <c r="G41" s="33">
        <f>IFERROR(IF(G15="committed",G83*IF($C17=TRUE,1-'Get Started'!$E10,1)*G14+IF(AND(G4&lt;&gt;1,G54*IF($C17=TRUE,1-'Get Started'!$E10,1)&lt;&gt;0,SUM($G54:G54)*IF($C17=TRUE,1-'Get Started'!$E10,1)=$E54*IF($C17=TRUE,1-'Get Started'!$E10,1)),G54*IF($C17=TRUE,1-'Get Started'!$E10,1)*(G4-1)*G14,0),IF(G15="called",G59*G159 + IF(AND(G4&lt;&gt;1,G54*IF($C17=TRUE,1-'Get Started'!$E10,1)&lt;&gt;0, SUM($G54:G54)*IF($C17=TRUE,1-'Get Started'!$E10,1)&lt;&gt;$E54*IF($C17=TRUE,1-'Get Started'!$E10,1) ),G59*SUM(F159:G159)-G59*G159-SUM(F41:$G41),0),G59*G159 + IF(AND(G4&lt;&gt;1,G54*IF($C17=TRUE,1-'Get Started'!$E10,1)&lt;&gt;0, SUM($G54:G54)*IF($C17=TRUE,1-'Get Started'!$E10,1)=$E54*IF($C17=TRUE,1-'Get Started'!$E10,1) ),G59*SUM(F159:G159)-G59*G159-SUM(F41:$G41),0))),0)</f>
        <v>490000</v>
      </c>
      <c r="H41" s="33">
        <f>IFERROR(IF(H15="committed",H83*IF($C17=TRUE,1-'Get Started'!$E10,1)*H14+IF(AND(H4&lt;&gt;1,H54*IF($C17=TRUE,1-'Get Started'!$E10,1)&lt;&gt;0,SUM($G54:H54)*IF($C17=TRUE,1-'Get Started'!$E10,1)=$E54*IF($C17=TRUE,1-'Get Started'!$E10,1)),H54*IF($C17=TRUE,1-'Get Started'!$E10,1)*(H4-1)*H14,0),IF(H15="called",H59*H159 + IF(AND(H4&lt;&gt;1,H54*IF($C17=TRUE,1-'Get Started'!$E10,1)&lt;&gt;0, SUM($G54:H54)*IF($C17=TRUE,1-'Get Started'!$E10,1)&lt;&gt;$E54*IF($C17=TRUE,1-'Get Started'!$E10,1) ),H59*SUM(G159:H159)-H59*H159-SUM(G41:$G41),0),H59*H159 + IF(AND(H4&lt;&gt;1,H54*IF($C17=TRUE,1-'Get Started'!$E10,1)&lt;&gt;0, SUM($G54:H54)*IF($C17=TRUE,1-'Get Started'!$E10,1)=$E54*IF($C17=TRUE,1-'Get Started'!$E10,1) ),H59*SUM(G159:H159)-H59*H159-SUM(G41:$G41),0))),0)</f>
        <v>490000</v>
      </c>
      <c r="I41" s="33">
        <f>IFERROR(IF(I15="committed",I83*IF($C17=TRUE,1-'Get Started'!$E10,1)*I14+IF(AND(I4&lt;&gt;1,I54*IF($C17=TRUE,1-'Get Started'!$E10,1)&lt;&gt;0,SUM($G54:I54)*IF($C17=TRUE,1-'Get Started'!$E10,1)=$E54*IF($C17=TRUE,1-'Get Started'!$E10,1)),I54*IF($C17=TRUE,1-'Get Started'!$E10,1)*(I4-1)*I14,0),IF(I15="called",I59*I159 + IF(AND(I4&lt;&gt;1,I54*IF($C17=TRUE,1-'Get Started'!$E10,1)&lt;&gt;0, SUM($G54:I54)*IF($C17=TRUE,1-'Get Started'!$E10,1)&lt;&gt;$E54*IF($C17=TRUE,1-'Get Started'!$E10,1) ),I59*SUM(H159:I159)-I59*I159-SUM($G41:H41),0),I59*I159 + IF(AND(I4&lt;&gt;1,I54*IF($C17=TRUE,1-'Get Started'!$E10,1)&lt;&gt;0, SUM($G54:I54)*IF($C17=TRUE,1-'Get Started'!$E10,1)=$E54*IF($C17=TRUE,1-'Get Started'!$E10,1) ),I59*SUM(H159:I159)-I59*I159-SUM($G41:H41),0))),0)</f>
        <v>490000</v>
      </c>
      <c r="J41" s="33">
        <f>IFERROR(IF(J15="committed",J83*IF($C17=TRUE,1-'Get Started'!$E10,1)*J14+IF(AND(J4&lt;&gt;1,J54*IF($C17=TRUE,1-'Get Started'!$E10,1)&lt;&gt;0,SUM($G54:J54)*IF($C17=TRUE,1-'Get Started'!$E10,1)=$E54*IF($C17=TRUE,1-'Get Started'!$E10,1)),J54*IF($C17=TRUE,1-'Get Started'!$E10,1)*(J4-1)*J14,0),IF(J15="called",J59*J159 + IF(AND(J4&lt;&gt;1,J54*IF($C17=TRUE,1-'Get Started'!$E10,1)&lt;&gt;0, SUM($G54:J54)*IF($C17=TRUE,1-'Get Started'!$E10,1)&lt;&gt;$E54*IF($C17=TRUE,1-'Get Started'!$E10,1) ),J59*SUM(I159:J159)-J59*J159-SUM($G41:I41),0),J59*J159 + IF(AND(J4&lt;&gt;1,J54*IF($C17=TRUE,1-'Get Started'!$E10,1)&lt;&gt;0, SUM($G54:J54)*IF($C17=TRUE,1-'Get Started'!$E10,1)=$E54*IF($C17=TRUE,1-'Get Started'!$E10,1) ),J59*SUM(I159:J159)-J59*J159-SUM($G41:I41),0))),0)</f>
        <v>490000</v>
      </c>
      <c r="K41" s="33">
        <f>IFERROR(IF(K15="committed",K83*IF($C17=TRUE,1-'Get Started'!$E10,1)*K14+IF(AND(K4&lt;&gt;1,K54*IF($C17=TRUE,1-'Get Started'!$E10,1)&lt;&gt;0,SUM($G54:K54)*IF($C17=TRUE,1-'Get Started'!$E10,1)=$E54*IF($C17=TRUE,1-'Get Started'!$E10,1)),K54*IF($C17=TRUE,1-'Get Started'!$E10,1)*(K4-1)*K14,0),IF(K15="called",K59*K159 + IF(AND(K4&lt;&gt;1,K54*IF($C17=TRUE,1-'Get Started'!$E10,1)&lt;&gt;0, SUM($G54:K54)*IF($C17=TRUE,1-'Get Started'!$E10,1)&lt;&gt;$E54*IF($C17=TRUE,1-'Get Started'!$E10,1) ),K59*SUM(J159:K159)-K59*K159-SUM($G41:J41),0),K59*K159 + IF(AND(K4&lt;&gt;1,K54*IF($C17=TRUE,1-'Get Started'!$E10,1)&lt;&gt;0, SUM($G54:K54)*IF($C17=TRUE,1-'Get Started'!$E10,1)=$E54*IF($C17=TRUE,1-'Get Started'!$E10,1) ),K59*SUM(J159:K159)-K59*K159-SUM($G41:J41),0))),0)</f>
        <v>490000</v>
      </c>
      <c r="L41" s="33">
        <f>IFERROR(IF(L15="committed",L83*IF($C17=TRUE,1-'Get Started'!$E10,1)*L14+IF(AND(L4&lt;&gt;1,L54*IF($C17=TRUE,1-'Get Started'!$E10,1)&lt;&gt;0,SUM($G54:L54)*IF($C17=TRUE,1-'Get Started'!$E10,1)=$E54*IF($C17=TRUE,1-'Get Started'!$E10,1)),L54*IF($C17=TRUE,1-'Get Started'!$E10,1)*(L4-1)*L14,0),IF(L15="called",L59*L159 + IF(AND(L4&lt;&gt;1,L54*IF($C17=TRUE,1-'Get Started'!$E10,1)&lt;&gt;0, SUM($G54:L54)*IF($C17=TRUE,1-'Get Started'!$E10,1)&lt;&gt;$E54*IF($C17=TRUE,1-'Get Started'!$E10,1) ),L59*SUM(K159:L159)-L59*L159-SUM($G41:K41),0),L59*L159 + IF(AND(L4&lt;&gt;1,L54*IF($C17=TRUE,1-'Get Started'!$E10,1)&lt;&gt;0, SUM($G54:L54)*IF($C17=TRUE,1-'Get Started'!$E10,1)=$E54*IF($C17=TRUE,1-'Get Started'!$E10,1) ),L59*SUM(K159:L159)-L59*L159-SUM($G41:K41),0))),0)</f>
        <v>490000</v>
      </c>
      <c r="M41" s="33">
        <f>IFERROR(IF(M15="committed",M83*IF($C17=TRUE,1-'Get Started'!$E10,1)*M14+IF(AND(M4&lt;&gt;1,M54*IF($C17=TRUE,1-'Get Started'!$E10,1)&lt;&gt;0,SUM($G54:M54)*IF($C17=TRUE,1-'Get Started'!$E10,1)=$E54*IF($C17=TRUE,1-'Get Started'!$E10,1)),M54*IF($C17=TRUE,1-'Get Started'!$E10,1)*(M4-1)*M14,0),IF(M15="called",M59*M159 + IF(AND(M4&lt;&gt;1,M54*IF($C17=TRUE,1-'Get Started'!$E10,1)&lt;&gt;0, SUM($G54:M54)*IF($C17=TRUE,1-'Get Started'!$E10,1)&lt;&gt;$E54*IF($C17=TRUE,1-'Get Started'!$E10,1) ),M59*SUM(L159:M159)-M59*M159-SUM($G41:L41),0),M59*M159 + IF(AND(M4&lt;&gt;1,M54*IF($C17=TRUE,1-'Get Started'!$E10,1)&lt;&gt;0, SUM($G54:M54)*IF($C17=TRUE,1-'Get Started'!$E10,1)=$E54*IF($C17=TRUE,1-'Get Started'!$E10,1) ),M59*SUM(L159:M159)-M59*M159-SUM($G41:L41),0))),0)</f>
        <v>490000</v>
      </c>
      <c r="N41" s="33">
        <f>IFERROR(IF(N15="committed",N83*IF($C17=TRUE,1-'Get Started'!$E10,1)*N14+IF(AND(N4&lt;&gt;1,N54*IF($C17=TRUE,1-'Get Started'!$E10,1)&lt;&gt;0,SUM($G54:N54)*IF($C17=TRUE,1-'Get Started'!$E10,1)=$E54*IF($C17=TRUE,1-'Get Started'!$E10,1)),N54*IF($C17=TRUE,1-'Get Started'!$E10,1)*(N4-1)*N14,0),IF(N15="called",N59*N159 + IF(AND(N4&lt;&gt;1,N54*IF($C17=TRUE,1-'Get Started'!$E10,1)&lt;&gt;0, SUM($G54:N54)*IF($C17=TRUE,1-'Get Started'!$E10,1)&lt;&gt;$E54*IF($C17=TRUE,1-'Get Started'!$E10,1) ),N59*SUM(M159:N159)-N59*N159-SUM($G41:M41),0),N59*N159 + IF(AND(N4&lt;&gt;1,N54*IF($C17=TRUE,1-'Get Started'!$E10,1)&lt;&gt;0, SUM($G54:N54)*IF($C17=TRUE,1-'Get Started'!$E10,1)=$E54*IF($C17=TRUE,1-'Get Started'!$E10,1) ),N59*SUM(M159:N159)-N59*N159-SUM($G41:M41),0))),0)</f>
        <v>490000</v>
      </c>
      <c r="O41" s="33">
        <f>IFERROR(IF(O15="committed",O83*IF($C17=TRUE,1-'Get Started'!$E10,1)*O14+IF(AND(O4&lt;&gt;1,O54*IF($C17=TRUE,1-'Get Started'!$E10,1)&lt;&gt;0,SUM($G54:O54)*IF($C17=TRUE,1-'Get Started'!$E10,1)=$E54*IF($C17=TRUE,1-'Get Started'!$E10,1)),O54*IF($C17=TRUE,1-'Get Started'!$E10,1)*(O4-1)*O14,0),IF(O15="called",O59*O159 + IF(AND(O4&lt;&gt;1,O54*IF($C17=TRUE,1-'Get Started'!$E10,1)&lt;&gt;0, SUM($G54:O54)*IF($C17=TRUE,1-'Get Started'!$E10,1)&lt;&gt;$E54*IF($C17=TRUE,1-'Get Started'!$E10,1) ),O59*SUM(N159:O159)-O59*O159-SUM($G41:N41),0),O59*O159 + IF(AND(O4&lt;&gt;1,O54*IF($C17=TRUE,1-'Get Started'!$E10,1)&lt;&gt;0, SUM($G54:O54)*IF($C17=TRUE,1-'Get Started'!$E10,1)=$E54*IF($C17=TRUE,1-'Get Started'!$E10,1) ),O59*SUM(N159:O159)-O59*O159-SUM($G41:N41),0))),0)</f>
        <v>490000</v>
      </c>
      <c r="P41" s="33">
        <f>IFERROR(IF(P15="committed",P83*IF($C17=TRUE,1-'Get Started'!$E10,1)*P14+IF(AND(P4&lt;&gt;1,P54*IF($C17=TRUE,1-'Get Started'!$E10,1)&lt;&gt;0,SUM($G54:P54)*IF($C17=TRUE,1-'Get Started'!$E10,1)=$E54*IF($C17=TRUE,1-'Get Started'!$E10,1)),P54*IF($C17=TRUE,1-'Get Started'!$E10,1)*(P4-1)*P14,0),IF(P15="called",P59*P159 + IF(AND(P4&lt;&gt;1,P54*IF($C17=TRUE,1-'Get Started'!$E10,1)&lt;&gt;0, SUM($G54:P54)*IF($C17=TRUE,1-'Get Started'!$E10,1)&lt;&gt;$E54*IF($C17=TRUE,1-'Get Started'!$E10,1) ),P59*SUM(O159:P159)-P59*P159-SUM($G41:O41),0),P59*P159 + IF(AND(P4&lt;&gt;1,P54*IF($C17=TRUE,1-'Get Started'!$E10,1)&lt;&gt;0, SUM($G54:P54)*IF($C17=TRUE,1-'Get Started'!$E10,1)=$E54*IF($C17=TRUE,1-'Get Started'!$E10,1) ),P59*SUM(O159:P159)-P59*P159-SUM($G41:O41),0))),0)</f>
        <v>490000</v>
      </c>
      <c r="Q41" s="33">
        <f>IFERROR(IF(Q15="committed",Q83*IF($C17=TRUE,1-'Get Started'!$E10,1)*Q14+IF(AND(Q4&lt;&gt;1,Q54*IF($C17=TRUE,1-'Get Started'!$E10,1)&lt;&gt;0,SUM($G54:Q54)*IF($C17=TRUE,1-'Get Started'!$E10,1)=$E54*IF($C17=TRUE,1-'Get Started'!$E10,1)),Q54*IF($C17=TRUE,1-'Get Started'!$E10,1)*(Q4-1)*Q14,0),IF(Q15="called",Q59*Q159 + IF(AND(Q4&lt;&gt;1,Q54*IF($C17=TRUE,1-'Get Started'!$E10,1)&lt;&gt;0, SUM($G54:Q54)*IF($C17=TRUE,1-'Get Started'!$E10,1)&lt;&gt;$E54*IF($C17=TRUE,1-'Get Started'!$E10,1) ),Q59*SUM(P159:Q159)-Q59*Q159-SUM($G41:P41),0),Q59*Q159 + IF(AND(Q4&lt;&gt;1,Q54*IF($C17=TRUE,1-'Get Started'!$E10,1)&lt;&gt;0, SUM($G54:Q54)*IF($C17=TRUE,1-'Get Started'!$E10,1)=$E54*IF($C17=TRUE,1-'Get Started'!$E10,1) ),Q59*SUM(P159:Q159)-Q59*Q159-SUM($G41:P41),0))),0)</f>
        <v>0</v>
      </c>
      <c r="R41" s="33">
        <f>IFERROR(IF(R15="committed",R83*IF($C17=TRUE,1-'Get Started'!$E10,1)*R14+IF(AND(R4&lt;&gt;1,R54*IF($C17=TRUE,1-'Get Started'!$E10,1)&lt;&gt;0,SUM($G54:R54)*IF($C17=TRUE,1-'Get Started'!$E10,1)=$E54*IF($C17=TRUE,1-'Get Started'!$E10,1)),R54*IF($C17=TRUE,1-'Get Started'!$E10,1)*(R4-1)*R14,0),IF(R15="called",R59*R159 + IF(AND(R4&lt;&gt;1,R54*IF($C17=TRUE,1-'Get Started'!$E10,1)&lt;&gt;0, SUM($G54:R54)*IF($C17=TRUE,1-'Get Started'!$E10,1)&lt;&gt;$E54*IF($C17=TRUE,1-'Get Started'!$E10,1) ),R59*SUM(Q159:R159)-R59*R159-SUM($G41:Q41),0),R59*R159 + IF(AND(R4&lt;&gt;1,R54*IF($C17=TRUE,1-'Get Started'!$E10,1)&lt;&gt;0, SUM($G54:R54)*IF($C17=TRUE,1-'Get Started'!$E10,1)=$E54*IF($C17=TRUE,1-'Get Started'!$E10,1) ),R59*SUM(Q159:R159)-R59*R159-SUM($G41:Q41),0))),0)</f>
        <v>0</v>
      </c>
      <c r="S41" s="33">
        <f>IFERROR(IF(S15="committed",S83*IF($C17=TRUE,1-'Get Started'!$E10,1)*S14+IF(AND(S4&lt;&gt;1,S54*IF($C17=TRUE,1-'Get Started'!$E10,1)&lt;&gt;0,SUM($G54:S54)*IF($C17=TRUE,1-'Get Started'!$E10,1)=$E54*IF($C17=TRUE,1-'Get Started'!$E10,1)),S54*IF($C17=TRUE,1-'Get Started'!$E10,1)*(S4-1)*S14,0),IF(S15="called",S59*S159 + IF(AND(S4&lt;&gt;1,S54*IF($C17=TRUE,1-'Get Started'!$E10,1)&lt;&gt;0, SUM($G54:S54)*IF($C17=TRUE,1-'Get Started'!$E10,1)&lt;&gt;$E54*IF($C17=TRUE,1-'Get Started'!$E10,1) ),S59*SUM(R159:S159)-S59*S159-SUM($G41:R41),0),S59*S159 + IF(AND(S4&lt;&gt;1,S54*IF($C17=TRUE,1-'Get Started'!$E10,1)&lt;&gt;0, SUM($G54:S54)*IF($C17=TRUE,1-'Get Started'!$E10,1)=$E54*IF($C17=TRUE,1-'Get Started'!$E10,1) ),S59*SUM(R159:S159)-S59*S159-SUM($G41:R41),0))),0)</f>
        <v>0</v>
      </c>
      <c r="T41" s="33">
        <f>IFERROR(IF(T15="committed",T83*IF($C17=TRUE,1-'Get Started'!$E10,1)*T14+IF(AND(T4&lt;&gt;1,T54*IF($C17=TRUE,1-'Get Started'!$E10,1)&lt;&gt;0,SUM($G54:T54)*IF($C17=TRUE,1-'Get Started'!$E10,1)=$E54*IF($C17=TRUE,1-'Get Started'!$E10,1)),T54*IF($C17=TRUE,1-'Get Started'!$E10,1)*(T4-1)*T14,0),IF(T15="called",T59*T159 + IF(AND(T4&lt;&gt;1,T54*IF($C17=TRUE,1-'Get Started'!$E10,1)&lt;&gt;0, SUM($G54:T54)*IF($C17=TRUE,1-'Get Started'!$E10,1)&lt;&gt;$E54*IF($C17=TRUE,1-'Get Started'!$E10,1) ),T59*SUM(S159:T159)-T59*T159-SUM($G41:S41),0),T59*T159 + IF(AND(T4&lt;&gt;1,T54*IF($C17=TRUE,1-'Get Started'!$E10,1)&lt;&gt;0, SUM($G54:T54)*IF($C17=TRUE,1-'Get Started'!$E10,1)=$E54*IF($C17=TRUE,1-'Get Started'!$E10,1) ),T59*SUM(S159:T159)-T59*T159-SUM($G41:S41),0))),0)</f>
        <v>0</v>
      </c>
      <c r="U41" s="33">
        <f>IFERROR(IF(U15="committed",U83*IF($C17=TRUE,1-'Get Started'!$E10,1)*U14+IF(AND(U4&lt;&gt;1,U54*IF($C17=TRUE,1-'Get Started'!$E10,1)&lt;&gt;0,SUM($G54:U54)*IF($C17=TRUE,1-'Get Started'!$E10,1)=$E54*IF($C17=TRUE,1-'Get Started'!$E10,1)),U54*IF($C17=TRUE,1-'Get Started'!$E10,1)*(U4-1)*U14,0),IF(U15="called",U59*U159 + IF(AND(U4&lt;&gt;1,U54*IF($C17=TRUE,1-'Get Started'!$E10,1)&lt;&gt;0, SUM($G54:U54)*IF($C17=TRUE,1-'Get Started'!$E10,1)&lt;&gt;$E54*IF($C17=TRUE,1-'Get Started'!$E10,1) ),U59*SUM(T159:U159)-U59*U159-SUM($G41:T41),0),U59*U159 + IF(AND(U4&lt;&gt;1,U54*IF($C17=TRUE,1-'Get Started'!$E10,1)&lt;&gt;0, SUM($G54:U54)*IF($C17=TRUE,1-'Get Started'!$E10,1)=$E54*IF($C17=TRUE,1-'Get Started'!$E10,1) ),U59*SUM(T159:U159)-U59*U159-SUM($G41:T41),0))),0)</f>
        <v>0</v>
      </c>
      <c r="V41" s="33">
        <f>IFERROR(IF(V15="committed",V83*IF($C17=TRUE,1-'Get Started'!$E10,1)*V14+IF(AND(V4&lt;&gt;1,V54*IF($C17=TRUE,1-'Get Started'!$E10,1)&lt;&gt;0,SUM($G54:V54)*IF($C17=TRUE,1-'Get Started'!$E10,1)=$E54*IF($C17=TRUE,1-'Get Started'!$E10,1)),V54*IF($C17=TRUE,1-'Get Started'!$E10,1)*(V4-1)*V14,0),IF(V15="called",V59*V159 + IF(AND(V4&lt;&gt;1,V54*IF($C17=TRUE,1-'Get Started'!$E10,1)&lt;&gt;0, SUM($G54:V54)*IF($C17=TRUE,1-'Get Started'!$E10,1)&lt;&gt;$E54*IF($C17=TRUE,1-'Get Started'!$E10,1) ),V59*SUM(U159:V159)-V59*V159-SUM($G41:U41),0),V59*V159 + IF(AND(V4&lt;&gt;1,V54*IF($C17=TRUE,1-'Get Started'!$E10,1)&lt;&gt;0, SUM($G54:V54)*IF($C17=TRUE,1-'Get Started'!$E10,1)=$E54*IF($C17=TRUE,1-'Get Started'!$E10,1) ),V59*SUM(U159:V159)-V59*V159-SUM($G41:U41),0))),0)</f>
        <v>0</v>
      </c>
      <c r="W41" s="33">
        <f>IFERROR(IF(W15="committed",W83*IF($C17=TRUE,1-'Get Started'!$E10,1)*W14+IF(AND(W4&lt;&gt;1,W54*IF($C17=TRUE,1-'Get Started'!$E10,1)&lt;&gt;0,SUM($G54:W54)*IF($C17=TRUE,1-'Get Started'!$E10,1)=$E54*IF($C17=TRUE,1-'Get Started'!$E10,1)),W54*IF($C17=TRUE,1-'Get Started'!$E10,1)*(W4-1)*W14,0),IF(W15="called",W59*W159 + IF(AND(W4&lt;&gt;1,W54*IF($C17=TRUE,1-'Get Started'!$E10,1)&lt;&gt;0, SUM($G54:W54)*IF($C17=TRUE,1-'Get Started'!$E10,1)&lt;&gt;$E54*IF($C17=TRUE,1-'Get Started'!$E10,1) ),W59*SUM(V159:W159)-W59*W159-SUM($G41:V41),0),W59*W159 + IF(AND(W4&lt;&gt;1,W54*IF($C17=TRUE,1-'Get Started'!$E10,1)&lt;&gt;0, SUM($G54:W54)*IF($C17=TRUE,1-'Get Started'!$E10,1)=$E54*IF($C17=TRUE,1-'Get Started'!$E10,1) ),W59*SUM(V159:W159)-W59*W159-SUM($G41:V41),0))),0)</f>
        <v>0</v>
      </c>
      <c r="X41" s="33">
        <f>IFERROR(IF(X15="committed",X83*IF($C17=TRUE,1-'Get Started'!$E10,1)*X14+IF(AND(X4&lt;&gt;1,X54*IF($C17=TRUE,1-'Get Started'!$E10,1)&lt;&gt;0,SUM($G54:X54)*IF($C17=TRUE,1-'Get Started'!$E10,1)=$E54*IF($C17=TRUE,1-'Get Started'!$E10,1)),X54*IF($C17=TRUE,1-'Get Started'!$E10,1)*(X4-1)*X14,0),IF(X15="called",X59*X159 + IF(AND(X4&lt;&gt;1,X54*IF($C17=TRUE,1-'Get Started'!$E10,1)&lt;&gt;0, SUM($G54:X54)*IF($C17=TRUE,1-'Get Started'!$E10,1)&lt;&gt;$E54*IF($C17=TRUE,1-'Get Started'!$E10,1) ),X59*SUM(W159:X159)-X59*X159-SUM($G41:W41),0),X59*X159 + IF(AND(X4&lt;&gt;1,X54*IF($C17=TRUE,1-'Get Started'!$E10,1)&lt;&gt;0, SUM($G54:X54)*IF($C17=TRUE,1-'Get Started'!$E10,1)=$E54*IF($C17=TRUE,1-'Get Started'!$E10,1) ),X59*SUM(W159:X159)-X59*X159-SUM($G41:W41),0))),0)</f>
        <v>0</v>
      </c>
      <c r="Y41" s="33">
        <f>IFERROR(IF(Y15="committed",Y83*IF($C17=TRUE,1-'Get Started'!$E10,1)*Y14+IF(AND(Y4&lt;&gt;1,Y54*IF($C17=TRUE,1-'Get Started'!$E10,1)&lt;&gt;0,SUM($G54:Y54)*IF($C17=TRUE,1-'Get Started'!$E10,1)=$E54*IF($C17=TRUE,1-'Get Started'!$E10,1)),Y54*IF($C17=TRUE,1-'Get Started'!$E10,1)*(Y4-1)*Y14,0),IF(Y15="called",Y59*Y159 + IF(AND(Y4&lt;&gt;1,Y54*IF($C17=TRUE,1-'Get Started'!$E10,1)&lt;&gt;0, SUM($G54:Y54)*IF($C17=TRUE,1-'Get Started'!$E10,1)&lt;&gt;$E54*IF($C17=TRUE,1-'Get Started'!$E10,1) ),Y59*SUM(X159:Y159)-Y59*Y159-SUM($G41:X41),0),Y59*Y159 + IF(AND(Y4&lt;&gt;1,Y54*IF($C17=TRUE,1-'Get Started'!$E10,1)&lt;&gt;0, SUM($G54:Y54)*IF($C17=TRUE,1-'Get Started'!$E10,1)=$E54*IF($C17=TRUE,1-'Get Started'!$E10,1) ),Y59*SUM(X159:Y159)-Y59*Y159-SUM($G41:X41),0))),0)</f>
        <v>0</v>
      </c>
      <c r="Z41" s="33">
        <f>IFERROR(IF(Z15="committed",Z83*IF($C17=TRUE,1-'Get Started'!$E10,1)*Z14+IF(AND(Z4&lt;&gt;1,Z54*IF($C17=TRUE,1-'Get Started'!$E10,1)&lt;&gt;0,SUM($G54:Z54)*IF($C17=TRUE,1-'Get Started'!$E10,1)=$E54*IF($C17=TRUE,1-'Get Started'!$E10,1)),Z54*IF($C17=TRUE,1-'Get Started'!$E10,1)*(Z4-1)*Z14,0),IF(Z15="called",Z59*Z159 + IF(AND(Z4&lt;&gt;1,Z54*IF($C17=TRUE,1-'Get Started'!$E10,1)&lt;&gt;0, SUM($G54:Z54)*IF($C17=TRUE,1-'Get Started'!$E10,1)&lt;&gt;$E54*IF($C17=TRUE,1-'Get Started'!$E10,1) ),Z59*SUM(Y159:Z159)-Z59*Z159-SUM($G41:Y41),0),Z59*Z159 + IF(AND(Z4&lt;&gt;1,Z54*IF($C17=TRUE,1-'Get Started'!$E10,1)&lt;&gt;0, SUM($G54:Z54)*IF($C17=TRUE,1-'Get Started'!$E10,1)=$E54*IF($C17=TRUE,1-'Get Started'!$E10,1) ),Z59*SUM(Y159:Z159)-Z59*Z159-SUM($G41:Y41),0))),0)</f>
        <v>0</v>
      </c>
    </row>
    <row r="42" spans="1:26" ht="13">
      <c r="B42" s="12" t="s">
        <v>140</v>
      </c>
      <c r="C42" s="73"/>
      <c r="D42" s="12" t="s">
        <v>163</v>
      </c>
      <c r="E42" s="26">
        <f t="shared" ca="1" si="18"/>
        <v>962499.99999999988</v>
      </c>
      <c r="F42" s="26"/>
      <c r="G42" s="26">
        <f t="shared" ref="G42:Z42" ca="1" si="21">G149</f>
        <v>0</v>
      </c>
      <c r="H42" s="26">
        <f t="shared" ca="1" si="21"/>
        <v>0</v>
      </c>
      <c r="I42" s="26">
        <f t="shared" ca="1" si="21"/>
        <v>0</v>
      </c>
      <c r="J42" s="26">
        <f t="shared" ca="1" si="21"/>
        <v>962499.99999999988</v>
      </c>
      <c r="K42" s="26">
        <f t="shared" ca="1" si="21"/>
        <v>0</v>
      </c>
      <c r="L42" s="26">
        <f t="shared" ca="1" si="21"/>
        <v>0</v>
      </c>
      <c r="M42" s="26">
        <f t="shared" ca="1" si="21"/>
        <v>0</v>
      </c>
      <c r="N42" s="26">
        <f t="shared" ca="1" si="21"/>
        <v>0</v>
      </c>
      <c r="O42" s="26">
        <f t="shared" ca="1" si="21"/>
        <v>0</v>
      </c>
      <c r="P42" s="26">
        <f t="shared" ca="1" si="21"/>
        <v>0</v>
      </c>
      <c r="Q42" s="26">
        <f t="shared" ca="1" si="21"/>
        <v>0</v>
      </c>
      <c r="R42" s="26">
        <f t="shared" ca="1" si="21"/>
        <v>0</v>
      </c>
      <c r="S42" s="26">
        <f t="shared" ca="1" si="21"/>
        <v>0</v>
      </c>
      <c r="T42" s="26">
        <f t="shared" ca="1" si="21"/>
        <v>0</v>
      </c>
      <c r="U42" s="26">
        <f t="shared" ca="1" si="21"/>
        <v>0</v>
      </c>
      <c r="V42" s="26">
        <f t="shared" ca="1" si="21"/>
        <v>0</v>
      </c>
      <c r="W42" s="26">
        <f t="shared" ca="1" si="21"/>
        <v>0</v>
      </c>
      <c r="X42" s="26">
        <f t="shared" ca="1" si="21"/>
        <v>0</v>
      </c>
      <c r="Y42" s="26">
        <f t="shared" ca="1" si="21"/>
        <v>0</v>
      </c>
      <c r="Z42" s="26">
        <f t="shared" ca="1" si="21"/>
        <v>0</v>
      </c>
    </row>
    <row r="43" spans="1:26" ht="13">
      <c r="B43" s="12" t="s">
        <v>144</v>
      </c>
      <c r="D43" s="12" t="s">
        <v>163</v>
      </c>
      <c r="E43" s="26">
        <f t="shared" ca="1" si="18"/>
        <v>80849999.99999997</v>
      </c>
      <c r="F43" s="26"/>
      <c r="G43" s="26">
        <f ca="1">IF(G4&lt;'Get Started'!$H48,0,OFFSET(G37,0,-1*'Get Started'!$H48)*'Get Started'!$E48*'Get Started'!$G48)+IF(G4&lt;'Get Started'!$H47,0,OFFSET(G37,0,-1*'Get Started'!$H47)*'Get Started'!$E47*'Get Started'!$G47)+IF(G4&lt;'Get Started'!$H46,0,OFFSET(G37,0,-1*'Get Started'!$H46)*'Get Started'!$E46*'Get Started'!$G46)+IF(G4&lt;'Get Started'!$H45,0,OFFSET(G37,0,-1*'Get Started'!$H45)*'Get Started'!$E45*'Get Started'!$G45)</f>
        <v>0</v>
      </c>
      <c r="H43" s="26">
        <f ca="1">IF(H4&lt;'Get Started'!$H48,0,OFFSET(H37,0,-1*'Get Started'!$H48)*'Get Started'!$E48*'Get Started'!$G48)+IF(H4&lt;'Get Started'!$H47,0,OFFSET(H37,0,-1*'Get Started'!$H47)*'Get Started'!$E47*'Get Started'!$G47)+IF(H4&lt;'Get Started'!$H46,0,OFFSET(H37,0,-1*'Get Started'!$H46)*'Get Started'!$E46*'Get Started'!$G46)+IF(H4&lt;'Get Started'!$H45,0,OFFSET(H37,0,-1*'Get Started'!$H45)*'Get Started'!$E45*'Get Started'!$G45)</f>
        <v>0</v>
      </c>
      <c r="I43" s="26">
        <f ca="1">IF(I4&lt;'Get Started'!$H48,0,OFFSET(I37,0,-1*'Get Started'!$H48)*'Get Started'!$E48*'Get Started'!$G48)+IF(I4&lt;'Get Started'!$H47,0,OFFSET(I37,0,-1*'Get Started'!$H47)*'Get Started'!$E47*'Get Started'!$G47)+IF(I4&lt;'Get Started'!$H46,0,OFFSET(I37,0,-1*'Get Started'!$H46)*'Get Started'!$E46*'Get Started'!$G46)+IF(I4&lt;'Get Started'!$H45,0,OFFSET(I37,0,-1*'Get Started'!$H45)*'Get Started'!$E45*'Get Started'!$G45)</f>
        <v>0</v>
      </c>
      <c r="J43" s="26">
        <f ca="1">IF(J4&lt;'Get Started'!$H48,0,OFFSET(J37,0,-1*'Get Started'!$H48)*'Get Started'!$E48*'Get Started'!$G48)+IF(J4&lt;'Get Started'!$H47,0,OFFSET(J37,0,-1*'Get Started'!$H47)*'Get Started'!$E47*'Get Started'!$G47)+IF(J4&lt;'Get Started'!$H46,0,OFFSET(J37,0,-1*'Get Started'!$H46)*'Get Started'!$E46*'Get Started'!$G46)+IF(J4&lt;'Get Started'!$H45,0,OFFSET(J37,0,-1*'Get Started'!$H45)*'Get Started'!$E45*'Get Started'!$G45)</f>
        <v>1443749.9999999998</v>
      </c>
      <c r="K43" s="26">
        <f ca="1">IF(K4&lt;'Get Started'!$H48,0,OFFSET(K37,0,-1*'Get Started'!$H48)*'Get Started'!$E48*'Get Started'!$G48)+IF(K4&lt;'Get Started'!$H47,0,OFFSET(K37,0,-1*'Get Started'!$H47)*'Get Started'!$E47*'Get Started'!$G47)+IF(K4&lt;'Get Started'!$H46,0,OFFSET(K37,0,-1*'Get Started'!$H46)*'Get Started'!$E46*'Get Started'!$G46)+IF(K4&lt;'Get Started'!$H45,0,OFFSET(K37,0,-1*'Get Started'!$H45)*'Get Started'!$E45*'Get Started'!$G45)</f>
        <v>3849999.9999999991</v>
      </c>
      <c r="L43" s="26">
        <f ca="1">IF(L4&lt;'Get Started'!$H48,0,OFFSET(L37,0,-1*'Get Started'!$H48)*'Get Started'!$E48*'Get Started'!$G48)+IF(L4&lt;'Get Started'!$H47,0,OFFSET(L37,0,-1*'Get Started'!$H47)*'Get Started'!$E47*'Get Started'!$G47)+IF(L4&lt;'Get Started'!$H46,0,OFFSET(L37,0,-1*'Get Started'!$H46)*'Get Started'!$E46*'Get Started'!$G46)+IF(L4&lt;'Get Started'!$H45,0,OFFSET(L37,0,-1*'Get Started'!$H45)*'Get Started'!$E45*'Get Started'!$G45)</f>
        <v>3849999.9999999991</v>
      </c>
      <c r="M43" s="26">
        <f ca="1">IF(M4&lt;'Get Started'!$H48,0,OFFSET(M37,0,-1*'Get Started'!$H48)*'Get Started'!$E48*'Get Started'!$G48)+IF(M4&lt;'Get Started'!$H47,0,OFFSET(M37,0,-1*'Get Started'!$H47)*'Get Started'!$E47*'Get Started'!$G47)+IF(M4&lt;'Get Started'!$H46,0,OFFSET(M37,0,-1*'Get Started'!$H46)*'Get Started'!$E46*'Get Started'!$G46)+IF(M4&lt;'Get Started'!$H45,0,OFFSET(M37,0,-1*'Get Started'!$H45)*'Get Started'!$E45*'Get Started'!$G45)</f>
        <v>19538749.999999993</v>
      </c>
      <c r="N43" s="26">
        <f ca="1">IF(N4&lt;'Get Started'!$H48,0,OFFSET(N37,0,-1*'Get Started'!$H48)*'Get Started'!$E48*'Get Started'!$G48)+IF(N4&lt;'Get Started'!$H47,0,OFFSET(N37,0,-1*'Get Started'!$H47)*'Get Started'!$E47*'Get Started'!$G47)+IF(N4&lt;'Get Started'!$H46,0,OFFSET(N37,0,-1*'Get Started'!$H46)*'Get Started'!$E46*'Get Started'!$G46)+IF(N4&lt;'Get Started'!$H45,0,OFFSET(N37,0,-1*'Get Started'!$H45)*'Get Started'!$E45*'Get Started'!$G45)</f>
        <v>18287499.999999993</v>
      </c>
      <c r="O43" s="26">
        <f ca="1">IF(O4&lt;'Get Started'!$H48,0,OFFSET(O37,0,-1*'Get Started'!$H48)*'Get Started'!$E48*'Get Started'!$G48)+IF(O4&lt;'Get Started'!$H47,0,OFFSET(O37,0,-1*'Get Started'!$H47)*'Get Started'!$E47*'Get Started'!$G47)+IF(O4&lt;'Get Started'!$H46,0,OFFSET(O37,0,-1*'Get Started'!$H46)*'Get Started'!$E46*'Get Started'!$G46)+IF(O4&lt;'Get Started'!$H45,0,OFFSET(O37,0,-1*'Get Started'!$H45)*'Get Started'!$E45*'Get Started'!$G45)</f>
        <v>15399999.999999994</v>
      </c>
      <c r="P43" s="26">
        <f ca="1">IF(P4&lt;'Get Started'!$H48,0,OFFSET(P37,0,-1*'Get Started'!$H48)*'Get Started'!$E48*'Get Started'!$G48)+IF(P4&lt;'Get Started'!$H47,0,OFFSET(P37,0,-1*'Get Started'!$H47)*'Get Started'!$E47*'Get Started'!$G47)+IF(P4&lt;'Get Started'!$H46,0,OFFSET(P37,0,-1*'Get Started'!$H46)*'Get Started'!$E46*'Get Started'!$G46)+IF(P4&lt;'Get Started'!$H45,0,OFFSET(P37,0,-1*'Get Started'!$H45)*'Get Started'!$E45*'Get Started'!$G45)</f>
        <v>18479999.999999996</v>
      </c>
      <c r="Q43" s="26">
        <f ca="1">IF(Q4&lt;'Get Started'!$H48,0,OFFSET(Q37,0,-1*'Get Started'!$H48)*'Get Started'!$E48*'Get Started'!$G48)+IF(Q4&lt;'Get Started'!$H47,0,OFFSET(Q37,0,-1*'Get Started'!$H47)*'Get Started'!$E47*'Get Started'!$G47)+IF(Q4&lt;'Get Started'!$H46,0,OFFSET(Q37,0,-1*'Get Started'!$H46)*'Get Started'!$E46*'Get Started'!$G46)+IF(Q4&lt;'Get Started'!$H45,0,OFFSET(Q37,0,-1*'Get Started'!$H45)*'Get Started'!$E45*'Get Started'!$G45)</f>
        <v>0</v>
      </c>
      <c r="R43" s="26">
        <f ca="1">IF(R4&lt;'Get Started'!$H48,0,OFFSET(R37,0,-1*'Get Started'!$H48)*'Get Started'!$E48*'Get Started'!$G48)+IF(R4&lt;'Get Started'!$H47,0,OFFSET(R37,0,-1*'Get Started'!$H47)*'Get Started'!$E47*'Get Started'!$G47)+IF(R4&lt;'Get Started'!$H46,0,OFFSET(R37,0,-1*'Get Started'!$H46)*'Get Started'!$E46*'Get Started'!$G46)+IF(R4&lt;'Get Started'!$H45,0,OFFSET(R37,0,-1*'Get Started'!$H45)*'Get Started'!$E45*'Get Started'!$G45)</f>
        <v>0</v>
      </c>
      <c r="S43" s="26">
        <f ca="1">IF(S4&lt;'Get Started'!$H48,0,OFFSET(S37,0,-1*'Get Started'!$H48)*'Get Started'!$E48*'Get Started'!$G48)+IF(S4&lt;'Get Started'!$H47,0,OFFSET(S37,0,-1*'Get Started'!$H47)*'Get Started'!$E47*'Get Started'!$G47)+IF(S4&lt;'Get Started'!$H46,0,OFFSET(S37,0,-1*'Get Started'!$H46)*'Get Started'!$E46*'Get Started'!$G46)+IF(S4&lt;'Get Started'!$H45,0,OFFSET(S37,0,-1*'Get Started'!$H45)*'Get Started'!$E45*'Get Started'!$G45)</f>
        <v>0</v>
      </c>
      <c r="T43" s="26">
        <f ca="1">IF(T4&lt;'Get Started'!$H48,0,OFFSET(T37,0,-1*'Get Started'!$H48)*'Get Started'!$E48*'Get Started'!$G48)+IF(T4&lt;'Get Started'!$H47,0,OFFSET(T37,0,-1*'Get Started'!$H47)*'Get Started'!$E47*'Get Started'!$G47)+IF(T4&lt;'Get Started'!$H46,0,OFFSET(T37,0,-1*'Get Started'!$H46)*'Get Started'!$E46*'Get Started'!$G46)+IF(T4&lt;'Get Started'!$H45,0,OFFSET(T37,0,-1*'Get Started'!$H45)*'Get Started'!$E45*'Get Started'!$G45)</f>
        <v>0</v>
      </c>
      <c r="U43" s="26">
        <f ca="1">IF(U4&lt;'Get Started'!$H48,0,OFFSET(U37,0,-1*'Get Started'!$H48)*'Get Started'!$E48*'Get Started'!$G48)+IF(U4&lt;'Get Started'!$H47,0,OFFSET(U37,0,-1*'Get Started'!$H47)*'Get Started'!$E47*'Get Started'!$G47)+IF(U4&lt;'Get Started'!$H46,0,OFFSET(U37,0,-1*'Get Started'!$H46)*'Get Started'!$E46*'Get Started'!$G46)+IF(U4&lt;'Get Started'!$H45,0,OFFSET(U37,0,-1*'Get Started'!$H45)*'Get Started'!$E45*'Get Started'!$G45)</f>
        <v>0</v>
      </c>
      <c r="V43" s="26">
        <f ca="1">IF(V4&lt;'Get Started'!$H48,0,OFFSET(V37,0,-1*'Get Started'!$H48)*'Get Started'!$E48*'Get Started'!$G48)+IF(V4&lt;'Get Started'!$H47,0,OFFSET(V37,0,-1*'Get Started'!$H47)*'Get Started'!$E47*'Get Started'!$G47)+IF(V4&lt;'Get Started'!$H46,0,OFFSET(V37,0,-1*'Get Started'!$H46)*'Get Started'!$E46*'Get Started'!$G46)+IF(V4&lt;'Get Started'!$H45,0,OFFSET(V37,0,-1*'Get Started'!$H45)*'Get Started'!$E45*'Get Started'!$G45)</f>
        <v>0</v>
      </c>
      <c r="W43" s="26">
        <f ca="1">IF(W4&lt;'Get Started'!$H48,0,OFFSET(W37,0,-1*'Get Started'!$H48)*'Get Started'!$E48*'Get Started'!$G48)+IF(W4&lt;'Get Started'!$H47,0,OFFSET(W37,0,-1*'Get Started'!$H47)*'Get Started'!$E47*'Get Started'!$G47)+IF(W4&lt;'Get Started'!$H46,0,OFFSET(W37,0,-1*'Get Started'!$H46)*'Get Started'!$E46*'Get Started'!$G46)+IF(W4&lt;'Get Started'!$H45,0,OFFSET(W37,0,-1*'Get Started'!$H45)*'Get Started'!$E45*'Get Started'!$G45)</f>
        <v>0</v>
      </c>
      <c r="X43" s="26">
        <f ca="1">IF(X4&lt;'Get Started'!$H48,0,OFFSET(X37,0,-1*'Get Started'!$H48)*'Get Started'!$E48*'Get Started'!$G48)+IF(X4&lt;'Get Started'!$H47,0,OFFSET(X37,0,-1*'Get Started'!$H47)*'Get Started'!$E47*'Get Started'!$G47)+IF(X4&lt;'Get Started'!$H46,0,OFFSET(X37,0,-1*'Get Started'!$H46)*'Get Started'!$E46*'Get Started'!$G46)+IF(X4&lt;'Get Started'!$H45,0,OFFSET(X37,0,-1*'Get Started'!$H45)*'Get Started'!$E45*'Get Started'!$G45)</f>
        <v>0</v>
      </c>
      <c r="Y43" s="26">
        <f ca="1">IF(Y4&lt;'Get Started'!$H48,0,OFFSET(Y37,0,-1*'Get Started'!$H48)*'Get Started'!$E48*'Get Started'!$G48)+IF(Y4&lt;'Get Started'!$H47,0,OFFSET(Y37,0,-1*'Get Started'!$H47)*'Get Started'!$E47*'Get Started'!$G47)+IF(Y4&lt;'Get Started'!$H46,0,OFFSET(Y37,0,-1*'Get Started'!$H46)*'Get Started'!$E46*'Get Started'!$G46)+IF(Y4&lt;'Get Started'!$H45,0,OFFSET(Y37,0,-1*'Get Started'!$H45)*'Get Started'!$E45*'Get Started'!$G45)</f>
        <v>0</v>
      </c>
      <c r="Z43" s="26">
        <f ca="1">IF(Z4&lt;'Get Started'!$H48,0,OFFSET(Z37,0,-1*'Get Started'!$H48)*'Get Started'!$E48*'Get Started'!$G48)+IF(Z4&lt;'Get Started'!$H47,0,OFFSET(Z37,0,-1*'Get Started'!$H47)*'Get Started'!$E47*'Get Started'!$G47)+IF(Z4&lt;'Get Started'!$H46,0,OFFSET(Z37,0,-1*'Get Started'!$H46)*'Get Started'!$E46*'Get Started'!$G46)+IF(Z4&lt;'Get Started'!$H45,0,OFFSET(Z37,0,-1*'Get Started'!$H45)*'Get Started'!$E45*'Get Started'!$G45)</f>
        <v>0</v>
      </c>
    </row>
    <row r="44" spans="1:26" ht="13">
      <c r="B44" s="12" t="s">
        <v>198</v>
      </c>
      <c r="D44" s="12" t="s">
        <v>163</v>
      </c>
      <c r="E44" s="26">
        <f t="shared" si="18"/>
        <v>0</v>
      </c>
      <c r="F44" s="26"/>
      <c r="G44" s="26">
        <v>0</v>
      </c>
      <c r="H44" s="26">
        <v>0</v>
      </c>
      <c r="I44" s="26">
        <v>0</v>
      </c>
      <c r="J44" s="26">
        <v>0</v>
      </c>
      <c r="K44" s="26">
        <v>0</v>
      </c>
      <c r="L44" s="26">
        <v>0</v>
      </c>
      <c r="M44" s="26">
        <v>0</v>
      </c>
      <c r="N44" s="26">
        <v>0</v>
      </c>
      <c r="O44" s="26">
        <v>0</v>
      </c>
      <c r="P44" s="26">
        <v>0</v>
      </c>
      <c r="Q44" s="26">
        <v>0</v>
      </c>
      <c r="R44" s="26">
        <v>0</v>
      </c>
      <c r="S44" s="26">
        <v>0</v>
      </c>
      <c r="T44" s="26">
        <v>0</v>
      </c>
      <c r="U44" s="26">
        <v>0</v>
      </c>
      <c r="V44" s="26">
        <v>0</v>
      </c>
      <c r="W44" s="26">
        <v>0</v>
      </c>
      <c r="X44" s="26">
        <v>0</v>
      </c>
      <c r="Y44" s="26">
        <v>0</v>
      </c>
      <c r="Z44" s="26">
        <v>0</v>
      </c>
    </row>
    <row r="45" spans="1:26" ht="13">
      <c r="B45" s="12" t="s">
        <v>199</v>
      </c>
      <c r="D45" s="12" t="s">
        <v>163</v>
      </c>
      <c r="E45" s="26">
        <f t="shared" si="18"/>
        <v>0</v>
      </c>
      <c r="F45" s="26"/>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6">
        <v>0</v>
      </c>
      <c r="Y45" s="26">
        <v>0</v>
      </c>
      <c r="Z45" s="26">
        <v>0</v>
      </c>
    </row>
    <row r="46" spans="1:26" ht="13">
      <c r="B46" s="12" t="s">
        <v>146</v>
      </c>
      <c r="D46" s="12" t="s">
        <v>163</v>
      </c>
      <c r="E46" s="26">
        <f t="shared" ca="1" si="18"/>
        <v>10977499.999999996</v>
      </c>
      <c r="F46" s="26"/>
      <c r="G46" s="26">
        <f t="shared" ref="G46:Z46" ca="1" si="22">G135</f>
        <v>0</v>
      </c>
      <c r="H46" s="26">
        <f t="shared" ca="1" si="22"/>
        <v>0</v>
      </c>
      <c r="I46" s="26">
        <f t="shared" ca="1" si="22"/>
        <v>0</v>
      </c>
      <c r="J46" s="26">
        <f t="shared" ca="1" si="22"/>
        <v>0</v>
      </c>
      <c r="K46" s="26">
        <f t="shared" ca="1" si="22"/>
        <v>0</v>
      </c>
      <c r="L46" s="26">
        <f t="shared" ca="1" si="22"/>
        <v>0</v>
      </c>
      <c r="M46" s="26">
        <f t="shared" ca="1" si="22"/>
        <v>1067809.5238095222</v>
      </c>
      <c r="N46" s="26">
        <f t="shared" ca="1" si="22"/>
        <v>3395595.2380952369</v>
      </c>
      <c r="O46" s="26">
        <f t="shared" ca="1" si="22"/>
        <v>2960952.3809523806</v>
      </c>
      <c r="P46" s="26">
        <f t="shared" ca="1" si="22"/>
        <v>3553142.8571428568</v>
      </c>
      <c r="Q46" s="26">
        <f t="shared" ca="1" si="22"/>
        <v>0</v>
      </c>
      <c r="R46" s="26">
        <f t="shared" ca="1" si="22"/>
        <v>0</v>
      </c>
      <c r="S46" s="26">
        <f t="shared" ca="1" si="22"/>
        <v>0</v>
      </c>
      <c r="T46" s="26">
        <f t="shared" ca="1" si="22"/>
        <v>0</v>
      </c>
      <c r="U46" s="26">
        <f t="shared" ca="1" si="22"/>
        <v>0</v>
      </c>
      <c r="V46" s="26">
        <f t="shared" ca="1" si="22"/>
        <v>0</v>
      </c>
      <c r="W46" s="26">
        <f t="shared" ca="1" si="22"/>
        <v>0</v>
      </c>
      <c r="X46" s="26">
        <f t="shared" ca="1" si="22"/>
        <v>0</v>
      </c>
      <c r="Y46" s="26">
        <f t="shared" ca="1" si="22"/>
        <v>0</v>
      </c>
      <c r="Z46" s="26">
        <f t="shared" ca="1" si="22"/>
        <v>0</v>
      </c>
    </row>
    <row r="47" spans="1:26" ht="13">
      <c r="B47" s="12" t="s">
        <v>148</v>
      </c>
      <c r="C47" s="12"/>
      <c r="D47" s="12" t="s">
        <v>163</v>
      </c>
      <c r="E47" s="26">
        <f t="shared" ca="1" si="18"/>
        <v>68909999.99999997</v>
      </c>
      <c r="F47" s="26"/>
      <c r="G47" s="26">
        <f t="shared" ref="G47:Z47" ca="1" si="23">G130+G134-G135</f>
        <v>0</v>
      </c>
      <c r="H47" s="26">
        <f t="shared" ca="1" si="23"/>
        <v>0</v>
      </c>
      <c r="I47" s="26">
        <f t="shared" ca="1" si="23"/>
        <v>0</v>
      </c>
      <c r="J47" s="26">
        <f t="shared" ca="1" si="23"/>
        <v>481250</v>
      </c>
      <c r="K47" s="26">
        <f t="shared" ca="1" si="23"/>
        <v>3849999.9999999991</v>
      </c>
      <c r="L47" s="26">
        <f t="shared" ca="1" si="23"/>
        <v>3849999.9999999991</v>
      </c>
      <c r="M47" s="26">
        <f t="shared" ca="1" si="23"/>
        <v>18470940.47619047</v>
      </c>
      <c r="N47" s="26">
        <f t="shared" ca="1" si="23"/>
        <v>14891904.761904756</v>
      </c>
      <c r="O47" s="26">
        <f t="shared" ca="1" si="23"/>
        <v>12439047.619047614</v>
      </c>
      <c r="P47" s="26">
        <f t="shared" ca="1" si="23"/>
        <v>14926857.14285714</v>
      </c>
      <c r="Q47" s="26">
        <f t="shared" ca="1" si="23"/>
        <v>0</v>
      </c>
      <c r="R47" s="26">
        <f t="shared" ca="1" si="23"/>
        <v>0</v>
      </c>
      <c r="S47" s="26">
        <f t="shared" ca="1" si="23"/>
        <v>0</v>
      </c>
      <c r="T47" s="26">
        <f t="shared" ca="1" si="23"/>
        <v>0</v>
      </c>
      <c r="U47" s="26">
        <f t="shared" ca="1" si="23"/>
        <v>0</v>
      </c>
      <c r="V47" s="26">
        <f t="shared" ca="1" si="23"/>
        <v>0</v>
      </c>
      <c r="W47" s="26">
        <f t="shared" ca="1" si="23"/>
        <v>0</v>
      </c>
      <c r="X47" s="26">
        <f t="shared" ca="1" si="23"/>
        <v>0</v>
      </c>
      <c r="Y47" s="26">
        <f t="shared" ca="1" si="23"/>
        <v>0</v>
      </c>
      <c r="Z47" s="26">
        <f t="shared" ca="1" si="23"/>
        <v>0</v>
      </c>
    </row>
    <row r="48" spans="1:26" ht="13">
      <c r="B48" s="12" t="s">
        <v>200</v>
      </c>
      <c r="C48" s="12"/>
      <c r="D48" s="12" t="s">
        <v>163</v>
      </c>
      <c r="E48" s="26">
        <f t="shared" ca="1" si="18"/>
        <v>12127499.999999998</v>
      </c>
      <c r="F48" s="26"/>
      <c r="G48" s="26">
        <f ca="1">IF('Get Started'!$G48&lt;&gt;0,0,IF(G4&lt;'Get Started'!$H48,0,OFFSET(G37,0,-1*'Get Started'!$H48)*'Get Started'!$E48))+IF('Get Started'!$G47&lt;&gt;0,0,IF(G4&lt;'Get Started'!$H47,0,OFFSET(G37,0,-1*'Get Started'!$H47)*'Get Started'!$E47))+IF('Get Started'!$G46&lt;&gt;0,0,IF(G4&lt;'Get Started'!$H46,0,OFFSET(G37,0,-1*'Get Started'!$H46)*'Get Started'!$E46))+IF('Get Started'!$G45&lt;&gt;0,0,IF(G4&lt;'Get Started'!$H45,0,OFFSET(G37,0,-1*'Get Started'!$H45)*'Get Started'!$E45))</f>
        <v>0</v>
      </c>
      <c r="H48" s="26">
        <f ca="1">IF('Get Started'!$G48&lt;&gt;0,0,IF(H4&lt;'Get Started'!$H48,0,OFFSET(H37,0,-1*'Get Started'!$H48)*'Get Started'!$E48))+IF('Get Started'!$G47&lt;&gt;0,0,IF(H4&lt;'Get Started'!$H47,0,OFFSET(H37,0,-1*'Get Started'!$H47)*'Get Started'!$E47))+IF('Get Started'!$G46&lt;&gt;0,0,IF(H4&lt;'Get Started'!$H46,0,OFFSET(H37,0,-1*'Get Started'!$H46)*'Get Started'!$E46))+IF('Get Started'!$G45&lt;&gt;0,0,IF(H4&lt;'Get Started'!$H45,0,OFFSET(H37,0,-1*'Get Started'!$H45)*'Get Started'!$E45))</f>
        <v>0</v>
      </c>
      <c r="I48" s="26">
        <f ca="1">IF('Get Started'!$G48&lt;&gt;0,0,IF(I4&lt;'Get Started'!$H48,0,OFFSET(I37,0,-1*'Get Started'!$H48)*'Get Started'!$E48))+IF('Get Started'!$G47&lt;&gt;0,0,IF(I4&lt;'Get Started'!$H47,0,OFFSET(I37,0,-1*'Get Started'!$H47)*'Get Started'!$E47))+IF('Get Started'!$G46&lt;&gt;0,0,IF(I4&lt;'Get Started'!$H46,0,OFFSET(I37,0,-1*'Get Started'!$H46)*'Get Started'!$E46))+IF('Get Started'!$G45&lt;&gt;0,0,IF(I4&lt;'Get Started'!$H45,0,OFFSET(I37,0,-1*'Get Started'!$H45)*'Get Started'!$E45))</f>
        <v>2887499.9999999995</v>
      </c>
      <c r="J48" s="26">
        <f ca="1">IF('Get Started'!$G48&lt;&gt;0,0,IF(J4&lt;'Get Started'!$H48,0,OFFSET(J37,0,-1*'Get Started'!$H48)*'Get Started'!$E48))+IF('Get Started'!$G47&lt;&gt;0,0,IF(J4&lt;'Get Started'!$H47,0,OFFSET(J37,0,-1*'Get Started'!$H47)*'Get Started'!$E47))+IF('Get Started'!$G46&lt;&gt;0,0,IF(J4&lt;'Get Started'!$H46,0,OFFSET(J37,0,-1*'Get Started'!$H46)*'Get Started'!$E46))+IF('Get Started'!$G45&lt;&gt;0,0,IF(J4&lt;'Get Started'!$H45,0,OFFSET(J37,0,-1*'Get Started'!$H45)*'Get Started'!$E45))</f>
        <v>2887499.9999999995</v>
      </c>
      <c r="K48" s="26">
        <f ca="1">IF('Get Started'!$G48&lt;&gt;0,0,IF(K4&lt;'Get Started'!$H48,0,OFFSET(K37,0,-1*'Get Started'!$H48)*'Get Started'!$E48))+IF('Get Started'!$G47&lt;&gt;0,0,IF(K4&lt;'Get Started'!$H47,0,OFFSET(K37,0,-1*'Get Started'!$H47)*'Get Started'!$E47))+IF('Get Started'!$G46&lt;&gt;0,0,IF(K4&lt;'Get Started'!$H46,0,OFFSET(K37,0,-1*'Get Started'!$H46)*'Get Started'!$E46))+IF('Get Started'!$G45&lt;&gt;0,0,IF(K4&lt;'Get Started'!$H45,0,OFFSET(K37,0,-1*'Get Started'!$H45)*'Get Started'!$E45))</f>
        <v>2887499.9999999995</v>
      </c>
      <c r="L48" s="26">
        <f ca="1">IF('Get Started'!$G48&lt;&gt;0,0,IF(L4&lt;'Get Started'!$H48,0,OFFSET(L37,0,-1*'Get Started'!$H48)*'Get Started'!$E48))+IF('Get Started'!$G47&lt;&gt;0,0,IF(L4&lt;'Get Started'!$H47,0,OFFSET(L37,0,-1*'Get Started'!$H47)*'Get Started'!$E47))+IF('Get Started'!$G46&lt;&gt;0,0,IF(L4&lt;'Get Started'!$H46,0,OFFSET(L37,0,-1*'Get Started'!$H46)*'Get Started'!$E46))+IF('Get Started'!$G45&lt;&gt;0,0,IF(L4&lt;'Get Started'!$H45,0,OFFSET(L37,0,-1*'Get Started'!$H45)*'Get Started'!$E45))</f>
        <v>3465000</v>
      </c>
      <c r="M48" s="26">
        <f ca="1">IF('Get Started'!$G48&lt;&gt;0,0,IF(M4&lt;'Get Started'!$H48,0,OFFSET(M37,0,-1*'Get Started'!$H48)*'Get Started'!$E48))+IF('Get Started'!$G47&lt;&gt;0,0,IF(M4&lt;'Get Started'!$H47,0,OFFSET(M37,0,-1*'Get Started'!$H47)*'Get Started'!$E47))+IF('Get Started'!$G46&lt;&gt;0,0,IF(M4&lt;'Get Started'!$H46,0,OFFSET(M37,0,-1*'Get Started'!$H46)*'Get Started'!$E46))+IF('Get Started'!$G45&lt;&gt;0,0,IF(M4&lt;'Get Started'!$H45,0,OFFSET(M37,0,-1*'Get Started'!$H45)*'Get Started'!$E45))</f>
        <v>0</v>
      </c>
      <c r="N48" s="26">
        <f ca="1">IF('Get Started'!$G48&lt;&gt;0,0,IF(N4&lt;'Get Started'!$H48,0,OFFSET(N37,0,-1*'Get Started'!$H48)*'Get Started'!$E48))+IF('Get Started'!$G47&lt;&gt;0,0,IF(N4&lt;'Get Started'!$H47,0,OFFSET(N37,0,-1*'Get Started'!$H47)*'Get Started'!$E47))+IF('Get Started'!$G46&lt;&gt;0,0,IF(N4&lt;'Get Started'!$H46,0,OFFSET(N37,0,-1*'Get Started'!$H46)*'Get Started'!$E46))+IF('Get Started'!$G45&lt;&gt;0,0,IF(N4&lt;'Get Started'!$H45,0,OFFSET(N37,0,-1*'Get Started'!$H45)*'Get Started'!$E45))</f>
        <v>0</v>
      </c>
      <c r="O48" s="26">
        <f ca="1">IF('Get Started'!$G48&lt;&gt;0,0,IF(O4&lt;'Get Started'!$H48,0,OFFSET(O37,0,-1*'Get Started'!$H48)*'Get Started'!$E48))+IF('Get Started'!$G47&lt;&gt;0,0,IF(O4&lt;'Get Started'!$H47,0,OFFSET(O37,0,-1*'Get Started'!$H47)*'Get Started'!$E47))+IF('Get Started'!$G46&lt;&gt;0,0,IF(O4&lt;'Get Started'!$H46,0,OFFSET(O37,0,-1*'Get Started'!$H46)*'Get Started'!$E46))+IF('Get Started'!$G45&lt;&gt;0,0,IF(O4&lt;'Get Started'!$H45,0,OFFSET(O37,0,-1*'Get Started'!$H45)*'Get Started'!$E45))</f>
        <v>0</v>
      </c>
      <c r="P48" s="26">
        <f ca="1">IF('Get Started'!$G48&lt;&gt;0,0,IF(P4&lt;'Get Started'!$H48,0,OFFSET(P37,0,-1*'Get Started'!$H48)*'Get Started'!$E48))+IF('Get Started'!$G47&lt;&gt;0,0,IF(P4&lt;'Get Started'!$H47,0,OFFSET(P37,0,-1*'Get Started'!$H47)*'Get Started'!$E47))+IF('Get Started'!$G46&lt;&gt;0,0,IF(P4&lt;'Get Started'!$H46,0,OFFSET(P37,0,-1*'Get Started'!$H46)*'Get Started'!$E46))+IF('Get Started'!$G45&lt;&gt;0,0,IF(P4&lt;'Get Started'!$H45,0,OFFSET(P37,0,-1*'Get Started'!$H45)*'Get Started'!$E45))</f>
        <v>0</v>
      </c>
      <c r="Q48" s="26">
        <f ca="1">IF('Get Started'!$G48&lt;&gt;0,0,IF(Q4&lt;'Get Started'!$H48,0,OFFSET(Q37,0,-1*'Get Started'!$H48)*'Get Started'!$E48))+IF('Get Started'!$G47&lt;&gt;0,0,IF(Q4&lt;'Get Started'!$H47,0,OFFSET(Q37,0,-1*'Get Started'!$H47)*'Get Started'!$E47))+IF('Get Started'!$G46&lt;&gt;0,0,IF(Q4&lt;'Get Started'!$H46,0,OFFSET(Q37,0,-1*'Get Started'!$H46)*'Get Started'!$E46))+IF('Get Started'!$G45&lt;&gt;0,0,IF(Q4&lt;'Get Started'!$H45,0,OFFSET(Q37,0,-1*'Get Started'!$H45)*'Get Started'!$E45))</f>
        <v>0</v>
      </c>
      <c r="R48" s="26">
        <f ca="1">IF('Get Started'!$G48&lt;&gt;0,0,IF(R4&lt;'Get Started'!$H48,0,OFFSET(R37,0,-1*'Get Started'!$H48)*'Get Started'!$E48))+IF('Get Started'!$G47&lt;&gt;0,0,IF(R4&lt;'Get Started'!$H47,0,OFFSET(R37,0,-1*'Get Started'!$H47)*'Get Started'!$E47))+IF('Get Started'!$G46&lt;&gt;0,0,IF(R4&lt;'Get Started'!$H46,0,OFFSET(R37,0,-1*'Get Started'!$H46)*'Get Started'!$E46))+IF('Get Started'!$G45&lt;&gt;0,0,IF(R4&lt;'Get Started'!$H45,0,OFFSET(R37,0,-1*'Get Started'!$H45)*'Get Started'!$E45))</f>
        <v>0</v>
      </c>
      <c r="S48" s="26">
        <f ca="1">IF('Get Started'!$G48&lt;&gt;0,0,IF(S4&lt;'Get Started'!$H48,0,OFFSET(S37,0,-1*'Get Started'!$H48)*'Get Started'!$E48))+IF('Get Started'!$G47&lt;&gt;0,0,IF(S4&lt;'Get Started'!$H47,0,OFFSET(S37,0,-1*'Get Started'!$H47)*'Get Started'!$E47))+IF('Get Started'!$G46&lt;&gt;0,0,IF(S4&lt;'Get Started'!$H46,0,OFFSET(S37,0,-1*'Get Started'!$H46)*'Get Started'!$E46))+IF('Get Started'!$G45&lt;&gt;0,0,IF(S4&lt;'Get Started'!$H45,0,OFFSET(S37,0,-1*'Get Started'!$H45)*'Get Started'!$E45))</f>
        <v>0</v>
      </c>
      <c r="T48" s="26">
        <f ca="1">IF('Get Started'!$G48&lt;&gt;0,0,IF(T4&lt;'Get Started'!$H48,0,OFFSET(T37,0,-1*'Get Started'!$H48)*'Get Started'!$E48))+IF('Get Started'!$G47&lt;&gt;0,0,IF(T4&lt;'Get Started'!$H47,0,OFFSET(T37,0,-1*'Get Started'!$H47)*'Get Started'!$E47))+IF('Get Started'!$G46&lt;&gt;0,0,IF(T4&lt;'Get Started'!$H46,0,OFFSET(T37,0,-1*'Get Started'!$H46)*'Get Started'!$E46))+IF('Get Started'!$G45&lt;&gt;0,0,IF(T4&lt;'Get Started'!$H45,0,OFFSET(T37,0,-1*'Get Started'!$H45)*'Get Started'!$E45))</f>
        <v>0</v>
      </c>
      <c r="U48" s="26">
        <f ca="1">IF('Get Started'!$G48&lt;&gt;0,0,IF(U4&lt;'Get Started'!$H48,0,OFFSET(U37,0,-1*'Get Started'!$H48)*'Get Started'!$E48))+IF('Get Started'!$G47&lt;&gt;0,0,IF(U4&lt;'Get Started'!$H47,0,OFFSET(U37,0,-1*'Get Started'!$H47)*'Get Started'!$E47))+IF('Get Started'!$G46&lt;&gt;0,0,IF(U4&lt;'Get Started'!$H46,0,OFFSET(U37,0,-1*'Get Started'!$H46)*'Get Started'!$E46))+IF('Get Started'!$G45&lt;&gt;0,0,IF(U4&lt;'Get Started'!$H45,0,OFFSET(U37,0,-1*'Get Started'!$H45)*'Get Started'!$E45))</f>
        <v>0</v>
      </c>
      <c r="V48" s="26">
        <f ca="1">IF('Get Started'!$G48&lt;&gt;0,0,IF(V4&lt;'Get Started'!$H48,0,OFFSET(V37,0,-1*'Get Started'!$H48)*'Get Started'!$E48))+IF('Get Started'!$G47&lt;&gt;0,0,IF(V4&lt;'Get Started'!$H47,0,OFFSET(V37,0,-1*'Get Started'!$H47)*'Get Started'!$E47))+IF('Get Started'!$G46&lt;&gt;0,0,IF(V4&lt;'Get Started'!$H46,0,OFFSET(V37,0,-1*'Get Started'!$H46)*'Get Started'!$E46))+IF('Get Started'!$G45&lt;&gt;0,0,IF(V4&lt;'Get Started'!$H45,0,OFFSET(V37,0,-1*'Get Started'!$H45)*'Get Started'!$E45))</f>
        <v>0</v>
      </c>
      <c r="W48" s="26">
        <f ca="1">IF('Get Started'!$G48&lt;&gt;0,0,IF(W4&lt;'Get Started'!$H48,0,OFFSET(W37,0,-1*'Get Started'!$H48)*'Get Started'!$E48))+IF('Get Started'!$G47&lt;&gt;0,0,IF(W4&lt;'Get Started'!$H47,0,OFFSET(W37,0,-1*'Get Started'!$H47)*'Get Started'!$E47))+IF('Get Started'!$G46&lt;&gt;0,0,IF(W4&lt;'Get Started'!$H46,0,OFFSET(W37,0,-1*'Get Started'!$H46)*'Get Started'!$E46))+IF('Get Started'!$G45&lt;&gt;0,0,IF(W4&lt;'Get Started'!$H45,0,OFFSET(W37,0,-1*'Get Started'!$H45)*'Get Started'!$E45))</f>
        <v>0</v>
      </c>
      <c r="X48" s="26">
        <f ca="1">IF('Get Started'!$G48&lt;&gt;0,0,IF(X4&lt;'Get Started'!$H48,0,OFFSET(X37,0,-1*'Get Started'!$H48)*'Get Started'!$E48))+IF('Get Started'!$G47&lt;&gt;0,0,IF(X4&lt;'Get Started'!$H47,0,OFFSET(X37,0,-1*'Get Started'!$H47)*'Get Started'!$E47))+IF('Get Started'!$G46&lt;&gt;0,0,IF(X4&lt;'Get Started'!$H46,0,OFFSET(X37,0,-1*'Get Started'!$H46)*'Get Started'!$E46))+IF('Get Started'!$G45&lt;&gt;0,0,IF(X4&lt;'Get Started'!$H45,0,OFFSET(X37,0,-1*'Get Started'!$H45)*'Get Started'!$E45))</f>
        <v>0</v>
      </c>
      <c r="Y48" s="26">
        <f ca="1">IF('Get Started'!$G48&lt;&gt;0,0,IF(Y4&lt;'Get Started'!$H48,0,OFFSET(Y37,0,-1*'Get Started'!$H48)*'Get Started'!$E48))+IF('Get Started'!$G47&lt;&gt;0,0,IF(Y4&lt;'Get Started'!$H47,0,OFFSET(Y37,0,-1*'Get Started'!$H47)*'Get Started'!$E47))+IF('Get Started'!$G46&lt;&gt;0,0,IF(Y4&lt;'Get Started'!$H46,0,OFFSET(Y37,0,-1*'Get Started'!$H46)*'Get Started'!$E46))+IF('Get Started'!$G45&lt;&gt;0,0,IF(Y4&lt;'Get Started'!$H45,0,OFFSET(Y37,0,-1*'Get Started'!$H45)*'Get Started'!$E45))</f>
        <v>0</v>
      </c>
      <c r="Z48" s="26">
        <f ca="1">IF('Get Started'!$G48&lt;&gt;0,0,IF(Z4&lt;'Get Started'!$H48,0,OFFSET(Z37,0,-1*'Get Started'!$H48)*'Get Started'!$E48))+IF('Get Started'!$G47&lt;&gt;0,0,IF(Z4&lt;'Get Started'!$H47,0,OFFSET(Z37,0,-1*'Get Started'!$H47)*'Get Started'!$E47))+IF('Get Started'!$G46&lt;&gt;0,0,IF(Z4&lt;'Get Started'!$H46,0,OFFSET(Z37,0,-1*'Get Started'!$H46)*'Get Started'!$E46))+IF('Get Started'!$G45&lt;&gt;0,0,IF(Z4&lt;'Get Started'!$H45,0,OFFSET(Z37,0,-1*'Get Started'!$H45)*'Get Started'!$E45))</f>
        <v>0</v>
      </c>
    </row>
    <row r="49" spans="1:26" ht="13">
      <c r="B49" s="34" t="s">
        <v>201</v>
      </c>
      <c r="C49" s="34" t="s">
        <v>202</v>
      </c>
      <c r="D49" s="12" t="s">
        <v>163</v>
      </c>
      <c r="E49" s="26">
        <f t="shared" ca="1" si="18"/>
        <v>8084999.9999999991</v>
      </c>
      <c r="F49" s="26"/>
      <c r="G49" s="26">
        <f ca="1">IF('Get Started'!$G48=0,0,IF(G4&lt;'Get Started'!$H48,0,OFFSET(G37,0,-1*'Get Started'!$H48)*'Get Started'!$E48))+IF('Get Started'!$G47=0,0,IF(G4&lt;'Get Started'!$H47,0,OFFSET(G37,0,-1*'Get Started'!$H47)*'Get Started'!$E47))+IF('Get Started'!$G46=0,0,IF(G4&lt;'Get Started'!$H46,0,OFFSET(G37,0,-1*'Get Started'!$H46)*'Get Started'!$E46))+IF('Get Started'!$G45=0,0,IF(G4&lt;'Get Started'!$H45,0,OFFSET(G37,0,-1*'Get Started'!$H45)*'Get Started'!$E45))</f>
        <v>0</v>
      </c>
      <c r="H49" s="26">
        <f ca="1">IF('Get Started'!$G48=0,0,IF(H4&lt;'Get Started'!$H48,0,OFFSET(H37,0,-1*'Get Started'!$H48)*'Get Started'!$E48))+IF('Get Started'!$G47=0,0,IF(H4&lt;'Get Started'!$H47,0,OFFSET(H37,0,-1*'Get Started'!$H47)*'Get Started'!$E47))+IF('Get Started'!$G46=0,0,IF(H4&lt;'Get Started'!$H46,0,OFFSET(H37,0,-1*'Get Started'!$H46)*'Get Started'!$E46))+IF('Get Started'!$G45=0,0,IF(H4&lt;'Get Started'!$H45,0,OFFSET(H37,0,-1*'Get Started'!$H45)*'Get Started'!$E45))</f>
        <v>0</v>
      </c>
      <c r="I49" s="26">
        <f ca="1">IF('Get Started'!$G48=0,0,IF(I4&lt;'Get Started'!$H48,0,OFFSET(I37,0,-1*'Get Started'!$H48)*'Get Started'!$E48))+IF('Get Started'!$G47=0,0,IF(I4&lt;'Get Started'!$H47,0,OFFSET(I37,0,-1*'Get Started'!$H47)*'Get Started'!$E47))+IF('Get Started'!$G46=0,0,IF(I4&lt;'Get Started'!$H46,0,OFFSET(I37,0,-1*'Get Started'!$H46)*'Get Started'!$E46))+IF('Get Started'!$G45=0,0,IF(I4&lt;'Get Started'!$H45,0,OFFSET(I37,0,-1*'Get Started'!$H45)*'Get Started'!$E45))</f>
        <v>0</v>
      </c>
      <c r="J49" s="26">
        <f ca="1">IF('Get Started'!$G48=0,0,IF(J4&lt;'Get Started'!$H48,0,OFFSET(J37,0,-1*'Get Started'!$H48)*'Get Started'!$E48))+IF('Get Started'!$G47=0,0,IF(J4&lt;'Get Started'!$H47,0,OFFSET(J37,0,-1*'Get Started'!$H47)*'Get Started'!$E47))+IF('Get Started'!$G46=0,0,IF(J4&lt;'Get Started'!$H46,0,OFFSET(J37,0,-1*'Get Started'!$H46)*'Get Started'!$E46))+IF('Get Started'!$G45=0,0,IF(J4&lt;'Get Started'!$H45,0,OFFSET(J37,0,-1*'Get Started'!$H45)*'Get Started'!$E45))</f>
        <v>962499.99999999988</v>
      </c>
      <c r="K49" s="26">
        <f ca="1">IF('Get Started'!$G48=0,0,IF(K4&lt;'Get Started'!$H48,0,OFFSET(K37,0,-1*'Get Started'!$H48)*'Get Started'!$E48))+IF('Get Started'!$G47=0,0,IF(K4&lt;'Get Started'!$H47,0,OFFSET(K37,0,-1*'Get Started'!$H47)*'Get Started'!$E47))+IF('Get Started'!$G46=0,0,IF(K4&lt;'Get Started'!$H46,0,OFFSET(K37,0,-1*'Get Started'!$H46)*'Get Started'!$E46))+IF('Get Started'!$G45=0,0,IF(K4&lt;'Get Started'!$H45,0,OFFSET(K37,0,-1*'Get Started'!$H45)*'Get Started'!$E45))</f>
        <v>1443749.9999999998</v>
      </c>
      <c r="L49" s="26">
        <f ca="1">IF('Get Started'!$G48=0,0,IF(L4&lt;'Get Started'!$H48,0,OFFSET(L37,0,-1*'Get Started'!$H48)*'Get Started'!$E48))+IF('Get Started'!$G47=0,0,IF(L4&lt;'Get Started'!$H47,0,OFFSET(L37,0,-1*'Get Started'!$H47)*'Get Started'!$E47))+IF('Get Started'!$G46=0,0,IF(L4&lt;'Get Started'!$H46,0,OFFSET(L37,0,-1*'Get Started'!$H46)*'Get Started'!$E46))+IF('Get Started'!$G45=0,0,IF(L4&lt;'Get Started'!$H45,0,OFFSET(L37,0,-1*'Get Started'!$H45)*'Get Started'!$E45))</f>
        <v>1443749.9999999998</v>
      </c>
      <c r="M49" s="26">
        <f ca="1">IF('Get Started'!$G48=0,0,IF(M4&lt;'Get Started'!$H48,0,OFFSET(M37,0,-1*'Get Started'!$H48)*'Get Started'!$E48))+IF('Get Started'!$G47=0,0,IF(M4&lt;'Get Started'!$H47,0,OFFSET(M37,0,-1*'Get Started'!$H47)*'Get Started'!$E47))+IF('Get Started'!$G46=0,0,IF(M4&lt;'Get Started'!$H46,0,OFFSET(M37,0,-1*'Get Started'!$H46)*'Get Started'!$E46))+IF('Get Started'!$G45=0,0,IF(M4&lt;'Get Started'!$H45,0,OFFSET(M37,0,-1*'Get Started'!$H45)*'Get Started'!$E45))</f>
        <v>2117500</v>
      </c>
      <c r="N49" s="26">
        <f ca="1">IF('Get Started'!$G48=0,0,IF(N4&lt;'Get Started'!$H48,0,OFFSET(N37,0,-1*'Get Started'!$H48)*'Get Started'!$E48))+IF('Get Started'!$G47=0,0,IF(N4&lt;'Get Started'!$H47,0,OFFSET(N37,0,-1*'Get Started'!$H47)*'Get Started'!$E47))+IF('Get Started'!$G46=0,0,IF(N4&lt;'Get Started'!$H46,0,OFFSET(N37,0,-1*'Get Started'!$H46)*'Get Started'!$E46))+IF('Get Started'!$G45=0,0,IF(N4&lt;'Get Started'!$H45,0,OFFSET(N37,0,-1*'Get Started'!$H45)*'Get Started'!$E45))</f>
        <v>1058749.9999999998</v>
      </c>
      <c r="O49" s="26">
        <f ca="1">IF('Get Started'!$G48=0,0,IF(O4&lt;'Get Started'!$H48,0,OFFSET(O37,0,-1*'Get Started'!$H48)*'Get Started'!$E48))+IF('Get Started'!$G47=0,0,IF(O4&lt;'Get Started'!$H47,0,OFFSET(O37,0,-1*'Get Started'!$H47)*'Get Started'!$E47))+IF('Get Started'!$G46=0,0,IF(O4&lt;'Get Started'!$H46,0,OFFSET(O37,0,-1*'Get Started'!$H46)*'Get Started'!$E46))+IF('Get Started'!$G45=0,0,IF(O4&lt;'Get Started'!$H45,0,OFFSET(O37,0,-1*'Get Started'!$H45)*'Get Started'!$E45))</f>
        <v>481249.99999999983</v>
      </c>
      <c r="P49" s="26">
        <f ca="1">IF('Get Started'!$G48=0,0,IF(P4&lt;'Get Started'!$H48,0,OFFSET(P37,0,-1*'Get Started'!$H48)*'Get Started'!$E48))+IF('Get Started'!$G47=0,0,IF(P4&lt;'Get Started'!$H47,0,OFFSET(P37,0,-1*'Get Started'!$H47)*'Get Started'!$E47))+IF('Get Started'!$G46=0,0,IF(P4&lt;'Get Started'!$H46,0,OFFSET(P37,0,-1*'Get Started'!$H46)*'Get Started'!$E46))+IF('Get Started'!$G45=0,0,IF(P4&lt;'Get Started'!$H45,0,OFFSET(P37,0,-1*'Get Started'!$H45)*'Get Started'!$E45))</f>
        <v>577499.99999999988</v>
      </c>
      <c r="Q49" s="26">
        <f ca="1">IF('Get Started'!$G48=0,0,IF(Q4&lt;'Get Started'!$H48,0,OFFSET(Q37,0,-1*'Get Started'!$H48)*'Get Started'!$E48))+IF('Get Started'!$G47=0,0,IF(Q4&lt;'Get Started'!$H47,0,OFFSET(Q37,0,-1*'Get Started'!$H47)*'Get Started'!$E47))+IF('Get Started'!$G46=0,0,IF(Q4&lt;'Get Started'!$H46,0,OFFSET(Q37,0,-1*'Get Started'!$H46)*'Get Started'!$E46))+IF('Get Started'!$G45=0,0,IF(Q4&lt;'Get Started'!$H45,0,OFFSET(Q37,0,-1*'Get Started'!$H45)*'Get Started'!$E45))</f>
        <v>0</v>
      </c>
      <c r="R49" s="26">
        <f ca="1">IF('Get Started'!$G48=0,0,IF(R4&lt;'Get Started'!$H48,0,OFFSET(R37,0,-1*'Get Started'!$H48)*'Get Started'!$E48))+IF('Get Started'!$G47=0,0,IF(R4&lt;'Get Started'!$H47,0,OFFSET(R37,0,-1*'Get Started'!$H47)*'Get Started'!$E47))+IF('Get Started'!$G46=0,0,IF(R4&lt;'Get Started'!$H46,0,OFFSET(R37,0,-1*'Get Started'!$H46)*'Get Started'!$E46))+IF('Get Started'!$G45=0,0,IF(R4&lt;'Get Started'!$H45,0,OFFSET(R37,0,-1*'Get Started'!$H45)*'Get Started'!$E45))</f>
        <v>0</v>
      </c>
      <c r="S49" s="26">
        <f ca="1">IF('Get Started'!$G48=0,0,IF(S4&lt;'Get Started'!$H48,0,OFFSET(S37,0,-1*'Get Started'!$H48)*'Get Started'!$E48))+IF('Get Started'!$G47=0,0,IF(S4&lt;'Get Started'!$H47,0,OFFSET(S37,0,-1*'Get Started'!$H47)*'Get Started'!$E47))+IF('Get Started'!$G46=0,0,IF(S4&lt;'Get Started'!$H46,0,OFFSET(S37,0,-1*'Get Started'!$H46)*'Get Started'!$E46))+IF('Get Started'!$G45=0,0,IF(S4&lt;'Get Started'!$H45,0,OFFSET(S37,0,-1*'Get Started'!$H45)*'Get Started'!$E45))</f>
        <v>0</v>
      </c>
      <c r="T49" s="26">
        <f ca="1">IF('Get Started'!$G48=0,0,IF(T4&lt;'Get Started'!$H48,0,OFFSET(T37,0,-1*'Get Started'!$H48)*'Get Started'!$E48))+IF('Get Started'!$G47=0,0,IF(T4&lt;'Get Started'!$H47,0,OFFSET(T37,0,-1*'Get Started'!$H47)*'Get Started'!$E47))+IF('Get Started'!$G46=0,0,IF(T4&lt;'Get Started'!$H46,0,OFFSET(T37,0,-1*'Get Started'!$H46)*'Get Started'!$E46))+IF('Get Started'!$G45=0,0,IF(T4&lt;'Get Started'!$H45,0,OFFSET(T37,0,-1*'Get Started'!$H45)*'Get Started'!$E45))</f>
        <v>0</v>
      </c>
      <c r="U49" s="26">
        <f ca="1">IF('Get Started'!$G48=0,0,IF(U4&lt;'Get Started'!$H48,0,OFFSET(U37,0,-1*'Get Started'!$H48)*'Get Started'!$E48))+IF('Get Started'!$G47=0,0,IF(U4&lt;'Get Started'!$H47,0,OFFSET(U37,0,-1*'Get Started'!$H47)*'Get Started'!$E47))+IF('Get Started'!$G46=0,0,IF(U4&lt;'Get Started'!$H46,0,OFFSET(U37,0,-1*'Get Started'!$H46)*'Get Started'!$E46))+IF('Get Started'!$G45=0,0,IF(U4&lt;'Get Started'!$H45,0,OFFSET(U37,0,-1*'Get Started'!$H45)*'Get Started'!$E45))</f>
        <v>0</v>
      </c>
      <c r="V49" s="26">
        <f ca="1">IF('Get Started'!$G48=0,0,IF(V4&lt;'Get Started'!$H48,0,OFFSET(V37,0,-1*'Get Started'!$H48)*'Get Started'!$E48))+IF('Get Started'!$G47=0,0,IF(V4&lt;'Get Started'!$H47,0,OFFSET(V37,0,-1*'Get Started'!$H47)*'Get Started'!$E47))+IF('Get Started'!$G46=0,0,IF(V4&lt;'Get Started'!$H46,0,OFFSET(V37,0,-1*'Get Started'!$H46)*'Get Started'!$E46))+IF('Get Started'!$G45=0,0,IF(V4&lt;'Get Started'!$H45,0,OFFSET(V37,0,-1*'Get Started'!$H45)*'Get Started'!$E45))</f>
        <v>0</v>
      </c>
      <c r="W49" s="26">
        <f ca="1">IF('Get Started'!$G48=0,0,IF(W4&lt;'Get Started'!$H48,0,OFFSET(W37,0,-1*'Get Started'!$H48)*'Get Started'!$E48))+IF('Get Started'!$G47=0,0,IF(W4&lt;'Get Started'!$H47,0,OFFSET(W37,0,-1*'Get Started'!$H47)*'Get Started'!$E47))+IF('Get Started'!$G46=0,0,IF(W4&lt;'Get Started'!$H46,0,OFFSET(W37,0,-1*'Get Started'!$H46)*'Get Started'!$E46))+IF('Get Started'!$G45=0,0,IF(W4&lt;'Get Started'!$H45,0,OFFSET(W37,0,-1*'Get Started'!$H45)*'Get Started'!$E45))</f>
        <v>0</v>
      </c>
      <c r="X49" s="26">
        <f ca="1">IF('Get Started'!$G48=0,0,IF(X4&lt;'Get Started'!$H48,0,OFFSET(X37,0,-1*'Get Started'!$H48)*'Get Started'!$E48))+IF('Get Started'!$G47=0,0,IF(X4&lt;'Get Started'!$H47,0,OFFSET(X37,0,-1*'Get Started'!$H47)*'Get Started'!$E47))+IF('Get Started'!$G46=0,0,IF(X4&lt;'Get Started'!$H46,0,OFFSET(X37,0,-1*'Get Started'!$H46)*'Get Started'!$E46))+IF('Get Started'!$G45=0,0,IF(X4&lt;'Get Started'!$H45,0,OFFSET(X37,0,-1*'Get Started'!$H45)*'Get Started'!$E45))</f>
        <v>0</v>
      </c>
      <c r="Y49" s="26">
        <f ca="1">IF('Get Started'!$G48=0,0,IF(Y4&lt;'Get Started'!$H48,0,OFFSET(Y37,0,-1*'Get Started'!$H48)*'Get Started'!$E48))+IF('Get Started'!$G47=0,0,IF(Y4&lt;'Get Started'!$H47,0,OFFSET(Y37,0,-1*'Get Started'!$H47)*'Get Started'!$E47))+IF('Get Started'!$G46=0,0,IF(Y4&lt;'Get Started'!$H46,0,OFFSET(Y37,0,-1*'Get Started'!$H46)*'Get Started'!$E46))+IF('Get Started'!$G45=0,0,IF(Y4&lt;'Get Started'!$H45,0,OFFSET(Y37,0,-1*'Get Started'!$H45)*'Get Started'!$E45))</f>
        <v>0</v>
      </c>
      <c r="Z49" s="26">
        <f ca="1">IF('Get Started'!$G48=0,0,IF(Z4&lt;'Get Started'!$H48,0,OFFSET(Z37,0,-1*'Get Started'!$H48)*'Get Started'!$E48))+IF('Get Started'!$G47=0,0,IF(Z4&lt;'Get Started'!$H47,0,OFFSET(Z37,0,-1*'Get Started'!$H47)*'Get Started'!$E47))+IF('Get Started'!$G46=0,0,IF(Z4&lt;'Get Started'!$H46,0,OFFSET(Z37,0,-1*'Get Started'!$H46)*'Get Started'!$E46))+IF('Get Started'!$G45=0,0,IF(Z4&lt;'Get Started'!$H45,0,OFFSET(Z37,0,-1*'Get Started'!$H45)*'Get Started'!$E45))</f>
        <v>0</v>
      </c>
    </row>
    <row r="50" spans="1:26" ht="13">
      <c r="B50" s="12" t="s">
        <v>203</v>
      </c>
      <c r="C50" s="12" t="s">
        <v>204</v>
      </c>
      <c r="D50" s="12" t="s">
        <v>163</v>
      </c>
      <c r="E50" s="26">
        <f t="shared" ca="1" si="18"/>
        <v>5.8207660913467407E-10</v>
      </c>
      <c r="F50" s="26"/>
      <c r="G50" s="26">
        <f t="shared" ref="G50:Z50" ca="1" si="24">G38+ABS(G48)*-1+ABS(G49)*-1</f>
        <v>4812499.9999999991</v>
      </c>
      <c r="H50" s="26">
        <f t="shared" ca="1" si="24"/>
        <v>4812499.9999999991</v>
      </c>
      <c r="I50" s="26">
        <f t="shared" ca="1" si="24"/>
        <v>1924999.9999999995</v>
      </c>
      <c r="J50" s="26">
        <f t="shared" ca="1" si="24"/>
        <v>1925000.0000000005</v>
      </c>
      <c r="K50" s="26">
        <f t="shared" ca="1" si="24"/>
        <v>-4331249.9999999991</v>
      </c>
      <c r="L50" s="26">
        <f t="shared" ca="1" si="24"/>
        <v>-4908750</v>
      </c>
      <c r="M50" s="26">
        <f t="shared" ca="1" si="24"/>
        <v>-2117500</v>
      </c>
      <c r="N50" s="26">
        <f t="shared" ca="1" si="24"/>
        <v>-1058749.9999999998</v>
      </c>
      <c r="O50" s="26">
        <f t="shared" ca="1" si="24"/>
        <v>-481249.99999999983</v>
      </c>
      <c r="P50" s="26">
        <f t="shared" ca="1" si="24"/>
        <v>-577499.99999999988</v>
      </c>
      <c r="Q50" s="26">
        <f t="shared" ca="1" si="24"/>
        <v>0</v>
      </c>
      <c r="R50" s="26">
        <f t="shared" ca="1" si="24"/>
        <v>0</v>
      </c>
      <c r="S50" s="26">
        <f t="shared" ca="1" si="24"/>
        <v>0</v>
      </c>
      <c r="T50" s="26">
        <f t="shared" ca="1" si="24"/>
        <v>0</v>
      </c>
      <c r="U50" s="26">
        <f t="shared" ca="1" si="24"/>
        <v>0</v>
      </c>
      <c r="V50" s="26">
        <f t="shared" ca="1" si="24"/>
        <v>0</v>
      </c>
      <c r="W50" s="26">
        <f t="shared" ca="1" si="24"/>
        <v>0</v>
      </c>
      <c r="X50" s="26">
        <f t="shared" ca="1" si="24"/>
        <v>0</v>
      </c>
      <c r="Y50" s="26">
        <f t="shared" ca="1" si="24"/>
        <v>0</v>
      </c>
      <c r="Z50" s="26">
        <f t="shared" ca="1" si="24"/>
        <v>0</v>
      </c>
    </row>
    <row r="51" spans="1:26" ht="13">
      <c r="B51" s="12" t="s">
        <v>205</v>
      </c>
      <c r="C51" s="12" t="s">
        <v>206</v>
      </c>
      <c r="D51" s="12" t="s">
        <v>163</v>
      </c>
      <c r="E51" s="26">
        <f t="shared" ca="1" si="18"/>
        <v>0</v>
      </c>
      <c r="F51" s="26"/>
      <c r="G51" s="26">
        <f ca="1">IF(G76=$E76,SUM(F51:$G51)*-1,IF(G77=0,0,IF(G4&lt;&gt;1,(F79+G50/2)*'Get Started'!$E64-G49*(1+'Get Started'!$E64)^('Get Started'!$H49-1),0)))</f>
        <v>0</v>
      </c>
      <c r="H51" s="26">
        <f ca="1">IF(H76=$E76,SUM(G51:$G51)*-1,IF(H77=0,0,IF(H4&lt;&gt;1,(G79+H50/2)*'Get Started'!$E64-H49*(1+'Get Started'!$E64)^('Get Started'!$H49-1),0)))</f>
        <v>0</v>
      </c>
      <c r="I51" s="26">
        <f ca="1">IF(I76=$E76,SUM($G51:H51)*-1,IF(I77=0,0,IF(I4&lt;&gt;1,(H79+I50/2)*'Get Started'!$E64-I49*(1+'Get Started'!$E64)^('Get Started'!$H49-1),0)))</f>
        <v>3106178.2114952803</v>
      </c>
      <c r="J51" s="26">
        <f ca="1">IF(J76=$E76,SUM($G51:I51)*-1,IF(J77=0,0,IF(J4&lt;&gt;1,(I79+J50/2)*'Get Started'!$E64-J49*(1+'Get Started'!$E64)^('Get Started'!$H49-1),0)))</f>
        <v>2141581.1905900277</v>
      </c>
      <c r="K51" s="26">
        <f ca="1">IF(K76=$E76,SUM($G51:J51)*-1,IF(K77=0,0,IF(K4&lt;&gt;1,(J79+K50/2)*'Get Started'!$E64-K49*(1+'Get Started'!$E64)^('Get Started'!$H49-1),0)))</f>
        <v>1023928.0459679128</v>
      </c>
      <c r="L51" s="26">
        <f ca="1">IF(L76=$E76,SUM($G51:K51)*-1,IF(L77=0,0,IF(L4&lt;&gt;1,(K79+L50/2)*'Get Started'!$E64-L49*(1+'Get Started'!$E64)^('Get Started'!$H49-1),0)))</f>
        <v>-331495.17359366384</v>
      </c>
      <c r="M51" s="26">
        <f ca="1">IF(M76=$E76,SUM($G51:L51)*-1,IF(M77=0,0,IF(M4&lt;&gt;1,(L79+M50/2)*'Get Started'!$E64-M49*(1+'Get Started'!$E64)^('Get Started'!$H49-1),0)))</f>
        <v>-2432731.2671410833</v>
      </c>
      <c r="N51" s="26">
        <f ca="1">IF(N76=$E76,SUM($G51:M51)*-1,IF(N77=0,0,IF(N4&lt;&gt;1,(M79+N50/2)*'Get Started'!$E64-N49*(1+'Get Started'!$E64)^('Get Started'!$H49-1),0)))</f>
        <v>-1216365.6335705414</v>
      </c>
      <c r="O51" s="26">
        <f ca="1">IF(O76=$E76,SUM($G51:N51)*-1,IF(O77=0,0,IF(O4&lt;&gt;1,(N79+O50/2)*'Get Started'!$E64-O49*(1+'Get Started'!$E64)^('Get Started'!$H49-1),0)))</f>
        <v>-524655.48606392508</v>
      </c>
      <c r="P51" s="26">
        <f ca="1">IF(P76=$E76,SUM($G51:O51)*-1,IF(P77=0,0,IF(P4&lt;&gt;1,(O79+P50/2)*'Get Started'!$E64-P49*(1+'Get Started'!$E64)^('Get Started'!$H49-1),0)))</f>
        <v>-1766439.8876840067</v>
      </c>
      <c r="Q51" s="26">
        <f ca="1">IF(Q76=$E76,SUM($G51:P51)*-1,IF(Q77=0,0,IF(Q4&lt;&gt;1,(P79+Q50/2)*'Get Started'!$E64-Q49*(1+'Get Started'!$E64)^('Get Started'!$H49-1),0)))</f>
        <v>0</v>
      </c>
      <c r="R51" s="26">
        <f ca="1">IF(R76=$E76,SUM($G51:Q51)*-1,IF(R77=0,0,IF(R4&lt;&gt;1,(Q79+R50/2)*'Get Started'!$E64-R49*(1+'Get Started'!$E64)^('Get Started'!$H49-1),0)))</f>
        <v>0</v>
      </c>
      <c r="S51" s="26">
        <f ca="1">IF(S76=$E76,SUM($G51:R51)*-1,IF(S77=0,0,IF(S4&lt;&gt;1,(R79+S50/2)*'Get Started'!$E64-S49*(1+'Get Started'!$E64)^('Get Started'!$H49-1),0)))</f>
        <v>0</v>
      </c>
      <c r="T51" s="26">
        <f ca="1">IF(T76=$E76,SUM($G51:S51)*-1,IF(T77=0,0,IF(T4&lt;&gt;1,(S79+T50/2)*'Get Started'!$E64-T49*(1+'Get Started'!$E64)^('Get Started'!$H49-1),0)))</f>
        <v>0</v>
      </c>
      <c r="U51" s="26">
        <f ca="1">IF(U76=$E76,SUM($G51:T51)*-1,IF(U77=0,0,IF(U4&lt;&gt;1,(T79+U50/2)*'Get Started'!$E64-U49*(1+'Get Started'!$E64)^('Get Started'!$H49-1),0)))</f>
        <v>0</v>
      </c>
      <c r="V51" s="26">
        <f ca="1">IF(V76=$E76,SUM($G51:U51)*-1,IF(V77=0,0,IF(V4&lt;&gt;1,(U79+V50/2)*'Get Started'!$E64-V49*(1+'Get Started'!$E64)^('Get Started'!$H49-1),0)))</f>
        <v>0</v>
      </c>
      <c r="W51" s="26">
        <f ca="1">IF(W76=$E76,SUM($G51:V51)*-1,IF(W77=0,0,IF(W4&lt;&gt;1,(V79+W50/2)*'Get Started'!$E64-W49*(1+'Get Started'!$E64)^('Get Started'!$H49-1),0)))</f>
        <v>0</v>
      </c>
      <c r="X51" s="26">
        <f ca="1">IF(X76=$E76,SUM($G51:W51)*-1,IF(X77=0,0,IF(X4&lt;&gt;1,(W79+X50/2)*'Get Started'!$E64-X49*(1+'Get Started'!$E64)^('Get Started'!$H49-1),0)))</f>
        <v>0</v>
      </c>
      <c r="Y51" s="26">
        <f ca="1">IF(Y76=$E76,SUM($G51:X51)*-1,IF(Y77=0,0,IF(Y4&lt;&gt;1,(X79+Y50/2)*'Get Started'!$E64-Y49*(1+'Get Started'!$E64)^('Get Started'!$H49-1),0)))</f>
        <v>0</v>
      </c>
      <c r="Z51" s="26">
        <f ca="1">IF(Z76=$E76,SUM($G51:Y51)*-1,IF(Z77=0,0,IF(Z4&lt;&gt;1,(Y79+Z50/2)*'Get Started'!$E64-Z49*(1+'Get Started'!$E64)^('Get Started'!$H49-1),0)))</f>
        <v>0</v>
      </c>
    </row>
    <row r="52" spans="1:26" ht="13">
      <c r="B52" s="12" t="s">
        <v>207</v>
      </c>
      <c r="C52" s="12" t="s">
        <v>208</v>
      </c>
      <c r="D52" s="12" t="s">
        <v>163</v>
      </c>
      <c r="E52" s="26">
        <f t="shared" ca="1" si="18"/>
        <v>3.2596290111541748E-9</v>
      </c>
      <c r="F52" s="26"/>
      <c r="G52" s="26">
        <f t="shared" ref="G52:Z52" ca="1" si="25">G51+G50</f>
        <v>4812499.9999999991</v>
      </c>
      <c r="H52" s="26">
        <f t="shared" ca="1" si="25"/>
        <v>4812499.9999999991</v>
      </c>
      <c r="I52" s="26">
        <f t="shared" ca="1" si="25"/>
        <v>5031178.2114952803</v>
      </c>
      <c r="J52" s="26">
        <f t="shared" ca="1" si="25"/>
        <v>4066581.1905900282</v>
      </c>
      <c r="K52" s="26">
        <f t="shared" ca="1" si="25"/>
        <v>-3307321.9540320863</v>
      </c>
      <c r="L52" s="26">
        <f t="shared" ca="1" si="25"/>
        <v>-5240245.1735936636</v>
      </c>
      <c r="M52" s="26">
        <f t="shared" ca="1" si="25"/>
        <v>-4550231.2671410833</v>
      </c>
      <c r="N52" s="26">
        <f t="shared" ca="1" si="25"/>
        <v>-2275115.6335705412</v>
      </c>
      <c r="O52" s="26">
        <f t="shared" ca="1" si="25"/>
        <v>-1005905.4860639249</v>
      </c>
      <c r="P52" s="26">
        <f t="shared" ca="1" si="25"/>
        <v>-2343939.8876840067</v>
      </c>
      <c r="Q52" s="26">
        <f t="shared" ca="1" si="25"/>
        <v>0</v>
      </c>
      <c r="R52" s="26">
        <f t="shared" ca="1" si="25"/>
        <v>0</v>
      </c>
      <c r="S52" s="26">
        <f t="shared" ca="1" si="25"/>
        <v>0</v>
      </c>
      <c r="T52" s="26">
        <f t="shared" ca="1" si="25"/>
        <v>0</v>
      </c>
      <c r="U52" s="26">
        <f t="shared" ca="1" si="25"/>
        <v>0</v>
      </c>
      <c r="V52" s="26">
        <f t="shared" ca="1" si="25"/>
        <v>0</v>
      </c>
      <c r="W52" s="26">
        <f t="shared" ca="1" si="25"/>
        <v>0</v>
      </c>
      <c r="X52" s="26">
        <f t="shared" ca="1" si="25"/>
        <v>0</v>
      </c>
      <c r="Y52" s="26">
        <f t="shared" ca="1" si="25"/>
        <v>0</v>
      </c>
      <c r="Z52" s="26">
        <f t="shared" ca="1" si="25"/>
        <v>0</v>
      </c>
    </row>
    <row r="53" spans="1:26" ht="13">
      <c r="B53" s="12" t="s">
        <v>209</v>
      </c>
      <c r="C53" s="12"/>
      <c r="D53" s="12" t="s">
        <v>163</v>
      </c>
      <c r="E53" s="26">
        <f t="shared" ca="1" si="18"/>
        <v>0</v>
      </c>
      <c r="F53" s="26"/>
      <c r="G53" s="26">
        <f t="shared" ref="G53:Z53" ca="1" si="26">G30-G31</f>
        <v>19522500</v>
      </c>
      <c r="H53" s="26">
        <f t="shared" ca="1" si="26"/>
        <v>-5377499.9999999991</v>
      </c>
      <c r="I53" s="26">
        <f t="shared" ca="1" si="26"/>
        <v>-5377499.9999999991</v>
      </c>
      <c r="J53" s="26">
        <f t="shared" ca="1" si="26"/>
        <v>-5377500</v>
      </c>
      <c r="K53" s="26">
        <f t="shared" ca="1" si="26"/>
        <v>-565000</v>
      </c>
      <c r="L53" s="26">
        <f t="shared" ca="1" si="26"/>
        <v>-565000</v>
      </c>
      <c r="M53" s="26">
        <f t="shared" ca="1" si="26"/>
        <v>-565000</v>
      </c>
      <c r="N53" s="26">
        <f t="shared" ca="1" si="26"/>
        <v>-565000</v>
      </c>
      <c r="O53" s="26">
        <f t="shared" ca="1" si="26"/>
        <v>-565000</v>
      </c>
      <c r="P53" s="26">
        <f t="shared" ca="1" si="26"/>
        <v>-565000</v>
      </c>
      <c r="Q53" s="26">
        <f t="shared" ca="1" si="26"/>
        <v>0</v>
      </c>
      <c r="R53" s="26">
        <f t="shared" ca="1" si="26"/>
        <v>0</v>
      </c>
      <c r="S53" s="26">
        <f t="shared" ca="1" si="26"/>
        <v>0</v>
      </c>
      <c r="T53" s="26">
        <f t="shared" ca="1" si="26"/>
        <v>0</v>
      </c>
      <c r="U53" s="26">
        <f t="shared" ca="1" si="26"/>
        <v>0</v>
      </c>
      <c r="V53" s="26">
        <f t="shared" ca="1" si="26"/>
        <v>0</v>
      </c>
      <c r="W53" s="26">
        <f t="shared" ca="1" si="26"/>
        <v>0</v>
      </c>
      <c r="X53" s="26">
        <f t="shared" ca="1" si="26"/>
        <v>0</v>
      </c>
      <c r="Y53" s="26">
        <f t="shared" ca="1" si="26"/>
        <v>0</v>
      </c>
      <c r="Z53" s="26">
        <f t="shared" ca="1" si="26"/>
        <v>0</v>
      </c>
    </row>
    <row r="54" spans="1:26" ht="13">
      <c r="A54" s="34"/>
      <c r="B54" s="34" t="s">
        <v>210</v>
      </c>
      <c r="C54" s="34"/>
      <c r="D54" s="34" t="s">
        <v>163</v>
      </c>
      <c r="E54" s="33">
        <f t="shared" si="18"/>
        <v>25000000</v>
      </c>
      <c r="F54" s="64"/>
      <c r="G54" s="33">
        <f>IF($C16=TRUE,G30*(1-'Get Started'!$E10),G30)</f>
        <v>25000000</v>
      </c>
      <c r="H54" s="33">
        <f>IF($C16=TRUE,H30*(1-'Get Started'!$E10),H30)</f>
        <v>0</v>
      </c>
      <c r="I54" s="33">
        <f>IF($C16=TRUE,I30*(1-'Get Started'!$E10),I30)</f>
        <v>0</v>
      </c>
      <c r="J54" s="33">
        <f>IF($C16=TRUE,J30*(1-'Get Started'!$E10),J30)</f>
        <v>0</v>
      </c>
      <c r="K54" s="33">
        <f>IF($C16=TRUE,K30*(1-'Get Started'!$E10),K30)</f>
        <v>0</v>
      </c>
      <c r="L54" s="33">
        <f>IF($C16=TRUE,L30*(1-'Get Started'!$E10),L30)</f>
        <v>0</v>
      </c>
      <c r="M54" s="33">
        <f>IF($C16=TRUE,M30*(1-'Get Started'!$E10),M30)</f>
        <v>0</v>
      </c>
      <c r="N54" s="33">
        <f>IF($C16=TRUE,N30*(1-'Get Started'!$E10),N30)</f>
        <v>0</v>
      </c>
      <c r="O54" s="33">
        <f>IF($C16=TRUE,O30*(1-'Get Started'!$E10),O30)</f>
        <v>0</v>
      </c>
      <c r="P54" s="33">
        <f>IF($C16=TRUE,P30*(1-'Get Started'!$E10),P30)</f>
        <v>0</v>
      </c>
      <c r="Q54" s="33">
        <f>IF($C16=TRUE,Q30*(1-'Get Started'!$E10),Q30)</f>
        <v>0</v>
      </c>
      <c r="R54" s="33">
        <f>IF($C16=TRUE,R30*(1-'Get Started'!$E10),R30)</f>
        <v>0</v>
      </c>
      <c r="S54" s="33">
        <f>IF($C16=TRUE,S30*(1-'Get Started'!$E10),S30)</f>
        <v>0</v>
      </c>
      <c r="T54" s="33">
        <f>IF($C16=TRUE,T30*(1-'Get Started'!$E10),T30)</f>
        <v>0</v>
      </c>
      <c r="U54" s="33">
        <f>IF($C16=TRUE,U30*(1-'Get Started'!$E10),U30)</f>
        <v>0</v>
      </c>
      <c r="V54" s="33">
        <f>IF($C16=TRUE,V30*(1-'Get Started'!$E10),V30)</f>
        <v>0</v>
      </c>
      <c r="W54" s="33">
        <f>IF($C16=TRUE,W30*(1-'Get Started'!$E10),W30)</f>
        <v>0</v>
      </c>
      <c r="X54" s="33">
        <f>IF($C16=TRUE,X30*(1-'Get Started'!$E10),X30)</f>
        <v>0</v>
      </c>
      <c r="Y54" s="33">
        <f>IF($C16=TRUE,Y30*(1-'Get Started'!$E10),Y30)</f>
        <v>0</v>
      </c>
      <c r="Z54" s="33">
        <f>IF($C16=TRUE,Z30*(1-'Get Started'!$E10),Z30)</f>
        <v>0</v>
      </c>
    </row>
    <row r="55" spans="1:26" ht="13">
      <c r="A55" s="34"/>
      <c r="B55" s="34" t="s">
        <v>211</v>
      </c>
      <c r="C55" s="34"/>
      <c r="D55" s="34" t="s">
        <v>163</v>
      </c>
      <c r="E55" s="33">
        <f t="shared" ca="1" si="18"/>
        <v>24999999.999999996</v>
      </c>
      <c r="F55" s="64"/>
      <c r="G55" s="33">
        <f ca="1">IF($C16=TRUE,G31*(1-'Get Started'!$E10),G31)</f>
        <v>5477499.9999999991</v>
      </c>
      <c r="H55" s="33">
        <f ca="1">IF($C16=TRUE,H31*(1-'Get Started'!$E10),H31)</f>
        <v>5377499.9999999991</v>
      </c>
      <c r="I55" s="33">
        <f ca="1">IF($C16=TRUE,I31*(1-'Get Started'!$E10),I31)</f>
        <v>5377499.9999999991</v>
      </c>
      <c r="J55" s="33">
        <f ca="1">IF($C16=TRUE,J31*(1-'Get Started'!$E10),J31)</f>
        <v>5377500</v>
      </c>
      <c r="K55" s="33">
        <f ca="1">IF($C16=TRUE,K31*(1-'Get Started'!$E10),K31)</f>
        <v>565000</v>
      </c>
      <c r="L55" s="33">
        <f ca="1">IF($C16=TRUE,L31*(1-'Get Started'!$E10),L31)</f>
        <v>565000</v>
      </c>
      <c r="M55" s="33">
        <f ca="1">IF($C16=TRUE,M31*(1-'Get Started'!$E10),M31)</f>
        <v>565000</v>
      </c>
      <c r="N55" s="33">
        <f ca="1">IF($C16=TRUE,N31*(1-'Get Started'!$E10),N31)</f>
        <v>565000</v>
      </c>
      <c r="O55" s="33">
        <f ca="1">IF($C16=TRUE,O31*(1-'Get Started'!$E10),O31)</f>
        <v>565000</v>
      </c>
      <c r="P55" s="33">
        <f ca="1">IF($C16=TRUE,P31*(1-'Get Started'!$E10),P31)</f>
        <v>565000</v>
      </c>
      <c r="Q55" s="33">
        <f ca="1">IF($C16=TRUE,Q31*(1-'Get Started'!$E10),Q31)</f>
        <v>0</v>
      </c>
      <c r="R55" s="33">
        <f ca="1">IF($C16=TRUE,R31*(1-'Get Started'!$E10),R31)</f>
        <v>0</v>
      </c>
      <c r="S55" s="33">
        <f ca="1">IF($C16=TRUE,S31*(1-'Get Started'!$E10),S31)</f>
        <v>0</v>
      </c>
      <c r="T55" s="33">
        <f ca="1">IF($C16=TRUE,T31*(1-'Get Started'!$E10),T31)</f>
        <v>0</v>
      </c>
      <c r="U55" s="33">
        <f ca="1">IF($C16=TRUE,U31*(1-'Get Started'!$E10),U31)</f>
        <v>0</v>
      </c>
      <c r="V55" s="33">
        <f ca="1">IF($C16=TRUE,V31*(1-'Get Started'!$E10),V31)</f>
        <v>0</v>
      </c>
      <c r="W55" s="33">
        <f ca="1">IF($C16=TRUE,W31*(1-'Get Started'!$E10),W31)</f>
        <v>0</v>
      </c>
      <c r="X55" s="33">
        <f ca="1">IF($C16=TRUE,X31*(1-'Get Started'!$E10),X31)</f>
        <v>0</v>
      </c>
      <c r="Y55" s="33">
        <f ca="1">IF($C16=TRUE,Y31*(1-'Get Started'!$E10),Y31)</f>
        <v>0</v>
      </c>
      <c r="Z55" s="33">
        <f ca="1">IF($C16=TRUE,Z31*(1-'Get Started'!$E10),Z31)</f>
        <v>0</v>
      </c>
    </row>
    <row r="56" spans="1:26" ht="13">
      <c r="A56" s="34"/>
      <c r="B56" s="34" t="str">
        <f>B50&amp;", from LPs"</f>
        <v>Change in Invested Capital, from LPs</v>
      </c>
      <c r="C56" s="34"/>
      <c r="D56" s="34" t="s">
        <v>163</v>
      </c>
      <c r="E56" s="33">
        <f t="shared" ca="1" si="18"/>
        <v>5.8207660913467407E-10</v>
      </c>
      <c r="F56" s="64"/>
      <c r="G56" s="33">
        <f ca="1">IF($C16=TRUE,G50*(1-'Get Started'!$E10),G50)</f>
        <v>4812499.9999999991</v>
      </c>
      <c r="H56" s="33">
        <f ca="1">IF($C16=TRUE,H50*(1-'Get Started'!$E10),H50)</f>
        <v>4812499.9999999991</v>
      </c>
      <c r="I56" s="33">
        <f ca="1">IF($C16=TRUE,I50*(1-'Get Started'!$E10),I50)</f>
        <v>1924999.9999999995</v>
      </c>
      <c r="J56" s="33">
        <f ca="1">IF($C16=TRUE,J50*(1-'Get Started'!$E10),J50)</f>
        <v>1925000.0000000005</v>
      </c>
      <c r="K56" s="33">
        <f ca="1">IF($C16=TRUE,K50*(1-'Get Started'!$E10),K50)</f>
        <v>-4331249.9999999991</v>
      </c>
      <c r="L56" s="33">
        <f ca="1">IF($C16=TRUE,L50*(1-'Get Started'!$E10),L50)</f>
        <v>-4908750</v>
      </c>
      <c r="M56" s="33">
        <f ca="1">IF($C16=TRUE,M50*(1-'Get Started'!$E10),M50)</f>
        <v>-2117500</v>
      </c>
      <c r="N56" s="33">
        <f ca="1">IF($C16=TRUE,N50*(1-'Get Started'!$E10),N50)</f>
        <v>-1058749.9999999998</v>
      </c>
      <c r="O56" s="33">
        <f ca="1">IF($C16=TRUE,O50*(1-'Get Started'!$E10),O50)</f>
        <v>-481249.99999999983</v>
      </c>
      <c r="P56" s="33">
        <f ca="1">IF($C16=TRUE,P50*(1-'Get Started'!$E10),P50)</f>
        <v>-577499.99999999988</v>
      </c>
      <c r="Q56" s="33">
        <f ca="1">IF($C16=TRUE,Q50*(1-'Get Started'!$E10),Q50)</f>
        <v>0</v>
      </c>
      <c r="R56" s="33">
        <f ca="1">IF($C16=TRUE,R50*(1-'Get Started'!$E10),R50)</f>
        <v>0</v>
      </c>
      <c r="S56" s="33">
        <f ca="1">IF($C16=TRUE,S50*(1-'Get Started'!$E10),S50)</f>
        <v>0</v>
      </c>
      <c r="T56" s="33">
        <f ca="1">IF($C16=TRUE,T50*(1-'Get Started'!$E10),T50)</f>
        <v>0</v>
      </c>
      <c r="U56" s="33">
        <f ca="1">IF($C16=TRUE,U50*(1-'Get Started'!$E10),U50)</f>
        <v>0</v>
      </c>
      <c r="V56" s="33">
        <f ca="1">IF($C16=TRUE,V50*(1-'Get Started'!$E10),V50)</f>
        <v>0</v>
      </c>
      <c r="W56" s="33">
        <f ca="1">IF($C16=TRUE,W50*(1-'Get Started'!$E10),W50)</f>
        <v>0</v>
      </c>
      <c r="X56" s="33">
        <f ca="1">IF($C16=TRUE,X50*(1-'Get Started'!$E10),X50)</f>
        <v>0</v>
      </c>
      <c r="Y56" s="33">
        <f ca="1">IF($C16=TRUE,Y50*(1-'Get Started'!$E10),Y50)</f>
        <v>0</v>
      </c>
      <c r="Z56" s="33">
        <f ca="1">IF($C16=TRUE,Z50*(1-'Get Started'!$E10),Z50)</f>
        <v>0</v>
      </c>
    </row>
    <row r="57" spans="1:26" ht="13">
      <c r="A57" s="34"/>
      <c r="B57" s="34" t="s">
        <v>212</v>
      </c>
      <c r="C57" s="34"/>
      <c r="D57" s="34" t="s">
        <v>163</v>
      </c>
      <c r="E57" s="33">
        <f t="shared" ca="1" si="18"/>
        <v>67531799.99999997</v>
      </c>
      <c r="F57" s="64"/>
      <c r="G57" s="33">
        <f t="shared" ref="G57:Z57" ca="1" si="27">G47-G58+G46+G45</f>
        <v>0</v>
      </c>
      <c r="H57" s="33">
        <f t="shared" ca="1" si="27"/>
        <v>0</v>
      </c>
      <c r="I57" s="33">
        <f t="shared" ca="1" si="27"/>
        <v>0</v>
      </c>
      <c r="J57" s="33">
        <f t="shared" ca="1" si="27"/>
        <v>471625</v>
      </c>
      <c r="K57" s="33">
        <f t="shared" ca="1" si="27"/>
        <v>3772999.9999999991</v>
      </c>
      <c r="L57" s="33">
        <f t="shared" ca="1" si="27"/>
        <v>3772999.9999999991</v>
      </c>
      <c r="M57" s="33">
        <f t="shared" ca="1" si="27"/>
        <v>18101521.66666666</v>
      </c>
      <c r="N57" s="33">
        <f t="shared" ca="1" si="27"/>
        <v>14594066.66666666</v>
      </c>
      <c r="O57" s="33">
        <f t="shared" ca="1" si="27"/>
        <v>12190266.66666666</v>
      </c>
      <c r="P57" s="33">
        <f t="shared" ca="1" si="27"/>
        <v>14628319.999999996</v>
      </c>
      <c r="Q57" s="33">
        <f t="shared" ca="1" si="27"/>
        <v>0</v>
      </c>
      <c r="R57" s="33">
        <f t="shared" ca="1" si="27"/>
        <v>0</v>
      </c>
      <c r="S57" s="33">
        <f t="shared" ca="1" si="27"/>
        <v>0</v>
      </c>
      <c r="T57" s="33">
        <f t="shared" ca="1" si="27"/>
        <v>0</v>
      </c>
      <c r="U57" s="33">
        <f t="shared" ca="1" si="27"/>
        <v>0</v>
      </c>
      <c r="V57" s="33">
        <f t="shared" ca="1" si="27"/>
        <v>0</v>
      </c>
      <c r="W57" s="33">
        <f t="shared" ca="1" si="27"/>
        <v>0</v>
      </c>
      <c r="X57" s="33">
        <f t="shared" ca="1" si="27"/>
        <v>0</v>
      </c>
      <c r="Y57" s="33">
        <f t="shared" ca="1" si="27"/>
        <v>0</v>
      </c>
      <c r="Z57" s="33">
        <f t="shared" ca="1" si="27"/>
        <v>0</v>
      </c>
    </row>
    <row r="58" spans="1:26" ht="13">
      <c r="A58" s="34"/>
      <c r="B58" s="34" t="s">
        <v>213</v>
      </c>
      <c r="C58" s="34"/>
      <c r="D58" s="34" t="s">
        <v>163</v>
      </c>
      <c r="E58" s="33">
        <f t="shared" ca="1" si="18"/>
        <v>12355699.999999996</v>
      </c>
      <c r="F58" s="64"/>
      <c r="G58" s="33">
        <f ca="1">IF($C16=TRUE,G46+G45,G46+G45+G47*'Get Started'!$E10)</f>
        <v>0</v>
      </c>
      <c r="H58" s="33">
        <f ca="1">IF($C16=TRUE,H46+H45,H46+H45+H47*'Get Started'!$E10)</f>
        <v>0</v>
      </c>
      <c r="I58" s="33">
        <f ca="1">IF($C16=TRUE,I46+I45,I46+I45+I47*'Get Started'!$E10)</f>
        <v>0</v>
      </c>
      <c r="J58" s="33">
        <f ca="1">IF($C16=TRUE,J46+J45,J46+J45+J47*'Get Started'!$E10)</f>
        <v>9625</v>
      </c>
      <c r="K58" s="33">
        <f ca="1">IF($C16=TRUE,K46+K45,K46+K45+K47*'Get Started'!$E10)</f>
        <v>76999.999999999985</v>
      </c>
      <c r="L58" s="33">
        <f ca="1">IF($C16=TRUE,L46+L45,L46+L45+L47*'Get Started'!$E10)</f>
        <v>76999.999999999985</v>
      </c>
      <c r="M58" s="33">
        <f ca="1">IF($C16=TRUE,M46+M45,M46+M45+M47*'Get Started'!$E10)</f>
        <v>1437228.3333333316</v>
      </c>
      <c r="N58" s="33">
        <f ca="1">IF($C16=TRUE,N46+N45,N46+N45+N47*'Get Started'!$E10)</f>
        <v>3693433.3333333321</v>
      </c>
      <c r="O58" s="33">
        <f ca="1">IF($C16=TRUE,O46+O45,O46+O45+O47*'Get Started'!$E10)</f>
        <v>3209733.333333333</v>
      </c>
      <c r="P58" s="33">
        <f ca="1">IF($C16=TRUE,P46+P45,P46+P45+P47*'Get Started'!$E10)</f>
        <v>3851679.9999999995</v>
      </c>
      <c r="Q58" s="33">
        <f ca="1">IF($C16=TRUE,Q46+Q45,Q46+Q45+Q47*'Get Started'!$E10)</f>
        <v>0</v>
      </c>
      <c r="R58" s="33">
        <f ca="1">IF($C16=TRUE,R46+R45,R46+R45+R47*'Get Started'!$E10)</f>
        <v>0</v>
      </c>
      <c r="S58" s="33">
        <f ca="1">IF($C16=TRUE,S46+S45,S46+S45+S47*'Get Started'!$E10)</f>
        <v>0</v>
      </c>
      <c r="T58" s="33">
        <f ca="1">IF($C16=TRUE,T46+T45,T46+T45+T47*'Get Started'!$E10)</f>
        <v>0</v>
      </c>
      <c r="U58" s="33">
        <f ca="1">IF($C16=TRUE,U46+U45,U46+U45+U47*'Get Started'!$E10)</f>
        <v>0</v>
      </c>
      <c r="V58" s="33">
        <f ca="1">IF($C16=TRUE,V46+V45,V46+V45+V47*'Get Started'!$E10)</f>
        <v>0</v>
      </c>
      <c r="W58" s="33">
        <f ca="1">IF($C16=TRUE,W46+W45,W46+W45+W47*'Get Started'!$E10)</f>
        <v>0</v>
      </c>
      <c r="X58" s="33">
        <f ca="1">IF($C16=TRUE,X46+X45,X46+X45+X47*'Get Started'!$E10)</f>
        <v>0</v>
      </c>
      <c r="Y58" s="33">
        <f ca="1">IF($C16=TRUE,Y46+Y45,Y46+Y45+Y47*'Get Started'!$E10)</f>
        <v>0</v>
      </c>
      <c r="Z58" s="33">
        <f ca="1">IF($C16=TRUE,Z46+Z45,Z46+Z45+Z47*'Get Started'!$E10)</f>
        <v>0</v>
      </c>
    </row>
    <row r="59" spans="1:26" ht="13">
      <c r="B59" s="12" t="str">
        <f t="shared" ref="B59:B87" si="28">"Cumulative "&amp;B30</f>
        <v>Cumulative Committed Capital</v>
      </c>
      <c r="C59" s="12"/>
      <c r="D59" s="12" t="s">
        <v>173</v>
      </c>
      <c r="E59" s="26">
        <f t="shared" si="18"/>
        <v>25000000</v>
      </c>
      <c r="F59" s="26"/>
      <c r="G59" s="26">
        <f t="shared" ref="G59:Z59" si="29">F59+G30</f>
        <v>25000000</v>
      </c>
      <c r="H59" s="26">
        <f t="shared" si="29"/>
        <v>25000000</v>
      </c>
      <c r="I59" s="26">
        <f t="shared" si="29"/>
        <v>25000000</v>
      </c>
      <c r="J59" s="26">
        <f t="shared" si="29"/>
        <v>25000000</v>
      </c>
      <c r="K59" s="26">
        <f t="shared" si="29"/>
        <v>25000000</v>
      </c>
      <c r="L59" s="26">
        <f t="shared" si="29"/>
        <v>25000000</v>
      </c>
      <c r="M59" s="26">
        <f t="shared" si="29"/>
        <v>25000000</v>
      </c>
      <c r="N59" s="26">
        <f t="shared" si="29"/>
        <v>25000000</v>
      </c>
      <c r="O59" s="26">
        <f t="shared" si="29"/>
        <v>25000000</v>
      </c>
      <c r="P59" s="26">
        <f t="shared" si="29"/>
        <v>25000000</v>
      </c>
      <c r="Q59" s="26">
        <f t="shared" si="29"/>
        <v>25000000</v>
      </c>
      <c r="R59" s="26">
        <f t="shared" si="29"/>
        <v>25000000</v>
      </c>
      <c r="S59" s="26">
        <f t="shared" si="29"/>
        <v>25000000</v>
      </c>
      <c r="T59" s="26">
        <f t="shared" si="29"/>
        <v>25000000</v>
      </c>
      <c r="U59" s="26">
        <f t="shared" si="29"/>
        <v>25000000</v>
      </c>
      <c r="V59" s="26">
        <f t="shared" si="29"/>
        <v>25000000</v>
      </c>
      <c r="W59" s="26">
        <f t="shared" si="29"/>
        <v>25000000</v>
      </c>
      <c r="X59" s="26">
        <f t="shared" si="29"/>
        <v>25000000</v>
      </c>
      <c r="Y59" s="26">
        <f t="shared" si="29"/>
        <v>25000000</v>
      </c>
      <c r="Z59" s="26">
        <f t="shared" si="29"/>
        <v>25000000</v>
      </c>
    </row>
    <row r="60" spans="1:26" ht="13">
      <c r="B60" s="12" t="str">
        <f t="shared" si="28"/>
        <v>Cumulative Called Capital</v>
      </c>
      <c r="C60" s="12"/>
      <c r="D60" s="12" t="s">
        <v>173</v>
      </c>
      <c r="E60" s="26">
        <f t="shared" ca="1" si="18"/>
        <v>24999999.999999996</v>
      </c>
      <c r="F60" s="26"/>
      <c r="G60" s="26">
        <f t="shared" ref="G60:Z60" ca="1" si="30">F60+G31</f>
        <v>5477499.9999999991</v>
      </c>
      <c r="H60" s="26">
        <f t="shared" ca="1" si="30"/>
        <v>10854999.999999998</v>
      </c>
      <c r="I60" s="26">
        <f t="shared" ca="1" si="30"/>
        <v>16232499.999999996</v>
      </c>
      <c r="J60" s="26">
        <f t="shared" ca="1" si="30"/>
        <v>21609999.999999996</v>
      </c>
      <c r="K60" s="26">
        <f t="shared" ca="1" si="30"/>
        <v>22174999.999999996</v>
      </c>
      <c r="L60" s="26">
        <f t="shared" ca="1" si="30"/>
        <v>22739999.999999996</v>
      </c>
      <c r="M60" s="26">
        <f t="shared" ca="1" si="30"/>
        <v>23304999.999999996</v>
      </c>
      <c r="N60" s="26">
        <f t="shared" ca="1" si="30"/>
        <v>23869999.999999996</v>
      </c>
      <c r="O60" s="26">
        <f t="shared" ca="1" si="30"/>
        <v>24434999.999999996</v>
      </c>
      <c r="P60" s="26">
        <f t="shared" ca="1" si="30"/>
        <v>24999999.999999996</v>
      </c>
      <c r="Q60" s="26">
        <f t="shared" ca="1" si="30"/>
        <v>24999999.999999996</v>
      </c>
      <c r="R60" s="26">
        <f t="shared" ca="1" si="30"/>
        <v>24999999.999999996</v>
      </c>
      <c r="S60" s="26">
        <f t="shared" ca="1" si="30"/>
        <v>24999999.999999996</v>
      </c>
      <c r="T60" s="26">
        <f t="shared" ca="1" si="30"/>
        <v>24999999.999999996</v>
      </c>
      <c r="U60" s="26">
        <f t="shared" ca="1" si="30"/>
        <v>24999999.999999996</v>
      </c>
      <c r="V60" s="26">
        <f t="shared" ca="1" si="30"/>
        <v>24999999.999999996</v>
      </c>
      <c r="W60" s="26">
        <f t="shared" ca="1" si="30"/>
        <v>24999999.999999996</v>
      </c>
      <c r="X60" s="26">
        <f t="shared" ca="1" si="30"/>
        <v>24999999.999999996</v>
      </c>
      <c r="Y60" s="26">
        <f t="shared" ca="1" si="30"/>
        <v>24999999.999999996</v>
      </c>
      <c r="Z60" s="26">
        <f t="shared" ca="1" si="30"/>
        <v>24999999.999999996</v>
      </c>
    </row>
    <row r="61" spans="1:26" ht="13">
      <c r="B61" s="12" t="str">
        <f t="shared" si="28"/>
        <v>Cumulative Manual Investments</v>
      </c>
      <c r="C61" s="12"/>
      <c r="D61" s="12" t="s">
        <v>173</v>
      </c>
      <c r="E61" s="26">
        <f t="shared" si="18"/>
        <v>0</v>
      </c>
      <c r="F61" s="26"/>
      <c r="G61" s="26">
        <f t="shared" ref="G61:Z61" si="31">F61+G32</f>
        <v>0</v>
      </c>
      <c r="H61" s="26">
        <f t="shared" si="31"/>
        <v>0</v>
      </c>
      <c r="I61" s="26">
        <f t="shared" si="31"/>
        <v>0</v>
      </c>
      <c r="J61" s="26">
        <f t="shared" si="31"/>
        <v>0</v>
      </c>
      <c r="K61" s="26">
        <f t="shared" si="31"/>
        <v>0</v>
      </c>
      <c r="L61" s="26">
        <f t="shared" si="31"/>
        <v>0</v>
      </c>
      <c r="M61" s="26">
        <f t="shared" si="31"/>
        <v>0</v>
      </c>
      <c r="N61" s="26">
        <f t="shared" si="31"/>
        <v>0</v>
      </c>
      <c r="O61" s="26">
        <f t="shared" si="31"/>
        <v>0</v>
      </c>
      <c r="P61" s="26">
        <f t="shared" si="31"/>
        <v>0</v>
      </c>
      <c r="Q61" s="26">
        <f t="shared" si="31"/>
        <v>0</v>
      </c>
      <c r="R61" s="26">
        <f t="shared" si="31"/>
        <v>0</v>
      </c>
      <c r="S61" s="26">
        <f t="shared" si="31"/>
        <v>0</v>
      </c>
      <c r="T61" s="26">
        <f t="shared" si="31"/>
        <v>0</v>
      </c>
      <c r="U61" s="26">
        <f t="shared" si="31"/>
        <v>0</v>
      </c>
      <c r="V61" s="26">
        <f t="shared" si="31"/>
        <v>0</v>
      </c>
      <c r="W61" s="26">
        <f t="shared" si="31"/>
        <v>0</v>
      </c>
      <c r="X61" s="26">
        <f t="shared" si="31"/>
        <v>0</v>
      </c>
      <c r="Y61" s="26">
        <f t="shared" si="31"/>
        <v>0</v>
      </c>
      <c r="Z61" s="26">
        <f t="shared" si="31"/>
        <v>0</v>
      </c>
    </row>
    <row r="62" spans="1:26" ht="13">
      <c r="B62" s="12" t="str">
        <f t="shared" si="28"/>
        <v>Cumulative New Investments</v>
      </c>
      <c r="C62" s="12"/>
      <c r="D62" s="12" t="s">
        <v>173</v>
      </c>
      <c r="E62" s="26">
        <f t="shared" ca="1" si="18"/>
        <v>20212499.999999996</v>
      </c>
      <c r="F62" s="26"/>
      <c r="G62" s="26">
        <f t="shared" ref="G62:Z62" ca="1" si="32">F62+G33</f>
        <v>4812499.9999999991</v>
      </c>
      <c r="H62" s="26">
        <f t="shared" ca="1" si="32"/>
        <v>9624999.9999999981</v>
      </c>
      <c r="I62" s="26">
        <f t="shared" ca="1" si="32"/>
        <v>14437499.999999996</v>
      </c>
      <c r="J62" s="26">
        <f t="shared" ca="1" si="32"/>
        <v>20212499.999999996</v>
      </c>
      <c r="K62" s="26">
        <f t="shared" ca="1" si="32"/>
        <v>20212499.999999996</v>
      </c>
      <c r="L62" s="26">
        <f t="shared" ca="1" si="32"/>
        <v>20212499.999999996</v>
      </c>
      <c r="M62" s="26">
        <f t="shared" ca="1" si="32"/>
        <v>20212499.999999996</v>
      </c>
      <c r="N62" s="26">
        <f t="shared" ca="1" si="32"/>
        <v>20212499.999999996</v>
      </c>
      <c r="O62" s="26">
        <f t="shared" ca="1" si="32"/>
        <v>20212499.999999996</v>
      </c>
      <c r="P62" s="26">
        <f t="shared" ca="1" si="32"/>
        <v>20212499.999999996</v>
      </c>
      <c r="Q62" s="26">
        <f t="shared" ca="1" si="32"/>
        <v>20212499.999999996</v>
      </c>
      <c r="R62" s="26">
        <f t="shared" ca="1" si="32"/>
        <v>20212499.999999996</v>
      </c>
      <c r="S62" s="26">
        <f t="shared" ca="1" si="32"/>
        <v>20212499.999999996</v>
      </c>
      <c r="T62" s="26">
        <f t="shared" ca="1" si="32"/>
        <v>20212499.999999996</v>
      </c>
      <c r="U62" s="26">
        <f t="shared" ca="1" si="32"/>
        <v>20212499.999999996</v>
      </c>
      <c r="V62" s="26">
        <f t="shared" ca="1" si="32"/>
        <v>20212499.999999996</v>
      </c>
      <c r="W62" s="26">
        <f t="shared" ca="1" si="32"/>
        <v>20212499.999999996</v>
      </c>
      <c r="X62" s="26">
        <f t="shared" ca="1" si="32"/>
        <v>20212499.999999996</v>
      </c>
      <c r="Y62" s="26">
        <f t="shared" ca="1" si="32"/>
        <v>20212499.999999996</v>
      </c>
      <c r="Z62" s="26">
        <f t="shared" ca="1" si="32"/>
        <v>20212499.999999996</v>
      </c>
    </row>
    <row r="63" spans="1:26" ht="13">
      <c r="B63" s="12" t="str">
        <f t="shared" si="28"/>
        <v>Cumulative Prorata Opportunities</v>
      </c>
      <c r="C63" s="12"/>
      <c r="D63" s="12" t="s">
        <v>173</v>
      </c>
      <c r="E63" s="26">
        <f t="shared" si="18"/>
        <v>0</v>
      </c>
      <c r="F63" s="26"/>
      <c r="G63" s="26">
        <f t="shared" ref="G63:Z63" si="33">F63+G34</f>
        <v>0</v>
      </c>
      <c r="H63" s="26">
        <f t="shared" si="33"/>
        <v>0</v>
      </c>
      <c r="I63" s="26">
        <f t="shared" si="33"/>
        <v>0</v>
      </c>
      <c r="J63" s="26">
        <f t="shared" si="33"/>
        <v>0</v>
      </c>
      <c r="K63" s="26">
        <f t="shared" si="33"/>
        <v>0</v>
      </c>
      <c r="L63" s="26">
        <f t="shared" si="33"/>
        <v>0</v>
      </c>
      <c r="M63" s="26">
        <f t="shared" si="33"/>
        <v>0</v>
      </c>
      <c r="N63" s="26">
        <f t="shared" si="33"/>
        <v>0</v>
      </c>
      <c r="O63" s="26">
        <f t="shared" si="33"/>
        <v>0</v>
      </c>
      <c r="P63" s="26">
        <f t="shared" si="33"/>
        <v>0</v>
      </c>
      <c r="Q63" s="26">
        <f t="shared" si="33"/>
        <v>0</v>
      </c>
      <c r="R63" s="26">
        <f t="shared" si="33"/>
        <v>0</v>
      </c>
      <c r="S63" s="26">
        <f t="shared" si="33"/>
        <v>0</v>
      </c>
      <c r="T63" s="26">
        <f t="shared" si="33"/>
        <v>0</v>
      </c>
      <c r="U63" s="26">
        <f t="shared" si="33"/>
        <v>0</v>
      </c>
      <c r="V63" s="26">
        <f t="shared" si="33"/>
        <v>0</v>
      </c>
      <c r="W63" s="26">
        <f t="shared" si="33"/>
        <v>0</v>
      </c>
      <c r="X63" s="26">
        <f t="shared" si="33"/>
        <v>0</v>
      </c>
      <c r="Y63" s="26">
        <f t="shared" si="33"/>
        <v>0</v>
      </c>
      <c r="Z63" s="26">
        <f t="shared" si="33"/>
        <v>0</v>
      </c>
    </row>
    <row r="64" spans="1:26" ht="13">
      <c r="B64" s="12" t="str">
        <f t="shared" si="28"/>
        <v>Cumulative Reserves for Follow on</v>
      </c>
      <c r="C64" s="12"/>
      <c r="D64" s="12" t="s">
        <v>173</v>
      </c>
      <c r="E64" s="26">
        <f t="shared" si="18"/>
        <v>0</v>
      </c>
      <c r="F64" s="26"/>
      <c r="G64" s="26">
        <f t="shared" ref="G64:Z64" si="34">F64+G35</f>
        <v>0</v>
      </c>
      <c r="H64" s="26">
        <f t="shared" si="34"/>
        <v>0</v>
      </c>
      <c r="I64" s="26">
        <f t="shared" si="34"/>
        <v>0</v>
      </c>
      <c r="J64" s="26">
        <f t="shared" si="34"/>
        <v>0</v>
      </c>
      <c r="K64" s="26">
        <f t="shared" si="34"/>
        <v>0</v>
      </c>
      <c r="L64" s="26">
        <f t="shared" si="34"/>
        <v>0</v>
      </c>
      <c r="M64" s="26">
        <f t="shared" si="34"/>
        <v>0</v>
      </c>
      <c r="N64" s="26">
        <f t="shared" si="34"/>
        <v>0</v>
      </c>
      <c r="O64" s="26">
        <f t="shared" si="34"/>
        <v>0</v>
      </c>
      <c r="P64" s="26">
        <f t="shared" si="34"/>
        <v>0</v>
      </c>
      <c r="Q64" s="26">
        <f t="shared" si="34"/>
        <v>0</v>
      </c>
      <c r="R64" s="26">
        <f t="shared" si="34"/>
        <v>0</v>
      </c>
      <c r="S64" s="26">
        <f t="shared" si="34"/>
        <v>0</v>
      </c>
      <c r="T64" s="26">
        <f t="shared" si="34"/>
        <v>0</v>
      </c>
      <c r="U64" s="26">
        <f t="shared" si="34"/>
        <v>0</v>
      </c>
      <c r="V64" s="26">
        <f t="shared" si="34"/>
        <v>0</v>
      </c>
      <c r="W64" s="26">
        <f t="shared" si="34"/>
        <v>0</v>
      </c>
      <c r="X64" s="26">
        <f t="shared" si="34"/>
        <v>0</v>
      </c>
      <c r="Y64" s="26">
        <f t="shared" si="34"/>
        <v>0</v>
      </c>
      <c r="Z64" s="26">
        <f t="shared" si="34"/>
        <v>0</v>
      </c>
    </row>
    <row r="65" spans="2:26" ht="13">
      <c r="B65" s="12" t="str">
        <f t="shared" si="28"/>
        <v>Cumulative Follow on Investments</v>
      </c>
      <c r="C65" s="12"/>
      <c r="D65" s="12" t="s">
        <v>173</v>
      </c>
      <c r="E65" s="26">
        <f t="shared" ca="1" si="18"/>
        <v>0</v>
      </c>
      <c r="F65" s="26"/>
      <c r="G65" s="26">
        <f t="shared" ref="G65:Z65" si="35">F65+G36</f>
        <v>0</v>
      </c>
      <c r="H65" s="26">
        <f t="shared" ca="1" si="35"/>
        <v>0</v>
      </c>
      <c r="I65" s="26">
        <f t="shared" ca="1" si="35"/>
        <v>0</v>
      </c>
      <c r="J65" s="26">
        <f t="shared" ca="1" si="35"/>
        <v>0</v>
      </c>
      <c r="K65" s="26">
        <f t="shared" ca="1" si="35"/>
        <v>0</v>
      </c>
      <c r="L65" s="26">
        <f t="shared" ca="1" si="35"/>
        <v>0</v>
      </c>
      <c r="M65" s="26">
        <f t="shared" ca="1" si="35"/>
        <v>0</v>
      </c>
      <c r="N65" s="26">
        <f t="shared" ca="1" si="35"/>
        <v>0</v>
      </c>
      <c r="O65" s="26">
        <f t="shared" ca="1" si="35"/>
        <v>0</v>
      </c>
      <c r="P65" s="26">
        <f t="shared" ca="1" si="35"/>
        <v>0</v>
      </c>
      <c r="Q65" s="26">
        <f t="shared" ca="1" si="35"/>
        <v>0</v>
      </c>
      <c r="R65" s="26">
        <f t="shared" ca="1" si="35"/>
        <v>0</v>
      </c>
      <c r="S65" s="26">
        <f t="shared" ca="1" si="35"/>
        <v>0</v>
      </c>
      <c r="T65" s="26">
        <f t="shared" ca="1" si="35"/>
        <v>0</v>
      </c>
      <c r="U65" s="26">
        <f t="shared" ca="1" si="35"/>
        <v>0</v>
      </c>
      <c r="V65" s="26">
        <f t="shared" ca="1" si="35"/>
        <v>0</v>
      </c>
      <c r="W65" s="26">
        <f t="shared" ca="1" si="35"/>
        <v>0</v>
      </c>
      <c r="X65" s="26">
        <f t="shared" ca="1" si="35"/>
        <v>0</v>
      </c>
      <c r="Y65" s="26">
        <f t="shared" ca="1" si="35"/>
        <v>0</v>
      </c>
      <c r="Z65" s="26">
        <f t="shared" ca="1" si="35"/>
        <v>0</v>
      </c>
    </row>
    <row r="66" spans="2:26" ht="13">
      <c r="B66" s="12" t="str">
        <f t="shared" si="28"/>
        <v>Cumulative Total Investments, by cohort of New Investments</v>
      </c>
      <c r="C66" s="12"/>
      <c r="D66" s="12" t="s">
        <v>173</v>
      </c>
      <c r="E66" s="26">
        <f t="shared" ca="1" si="18"/>
        <v>20212499.999999996</v>
      </c>
      <c r="F66" s="26"/>
      <c r="G66" s="26">
        <f t="shared" ref="G66:Z66" ca="1" si="36">F66+G37</f>
        <v>4812499.9999999991</v>
      </c>
      <c r="H66" s="26">
        <f t="shared" ca="1" si="36"/>
        <v>9624999.9999999981</v>
      </c>
      <c r="I66" s="26">
        <f t="shared" ca="1" si="36"/>
        <v>14437499.999999996</v>
      </c>
      <c r="J66" s="26">
        <f t="shared" ca="1" si="36"/>
        <v>20212499.999999996</v>
      </c>
      <c r="K66" s="26">
        <f t="shared" ca="1" si="36"/>
        <v>20212499.999999996</v>
      </c>
      <c r="L66" s="26">
        <f t="shared" ca="1" si="36"/>
        <v>20212499.999999996</v>
      </c>
      <c r="M66" s="26">
        <f t="shared" ca="1" si="36"/>
        <v>20212499.999999996</v>
      </c>
      <c r="N66" s="26">
        <f t="shared" ca="1" si="36"/>
        <v>20212499.999999996</v>
      </c>
      <c r="O66" s="26">
        <f t="shared" ca="1" si="36"/>
        <v>20212499.999999996</v>
      </c>
      <c r="P66" s="26">
        <f t="shared" ca="1" si="36"/>
        <v>20212499.999999996</v>
      </c>
      <c r="Q66" s="26">
        <f t="shared" ca="1" si="36"/>
        <v>20212499.999999996</v>
      </c>
      <c r="R66" s="26">
        <f t="shared" ca="1" si="36"/>
        <v>20212499.999999996</v>
      </c>
      <c r="S66" s="26">
        <f t="shared" ca="1" si="36"/>
        <v>20212499.999999996</v>
      </c>
      <c r="T66" s="26">
        <f t="shared" ca="1" si="36"/>
        <v>20212499.999999996</v>
      </c>
      <c r="U66" s="26">
        <f t="shared" ca="1" si="36"/>
        <v>20212499.999999996</v>
      </c>
      <c r="V66" s="26">
        <f t="shared" ca="1" si="36"/>
        <v>20212499.999999996</v>
      </c>
      <c r="W66" s="26">
        <f t="shared" ca="1" si="36"/>
        <v>20212499.999999996</v>
      </c>
      <c r="X66" s="26">
        <f t="shared" ca="1" si="36"/>
        <v>20212499.999999996</v>
      </c>
      <c r="Y66" s="26">
        <f t="shared" ca="1" si="36"/>
        <v>20212499.999999996</v>
      </c>
      <c r="Z66" s="26">
        <f t="shared" ca="1" si="36"/>
        <v>20212499.999999996</v>
      </c>
    </row>
    <row r="67" spans="2:26" ht="13">
      <c r="B67" s="12" t="str">
        <f t="shared" si="28"/>
        <v>Cumulative Total Investments</v>
      </c>
      <c r="C67" s="12"/>
      <c r="D67" s="12" t="s">
        <v>173</v>
      </c>
      <c r="E67" s="26">
        <f t="shared" ca="1" si="18"/>
        <v>20212499.999999996</v>
      </c>
      <c r="F67" s="26"/>
      <c r="G67" s="26">
        <f t="shared" ref="G67:Z67" ca="1" si="37">F67+G38</f>
        <v>4812499.9999999991</v>
      </c>
      <c r="H67" s="26">
        <f t="shared" ca="1" si="37"/>
        <v>9624999.9999999981</v>
      </c>
      <c r="I67" s="26">
        <f t="shared" ca="1" si="37"/>
        <v>14437499.999999996</v>
      </c>
      <c r="J67" s="26">
        <f t="shared" ca="1" si="37"/>
        <v>20212499.999999996</v>
      </c>
      <c r="K67" s="26">
        <f t="shared" ca="1" si="37"/>
        <v>20212499.999999996</v>
      </c>
      <c r="L67" s="26">
        <f t="shared" ca="1" si="37"/>
        <v>20212499.999999996</v>
      </c>
      <c r="M67" s="26">
        <f t="shared" ca="1" si="37"/>
        <v>20212499.999999996</v>
      </c>
      <c r="N67" s="26">
        <f t="shared" ca="1" si="37"/>
        <v>20212499.999999996</v>
      </c>
      <c r="O67" s="26">
        <f t="shared" ca="1" si="37"/>
        <v>20212499.999999996</v>
      </c>
      <c r="P67" s="26">
        <f t="shared" ca="1" si="37"/>
        <v>20212499.999999996</v>
      </c>
      <c r="Q67" s="26">
        <f t="shared" ca="1" si="37"/>
        <v>20212499.999999996</v>
      </c>
      <c r="R67" s="26">
        <f t="shared" ca="1" si="37"/>
        <v>20212499.999999996</v>
      </c>
      <c r="S67" s="26">
        <f t="shared" ca="1" si="37"/>
        <v>20212499.999999996</v>
      </c>
      <c r="T67" s="26">
        <f t="shared" ca="1" si="37"/>
        <v>20212499.999999996</v>
      </c>
      <c r="U67" s="26">
        <f t="shared" ca="1" si="37"/>
        <v>20212499.999999996</v>
      </c>
      <c r="V67" s="26">
        <f t="shared" ca="1" si="37"/>
        <v>20212499.999999996</v>
      </c>
      <c r="W67" s="26">
        <f t="shared" ca="1" si="37"/>
        <v>20212499.999999996</v>
      </c>
      <c r="X67" s="26">
        <f t="shared" ca="1" si="37"/>
        <v>20212499.999999996</v>
      </c>
      <c r="Y67" s="26">
        <f t="shared" ca="1" si="37"/>
        <v>20212499.999999996</v>
      </c>
      <c r="Z67" s="26">
        <f t="shared" ca="1" si="37"/>
        <v>20212499.999999996</v>
      </c>
    </row>
    <row r="68" spans="2:26" ht="13">
      <c r="B68" s="12" t="str">
        <f t="shared" si="28"/>
        <v>Cumulative Organizational Expenses</v>
      </c>
      <c r="C68" s="12"/>
      <c r="D68" s="12" t="s">
        <v>173</v>
      </c>
      <c r="E68" s="26">
        <f t="shared" si="18"/>
        <v>100000</v>
      </c>
      <c r="F68" s="26"/>
      <c r="G68" s="26">
        <f t="shared" ref="G68:Z68" si="38">F68+G39</f>
        <v>100000</v>
      </c>
      <c r="H68" s="26">
        <f t="shared" si="38"/>
        <v>100000</v>
      </c>
      <c r="I68" s="26">
        <f t="shared" si="38"/>
        <v>100000</v>
      </c>
      <c r="J68" s="26">
        <f t="shared" si="38"/>
        <v>100000</v>
      </c>
      <c r="K68" s="26">
        <f t="shared" si="38"/>
        <v>100000</v>
      </c>
      <c r="L68" s="26">
        <f t="shared" si="38"/>
        <v>100000</v>
      </c>
      <c r="M68" s="26">
        <f t="shared" si="38"/>
        <v>100000</v>
      </c>
      <c r="N68" s="26">
        <f t="shared" si="38"/>
        <v>100000</v>
      </c>
      <c r="O68" s="26">
        <f t="shared" si="38"/>
        <v>100000</v>
      </c>
      <c r="P68" s="26">
        <f t="shared" si="38"/>
        <v>100000</v>
      </c>
      <c r="Q68" s="26">
        <f t="shared" si="38"/>
        <v>100000</v>
      </c>
      <c r="R68" s="26">
        <f t="shared" si="38"/>
        <v>100000</v>
      </c>
      <c r="S68" s="26">
        <f t="shared" si="38"/>
        <v>100000</v>
      </c>
      <c r="T68" s="26">
        <f t="shared" si="38"/>
        <v>100000</v>
      </c>
      <c r="U68" s="26">
        <f t="shared" si="38"/>
        <v>100000</v>
      </c>
      <c r="V68" s="26">
        <f t="shared" si="38"/>
        <v>100000</v>
      </c>
      <c r="W68" s="26">
        <f t="shared" si="38"/>
        <v>100000</v>
      </c>
      <c r="X68" s="26">
        <f t="shared" si="38"/>
        <v>100000</v>
      </c>
      <c r="Y68" s="26">
        <f t="shared" si="38"/>
        <v>100000</v>
      </c>
      <c r="Z68" s="26">
        <f t="shared" si="38"/>
        <v>100000</v>
      </c>
    </row>
    <row r="69" spans="2:26" ht="13">
      <c r="B69" s="12" t="str">
        <f t="shared" si="28"/>
        <v>Cumulative Operational Expenses</v>
      </c>
      <c r="C69" s="12"/>
      <c r="D69" s="12" t="s">
        <v>173</v>
      </c>
      <c r="E69" s="26">
        <f t="shared" si="18"/>
        <v>750000</v>
      </c>
      <c r="F69" s="26"/>
      <c r="G69" s="26">
        <f t="shared" ref="G69:Z69" si="39">F69+G40</f>
        <v>75000</v>
      </c>
      <c r="H69" s="26">
        <f t="shared" si="39"/>
        <v>150000</v>
      </c>
      <c r="I69" s="26">
        <f t="shared" si="39"/>
        <v>225000</v>
      </c>
      <c r="J69" s="26">
        <f t="shared" si="39"/>
        <v>300000</v>
      </c>
      <c r="K69" s="26">
        <f t="shared" si="39"/>
        <v>375000</v>
      </c>
      <c r="L69" s="26">
        <f t="shared" si="39"/>
        <v>450000</v>
      </c>
      <c r="M69" s="26">
        <f t="shared" si="39"/>
        <v>525000</v>
      </c>
      <c r="N69" s="26">
        <f t="shared" si="39"/>
        <v>600000</v>
      </c>
      <c r="O69" s="26">
        <f t="shared" si="39"/>
        <v>675000</v>
      </c>
      <c r="P69" s="26">
        <f t="shared" si="39"/>
        <v>750000</v>
      </c>
      <c r="Q69" s="26">
        <f t="shared" si="39"/>
        <v>750000</v>
      </c>
      <c r="R69" s="26">
        <f t="shared" si="39"/>
        <v>750000</v>
      </c>
      <c r="S69" s="26">
        <f t="shared" si="39"/>
        <v>750000</v>
      </c>
      <c r="T69" s="26">
        <f t="shared" si="39"/>
        <v>750000</v>
      </c>
      <c r="U69" s="26">
        <f t="shared" si="39"/>
        <v>750000</v>
      </c>
      <c r="V69" s="26">
        <f t="shared" si="39"/>
        <v>750000</v>
      </c>
      <c r="W69" s="26">
        <f t="shared" si="39"/>
        <v>750000</v>
      </c>
      <c r="X69" s="26">
        <f t="shared" si="39"/>
        <v>750000</v>
      </c>
      <c r="Y69" s="26">
        <f t="shared" si="39"/>
        <v>750000</v>
      </c>
      <c r="Z69" s="26">
        <f t="shared" si="39"/>
        <v>750000</v>
      </c>
    </row>
    <row r="70" spans="2:26" ht="13">
      <c r="B70" s="12" t="str">
        <f t="shared" si="28"/>
        <v>Cumulative Management Fees</v>
      </c>
      <c r="C70" s="12"/>
      <c r="D70" s="12" t="s">
        <v>173</v>
      </c>
      <c r="E70" s="26">
        <f t="shared" si="18"/>
        <v>4900000</v>
      </c>
      <c r="F70" s="26"/>
      <c r="G70" s="26">
        <f t="shared" ref="G70:Z70" si="40">F70+G41</f>
        <v>490000</v>
      </c>
      <c r="H70" s="26">
        <f t="shared" si="40"/>
        <v>980000</v>
      </c>
      <c r="I70" s="26">
        <f t="shared" si="40"/>
        <v>1470000</v>
      </c>
      <c r="J70" s="26">
        <f t="shared" si="40"/>
        <v>1960000</v>
      </c>
      <c r="K70" s="26">
        <f t="shared" si="40"/>
        <v>2450000</v>
      </c>
      <c r="L70" s="26">
        <f t="shared" si="40"/>
        <v>2940000</v>
      </c>
      <c r="M70" s="26">
        <f t="shared" si="40"/>
        <v>3430000</v>
      </c>
      <c r="N70" s="26">
        <f t="shared" si="40"/>
        <v>3920000</v>
      </c>
      <c r="O70" s="26">
        <f t="shared" si="40"/>
        <v>4410000</v>
      </c>
      <c r="P70" s="26">
        <f t="shared" si="40"/>
        <v>4900000</v>
      </c>
      <c r="Q70" s="26">
        <f t="shared" si="40"/>
        <v>4900000</v>
      </c>
      <c r="R70" s="26">
        <f t="shared" si="40"/>
        <v>4900000</v>
      </c>
      <c r="S70" s="26">
        <f t="shared" si="40"/>
        <v>4900000</v>
      </c>
      <c r="T70" s="26">
        <f t="shared" si="40"/>
        <v>4900000</v>
      </c>
      <c r="U70" s="26">
        <f t="shared" si="40"/>
        <v>4900000</v>
      </c>
      <c r="V70" s="26">
        <f t="shared" si="40"/>
        <v>4900000</v>
      </c>
      <c r="W70" s="26">
        <f t="shared" si="40"/>
        <v>4900000</v>
      </c>
      <c r="X70" s="26">
        <f t="shared" si="40"/>
        <v>4900000</v>
      </c>
      <c r="Y70" s="26">
        <f t="shared" si="40"/>
        <v>4900000</v>
      </c>
      <c r="Z70" s="26">
        <f t="shared" si="40"/>
        <v>4900000</v>
      </c>
    </row>
    <row r="71" spans="2:26" ht="13">
      <c r="B71" s="12" t="str">
        <f t="shared" si="28"/>
        <v>Cumulative Recycled Capital</v>
      </c>
      <c r="D71" s="12" t="s">
        <v>173</v>
      </c>
      <c r="E71" s="26">
        <f t="shared" ca="1" si="18"/>
        <v>962499.99999999988</v>
      </c>
      <c r="F71" s="26"/>
      <c r="G71" s="26">
        <f t="shared" ref="G71:Z71" ca="1" si="41">F71+G42</f>
        <v>0</v>
      </c>
      <c r="H71" s="26">
        <f t="shared" ca="1" si="41"/>
        <v>0</v>
      </c>
      <c r="I71" s="26">
        <f t="shared" ca="1" si="41"/>
        <v>0</v>
      </c>
      <c r="J71" s="26">
        <f t="shared" ca="1" si="41"/>
        <v>962499.99999999988</v>
      </c>
      <c r="K71" s="26">
        <f t="shared" ca="1" si="41"/>
        <v>962499.99999999988</v>
      </c>
      <c r="L71" s="26">
        <f t="shared" ca="1" si="41"/>
        <v>962499.99999999988</v>
      </c>
      <c r="M71" s="26">
        <f t="shared" ca="1" si="41"/>
        <v>962499.99999999988</v>
      </c>
      <c r="N71" s="26">
        <f t="shared" ca="1" si="41"/>
        <v>962499.99999999988</v>
      </c>
      <c r="O71" s="26">
        <f t="shared" ca="1" si="41"/>
        <v>962499.99999999988</v>
      </c>
      <c r="P71" s="26">
        <f t="shared" ca="1" si="41"/>
        <v>962499.99999999988</v>
      </c>
      <c r="Q71" s="26">
        <f t="shared" ca="1" si="41"/>
        <v>962499.99999999988</v>
      </c>
      <c r="R71" s="26">
        <f t="shared" ca="1" si="41"/>
        <v>962499.99999999988</v>
      </c>
      <c r="S71" s="26">
        <f t="shared" ca="1" si="41"/>
        <v>962499.99999999988</v>
      </c>
      <c r="T71" s="26">
        <f t="shared" ca="1" si="41"/>
        <v>962499.99999999988</v>
      </c>
      <c r="U71" s="26">
        <f t="shared" ca="1" si="41"/>
        <v>962499.99999999988</v>
      </c>
      <c r="V71" s="26">
        <f t="shared" ca="1" si="41"/>
        <v>962499.99999999988</v>
      </c>
      <c r="W71" s="26">
        <f t="shared" ca="1" si="41"/>
        <v>962499.99999999988</v>
      </c>
      <c r="X71" s="26">
        <f t="shared" ca="1" si="41"/>
        <v>962499.99999999988</v>
      </c>
      <c r="Y71" s="26">
        <f t="shared" ca="1" si="41"/>
        <v>962499.99999999988</v>
      </c>
      <c r="Z71" s="26">
        <f t="shared" ca="1" si="41"/>
        <v>962499.99999999988</v>
      </c>
    </row>
    <row r="72" spans="2:26" ht="13">
      <c r="B72" s="12" t="str">
        <f t="shared" si="28"/>
        <v>Cumulative Proceeds</v>
      </c>
      <c r="C72" s="26"/>
      <c r="D72" s="12" t="s">
        <v>173</v>
      </c>
      <c r="E72" s="26">
        <f t="shared" ca="1" si="18"/>
        <v>80849999.99999997</v>
      </c>
      <c r="F72" s="26"/>
      <c r="G72" s="26">
        <f t="shared" ref="G72:Z72" ca="1" si="42">F72+G43</f>
        <v>0</v>
      </c>
      <c r="H72" s="26">
        <f t="shared" ca="1" si="42"/>
        <v>0</v>
      </c>
      <c r="I72" s="26">
        <f t="shared" ca="1" si="42"/>
        <v>0</v>
      </c>
      <c r="J72" s="26">
        <f t="shared" ca="1" si="42"/>
        <v>1443749.9999999998</v>
      </c>
      <c r="K72" s="26">
        <f t="shared" ca="1" si="42"/>
        <v>5293749.9999999991</v>
      </c>
      <c r="L72" s="26">
        <f t="shared" ca="1" si="42"/>
        <v>9143749.9999999981</v>
      </c>
      <c r="M72" s="26">
        <f t="shared" ca="1" si="42"/>
        <v>28682499.999999993</v>
      </c>
      <c r="N72" s="26">
        <f t="shared" ca="1" si="42"/>
        <v>46969999.999999985</v>
      </c>
      <c r="O72" s="26">
        <f t="shared" ca="1" si="42"/>
        <v>62369999.999999978</v>
      </c>
      <c r="P72" s="26">
        <f t="shared" ca="1" si="42"/>
        <v>80849999.99999997</v>
      </c>
      <c r="Q72" s="26">
        <f t="shared" ca="1" si="42"/>
        <v>80849999.99999997</v>
      </c>
      <c r="R72" s="26">
        <f t="shared" ca="1" si="42"/>
        <v>80849999.99999997</v>
      </c>
      <c r="S72" s="26">
        <f t="shared" ca="1" si="42"/>
        <v>80849999.99999997</v>
      </c>
      <c r="T72" s="26">
        <f t="shared" ca="1" si="42"/>
        <v>80849999.99999997</v>
      </c>
      <c r="U72" s="26">
        <f t="shared" ca="1" si="42"/>
        <v>80849999.99999997</v>
      </c>
      <c r="V72" s="26">
        <f t="shared" ca="1" si="42"/>
        <v>80849999.99999997</v>
      </c>
      <c r="W72" s="26">
        <f t="shared" ca="1" si="42"/>
        <v>80849999.99999997</v>
      </c>
      <c r="X72" s="26">
        <f t="shared" ca="1" si="42"/>
        <v>80849999.99999997</v>
      </c>
      <c r="Y72" s="26">
        <f t="shared" ca="1" si="42"/>
        <v>80849999.99999997</v>
      </c>
      <c r="Z72" s="26">
        <f t="shared" ca="1" si="42"/>
        <v>80849999.99999997</v>
      </c>
    </row>
    <row r="73" spans="2:26" ht="13">
      <c r="B73" s="12" t="str">
        <f t="shared" si="28"/>
        <v>Cumulative Preferred Return</v>
      </c>
      <c r="D73" s="12" t="s">
        <v>173</v>
      </c>
      <c r="E73" s="26">
        <f t="shared" si="18"/>
        <v>0</v>
      </c>
      <c r="F73" s="26"/>
      <c r="G73" s="26">
        <f t="shared" ref="G73:Z73" si="43">F73+G44</f>
        <v>0</v>
      </c>
      <c r="H73" s="26">
        <f t="shared" si="43"/>
        <v>0</v>
      </c>
      <c r="I73" s="26">
        <f t="shared" si="43"/>
        <v>0</v>
      </c>
      <c r="J73" s="26">
        <f t="shared" si="43"/>
        <v>0</v>
      </c>
      <c r="K73" s="26">
        <f t="shared" si="43"/>
        <v>0</v>
      </c>
      <c r="L73" s="26">
        <f t="shared" si="43"/>
        <v>0</v>
      </c>
      <c r="M73" s="26">
        <f t="shared" si="43"/>
        <v>0</v>
      </c>
      <c r="N73" s="26">
        <f t="shared" si="43"/>
        <v>0</v>
      </c>
      <c r="O73" s="26">
        <f t="shared" si="43"/>
        <v>0</v>
      </c>
      <c r="P73" s="26">
        <f t="shared" si="43"/>
        <v>0</v>
      </c>
      <c r="Q73" s="26">
        <f t="shared" si="43"/>
        <v>0</v>
      </c>
      <c r="R73" s="26">
        <f t="shared" si="43"/>
        <v>0</v>
      </c>
      <c r="S73" s="26">
        <f t="shared" si="43"/>
        <v>0</v>
      </c>
      <c r="T73" s="26">
        <f t="shared" si="43"/>
        <v>0</v>
      </c>
      <c r="U73" s="26">
        <f t="shared" si="43"/>
        <v>0</v>
      </c>
      <c r="V73" s="26">
        <f t="shared" si="43"/>
        <v>0</v>
      </c>
      <c r="W73" s="26">
        <f t="shared" si="43"/>
        <v>0</v>
      </c>
      <c r="X73" s="26">
        <f t="shared" si="43"/>
        <v>0</v>
      </c>
      <c r="Y73" s="26">
        <f t="shared" si="43"/>
        <v>0</v>
      </c>
      <c r="Z73" s="26">
        <f t="shared" si="43"/>
        <v>0</v>
      </c>
    </row>
    <row r="74" spans="2:26" ht="13">
      <c r="B74" s="12" t="str">
        <f t="shared" si="28"/>
        <v>Cumulative GP Catchup</v>
      </c>
      <c r="D74" s="12" t="s">
        <v>173</v>
      </c>
      <c r="E74" s="26">
        <f t="shared" si="18"/>
        <v>0</v>
      </c>
      <c r="F74" s="26"/>
      <c r="G74" s="26">
        <f t="shared" ref="G74:Z74" si="44">F74+G45</f>
        <v>0</v>
      </c>
      <c r="H74" s="26">
        <f t="shared" si="44"/>
        <v>0</v>
      </c>
      <c r="I74" s="26">
        <f t="shared" si="44"/>
        <v>0</v>
      </c>
      <c r="J74" s="26">
        <f t="shared" si="44"/>
        <v>0</v>
      </c>
      <c r="K74" s="26">
        <f t="shared" si="44"/>
        <v>0</v>
      </c>
      <c r="L74" s="26">
        <f t="shared" si="44"/>
        <v>0</v>
      </c>
      <c r="M74" s="26">
        <f t="shared" si="44"/>
        <v>0</v>
      </c>
      <c r="N74" s="26">
        <f t="shared" si="44"/>
        <v>0</v>
      </c>
      <c r="O74" s="26">
        <f t="shared" si="44"/>
        <v>0</v>
      </c>
      <c r="P74" s="26">
        <f t="shared" si="44"/>
        <v>0</v>
      </c>
      <c r="Q74" s="26">
        <f t="shared" si="44"/>
        <v>0</v>
      </c>
      <c r="R74" s="26">
        <f t="shared" si="44"/>
        <v>0</v>
      </c>
      <c r="S74" s="26">
        <f t="shared" si="44"/>
        <v>0</v>
      </c>
      <c r="T74" s="26">
        <f t="shared" si="44"/>
        <v>0</v>
      </c>
      <c r="U74" s="26">
        <f t="shared" si="44"/>
        <v>0</v>
      </c>
      <c r="V74" s="26">
        <f t="shared" si="44"/>
        <v>0</v>
      </c>
      <c r="W74" s="26">
        <f t="shared" si="44"/>
        <v>0</v>
      </c>
      <c r="X74" s="26">
        <f t="shared" si="44"/>
        <v>0</v>
      </c>
      <c r="Y74" s="26">
        <f t="shared" si="44"/>
        <v>0</v>
      </c>
      <c r="Z74" s="26">
        <f t="shared" si="44"/>
        <v>0</v>
      </c>
    </row>
    <row r="75" spans="2:26" ht="13">
      <c r="B75" s="12" t="str">
        <f t="shared" si="28"/>
        <v>Cumulative Carried Interest</v>
      </c>
      <c r="C75" s="12"/>
      <c r="D75" s="12" t="s">
        <v>173</v>
      </c>
      <c r="E75" s="26">
        <f t="shared" ca="1" si="18"/>
        <v>10977499.999999996</v>
      </c>
      <c r="F75" s="26"/>
      <c r="G75" s="26">
        <f t="shared" ref="G75:Z75" ca="1" si="45">F75+G46</f>
        <v>0</v>
      </c>
      <c r="H75" s="26">
        <f t="shared" ca="1" si="45"/>
        <v>0</v>
      </c>
      <c r="I75" s="26">
        <f t="shared" ca="1" si="45"/>
        <v>0</v>
      </c>
      <c r="J75" s="26">
        <f t="shared" ca="1" si="45"/>
        <v>0</v>
      </c>
      <c r="K75" s="26">
        <f t="shared" ca="1" si="45"/>
        <v>0</v>
      </c>
      <c r="L75" s="26">
        <f t="shared" ca="1" si="45"/>
        <v>0</v>
      </c>
      <c r="M75" s="26">
        <f t="shared" ca="1" si="45"/>
        <v>1067809.5238095222</v>
      </c>
      <c r="N75" s="26">
        <f t="shared" ca="1" si="45"/>
        <v>4463404.7619047593</v>
      </c>
      <c r="O75" s="26">
        <f t="shared" ca="1" si="45"/>
        <v>7424357.1428571399</v>
      </c>
      <c r="P75" s="26">
        <f t="shared" ca="1" si="45"/>
        <v>10977499.999999996</v>
      </c>
      <c r="Q75" s="26">
        <f t="shared" ca="1" si="45"/>
        <v>10977499.999999996</v>
      </c>
      <c r="R75" s="26">
        <f t="shared" ca="1" si="45"/>
        <v>10977499.999999996</v>
      </c>
      <c r="S75" s="26">
        <f t="shared" ca="1" si="45"/>
        <v>10977499.999999996</v>
      </c>
      <c r="T75" s="26">
        <f t="shared" ca="1" si="45"/>
        <v>10977499.999999996</v>
      </c>
      <c r="U75" s="26">
        <f t="shared" ca="1" si="45"/>
        <v>10977499.999999996</v>
      </c>
      <c r="V75" s="26">
        <f t="shared" ca="1" si="45"/>
        <v>10977499.999999996</v>
      </c>
      <c r="W75" s="26">
        <f t="shared" ca="1" si="45"/>
        <v>10977499.999999996</v>
      </c>
      <c r="X75" s="26">
        <f t="shared" ca="1" si="45"/>
        <v>10977499.999999996</v>
      </c>
      <c r="Y75" s="26">
        <f t="shared" ca="1" si="45"/>
        <v>10977499.999999996</v>
      </c>
      <c r="Z75" s="26">
        <f t="shared" ca="1" si="45"/>
        <v>10977499.999999996</v>
      </c>
    </row>
    <row r="76" spans="2:26" ht="13">
      <c r="B76" s="12" t="str">
        <f t="shared" si="28"/>
        <v>Cumulative Distributions</v>
      </c>
      <c r="C76" s="12"/>
      <c r="D76" s="12" t="s">
        <v>173</v>
      </c>
      <c r="E76" s="26">
        <f t="shared" ca="1" si="18"/>
        <v>68909999.99999997</v>
      </c>
      <c r="F76" s="26"/>
      <c r="G76" s="26">
        <f t="shared" ref="G76:Z76" ca="1" si="46">F76+G47</f>
        <v>0</v>
      </c>
      <c r="H76" s="26">
        <f t="shared" ca="1" si="46"/>
        <v>0</v>
      </c>
      <c r="I76" s="26">
        <f t="shared" ca="1" si="46"/>
        <v>0</v>
      </c>
      <c r="J76" s="26">
        <f t="shared" ca="1" si="46"/>
        <v>481250</v>
      </c>
      <c r="K76" s="26">
        <f t="shared" ca="1" si="46"/>
        <v>4331249.9999999991</v>
      </c>
      <c r="L76" s="26">
        <f t="shared" ca="1" si="46"/>
        <v>8181249.9999999981</v>
      </c>
      <c r="M76" s="26">
        <f t="shared" ca="1" si="46"/>
        <v>26652190.47619047</v>
      </c>
      <c r="N76" s="26">
        <f t="shared" ca="1" si="46"/>
        <v>41544095.238095224</v>
      </c>
      <c r="O76" s="26">
        <f t="shared" ca="1" si="46"/>
        <v>53983142.857142836</v>
      </c>
      <c r="P76" s="26">
        <f t="shared" ca="1" si="46"/>
        <v>68909999.99999997</v>
      </c>
      <c r="Q76" s="26">
        <f t="shared" ca="1" si="46"/>
        <v>68909999.99999997</v>
      </c>
      <c r="R76" s="26">
        <f t="shared" ca="1" si="46"/>
        <v>68909999.99999997</v>
      </c>
      <c r="S76" s="26">
        <f t="shared" ca="1" si="46"/>
        <v>68909999.99999997</v>
      </c>
      <c r="T76" s="26">
        <f t="shared" ca="1" si="46"/>
        <v>68909999.99999997</v>
      </c>
      <c r="U76" s="26">
        <f t="shared" ca="1" si="46"/>
        <v>68909999.99999997</v>
      </c>
      <c r="V76" s="26">
        <f t="shared" ca="1" si="46"/>
        <v>68909999.99999997</v>
      </c>
      <c r="W76" s="26">
        <f t="shared" ca="1" si="46"/>
        <v>68909999.99999997</v>
      </c>
      <c r="X76" s="26">
        <f t="shared" ca="1" si="46"/>
        <v>68909999.99999997</v>
      </c>
      <c r="Y76" s="26">
        <f t="shared" ca="1" si="46"/>
        <v>68909999.99999997</v>
      </c>
      <c r="Z76" s="26">
        <f t="shared" ca="1" si="46"/>
        <v>68909999.99999997</v>
      </c>
    </row>
    <row r="77" spans="2:26" ht="13">
      <c r="B77" s="12" t="str">
        <f t="shared" si="28"/>
        <v>Cumulative Writeoffs</v>
      </c>
      <c r="C77" s="12"/>
      <c r="D77" s="12" t="s">
        <v>173</v>
      </c>
      <c r="E77" s="26">
        <f t="shared" ca="1" si="18"/>
        <v>12127499.999999998</v>
      </c>
      <c r="F77" s="26"/>
      <c r="G77" s="26">
        <f t="shared" ref="G77:Z77" ca="1" si="47">F77+G48</f>
        <v>0</v>
      </c>
      <c r="H77" s="26">
        <f t="shared" ca="1" si="47"/>
        <v>0</v>
      </c>
      <c r="I77" s="26">
        <f t="shared" ca="1" si="47"/>
        <v>2887499.9999999995</v>
      </c>
      <c r="J77" s="26">
        <f t="shared" ca="1" si="47"/>
        <v>5774999.9999999991</v>
      </c>
      <c r="K77" s="26">
        <f t="shared" ca="1" si="47"/>
        <v>8662499.9999999981</v>
      </c>
      <c r="L77" s="26">
        <f t="shared" ca="1" si="47"/>
        <v>12127499.999999998</v>
      </c>
      <c r="M77" s="26">
        <f t="shared" ca="1" si="47"/>
        <v>12127499.999999998</v>
      </c>
      <c r="N77" s="26">
        <f t="shared" ca="1" si="47"/>
        <v>12127499.999999998</v>
      </c>
      <c r="O77" s="26">
        <f t="shared" ca="1" si="47"/>
        <v>12127499.999999998</v>
      </c>
      <c r="P77" s="26">
        <f t="shared" ca="1" si="47"/>
        <v>12127499.999999998</v>
      </c>
      <c r="Q77" s="26">
        <f t="shared" ca="1" si="47"/>
        <v>12127499.999999998</v>
      </c>
      <c r="R77" s="26">
        <f t="shared" ca="1" si="47"/>
        <v>12127499.999999998</v>
      </c>
      <c r="S77" s="26">
        <f t="shared" ca="1" si="47"/>
        <v>12127499.999999998</v>
      </c>
      <c r="T77" s="26">
        <f t="shared" ca="1" si="47"/>
        <v>12127499.999999998</v>
      </c>
      <c r="U77" s="26">
        <f t="shared" ca="1" si="47"/>
        <v>12127499.999999998</v>
      </c>
      <c r="V77" s="26">
        <f t="shared" ca="1" si="47"/>
        <v>12127499.999999998</v>
      </c>
      <c r="W77" s="26">
        <f t="shared" ca="1" si="47"/>
        <v>12127499.999999998</v>
      </c>
      <c r="X77" s="26">
        <f t="shared" ca="1" si="47"/>
        <v>12127499.999999998</v>
      </c>
      <c r="Y77" s="26">
        <f t="shared" ca="1" si="47"/>
        <v>12127499.999999998</v>
      </c>
      <c r="Z77" s="26">
        <f t="shared" ca="1" si="47"/>
        <v>12127499.999999998</v>
      </c>
    </row>
    <row r="78" spans="2:26" ht="13">
      <c r="B78" s="12" t="str">
        <f t="shared" si="28"/>
        <v>Cumulative Invested Capital Exited</v>
      </c>
      <c r="C78" s="12"/>
      <c r="D78" s="12" t="s">
        <v>173</v>
      </c>
      <c r="E78" s="26">
        <f t="shared" ca="1" si="18"/>
        <v>8084999.9999999991</v>
      </c>
      <c r="F78" s="26"/>
      <c r="G78" s="26">
        <f t="shared" ref="G78:Z78" ca="1" si="48">F78+G49</f>
        <v>0</v>
      </c>
      <c r="H78" s="26">
        <f t="shared" ca="1" si="48"/>
        <v>0</v>
      </c>
      <c r="I78" s="26">
        <f t="shared" ca="1" si="48"/>
        <v>0</v>
      </c>
      <c r="J78" s="26">
        <f t="shared" ca="1" si="48"/>
        <v>962499.99999999988</v>
      </c>
      <c r="K78" s="26">
        <f t="shared" ca="1" si="48"/>
        <v>2406249.9999999995</v>
      </c>
      <c r="L78" s="26">
        <f t="shared" ca="1" si="48"/>
        <v>3849999.9999999991</v>
      </c>
      <c r="M78" s="26">
        <f t="shared" ca="1" si="48"/>
        <v>5967499.9999999991</v>
      </c>
      <c r="N78" s="26">
        <f t="shared" ca="1" si="48"/>
        <v>7026249.9999999991</v>
      </c>
      <c r="O78" s="26">
        <f t="shared" ca="1" si="48"/>
        <v>7507499.9999999991</v>
      </c>
      <c r="P78" s="26">
        <f t="shared" ca="1" si="48"/>
        <v>8084999.9999999991</v>
      </c>
      <c r="Q78" s="26">
        <f t="shared" ca="1" si="48"/>
        <v>8084999.9999999991</v>
      </c>
      <c r="R78" s="26">
        <f t="shared" ca="1" si="48"/>
        <v>8084999.9999999991</v>
      </c>
      <c r="S78" s="26">
        <f t="shared" ca="1" si="48"/>
        <v>8084999.9999999991</v>
      </c>
      <c r="T78" s="26">
        <f t="shared" ca="1" si="48"/>
        <v>8084999.9999999991</v>
      </c>
      <c r="U78" s="26">
        <f t="shared" ca="1" si="48"/>
        <v>8084999.9999999991</v>
      </c>
      <c r="V78" s="26">
        <f t="shared" ca="1" si="48"/>
        <v>8084999.9999999991</v>
      </c>
      <c r="W78" s="26">
        <f t="shared" ca="1" si="48"/>
        <v>8084999.9999999991</v>
      </c>
      <c r="X78" s="26">
        <f t="shared" ca="1" si="48"/>
        <v>8084999.9999999991</v>
      </c>
      <c r="Y78" s="26">
        <f t="shared" ca="1" si="48"/>
        <v>8084999.9999999991</v>
      </c>
      <c r="Z78" s="26">
        <f t="shared" ca="1" si="48"/>
        <v>8084999.9999999991</v>
      </c>
    </row>
    <row r="79" spans="2:26" ht="13">
      <c r="B79" s="12" t="str">
        <f t="shared" si="28"/>
        <v>Cumulative Change in Invested Capital</v>
      </c>
      <c r="C79" s="12"/>
      <c r="D79" s="12" t="s">
        <v>173</v>
      </c>
      <c r="E79" s="26">
        <f t="shared" ca="1" si="18"/>
        <v>0</v>
      </c>
      <c r="F79" s="26"/>
      <c r="G79" s="26">
        <f t="shared" ref="G79:Z79" ca="1" si="49">F79+G50</f>
        <v>4812499.9999999991</v>
      </c>
      <c r="H79" s="26">
        <f t="shared" ca="1" si="49"/>
        <v>9624999.9999999981</v>
      </c>
      <c r="I79" s="26">
        <f t="shared" ca="1" si="49"/>
        <v>11549999.999999998</v>
      </c>
      <c r="J79" s="26">
        <f t="shared" ca="1" si="49"/>
        <v>13474999.999999998</v>
      </c>
      <c r="K79" s="26">
        <f t="shared" ca="1" si="49"/>
        <v>9143750</v>
      </c>
      <c r="L79" s="26">
        <f t="shared" ca="1" si="49"/>
        <v>4235000</v>
      </c>
      <c r="M79" s="26">
        <f t="shared" ca="1" si="49"/>
        <v>2117500</v>
      </c>
      <c r="N79" s="26">
        <f t="shared" ca="1" si="49"/>
        <v>1058750.0000000002</v>
      </c>
      <c r="O79" s="26">
        <f t="shared" ca="1" si="49"/>
        <v>577500.00000000047</v>
      </c>
      <c r="P79" s="26">
        <f t="shared" ca="1" si="49"/>
        <v>0</v>
      </c>
      <c r="Q79" s="26">
        <f t="shared" ca="1" si="49"/>
        <v>0</v>
      </c>
      <c r="R79" s="26">
        <f t="shared" ca="1" si="49"/>
        <v>0</v>
      </c>
      <c r="S79" s="26">
        <f t="shared" ca="1" si="49"/>
        <v>0</v>
      </c>
      <c r="T79" s="26">
        <f t="shared" ca="1" si="49"/>
        <v>0</v>
      </c>
      <c r="U79" s="26">
        <f t="shared" ca="1" si="49"/>
        <v>0</v>
      </c>
      <c r="V79" s="26">
        <f t="shared" ca="1" si="49"/>
        <v>0</v>
      </c>
      <c r="W79" s="26">
        <f t="shared" ca="1" si="49"/>
        <v>0</v>
      </c>
      <c r="X79" s="26">
        <f t="shared" ca="1" si="49"/>
        <v>0</v>
      </c>
      <c r="Y79" s="26">
        <f t="shared" ca="1" si="49"/>
        <v>0</v>
      </c>
      <c r="Z79" s="26">
        <f t="shared" ca="1" si="49"/>
        <v>0</v>
      </c>
    </row>
    <row r="80" spans="2:26" ht="13">
      <c r="B80" s="12" t="str">
        <f t="shared" si="28"/>
        <v>Cumulative Change in Unrealized Gain (Loss)</v>
      </c>
      <c r="C80" s="12"/>
      <c r="D80" s="12" t="s">
        <v>173</v>
      </c>
      <c r="E80" s="26">
        <f t="shared" ca="1" si="18"/>
        <v>0</v>
      </c>
      <c r="F80" s="26"/>
      <c r="G80" s="26">
        <f t="shared" ref="G80:Z80" ca="1" si="50">F80+G51</f>
        <v>0</v>
      </c>
      <c r="H80" s="26">
        <f t="shared" ca="1" si="50"/>
        <v>0</v>
      </c>
      <c r="I80" s="26">
        <f t="shared" ca="1" si="50"/>
        <v>3106178.2114952803</v>
      </c>
      <c r="J80" s="26">
        <f t="shared" ca="1" si="50"/>
        <v>5247759.402085308</v>
      </c>
      <c r="K80" s="26">
        <f t="shared" ca="1" si="50"/>
        <v>6271687.4480532203</v>
      </c>
      <c r="L80" s="26">
        <f t="shared" ca="1" si="50"/>
        <v>5940192.2744595567</v>
      </c>
      <c r="M80" s="26">
        <f t="shared" ca="1" si="50"/>
        <v>3507461.0073184734</v>
      </c>
      <c r="N80" s="26">
        <f t="shared" ca="1" si="50"/>
        <v>2291095.3737479318</v>
      </c>
      <c r="O80" s="26">
        <f t="shared" ca="1" si="50"/>
        <v>1766439.8876840067</v>
      </c>
      <c r="P80" s="26">
        <f t="shared" ca="1" si="50"/>
        <v>0</v>
      </c>
      <c r="Q80" s="26">
        <f t="shared" ca="1" si="50"/>
        <v>0</v>
      </c>
      <c r="R80" s="26">
        <f t="shared" ca="1" si="50"/>
        <v>0</v>
      </c>
      <c r="S80" s="26">
        <f t="shared" ca="1" si="50"/>
        <v>0</v>
      </c>
      <c r="T80" s="26">
        <f t="shared" ca="1" si="50"/>
        <v>0</v>
      </c>
      <c r="U80" s="26">
        <f t="shared" ca="1" si="50"/>
        <v>0</v>
      </c>
      <c r="V80" s="26">
        <f t="shared" ca="1" si="50"/>
        <v>0</v>
      </c>
      <c r="W80" s="26">
        <f t="shared" ca="1" si="50"/>
        <v>0</v>
      </c>
      <c r="X80" s="26">
        <f t="shared" ca="1" si="50"/>
        <v>0</v>
      </c>
      <c r="Y80" s="26">
        <f t="shared" ca="1" si="50"/>
        <v>0</v>
      </c>
      <c r="Z80" s="26">
        <f t="shared" ca="1" si="50"/>
        <v>0</v>
      </c>
    </row>
    <row r="81" spans="2:26" ht="13">
      <c r="B81" s="12" t="str">
        <f t="shared" si="28"/>
        <v>Cumulative Change in Residual Value</v>
      </c>
      <c r="C81" s="12" t="s">
        <v>214</v>
      </c>
      <c r="D81" s="12" t="s">
        <v>173</v>
      </c>
      <c r="E81" s="26">
        <f t="shared" ca="1" si="18"/>
        <v>0</v>
      </c>
      <c r="F81" s="26"/>
      <c r="G81" s="26">
        <f t="shared" ref="G81:Z81" ca="1" si="51">F81+G52</f>
        <v>4812499.9999999991</v>
      </c>
      <c r="H81" s="26">
        <f t="shared" ca="1" si="51"/>
        <v>9624999.9999999981</v>
      </c>
      <c r="I81" s="26">
        <f t="shared" ca="1" si="51"/>
        <v>14656178.211495278</v>
      </c>
      <c r="J81" s="26">
        <f t="shared" ca="1" si="51"/>
        <v>18722759.402085308</v>
      </c>
      <c r="K81" s="26">
        <f t="shared" ca="1" si="51"/>
        <v>15415437.448053222</v>
      </c>
      <c r="L81" s="26">
        <f t="shared" ca="1" si="51"/>
        <v>10175192.274459559</v>
      </c>
      <c r="M81" s="26">
        <f t="shared" ca="1" si="51"/>
        <v>5624961.0073184762</v>
      </c>
      <c r="N81" s="26">
        <f t="shared" ca="1" si="51"/>
        <v>3349845.3737479351</v>
      </c>
      <c r="O81" s="26">
        <f t="shared" ca="1" si="51"/>
        <v>2343939.88768401</v>
      </c>
      <c r="P81" s="26">
        <f t="shared" ca="1" si="51"/>
        <v>0</v>
      </c>
      <c r="Q81" s="26">
        <f t="shared" ca="1" si="51"/>
        <v>0</v>
      </c>
      <c r="R81" s="26">
        <f t="shared" ca="1" si="51"/>
        <v>0</v>
      </c>
      <c r="S81" s="26">
        <f t="shared" ca="1" si="51"/>
        <v>0</v>
      </c>
      <c r="T81" s="26">
        <f t="shared" ca="1" si="51"/>
        <v>0</v>
      </c>
      <c r="U81" s="26">
        <f t="shared" ca="1" si="51"/>
        <v>0</v>
      </c>
      <c r="V81" s="26">
        <f t="shared" ca="1" si="51"/>
        <v>0</v>
      </c>
      <c r="W81" s="26">
        <f t="shared" ca="1" si="51"/>
        <v>0</v>
      </c>
      <c r="X81" s="26">
        <f t="shared" ca="1" si="51"/>
        <v>0</v>
      </c>
      <c r="Y81" s="26">
        <f t="shared" ca="1" si="51"/>
        <v>0</v>
      </c>
      <c r="Z81" s="26">
        <f t="shared" ca="1" si="51"/>
        <v>0</v>
      </c>
    </row>
    <row r="82" spans="2:26" ht="13">
      <c r="B82" s="12" t="str">
        <f t="shared" si="28"/>
        <v>Cumulative Change in Undrawn Capital Commitments</v>
      </c>
      <c r="C82" s="12"/>
      <c r="D82" s="12" t="s">
        <v>173</v>
      </c>
      <c r="E82" s="26">
        <f t="shared" ca="1" si="18"/>
        <v>0</v>
      </c>
      <c r="F82" s="26"/>
      <c r="G82" s="26">
        <f t="shared" ref="G82:Z82" ca="1" si="52">F82+G53</f>
        <v>19522500</v>
      </c>
      <c r="H82" s="26">
        <f t="shared" ca="1" si="52"/>
        <v>14145000</v>
      </c>
      <c r="I82" s="26">
        <f t="shared" ca="1" si="52"/>
        <v>8767500</v>
      </c>
      <c r="J82" s="26">
        <f t="shared" ca="1" si="52"/>
        <v>3390000</v>
      </c>
      <c r="K82" s="26">
        <f t="shared" ca="1" si="52"/>
        <v>2825000</v>
      </c>
      <c r="L82" s="26">
        <f t="shared" ca="1" si="52"/>
        <v>2260000</v>
      </c>
      <c r="M82" s="26">
        <f t="shared" ca="1" si="52"/>
        <v>1695000</v>
      </c>
      <c r="N82" s="26">
        <f t="shared" ca="1" si="52"/>
        <v>1130000</v>
      </c>
      <c r="O82" s="26">
        <f t="shared" ca="1" si="52"/>
        <v>565000</v>
      </c>
      <c r="P82" s="26">
        <f t="shared" ca="1" si="52"/>
        <v>0</v>
      </c>
      <c r="Q82" s="26">
        <f t="shared" ca="1" si="52"/>
        <v>0</v>
      </c>
      <c r="R82" s="26">
        <f t="shared" ca="1" si="52"/>
        <v>0</v>
      </c>
      <c r="S82" s="26">
        <f t="shared" ca="1" si="52"/>
        <v>0</v>
      </c>
      <c r="T82" s="26">
        <f t="shared" ca="1" si="52"/>
        <v>0</v>
      </c>
      <c r="U82" s="26">
        <f t="shared" ca="1" si="52"/>
        <v>0</v>
      </c>
      <c r="V82" s="26">
        <f t="shared" ca="1" si="52"/>
        <v>0</v>
      </c>
      <c r="W82" s="26">
        <f t="shared" ca="1" si="52"/>
        <v>0</v>
      </c>
      <c r="X82" s="26">
        <f t="shared" ca="1" si="52"/>
        <v>0</v>
      </c>
      <c r="Y82" s="26">
        <f t="shared" ca="1" si="52"/>
        <v>0</v>
      </c>
      <c r="Z82" s="26">
        <f t="shared" ca="1" si="52"/>
        <v>0</v>
      </c>
    </row>
    <row r="83" spans="2:26" ht="13">
      <c r="B83" s="12" t="str">
        <f t="shared" si="28"/>
        <v>Cumulative Committed Capital from LPs</v>
      </c>
      <c r="D83" s="12" t="s">
        <v>173</v>
      </c>
      <c r="E83" s="26">
        <f t="shared" si="18"/>
        <v>25000000</v>
      </c>
      <c r="F83" s="26"/>
      <c r="G83" s="26">
        <f t="shared" ref="G83:Z83" si="53">F83+G54</f>
        <v>25000000</v>
      </c>
      <c r="H83" s="26">
        <f t="shared" si="53"/>
        <v>25000000</v>
      </c>
      <c r="I83" s="26">
        <f t="shared" si="53"/>
        <v>25000000</v>
      </c>
      <c r="J83" s="26">
        <f t="shared" si="53"/>
        <v>25000000</v>
      </c>
      <c r="K83" s="26">
        <f t="shared" si="53"/>
        <v>25000000</v>
      </c>
      <c r="L83" s="26">
        <f t="shared" si="53"/>
        <v>25000000</v>
      </c>
      <c r="M83" s="26">
        <f t="shared" si="53"/>
        <v>25000000</v>
      </c>
      <c r="N83" s="26">
        <f t="shared" si="53"/>
        <v>25000000</v>
      </c>
      <c r="O83" s="26">
        <f t="shared" si="53"/>
        <v>25000000</v>
      </c>
      <c r="P83" s="26">
        <f t="shared" si="53"/>
        <v>25000000</v>
      </c>
      <c r="Q83" s="26">
        <f t="shared" si="53"/>
        <v>25000000</v>
      </c>
      <c r="R83" s="26">
        <f t="shared" si="53"/>
        <v>25000000</v>
      </c>
      <c r="S83" s="26">
        <f t="shared" si="53"/>
        <v>25000000</v>
      </c>
      <c r="T83" s="26">
        <f t="shared" si="53"/>
        <v>25000000</v>
      </c>
      <c r="U83" s="26">
        <f t="shared" si="53"/>
        <v>25000000</v>
      </c>
      <c r="V83" s="26">
        <f t="shared" si="53"/>
        <v>25000000</v>
      </c>
      <c r="W83" s="26">
        <f t="shared" si="53"/>
        <v>25000000</v>
      </c>
      <c r="X83" s="26">
        <f t="shared" si="53"/>
        <v>25000000</v>
      </c>
      <c r="Y83" s="26">
        <f t="shared" si="53"/>
        <v>25000000</v>
      </c>
      <c r="Z83" s="26">
        <f t="shared" si="53"/>
        <v>25000000</v>
      </c>
    </row>
    <row r="84" spans="2:26" ht="13">
      <c r="B84" s="12" t="str">
        <f t="shared" si="28"/>
        <v>Cumulative Called Capital from LPs</v>
      </c>
      <c r="D84" s="12" t="s">
        <v>173</v>
      </c>
      <c r="E84" s="26">
        <f t="shared" ca="1" si="18"/>
        <v>24999999.999999996</v>
      </c>
      <c r="F84" s="26"/>
      <c r="G84" s="26">
        <f t="shared" ref="G84:Z84" ca="1" si="54">F84+G55</f>
        <v>5477499.9999999991</v>
      </c>
      <c r="H84" s="26">
        <f t="shared" ca="1" si="54"/>
        <v>10854999.999999998</v>
      </c>
      <c r="I84" s="26">
        <f t="shared" ca="1" si="54"/>
        <v>16232499.999999996</v>
      </c>
      <c r="J84" s="26">
        <f t="shared" ca="1" si="54"/>
        <v>21609999.999999996</v>
      </c>
      <c r="K84" s="26">
        <f t="shared" ca="1" si="54"/>
        <v>22174999.999999996</v>
      </c>
      <c r="L84" s="26">
        <f t="shared" ca="1" si="54"/>
        <v>22739999.999999996</v>
      </c>
      <c r="M84" s="26">
        <f t="shared" ca="1" si="54"/>
        <v>23304999.999999996</v>
      </c>
      <c r="N84" s="26">
        <f t="shared" ca="1" si="54"/>
        <v>23869999.999999996</v>
      </c>
      <c r="O84" s="26">
        <f t="shared" ca="1" si="54"/>
        <v>24434999.999999996</v>
      </c>
      <c r="P84" s="26">
        <f t="shared" ca="1" si="54"/>
        <v>24999999.999999996</v>
      </c>
      <c r="Q84" s="26">
        <f t="shared" ca="1" si="54"/>
        <v>24999999.999999996</v>
      </c>
      <c r="R84" s="26">
        <f t="shared" ca="1" si="54"/>
        <v>24999999.999999996</v>
      </c>
      <c r="S84" s="26">
        <f t="shared" ca="1" si="54"/>
        <v>24999999.999999996</v>
      </c>
      <c r="T84" s="26">
        <f t="shared" ca="1" si="54"/>
        <v>24999999.999999996</v>
      </c>
      <c r="U84" s="26">
        <f t="shared" ca="1" si="54"/>
        <v>24999999.999999996</v>
      </c>
      <c r="V84" s="26">
        <f t="shared" ca="1" si="54"/>
        <v>24999999.999999996</v>
      </c>
      <c r="W84" s="26">
        <f t="shared" ca="1" si="54"/>
        <v>24999999.999999996</v>
      </c>
      <c r="X84" s="26">
        <f t="shared" ca="1" si="54"/>
        <v>24999999.999999996</v>
      </c>
      <c r="Y84" s="26">
        <f t="shared" ca="1" si="54"/>
        <v>24999999.999999996</v>
      </c>
      <c r="Z84" s="26">
        <f t="shared" ca="1" si="54"/>
        <v>24999999.999999996</v>
      </c>
    </row>
    <row r="85" spans="2:26" ht="13">
      <c r="B85" s="12" t="str">
        <f t="shared" si="28"/>
        <v>Cumulative Change in Invested Capital, from LPs</v>
      </c>
      <c r="D85" s="12" t="s">
        <v>173</v>
      </c>
      <c r="E85" s="26">
        <f t="shared" ca="1" si="18"/>
        <v>0</v>
      </c>
      <c r="F85" s="26"/>
      <c r="G85" s="26">
        <f t="shared" ref="G85:Z85" ca="1" si="55">F85+G56</f>
        <v>4812499.9999999991</v>
      </c>
      <c r="H85" s="26">
        <f t="shared" ca="1" si="55"/>
        <v>9624999.9999999981</v>
      </c>
      <c r="I85" s="26">
        <f t="shared" ca="1" si="55"/>
        <v>11549999.999999998</v>
      </c>
      <c r="J85" s="26">
        <f t="shared" ca="1" si="55"/>
        <v>13474999.999999998</v>
      </c>
      <c r="K85" s="26">
        <f t="shared" ca="1" si="55"/>
        <v>9143750</v>
      </c>
      <c r="L85" s="26">
        <f t="shared" ca="1" si="55"/>
        <v>4235000</v>
      </c>
      <c r="M85" s="26">
        <f t="shared" ca="1" si="55"/>
        <v>2117500</v>
      </c>
      <c r="N85" s="26">
        <f t="shared" ca="1" si="55"/>
        <v>1058750.0000000002</v>
      </c>
      <c r="O85" s="26">
        <f t="shared" ca="1" si="55"/>
        <v>577500.00000000047</v>
      </c>
      <c r="P85" s="26">
        <f t="shared" ca="1" si="55"/>
        <v>0</v>
      </c>
      <c r="Q85" s="26">
        <f t="shared" ca="1" si="55"/>
        <v>0</v>
      </c>
      <c r="R85" s="26">
        <f t="shared" ca="1" si="55"/>
        <v>0</v>
      </c>
      <c r="S85" s="26">
        <f t="shared" ca="1" si="55"/>
        <v>0</v>
      </c>
      <c r="T85" s="26">
        <f t="shared" ca="1" si="55"/>
        <v>0</v>
      </c>
      <c r="U85" s="26">
        <f t="shared" ca="1" si="55"/>
        <v>0</v>
      </c>
      <c r="V85" s="26">
        <f t="shared" ca="1" si="55"/>
        <v>0</v>
      </c>
      <c r="W85" s="26">
        <f t="shared" ca="1" si="55"/>
        <v>0</v>
      </c>
      <c r="X85" s="26">
        <f t="shared" ca="1" si="55"/>
        <v>0</v>
      </c>
      <c r="Y85" s="26">
        <f t="shared" ca="1" si="55"/>
        <v>0</v>
      </c>
      <c r="Z85" s="26">
        <f t="shared" ca="1" si="55"/>
        <v>0</v>
      </c>
    </row>
    <row r="86" spans="2:26" ht="13">
      <c r="B86" s="12" t="str">
        <f t="shared" si="28"/>
        <v>Cumulative Distributions to LPs</v>
      </c>
      <c r="D86" s="12" t="s">
        <v>173</v>
      </c>
      <c r="E86" s="26">
        <f t="shared" ca="1" si="18"/>
        <v>67531799.99999997</v>
      </c>
      <c r="F86" s="26"/>
      <c r="G86" s="26">
        <f t="shared" ref="G86:Z86" ca="1" si="56">F86+G57</f>
        <v>0</v>
      </c>
      <c r="H86" s="26">
        <f t="shared" ca="1" si="56"/>
        <v>0</v>
      </c>
      <c r="I86" s="26">
        <f t="shared" ca="1" si="56"/>
        <v>0</v>
      </c>
      <c r="J86" s="26">
        <f t="shared" ca="1" si="56"/>
        <v>471625</v>
      </c>
      <c r="K86" s="26">
        <f t="shared" ca="1" si="56"/>
        <v>4244624.9999999991</v>
      </c>
      <c r="L86" s="26">
        <f t="shared" ca="1" si="56"/>
        <v>8017624.9999999981</v>
      </c>
      <c r="M86" s="26">
        <f t="shared" ca="1" si="56"/>
        <v>26119146.666666657</v>
      </c>
      <c r="N86" s="26">
        <f t="shared" ca="1" si="56"/>
        <v>40713213.333333313</v>
      </c>
      <c r="O86" s="26">
        <f t="shared" ca="1" si="56"/>
        <v>52903479.99999997</v>
      </c>
      <c r="P86" s="26">
        <f t="shared" ca="1" si="56"/>
        <v>67531799.99999997</v>
      </c>
      <c r="Q86" s="26">
        <f t="shared" ca="1" si="56"/>
        <v>67531799.99999997</v>
      </c>
      <c r="R86" s="26">
        <f t="shared" ca="1" si="56"/>
        <v>67531799.99999997</v>
      </c>
      <c r="S86" s="26">
        <f t="shared" ca="1" si="56"/>
        <v>67531799.99999997</v>
      </c>
      <c r="T86" s="26">
        <f t="shared" ca="1" si="56"/>
        <v>67531799.99999997</v>
      </c>
      <c r="U86" s="26">
        <f t="shared" ca="1" si="56"/>
        <v>67531799.99999997</v>
      </c>
      <c r="V86" s="26">
        <f t="shared" ca="1" si="56"/>
        <v>67531799.99999997</v>
      </c>
      <c r="W86" s="26">
        <f t="shared" ca="1" si="56"/>
        <v>67531799.99999997</v>
      </c>
      <c r="X86" s="26">
        <f t="shared" ca="1" si="56"/>
        <v>67531799.99999997</v>
      </c>
      <c r="Y86" s="26">
        <f t="shared" ca="1" si="56"/>
        <v>67531799.99999997</v>
      </c>
      <c r="Z86" s="26">
        <f t="shared" ca="1" si="56"/>
        <v>67531799.99999997</v>
      </c>
    </row>
    <row r="87" spans="2:26" ht="13">
      <c r="B87" s="12" t="str">
        <f t="shared" si="28"/>
        <v>Cumulative Distributions to GPs</v>
      </c>
      <c r="D87" s="12" t="s">
        <v>173</v>
      </c>
      <c r="E87" s="26">
        <f t="shared" ca="1" si="18"/>
        <v>12355699.999999996</v>
      </c>
      <c r="F87" s="26"/>
      <c r="G87" s="26">
        <f t="shared" ref="G87:Z87" ca="1" si="57">F87+G58</f>
        <v>0</v>
      </c>
      <c r="H87" s="26">
        <f t="shared" ca="1" si="57"/>
        <v>0</v>
      </c>
      <c r="I87" s="26">
        <f t="shared" ca="1" si="57"/>
        <v>0</v>
      </c>
      <c r="J87" s="26">
        <f t="shared" ca="1" si="57"/>
        <v>9625</v>
      </c>
      <c r="K87" s="26">
        <f t="shared" ca="1" si="57"/>
        <v>86624.999999999985</v>
      </c>
      <c r="L87" s="26">
        <f t="shared" ca="1" si="57"/>
        <v>163624.99999999997</v>
      </c>
      <c r="M87" s="26">
        <f t="shared" ca="1" si="57"/>
        <v>1600853.3333333316</v>
      </c>
      <c r="N87" s="26">
        <f t="shared" ca="1" si="57"/>
        <v>5294286.6666666642</v>
      </c>
      <c r="O87" s="26">
        <f t="shared" ca="1" si="57"/>
        <v>8504019.9999999963</v>
      </c>
      <c r="P87" s="26">
        <f t="shared" ca="1" si="57"/>
        <v>12355699.999999996</v>
      </c>
      <c r="Q87" s="26">
        <f t="shared" ca="1" si="57"/>
        <v>12355699.999999996</v>
      </c>
      <c r="R87" s="26">
        <f t="shared" ca="1" si="57"/>
        <v>12355699.999999996</v>
      </c>
      <c r="S87" s="26">
        <f t="shared" ca="1" si="57"/>
        <v>12355699.999999996</v>
      </c>
      <c r="T87" s="26">
        <f t="shared" ca="1" si="57"/>
        <v>12355699.999999996</v>
      </c>
      <c r="U87" s="26">
        <f t="shared" ca="1" si="57"/>
        <v>12355699.999999996</v>
      </c>
      <c r="V87" s="26">
        <f t="shared" ca="1" si="57"/>
        <v>12355699.999999996</v>
      </c>
      <c r="W87" s="26">
        <f t="shared" ca="1" si="57"/>
        <v>12355699.999999996</v>
      </c>
      <c r="X87" s="26">
        <f t="shared" ca="1" si="57"/>
        <v>12355699.999999996</v>
      </c>
      <c r="Y87" s="26">
        <f t="shared" ca="1" si="57"/>
        <v>12355699.999999996</v>
      </c>
      <c r="Z87" s="26">
        <f t="shared" ca="1" si="57"/>
        <v>12355699.999999996</v>
      </c>
    </row>
    <row r="88" spans="2:26" ht="13">
      <c r="E88" s="26"/>
      <c r="F88" s="26"/>
      <c r="G88" s="26"/>
      <c r="H88" s="26"/>
      <c r="I88" s="26"/>
      <c r="J88" s="26"/>
      <c r="K88" s="26"/>
      <c r="L88" s="26"/>
      <c r="M88" s="26"/>
      <c r="N88" s="26"/>
      <c r="O88" s="26"/>
      <c r="P88" s="26"/>
      <c r="Q88" s="26"/>
      <c r="R88" s="26"/>
      <c r="S88" s="26"/>
      <c r="T88" s="26"/>
      <c r="U88" s="26"/>
      <c r="V88" s="26"/>
      <c r="W88" s="26"/>
      <c r="X88" s="26"/>
      <c r="Y88" s="26"/>
      <c r="Z88" s="26"/>
    </row>
    <row r="89" spans="2:26" ht="13">
      <c r="B89" s="12" t="s">
        <v>215</v>
      </c>
      <c r="C89" s="12"/>
      <c r="D89" s="12" t="s">
        <v>173</v>
      </c>
      <c r="E89" s="75">
        <f t="shared" ref="E89:E92" ca="1" si="58">IF(D89="sum",SUM(G89:Z89),IF(D89="final",Z89,IF(D89="initial",G89,IF(D89="average",AVERAGE(G89:Z89),0))))</f>
        <v>1</v>
      </c>
      <c r="F89" s="70" t="str">
        <f t="shared" ref="F89:F92" si="59">B89</f>
        <v>Paid in Capital (PIC)</v>
      </c>
      <c r="G89" s="75">
        <f t="shared" ref="G89:Z89" ca="1" si="60">IFERROR(G60/$E60,0)</f>
        <v>0.21909999999999999</v>
      </c>
      <c r="H89" s="75">
        <f t="shared" ca="1" si="60"/>
        <v>0.43419999999999997</v>
      </c>
      <c r="I89" s="75">
        <f t="shared" ca="1" si="60"/>
        <v>0.64929999999999999</v>
      </c>
      <c r="J89" s="75">
        <f t="shared" ca="1" si="60"/>
        <v>0.86439999999999995</v>
      </c>
      <c r="K89" s="75">
        <f t="shared" ca="1" si="60"/>
        <v>0.88700000000000001</v>
      </c>
      <c r="L89" s="75">
        <f t="shared" ca="1" si="60"/>
        <v>0.90959999999999996</v>
      </c>
      <c r="M89" s="75">
        <f t="shared" ca="1" si="60"/>
        <v>0.93220000000000003</v>
      </c>
      <c r="N89" s="75">
        <f t="shared" ca="1" si="60"/>
        <v>0.95479999999999998</v>
      </c>
      <c r="O89" s="75">
        <f t="shared" ca="1" si="60"/>
        <v>0.97740000000000005</v>
      </c>
      <c r="P89" s="75">
        <f t="shared" ca="1" si="60"/>
        <v>1</v>
      </c>
      <c r="Q89" s="75">
        <f t="shared" ca="1" si="60"/>
        <v>1</v>
      </c>
      <c r="R89" s="75">
        <f t="shared" ca="1" si="60"/>
        <v>1</v>
      </c>
      <c r="S89" s="75">
        <f t="shared" ca="1" si="60"/>
        <v>1</v>
      </c>
      <c r="T89" s="75">
        <f t="shared" ca="1" si="60"/>
        <v>1</v>
      </c>
      <c r="U89" s="75">
        <f t="shared" ca="1" si="60"/>
        <v>1</v>
      </c>
      <c r="V89" s="75">
        <f t="shared" ca="1" si="60"/>
        <v>1</v>
      </c>
      <c r="W89" s="75">
        <f t="shared" ca="1" si="60"/>
        <v>1</v>
      </c>
      <c r="X89" s="75">
        <f t="shared" ca="1" si="60"/>
        <v>1</v>
      </c>
      <c r="Y89" s="75">
        <f t="shared" ca="1" si="60"/>
        <v>1</v>
      </c>
      <c r="Z89" s="75">
        <f t="shared" ca="1" si="60"/>
        <v>1</v>
      </c>
    </row>
    <row r="90" spans="2:26" ht="13">
      <c r="B90" s="12" t="s">
        <v>216</v>
      </c>
      <c r="C90" s="12"/>
      <c r="D90" s="12" t="s">
        <v>173</v>
      </c>
      <c r="E90" s="75">
        <f t="shared" ca="1" si="58"/>
        <v>7.4505805969238295E-17</v>
      </c>
      <c r="F90" s="70" t="str">
        <f t="shared" si="59"/>
        <v>Residual Value to Paid in Capital (RVPI)</v>
      </c>
      <c r="G90" s="75">
        <f ca="1">IFERROR((G81-(MAX(0,(F81+G51+G50+G72-G71-G60))*'Get Started'!$E14-G75))/G60,0)</f>
        <v>0.87859424920127793</v>
      </c>
      <c r="H90" s="75">
        <f ca="1">IFERROR((H81-(MAX(0,(G81+H51+H50+H72-H71-H60))*'Get Started'!$E14-H75))/H60,0)</f>
        <v>0.88668816213726387</v>
      </c>
      <c r="I90" s="75">
        <f ca="1">IFERROR((I81-(MAX(0,(H81+I51+I50+I72-I71-I60))*'Get Started'!$E14-I75))/I60,0)</f>
        <v>0.90289100332636885</v>
      </c>
      <c r="J90" s="75">
        <f ca="1">IFERROR((J81-(MAX(0,(I81+J51+J50+J72-J71-J60))*'Get Started'!$E14-J75))/J60,0)</f>
        <v>0.86639330874989873</v>
      </c>
      <c r="K90" s="75">
        <f ca="1">IFERROR((K81-(MAX(0,(J81+K51+K50+K72-K71-K60))*'Get Started'!$E14-K75))/K60,0)</f>
        <v>0.69517192550409135</v>
      </c>
      <c r="L90" s="75">
        <f ca="1">IFERROR((L81-(MAX(0,(K81+L51+L50+L72-L71-L60))*'Get Started'!$E14-L75))/L60,0)</f>
        <v>0.44745788366137035</v>
      </c>
      <c r="M90" s="75">
        <f ca="1">IFERROR((M81-(MAX(0,(L81+M51+M50+M72-M71-M60))*'Get Started'!$E14-M75))/M60,0)</f>
        <v>0.20102031021945097</v>
      </c>
      <c r="N90" s="75">
        <f ca="1">IFERROR((N81-(MAX(0,(M81+N51+N50+N72-N71-N60))*'Get Started'!$E14-N75))/N60,0)</f>
        <v>0.11377381905752448</v>
      </c>
      <c r="O90" s="75">
        <f ca="1">IFERROR((O81-(MAX(0,(N81+O51+O50+O72-O71-O60))*'Get Started'!$E14-O75))/O60,0)</f>
        <v>7.7962310333716089E-2</v>
      </c>
      <c r="P90" s="75">
        <f ca="1">IFERROR((P81-(MAX(0,(O81+P51+P50+P72-P71-P60))*'Get Started'!$E14-P75))/P60,0)</f>
        <v>7.4505805969238295E-17</v>
      </c>
      <c r="Q90" s="75">
        <f ca="1">IFERROR((Q81-(MAX(0,(P81+Q51+Q50+Q72-Q71-Q60))*'Get Started'!$E14-Q75))/Q60,0)</f>
        <v>7.4505805969238295E-17</v>
      </c>
      <c r="R90" s="75">
        <f ca="1">IFERROR((R81-(MAX(0,(Q81+R51+R50+R72-R71-R60))*'Get Started'!$E14-R75))/R60,0)</f>
        <v>7.4505805969238295E-17</v>
      </c>
      <c r="S90" s="75">
        <f ca="1">IFERROR((S81-(MAX(0,(R81+S51+S50+S72-S71-S60))*'Get Started'!$E14-S75))/S60,0)</f>
        <v>7.4505805969238295E-17</v>
      </c>
      <c r="T90" s="75">
        <f ca="1">IFERROR((T81-(MAX(0,(S81+T51+T50+T72-T71-T60))*'Get Started'!$E14-T75))/T60,0)</f>
        <v>7.4505805969238295E-17</v>
      </c>
      <c r="U90" s="75">
        <f ca="1">IFERROR((U81-(MAX(0,(T81+U51+U50+U72-U71-U60))*'Get Started'!$E14-U75))/U60,0)</f>
        <v>7.4505805969238295E-17</v>
      </c>
      <c r="V90" s="75">
        <f ca="1">IFERROR((V81-(MAX(0,(U81+V51+V50+V72-V71-V60))*'Get Started'!$E14-V75))/V60,0)</f>
        <v>7.4505805969238295E-17</v>
      </c>
      <c r="W90" s="75">
        <f ca="1">IFERROR((W81-(MAX(0,(V81+W51+W50+W72-W71-W60))*'Get Started'!$E14-W75))/W60,0)</f>
        <v>7.4505805969238295E-17</v>
      </c>
      <c r="X90" s="75">
        <f ca="1">IFERROR((X81-(MAX(0,(W81+X51+X50+X72-X71-X60))*'Get Started'!$E14-X75))/X60,0)</f>
        <v>7.4505805969238295E-17</v>
      </c>
      <c r="Y90" s="75">
        <f ca="1">IFERROR((Y81-(MAX(0,(X81+Y51+Y50+Y72-Y71-Y60))*'Get Started'!$E14-Y75))/Y60,0)</f>
        <v>7.4505805969238295E-17</v>
      </c>
      <c r="Z90" s="75">
        <f ca="1">IFERROR((Z81-(MAX(0,(Y81+Z51+Z50+Z72-Z71-Z60))*'Get Started'!$E14-Z75))/Z60,0)</f>
        <v>7.4505805969238295E-17</v>
      </c>
    </row>
    <row r="91" spans="2:26" ht="13">
      <c r="B91" s="12" t="s">
        <v>217</v>
      </c>
      <c r="C91" s="12"/>
      <c r="D91" s="12" t="s">
        <v>173</v>
      </c>
      <c r="E91" s="75">
        <f t="shared" ca="1" si="58"/>
        <v>2.7563999999999993</v>
      </c>
      <c r="F91" s="70" t="str">
        <f t="shared" si="59"/>
        <v>Distributed Value to Paid in Capital (DVPI)</v>
      </c>
      <c r="G91" s="75">
        <f t="shared" ref="G91:Z91" ca="1" si="61">IFERROR(G76/G60,0)</f>
        <v>0</v>
      </c>
      <c r="H91" s="75">
        <f t="shared" ca="1" si="61"/>
        <v>0</v>
      </c>
      <c r="I91" s="75">
        <f t="shared" ca="1" si="61"/>
        <v>0</v>
      </c>
      <c r="J91" s="75">
        <f t="shared" ca="1" si="61"/>
        <v>2.2269782508098107E-2</v>
      </c>
      <c r="K91" s="75">
        <f t="shared" ca="1" si="61"/>
        <v>0.19532130777903042</v>
      </c>
      <c r="L91" s="75">
        <f t="shared" ca="1" si="61"/>
        <v>0.35977352682497798</v>
      </c>
      <c r="M91" s="75">
        <f t="shared" ca="1" si="61"/>
        <v>1.1436254227071647</v>
      </c>
      <c r="N91" s="75">
        <f t="shared" ca="1" si="61"/>
        <v>1.7404313044866038</v>
      </c>
      <c r="O91" s="75">
        <f t="shared" ca="1" si="61"/>
        <v>2.2092548744482441</v>
      </c>
      <c r="P91" s="75">
        <f t="shared" ca="1" si="61"/>
        <v>2.7563999999999993</v>
      </c>
      <c r="Q91" s="75">
        <f t="shared" ca="1" si="61"/>
        <v>2.7563999999999993</v>
      </c>
      <c r="R91" s="75">
        <f t="shared" ca="1" si="61"/>
        <v>2.7563999999999993</v>
      </c>
      <c r="S91" s="75">
        <f t="shared" ca="1" si="61"/>
        <v>2.7563999999999993</v>
      </c>
      <c r="T91" s="75">
        <f t="shared" ca="1" si="61"/>
        <v>2.7563999999999993</v>
      </c>
      <c r="U91" s="75">
        <f t="shared" ca="1" si="61"/>
        <v>2.7563999999999993</v>
      </c>
      <c r="V91" s="75">
        <f t="shared" ca="1" si="61"/>
        <v>2.7563999999999993</v>
      </c>
      <c r="W91" s="75">
        <f t="shared" ca="1" si="61"/>
        <v>2.7563999999999993</v>
      </c>
      <c r="X91" s="75">
        <f t="shared" ca="1" si="61"/>
        <v>2.7563999999999993</v>
      </c>
      <c r="Y91" s="75">
        <f t="shared" ca="1" si="61"/>
        <v>2.7563999999999993</v>
      </c>
      <c r="Z91" s="75">
        <f t="shared" ca="1" si="61"/>
        <v>2.7563999999999993</v>
      </c>
    </row>
    <row r="92" spans="2:26" ht="13">
      <c r="B92" s="12" t="s">
        <v>218</v>
      </c>
      <c r="C92" s="12"/>
      <c r="D92" s="12" t="s">
        <v>173</v>
      </c>
      <c r="E92" s="75">
        <f t="shared" ca="1" si="58"/>
        <v>2.7563999999999993</v>
      </c>
      <c r="F92" s="70" t="str">
        <f t="shared" si="59"/>
        <v>Total Value to Paid in Capital (TVPI)</v>
      </c>
      <c r="G92" s="75">
        <f t="shared" ref="G92:Z92" ca="1" si="62">G91+G90</f>
        <v>0.87859424920127793</v>
      </c>
      <c r="H92" s="75">
        <f t="shared" ca="1" si="62"/>
        <v>0.88668816213726387</v>
      </c>
      <c r="I92" s="75">
        <f t="shared" ca="1" si="62"/>
        <v>0.90289100332636885</v>
      </c>
      <c r="J92" s="75">
        <f t="shared" ca="1" si="62"/>
        <v>0.88866309125799681</v>
      </c>
      <c r="K92" s="75">
        <f t="shared" ca="1" si="62"/>
        <v>0.8904932332831218</v>
      </c>
      <c r="L92" s="75">
        <f t="shared" ca="1" si="62"/>
        <v>0.80723141048634828</v>
      </c>
      <c r="M92" s="75">
        <f t="shared" ca="1" si="62"/>
        <v>1.3446457329266157</v>
      </c>
      <c r="N92" s="75">
        <f t="shared" ca="1" si="62"/>
        <v>1.8542051235441281</v>
      </c>
      <c r="O92" s="75">
        <f t="shared" ca="1" si="62"/>
        <v>2.28721718478196</v>
      </c>
      <c r="P92" s="75">
        <f t="shared" ca="1" si="62"/>
        <v>2.7563999999999993</v>
      </c>
      <c r="Q92" s="75">
        <f t="shared" ca="1" si="62"/>
        <v>2.7563999999999993</v>
      </c>
      <c r="R92" s="75">
        <f t="shared" ca="1" si="62"/>
        <v>2.7563999999999993</v>
      </c>
      <c r="S92" s="75">
        <f t="shared" ca="1" si="62"/>
        <v>2.7563999999999993</v>
      </c>
      <c r="T92" s="75">
        <f t="shared" ca="1" si="62"/>
        <v>2.7563999999999993</v>
      </c>
      <c r="U92" s="75">
        <f t="shared" ca="1" si="62"/>
        <v>2.7563999999999993</v>
      </c>
      <c r="V92" s="75">
        <f t="shared" ca="1" si="62"/>
        <v>2.7563999999999993</v>
      </c>
      <c r="W92" s="75">
        <f t="shared" ca="1" si="62"/>
        <v>2.7563999999999993</v>
      </c>
      <c r="X92" s="75">
        <f t="shared" ca="1" si="62"/>
        <v>2.7563999999999993</v>
      </c>
      <c r="Y92" s="75">
        <f t="shared" ca="1" si="62"/>
        <v>2.7563999999999993</v>
      </c>
      <c r="Z92" s="75">
        <f t="shared" ca="1" si="62"/>
        <v>2.7563999999999993</v>
      </c>
    </row>
    <row r="93" spans="2:26" ht="13">
      <c r="B93" s="12" t="s">
        <v>219</v>
      </c>
      <c r="C93" s="12" t="s">
        <v>220</v>
      </c>
      <c r="D93" s="12" t="s">
        <v>221</v>
      </c>
      <c r="E93" s="65">
        <f ca="1">IF(D93="max",MAX(G93:Z93),IF(D93="sum",SUM(G93:Z93),IF(D93="final",Z93,IF(D93="initial",G93,IF(D93="average",AVERAGE(G93:Z93),0)))))</f>
        <v>0.84514999999999985</v>
      </c>
      <c r="F93" s="26"/>
      <c r="G93" s="65">
        <f t="shared" ref="G93:Z93" ca="1" si="63">IF(G100&lt;=0,ABS(G100)/G59,0)</f>
        <v>0.21909999999999996</v>
      </c>
      <c r="H93" s="65">
        <f t="shared" ca="1" si="63"/>
        <v>0.43419999999999992</v>
      </c>
      <c r="I93" s="65">
        <f t="shared" ca="1" si="63"/>
        <v>0.64929999999999988</v>
      </c>
      <c r="J93" s="65">
        <f t="shared" ca="1" si="63"/>
        <v>0.84514999999999985</v>
      </c>
      <c r="K93" s="65">
        <f t="shared" ca="1" si="63"/>
        <v>0.71374999999999988</v>
      </c>
      <c r="L93" s="65">
        <f t="shared" ca="1" si="63"/>
        <v>0.58234999999999981</v>
      </c>
      <c r="M93" s="65">
        <f t="shared" ca="1" si="63"/>
        <v>0</v>
      </c>
      <c r="N93" s="65">
        <f t="shared" ca="1" si="63"/>
        <v>0</v>
      </c>
      <c r="O93" s="65">
        <f t="shared" ca="1" si="63"/>
        <v>0</v>
      </c>
      <c r="P93" s="65">
        <f t="shared" ca="1" si="63"/>
        <v>0</v>
      </c>
      <c r="Q93" s="65">
        <f t="shared" ca="1" si="63"/>
        <v>0</v>
      </c>
      <c r="R93" s="65">
        <f t="shared" ca="1" si="63"/>
        <v>0</v>
      </c>
      <c r="S93" s="65">
        <f t="shared" ca="1" si="63"/>
        <v>0</v>
      </c>
      <c r="T93" s="65">
        <f t="shared" ca="1" si="63"/>
        <v>0</v>
      </c>
      <c r="U93" s="65">
        <f t="shared" ca="1" si="63"/>
        <v>0</v>
      </c>
      <c r="V93" s="65">
        <f t="shared" ca="1" si="63"/>
        <v>0</v>
      </c>
      <c r="W93" s="65">
        <f t="shared" ca="1" si="63"/>
        <v>0</v>
      </c>
      <c r="X93" s="65">
        <f t="shared" ca="1" si="63"/>
        <v>0</v>
      </c>
      <c r="Y93" s="65">
        <f t="shared" ca="1" si="63"/>
        <v>0</v>
      </c>
      <c r="Z93" s="65">
        <f t="shared" ca="1" si="63"/>
        <v>0</v>
      </c>
    </row>
    <row r="94" spans="2:26" ht="13">
      <c r="B94" s="12"/>
      <c r="C94" s="12"/>
      <c r="D94" s="12"/>
      <c r="E94" s="12"/>
      <c r="F94" s="26"/>
      <c r="G94" s="26"/>
      <c r="H94" s="26"/>
      <c r="I94" s="26"/>
      <c r="J94" s="26"/>
      <c r="K94" s="26"/>
      <c r="L94" s="26"/>
      <c r="M94" s="26"/>
      <c r="N94" s="26"/>
      <c r="O94" s="26"/>
      <c r="P94" s="26"/>
      <c r="Q94" s="26"/>
      <c r="R94" s="26"/>
      <c r="S94" s="26"/>
      <c r="T94" s="26"/>
      <c r="U94" s="26"/>
      <c r="V94" s="26"/>
      <c r="W94" s="26"/>
      <c r="X94" s="26"/>
      <c r="Y94" s="26"/>
      <c r="Z94" s="26"/>
    </row>
    <row r="95" spans="2:26" ht="13">
      <c r="B95" s="12" t="s">
        <v>222</v>
      </c>
      <c r="C95" s="34" t="s">
        <v>223</v>
      </c>
      <c r="D95" s="12" t="s">
        <v>163</v>
      </c>
      <c r="E95" s="26">
        <f t="shared" ref="E95:E125" ca="1" si="64">IF(D95="sum",SUM(G95:Z95),IF(D95="final",Z95,IF(D95="initial",G95,IF(D95="average",AVERAGE(G95:Z95),0))))</f>
        <v>60637499.999999985</v>
      </c>
      <c r="F95" s="26"/>
      <c r="G95" s="26">
        <f t="shared" ref="G95:Z95" ca="1" si="65">-1*G38+G43</f>
        <v>-4812499.9999999991</v>
      </c>
      <c r="H95" s="26">
        <f t="shared" ca="1" si="65"/>
        <v>-4812499.9999999991</v>
      </c>
      <c r="I95" s="26">
        <f t="shared" ca="1" si="65"/>
        <v>-4812499.9999999991</v>
      </c>
      <c r="J95" s="26">
        <f t="shared" ca="1" si="65"/>
        <v>-4331250</v>
      </c>
      <c r="K95" s="26">
        <f t="shared" ca="1" si="65"/>
        <v>3849999.9999999991</v>
      </c>
      <c r="L95" s="26">
        <f t="shared" ca="1" si="65"/>
        <v>3849999.9999999991</v>
      </c>
      <c r="M95" s="26">
        <f t="shared" ca="1" si="65"/>
        <v>19538749.999999993</v>
      </c>
      <c r="N95" s="26">
        <f t="shared" ca="1" si="65"/>
        <v>18287499.999999993</v>
      </c>
      <c r="O95" s="26">
        <f t="shared" ca="1" si="65"/>
        <v>15399999.999999994</v>
      </c>
      <c r="P95" s="26">
        <f t="shared" ca="1" si="65"/>
        <v>18479999.999999996</v>
      </c>
      <c r="Q95" s="26">
        <f t="shared" ca="1" si="65"/>
        <v>0</v>
      </c>
      <c r="R95" s="26">
        <f t="shared" ca="1" si="65"/>
        <v>0</v>
      </c>
      <c r="S95" s="26">
        <f t="shared" ca="1" si="65"/>
        <v>0</v>
      </c>
      <c r="T95" s="26">
        <f t="shared" ca="1" si="65"/>
        <v>0</v>
      </c>
      <c r="U95" s="26">
        <f t="shared" ca="1" si="65"/>
        <v>0</v>
      </c>
      <c r="V95" s="26">
        <f t="shared" ca="1" si="65"/>
        <v>0</v>
      </c>
      <c r="W95" s="26">
        <f t="shared" ca="1" si="65"/>
        <v>0</v>
      </c>
      <c r="X95" s="26">
        <f t="shared" ca="1" si="65"/>
        <v>0</v>
      </c>
      <c r="Y95" s="26">
        <f t="shared" ca="1" si="65"/>
        <v>0</v>
      </c>
      <c r="Z95" s="26">
        <f t="shared" ca="1" si="65"/>
        <v>0</v>
      </c>
    </row>
    <row r="96" spans="2:26" ht="13">
      <c r="B96" s="12" t="str">
        <f>"Cumulative "&amp;B95</f>
        <v>Cumulative Net (Investments) Proceeds</v>
      </c>
      <c r="C96" s="34" t="s">
        <v>223</v>
      </c>
      <c r="D96" s="12" t="s">
        <v>173</v>
      </c>
      <c r="E96" s="26">
        <f t="shared" ca="1" si="64"/>
        <v>60637499.999999985</v>
      </c>
      <c r="F96" s="26"/>
      <c r="G96" s="26">
        <f t="shared" ref="G96:Z96" ca="1" si="66">F96+G95</f>
        <v>-4812499.9999999991</v>
      </c>
      <c r="H96" s="26">
        <f t="shared" ca="1" si="66"/>
        <v>-9624999.9999999981</v>
      </c>
      <c r="I96" s="26">
        <f t="shared" ca="1" si="66"/>
        <v>-14437499.999999996</v>
      </c>
      <c r="J96" s="26">
        <f t="shared" ca="1" si="66"/>
        <v>-18768749.999999996</v>
      </c>
      <c r="K96" s="26">
        <f t="shared" ca="1" si="66"/>
        <v>-14918749.999999996</v>
      </c>
      <c r="L96" s="26">
        <f t="shared" ca="1" si="66"/>
        <v>-11068749.999999996</v>
      </c>
      <c r="M96" s="26">
        <f t="shared" ca="1" si="66"/>
        <v>8469999.9999999963</v>
      </c>
      <c r="N96" s="26">
        <f t="shared" ca="1" si="66"/>
        <v>26757499.999999989</v>
      </c>
      <c r="O96" s="26">
        <f t="shared" ca="1" si="66"/>
        <v>42157499.999999985</v>
      </c>
      <c r="P96" s="26">
        <f t="shared" ca="1" si="66"/>
        <v>60637499.999999985</v>
      </c>
      <c r="Q96" s="26">
        <f t="shared" ca="1" si="66"/>
        <v>60637499.999999985</v>
      </c>
      <c r="R96" s="26">
        <f t="shared" ca="1" si="66"/>
        <v>60637499.999999985</v>
      </c>
      <c r="S96" s="26">
        <f t="shared" ca="1" si="66"/>
        <v>60637499.999999985</v>
      </c>
      <c r="T96" s="26">
        <f t="shared" ca="1" si="66"/>
        <v>60637499.999999985</v>
      </c>
      <c r="U96" s="26">
        <f t="shared" ca="1" si="66"/>
        <v>60637499.999999985</v>
      </c>
      <c r="V96" s="26">
        <f t="shared" ca="1" si="66"/>
        <v>60637499.999999985</v>
      </c>
      <c r="W96" s="26">
        <f t="shared" ca="1" si="66"/>
        <v>60637499.999999985</v>
      </c>
      <c r="X96" s="26">
        <f t="shared" ca="1" si="66"/>
        <v>60637499.999999985</v>
      </c>
      <c r="Y96" s="26">
        <f t="shared" ca="1" si="66"/>
        <v>60637499.999999985</v>
      </c>
      <c r="Z96" s="26">
        <f t="shared" ca="1" si="66"/>
        <v>60637499.999999985</v>
      </c>
    </row>
    <row r="97" spans="2:26" ht="13">
      <c r="B97" s="12" t="s">
        <v>150</v>
      </c>
      <c r="C97" s="34" t="s">
        <v>223</v>
      </c>
      <c r="D97" s="12" t="s">
        <v>173</v>
      </c>
      <c r="E97" s="75">
        <f t="shared" ca="1" si="64"/>
        <v>3.9999999999999991</v>
      </c>
      <c r="F97" s="26"/>
      <c r="G97" s="75">
        <f t="shared" ref="G97:Z97" ca="1" si="67">IFERROR(G72/G67,0)</f>
        <v>0</v>
      </c>
      <c r="H97" s="75">
        <f t="shared" ca="1" si="67"/>
        <v>0</v>
      </c>
      <c r="I97" s="75">
        <f t="shared" ca="1" si="67"/>
        <v>0</v>
      </c>
      <c r="J97" s="75">
        <f t="shared" ca="1" si="67"/>
        <v>7.1428571428571425E-2</v>
      </c>
      <c r="K97" s="75">
        <f t="shared" ca="1" si="67"/>
        <v>0.26190476190476192</v>
      </c>
      <c r="L97" s="75">
        <f t="shared" ca="1" si="67"/>
        <v>0.45238095238095238</v>
      </c>
      <c r="M97" s="75">
        <f t="shared" ca="1" si="67"/>
        <v>1.4190476190476189</v>
      </c>
      <c r="N97" s="75">
        <f t="shared" ca="1" si="67"/>
        <v>2.3238095238095235</v>
      </c>
      <c r="O97" s="75">
        <f t="shared" ca="1" si="67"/>
        <v>3.085714285714285</v>
      </c>
      <c r="P97" s="75">
        <f t="shared" ca="1" si="67"/>
        <v>3.9999999999999991</v>
      </c>
      <c r="Q97" s="75">
        <f t="shared" ca="1" si="67"/>
        <v>3.9999999999999991</v>
      </c>
      <c r="R97" s="75">
        <f t="shared" ca="1" si="67"/>
        <v>3.9999999999999991</v>
      </c>
      <c r="S97" s="75">
        <f t="shared" ca="1" si="67"/>
        <v>3.9999999999999991</v>
      </c>
      <c r="T97" s="75">
        <f t="shared" ca="1" si="67"/>
        <v>3.9999999999999991</v>
      </c>
      <c r="U97" s="75">
        <f t="shared" ca="1" si="67"/>
        <v>3.9999999999999991</v>
      </c>
      <c r="V97" s="75">
        <f t="shared" ca="1" si="67"/>
        <v>3.9999999999999991</v>
      </c>
      <c r="W97" s="75">
        <f t="shared" ca="1" si="67"/>
        <v>3.9999999999999991</v>
      </c>
      <c r="X97" s="75">
        <f t="shared" ca="1" si="67"/>
        <v>3.9999999999999991</v>
      </c>
      <c r="Y97" s="75">
        <f t="shared" ca="1" si="67"/>
        <v>3.9999999999999991</v>
      </c>
      <c r="Z97" s="75">
        <f t="shared" ca="1" si="67"/>
        <v>3.9999999999999991</v>
      </c>
    </row>
    <row r="98" spans="2:26" ht="13">
      <c r="B98" s="12" t="s">
        <v>154</v>
      </c>
      <c r="C98" s="34" t="s">
        <v>223</v>
      </c>
      <c r="D98" s="12" t="s">
        <v>173</v>
      </c>
      <c r="E98" s="65">
        <f t="shared" ca="1" si="64"/>
        <v>0.29338164925575261</v>
      </c>
      <c r="F98" s="26"/>
      <c r="G98" s="76" t="str">
        <f t="shared" ref="G98:Z98" ca="1" si="68">IFERROR(XIRR(INDIRECT(""&amp;ADDRESS(ROW($D95),COLUMN($G95)+MATCH(INDEX($G95:$Z95,MATCH(TRUE,INDEX($G95:$Z95&lt;&gt;0,),0)),$G95:$Z95,0)-1,4)&amp;":"&amp;ADDRESS(ROW($G95),COLUMN($G95)+MATCH(F$5,$G$5:$Z$5,1),4)),INDIRECT(""&amp;ADDRESS(ROW(F$5),COLUMN($G95)+MATCH(INDEX($G95:$Z95,MATCH(TRUE,INDEX($G95:$Z95&lt;&gt;0,),0)),$G95:$Z95,0)-1,4) &amp; ":" &amp; ADDRESS(ROW($G$5),COLUMN($G95)+MATCH(F$5,$G$5:$Z$5,1),4))),"na")</f>
        <v>na</v>
      </c>
      <c r="H98" s="76" t="str">
        <f t="shared" ca="1" si="68"/>
        <v>na</v>
      </c>
      <c r="I98" s="76" t="str">
        <f t="shared" ca="1" si="68"/>
        <v>na</v>
      </c>
      <c r="J98" s="76" t="str">
        <f t="shared" ca="1" si="68"/>
        <v>na</v>
      </c>
      <c r="K98" s="76">
        <f t="shared" ca="1" si="68"/>
        <v>2.9802322387695314E-9</v>
      </c>
      <c r="L98" s="76">
        <f t="shared" ca="1" si="68"/>
        <v>2.9802322387695314E-9</v>
      </c>
      <c r="M98" s="76">
        <f t="shared" ca="1" si="68"/>
        <v>9.3966940045356759E-2</v>
      </c>
      <c r="N98" s="76">
        <f t="shared" ca="1" si="68"/>
        <v>0.20632084012031557</v>
      </c>
      <c r="O98" s="76">
        <f t="shared" ca="1" si="68"/>
        <v>0.25704060196876521</v>
      </c>
      <c r="P98" s="76">
        <f t="shared" ca="1" si="68"/>
        <v>0.29338164925575261</v>
      </c>
      <c r="Q98" s="76">
        <f t="shared" ca="1" si="68"/>
        <v>0.29338164925575261</v>
      </c>
      <c r="R98" s="76">
        <f t="shared" ca="1" si="68"/>
        <v>0.29338164925575261</v>
      </c>
      <c r="S98" s="76">
        <f t="shared" ca="1" si="68"/>
        <v>0.29338164925575261</v>
      </c>
      <c r="T98" s="76">
        <f t="shared" ca="1" si="68"/>
        <v>0.29338164925575261</v>
      </c>
      <c r="U98" s="76">
        <f t="shared" ca="1" si="68"/>
        <v>0.29338164925575261</v>
      </c>
      <c r="V98" s="76">
        <f t="shared" ca="1" si="68"/>
        <v>0.29338164925575261</v>
      </c>
      <c r="W98" s="76">
        <f t="shared" ca="1" si="68"/>
        <v>0.29338164925575261</v>
      </c>
      <c r="X98" s="76">
        <f t="shared" ca="1" si="68"/>
        <v>0.29338164925575261</v>
      </c>
      <c r="Y98" s="76">
        <f t="shared" ca="1" si="68"/>
        <v>0.29338164925575261</v>
      </c>
      <c r="Z98" s="76">
        <f t="shared" ca="1" si="68"/>
        <v>0.29338164925575261</v>
      </c>
    </row>
    <row r="99" spans="2:26" ht="13">
      <c r="B99" s="12" t="s">
        <v>224</v>
      </c>
      <c r="C99" s="34" t="s">
        <v>223</v>
      </c>
      <c r="D99" s="12" t="s">
        <v>163</v>
      </c>
      <c r="E99" s="26">
        <f t="shared" ca="1" si="64"/>
        <v>43909999.999999985</v>
      </c>
      <c r="F99" s="26"/>
      <c r="G99" s="26">
        <f t="shared" ref="G99:Z99" ca="1" si="69">-1*G31+G47</f>
        <v>-5477499.9999999991</v>
      </c>
      <c r="H99" s="26">
        <f t="shared" ca="1" si="69"/>
        <v>-5377499.9999999991</v>
      </c>
      <c r="I99" s="26">
        <f t="shared" ca="1" si="69"/>
        <v>-5377499.9999999991</v>
      </c>
      <c r="J99" s="26">
        <f t="shared" ca="1" si="69"/>
        <v>-4896250</v>
      </c>
      <c r="K99" s="26">
        <f t="shared" ca="1" si="69"/>
        <v>3284999.9999999991</v>
      </c>
      <c r="L99" s="26">
        <f t="shared" ca="1" si="69"/>
        <v>3284999.9999999991</v>
      </c>
      <c r="M99" s="26">
        <f t="shared" ca="1" si="69"/>
        <v>17905940.47619047</v>
      </c>
      <c r="N99" s="26">
        <f t="shared" ca="1" si="69"/>
        <v>14326904.761904756</v>
      </c>
      <c r="O99" s="26">
        <f t="shared" ca="1" si="69"/>
        <v>11874047.619047614</v>
      </c>
      <c r="P99" s="26">
        <f t="shared" ca="1" si="69"/>
        <v>14361857.14285714</v>
      </c>
      <c r="Q99" s="26">
        <f t="shared" ca="1" si="69"/>
        <v>0</v>
      </c>
      <c r="R99" s="26">
        <f t="shared" ca="1" si="69"/>
        <v>0</v>
      </c>
      <c r="S99" s="26">
        <f t="shared" ca="1" si="69"/>
        <v>0</v>
      </c>
      <c r="T99" s="26">
        <f t="shared" ca="1" si="69"/>
        <v>0</v>
      </c>
      <c r="U99" s="26">
        <f t="shared" ca="1" si="69"/>
        <v>0</v>
      </c>
      <c r="V99" s="26">
        <f t="shared" ca="1" si="69"/>
        <v>0</v>
      </c>
      <c r="W99" s="26">
        <f t="shared" ca="1" si="69"/>
        <v>0</v>
      </c>
      <c r="X99" s="26">
        <f t="shared" ca="1" si="69"/>
        <v>0</v>
      </c>
      <c r="Y99" s="26">
        <f t="shared" ca="1" si="69"/>
        <v>0</v>
      </c>
      <c r="Z99" s="26">
        <f t="shared" ca="1" si="69"/>
        <v>0</v>
      </c>
    </row>
    <row r="100" spans="2:26" ht="13">
      <c r="B100" s="12" t="str">
        <f>"Cumulative "&amp;B99</f>
        <v>Cumulative Net (Called Capital) Distributions</v>
      </c>
      <c r="C100" s="34" t="s">
        <v>223</v>
      </c>
      <c r="D100" s="12" t="s">
        <v>173</v>
      </c>
      <c r="E100" s="26">
        <f t="shared" ca="1" si="64"/>
        <v>43909999.999999985</v>
      </c>
      <c r="F100" s="26"/>
      <c r="G100" s="26">
        <f t="shared" ref="G100:Z100" ca="1" si="70">F100+G99</f>
        <v>-5477499.9999999991</v>
      </c>
      <c r="H100" s="26">
        <f t="shared" ca="1" si="70"/>
        <v>-10854999.999999998</v>
      </c>
      <c r="I100" s="26">
        <f t="shared" ca="1" si="70"/>
        <v>-16232499.999999996</v>
      </c>
      <c r="J100" s="26">
        <f t="shared" ca="1" si="70"/>
        <v>-21128749.999999996</v>
      </c>
      <c r="K100" s="26">
        <f t="shared" ca="1" si="70"/>
        <v>-17843749.999999996</v>
      </c>
      <c r="L100" s="26">
        <f t="shared" ca="1" si="70"/>
        <v>-14558749.999999996</v>
      </c>
      <c r="M100" s="26">
        <f t="shared" ca="1" si="70"/>
        <v>3347190.4761904739</v>
      </c>
      <c r="N100" s="26">
        <f t="shared" ca="1" si="70"/>
        <v>17674095.238095231</v>
      </c>
      <c r="O100" s="26">
        <f t="shared" ca="1" si="70"/>
        <v>29548142.857142843</v>
      </c>
      <c r="P100" s="26">
        <f t="shared" ca="1" si="70"/>
        <v>43909999.999999985</v>
      </c>
      <c r="Q100" s="26">
        <f t="shared" ca="1" si="70"/>
        <v>43909999.999999985</v>
      </c>
      <c r="R100" s="26">
        <f t="shared" ca="1" si="70"/>
        <v>43909999.999999985</v>
      </c>
      <c r="S100" s="26">
        <f t="shared" ca="1" si="70"/>
        <v>43909999.999999985</v>
      </c>
      <c r="T100" s="26">
        <f t="shared" ca="1" si="70"/>
        <v>43909999.999999985</v>
      </c>
      <c r="U100" s="26">
        <f t="shared" ca="1" si="70"/>
        <v>43909999.999999985</v>
      </c>
      <c r="V100" s="26">
        <f t="shared" ca="1" si="70"/>
        <v>43909999.999999985</v>
      </c>
      <c r="W100" s="26">
        <f t="shared" ca="1" si="70"/>
        <v>43909999.999999985</v>
      </c>
      <c r="X100" s="26">
        <f t="shared" ca="1" si="70"/>
        <v>43909999.999999985</v>
      </c>
      <c r="Y100" s="26">
        <f t="shared" ca="1" si="70"/>
        <v>43909999.999999985</v>
      </c>
      <c r="Z100" s="26">
        <f t="shared" ca="1" si="70"/>
        <v>43909999.999999985</v>
      </c>
    </row>
    <row r="101" spans="2:26" ht="13">
      <c r="B101" s="12" t="s">
        <v>152</v>
      </c>
      <c r="C101" s="34" t="s">
        <v>223</v>
      </c>
      <c r="D101" s="12" t="s">
        <v>173</v>
      </c>
      <c r="E101" s="75">
        <f t="shared" ca="1" si="64"/>
        <v>2.7563999999999993</v>
      </c>
      <c r="F101" s="26"/>
      <c r="G101" s="75">
        <f t="shared" ref="G101:Z101" ca="1" si="71">IFERROR(G76/G60,0)</f>
        <v>0</v>
      </c>
      <c r="H101" s="75">
        <f t="shared" ca="1" si="71"/>
        <v>0</v>
      </c>
      <c r="I101" s="75">
        <f t="shared" ca="1" si="71"/>
        <v>0</v>
      </c>
      <c r="J101" s="75">
        <f t="shared" ca="1" si="71"/>
        <v>2.2269782508098107E-2</v>
      </c>
      <c r="K101" s="75">
        <f t="shared" ca="1" si="71"/>
        <v>0.19532130777903042</v>
      </c>
      <c r="L101" s="75">
        <f t="shared" ca="1" si="71"/>
        <v>0.35977352682497798</v>
      </c>
      <c r="M101" s="75">
        <f t="shared" ca="1" si="71"/>
        <v>1.1436254227071647</v>
      </c>
      <c r="N101" s="75">
        <f t="shared" ca="1" si="71"/>
        <v>1.7404313044866038</v>
      </c>
      <c r="O101" s="75">
        <f t="shared" ca="1" si="71"/>
        <v>2.2092548744482441</v>
      </c>
      <c r="P101" s="75">
        <f t="shared" ca="1" si="71"/>
        <v>2.7563999999999993</v>
      </c>
      <c r="Q101" s="75">
        <f t="shared" ca="1" si="71"/>
        <v>2.7563999999999993</v>
      </c>
      <c r="R101" s="75">
        <f t="shared" ca="1" si="71"/>
        <v>2.7563999999999993</v>
      </c>
      <c r="S101" s="75">
        <f t="shared" ca="1" si="71"/>
        <v>2.7563999999999993</v>
      </c>
      <c r="T101" s="75">
        <f t="shared" ca="1" si="71"/>
        <v>2.7563999999999993</v>
      </c>
      <c r="U101" s="75">
        <f t="shared" ca="1" si="71"/>
        <v>2.7563999999999993</v>
      </c>
      <c r="V101" s="75">
        <f t="shared" ca="1" si="71"/>
        <v>2.7563999999999993</v>
      </c>
      <c r="W101" s="75">
        <f t="shared" ca="1" si="71"/>
        <v>2.7563999999999993</v>
      </c>
      <c r="X101" s="75">
        <f t="shared" ca="1" si="71"/>
        <v>2.7563999999999993</v>
      </c>
      <c r="Y101" s="75">
        <f t="shared" ca="1" si="71"/>
        <v>2.7563999999999993</v>
      </c>
      <c r="Z101" s="75">
        <f t="shared" ca="1" si="71"/>
        <v>2.7563999999999993</v>
      </c>
    </row>
    <row r="102" spans="2:26" ht="13">
      <c r="B102" s="12" t="s">
        <v>156</v>
      </c>
      <c r="C102" s="34" t="s">
        <v>223</v>
      </c>
      <c r="D102" s="12" t="s">
        <v>173</v>
      </c>
      <c r="E102" s="65">
        <f t="shared" ca="1" si="64"/>
        <v>0.22412012219429017</v>
      </c>
      <c r="F102" s="26"/>
      <c r="G102" s="76" t="str">
        <f t="shared" ref="G102:Z102" ca="1" si="72">IFERROR(XIRR(INDIRECT(""&amp;ADDRESS(ROW($D99),COLUMN($G99)+MATCH(INDEX($G99:$Z99,MATCH(TRUE,INDEX($G99:$Z99&lt;&gt;0,),0)),$G99:$Z99,0)-1,4)&amp;":"&amp;ADDRESS(ROW($G99),COLUMN($G99)+MATCH(F$5,$G$5:$Z$5,1),4)),INDIRECT(""&amp;ADDRESS(ROW(F$5),COLUMN($G99)+MATCH(INDEX($G99:$Z99,MATCH(TRUE,INDEX($G99:$Z99&lt;&gt;0,),0)),$G99:$Z99,0)-1,4) &amp; ":" &amp; ADDRESS(ROW($G$5),COLUMN($G99)+MATCH(F$5,$G$5:$Z$5,1),4))),"na")</f>
        <v>na</v>
      </c>
      <c r="H102" s="76" t="str">
        <f t="shared" ca="1" si="72"/>
        <v>na</v>
      </c>
      <c r="I102" s="76" t="str">
        <f t="shared" ca="1" si="72"/>
        <v>na</v>
      </c>
      <c r="J102" s="76" t="str">
        <f t="shared" ca="1" si="72"/>
        <v>na</v>
      </c>
      <c r="K102" s="76">
        <f t="shared" ca="1" si="72"/>
        <v>2.9802322387695314E-9</v>
      </c>
      <c r="L102" s="76">
        <f t="shared" ca="1" si="72"/>
        <v>2.9802322387695314E-9</v>
      </c>
      <c r="M102" s="76">
        <f t="shared" ca="1" si="72"/>
        <v>3.6040368676185625E-2</v>
      </c>
      <c r="N102" s="76">
        <f t="shared" ca="1" si="72"/>
        <v>0.13848673701286315</v>
      </c>
      <c r="O102" s="76">
        <f t="shared" ca="1" si="72"/>
        <v>0.1872311532497406</v>
      </c>
      <c r="P102" s="76">
        <f t="shared" ca="1" si="72"/>
        <v>0.22412012219429017</v>
      </c>
      <c r="Q102" s="76">
        <f t="shared" ca="1" si="72"/>
        <v>0.22412012219429017</v>
      </c>
      <c r="R102" s="76">
        <f t="shared" ca="1" si="72"/>
        <v>0.22412012219429017</v>
      </c>
      <c r="S102" s="76">
        <f t="shared" ca="1" si="72"/>
        <v>0.22412012219429017</v>
      </c>
      <c r="T102" s="76">
        <f t="shared" ca="1" si="72"/>
        <v>0.22412012219429017</v>
      </c>
      <c r="U102" s="76">
        <f t="shared" ca="1" si="72"/>
        <v>0.22412012219429017</v>
      </c>
      <c r="V102" s="76">
        <f t="shared" ca="1" si="72"/>
        <v>0.22412012219429017</v>
      </c>
      <c r="W102" s="76">
        <f t="shared" ca="1" si="72"/>
        <v>0.22412012219429017</v>
      </c>
      <c r="X102" s="76">
        <f t="shared" ca="1" si="72"/>
        <v>0.22412012219429017</v>
      </c>
      <c r="Y102" s="76">
        <f t="shared" ca="1" si="72"/>
        <v>0.22412012219429017</v>
      </c>
      <c r="Z102" s="76">
        <f t="shared" ca="1" si="72"/>
        <v>0.22412012219429017</v>
      </c>
    </row>
    <row r="103" spans="2:26" ht="13" collapsed="1">
      <c r="B103" s="12" t="s">
        <v>225</v>
      </c>
      <c r="C103" s="34" t="s">
        <v>226</v>
      </c>
      <c r="D103" s="12" t="s">
        <v>173</v>
      </c>
      <c r="E103" s="65">
        <f t="shared" ca="1" si="64"/>
        <v>0.22428626349915404</v>
      </c>
      <c r="F103" s="26"/>
      <c r="G103" s="65">
        <f t="shared" ref="G103:Z103" ca="1" si="73">INDEX($C104:$C123,G4)</f>
        <v>0</v>
      </c>
      <c r="H103" s="65">
        <f t="shared" ca="1" si="73"/>
        <v>-0.22455499771793708</v>
      </c>
      <c r="I103" s="65">
        <f t="shared" ca="1" si="73"/>
        <v>-9.985869251679258E-2</v>
      </c>
      <c r="J103" s="65">
        <f t="shared" ca="1" si="73"/>
        <v>-7.7863773635722167E-2</v>
      </c>
      <c r="K103" s="65">
        <f t="shared" ca="1" si="73"/>
        <v>-4.745168535097799E-2</v>
      </c>
      <c r="L103" s="65">
        <f t="shared" ca="1" si="73"/>
        <v>-6.7891839342339555E-2</v>
      </c>
      <c r="M103" s="65">
        <f t="shared" ca="1" si="73"/>
        <v>8.692333711100475E-2</v>
      </c>
      <c r="N103" s="65">
        <f t="shared" ca="1" si="73"/>
        <v>0.15626238618206867</v>
      </c>
      <c r="O103" s="65">
        <f t="shared" ca="1" si="73"/>
        <v>0.19543673648802051</v>
      </c>
      <c r="P103" s="65">
        <f t="shared" ca="1" si="73"/>
        <v>0.22428626349915404</v>
      </c>
      <c r="Q103" s="65">
        <f t="shared" ca="1" si="73"/>
        <v>0.22428626349915404</v>
      </c>
      <c r="R103" s="65">
        <f t="shared" ca="1" si="73"/>
        <v>0.22428626349915404</v>
      </c>
      <c r="S103" s="65">
        <f t="shared" ca="1" si="73"/>
        <v>0.22428626349915404</v>
      </c>
      <c r="T103" s="65">
        <f t="shared" ca="1" si="73"/>
        <v>0.22428626349915404</v>
      </c>
      <c r="U103" s="65">
        <f t="shared" ca="1" si="73"/>
        <v>0.22428626349915404</v>
      </c>
      <c r="V103" s="65">
        <f t="shared" ca="1" si="73"/>
        <v>0.22428626349915404</v>
      </c>
      <c r="W103" s="65">
        <f t="shared" ca="1" si="73"/>
        <v>0.22428626349915404</v>
      </c>
      <c r="X103" s="65">
        <f t="shared" ca="1" si="73"/>
        <v>0.22428626349915404</v>
      </c>
      <c r="Y103" s="65">
        <f t="shared" ca="1" si="73"/>
        <v>0.22428626349915404</v>
      </c>
      <c r="Z103" s="65">
        <f t="shared" ca="1" si="73"/>
        <v>0.22428626349915404</v>
      </c>
    </row>
    <row r="104" spans="2:26" ht="13" hidden="1" outlineLevel="1">
      <c r="B104" s="77">
        <v>1</v>
      </c>
      <c r="C104" s="53">
        <f ca="1">IFERROR(IRR(F104:Z104),0)</f>
        <v>0</v>
      </c>
      <c r="D104" s="34" t="s">
        <v>163</v>
      </c>
      <c r="E104" s="33">
        <f t="shared" ca="1" si="64"/>
        <v>4812499.9999999991</v>
      </c>
      <c r="F104" s="26"/>
      <c r="G104" s="33">
        <f ca="1">IF($B104=G$4,G$81,0)</f>
        <v>4812499.9999999991</v>
      </c>
      <c r="H104" s="26">
        <f t="shared" ref="H104:Z104" si="74">IF(H$4&lt;=$B104,ABS(H$31)*-1+H$47,0)+IF($B104=H$4,H$81,0)</f>
        <v>0</v>
      </c>
      <c r="I104" s="26">
        <f t="shared" si="74"/>
        <v>0</v>
      </c>
      <c r="J104" s="26">
        <f t="shared" si="74"/>
        <v>0</v>
      </c>
      <c r="K104" s="26">
        <f t="shared" si="74"/>
        <v>0</v>
      </c>
      <c r="L104" s="26">
        <f t="shared" si="74"/>
        <v>0</v>
      </c>
      <c r="M104" s="26">
        <f t="shared" si="74"/>
        <v>0</v>
      </c>
      <c r="N104" s="26">
        <f t="shared" si="74"/>
        <v>0</v>
      </c>
      <c r="O104" s="26">
        <f t="shared" si="74"/>
        <v>0</v>
      </c>
      <c r="P104" s="26">
        <f t="shared" si="74"/>
        <v>0</v>
      </c>
      <c r="Q104" s="26">
        <f t="shared" si="74"/>
        <v>0</v>
      </c>
      <c r="R104" s="26">
        <f t="shared" si="74"/>
        <v>0</v>
      </c>
      <c r="S104" s="26">
        <f t="shared" si="74"/>
        <v>0</v>
      </c>
      <c r="T104" s="26">
        <f t="shared" si="74"/>
        <v>0</v>
      </c>
      <c r="U104" s="26">
        <f t="shared" si="74"/>
        <v>0</v>
      </c>
      <c r="V104" s="26">
        <f t="shared" si="74"/>
        <v>0</v>
      </c>
      <c r="W104" s="26">
        <f t="shared" si="74"/>
        <v>0</v>
      </c>
      <c r="X104" s="26">
        <f t="shared" si="74"/>
        <v>0</v>
      </c>
      <c r="Y104" s="26">
        <f t="shared" si="74"/>
        <v>0</v>
      </c>
      <c r="Z104" s="26">
        <f t="shared" si="74"/>
        <v>0</v>
      </c>
    </row>
    <row r="105" spans="2:26" ht="13" hidden="1" outlineLevel="1">
      <c r="B105" s="77">
        <f t="shared" ref="B105:B123" si="75">B104+1</f>
        <v>2</v>
      </c>
      <c r="C105" s="53">
        <f t="shared" ref="C105:C123" ca="1" si="76">IFERROR(IRR(G105:Z105),0)</f>
        <v>-0.22455499771793708</v>
      </c>
      <c r="D105" s="12" t="s">
        <v>163</v>
      </c>
      <c r="E105" s="26">
        <f t="shared" ca="1" si="64"/>
        <v>-1230000</v>
      </c>
      <c r="F105" s="26"/>
      <c r="G105" s="26">
        <f t="shared" ref="G105:Z105" ca="1" si="77">IF(G$4&lt;=$B105,ABS(G$31)*-1+G$47,0)+IF($B105=G$4,G$81,0)</f>
        <v>-5477499.9999999991</v>
      </c>
      <c r="H105" s="26">
        <f t="shared" ca="1" si="77"/>
        <v>4247499.9999999991</v>
      </c>
      <c r="I105" s="26">
        <f t="shared" si="77"/>
        <v>0</v>
      </c>
      <c r="J105" s="26">
        <f t="shared" si="77"/>
        <v>0</v>
      </c>
      <c r="K105" s="26">
        <f t="shared" si="77"/>
        <v>0</v>
      </c>
      <c r="L105" s="26">
        <f t="shared" si="77"/>
        <v>0</v>
      </c>
      <c r="M105" s="26">
        <f t="shared" si="77"/>
        <v>0</v>
      </c>
      <c r="N105" s="26">
        <f t="shared" si="77"/>
        <v>0</v>
      </c>
      <c r="O105" s="26">
        <f t="shared" si="77"/>
        <v>0</v>
      </c>
      <c r="P105" s="26">
        <f t="shared" si="77"/>
        <v>0</v>
      </c>
      <c r="Q105" s="26">
        <f t="shared" si="77"/>
        <v>0</v>
      </c>
      <c r="R105" s="26">
        <f t="shared" si="77"/>
        <v>0</v>
      </c>
      <c r="S105" s="26">
        <f t="shared" si="77"/>
        <v>0</v>
      </c>
      <c r="T105" s="26">
        <f t="shared" si="77"/>
        <v>0</v>
      </c>
      <c r="U105" s="26">
        <f t="shared" si="77"/>
        <v>0</v>
      </c>
      <c r="V105" s="26">
        <f t="shared" si="77"/>
        <v>0</v>
      </c>
      <c r="W105" s="26">
        <f t="shared" si="77"/>
        <v>0</v>
      </c>
      <c r="X105" s="26">
        <f t="shared" si="77"/>
        <v>0</v>
      </c>
      <c r="Y105" s="26">
        <f t="shared" si="77"/>
        <v>0</v>
      </c>
      <c r="Z105" s="26">
        <f t="shared" si="77"/>
        <v>0</v>
      </c>
    </row>
    <row r="106" spans="2:26" ht="13" hidden="1" outlineLevel="1">
      <c r="B106" s="77">
        <f t="shared" si="75"/>
        <v>3</v>
      </c>
      <c r="C106" s="53">
        <f t="shared" ca="1" si="76"/>
        <v>-9.985869251679258E-2</v>
      </c>
      <c r="D106" s="12" t="s">
        <v>163</v>
      </c>
      <c r="E106" s="26">
        <f t="shared" ca="1" si="64"/>
        <v>-1576321.7885047179</v>
      </c>
      <c r="F106" s="26"/>
      <c r="G106" s="26">
        <f t="shared" ref="G106:Z106" ca="1" si="78">IF(G$4&lt;=$B106,ABS(G$31)*-1+G$47,0)+IF($B106=G$4,G$81,0)</f>
        <v>-5477499.9999999991</v>
      </c>
      <c r="H106" s="26">
        <f t="shared" ca="1" si="78"/>
        <v>-5377499.9999999991</v>
      </c>
      <c r="I106" s="26">
        <f t="shared" ca="1" si="78"/>
        <v>9278678.2114952803</v>
      </c>
      <c r="J106" s="26">
        <f t="shared" si="78"/>
        <v>0</v>
      </c>
      <c r="K106" s="26">
        <f t="shared" si="78"/>
        <v>0</v>
      </c>
      <c r="L106" s="26">
        <f t="shared" si="78"/>
        <v>0</v>
      </c>
      <c r="M106" s="26">
        <f t="shared" si="78"/>
        <v>0</v>
      </c>
      <c r="N106" s="26">
        <f t="shared" si="78"/>
        <v>0</v>
      </c>
      <c r="O106" s="26">
        <f t="shared" si="78"/>
        <v>0</v>
      </c>
      <c r="P106" s="26">
        <f t="shared" si="78"/>
        <v>0</v>
      </c>
      <c r="Q106" s="26">
        <f t="shared" si="78"/>
        <v>0</v>
      </c>
      <c r="R106" s="26">
        <f t="shared" si="78"/>
        <v>0</v>
      </c>
      <c r="S106" s="26">
        <f t="shared" si="78"/>
        <v>0</v>
      </c>
      <c r="T106" s="26">
        <f t="shared" si="78"/>
        <v>0</v>
      </c>
      <c r="U106" s="26">
        <f t="shared" si="78"/>
        <v>0</v>
      </c>
      <c r="V106" s="26">
        <f t="shared" si="78"/>
        <v>0</v>
      </c>
      <c r="W106" s="26">
        <f t="shared" si="78"/>
        <v>0</v>
      </c>
      <c r="X106" s="26">
        <f t="shared" si="78"/>
        <v>0</v>
      </c>
      <c r="Y106" s="26">
        <f t="shared" si="78"/>
        <v>0</v>
      </c>
      <c r="Z106" s="26">
        <f t="shared" si="78"/>
        <v>0</v>
      </c>
    </row>
    <row r="107" spans="2:26" ht="13" hidden="1" outlineLevel="1">
      <c r="B107" s="77">
        <f t="shared" si="75"/>
        <v>4</v>
      </c>
      <c r="C107" s="53">
        <f t="shared" ca="1" si="76"/>
        <v>-7.7863773635722167E-2</v>
      </c>
      <c r="D107" s="12" t="s">
        <v>163</v>
      </c>
      <c r="E107" s="26">
        <f t="shared" ca="1" si="64"/>
        <v>-2405990.5979146883</v>
      </c>
      <c r="F107" s="26"/>
      <c r="G107" s="26">
        <f t="shared" ref="G107:Z107" ca="1" si="79">IF(G$4&lt;=$B107,ABS(G$31)*-1+G$47,0)+IF($B107=G$4,G$81,0)</f>
        <v>-5477499.9999999991</v>
      </c>
      <c r="H107" s="26">
        <f t="shared" ca="1" si="79"/>
        <v>-5377499.9999999991</v>
      </c>
      <c r="I107" s="26">
        <f t="shared" ca="1" si="79"/>
        <v>-5377499.9999999991</v>
      </c>
      <c r="J107" s="26">
        <f t="shared" ca="1" si="79"/>
        <v>13826509.402085308</v>
      </c>
      <c r="K107" s="26">
        <f t="shared" si="79"/>
        <v>0</v>
      </c>
      <c r="L107" s="26">
        <f t="shared" si="79"/>
        <v>0</v>
      </c>
      <c r="M107" s="26">
        <f t="shared" si="79"/>
        <v>0</v>
      </c>
      <c r="N107" s="26">
        <f t="shared" si="79"/>
        <v>0</v>
      </c>
      <c r="O107" s="26">
        <f t="shared" si="79"/>
        <v>0</v>
      </c>
      <c r="P107" s="26">
        <f t="shared" si="79"/>
        <v>0</v>
      </c>
      <c r="Q107" s="26">
        <f t="shared" si="79"/>
        <v>0</v>
      </c>
      <c r="R107" s="26">
        <f t="shared" si="79"/>
        <v>0</v>
      </c>
      <c r="S107" s="26">
        <f t="shared" si="79"/>
        <v>0</v>
      </c>
      <c r="T107" s="26">
        <f t="shared" si="79"/>
        <v>0</v>
      </c>
      <c r="U107" s="26">
        <f t="shared" si="79"/>
        <v>0</v>
      </c>
      <c r="V107" s="26">
        <f t="shared" si="79"/>
        <v>0</v>
      </c>
      <c r="W107" s="26">
        <f t="shared" si="79"/>
        <v>0</v>
      </c>
      <c r="X107" s="26">
        <f t="shared" si="79"/>
        <v>0</v>
      </c>
      <c r="Y107" s="26">
        <f t="shared" si="79"/>
        <v>0</v>
      </c>
      <c r="Z107" s="26">
        <f t="shared" si="79"/>
        <v>0</v>
      </c>
    </row>
    <row r="108" spans="2:26" ht="13" hidden="1" outlineLevel="1">
      <c r="B108" s="77">
        <f t="shared" si="75"/>
        <v>5</v>
      </c>
      <c r="C108" s="53">
        <f t="shared" ca="1" si="76"/>
        <v>-4.745168535097799E-2</v>
      </c>
      <c r="D108" s="12" t="s">
        <v>163</v>
      </c>
      <c r="E108" s="26">
        <f t="shared" ca="1" si="64"/>
        <v>-2428312.5519467741</v>
      </c>
      <c r="F108" s="26"/>
      <c r="G108" s="26">
        <f t="shared" ref="G108:Z108" ca="1" si="80">IF(G$4&lt;=$B108,ABS(G$31)*-1+G$47,0)+IF($B108=G$4,G$81,0)</f>
        <v>-5477499.9999999991</v>
      </c>
      <c r="H108" s="26">
        <f t="shared" ca="1" si="80"/>
        <v>-5377499.9999999991</v>
      </c>
      <c r="I108" s="26">
        <f t="shared" ca="1" si="80"/>
        <v>-5377499.9999999991</v>
      </c>
      <c r="J108" s="26">
        <f t="shared" ca="1" si="80"/>
        <v>-4896250</v>
      </c>
      <c r="K108" s="26">
        <f t="shared" ca="1" si="80"/>
        <v>18700437.448053222</v>
      </c>
      <c r="L108" s="26">
        <f t="shared" si="80"/>
        <v>0</v>
      </c>
      <c r="M108" s="26">
        <f t="shared" si="80"/>
        <v>0</v>
      </c>
      <c r="N108" s="26">
        <f t="shared" si="80"/>
        <v>0</v>
      </c>
      <c r="O108" s="26">
        <f t="shared" si="80"/>
        <v>0</v>
      </c>
      <c r="P108" s="26">
        <f t="shared" si="80"/>
        <v>0</v>
      </c>
      <c r="Q108" s="26">
        <f t="shared" si="80"/>
        <v>0</v>
      </c>
      <c r="R108" s="26">
        <f t="shared" si="80"/>
        <v>0</v>
      </c>
      <c r="S108" s="26">
        <f t="shared" si="80"/>
        <v>0</v>
      </c>
      <c r="T108" s="26">
        <f t="shared" si="80"/>
        <v>0</v>
      </c>
      <c r="U108" s="26">
        <f t="shared" si="80"/>
        <v>0</v>
      </c>
      <c r="V108" s="26">
        <f t="shared" si="80"/>
        <v>0</v>
      </c>
      <c r="W108" s="26">
        <f t="shared" si="80"/>
        <v>0</v>
      </c>
      <c r="X108" s="26">
        <f t="shared" si="80"/>
        <v>0</v>
      </c>
      <c r="Y108" s="26">
        <f t="shared" si="80"/>
        <v>0</v>
      </c>
      <c r="Z108" s="26">
        <f t="shared" si="80"/>
        <v>0</v>
      </c>
    </row>
    <row r="109" spans="2:26" ht="13" hidden="1" outlineLevel="1">
      <c r="B109" s="77">
        <f t="shared" si="75"/>
        <v>6</v>
      </c>
      <c r="C109" s="53">
        <f t="shared" ca="1" si="76"/>
        <v>-6.7891839342339555E-2</v>
      </c>
      <c r="D109" s="12" t="s">
        <v>163</v>
      </c>
      <c r="E109" s="26">
        <f t="shared" ca="1" si="64"/>
        <v>-4383557.7255404368</v>
      </c>
      <c r="F109" s="26"/>
      <c r="G109" s="26">
        <f t="shared" ref="G109:Z109" ca="1" si="81">IF(G$4&lt;=$B109,ABS(G$31)*-1+G$47,0)+IF($B109=G$4,G$81,0)</f>
        <v>-5477499.9999999991</v>
      </c>
      <c r="H109" s="26">
        <f t="shared" ca="1" si="81"/>
        <v>-5377499.9999999991</v>
      </c>
      <c r="I109" s="26">
        <f t="shared" ca="1" si="81"/>
        <v>-5377499.9999999991</v>
      </c>
      <c r="J109" s="26">
        <f t="shared" ca="1" si="81"/>
        <v>-4896250</v>
      </c>
      <c r="K109" s="26">
        <f t="shared" ca="1" si="81"/>
        <v>3284999.9999999991</v>
      </c>
      <c r="L109" s="26">
        <f t="shared" ca="1" si="81"/>
        <v>13460192.274459559</v>
      </c>
      <c r="M109" s="26">
        <f t="shared" si="81"/>
        <v>0</v>
      </c>
      <c r="N109" s="26">
        <f t="shared" si="81"/>
        <v>0</v>
      </c>
      <c r="O109" s="26">
        <f t="shared" si="81"/>
        <v>0</v>
      </c>
      <c r="P109" s="26">
        <f t="shared" si="81"/>
        <v>0</v>
      </c>
      <c r="Q109" s="26">
        <f t="shared" si="81"/>
        <v>0</v>
      </c>
      <c r="R109" s="26">
        <f t="shared" si="81"/>
        <v>0</v>
      </c>
      <c r="S109" s="26">
        <f t="shared" si="81"/>
        <v>0</v>
      </c>
      <c r="T109" s="26">
        <f t="shared" si="81"/>
        <v>0</v>
      </c>
      <c r="U109" s="26">
        <f t="shared" si="81"/>
        <v>0</v>
      </c>
      <c r="V109" s="26">
        <f t="shared" si="81"/>
        <v>0</v>
      </c>
      <c r="W109" s="26">
        <f t="shared" si="81"/>
        <v>0</v>
      </c>
      <c r="X109" s="26">
        <f t="shared" si="81"/>
        <v>0</v>
      </c>
      <c r="Y109" s="26">
        <f t="shared" si="81"/>
        <v>0</v>
      </c>
      <c r="Z109" s="26">
        <f t="shared" si="81"/>
        <v>0</v>
      </c>
    </row>
    <row r="110" spans="2:26" ht="13" hidden="1" outlineLevel="1">
      <c r="B110" s="77">
        <f t="shared" si="75"/>
        <v>7</v>
      </c>
      <c r="C110" s="53">
        <f t="shared" ca="1" si="76"/>
        <v>8.692333711100475E-2</v>
      </c>
      <c r="D110" s="12" t="s">
        <v>163</v>
      </c>
      <c r="E110" s="26">
        <f t="shared" ca="1" si="64"/>
        <v>8972151.4835089482</v>
      </c>
      <c r="F110" s="26"/>
      <c r="G110" s="26">
        <f t="shared" ref="G110:Z110" ca="1" si="82">IF(G$4&lt;=$B110,ABS(G$31)*-1+G$47,0)+IF($B110=G$4,G$81,0)</f>
        <v>-5477499.9999999991</v>
      </c>
      <c r="H110" s="26">
        <f t="shared" ca="1" si="82"/>
        <v>-5377499.9999999991</v>
      </c>
      <c r="I110" s="26">
        <f t="shared" ca="1" si="82"/>
        <v>-5377499.9999999991</v>
      </c>
      <c r="J110" s="26">
        <f t="shared" ca="1" si="82"/>
        <v>-4896250</v>
      </c>
      <c r="K110" s="26">
        <f t="shared" ca="1" si="82"/>
        <v>3284999.9999999991</v>
      </c>
      <c r="L110" s="26">
        <f t="shared" ca="1" si="82"/>
        <v>3284999.9999999991</v>
      </c>
      <c r="M110" s="26">
        <f t="shared" ca="1" si="82"/>
        <v>23530901.483508945</v>
      </c>
      <c r="N110" s="26">
        <f t="shared" si="82"/>
        <v>0</v>
      </c>
      <c r="O110" s="26">
        <f t="shared" si="82"/>
        <v>0</v>
      </c>
      <c r="P110" s="26">
        <f t="shared" si="82"/>
        <v>0</v>
      </c>
      <c r="Q110" s="26">
        <f t="shared" si="82"/>
        <v>0</v>
      </c>
      <c r="R110" s="26">
        <f t="shared" si="82"/>
        <v>0</v>
      </c>
      <c r="S110" s="26">
        <f t="shared" si="82"/>
        <v>0</v>
      </c>
      <c r="T110" s="26">
        <f t="shared" si="82"/>
        <v>0</v>
      </c>
      <c r="U110" s="26">
        <f t="shared" si="82"/>
        <v>0</v>
      </c>
      <c r="V110" s="26">
        <f t="shared" si="82"/>
        <v>0</v>
      </c>
      <c r="W110" s="26">
        <f t="shared" si="82"/>
        <v>0</v>
      </c>
      <c r="X110" s="26">
        <f t="shared" si="82"/>
        <v>0</v>
      </c>
      <c r="Y110" s="26">
        <f t="shared" si="82"/>
        <v>0</v>
      </c>
      <c r="Z110" s="26">
        <f t="shared" si="82"/>
        <v>0</v>
      </c>
    </row>
    <row r="111" spans="2:26" ht="13" hidden="1" outlineLevel="1">
      <c r="B111" s="77">
        <f t="shared" si="75"/>
        <v>8</v>
      </c>
      <c r="C111" s="53">
        <f t="shared" ca="1" si="76"/>
        <v>0.15626238618206867</v>
      </c>
      <c r="D111" s="12" t="s">
        <v>163</v>
      </c>
      <c r="E111" s="26">
        <f t="shared" ca="1" si="64"/>
        <v>21023940.611843165</v>
      </c>
      <c r="F111" s="26"/>
      <c r="G111" s="26">
        <f t="shared" ref="G111:Z111" ca="1" si="83">IF(G$4&lt;=$B111,ABS(G$31)*-1+G$47,0)+IF($B111=G$4,G$81,0)</f>
        <v>-5477499.9999999991</v>
      </c>
      <c r="H111" s="26">
        <f t="shared" ca="1" si="83"/>
        <v>-5377499.9999999991</v>
      </c>
      <c r="I111" s="26">
        <f t="shared" ca="1" si="83"/>
        <v>-5377499.9999999991</v>
      </c>
      <c r="J111" s="26">
        <f t="shared" ca="1" si="83"/>
        <v>-4896250</v>
      </c>
      <c r="K111" s="26">
        <f t="shared" ca="1" si="83"/>
        <v>3284999.9999999991</v>
      </c>
      <c r="L111" s="26">
        <f t="shared" ca="1" si="83"/>
        <v>3284999.9999999991</v>
      </c>
      <c r="M111" s="26">
        <f t="shared" ca="1" si="83"/>
        <v>17905940.47619047</v>
      </c>
      <c r="N111" s="26">
        <f t="shared" ca="1" si="83"/>
        <v>17676750.135652691</v>
      </c>
      <c r="O111" s="26">
        <f t="shared" si="83"/>
        <v>0</v>
      </c>
      <c r="P111" s="26">
        <f t="shared" si="83"/>
        <v>0</v>
      </c>
      <c r="Q111" s="26">
        <f t="shared" si="83"/>
        <v>0</v>
      </c>
      <c r="R111" s="26">
        <f t="shared" si="83"/>
        <v>0</v>
      </c>
      <c r="S111" s="26">
        <f t="shared" si="83"/>
        <v>0</v>
      </c>
      <c r="T111" s="26">
        <f t="shared" si="83"/>
        <v>0</v>
      </c>
      <c r="U111" s="26">
        <f t="shared" si="83"/>
        <v>0</v>
      </c>
      <c r="V111" s="26">
        <f t="shared" si="83"/>
        <v>0</v>
      </c>
      <c r="W111" s="26">
        <f t="shared" si="83"/>
        <v>0</v>
      </c>
      <c r="X111" s="26">
        <f t="shared" si="83"/>
        <v>0</v>
      </c>
      <c r="Y111" s="26">
        <f t="shared" si="83"/>
        <v>0</v>
      </c>
      <c r="Z111" s="26">
        <f t="shared" si="83"/>
        <v>0</v>
      </c>
    </row>
    <row r="112" spans="2:26" ht="13" hidden="1" outlineLevel="1">
      <c r="B112" s="77">
        <f t="shared" si="75"/>
        <v>9</v>
      </c>
      <c r="C112" s="53">
        <f t="shared" ca="1" si="76"/>
        <v>0.19543673648802051</v>
      </c>
      <c r="D112" s="12" t="s">
        <v>163</v>
      </c>
      <c r="E112" s="26">
        <f t="shared" ca="1" si="64"/>
        <v>31892082.744826853</v>
      </c>
      <c r="F112" s="26"/>
      <c r="G112" s="26">
        <f t="shared" ref="G112:Z112" ca="1" si="84">IF(G$4&lt;=$B112,ABS(G$31)*-1+G$47,0)+IF($B112=G$4,G$81,0)</f>
        <v>-5477499.9999999991</v>
      </c>
      <c r="H112" s="26">
        <f t="shared" ca="1" si="84"/>
        <v>-5377499.9999999991</v>
      </c>
      <c r="I112" s="26">
        <f t="shared" ca="1" si="84"/>
        <v>-5377499.9999999991</v>
      </c>
      <c r="J112" s="26">
        <f t="shared" ca="1" si="84"/>
        <v>-4896250</v>
      </c>
      <c r="K112" s="26">
        <f t="shared" ca="1" si="84"/>
        <v>3284999.9999999991</v>
      </c>
      <c r="L112" s="26">
        <f t="shared" ca="1" si="84"/>
        <v>3284999.9999999991</v>
      </c>
      <c r="M112" s="26">
        <f t="shared" ca="1" si="84"/>
        <v>17905940.47619047</v>
      </c>
      <c r="N112" s="26">
        <f t="shared" ca="1" si="84"/>
        <v>14326904.761904756</v>
      </c>
      <c r="O112" s="26">
        <f t="shared" ca="1" si="84"/>
        <v>14217987.506731624</v>
      </c>
      <c r="P112" s="26">
        <f t="shared" si="84"/>
        <v>0</v>
      </c>
      <c r="Q112" s="26">
        <f t="shared" si="84"/>
        <v>0</v>
      </c>
      <c r="R112" s="26">
        <f t="shared" si="84"/>
        <v>0</v>
      </c>
      <c r="S112" s="26">
        <f t="shared" si="84"/>
        <v>0</v>
      </c>
      <c r="T112" s="26">
        <f t="shared" si="84"/>
        <v>0</v>
      </c>
      <c r="U112" s="26">
        <f t="shared" si="84"/>
        <v>0</v>
      </c>
      <c r="V112" s="26">
        <f t="shared" si="84"/>
        <v>0</v>
      </c>
      <c r="W112" s="26">
        <f t="shared" si="84"/>
        <v>0</v>
      </c>
      <c r="X112" s="26">
        <f t="shared" si="84"/>
        <v>0</v>
      </c>
      <c r="Y112" s="26">
        <f t="shared" si="84"/>
        <v>0</v>
      </c>
      <c r="Z112" s="26">
        <f t="shared" si="84"/>
        <v>0</v>
      </c>
    </row>
    <row r="113" spans="1:26" ht="13" hidden="1" outlineLevel="1">
      <c r="B113" s="77">
        <f t="shared" si="75"/>
        <v>10</v>
      </c>
      <c r="C113" s="53">
        <f t="shared" ca="1" si="76"/>
        <v>0.22428626349915404</v>
      </c>
      <c r="D113" s="12" t="s">
        <v>163</v>
      </c>
      <c r="E113" s="26">
        <f t="shared" ca="1" si="64"/>
        <v>43909999.999999985</v>
      </c>
      <c r="F113" s="26"/>
      <c r="G113" s="26">
        <f t="shared" ref="G113:Z113" ca="1" si="85">IF(G$4&lt;=$B113,ABS(G$31)*-1+G$47,0)+IF($B113=G$4,G$81,0)</f>
        <v>-5477499.9999999991</v>
      </c>
      <c r="H113" s="26">
        <f t="shared" ca="1" si="85"/>
        <v>-5377499.9999999991</v>
      </c>
      <c r="I113" s="26">
        <f t="shared" ca="1" si="85"/>
        <v>-5377499.9999999991</v>
      </c>
      <c r="J113" s="26">
        <f t="shared" ca="1" si="85"/>
        <v>-4896250</v>
      </c>
      <c r="K113" s="26">
        <f t="shared" ca="1" si="85"/>
        <v>3284999.9999999991</v>
      </c>
      <c r="L113" s="26">
        <f t="shared" ca="1" si="85"/>
        <v>3284999.9999999991</v>
      </c>
      <c r="M113" s="26">
        <f t="shared" ca="1" si="85"/>
        <v>17905940.47619047</v>
      </c>
      <c r="N113" s="26">
        <f t="shared" ca="1" si="85"/>
        <v>14326904.761904756</v>
      </c>
      <c r="O113" s="26">
        <f t="shared" ca="1" si="85"/>
        <v>11874047.619047614</v>
      </c>
      <c r="P113" s="26">
        <f t="shared" ca="1" si="85"/>
        <v>14361857.14285714</v>
      </c>
      <c r="Q113" s="26">
        <f t="shared" si="85"/>
        <v>0</v>
      </c>
      <c r="R113" s="26">
        <f t="shared" si="85"/>
        <v>0</v>
      </c>
      <c r="S113" s="26">
        <f t="shared" si="85"/>
        <v>0</v>
      </c>
      <c r="T113" s="26">
        <f t="shared" si="85"/>
        <v>0</v>
      </c>
      <c r="U113" s="26">
        <f t="shared" si="85"/>
        <v>0</v>
      </c>
      <c r="V113" s="26">
        <f t="shared" si="85"/>
        <v>0</v>
      </c>
      <c r="W113" s="26">
        <f t="shared" si="85"/>
        <v>0</v>
      </c>
      <c r="X113" s="26">
        <f t="shared" si="85"/>
        <v>0</v>
      </c>
      <c r="Y113" s="26">
        <f t="shared" si="85"/>
        <v>0</v>
      </c>
      <c r="Z113" s="26">
        <f t="shared" si="85"/>
        <v>0</v>
      </c>
    </row>
    <row r="114" spans="1:26" ht="13" hidden="1" outlineLevel="1">
      <c r="B114" s="77">
        <f t="shared" si="75"/>
        <v>11</v>
      </c>
      <c r="C114" s="53">
        <f t="shared" ca="1" si="76"/>
        <v>0.22428626349915404</v>
      </c>
      <c r="D114" s="12" t="s">
        <v>163</v>
      </c>
      <c r="E114" s="26">
        <f t="shared" ca="1" si="64"/>
        <v>43909999.999999985</v>
      </c>
      <c r="F114" s="26"/>
      <c r="G114" s="26">
        <f t="shared" ref="G114:Z114" ca="1" si="86">IF(G$4&lt;=$B114,ABS(G$31)*-1+G$47,0)+IF($B114=G$4,G$81,0)</f>
        <v>-5477499.9999999991</v>
      </c>
      <c r="H114" s="26">
        <f t="shared" ca="1" si="86"/>
        <v>-5377499.9999999991</v>
      </c>
      <c r="I114" s="26">
        <f t="shared" ca="1" si="86"/>
        <v>-5377499.9999999991</v>
      </c>
      <c r="J114" s="26">
        <f t="shared" ca="1" si="86"/>
        <v>-4896250</v>
      </c>
      <c r="K114" s="26">
        <f t="shared" ca="1" si="86"/>
        <v>3284999.9999999991</v>
      </c>
      <c r="L114" s="26">
        <f t="shared" ca="1" si="86"/>
        <v>3284999.9999999991</v>
      </c>
      <c r="M114" s="26">
        <f t="shared" ca="1" si="86"/>
        <v>17905940.47619047</v>
      </c>
      <c r="N114" s="26">
        <f t="shared" ca="1" si="86"/>
        <v>14326904.761904756</v>
      </c>
      <c r="O114" s="26">
        <f t="shared" ca="1" si="86"/>
        <v>11874047.619047614</v>
      </c>
      <c r="P114" s="26">
        <f t="shared" ca="1" si="86"/>
        <v>14361857.14285714</v>
      </c>
      <c r="Q114" s="26">
        <f t="shared" ca="1" si="86"/>
        <v>0</v>
      </c>
      <c r="R114" s="26">
        <f t="shared" si="86"/>
        <v>0</v>
      </c>
      <c r="S114" s="26">
        <f t="shared" si="86"/>
        <v>0</v>
      </c>
      <c r="T114" s="26">
        <f t="shared" si="86"/>
        <v>0</v>
      </c>
      <c r="U114" s="26">
        <f t="shared" si="86"/>
        <v>0</v>
      </c>
      <c r="V114" s="26">
        <f t="shared" si="86"/>
        <v>0</v>
      </c>
      <c r="W114" s="26">
        <f t="shared" si="86"/>
        <v>0</v>
      </c>
      <c r="X114" s="26">
        <f t="shared" si="86"/>
        <v>0</v>
      </c>
      <c r="Y114" s="26">
        <f t="shared" si="86"/>
        <v>0</v>
      </c>
      <c r="Z114" s="26">
        <f t="shared" si="86"/>
        <v>0</v>
      </c>
    </row>
    <row r="115" spans="1:26" ht="13" hidden="1" outlineLevel="1">
      <c r="B115" s="77">
        <f t="shared" si="75"/>
        <v>12</v>
      </c>
      <c r="C115" s="53">
        <f t="shared" ca="1" si="76"/>
        <v>0.22428626349915404</v>
      </c>
      <c r="D115" s="12" t="s">
        <v>163</v>
      </c>
      <c r="E115" s="26">
        <f t="shared" ca="1" si="64"/>
        <v>43909999.999999985</v>
      </c>
      <c r="F115" s="26"/>
      <c r="G115" s="26">
        <f t="shared" ref="G115:Z115" ca="1" si="87">IF(G$4&lt;=$B115,ABS(G$31)*-1+G$47,0)+IF($B115=G$4,G$81,0)</f>
        <v>-5477499.9999999991</v>
      </c>
      <c r="H115" s="26">
        <f t="shared" ca="1" si="87"/>
        <v>-5377499.9999999991</v>
      </c>
      <c r="I115" s="26">
        <f t="shared" ca="1" si="87"/>
        <v>-5377499.9999999991</v>
      </c>
      <c r="J115" s="26">
        <f t="shared" ca="1" si="87"/>
        <v>-4896250</v>
      </c>
      <c r="K115" s="26">
        <f t="shared" ca="1" si="87"/>
        <v>3284999.9999999991</v>
      </c>
      <c r="L115" s="26">
        <f t="shared" ca="1" si="87"/>
        <v>3284999.9999999991</v>
      </c>
      <c r="M115" s="26">
        <f t="shared" ca="1" si="87"/>
        <v>17905940.47619047</v>
      </c>
      <c r="N115" s="26">
        <f t="shared" ca="1" si="87"/>
        <v>14326904.761904756</v>
      </c>
      <c r="O115" s="26">
        <f t="shared" ca="1" si="87"/>
        <v>11874047.619047614</v>
      </c>
      <c r="P115" s="26">
        <f t="shared" ca="1" si="87"/>
        <v>14361857.14285714</v>
      </c>
      <c r="Q115" s="26">
        <f t="shared" ca="1" si="87"/>
        <v>0</v>
      </c>
      <c r="R115" s="26">
        <f t="shared" ca="1" si="87"/>
        <v>0</v>
      </c>
      <c r="S115" s="26">
        <f t="shared" si="87"/>
        <v>0</v>
      </c>
      <c r="T115" s="26">
        <f t="shared" si="87"/>
        <v>0</v>
      </c>
      <c r="U115" s="26">
        <f t="shared" si="87"/>
        <v>0</v>
      </c>
      <c r="V115" s="26">
        <f t="shared" si="87"/>
        <v>0</v>
      </c>
      <c r="W115" s="26">
        <f t="shared" si="87"/>
        <v>0</v>
      </c>
      <c r="X115" s="26">
        <f t="shared" si="87"/>
        <v>0</v>
      </c>
      <c r="Y115" s="26">
        <f t="shared" si="87"/>
        <v>0</v>
      </c>
      <c r="Z115" s="26">
        <f t="shared" si="87"/>
        <v>0</v>
      </c>
    </row>
    <row r="116" spans="1:26" ht="13" hidden="1" outlineLevel="1">
      <c r="B116" s="77">
        <f t="shared" si="75"/>
        <v>13</v>
      </c>
      <c r="C116" s="53">
        <f t="shared" ca="1" si="76"/>
        <v>0.22428626349915404</v>
      </c>
      <c r="D116" s="12" t="s">
        <v>163</v>
      </c>
      <c r="E116" s="26">
        <f t="shared" ca="1" si="64"/>
        <v>43909999.999999985</v>
      </c>
      <c r="F116" s="26"/>
      <c r="G116" s="26">
        <f t="shared" ref="G116:Z116" ca="1" si="88">IF(G$4&lt;=$B116,ABS(G$31)*-1+G$47,0)+IF($B116=G$4,G$81,0)</f>
        <v>-5477499.9999999991</v>
      </c>
      <c r="H116" s="26">
        <f t="shared" ca="1" si="88"/>
        <v>-5377499.9999999991</v>
      </c>
      <c r="I116" s="26">
        <f t="shared" ca="1" si="88"/>
        <v>-5377499.9999999991</v>
      </c>
      <c r="J116" s="26">
        <f t="shared" ca="1" si="88"/>
        <v>-4896250</v>
      </c>
      <c r="K116" s="26">
        <f t="shared" ca="1" si="88"/>
        <v>3284999.9999999991</v>
      </c>
      <c r="L116" s="26">
        <f t="shared" ca="1" si="88"/>
        <v>3284999.9999999991</v>
      </c>
      <c r="M116" s="26">
        <f t="shared" ca="1" si="88"/>
        <v>17905940.47619047</v>
      </c>
      <c r="N116" s="26">
        <f t="shared" ca="1" si="88"/>
        <v>14326904.761904756</v>
      </c>
      <c r="O116" s="26">
        <f t="shared" ca="1" si="88"/>
        <v>11874047.619047614</v>
      </c>
      <c r="P116" s="26">
        <f t="shared" ca="1" si="88"/>
        <v>14361857.14285714</v>
      </c>
      <c r="Q116" s="26">
        <f t="shared" ca="1" si="88"/>
        <v>0</v>
      </c>
      <c r="R116" s="26">
        <f t="shared" ca="1" si="88"/>
        <v>0</v>
      </c>
      <c r="S116" s="26">
        <f t="shared" ca="1" si="88"/>
        <v>0</v>
      </c>
      <c r="T116" s="26">
        <f t="shared" si="88"/>
        <v>0</v>
      </c>
      <c r="U116" s="26">
        <f t="shared" si="88"/>
        <v>0</v>
      </c>
      <c r="V116" s="26">
        <f t="shared" si="88"/>
        <v>0</v>
      </c>
      <c r="W116" s="26">
        <f t="shared" si="88"/>
        <v>0</v>
      </c>
      <c r="X116" s="26">
        <f t="shared" si="88"/>
        <v>0</v>
      </c>
      <c r="Y116" s="26">
        <f t="shared" si="88"/>
        <v>0</v>
      </c>
      <c r="Z116" s="26">
        <f t="shared" si="88"/>
        <v>0</v>
      </c>
    </row>
    <row r="117" spans="1:26" ht="13" hidden="1" outlineLevel="1">
      <c r="B117" s="77">
        <f t="shared" si="75"/>
        <v>14</v>
      </c>
      <c r="C117" s="53">
        <f t="shared" ca="1" si="76"/>
        <v>0.22428626349915404</v>
      </c>
      <c r="D117" s="12" t="s">
        <v>163</v>
      </c>
      <c r="E117" s="26">
        <f t="shared" ca="1" si="64"/>
        <v>43909999.999999985</v>
      </c>
      <c r="F117" s="26"/>
      <c r="G117" s="26">
        <f t="shared" ref="G117:Z117" ca="1" si="89">IF(G$4&lt;=$B117,ABS(G$31)*-1+G$47,0)+IF($B117=G$4,G$81,0)</f>
        <v>-5477499.9999999991</v>
      </c>
      <c r="H117" s="26">
        <f t="shared" ca="1" si="89"/>
        <v>-5377499.9999999991</v>
      </c>
      <c r="I117" s="26">
        <f t="shared" ca="1" si="89"/>
        <v>-5377499.9999999991</v>
      </c>
      <c r="J117" s="26">
        <f t="shared" ca="1" si="89"/>
        <v>-4896250</v>
      </c>
      <c r="K117" s="26">
        <f t="shared" ca="1" si="89"/>
        <v>3284999.9999999991</v>
      </c>
      <c r="L117" s="26">
        <f t="shared" ca="1" si="89"/>
        <v>3284999.9999999991</v>
      </c>
      <c r="M117" s="26">
        <f t="shared" ca="1" si="89"/>
        <v>17905940.47619047</v>
      </c>
      <c r="N117" s="26">
        <f t="shared" ca="1" si="89"/>
        <v>14326904.761904756</v>
      </c>
      <c r="O117" s="26">
        <f t="shared" ca="1" si="89"/>
        <v>11874047.619047614</v>
      </c>
      <c r="P117" s="26">
        <f t="shared" ca="1" si="89"/>
        <v>14361857.14285714</v>
      </c>
      <c r="Q117" s="26">
        <f t="shared" ca="1" si="89"/>
        <v>0</v>
      </c>
      <c r="R117" s="26">
        <f t="shared" ca="1" si="89"/>
        <v>0</v>
      </c>
      <c r="S117" s="26">
        <f t="shared" ca="1" si="89"/>
        <v>0</v>
      </c>
      <c r="T117" s="26">
        <f t="shared" ca="1" si="89"/>
        <v>0</v>
      </c>
      <c r="U117" s="26">
        <f t="shared" si="89"/>
        <v>0</v>
      </c>
      <c r="V117" s="26">
        <f t="shared" si="89"/>
        <v>0</v>
      </c>
      <c r="W117" s="26">
        <f t="shared" si="89"/>
        <v>0</v>
      </c>
      <c r="X117" s="26">
        <f t="shared" si="89"/>
        <v>0</v>
      </c>
      <c r="Y117" s="26">
        <f t="shared" si="89"/>
        <v>0</v>
      </c>
      <c r="Z117" s="26">
        <f t="shared" si="89"/>
        <v>0</v>
      </c>
    </row>
    <row r="118" spans="1:26" ht="13" hidden="1" outlineLevel="1">
      <c r="B118" s="77">
        <f t="shared" si="75"/>
        <v>15</v>
      </c>
      <c r="C118" s="53">
        <f t="shared" ca="1" si="76"/>
        <v>0.22428626349915404</v>
      </c>
      <c r="D118" s="12" t="s">
        <v>163</v>
      </c>
      <c r="E118" s="26">
        <f t="shared" ca="1" si="64"/>
        <v>43909999.999999985</v>
      </c>
      <c r="F118" s="26"/>
      <c r="G118" s="26">
        <f t="shared" ref="G118:Z118" ca="1" si="90">IF(G$4&lt;=$B118,ABS(G$31)*-1+G$47,0)+IF($B118=G$4,G$81,0)</f>
        <v>-5477499.9999999991</v>
      </c>
      <c r="H118" s="26">
        <f t="shared" ca="1" si="90"/>
        <v>-5377499.9999999991</v>
      </c>
      <c r="I118" s="26">
        <f t="shared" ca="1" si="90"/>
        <v>-5377499.9999999991</v>
      </c>
      <c r="J118" s="26">
        <f t="shared" ca="1" si="90"/>
        <v>-4896250</v>
      </c>
      <c r="K118" s="26">
        <f t="shared" ca="1" si="90"/>
        <v>3284999.9999999991</v>
      </c>
      <c r="L118" s="26">
        <f t="shared" ca="1" si="90"/>
        <v>3284999.9999999991</v>
      </c>
      <c r="M118" s="26">
        <f t="shared" ca="1" si="90"/>
        <v>17905940.47619047</v>
      </c>
      <c r="N118" s="26">
        <f t="shared" ca="1" si="90"/>
        <v>14326904.761904756</v>
      </c>
      <c r="O118" s="26">
        <f t="shared" ca="1" si="90"/>
        <v>11874047.619047614</v>
      </c>
      <c r="P118" s="26">
        <f t="shared" ca="1" si="90"/>
        <v>14361857.14285714</v>
      </c>
      <c r="Q118" s="26">
        <f t="shared" ca="1" si="90"/>
        <v>0</v>
      </c>
      <c r="R118" s="26">
        <f t="shared" ca="1" si="90"/>
        <v>0</v>
      </c>
      <c r="S118" s="26">
        <f t="shared" ca="1" si="90"/>
        <v>0</v>
      </c>
      <c r="T118" s="26">
        <f t="shared" ca="1" si="90"/>
        <v>0</v>
      </c>
      <c r="U118" s="26">
        <f t="shared" ca="1" si="90"/>
        <v>0</v>
      </c>
      <c r="V118" s="26">
        <f t="shared" si="90"/>
        <v>0</v>
      </c>
      <c r="W118" s="26">
        <f t="shared" si="90"/>
        <v>0</v>
      </c>
      <c r="X118" s="26">
        <f t="shared" si="90"/>
        <v>0</v>
      </c>
      <c r="Y118" s="26">
        <f t="shared" si="90"/>
        <v>0</v>
      </c>
      <c r="Z118" s="26">
        <f t="shared" si="90"/>
        <v>0</v>
      </c>
    </row>
    <row r="119" spans="1:26" ht="13" hidden="1" outlineLevel="1">
      <c r="B119" s="77">
        <f t="shared" si="75"/>
        <v>16</v>
      </c>
      <c r="C119" s="53">
        <f t="shared" ca="1" si="76"/>
        <v>0.22428626349915404</v>
      </c>
      <c r="D119" s="12" t="s">
        <v>163</v>
      </c>
      <c r="E119" s="26">
        <f t="shared" ca="1" si="64"/>
        <v>43909999.999999985</v>
      </c>
      <c r="F119" s="26"/>
      <c r="G119" s="26">
        <f t="shared" ref="G119:Z119" ca="1" si="91">IF(G$4&lt;=$B119,ABS(G$31)*-1+G$47,0)+IF($B119=G$4,G$81,0)</f>
        <v>-5477499.9999999991</v>
      </c>
      <c r="H119" s="26">
        <f t="shared" ca="1" si="91"/>
        <v>-5377499.9999999991</v>
      </c>
      <c r="I119" s="26">
        <f t="shared" ca="1" si="91"/>
        <v>-5377499.9999999991</v>
      </c>
      <c r="J119" s="26">
        <f t="shared" ca="1" si="91"/>
        <v>-4896250</v>
      </c>
      <c r="K119" s="26">
        <f t="shared" ca="1" si="91"/>
        <v>3284999.9999999991</v>
      </c>
      <c r="L119" s="26">
        <f t="shared" ca="1" si="91"/>
        <v>3284999.9999999991</v>
      </c>
      <c r="M119" s="26">
        <f t="shared" ca="1" si="91"/>
        <v>17905940.47619047</v>
      </c>
      <c r="N119" s="26">
        <f t="shared" ca="1" si="91"/>
        <v>14326904.761904756</v>
      </c>
      <c r="O119" s="26">
        <f t="shared" ca="1" si="91"/>
        <v>11874047.619047614</v>
      </c>
      <c r="P119" s="26">
        <f t="shared" ca="1" si="91"/>
        <v>14361857.14285714</v>
      </c>
      <c r="Q119" s="26">
        <f t="shared" ca="1" si="91"/>
        <v>0</v>
      </c>
      <c r="R119" s="26">
        <f t="shared" ca="1" si="91"/>
        <v>0</v>
      </c>
      <c r="S119" s="26">
        <f t="shared" ca="1" si="91"/>
        <v>0</v>
      </c>
      <c r="T119" s="26">
        <f t="shared" ca="1" si="91"/>
        <v>0</v>
      </c>
      <c r="U119" s="26">
        <f t="shared" ca="1" si="91"/>
        <v>0</v>
      </c>
      <c r="V119" s="26">
        <f t="shared" ca="1" si="91"/>
        <v>0</v>
      </c>
      <c r="W119" s="26">
        <f t="shared" si="91"/>
        <v>0</v>
      </c>
      <c r="X119" s="26">
        <f t="shared" si="91"/>
        <v>0</v>
      </c>
      <c r="Y119" s="26">
        <f t="shared" si="91"/>
        <v>0</v>
      </c>
      <c r="Z119" s="26">
        <f t="shared" si="91"/>
        <v>0</v>
      </c>
    </row>
    <row r="120" spans="1:26" ht="13" hidden="1" outlineLevel="1">
      <c r="B120" s="77">
        <f t="shared" si="75"/>
        <v>17</v>
      </c>
      <c r="C120" s="53">
        <f t="shared" ca="1" si="76"/>
        <v>0.22428626349915404</v>
      </c>
      <c r="D120" s="12" t="s">
        <v>163</v>
      </c>
      <c r="E120" s="26">
        <f t="shared" ca="1" si="64"/>
        <v>43909999.999999985</v>
      </c>
      <c r="F120" s="26"/>
      <c r="G120" s="26">
        <f t="shared" ref="G120:Z120" ca="1" si="92">IF(G$4&lt;=$B120,ABS(G$31)*-1+G$47,0)+IF($B120=G$4,G$81,0)</f>
        <v>-5477499.9999999991</v>
      </c>
      <c r="H120" s="26">
        <f t="shared" ca="1" si="92"/>
        <v>-5377499.9999999991</v>
      </c>
      <c r="I120" s="26">
        <f t="shared" ca="1" si="92"/>
        <v>-5377499.9999999991</v>
      </c>
      <c r="J120" s="26">
        <f t="shared" ca="1" si="92"/>
        <v>-4896250</v>
      </c>
      <c r="K120" s="26">
        <f t="shared" ca="1" si="92"/>
        <v>3284999.9999999991</v>
      </c>
      <c r="L120" s="26">
        <f t="shared" ca="1" si="92"/>
        <v>3284999.9999999991</v>
      </c>
      <c r="M120" s="26">
        <f t="shared" ca="1" si="92"/>
        <v>17905940.47619047</v>
      </c>
      <c r="N120" s="26">
        <f t="shared" ca="1" si="92"/>
        <v>14326904.761904756</v>
      </c>
      <c r="O120" s="26">
        <f t="shared" ca="1" si="92"/>
        <v>11874047.619047614</v>
      </c>
      <c r="P120" s="26">
        <f t="shared" ca="1" si="92"/>
        <v>14361857.14285714</v>
      </c>
      <c r="Q120" s="26">
        <f t="shared" ca="1" si="92"/>
        <v>0</v>
      </c>
      <c r="R120" s="26">
        <f t="shared" ca="1" si="92"/>
        <v>0</v>
      </c>
      <c r="S120" s="26">
        <f t="shared" ca="1" si="92"/>
        <v>0</v>
      </c>
      <c r="T120" s="26">
        <f t="shared" ca="1" si="92"/>
        <v>0</v>
      </c>
      <c r="U120" s="26">
        <f t="shared" ca="1" si="92"/>
        <v>0</v>
      </c>
      <c r="V120" s="26">
        <f t="shared" ca="1" si="92"/>
        <v>0</v>
      </c>
      <c r="W120" s="26">
        <f t="shared" ca="1" si="92"/>
        <v>0</v>
      </c>
      <c r="X120" s="26">
        <f t="shared" si="92"/>
        <v>0</v>
      </c>
      <c r="Y120" s="26">
        <f t="shared" si="92"/>
        <v>0</v>
      </c>
      <c r="Z120" s="26">
        <f t="shared" si="92"/>
        <v>0</v>
      </c>
    </row>
    <row r="121" spans="1:26" ht="13" hidden="1" outlineLevel="1">
      <c r="B121" s="77">
        <f t="shared" si="75"/>
        <v>18</v>
      </c>
      <c r="C121" s="53">
        <f t="shared" ca="1" si="76"/>
        <v>0.22428626349915404</v>
      </c>
      <c r="D121" s="12" t="s">
        <v>163</v>
      </c>
      <c r="E121" s="26">
        <f t="shared" ca="1" si="64"/>
        <v>43909999.999999985</v>
      </c>
      <c r="F121" s="26"/>
      <c r="G121" s="26">
        <f t="shared" ref="G121:Z121" ca="1" si="93">IF(G$4&lt;=$B121,ABS(G$31)*-1+G$47,0)+IF($B121=G$4,G$81,0)</f>
        <v>-5477499.9999999991</v>
      </c>
      <c r="H121" s="26">
        <f t="shared" ca="1" si="93"/>
        <v>-5377499.9999999991</v>
      </c>
      <c r="I121" s="26">
        <f t="shared" ca="1" si="93"/>
        <v>-5377499.9999999991</v>
      </c>
      <c r="J121" s="26">
        <f t="shared" ca="1" si="93"/>
        <v>-4896250</v>
      </c>
      <c r="K121" s="26">
        <f t="shared" ca="1" si="93"/>
        <v>3284999.9999999991</v>
      </c>
      <c r="L121" s="26">
        <f t="shared" ca="1" si="93"/>
        <v>3284999.9999999991</v>
      </c>
      <c r="M121" s="26">
        <f t="shared" ca="1" si="93"/>
        <v>17905940.47619047</v>
      </c>
      <c r="N121" s="26">
        <f t="shared" ca="1" si="93"/>
        <v>14326904.761904756</v>
      </c>
      <c r="O121" s="26">
        <f t="shared" ca="1" si="93"/>
        <v>11874047.619047614</v>
      </c>
      <c r="P121" s="26">
        <f t="shared" ca="1" si="93"/>
        <v>14361857.14285714</v>
      </c>
      <c r="Q121" s="26">
        <f t="shared" ca="1" si="93"/>
        <v>0</v>
      </c>
      <c r="R121" s="26">
        <f t="shared" ca="1" si="93"/>
        <v>0</v>
      </c>
      <c r="S121" s="26">
        <f t="shared" ca="1" si="93"/>
        <v>0</v>
      </c>
      <c r="T121" s="26">
        <f t="shared" ca="1" si="93"/>
        <v>0</v>
      </c>
      <c r="U121" s="26">
        <f t="shared" ca="1" si="93"/>
        <v>0</v>
      </c>
      <c r="V121" s="26">
        <f t="shared" ca="1" si="93"/>
        <v>0</v>
      </c>
      <c r="W121" s="26">
        <f t="shared" ca="1" si="93"/>
        <v>0</v>
      </c>
      <c r="X121" s="26">
        <f t="shared" ca="1" si="93"/>
        <v>0</v>
      </c>
      <c r="Y121" s="26">
        <f t="shared" si="93"/>
        <v>0</v>
      </c>
      <c r="Z121" s="26">
        <f t="shared" si="93"/>
        <v>0</v>
      </c>
    </row>
    <row r="122" spans="1:26" ht="13" hidden="1" outlineLevel="1">
      <c r="B122" s="77">
        <f t="shared" si="75"/>
        <v>19</v>
      </c>
      <c r="C122" s="53">
        <f t="shared" ca="1" si="76"/>
        <v>0.22428626349915404</v>
      </c>
      <c r="D122" s="12" t="s">
        <v>163</v>
      </c>
      <c r="E122" s="26">
        <f t="shared" ca="1" si="64"/>
        <v>43909999.999999985</v>
      </c>
      <c r="F122" s="26"/>
      <c r="G122" s="26">
        <f t="shared" ref="G122:Z122" ca="1" si="94">IF(G$4&lt;=$B122,ABS(G$31)*-1+G$47,0)+IF($B122=G$4,G$81,0)</f>
        <v>-5477499.9999999991</v>
      </c>
      <c r="H122" s="26">
        <f t="shared" ca="1" si="94"/>
        <v>-5377499.9999999991</v>
      </c>
      <c r="I122" s="26">
        <f t="shared" ca="1" si="94"/>
        <v>-5377499.9999999991</v>
      </c>
      <c r="J122" s="26">
        <f t="shared" ca="1" si="94"/>
        <v>-4896250</v>
      </c>
      <c r="K122" s="26">
        <f t="shared" ca="1" si="94"/>
        <v>3284999.9999999991</v>
      </c>
      <c r="L122" s="26">
        <f t="shared" ca="1" si="94"/>
        <v>3284999.9999999991</v>
      </c>
      <c r="M122" s="26">
        <f t="shared" ca="1" si="94"/>
        <v>17905940.47619047</v>
      </c>
      <c r="N122" s="26">
        <f t="shared" ca="1" si="94"/>
        <v>14326904.761904756</v>
      </c>
      <c r="O122" s="26">
        <f t="shared" ca="1" si="94"/>
        <v>11874047.619047614</v>
      </c>
      <c r="P122" s="26">
        <f t="shared" ca="1" si="94"/>
        <v>14361857.14285714</v>
      </c>
      <c r="Q122" s="26">
        <f t="shared" ca="1" si="94"/>
        <v>0</v>
      </c>
      <c r="R122" s="26">
        <f t="shared" ca="1" si="94"/>
        <v>0</v>
      </c>
      <c r="S122" s="26">
        <f t="shared" ca="1" si="94"/>
        <v>0</v>
      </c>
      <c r="T122" s="26">
        <f t="shared" ca="1" si="94"/>
        <v>0</v>
      </c>
      <c r="U122" s="26">
        <f t="shared" ca="1" si="94"/>
        <v>0</v>
      </c>
      <c r="V122" s="26">
        <f t="shared" ca="1" si="94"/>
        <v>0</v>
      </c>
      <c r="W122" s="26">
        <f t="shared" ca="1" si="94"/>
        <v>0</v>
      </c>
      <c r="X122" s="26">
        <f t="shared" ca="1" si="94"/>
        <v>0</v>
      </c>
      <c r="Y122" s="26">
        <f t="shared" ca="1" si="94"/>
        <v>0</v>
      </c>
      <c r="Z122" s="26">
        <f t="shared" si="94"/>
        <v>0</v>
      </c>
    </row>
    <row r="123" spans="1:26" ht="13" hidden="1" outlineLevel="1">
      <c r="B123" s="77">
        <f t="shared" si="75"/>
        <v>20</v>
      </c>
      <c r="C123" s="53">
        <f t="shared" ca="1" si="76"/>
        <v>0.22428626349915404</v>
      </c>
      <c r="D123" s="12" t="s">
        <v>163</v>
      </c>
      <c r="E123" s="26">
        <f t="shared" ca="1" si="64"/>
        <v>43909999.999999985</v>
      </c>
      <c r="F123" s="26"/>
      <c r="G123" s="26">
        <f t="shared" ref="G123:Z123" ca="1" si="95">IF(G$4&lt;=$B123,ABS(G$31)*-1+G$47,0)+IF($B123=G$4,G$81,0)</f>
        <v>-5477499.9999999991</v>
      </c>
      <c r="H123" s="26">
        <f t="shared" ca="1" si="95"/>
        <v>-5377499.9999999991</v>
      </c>
      <c r="I123" s="26">
        <f t="shared" ca="1" si="95"/>
        <v>-5377499.9999999991</v>
      </c>
      <c r="J123" s="26">
        <f t="shared" ca="1" si="95"/>
        <v>-4896250</v>
      </c>
      <c r="K123" s="26">
        <f t="shared" ca="1" si="95"/>
        <v>3284999.9999999991</v>
      </c>
      <c r="L123" s="26">
        <f t="shared" ca="1" si="95"/>
        <v>3284999.9999999991</v>
      </c>
      <c r="M123" s="26">
        <f t="shared" ca="1" si="95"/>
        <v>17905940.47619047</v>
      </c>
      <c r="N123" s="26">
        <f t="shared" ca="1" si="95"/>
        <v>14326904.761904756</v>
      </c>
      <c r="O123" s="26">
        <f t="shared" ca="1" si="95"/>
        <v>11874047.619047614</v>
      </c>
      <c r="P123" s="26">
        <f t="shared" ca="1" si="95"/>
        <v>14361857.14285714</v>
      </c>
      <c r="Q123" s="26">
        <f t="shared" ca="1" si="95"/>
        <v>0</v>
      </c>
      <c r="R123" s="26">
        <f t="shared" ca="1" si="95"/>
        <v>0</v>
      </c>
      <c r="S123" s="26">
        <f t="shared" ca="1" si="95"/>
        <v>0</v>
      </c>
      <c r="T123" s="26">
        <f t="shared" ca="1" si="95"/>
        <v>0</v>
      </c>
      <c r="U123" s="26">
        <f t="shared" ca="1" si="95"/>
        <v>0</v>
      </c>
      <c r="V123" s="26">
        <f t="shared" ca="1" si="95"/>
        <v>0</v>
      </c>
      <c r="W123" s="26">
        <f t="shared" ca="1" si="95"/>
        <v>0</v>
      </c>
      <c r="X123" s="26">
        <f t="shared" ca="1" si="95"/>
        <v>0</v>
      </c>
      <c r="Y123" s="26">
        <f t="shared" ca="1" si="95"/>
        <v>0</v>
      </c>
      <c r="Z123" s="26">
        <f t="shared" ca="1" si="95"/>
        <v>0</v>
      </c>
    </row>
    <row r="124" spans="1:26" ht="13">
      <c r="A124" s="34"/>
      <c r="B124" s="34" t="s">
        <v>227</v>
      </c>
      <c r="C124" s="34" t="s">
        <v>228</v>
      </c>
      <c r="D124" s="34" t="s">
        <v>173</v>
      </c>
      <c r="E124" s="78">
        <f t="shared" ca="1" si="64"/>
        <v>3.9999999999999991</v>
      </c>
      <c r="F124" s="64"/>
      <c r="G124" s="78">
        <f t="shared" ref="G124:Z124" ca="1" si="96">IFERROR((G81+G72)/G67,0)</f>
        <v>1</v>
      </c>
      <c r="H124" s="78">
        <f t="shared" ca="1" si="96"/>
        <v>1</v>
      </c>
      <c r="I124" s="78">
        <f t="shared" ca="1" si="96"/>
        <v>1.0151465427875521</v>
      </c>
      <c r="J124" s="78">
        <f t="shared" ca="1" si="96"/>
        <v>0.9977246457432436</v>
      </c>
      <c r="K124" s="78">
        <f t="shared" ca="1" si="96"/>
        <v>1.0245732812889661</v>
      </c>
      <c r="L124" s="78">
        <f t="shared" ca="1" si="96"/>
        <v>0.95579182557623055</v>
      </c>
      <c r="M124" s="78">
        <f t="shared" ca="1" si="96"/>
        <v>1.697338825346616</v>
      </c>
      <c r="N124" s="78">
        <f t="shared" ca="1" si="96"/>
        <v>2.48954089666038</v>
      </c>
      <c r="O124" s="78">
        <f t="shared" ca="1" si="96"/>
        <v>3.2016791533795423</v>
      </c>
      <c r="P124" s="78">
        <f t="shared" ca="1" si="96"/>
        <v>3.9999999999999991</v>
      </c>
      <c r="Q124" s="78">
        <f t="shared" ca="1" si="96"/>
        <v>3.9999999999999991</v>
      </c>
      <c r="R124" s="78">
        <f t="shared" ca="1" si="96"/>
        <v>3.9999999999999991</v>
      </c>
      <c r="S124" s="78">
        <f t="shared" ca="1" si="96"/>
        <v>3.9999999999999991</v>
      </c>
      <c r="T124" s="78">
        <f t="shared" ca="1" si="96"/>
        <v>3.9999999999999991</v>
      </c>
      <c r="U124" s="78">
        <f t="shared" ca="1" si="96"/>
        <v>3.9999999999999991</v>
      </c>
      <c r="V124" s="78">
        <f t="shared" ca="1" si="96"/>
        <v>3.9999999999999991</v>
      </c>
      <c r="W124" s="78">
        <f t="shared" ca="1" si="96"/>
        <v>3.9999999999999991</v>
      </c>
      <c r="X124" s="78">
        <f t="shared" ca="1" si="96"/>
        <v>3.9999999999999991</v>
      </c>
      <c r="Y124" s="78">
        <f t="shared" ca="1" si="96"/>
        <v>3.9999999999999991</v>
      </c>
      <c r="Z124" s="78">
        <f t="shared" ca="1" si="96"/>
        <v>3.9999999999999991</v>
      </c>
    </row>
    <row r="125" spans="1:26" ht="13">
      <c r="A125" s="34"/>
      <c r="B125" s="34" t="s">
        <v>229</v>
      </c>
      <c r="C125" s="34" t="s">
        <v>230</v>
      </c>
      <c r="D125" s="34" t="s">
        <v>173</v>
      </c>
      <c r="E125" s="78">
        <f t="shared" ca="1" si="64"/>
        <v>2.7563999999999993</v>
      </c>
      <c r="F125" s="64"/>
      <c r="G125" s="78">
        <f ca="1">IFERROR((IFERROR((G81-(MAX(0,(F81+G51+G50+G72-G71-G60))*'Get Started'!$E14-G75)),0)+G76)/G60,0)</f>
        <v>0.87859424920127793</v>
      </c>
      <c r="H125" s="78">
        <f ca="1">IFERROR((IFERROR((H81-(MAX(0,(G81+H51+H50+H72-H71-H60))*'Get Started'!$E14-H75)),0)+H76)/H60,0)</f>
        <v>0.88668816213726387</v>
      </c>
      <c r="I125" s="78">
        <f ca="1">IFERROR((IFERROR((I81-(MAX(0,(H81+I51+I50+I72-I71-I60))*'Get Started'!$E14-I75)),0)+I76)/I60,0)</f>
        <v>0.90289100332636885</v>
      </c>
      <c r="J125" s="78">
        <f ca="1">IFERROR((IFERROR((J81-(MAX(0,(I81+J51+J50+J72-J71-J60))*'Get Started'!$E14-J75)),0)+J76)/J60,0)</f>
        <v>0.88866309125799681</v>
      </c>
      <c r="K125" s="78">
        <f ca="1">IFERROR((IFERROR((K81-(MAX(0,(J81+K51+K50+K72-K71-K60))*'Get Started'!$E14-K75)),0)+K76)/K60,0)</f>
        <v>0.8904932332831218</v>
      </c>
      <c r="L125" s="78">
        <f ca="1">IFERROR((IFERROR((L81-(MAX(0,(K81+L51+L50+L72-L71-L60))*'Get Started'!$E14-L75)),0)+L76)/L60,0)</f>
        <v>0.80723141048634828</v>
      </c>
      <c r="M125" s="78">
        <f ca="1">IFERROR((IFERROR((M81-(MAX(0,(L81+M51+M50+M72-M71-M60))*'Get Started'!$E14-M75)),0)+M76)/M60,0)</f>
        <v>1.3446457329266157</v>
      </c>
      <c r="N125" s="78">
        <f ca="1">IFERROR((IFERROR((N81-(MAX(0,(M81+N51+N50+N72-N71-N60))*'Get Started'!$E14-N75)),0)+N76)/N60,0)</f>
        <v>1.8542051235441281</v>
      </c>
      <c r="O125" s="78">
        <f ca="1">IFERROR((IFERROR((O81-(MAX(0,(N81+O51+O50+O72-O71-O60))*'Get Started'!$E14-O75)),0)+O76)/O60,0)</f>
        <v>2.2872171847819605</v>
      </c>
      <c r="P125" s="78">
        <f ca="1">IFERROR((IFERROR((P81-(MAX(0,(O81+P51+P50+P72-P71-P60))*'Get Started'!$E14-P75)),0)+P76)/P60,0)</f>
        <v>2.7563999999999993</v>
      </c>
      <c r="Q125" s="78">
        <f ca="1">IFERROR((IFERROR((Q81-(MAX(0,(P81+Q51+Q50+Q72-Q71-Q60))*'Get Started'!$E14-Q75)),0)+Q76)/Q60,0)</f>
        <v>2.7563999999999993</v>
      </c>
      <c r="R125" s="78">
        <f ca="1">IFERROR((IFERROR((R81-(MAX(0,(Q81+R51+R50+R72-R71-R60))*'Get Started'!$E14-R75)),0)+R76)/R60,0)</f>
        <v>2.7563999999999993</v>
      </c>
      <c r="S125" s="78">
        <f ca="1">IFERROR((IFERROR((S81-(MAX(0,(R81+S51+S50+S72-S71-S60))*'Get Started'!$E14-S75)),0)+S76)/S60,0)</f>
        <v>2.7563999999999993</v>
      </c>
      <c r="T125" s="78">
        <f ca="1">IFERROR((IFERROR((T81-(MAX(0,(S81+T51+T50+T72-T71-T60))*'Get Started'!$E14-T75)),0)+T76)/T60,0)</f>
        <v>2.7563999999999993</v>
      </c>
      <c r="U125" s="78">
        <f ca="1">IFERROR((IFERROR((U81-(MAX(0,(T81+U51+U50+U72-U71-U60))*'Get Started'!$E14-U75)),0)+U76)/U60,0)</f>
        <v>2.7563999999999993</v>
      </c>
      <c r="V125" s="78">
        <f ca="1">IFERROR((IFERROR((V81-(MAX(0,(U81+V51+V50+V72-V71-V60))*'Get Started'!$E14-V75)),0)+V76)/V60,0)</f>
        <v>2.7563999999999993</v>
      </c>
      <c r="W125" s="78">
        <f ca="1">IFERROR((IFERROR((W81-(MAX(0,(V81+W51+W50+W72-W71-W60))*'Get Started'!$E14-W75)),0)+W76)/W60,0)</f>
        <v>2.7563999999999993</v>
      </c>
      <c r="X125" s="78">
        <f ca="1">IFERROR((IFERROR((X81-(MAX(0,(W81+X51+X50+X72-X71-X60))*'Get Started'!$E14-X75)),0)+X76)/X60,0)</f>
        <v>2.7563999999999993</v>
      </c>
      <c r="Y125" s="78">
        <f ca="1">IFERROR((IFERROR((Y81-(MAX(0,(X81+Y51+Y50+Y72-Y71-Y60))*'Get Started'!$E14-Y75)),0)+Y76)/Y60,0)</f>
        <v>2.7563999999999993</v>
      </c>
      <c r="Z125" s="78">
        <f ca="1">IFERROR((IFERROR((Z81-(MAX(0,(Y81+Z51+Z50+Z72-Z71-Z60))*'Get Started'!$E14-Z75)),0)+Z76)/Z60,0)</f>
        <v>2.7563999999999993</v>
      </c>
    </row>
    <row r="126" spans="1:26" ht="13">
      <c r="C126" s="12"/>
      <c r="D126" s="12"/>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3">
      <c r="B127" s="79" t="str">
        <f>"Waterfall, "&amp;C127&amp;""</f>
        <v>Waterfall, Deal-by-deal with clawback (American)</v>
      </c>
      <c r="C127" s="38" t="s">
        <v>231</v>
      </c>
      <c r="D127" s="12"/>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3">
      <c r="B128" s="12" t="s">
        <v>232</v>
      </c>
      <c r="C128" s="12" t="s">
        <v>233</v>
      </c>
      <c r="D128" s="12" t="s">
        <v>163</v>
      </c>
      <c r="E128" s="26">
        <f t="shared" ref="E128:E135" ca="1" si="97">IF(D128="sum",SUM(G128:Z128),IF(D128="final",Z128,IF(D128="initial",G128,IF(D128="average",AVERAGE(G128:Z128),0))))</f>
        <v>79887499.99999997</v>
      </c>
      <c r="F128" s="65"/>
      <c r="G128" s="33">
        <f t="shared" ref="G128:Z128" ca="1" si="98">IF($E20&gt;0,  MAX(0, MIN(G24, SUM(G22,G24,G26,G27) )), MAX(0,SUM(G22,G23,G24,G26,G27)) )</f>
        <v>0</v>
      </c>
      <c r="H128" s="33">
        <f t="shared" ca="1" si="98"/>
        <v>0</v>
      </c>
      <c r="I128" s="33">
        <f t="shared" ca="1" si="98"/>
        <v>0</v>
      </c>
      <c r="J128" s="33">
        <f t="shared" ca="1" si="98"/>
        <v>481250</v>
      </c>
      <c r="K128" s="33">
        <f t="shared" ca="1" si="98"/>
        <v>3849999.9999999991</v>
      </c>
      <c r="L128" s="33">
        <f t="shared" ca="1" si="98"/>
        <v>3849999.9999999991</v>
      </c>
      <c r="M128" s="33">
        <f t="shared" ca="1" si="98"/>
        <v>19538749.999999993</v>
      </c>
      <c r="N128" s="33">
        <f t="shared" ca="1" si="98"/>
        <v>18287499.999999993</v>
      </c>
      <c r="O128" s="33">
        <f t="shared" ca="1" si="98"/>
        <v>15399999.999999994</v>
      </c>
      <c r="P128" s="33">
        <f t="shared" ca="1" si="98"/>
        <v>18479999.999999996</v>
      </c>
      <c r="Q128" s="33">
        <f t="shared" ca="1" si="98"/>
        <v>0</v>
      </c>
      <c r="R128" s="33">
        <f t="shared" ca="1" si="98"/>
        <v>0</v>
      </c>
      <c r="S128" s="33">
        <f t="shared" ca="1" si="98"/>
        <v>0</v>
      </c>
      <c r="T128" s="33">
        <f t="shared" ca="1" si="98"/>
        <v>0</v>
      </c>
      <c r="U128" s="33">
        <f t="shared" ca="1" si="98"/>
        <v>0</v>
      </c>
      <c r="V128" s="33">
        <f t="shared" ca="1" si="98"/>
        <v>0</v>
      </c>
      <c r="W128" s="33">
        <f t="shared" ca="1" si="98"/>
        <v>0</v>
      </c>
      <c r="X128" s="33">
        <f t="shared" ca="1" si="98"/>
        <v>0</v>
      </c>
      <c r="Y128" s="33">
        <f t="shared" ca="1" si="98"/>
        <v>0</v>
      </c>
      <c r="Z128" s="33">
        <f t="shared" ca="1" si="98"/>
        <v>0</v>
      </c>
    </row>
    <row r="129" spans="1:26" ht="13">
      <c r="A129" s="34"/>
      <c r="B129" s="34" t="s">
        <v>234</v>
      </c>
      <c r="C129" s="34" t="s">
        <v>235</v>
      </c>
      <c r="D129" s="12" t="s">
        <v>163</v>
      </c>
      <c r="E129" s="26">
        <f t="shared" ca="1" si="97"/>
        <v>24999999.999999996</v>
      </c>
      <c r="F129" s="64"/>
      <c r="G129" s="33">
        <f t="shared" ref="G129:Z129" ca="1" si="99">IF(OR($C127="total fund (european)",$C127="Deal-by-deal with clawback (American)"),G48/($E38/$E31)+G49/($E38/$E31),G49/($E38/$E31))</f>
        <v>0</v>
      </c>
      <c r="H129" s="33">
        <f t="shared" ca="1" si="99"/>
        <v>0</v>
      </c>
      <c r="I129" s="33">
        <f t="shared" ca="1" si="99"/>
        <v>3571428.5714285709</v>
      </c>
      <c r="J129" s="33">
        <f t="shared" ca="1" si="99"/>
        <v>4761904.7619047612</v>
      </c>
      <c r="K129" s="33">
        <f t="shared" ca="1" si="99"/>
        <v>5357142.8571428563</v>
      </c>
      <c r="L129" s="33">
        <f t="shared" ca="1" si="99"/>
        <v>6071428.5714285709</v>
      </c>
      <c r="M129" s="33">
        <f t="shared" ca="1" si="99"/>
        <v>2619047.6190476189</v>
      </c>
      <c r="N129" s="33">
        <f t="shared" ca="1" si="99"/>
        <v>1309523.8095238092</v>
      </c>
      <c r="O129" s="33">
        <f t="shared" ca="1" si="99"/>
        <v>595238.09523809503</v>
      </c>
      <c r="P129" s="33">
        <f t="shared" ca="1" si="99"/>
        <v>714285.7142857142</v>
      </c>
      <c r="Q129" s="33">
        <f t="shared" ca="1" si="99"/>
        <v>0</v>
      </c>
      <c r="R129" s="33">
        <f t="shared" ca="1" si="99"/>
        <v>0</v>
      </c>
      <c r="S129" s="33">
        <f t="shared" ca="1" si="99"/>
        <v>0</v>
      </c>
      <c r="T129" s="33">
        <f t="shared" ca="1" si="99"/>
        <v>0</v>
      </c>
      <c r="U129" s="33">
        <f t="shared" ca="1" si="99"/>
        <v>0</v>
      </c>
      <c r="V129" s="33">
        <f t="shared" ca="1" si="99"/>
        <v>0</v>
      </c>
      <c r="W129" s="33">
        <f t="shared" ca="1" si="99"/>
        <v>0</v>
      </c>
      <c r="X129" s="33">
        <f t="shared" ca="1" si="99"/>
        <v>0</v>
      </c>
      <c r="Y129" s="33">
        <f t="shared" ca="1" si="99"/>
        <v>0</v>
      </c>
      <c r="Z129" s="33">
        <f t="shared" ca="1" si="99"/>
        <v>0</v>
      </c>
    </row>
    <row r="130" spans="1:26" ht="13">
      <c r="A130" s="34"/>
      <c r="B130" s="34" t="s">
        <v>236</v>
      </c>
      <c r="C130" s="34" t="s">
        <v>237</v>
      </c>
      <c r="D130" s="34" t="s">
        <v>163</v>
      </c>
      <c r="E130" s="33">
        <f t="shared" ca="1" si="97"/>
        <v>24999999.999999996</v>
      </c>
      <c r="F130" s="64"/>
      <c r="G130" s="33">
        <f t="shared" ref="G130:Z130" ca="1" si="100">IF($C127="total fund (european)",MIN(G84-F132,G128),IF($C127="Deal-by-deal with clawback (American)",MIN(SUM($G129:G129)-F132,G128),G129))</f>
        <v>0</v>
      </c>
      <c r="H130" s="33">
        <f t="shared" ca="1" si="100"/>
        <v>0</v>
      </c>
      <c r="I130" s="33">
        <f t="shared" ca="1" si="100"/>
        <v>0</v>
      </c>
      <c r="J130" s="33">
        <f t="shared" ca="1" si="100"/>
        <v>481250</v>
      </c>
      <c r="K130" s="33">
        <f t="shared" ca="1" si="100"/>
        <v>3849999.9999999991</v>
      </c>
      <c r="L130" s="33">
        <f t="shared" ca="1" si="100"/>
        <v>3849999.9999999991</v>
      </c>
      <c r="M130" s="33">
        <f t="shared" ca="1" si="100"/>
        <v>14199702.380952382</v>
      </c>
      <c r="N130" s="33">
        <f t="shared" ca="1" si="100"/>
        <v>1309523.8095238097</v>
      </c>
      <c r="O130" s="33">
        <f t="shared" ca="1" si="100"/>
        <v>595238.09523809329</v>
      </c>
      <c r="P130" s="33">
        <f t="shared" ca="1" si="100"/>
        <v>714285.71428571269</v>
      </c>
      <c r="Q130" s="33">
        <f t="shared" ca="1" si="100"/>
        <v>0</v>
      </c>
      <c r="R130" s="33">
        <f t="shared" ca="1" si="100"/>
        <v>0</v>
      </c>
      <c r="S130" s="33">
        <f t="shared" ca="1" si="100"/>
        <v>0</v>
      </c>
      <c r="T130" s="33">
        <f t="shared" ca="1" si="100"/>
        <v>0</v>
      </c>
      <c r="U130" s="33">
        <f t="shared" ca="1" si="100"/>
        <v>0</v>
      </c>
      <c r="V130" s="33">
        <f t="shared" ca="1" si="100"/>
        <v>0</v>
      </c>
      <c r="W130" s="33">
        <f t="shared" ca="1" si="100"/>
        <v>0</v>
      </c>
      <c r="X130" s="33">
        <f t="shared" ca="1" si="100"/>
        <v>0</v>
      </c>
      <c r="Y130" s="33">
        <f t="shared" ca="1" si="100"/>
        <v>0</v>
      </c>
      <c r="Z130" s="33">
        <f t="shared" ca="1" si="100"/>
        <v>0</v>
      </c>
    </row>
    <row r="131" spans="1:26" ht="13">
      <c r="A131" s="34"/>
      <c r="B131" s="34" t="s">
        <v>238</v>
      </c>
      <c r="C131" s="34" t="s">
        <v>239</v>
      </c>
      <c r="D131" s="34" t="s">
        <v>163</v>
      </c>
      <c r="E131" s="33">
        <f t="shared" ca="1" si="97"/>
        <v>0</v>
      </c>
      <c r="F131" s="64"/>
      <c r="G131" s="33">
        <f t="shared" ref="G131:Z131" ca="1" si="101">IF(AND(G72=$E72,G49=0),MIN(F75+F74,G84-F132-G130),0)</f>
        <v>0</v>
      </c>
      <c r="H131" s="33">
        <f t="shared" ca="1" si="101"/>
        <v>0</v>
      </c>
      <c r="I131" s="33">
        <f t="shared" ca="1" si="101"/>
        <v>0</v>
      </c>
      <c r="J131" s="33">
        <f t="shared" ca="1" si="101"/>
        <v>0</v>
      </c>
      <c r="K131" s="33">
        <f t="shared" ca="1" si="101"/>
        <v>0</v>
      </c>
      <c r="L131" s="33">
        <f t="shared" ca="1" si="101"/>
        <v>0</v>
      </c>
      <c r="M131" s="33">
        <f t="shared" ca="1" si="101"/>
        <v>0</v>
      </c>
      <c r="N131" s="33">
        <f t="shared" ca="1" si="101"/>
        <v>0</v>
      </c>
      <c r="O131" s="33">
        <f t="shared" ca="1" si="101"/>
        <v>0</v>
      </c>
      <c r="P131" s="33">
        <f t="shared" ca="1" si="101"/>
        <v>0</v>
      </c>
      <c r="Q131" s="33">
        <f t="shared" ca="1" si="101"/>
        <v>0</v>
      </c>
      <c r="R131" s="33">
        <f t="shared" ca="1" si="101"/>
        <v>0</v>
      </c>
      <c r="S131" s="33">
        <f t="shared" ca="1" si="101"/>
        <v>0</v>
      </c>
      <c r="T131" s="33">
        <f t="shared" ca="1" si="101"/>
        <v>0</v>
      </c>
      <c r="U131" s="33">
        <f t="shared" ca="1" si="101"/>
        <v>0</v>
      </c>
      <c r="V131" s="33">
        <f t="shared" ca="1" si="101"/>
        <v>0</v>
      </c>
      <c r="W131" s="33">
        <f t="shared" ca="1" si="101"/>
        <v>0</v>
      </c>
      <c r="X131" s="33">
        <f t="shared" ca="1" si="101"/>
        <v>0</v>
      </c>
      <c r="Y131" s="33">
        <f t="shared" ca="1" si="101"/>
        <v>0</v>
      </c>
      <c r="Z131" s="33">
        <f t="shared" ca="1" si="101"/>
        <v>0</v>
      </c>
    </row>
    <row r="132" spans="1:26" ht="13">
      <c r="A132" s="34"/>
      <c r="B132" s="34" t="s">
        <v>240</v>
      </c>
      <c r="C132" s="34" t="s">
        <v>241</v>
      </c>
      <c r="D132" s="34" t="s">
        <v>173</v>
      </c>
      <c r="E132" s="33">
        <f t="shared" ca="1" si="97"/>
        <v>24999999.999999996</v>
      </c>
      <c r="F132" s="64"/>
      <c r="G132" s="33">
        <f t="shared" ref="G132:Z132" ca="1" si="102">F132+G130+G131</f>
        <v>0</v>
      </c>
      <c r="H132" s="33">
        <f t="shared" ca="1" si="102"/>
        <v>0</v>
      </c>
      <c r="I132" s="33">
        <f t="shared" ca="1" si="102"/>
        <v>0</v>
      </c>
      <c r="J132" s="33">
        <f t="shared" ca="1" si="102"/>
        <v>481250</v>
      </c>
      <c r="K132" s="33">
        <f t="shared" ca="1" si="102"/>
        <v>4331249.9999999991</v>
      </c>
      <c r="L132" s="33">
        <f t="shared" ca="1" si="102"/>
        <v>8181249.9999999981</v>
      </c>
      <c r="M132" s="33">
        <f t="shared" ca="1" si="102"/>
        <v>22380952.380952381</v>
      </c>
      <c r="N132" s="33">
        <f t="shared" ca="1" si="102"/>
        <v>23690476.19047619</v>
      </c>
      <c r="O132" s="33">
        <f t="shared" ca="1" si="102"/>
        <v>24285714.285714284</v>
      </c>
      <c r="P132" s="33">
        <f t="shared" ca="1" si="102"/>
        <v>24999999.999999996</v>
      </c>
      <c r="Q132" s="33">
        <f t="shared" ca="1" si="102"/>
        <v>24999999.999999996</v>
      </c>
      <c r="R132" s="33">
        <f t="shared" ca="1" si="102"/>
        <v>24999999.999999996</v>
      </c>
      <c r="S132" s="33">
        <f t="shared" ca="1" si="102"/>
        <v>24999999.999999996</v>
      </c>
      <c r="T132" s="33">
        <f t="shared" ca="1" si="102"/>
        <v>24999999.999999996</v>
      </c>
      <c r="U132" s="33">
        <f t="shared" ca="1" si="102"/>
        <v>24999999.999999996</v>
      </c>
      <c r="V132" s="33">
        <f t="shared" ca="1" si="102"/>
        <v>24999999.999999996</v>
      </c>
      <c r="W132" s="33">
        <f t="shared" ca="1" si="102"/>
        <v>24999999.999999996</v>
      </c>
      <c r="X132" s="33">
        <f t="shared" ca="1" si="102"/>
        <v>24999999.999999996</v>
      </c>
      <c r="Y132" s="33">
        <f t="shared" ca="1" si="102"/>
        <v>24999999.999999996</v>
      </c>
      <c r="Z132" s="33">
        <f t="shared" ca="1" si="102"/>
        <v>24999999.999999996</v>
      </c>
    </row>
    <row r="133" spans="1:26" ht="13">
      <c r="A133" s="34"/>
      <c r="B133" s="34" t="s">
        <v>242</v>
      </c>
      <c r="C133" s="34" t="s">
        <v>243</v>
      </c>
      <c r="D133" s="34" t="s">
        <v>173</v>
      </c>
      <c r="E133" s="33">
        <f t="shared" ca="1" si="97"/>
        <v>0</v>
      </c>
      <c r="F133" s="64"/>
      <c r="G133" s="33">
        <f t="shared" ref="G133:Z133" ca="1" si="103">G84-G132</f>
        <v>5477499.9999999991</v>
      </c>
      <c r="H133" s="33">
        <f t="shared" ca="1" si="103"/>
        <v>10854999.999999998</v>
      </c>
      <c r="I133" s="33">
        <f t="shared" ca="1" si="103"/>
        <v>16232499.999999996</v>
      </c>
      <c r="J133" s="33">
        <f t="shared" ca="1" si="103"/>
        <v>21128749.999999996</v>
      </c>
      <c r="K133" s="33">
        <f t="shared" ca="1" si="103"/>
        <v>17843749.999999996</v>
      </c>
      <c r="L133" s="33">
        <f t="shared" ca="1" si="103"/>
        <v>14558749.999999998</v>
      </c>
      <c r="M133" s="33">
        <f t="shared" ca="1" si="103"/>
        <v>924047.61904761568</v>
      </c>
      <c r="N133" s="33">
        <f t="shared" ca="1" si="103"/>
        <v>179523.80952380598</v>
      </c>
      <c r="O133" s="33">
        <f t="shared" ca="1" si="103"/>
        <v>149285.71428571269</v>
      </c>
      <c r="P133" s="33">
        <f t="shared" ca="1" si="103"/>
        <v>0</v>
      </c>
      <c r="Q133" s="33">
        <f t="shared" ca="1" si="103"/>
        <v>0</v>
      </c>
      <c r="R133" s="33">
        <f t="shared" ca="1" si="103"/>
        <v>0</v>
      </c>
      <c r="S133" s="33">
        <f t="shared" ca="1" si="103"/>
        <v>0</v>
      </c>
      <c r="T133" s="33">
        <f t="shared" ca="1" si="103"/>
        <v>0</v>
      </c>
      <c r="U133" s="33">
        <f t="shared" ca="1" si="103"/>
        <v>0</v>
      </c>
      <c r="V133" s="33">
        <f t="shared" ca="1" si="103"/>
        <v>0</v>
      </c>
      <c r="W133" s="33">
        <f t="shared" ca="1" si="103"/>
        <v>0</v>
      </c>
      <c r="X133" s="33">
        <f t="shared" ca="1" si="103"/>
        <v>0</v>
      </c>
      <c r="Y133" s="33">
        <f t="shared" ca="1" si="103"/>
        <v>0</v>
      </c>
      <c r="Z133" s="33">
        <f t="shared" ca="1" si="103"/>
        <v>0</v>
      </c>
    </row>
    <row r="134" spans="1:26" ht="13">
      <c r="B134" s="12" t="s">
        <v>244</v>
      </c>
      <c r="C134" s="12" t="s">
        <v>245</v>
      </c>
      <c r="D134" s="12" t="s">
        <v>163</v>
      </c>
      <c r="E134" s="26">
        <f t="shared" ca="1" si="97"/>
        <v>54887499.999999978</v>
      </c>
      <c r="F134" s="26"/>
      <c r="G134" s="33">
        <f t="shared" ref="G134:Z134" ca="1" si="104">G128-G130</f>
        <v>0</v>
      </c>
      <c r="H134" s="33">
        <f t="shared" ca="1" si="104"/>
        <v>0</v>
      </c>
      <c r="I134" s="33">
        <f t="shared" ca="1" si="104"/>
        <v>0</v>
      </c>
      <c r="J134" s="33">
        <f t="shared" ca="1" si="104"/>
        <v>0</v>
      </c>
      <c r="K134" s="33">
        <f t="shared" ca="1" si="104"/>
        <v>0</v>
      </c>
      <c r="L134" s="33">
        <f t="shared" ca="1" si="104"/>
        <v>0</v>
      </c>
      <c r="M134" s="33">
        <f t="shared" ca="1" si="104"/>
        <v>5339047.6190476101</v>
      </c>
      <c r="N134" s="33">
        <f t="shared" ca="1" si="104"/>
        <v>16977976.190476183</v>
      </c>
      <c r="O134" s="33">
        <f t="shared" ca="1" si="104"/>
        <v>14804761.904761901</v>
      </c>
      <c r="P134" s="33">
        <f t="shared" ca="1" si="104"/>
        <v>17765714.285714284</v>
      </c>
      <c r="Q134" s="33">
        <f t="shared" ca="1" si="104"/>
        <v>0</v>
      </c>
      <c r="R134" s="33">
        <f t="shared" ca="1" si="104"/>
        <v>0</v>
      </c>
      <c r="S134" s="33">
        <f t="shared" ca="1" si="104"/>
        <v>0</v>
      </c>
      <c r="T134" s="33">
        <f t="shared" ca="1" si="104"/>
        <v>0</v>
      </c>
      <c r="U134" s="33">
        <f t="shared" ca="1" si="104"/>
        <v>0</v>
      </c>
      <c r="V134" s="33">
        <f t="shared" ca="1" si="104"/>
        <v>0</v>
      </c>
      <c r="W134" s="33">
        <f t="shared" ca="1" si="104"/>
        <v>0</v>
      </c>
      <c r="X134" s="33">
        <f t="shared" ca="1" si="104"/>
        <v>0</v>
      </c>
      <c r="Y134" s="33">
        <f t="shared" ca="1" si="104"/>
        <v>0</v>
      </c>
      <c r="Z134" s="33">
        <f t="shared" ca="1" si="104"/>
        <v>0</v>
      </c>
    </row>
    <row r="135" spans="1:26" ht="13">
      <c r="B135" s="12" t="s">
        <v>146</v>
      </c>
      <c r="C135" s="12" t="s">
        <v>246</v>
      </c>
      <c r="D135" s="12" t="s">
        <v>163</v>
      </c>
      <c r="E135" s="26">
        <f t="shared" ca="1" si="97"/>
        <v>10977499.999999996</v>
      </c>
      <c r="F135" s="26"/>
      <c r="G135" s="33">
        <f ca="1">G134*'Get Started'!$E14-G131</f>
        <v>0</v>
      </c>
      <c r="H135" s="33">
        <f ca="1">H134*'Get Started'!$E14-H131</f>
        <v>0</v>
      </c>
      <c r="I135" s="33">
        <f ca="1">I134*'Get Started'!$E14-I131</f>
        <v>0</v>
      </c>
      <c r="J135" s="33">
        <f ca="1">J134*'Get Started'!$E14-J131</f>
        <v>0</v>
      </c>
      <c r="K135" s="33">
        <f ca="1">K134*'Get Started'!$E14-K131</f>
        <v>0</v>
      </c>
      <c r="L135" s="33">
        <f ca="1">L134*'Get Started'!$E14-L131</f>
        <v>0</v>
      </c>
      <c r="M135" s="33">
        <f ca="1">M134*'Get Started'!$E14-M131</f>
        <v>1067809.5238095222</v>
      </c>
      <c r="N135" s="33">
        <f ca="1">N134*'Get Started'!$E14-N131</f>
        <v>3395595.2380952369</v>
      </c>
      <c r="O135" s="33">
        <f ca="1">O134*'Get Started'!$E14-O131</f>
        <v>2960952.3809523806</v>
      </c>
      <c r="P135" s="33">
        <f ca="1">P134*'Get Started'!$E14-P131</f>
        <v>3553142.8571428568</v>
      </c>
      <c r="Q135" s="33">
        <f ca="1">Q134*'Get Started'!$E14-Q131</f>
        <v>0</v>
      </c>
      <c r="R135" s="33">
        <f ca="1">R134*'Get Started'!$E14-R131</f>
        <v>0</v>
      </c>
      <c r="S135" s="33">
        <f ca="1">S134*'Get Started'!$E14-S131</f>
        <v>0</v>
      </c>
      <c r="T135" s="33">
        <f ca="1">T134*'Get Started'!$E14-T131</f>
        <v>0</v>
      </c>
      <c r="U135" s="33">
        <f ca="1">U134*'Get Started'!$E14-U131</f>
        <v>0</v>
      </c>
      <c r="V135" s="33">
        <f ca="1">V134*'Get Started'!$E14-V131</f>
        <v>0</v>
      </c>
      <c r="W135" s="33">
        <f ca="1">W134*'Get Started'!$E14-W131</f>
        <v>0</v>
      </c>
      <c r="X135" s="33">
        <f ca="1">X134*'Get Started'!$E14-X131</f>
        <v>0</v>
      </c>
      <c r="Y135" s="33">
        <f ca="1">Y134*'Get Started'!$E14-Y131</f>
        <v>0</v>
      </c>
      <c r="Z135" s="33">
        <f ca="1">Z134*'Get Started'!$E14-Z131</f>
        <v>0</v>
      </c>
    </row>
    <row r="136" spans="1:26" ht="13">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3">
      <c r="B137" s="63" t="s">
        <v>247</v>
      </c>
      <c r="C137" s="12"/>
      <c r="D137" s="12"/>
      <c r="E137" s="65"/>
      <c r="F137" s="26"/>
      <c r="G137" s="26"/>
      <c r="H137" s="26"/>
      <c r="I137" s="26"/>
      <c r="J137" s="26"/>
      <c r="K137" s="26"/>
      <c r="L137" s="26"/>
      <c r="M137" s="26"/>
      <c r="N137" s="26"/>
      <c r="O137" s="26"/>
      <c r="P137" s="26"/>
      <c r="Q137" s="26"/>
      <c r="R137" s="26"/>
      <c r="S137" s="26"/>
      <c r="T137" s="26"/>
      <c r="U137" s="26"/>
      <c r="V137" s="26"/>
      <c r="W137" s="26"/>
      <c r="X137" s="26"/>
      <c r="Y137" s="26"/>
      <c r="Z137" s="26"/>
    </row>
    <row r="138" spans="1:26" ht="13">
      <c r="B138" s="12" t="s">
        <v>186</v>
      </c>
      <c r="C138" s="12"/>
      <c r="D138" s="12" t="s">
        <v>163</v>
      </c>
      <c r="E138" s="26">
        <f t="shared" ref="E138:E142" ca="1" si="105">IF(D138="sum",SUM(G138:Z138),IF(D138="final",Z138,IF(D138="initial",G138,IF(D138="average",AVERAGE(G138:Z138),0))))</f>
        <v>-20212499.999999996</v>
      </c>
      <c r="F138" s="70" t="str">
        <f t="shared" ref="F138:F142" si="106">B138</f>
        <v>New Investments</v>
      </c>
      <c r="G138" s="26">
        <f t="shared" ref="G138:Z138" ca="1" si="107">-1*G33</f>
        <v>-4812499.9999999991</v>
      </c>
      <c r="H138" s="26">
        <f t="shared" ca="1" si="107"/>
        <v>-4812499.9999999991</v>
      </c>
      <c r="I138" s="26">
        <f t="shared" ca="1" si="107"/>
        <v>-4812499.9999999991</v>
      </c>
      <c r="J138" s="26">
        <f t="shared" ca="1" si="107"/>
        <v>-5775000</v>
      </c>
      <c r="K138" s="26">
        <f t="shared" ca="1" si="107"/>
        <v>0</v>
      </c>
      <c r="L138" s="26">
        <f t="shared" ca="1" si="107"/>
        <v>0</v>
      </c>
      <c r="M138" s="26">
        <f t="shared" ca="1" si="107"/>
        <v>0</v>
      </c>
      <c r="N138" s="26">
        <f t="shared" ca="1" si="107"/>
        <v>0</v>
      </c>
      <c r="O138" s="26">
        <f t="shared" ca="1" si="107"/>
        <v>0</v>
      </c>
      <c r="P138" s="26">
        <f t="shared" ca="1" si="107"/>
        <v>0</v>
      </c>
      <c r="Q138" s="26">
        <f t="shared" ca="1" si="107"/>
        <v>0</v>
      </c>
      <c r="R138" s="26">
        <f t="shared" ca="1" si="107"/>
        <v>0</v>
      </c>
      <c r="S138" s="26">
        <f t="shared" ca="1" si="107"/>
        <v>0</v>
      </c>
      <c r="T138" s="26">
        <f t="shared" ca="1" si="107"/>
        <v>0</v>
      </c>
      <c r="U138" s="26">
        <f t="shared" ca="1" si="107"/>
        <v>0</v>
      </c>
      <c r="V138" s="26">
        <f t="shared" ca="1" si="107"/>
        <v>0</v>
      </c>
      <c r="W138" s="26">
        <f t="shared" ca="1" si="107"/>
        <v>0</v>
      </c>
      <c r="X138" s="26">
        <f t="shared" ca="1" si="107"/>
        <v>0</v>
      </c>
      <c r="Y138" s="26">
        <f t="shared" ca="1" si="107"/>
        <v>0</v>
      </c>
      <c r="Z138" s="26">
        <f t="shared" ca="1" si="107"/>
        <v>0</v>
      </c>
    </row>
    <row r="139" spans="1:26" ht="13">
      <c r="B139" s="12" t="s">
        <v>191</v>
      </c>
      <c r="C139" s="12"/>
      <c r="D139" s="12" t="s">
        <v>163</v>
      </c>
      <c r="E139" s="26">
        <f t="shared" ca="1" si="105"/>
        <v>0</v>
      </c>
      <c r="F139" s="70" t="str">
        <f t="shared" si="106"/>
        <v>Follow on Investments</v>
      </c>
      <c r="G139" s="26">
        <f t="shared" ref="G139:Z139" si="108">-1*G36</f>
        <v>0</v>
      </c>
      <c r="H139" s="26">
        <f t="shared" ca="1" si="108"/>
        <v>0</v>
      </c>
      <c r="I139" s="26">
        <f t="shared" ca="1" si="108"/>
        <v>0</v>
      </c>
      <c r="J139" s="26">
        <f t="shared" ca="1" si="108"/>
        <v>0</v>
      </c>
      <c r="K139" s="26">
        <f t="shared" ca="1" si="108"/>
        <v>0</v>
      </c>
      <c r="L139" s="26">
        <f t="shared" ca="1" si="108"/>
        <v>0</v>
      </c>
      <c r="M139" s="26">
        <f t="shared" ca="1" si="108"/>
        <v>0</v>
      </c>
      <c r="N139" s="26">
        <f t="shared" ca="1" si="108"/>
        <v>0</v>
      </c>
      <c r="O139" s="26">
        <f t="shared" ca="1" si="108"/>
        <v>0</v>
      </c>
      <c r="P139" s="26">
        <f t="shared" ca="1" si="108"/>
        <v>0</v>
      </c>
      <c r="Q139" s="26">
        <f t="shared" ca="1" si="108"/>
        <v>0</v>
      </c>
      <c r="R139" s="26">
        <f t="shared" ca="1" si="108"/>
        <v>0</v>
      </c>
      <c r="S139" s="26">
        <f t="shared" ca="1" si="108"/>
        <v>0</v>
      </c>
      <c r="T139" s="26">
        <f t="shared" ca="1" si="108"/>
        <v>0</v>
      </c>
      <c r="U139" s="26">
        <f t="shared" ca="1" si="108"/>
        <v>0</v>
      </c>
      <c r="V139" s="26">
        <f t="shared" ca="1" si="108"/>
        <v>0</v>
      </c>
      <c r="W139" s="26">
        <f t="shared" ca="1" si="108"/>
        <v>0</v>
      </c>
      <c r="X139" s="26">
        <f t="shared" ca="1" si="108"/>
        <v>0</v>
      </c>
      <c r="Y139" s="26">
        <f t="shared" ca="1" si="108"/>
        <v>0</v>
      </c>
      <c r="Z139" s="26">
        <f t="shared" ca="1" si="108"/>
        <v>0</v>
      </c>
    </row>
    <row r="140" spans="1:26" ht="13">
      <c r="B140" s="12" t="s">
        <v>181</v>
      </c>
      <c r="C140" s="12"/>
      <c r="D140" s="12" t="s">
        <v>163</v>
      </c>
      <c r="E140" s="26">
        <f t="shared" si="105"/>
        <v>-5750000</v>
      </c>
      <c r="F140" s="70" t="str">
        <f t="shared" si="106"/>
        <v>Fees</v>
      </c>
      <c r="G140" s="26">
        <f t="shared" ref="G140:Z140" si="109">SUM(G39,G40,G41)*-1</f>
        <v>-665000</v>
      </c>
      <c r="H140" s="26">
        <f t="shared" si="109"/>
        <v>-565000</v>
      </c>
      <c r="I140" s="26">
        <f t="shared" si="109"/>
        <v>-565000</v>
      </c>
      <c r="J140" s="26">
        <f t="shared" si="109"/>
        <v>-565000</v>
      </c>
      <c r="K140" s="26">
        <f t="shared" si="109"/>
        <v>-565000</v>
      </c>
      <c r="L140" s="26">
        <f t="shared" si="109"/>
        <v>-565000</v>
      </c>
      <c r="M140" s="26">
        <f t="shared" si="109"/>
        <v>-565000</v>
      </c>
      <c r="N140" s="26">
        <f t="shared" si="109"/>
        <v>-565000</v>
      </c>
      <c r="O140" s="26">
        <f t="shared" si="109"/>
        <v>-565000</v>
      </c>
      <c r="P140" s="26">
        <f t="shared" si="109"/>
        <v>-565000</v>
      </c>
      <c r="Q140" s="26">
        <f t="shared" si="109"/>
        <v>0</v>
      </c>
      <c r="R140" s="26">
        <f t="shared" si="109"/>
        <v>0</v>
      </c>
      <c r="S140" s="26">
        <f t="shared" si="109"/>
        <v>0</v>
      </c>
      <c r="T140" s="26">
        <f t="shared" si="109"/>
        <v>0</v>
      </c>
      <c r="U140" s="26">
        <f t="shared" si="109"/>
        <v>0</v>
      </c>
      <c r="V140" s="26">
        <f t="shared" si="109"/>
        <v>0</v>
      </c>
      <c r="W140" s="26">
        <f t="shared" si="109"/>
        <v>0</v>
      </c>
      <c r="X140" s="26">
        <f t="shared" si="109"/>
        <v>0</v>
      </c>
      <c r="Y140" s="26">
        <f t="shared" si="109"/>
        <v>0</v>
      </c>
      <c r="Z140" s="26">
        <f t="shared" si="109"/>
        <v>0</v>
      </c>
    </row>
    <row r="141" spans="1:26" ht="13">
      <c r="B141" s="12" t="s">
        <v>148</v>
      </c>
      <c r="C141" s="12"/>
      <c r="D141" s="12" t="s">
        <v>163</v>
      </c>
      <c r="E141" s="26">
        <f t="shared" ca="1" si="105"/>
        <v>68909999.99999997</v>
      </c>
      <c r="F141" s="70" t="str">
        <f t="shared" si="106"/>
        <v>Distributions</v>
      </c>
      <c r="G141" s="26">
        <f t="shared" ref="G141:Z141" ca="1" si="110">G47</f>
        <v>0</v>
      </c>
      <c r="H141" s="26">
        <f t="shared" ca="1" si="110"/>
        <v>0</v>
      </c>
      <c r="I141" s="26">
        <f t="shared" ca="1" si="110"/>
        <v>0</v>
      </c>
      <c r="J141" s="26">
        <f t="shared" ca="1" si="110"/>
        <v>481250</v>
      </c>
      <c r="K141" s="26">
        <f t="shared" ca="1" si="110"/>
        <v>3849999.9999999991</v>
      </c>
      <c r="L141" s="26">
        <f t="shared" ca="1" si="110"/>
        <v>3849999.9999999991</v>
      </c>
      <c r="M141" s="26">
        <f t="shared" ca="1" si="110"/>
        <v>18470940.47619047</v>
      </c>
      <c r="N141" s="26">
        <f t="shared" ca="1" si="110"/>
        <v>14891904.761904756</v>
      </c>
      <c r="O141" s="26">
        <f t="shared" ca="1" si="110"/>
        <v>12439047.619047614</v>
      </c>
      <c r="P141" s="26">
        <f t="shared" ca="1" si="110"/>
        <v>14926857.14285714</v>
      </c>
      <c r="Q141" s="26">
        <f t="shared" ca="1" si="110"/>
        <v>0</v>
      </c>
      <c r="R141" s="26">
        <f t="shared" ca="1" si="110"/>
        <v>0</v>
      </c>
      <c r="S141" s="26">
        <f t="shared" ca="1" si="110"/>
        <v>0</v>
      </c>
      <c r="T141" s="26">
        <f t="shared" ca="1" si="110"/>
        <v>0</v>
      </c>
      <c r="U141" s="26">
        <f t="shared" ca="1" si="110"/>
        <v>0</v>
      </c>
      <c r="V141" s="26">
        <f t="shared" ca="1" si="110"/>
        <v>0</v>
      </c>
      <c r="W141" s="26">
        <f t="shared" ca="1" si="110"/>
        <v>0</v>
      </c>
      <c r="X141" s="26">
        <f t="shared" ca="1" si="110"/>
        <v>0</v>
      </c>
      <c r="Y141" s="26">
        <f t="shared" ca="1" si="110"/>
        <v>0</v>
      </c>
      <c r="Z141" s="26">
        <f t="shared" ca="1" si="110"/>
        <v>0</v>
      </c>
    </row>
    <row r="142" spans="1:26" ht="13">
      <c r="B142" s="12" t="s">
        <v>146</v>
      </c>
      <c r="C142" s="12"/>
      <c r="D142" s="12" t="s">
        <v>163</v>
      </c>
      <c r="E142" s="26">
        <f t="shared" ca="1" si="105"/>
        <v>10977499.999999996</v>
      </c>
      <c r="F142" s="70" t="str">
        <f t="shared" si="106"/>
        <v>Carried Interest</v>
      </c>
      <c r="G142" s="26">
        <f t="shared" ref="G142:Z142" ca="1" si="111">G46+G45</f>
        <v>0</v>
      </c>
      <c r="H142" s="26">
        <f t="shared" ca="1" si="111"/>
        <v>0</v>
      </c>
      <c r="I142" s="26">
        <f t="shared" ca="1" si="111"/>
        <v>0</v>
      </c>
      <c r="J142" s="26">
        <f t="shared" ca="1" si="111"/>
        <v>0</v>
      </c>
      <c r="K142" s="26">
        <f t="shared" ca="1" si="111"/>
        <v>0</v>
      </c>
      <c r="L142" s="26">
        <f t="shared" ca="1" si="111"/>
        <v>0</v>
      </c>
      <c r="M142" s="26">
        <f t="shared" ca="1" si="111"/>
        <v>1067809.5238095222</v>
      </c>
      <c r="N142" s="26">
        <f t="shared" ca="1" si="111"/>
        <v>3395595.2380952369</v>
      </c>
      <c r="O142" s="26">
        <f t="shared" ca="1" si="111"/>
        <v>2960952.3809523806</v>
      </c>
      <c r="P142" s="26">
        <f t="shared" ca="1" si="111"/>
        <v>3553142.8571428568</v>
      </c>
      <c r="Q142" s="26">
        <f t="shared" ca="1" si="111"/>
        <v>0</v>
      </c>
      <c r="R142" s="26">
        <f t="shared" ca="1" si="111"/>
        <v>0</v>
      </c>
      <c r="S142" s="26">
        <f t="shared" ca="1" si="111"/>
        <v>0</v>
      </c>
      <c r="T142" s="26">
        <f t="shared" ca="1" si="111"/>
        <v>0</v>
      </c>
      <c r="U142" s="26">
        <f t="shared" ca="1" si="111"/>
        <v>0</v>
      </c>
      <c r="V142" s="26">
        <f t="shared" ca="1" si="111"/>
        <v>0</v>
      </c>
      <c r="W142" s="26">
        <f t="shared" ca="1" si="111"/>
        <v>0</v>
      </c>
      <c r="X142" s="26">
        <f t="shared" ca="1" si="111"/>
        <v>0</v>
      </c>
      <c r="Y142" s="26">
        <f t="shared" ca="1" si="111"/>
        <v>0</v>
      </c>
      <c r="Z142" s="26">
        <f t="shared" ca="1" si="111"/>
        <v>0</v>
      </c>
    </row>
    <row r="144" spans="1:26" ht="13" outlineLevel="1">
      <c r="B144" s="63" t="s">
        <v>248</v>
      </c>
      <c r="C144" s="12"/>
      <c r="D144" s="26"/>
      <c r="E144" s="26"/>
      <c r="F144" s="26"/>
      <c r="G144" s="75"/>
      <c r="H144" s="75"/>
      <c r="I144" s="75"/>
      <c r="J144" s="75"/>
      <c r="K144" s="75"/>
      <c r="L144" s="75"/>
      <c r="M144" s="75"/>
      <c r="N144" s="75"/>
      <c r="O144" s="75"/>
      <c r="P144" s="75"/>
      <c r="Q144" s="75"/>
      <c r="R144" s="75"/>
      <c r="S144" s="75"/>
      <c r="T144" s="75"/>
      <c r="U144" s="75"/>
      <c r="V144" s="75"/>
      <c r="W144" s="75"/>
      <c r="X144" s="75"/>
      <c r="Y144" s="75"/>
      <c r="Z144" s="75"/>
    </row>
    <row r="145" spans="1:26" ht="13" outlineLevel="1">
      <c r="B145" s="34" t="str">
        <f>"Proceeds from investments exited within "&amp;'Get Started'!E$27&amp;" years"</f>
        <v>Proceeds from investments exited within 6 years</v>
      </c>
      <c r="C145" s="12"/>
      <c r="D145" s="12" t="s">
        <v>163</v>
      </c>
      <c r="E145" s="26">
        <f t="shared" ref="E145:E151" ca="1" si="112">IF(D145="sum",SUM(G145:Z145),IF(D145="final",Z145,IF(D145="initial",G145,IF(D145="average",AVERAGE(G145:Z145),0))))</f>
        <v>80849999.99999997</v>
      </c>
      <c r="F145" s="26"/>
      <c r="G145" s="26">
        <f ca="1">IF('Get Started'!$H48&lt;='Get Started'!$E27,IF(AND(G4&lt;'Get Started'!$H48,'Get Started'!$H48&lt;='Get Started'!$E27),0,OFFSET(G37,0,-1*'Get Started'!$H48)*'Get Started'!$E48*'Get Started'!$G48),0)+IF('Get Started'!$H47&lt;='Get Started'!$E27,IF(G4&lt;'Get Started'!$H47,0,OFFSET(G37,0,-1*'Get Started'!$H47)*'Get Started'!$E47*'Get Started'!$G47),0)+IF('Get Started'!$H46&lt;='Get Started'!$E27,IF(G4&lt;'Get Started'!$H46,0,OFFSET(G37,0,-1*'Get Started'!$H46)*'Get Started'!$E46*'Get Started'!$G46),0)+IF('Get Started'!$H45&lt;='Get Started'!$E27,IF(G4&lt;'Get Started'!$H45,0,OFFSET(G37,0,-1*'Get Started'!$H45)*'Get Started'!$E45*'Get Started'!$G45),0)</f>
        <v>0</v>
      </c>
      <c r="H145" s="26">
        <f ca="1">IF('Get Started'!$H48&lt;='Get Started'!$E27,IF(AND(H4&lt;'Get Started'!$H48,'Get Started'!$H48&lt;='Get Started'!$E27),0,OFFSET(H37,0,-1*'Get Started'!$H48)*'Get Started'!$E48*'Get Started'!$G48),0)+IF('Get Started'!$H47&lt;='Get Started'!$E27,IF(H4&lt;'Get Started'!$H47,0,OFFSET(H37,0,-1*'Get Started'!$H47)*'Get Started'!$E47*'Get Started'!$G47),0)+IF('Get Started'!$H46&lt;='Get Started'!$E27,IF(H4&lt;'Get Started'!$H46,0,OFFSET(H37,0,-1*'Get Started'!$H46)*'Get Started'!$E46*'Get Started'!$G46),0)+IF('Get Started'!$H45&lt;='Get Started'!$E27,IF(H4&lt;'Get Started'!$H45,0,OFFSET(H37,0,-1*'Get Started'!$H45)*'Get Started'!$E45*'Get Started'!$G45),0)</f>
        <v>0</v>
      </c>
      <c r="I145" s="26">
        <f ca="1">IF('Get Started'!$H48&lt;='Get Started'!$E27,IF(AND(I4&lt;'Get Started'!$H48,'Get Started'!$H48&lt;='Get Started'!$E27),0,OFFSET(I37,0,-1*'Get Started'!$H48)*'Get Started'!$E48*'Get Started'!$G48),0)+IF('Get Started'!$H47&lt;='Get Started'!$E27,IF(I4&lt;'Get Started'!$H47,0,OFFSET(I37,0,-1*'Get Started'!$H47)*'Get Started'!$E47*'Get Started'!$G47),0)+IF('Get Started'!$H46&lt;='Get Started'!$E27,IF(I4&lt;'Get Started'!$H46,0,OFFSET(I37,0,-1*'Get Started'!$H46)*'Get Started'!$E46*'Get Started'!$G46),0)+IF('Get Started'!$H45&lt;='Get Started'!$E27,IF(I4&lt;'Get Started'!$H45,0,OFFSET(I37,0,-1*'Get Started'!$H45)*'Get Started'!$E45*'Get Started'!$G45),0)</f>
        <v>0</v>
      </c>
      <c r="J145" s="26">
        <f ca="1">IF('Get Started'!$H48&lt;='Get Started'!$E27,IF(AND(J4&lt;'Get Started'!$H48,'Get Started'!$H48&lt;='Get Started'!$E27),0,OFFSET(J37,0,-1*'Get Started'!$H48)*'Get Started'!$E48*'Get Started'!$G48),0)+IF('Get Started'!$H47&lt;='Get Started'!$E27,IF(J4&lt;'Get Started'!$H47,0,OFFSET(J37,0,-1*'Get Started'!$H47)*'Get Started'!$E47*'Get Started'!$G47),0)+IF('Get Started'!$H46&lt;='Get Started'!$E27,IF(J4&lt;'Get Started'!$H46,0,OFFSET(J37,0,-1*'Get Started'!$H46)*'Get Started'!$E46*'Get Started'!$G46),0)+IF('Get Started'!$H45&lt;='Get Started'!$E27,IF(J4&lt;'Get Started'!$H45,0,OFFSET(J37,0,-1*'Get Started'!$H45)*'Get Started'!$E45*'Get Started'!$G45),0)</f>
        <v>1443749.9999999998</v>
      </c>
      <c r="K145" s="26">
        <f ca="1">IF('Get Started'!$H48&lt;='Get Started'!$E27,IF(AND(K4&lt;'Get Started'!$H48,'Get Started'!$H48&lt;='Get Started'!$E27),0,OFFSET(K37,0,-1*'Get Started'!$H48)*'Get Started'!$E48*'Get Started'!$G48),0)+IF('Get Started'!$H47&lt;='Get Started'!$E27,IF(K4&lt;'Get Started'!$H47,0,OFFSET(K37,0,-1*'Get Started'!$H47)*'Get Started'!$E47*'Get Started'!$G47),0)+IF('Get Started'!$H46&lt;='Get Started'!$E27,IF(K4&lt;'Get Started'!$H46,0,OFFSET(K37,0,-1*'Get Started'!$H46)*'Get Started'!$E46*'Get Started'!$G46),0)+IF('Get Started'!$H45&lt;='Get Started'!$E27,IF(K4&lt;'Get Started'!$H45,0,OFFSET(K37,0,-1*'Get Started'!$H45)*'Get Started'!$E45*'Get Started'!$G45),0)</f>
        <v>3849999.9999999991</v>
      </c>
      <c r="L145" s="26">
        <f ca="1">IF('Get Started'!$H48&lt;='Get Started'!$E27,IF(AND(L4&lt;'Get Started'!$H48,'Get Started'!$H48&lt;='Get Started'!$E27),0,OFFSET(L37,0,-1*'Get Started'!$H48)*'Get Started'!$E48*'Get Started'!$G48),0)+IF('Get Started'!$H47&lt;='Get Started'!$E27,IF(L4&lt;'Get Started'!$H47,0,OFFSET(L37,0,-1*'Get Started'!$H47)*'Get Started'!$E47*'Get Started'!$G47),0)+IF('Get Started'!$H46&lt;='Get Started'!$E27,IF(L4&lt;'Get Started'!$H46,0,OFFSET(L37,0,-1*'Get Started'!$H46)*'Get Started'!$E46*'Get Started'!$G46),0)+IF('Get Started'!$H45&lt;='Get Started'!$E27,IF(L4&lt;'Get Started'!$H45,0,OFFSET(L37,0,-1*'Get Started'!$H45)*'Get Started'!$E45*'Get Started'!$G45),0)</f>
        <v>3849999.9999999991</v>
      </c>
      <c r="M145" s="26">
        <f ca="1">IF('Get Started'!$H48&lt;='Get Started'!$E27,IF(AND(M4&lt;'Get Started'!$H48,'Get Started'!$H48&lt;='Get Started'!$E27),0,OFFSET(M37,0,-1*'Get Started'!$H48)*'Get Started'!$E48*'Get Started'!$G48),0)+IF('Get Started'!$H47&lt;='Get Started'!$E27,IF(M4&lt;'Get Started'!$H47,0,OFFSET(M37,0,-1*'Get Started'!$H47)*'Get Started'!$E47*'Get Started'!$G47),0)+IF('Get Started'!$H46&lt;='Get Started'!$E27,IF(M4&lt;'Get Started'!$H46,0,OFFSET(M37,0,-1*'Get Started'!$H46)*'Get Started'!$E46*'Get Started'!$G46),0)+IF('Get Started'!$H45&lt;='Get Started'!$E27,IF(M4&lt;'Get Started'!$H45,0,OFFSET(M37,0,-1*'Get Started'!$H45)*'Get Started'!$E45*'Get Started'!$G45),0)</f>
        <v>19538749.999999993</v>
      </c>
      <c r="N145" s="26">
        <f ca="1">IF('Get Started'!$H48&lt;='Get Started'!$E27,IF(AND(N4&lt;'Get Started'!$H48,'Get Started'!$H48&lt;='Get Started'!$E27),0,OFFSET(N37,0,-1*'Get Started'!$H48)*'Get Started'!$E48*'Get Started'!$G48),0)+IF('Get Started'!$H47&lt;='Get Started'!$E27,IF(N4&lt;'Get Started'!$H47,0,OFFSET(N37,0,-1*'Get Started'!$H47)*'Get Started'!$E47*'Get Started'!$G47),0)+IF('Get Started'!$H46&lt;='Get Started'!$E27,IF(N4&lt;'Get Started'!$H46,0,OFFSET(N37,0,-1*'Get Started'!$H46)*'Get Started'!$E46*'Get Started'!$G46),0)+IF('Get Started'!$H45&lt;='Get Started'!$E27,IF(N4&lt;'Get Started'!$H45,0,OFFSET(N37,0,-1*'Get Started'!$H45)*'Get Started'!$E45*'Get Started'!$G45),0)</f>
        <v>18287499.999999993</v>
      </c>
      <c r="O145" s="26">
        <f ca="1">IF('Get Started'!$H48&lt;='Get Started'!$E27,IF(AND(O4&lt;'Get Started'!$H48,'Get Started'!$H48&lt;='Get Started'!$E27),0,OFFSET(O37,0,-1*'Get Started'!$H48)*'Get Started'!$E48*'Get Started'!$G48),0)+IF('Get Started'!$H47&lt;='Get Started'!$E27,IF(O4&lt;'Get Started'!$H47,0,OFFSET(O37,0,-1*'Get Started'!$H47)*'Get Started'!$E47*'Get Started'!$G47),0)+IF('Get Started'!$H46&lt;='Get Started'!$E27,IF(O4&lt;'Get Started'!$H46,0,OFFSET(O37,0,-1*'Get Started'!$H46)*'Get Started'!$E46*'Get Started'!$G46),0)+IF('Get Started'!$H45&lt;='Get Started'!$E27,IF(O4&lt;'Get Started'!$H45,0,OFFSET(O37,0,-1*'Get Started'!$H45)*'Get Started'!$E45*'Get Started'!$G45),0)</f>
        <v>15399999.999999994</v>
      </c>
      <c r="P145" s="26">
        <f ca="1">IF('Get Started'!$H48&lt;='Get Started'!$E27,IF(AND(P4&lt;'Get Started'!$H48,'Get Started'!$H48&lt;='Get Started'!$E27),0,OFFSET(P37,0,-1*'Get Started'!$H48)*'Get Started'!$E48*'Get Started'!$G48),0)+IF('Get Started'!$H47&lt;='Get Started'!$E27,IF(P4&lt;'Get Started'!$H47,0,OFFSET(P37,0,-1*'Get Started'!$H47)*'Get Started'!$E47*'Get Started'!$G47),0)+IF('Get Started'!$H46&lt;='Get Started'!$E27,IF(P4&lt;'Get Started'!$H46,0,OFFSET(P37,0,-1*'Get Started'!$H46)*'Get Started'!$E46*'Get Started'!$G46),0)+IF('Get Started'!$H45&lt;='Get Started'!$E27,IF(P4&lt;'Get Started'!$H45,0,OFFSET(P37,0,-1*'Get Started'!$H45)*'Get Started'!$E45*'Get Started'!$G45),0)</f>
        <v>18479999.999999996</v>
      </c>
      <c r="Q145" s="26">
        <f ca="1">IF('Get Started'!$H48&lt;='Get Started'!$E27,IF(AND(Q4&lt;'Get Started'!$H48,'Get Started'!$H48&lt;='Get Started'!$E27),0,OFFSET(Q37,0,-1*'Get Started'!$H48)*'Get Started'!$E48*'Get Started'!$G48),0)+IF('Get Started'!$H47&lt;='Get Started'!$E27,IF(Q4&lt;'Get Started'!$H47,0,OFFSET(Q37,0,-1*'Get Started'!$H47)*'Get Started'!$E47*'Get Started'!$G47),0)+IF('Get Started'!$H46&lt;='Get Started'!$E27,IF(Q4&lt;'Get Started'!$H46,0,OFFSET(Q37,0,-1*'Get Started'!$H46)*'Get Started'!$E46*'Get Started'!$G46),0)+IF('Get Started'!$H45&lt;='Get Started'!$E27,IF(Q4&lt;'Get Started'!$H45,0,OFFSET(Q37,0,-1*'Get Started'!$H45)*'Get Started'!$E45*'Get Started'!$G45),0)</f>
        <v>0</v>
      </c>
      <c r="R145" s="26">
        <f ca="1">IF('Get Started'!$H48&lt;='Get Started'!$E27,IF(AND(R4&lt;'Get Started'!$H48,'Get Started'!$H48&lt;='Get Started'!$E27),0,OFFSET(R37,0,-1*'Get Started'!$H48)*'Get Started'!$E48*'Get Started'!$G48),0)+IF('Get Started'!$H47&lt;='Get Started'!$E27,IF(R4&lt;'Get Started'!$H47,0,OFFSET(R37,0,-1*'Get Started'!$H47)*'Get Started'!$E47*'Get Started'!$G47),0)+IF('Get Started'!$H46&lt;='Get Started'!$E27,IF(R4&lt;'Get Started'!$H46,0,OFFSET(R37,0,-1*'Get Started'!$H46)*'Get Started'!$E46*'Get Started'!$G46),0)+IF('Get Started'!$H45&lt;='Get Started'!$E27,IF(R4&lt;'Get Started'!$H45,0,OFFSET(R37,0,-1*'Get Started'!$H45)*'Get Started'!$E45*'Get Started'!$G45),0)</f>
        <v>0</v>
      </c>
      <c r="S145" s="26">
        <f ca="1">IF('Get Started'!$H48&lt;='Get Started'!$E27,IF(AND(S4&lt;'Get Started'!$H48,'Get Started'!$H48&lt;='Get Started'!$E27),0,OFFSET(S37,0,-1*'Get Started'!$H48)*'Get Started'!$E48*'Get Started'!$G48),0)+IF('Get Started'!$H47&lt;='Get Started'!$E27,IF(S4&lt;'Get Started'!$H47,0,OFFSET(S37,0,-1*'Get Started'!$H47)*'Get Started'!$E47*'Get Started'!$G47),0)+IF('Get Started'!$H46&lt;='Get Started'!$E27,IF(S4&lt;'Get Started'!$H46,0,OFFSET(S37,0,-1*'Get Started'!$H46)*'Get Started'!$E46*'Get Started'!$G46),0)+IF('Get Started'!$H45&lt;='Get Started'!$E27,IF(S4&lt;'Get Started'!$H45,0,OFFSET(S37,0,-1*'Get Started'!$H45)*'Get Started'!$E45*'Get Started'!$G45),0)</f>
        <v>0</v>
      </c>
      <c r="T145" s="26">
        <f ca="1">IF('Get Started'!$H48&lt;='Get Started'!$E27,IF(AND(T4&lt;'Get Started'!$H48,'Get Started'!$H48&lt;='Get Started'!$E27),0,OFFSET(T37,0,-1*'Get Started'!$H48)*'Get Started'!$E48*'Get Started'!$G48),0)+IF('Get Started'!$H47&lt;='Get Started'!$E27,IF(T4&lt;'Get Started'!$H47,0,OFFSET(T37,0,-1*'Get Started'!$H47)*'Get Started'!$E47*'Get Started'!$G47),0)+IF('Get Started'!$H46&lt;='Get Started'!$E27,IF(T4&lt;'Get Started'!$H46,0,OFFSET(T37,0,-1*'Get Started'!$H46)*'Get Started'!$E46*'Get Started'!$G46),0)+IF('Get Started'!$H45&lt;='Get Started'!$E27,IF(T4&lt;'Get Started'!$H45,0,OFFSET(T37,0,-1*'Get Started'!$H45)*'Get Started'!$E45*'Get Started'!$G45),0)</f>
        <v>0</v>
      </c>
      <c r="U145" s="26">
        <f ca="1">IF('Get Started'!$H48&lt;='Get Started'!$E27,IF(AND(U4&lt;'Get Started'!$H48,'Get Started'!$H48&lt;='Get Started'!$E27),0,OFFSET(U37,0,-1*'Get Started'!$H48)*'Get Started'!$E48*'Get Started'!$G48),0)+IF('Get Started'!$H47&lt;='Get Started'!$E27,IF(U4&lt;'Get Started'!$H47,0,OFFSET(U37,0,-1*'Get Started'!$H47)*'Get Started'!$E47*'Get Started'!$G47),0)+IF('Get Started'!$H46&lt;='Get Started'!$E27,IF(U4&lt;'Get Started'!$H46,0,OFFSET(U37,0,-1*'Get Started'!$H46)*'Get Started'!$E46*'Get Started'!$G46),0)+IF('Get Started'!$H45&lt;='Get Started'!$E27,IF(U4&lt;'Get Started'!$H45,0,OFFSET(U37,0,-1*'Get Started'!$H45)*'Get Started'!$E45*'Get Started'!$G45),0)</f>
        <v>0</v>
      </c>
      <c r="V145" s="26">
        <f ca="1">IF('Get Started'!$H48&lt;='Get Started'!$E27,IF(AND(V4&lt;'Get Started'!$H48,'Get Started'!$H48&lt;='Get Started'!$E27),0,OFFSET(V37,0,-1*'Get Started'!$H48)*'Get Started'!$E48*'Get Started'!$G48),0)+IF('Get Started'!$H47&lt;='Get Started'!$E27,IF(V4&lt;'Get Started'!$H47,0,OFFSET(V37,0,-1*'Get Started'!$H47)*'Get Started'!$E47*'Get Started'!$G47),0)+IF('Get Started'!$H46&lt;='Get Started'!$E27,IF(V4&lt;'Get Started'!$H46,0,OFFSET(V37,0,-1*'Get Started'!$H46)*'Get Started'!$E46*'Get Started'!$G46),0)+IF('Get Started'!$H45&lt;='Get Started'!$E27,IF(V4&lt;'Get Started'!$H45,0,OFFSET(V37,0,-1*'Get Started'!$H45)*'Get Started'!$E45*'Get Started'!$G45),0)</f>
        <v>0</v>
      </c>
      <c r="W145" s="26">
        <f ca="1">IF('Get Started'!$H48&lt;='Get Started'!$E27,IF(AND(W4&lt;'Get Started'!$H48,'Get Started'!$H48&lt;='Get Started'!$E27),0,OFFSET(W37,0,-1*'Get Started'!$H48)*'Get Started'!$E48*'Get Started'!$G48),0)+IF('Get Started'!$H47&lt;='Get Started'!$E27,IF(W4&lt;'Get Started'!$H47,0,OFFSET(W37,0,-1*'Get Started'!$H47)*'Get Started'!$E47*'Get Started'!$G47),0)+IF('Get Started'!$H46&lt;='Get Started'!$E27,IF(W4&lt;'Get Started'!$H46,0,OFFSET(W37,0,-1*'Get Started'!$H46)*'Get Started'!$E46*'Get Started'!$G46),0)+IF('Get Started'!$H45&lt;='Get Started'!$E27,IF(W4&lt;'Get Started'!$H45,0,OFFSET(W37,0,-1*'Get Started'!$H45)*'Get Started'!$E45*'Get Started'!$G45),0)</f>
        <v>0</v>
      </c>
      <c r="X145" s="26">
        <f ca="1">IF('Get Started'!$H48&lt;='Get Started'!$E27,IF(AND(X4&lt;'Get Started'!$H48,'Get Started'!$H48&lt;='Get Started'!$E27),0,OFFSET(X37,0,-1*'Get Started'!$H48)*'Get Started'!$E48*'Get Started'!$G48),0)+IF('Get Started'!$H47&lt;='Get Started'!$E27,IF(X4&lt;'Get Started'!$H47,0,OFFSET(X37,0,-1*'Get Started'!$H47)*'Get Started'!$E47*'Get Started'!$G47),0)+IF('Get Started'!$H46&lt;='Get Started'!$E27,IF(X4&lt;'Get Started'!$H46,0,OFFSET(X37,0,-1*'Get Started'!$H46)*'Get Started'!$E46*'Get Started'!$G46),0)+IF('Get Started'!$H45&lt;='Get Started'!$E27,IF(X4&lt;'Get Started'!$H45,0,OFFSET(X37,0,-1*'Get Started'!$H45)*'Get Started'!$E45*'Get Started'!$G45),0)</f>
        <v>0</v>
      </c>
      <c r="Y145" s="26">
        <f ca="1">IF('Get Started'!$H48&lt;='Get Started'!$E27,IF(AND(Y4&lt;'Get Started'!$H48,'Get Started'!$H48&lt;='Get Started'!$E27),0,OFFSET(Y37,0,-1*'Get Started'!$H48)*'Get Started'!$E48*'Get Started'!$G48),0)+IF('Get Started'!$H47&lt;='Get Started'!$E27,IF(Y4&lt;'Get Started'!$H47,0,OFFSET(Y37,0,-1*'Get Started'!$H47)*'Get Started'!$E47*'Get Started'!$G47),0)+IF('Get Started'!$H46&lt;='Get Started'!$E27,IF(Y4&lt;'Get Started'!$H46,0,OFFSET(Y37,0,-1*'Get Started'!$H46)*'Get Started'!$E46*'Get Started'!$G46),0)+IF('Get Started'!$H45&lt;='Get Started'!$E27,IF(Y4&lt;'Get Started'!$H45,0,OFFSET(Y37,0,-1*'Get Started'!$H45)*'Get Started'!$E45*'Get Started'!$G45),0)</f>
        <v>0</v>
      </c>
      <c r="Z145" s="26">
        <f ca="1">IF('Get Started'!$H48&lt;='Get Started'!$E27,IF(AND(Z4&lt;'Get Started'!$H48,'Get Started'!$H48&lt;='Get Started'!$E27),0,OFFSET(Z37,0,-1*'Get Started'!$H48)*'Get Started'!$E48*'Get Started'!$G48),0)+IF('Get Started'!$H47&lt;='Get Started'!$E27,IF(Z4&lt;'Get Started'!$H47,0,OFFSET(Z37,0,-1*'Get Started'!$H47)*'Get Started'!$E47*'Get Started'!$G47),0)+IF('Get Started'!$H46&lt;='Get Started'!$E27,IF(Z4&lt;'Get Started'!$H46,0,OFFSET(Z37,0,-1*'Get Started'!$H46)*'Get Started'!$E46*'Get Started'!$G46),0)+IF('Get Started'!$H45&lt;='Get Started'!$E27,IF(Z4&lt;'Get Started'!$H45,0,OFFSET(Z37,0,-1*'Get Started'!$H45)*'Get Started'!$E45*'Get Started'!$G45),0)</f>
        <v>0</v>
      </c>
    </row>
    <row r="146" spans="1:26" ht="13" outlineLevel="1">
      <c r="B146" s="34" t="str">
        <f>"Cost basis of investments exited within "&amp;'Get Started'!E$27&amp;" years"</f>
        <v>Cost basis of investments exited within 6 years</v>
      </c>
      <c r="C146" s="12"/>
      <c r="D146" s="12" t="s">
        <v>163</v>
      </c>
      <c r="E146" s="26">
        <f t="shared" ca="1" si="112"/>
        <v>10499999.999999998</v>
      </c>
      <c r="F146" s="65"/>
      <c r="G146" s="26">
        <f t="shared" ref="G146:Z146" ca="1" si="113">IFERROR(G147/(($E30-$E39-$E40-$E41)/$E30),0)</f>
        <v>0</v>
      </c>
      <c r="H146" s="26">
        <f t="shared" ca="1" si="113"/>
        <v>0</v>
      </c>
      <c r="I146" s="26">
        <f t="shared" ca="1" si="113"/>
        <v>0</v>
      </c>
      <c r="J146" s="26">
        <f t="shared" ca="1" si="113"/>
        <v>1249999.9999999998</v>
      </c>
      <c r="K146" s="26">
        <f t="shared" ca="1" si="113"/>
        <v>1874999.9999999998</v>
      </c>
      <c r="L146" s="26">
        <f t="shared" ca="1" si="113"/>
        <v>1874999.9999999998</v>
      </c>
      <c r="M146" s="26">
        <f t="shared" ca="1" si="113"/>
        <v>2750000</v>
      </c>
      <c r="N146" s="26">
        <f t="shared" ca="1" si="113"/>
        <v>1374999.9999999998</v>
      </c>
      <c r="O146" s="26">
        <f t="shared" ca="1" si="113"/>
        <v>624999.99999999977</v>
      </c>
      <c r="P146" s="26">
        <f t="shared" ca="1" si="113"/>
        <v>749999.99999999988</v>
      </c>
      <c r="Q146" s="26">
        <f t="shared" ca="1" si="113"/>
        <v>0</v>
      </c>
      <c r="R146" s="26">
        <f t="shared" ca="1" si="113"/>
        <v>0</v>
      </c>
      <c r="S146" s="26">
        <f t="shared" ca="1" si="113"/>
        <v>0</v>
      </c>
      <c r="T146" s="26">
        <f t="shared" ca="1" si="113"/>
        <v>0</v>
      </c>
      <c r="U146" s="26">
        <f t="shared" ca="1" si="113"/>
        <v>0</v>
      </c>
      <c r="V146" s="26">
        <f t="shared" ca="1" si="113"/>
        <v>0</v>
      </c>
      <c r="W146" s="26">
        <f t="shared" ca="1" si="113"/>
        <v>0</v>
      </c>
      <c r="X146" s="26">
        <f t="shared" ca="1" si="113"/>
        <v>0</v>
      </c>
      <c r="Y146" s="26">
        <f t="shared" ca="1" si="113"/>
        <v>0</v>
      </c>
      <c r="Z146" s="26">
        <f t="shared" ca="1" si="113"/>
        <v>0</v>
      </c>
    </row>
    <row r="147" spans="1:26" ht="13" outlineLevel="1">
      <c r="B147" s="34" t="str">
        <f>"Invested capital from investments exited within "&amp;'Get Started'!E$27&amp;" years"</f>
        <v>Invested capital from investments exited within 6 years</v>
      </c>
      <c r="C147" s="12"/>
      <c r="D147" s="12" t="s">
        <v>163</v>
      </c>
      <c r="E147" s="26">
        <f t="shared" ca="1" si="112"/>
        <v>8084999.9999999991</v>
      </c>
      <c r="F147" s="65"/>
      <c r="G147" s="26">
        <f ca="1">IF(AND('Get Started'!$H48&lt;='Get Started'!$E27,'Get Started'!$G48&lt;&gt;0),IF(AND(G4&lt;'Get Started'!$H48,'Get Started'!$H48&lt;='Get Started'!$E27),0,OFFSET(G37,0,-1*'Get Started'!$H48)*'Get Started'!$E48),0)+IF(AND('Get Started'!$H47&lt;='Get Started'!$E27,'Get Started'!$G47&lt;&gt;0),IF(G4&lt;'Get Started'!$H47,0,OFFSET(G37,0,-1*'Get Started'!$H47)*'Get Started'!$E47),0)+IF(AND('Get Started'!$H46&lt;='Get Started'!$E27,'Get Started'!$G46&lt;&gt;0),IF(G4&lt;'Get Started'!$H46,0,OFFSET(G37,0,-1*'Get Started'!$H46)*'Get Started'!$E46),0)+IF(AND('Get Started'!$H45&lt;='Get Started'!$E27,'Get Started'!$G45&lt;&gt;0),IF(G4&lt;'Get Started'!$H45,0,OFFSET(G37,0,-1*'Get Started'!$H45)*'Get Started'!$E45*'Get Started'!$G45),0)</f>
        <v>0</v>
      </c>
      <c r="H147" s="26">
        <f ca="1">IF(AND('Get Started'!$H48&lt;='Get Started'!$E27,'Get Started'!$G48&lt;&gt;0),IF(AND(H4&lt;'Get Started'!$H48,'Get Started'!$H48&lt;='Get Started'!$E27),0,OFFSET(H37,0,-1*'Get Started'!$H48)*'Get Started'!$E48),0)+IF(AND('Get Started'!$H47&lt;='Get Started'!$E27,'Get Started'!$G47&lt;&gt;0),IF(H4&lt;'Get Started'!$H47,0,OFFSET(H37,0,-1*'Get Started'!$H47)*'Get Started'!$E47),0)+IF(AND('Get Started'!$H46&lt;='Get Started'!$E27,'Get Started'!$G46&lt;&gt;0),IF(H4&lt;'Get Started'!$H46,0,OFFSET(H37,0,-1*'Get Started'!$H46)*'Get Started'!$E46),0)+IF(AND('Get Started'!$H45&lt;='Get Started'!$E27,'Get Started'!$G45&lt;&gt;0),IF(H4&lt;'Get Started'!$H45,0,OFFSET(H37,0,-1*'Get Started'!$H45)*'Get Started'!$E45*'Get Started'!$G45),0)</f>
        <v>0</v>
      </c>
      <c r="I147" s="26">
        <f ca="1">IF(AND('Get Started'!$H48&lt;='Get Started'!$E27,'Get Started'!$G48&lt;&gt;0),IF(AND(I4&lt;'Get Started'!$H48,'Get Started'!$H48&lt;='Get Started'!$E27),0,OFFSET(I37,0,-1*'Get Started'!$H48)*'Get Started'!$E48),0)+IF(AND('Get Started'!$H47&lt;='Get Started'!$E27,'Get Started'!$G47&lt;&gt;0),IF(I4&lt;'Get Started'!$H47,0,OFFSET(I37,0,-1*'Get Started'!$H47)*'Get Started'!$E47),0)+IF(AND('Get Started'!$H46&lt;='Get Started'!$E27,'Get Started'!$G46&lt;&gt;0),IF(I4&lt;'Get Started'!$H46,0,OFFSET(I37,0,-1*'Get Started'!$H46)*'Get Started'!$E46),0)+IF(AND('Get Started'!$H45&lt;='Get Started'!$E27,'Get Started'!$G45&lt;&gt;0),IF(I4&lt;'Get Started'!$H45,0,OFFSET(I37,0,-1*'Get Started'!$H45)*'Get Started'!$E45*'Get Started'!$G45),0)</f>
        <v>0</v>
      </c>
      <c r="J147" s="26">
        <f ca="1">IF(AND('Get Started'!$H48&lt;='Get Started'!$E27,'Get Started'!$G48&lt;&gt;0),IF(AND(J4&lt;'Get Started'!$H48,'Get Started'!$H48&lt;='Get Started'!$E27),0,OFFSET(J37,0,-1*'Get Started'!$H48)*'Get Started'!$E48),0)+IF(AND('Get Started'!$H47&lt;='Get Started'!$E27,'Get Started'!$G47&lt;&gt;0),IF(J4&lt;'Get Started'!$H47,0,OFFSET(J37,0,-1*'Get Started'!$H47)*'Get Started'!$E47),0)+IF(AND('Get Started'!$H46&lt;='Get Started'!$E27,'Get Started'!$G46&lt;&gt;0),IF(J4&lt;'Get Started'!$H46,0,OFFSET(J37,0,-1*'Get Started'!$H46)*'Get Started'!$E46),0)+IF(AND('Get Started'!$H45&lt;='Get Started'!$E27,'Get Started'!$G45&lt;&gt;0),IF(J4&lt;'Get Started'!$H45,0,OFFSET(J37,0,-1*'Get Started'!$H45)*'Get Started'!$E45*'Get Started'!$G45),0)</f>
        <v>962499.99999999988</v>
      </c>
      <c r="K147" s="26">
        <f ca="1">IF(AND('Get Started'!$H48&lt;='Get Started'!$E27,'Get Started'!$G48&lt;&gt;0),IF(AND(K4&lt;'Get Started'!$H48,'Get Started'!$H48&lt;='Get Started'!$E27),0,OFFSET(K37,0,-1*'Get Started'!$H48)*'Get Started'!$E48),0)+IF(AND('Get Started'!$H47&lt;='Get Started'!$E27,'Get Started'!$G47&lt;&gt;0),IF(K4&lt;'Get Started'!$H47,0,OFFSET(K37,0,-1*'Get Started'!$H47)*'Get Started'!$E47),0)+IF(AND('Get Started'!$H46&lt;='Get Started'!$E27,'Get Started'!$G46&lt;&gt;0),IF(K4&lt;'Get Started'!$H46,0,OFFSET(K37,0,-1*'Get Started'!$H46)*'Get Started'!$E46),0)+IF(AND('Get Started'!$H45&lt;='Get Started'!$E27,'Get Started'!$G45&lt;&gt;0),IF(K4&lt;'Get Started'!$H45,0,OFFSET(K37,0,-1*'Get Started'!$H45)*'Get Started'!$E45*'Get Started'!$G45),0)</f>
        <v>1443749.9999999998</v>
      </c>
      <c r="L147" s="26">
        <f ca="1">IF(AND('Get Started'!$H48&lt;='Get Started'!$E27,'Get Started'!$G48&lt;&gt;0),IF(AND(L4&lt;'Get Started'!$H48,'Get Started'!$H48&lt;='Get Started'!$E27),0,OFFSET(L37,0,-1*'Get Started'!$H48)*'Get Started'!$E48),0)+IF(AND('Get Started'!$H47&lt;='Get Started'!$E27,'Get Started'!$G47&lt;&gt;0),IF(L4&lt;'Get Started'!$H47,0,OFFSET(L37,0,-1*'Get Started'!$H47)*'Get Started'!$E47),0)+IF(AND('Get Started'!$H46&lt;='Get Started'!$E27,'Get Started'!$G46&lt;&gt;0),IF(L4&lt;'Get Started'!$H46,0,OFFSET(L37,0,-1*'Get Started'!$H46)*'Get Started'!$E46),0)+IF(AND('Get Started'!$H45&lt;='Get Started'!$E27,'Get Started'!$G45&lt;&gt;0),IF(L4&lt;'Get Started'!$H45,0,OFFSET(L37,0,-1*'Get Started'!$H45)*'Get Started'!$E45*'Get Started'!$G45),0)</f>
        <v>1443749.9999999998</v>
      </c>
      <c r="M147" s="26">
        <f ca="1">IF(AND('Get Started'!$H48&lt;='Get Started'!$E27,'Get Started'!$G48&lt;&gt;0),IF(AND(M4&lt;'Get Started'!$H48,'Get Started'!$H48&lt;='Get Started'!$E27),0,OFFSET(M37,0,-1*'Get Started'!$H48)*'Get Started'!$E48),0)+IF(AND('Get Started'!$H47&lt;='Get Started'!$E27,'Get Started'!$G47&lt;&gt;0),IF(M4&lt;'Get Started'!$H47,0,OFFSET(M37,0,-1*'Get Started'!$H47)*'Get Started'!$E47),0)+IF(AND('Get Started'!$H46&lt;='Get Started'!$E27,'Get Started'!$G46&lt;&gt;0),IF(M4&lt;'Get Started'!$H46,0,OFFSET(M37,0,-1*'Get Started'!$H46)*'Get Started'!$E46),0)+IF(AND('Get Started'!$H45&lt;='Get Started'!$E27,'Get Started'!$G45&lt;&gt;0),IF(M4&lt;'Get Started'!$H45,0,OFFSET(M37,0,-1*'Get Started'!$H45)*'Get Started'!$E45*'Get Started'!$G45),0)</f>
        <v>2117500</v>
      </c>
      <c r="N147" s="26">
        <f ca="1">IF(AND('Get Started'!$H48&lt;='Get Started'!$E27,'Get Started'!$G48&lt;&gt;0),IF(AND(N4&lt;'Get Started'!$H48,'Get Started'!$H48&lt;='Get Started'!$E27),0,OFFSET(N37,0,-1*'Get Started'!$H48)*'Get Started'!$E48),0)+IF(AND('Get Started'!$H47&lt;='Get Started'!$E27,'Get Started'!$G47&lt;&gt;0),IF(N4&lt;'Get Started'!$H47,0,OFFSET(N37,0,-1*'Get Started'!$H47)*'Get Started'!$E47),0)+IF(AND('Get Started'!$H46&lt;='Get Started'!$E27,'Get Started'!$G46&lt;&gt;0),IF(N4&lt;'Get Started'!$H46,0,OFFSET(N37,0,-1*'Get Started'!$H46)*'Get Started'!$E46),0)+IF(AND('Get Started'!$H45&lt;='Get Started'!$E27,'Get Started'!$G45&lt;&gt;0),IF(N4&lt;'Get Started'!$H45,0,OFFSET(N37,0,-1*'Get Started'!$H45)*'Get Started'!$E45*'Get Started'!$G45),0)</f>
        <v>1058749.9999999998</v>
      </c>
      <c r="O147" s="26">
        <f ca="1">IF(AND('Get Started'!$H48&lt;='Get Started'!$E27,'Get Started'!$G48&lt;&gt;0),IF(AND(O4&lt;'Get Started'!$H48,'Get Started'!$H48&lt;='Get Started'!$E27),0,OFFSET(O37,0,-1*'Get Started'!$H48)*'Get Started'!$E48),0)+IF(AND('Get Started'!$H47&lt;='Get Started'!$E27,'Get Started'!$G47&lt;&gt;0),IF(O4&lt;'Get Started'!$H47,0,OFFSET(O37,0,-1*'Get Started'!$H47)*'Get Started'!$E47),0)+IF(AND('Get Started'!$H46&lt;='Get Started'!$E27,'Get Started'!$G46&lt;&gt;0),IF(O4&lt;'Get Started'!$H46,0,OFFSET(O37,0,-1*'Get Started'!$H46)*'Get Started'!$E46),0)+IF(AND('Get Started'!$H45&lt;='Get Started'!$E27,'Get Started'!$G45&lt;&gt;0),IF(O4&lt;'Get Started'!$H45,0,OFFSET(O37,0,-1*'Get Started'!$H45)*'Get Started'!$E45*'Get Started'!$G45),0)</f>
        <v>481249.99999999983</v>
      </c>
      <c r="P147" s="26">
        <f ca="1">IF(AND('Get Started'!$H48&lt;='Get Started'!$E27,'Get Started'!$G48&lt;&gt;0),IF(AND(P4&lt;'Get Started'!$H48,'Get Started'!$H48&lt;='Get Started'!$E27),0,OFFSET(P37,0,-1*'Get Started'!$H48)*'Get Started'!$E48),0)+IF(AND('Get Started'!$H47&lt;='Get Started'!$E27,'Get Started'!$G47&lt;&gt;0),IF(P4&lt;'Get Started'!$H47,0,OFFSET(P37,0,-1*'Get Started'!$H47)*'Get Started'!$E47),0)+IF(AND('Get Started'!$H46&lt;='Get Started'!$E27,'Get Started'!$G46&lt;&gt;0),IF(P4&lt;'Get Started'!$H46,0,OFFSET(P37,0,-1*'Get Started'!$H46)*'Get Started'!$E46),0)+IF(AND('Get Started'!$H45&lt;='Get Started'!$E27,'Get Started'!$G45&lt;&gt;0),IF(P4&lt;'Get Started'!$H45,0,OFFSET(P37,0,-1*'Get Started'!$H45)*'Get Started'!$E45*'Get Started'!$G45),0)</f>
        <v>577499.99999999988</v>
      </c>
      <c r="Q147" s="26">
        <f ca="1">IF(AND('Get Started'!$H48&lt;='Get Started'!$E27,'Get Started'!$G48&lt;&gt;0),IF(AND(Q4&lt;'Get Started'!$H48,'Get Started'!$H48&lt;='Get Started'!$E27),0,OFFSET(Q37,0,-1*'Get Started'!$H48)*'Get Started'!$E48),0)+IF(AND('Get Started'!$H47&lt;='Get Started'!$E27,'Get Started'!$G47&lt;&gt;0),IF(Q4&lt;'Get Started'!$H47,0,OFFSET(Q37,0,-1*'Get Started'!$H47)*'Get Started'!$E47),0)+IF(AND('Get Started'!$H46&lt;='Get Started'!$E27,'Get Started'!$G46&lt;&gt;0),IF(Q4&lt;'Get Started'!$H46,0,OFFSET(Q37,0,-1*'Get Started'!$H46)*'Get Started'!$E46),0)+IF(AND('Get Started'!$H45&lt;='Get Started'!$E27,'Get Started'!$G45&lt;&gt;0),IF(Q4&lt;'Get Started'!$H45,0,OFFSET(Q37,0,-1*'Get Started'!$H45)*'Get Started'!$E45*'Get Started'!$G45),0)</f>
        <v>0</v>
      </c>
      <c r="R147" s="26">
        <f ca="1">IF(AND('Get Started'!$H48&lt;='Get Started'!$E27,'Get Started'!$G48&lt;&gt;0),IF(AND(R4&lt;'Get Started'!$H48,'Get Started'!$H48&lt;='Get Started'!$E27),0,OFFSET(R37,0,-1*'Get Started'!$H48)*'Get Started'!$E48),0)+IF(AND('Get Started'!$H47&lt;='Get Started'!$E27,'Get Started'!$G47&lt;&gt;0),IF(R4&lt;'Get Started'!$H47,0,OFFSET(R37,0,-1*'Get Started'!$H47)*'Get Started'!$E47),0)+IF(AND('Get Started'!$H46&lt;='Get Started'!$E27,'Get Started'!$G46&lt;&gt;0),IF(R4&lt;'Get Started'!$H46,0,OFFSET(R37,0,-1*'Get Started'!$H46)*'Get Started'!$E46),0)+IF(AND('Get Started'!$H45&lt;='Get Started'!$E27,'Get Started'!$G45&lt;&gt;0),IF(R4&lt;'Get Started'!$H45,0,OFFSET(R37,0,-1*'Get Started'!$H45)*'Get Started'!$E45*'Get Started'!$G45),0)</f>
        <v>0</v>
      </c>
      <c r="S147" s="26">
        <f ca="1">IF(AND('Get Started'!$H48&lt;='Get Started'!$E27,'Get Started'!$G48&lt;&gt;0),IF(AND(S4&lt;'Get Started'!$H48,'Get Started'!$H48&lt;='Get Started'!$E27),0,OFFSET(S37,0,-1*'Get Started'!$H48)*'Get Started'!$E48),0)+IF(AND('Get Started'!$H47&lt;='Get Started'!$E27,'Get Started'!$G47&lt;&gt;0),IF(S4&lt;'Get Started'!$H47,0,OFFSET(S37,0,-1*'Get Started'!$H47)*'Get Started'!$E47),0)+IF(AND('Get Started'!$H46&lt;='Get Started'!$E27,'Get Started'!$G46&lt;&gt;0),IF(S4&lt;'Get Started'!$H46,0,OFFSET(S37,0,-1*'Get Started'!$H46)*'Get Started'!$E46),0)+IF(AND('Get Started'!$H45&lt;='Get Started'!$E27,'Get Started'!$G45&lt;&gt;0),IF(S4&lt;'Get Started'!$H45,0,OFFSET(S37,0,-1*'Get Started'!$H45)*'Get Started'!$E45*'Get Started'!$G45),0)</f>
        <v>0</v>
      </c>
      <c r="T147" s="26">
        <f ca="1">IF(AND('Get Started'!$H48&lt;='Get Started'!$E27,'Get Started'!$G48&lt;&gt;0),IF(AND(T4&lt;'Get Started'!$H48,'Get Started'!$H48&lt;='Get Started'!$E27),0,OFFSET(T37,0,-1*'Get Started'!$H48)*'Get Started'!$E48),0)+IF(AND('Get Started'!$H47&lt;='Get Started'!$E27,'Get Started'!$G47&lt;&gt;0),IF(T4&lt;'Get Started'!$H47,0,OFFSET(T37,0,-1*'Get Started'!$H47)*'Get Started'!$E47),0)+IF(AND('Get Started'!$H46&lt;='Get Started'!$E27,'Get Started'!$G46&lt;&gt;0),IF(T4&lt;'Get Started'!$H46,0,OFFSET(T37,0,-1*'Get Started'!$H46)*'Get Started'!$E46),0)+IF(AND('Get Started'!$H45&lt;='Get Started'!$E27,'Get Started'!$G45&lt;&gt;0),IF(T4&lt;'Get Started'!$H45,0,OFFSET(T37,0,-1*'Get Started'!$H45)*'Get Started'!$E45*'Get Started'!$G45),0)</f>
        <v>0</v>
      </c>
      <c r="U147" s="26">
        <f ca="1">IF(AND('Get Started'!$H48&lt;='Get Started'!$E27,'Get Started'!$G48&lt;&gt;0),IF(AND(U4&lt;'Get Started'!$H48,'Get Started'!$H48&lt;='Get Started'!$E27),0,OFFSET(U37,0,-1*'Get Started'!$H48)*'Get Started'!$E48),0)+IF(AND('Get Started'!$H47&lt;='Get Started'!$E27,'Get Started'!$G47&lt;&gt;0),IF(U4&lt;'Get Started'!$H47,0,OFFSET(U37,0,-1*'Get Started'!$H47)*'Get Started'!$E47),0)+IF(AND('Get Started'!$H46&lt;='Get Started'!$E27,'Get Started'!$G46&lt;&gt;0),IF(U4&lt;'Get Started'!$H46,0,OFFSET(U37,0,-1*'Get Started'!$H46)*'Get Started'!$E46),0)+IF(AND('Get Started'!$H45&lt;='Get Started'!$E27,'Get Started'!$G45&lt;&gt;0),IF(U4&lt;'Get Started'!$H45,0,OFFSET(U37,0,-1*'Get Started'!$H45)*'Get Started'!$E45*'Get Started'!$G45),0)</f>
        <v>0</v>
      </c>
      <c r="V147" s="26">
        <f ca="1">IF(AND('Get Started'!$H48&lt;='Get Started'!$E27,'Get Started'!$G48&lt;&gt;0),IF(AND(V4&lt;'Get Started'!$H48,'Get Started'!$H48&lt;='Get Started'!$E27),0,OFFSET(V37,0,-1*'Get Started'!$H48)*'Get Started'!$E48),0)+IF(AND('Get Started'!$H47&lt;='Get Started'!$E27,'Get Started'!$G47&lt;&gt;0),IF(V4&lt;'Get Started'!$H47,0,OFFSET(V37,0,-1*'Get Started'!$H47)*'Get Started'!$E47),0)+IF(AND('Get Started'!$H46&lt;='Get Started'!$E27,'Get Started'!$G46&lt;&gt;0),IF(V4&lt;'Get Started'!$H46,0,OFFSET(V37,0,-1*'Get Started'!$H46)*'Get Started'!$E46),0)+IF(AND('Get Started'!$H45&lt;='Get Started'!$E27,'Get Started'!$G45&lt;&gt;0),IF(V4&lt;'Get Started'!$H45,0,OFFSET(V37,0,-1*'Get Started'!$H45)*'Get Started'!$E45*'Get Started'!$G45),0)</f>
        <v>0</v>
      </c>
      <c r="W147" s="26">
        <f ca="1">IF(AND('Get Started'!$H48&lt;='Get Started'!$E27,'Get Started'!$G48&lt;&gt;0),IF(AND(W4&lt;'Get Started'!$H48,'Get Started'!$H48&lt;='Get Started'!$E27),0,OFFSET(W37,0,-1*'Get Started'!$H48)*'Get Started'!$E48),0)+IF(AND('Get Started'!$H47&lt;='Get Started'!$E27,'Get Started'!$G47&lt;&gt;0),IF(W4&lt;'Get Started'!$H47,0,OFFSET(W37,0,-1*'Get Started'!$H47)*'Get Started'!$E47),0)+IF(AND('Get Started'!$H46&lt;='Get Started'!$E27,'Get Started'!$G46&lt;&gt;0),IF(W4&lt;'Get Started'!$H46,0,OFFSET(W37,0,-1*'Get Started'!$H46)*'Get Started'!$E46),0)+IF(AND('Get Started'!$H45&lt;='Get Started'!$E27,'Get Started'!$G45&lt;&gt;0),IF(W4&lt;'Get Started'!$H45,0,OFFSET(W37,0,-1*'Get Started'!$H45)*'Get Started'!$E45*'Get Started'!$G45),0)</f>
        <v>0</v>
      </c>
      <c r="X147" s="26">
        <f ca="1">IF(AND('Get Started'!$H48&lt;='Get Started'!$E27,'Get Started'!$G48&lt;&gt;0),IF(AND(X4&lt;'Get Started'!$H48,'Get Started'!$H48&lt;='Get Started'!$E27),0,OFFSET(X37,0,-1*'Get Started'!$H48)*'Get Started'!$E48),0)+IF(AND('Get Started'!$H47&lt;='Get Started'!$E27,'Get Started'!$G47&lt;&gt;0),IF(X4&lt;'Get Started'!$H47,0,OFFSET(X37,0,-1*'Get Started'!$H47)*'Get Started'!$E47),0)+IF(AND('Get Started'!$H46&lt;='Get Started'!$E27,'Get Started'!$G46&lt;&gt;0),IF(X4&lt;'Get Started'!$H46,0,OFFSET(X37,0,-1*'Get Started'!$H46)*'Get Started'!$E46),0)+IF(AND('Get Started'!$H45&lt;='Get Started'!$E27,'Get Started'!$G45&lt;&gt;0),IF(X4&lt;'Get Started'!$H45,0,OFFSET(X37,0,-1*'Get Started'!$H45)*'Get Started'!$E45*'Get Started'!$G45),0)</f>
        <v>0</v>
      </c>
      <c r="Y147" s="26">
        <f ca="1">IF(AND('Get Started'!$H48&lt;='Get Started'!$E27,'Get Started'!$G48&lt;&gt;0),IF(AND(Y4&lt;'Get Started'!$H48,'Get Started'!$H48&lt;='Get Started'!$E27),0,OFFSET(Y37,0,-1*'Get Started'!$H48)*'Get Started'!$E48),0)+IF(AND('Get Started'!$H47&lt;='Get Started'!$E27,'Get Started'!$G47&lt;&gt;0),IF(Y4&lt;'Get Started'!$H47,0,OFFSET(Y37,0,-1*'Get Started'!$H47)*'Get Started'!$E47),0)+IF(AND('Get Started'!$H46&lt;='Get Started'!$E27,'Get Started'!$G46&lt;&gt;0),IF(Y4&lt;'Get Started'!$H46,0,OFFSET(Y37,0,-1*'Get Started'!$H46)*'Get Started'!$E46),0)+IF(AND('Get Started'!$H45&lt;='Get Started'!$E27,'Get Started'!$G45&lt;&gt;0),IF(Y4&lt;'Get Started'!$H45,0,OFFSET(Y37,0,-1*'Get Started'!$H45)*'Get Started'!$E45*'Get Started'!$G45),0)</f>
        <v>0</v>
      </c>
      <c r="Z147" s="26">
        <f ca="1">IF(AND('Get Started'!$H48&lt;='Get Started'!$E27,'Get Started'!$G48&lt;&gt;0),IF(AND(Z4&lt;'Get Started'!$H48,'Get Started'!$H48&lt;='Get Started'!$E27),0,OFFSET(Z37,0,-1*'Get Started'!$H48)*'Get Started'!$E48),0)+IF(AND('Get Started'!$H47&lt;='Get Started'!$E27,'Get Started'!$G47&lt;&gt;0),IF(Z4&lt;'Get Started'!$H47,0,OFFSET(Z37,0,-1*'Get Started'!$H47)*'Get Started'!$E47),0)+IF(AND('Get Started'!$H46&lt;='Get Started'!$E27,'Get Started'!$G46&lt;&gt;0),IF(Z4&lt;'Get Started'!$H46,0,OFFSET(Z37,0,-1*'Get Started'!$H46)*'Get Started'!$E46),0)+IF(AND('Get Started'!$H45&lt;='Get Started'!$E27,'Get Started'!$G45&lt;&gt;0),IF(Z4&lt;'Get Started'!$H45,0,OFFSET(Z37,0,-1*'Get Started'!$H45)*'Get Started'!$E45*'Get Started'!$G45),0)</f>
        <v>0</v>
      </c>
    </row>
    <row r="148" spans="1:26" ht="13" outlineLevel="1">
      <c r="B148" s="34" t="s">
        <v>249</v>
      </c>
      <c r="C148" s="12"/>
      <c r="D148" s="12" t="s">
        <v>163</v>
      </c>
      <c r="E148" s="26">
        <f t="shared" ca="1" si="112"/>
        <v>962499.99999999988</v>
      </c>
      <c r="F148" s="72"/>
      <c r="G148" s="26">
        <f ca="1">IF('Get Started'!$E28="invested capital",G147,IF('Get Started'!$E28="invested capital plus cost basis",G146,G145))*G11</f>
        <v>0</v>
      </c>
      <c r="H148" s="26">
        <f ca="1">IF('Get Started'!$E28="invested capital",H147,IF('Get Started'!$E28="invested capital plus cost basis",H146,H145))*H11</f>
        <v>0</v>
      </c>
      <c r="I148" s="26">
        <f ca="1">IF('Get Started'!$E28="invested capital",I147,IF('Get Started'!$E28="invested capital plus cost basis",I146,I145))*I11</f>
        <v>0</v>
      </c>
      <c r="J148" s="26">
        <f ca="1">IF('Get Started'!$E28="invested capital",J147,IF('Get Started'!$E28="invested capital plus cost basis",J146,J145))*J11</f>
        <v>962499.99999999988</v>
      </c>
      <c r="K148" s="26">
        <f ca="1">IF('Get Started'!$E28="invested capital",K147,IF('Get Started'!$E28="invested capital plus cost basis",K146,K145))*K11</f>
        <v>0</v>
      </c>
      <c r="L148" s="26">
        <f ca="1">IF('Get Started'!$E28="invested capital",L147,IF('Get Started'!$E28="invested capital plus cost basis",L146,L145))*L11</f>
        <v>0</v>
      </c>
      <c r="M148" s="26">
        <f ca="1">IF('Get Started'!$E28="invested capital",M147,IF('Get Started'!$E28="invested capital plus cost basis",M146,M145))*M11</f>
        <v>0</v>
      </c>
      <c r="N148" s="26">
        <f ca="1">IF('Get Started'!$E28="invested capital",N147,IF('Get Started'!$E28="invested capital plus cost basis",N146,N145))*N11</f>
        <v>0</v>
      </c>
      <c r="O148" s="26">
        <f ca="1">IF('Get Started'!$E28="invested capital",O147,IF('Get Started'!$E28="invested capital plus cost basis",O146,O145))*O11</f>
        <v>0</v>
      </c>
      <c r="P148" s="26">
        <f ca="1">IF('Get Started'!$E28="invested capital",P147,IF('Get Started'!$E28="invested capital plus cost basis",P146,P145))*P11</f>
        <v>0</v>
      </c>
      <c r="Q148" s="26">
        <f ca="1">IF('Get Started'!$E28="invested capital",Q147,IF('Get Started'!$E28="invested capital plus cost basis",Q146,Q145))*Q11</f>
        <v>0</v>
      </c>
      <c r="R148" s="26">
        <f ca="1">IF('Get Started'!$E28="invested capital",R147,IF('Get Started'!$E28="invested capital plus cost basis",R146,R145))*R11</f>
        <v>0</v>
      </c>
      <c r="S148" s="26">
        <f ca="1">IF('Get Started'!$E28="invested capital",S147,IF('Get Started'!$E28="invested capital plus cost basis",S146,S145))*S11</f>
        <v>0</v>
      </c>
      <c r="T148" s="26">
        <f ca="1">IF('Get Started'!$E28="invested capital",T147,IF('Get Started'!$E28="invested capital plus cost basis",T146,T145))*T11</f>
        <v>0</v>
      </c>
      <c r="U148" s="26">
        <f ca="1">IF('Get Started'!$E28="invested capital",U147,IF('Get Started'!$E28="invested capital plus cost basis",U146,U145))*U11</f>
        <v>0</v>
      </c>
      <c r="V148" s="26">
        <f ca="1">IF('Get Started'!$E28="invested capital",V147,IF('Get Started'!$E28="invested capital plus cost basis",V146,V145))*V11</f>
        <v>0</v>
      </c>
      <c r="W148" s="26">
        <f ca="1">IF('Get Started'!$E28="invested capital",W147,IF('Get Started'!$E28="invested capital plus cost basis",W146,W145))*W11</f>
        <v>0</v>
      </c>
      <c r="X148" s="26">
        <f ca="1">IF('Get Started'!$E28="invested capital",X147,IF('Get Started'!$E28="invested capital plus cost basis",X146,X145))*X11</f>
        <v>0</v>
      </c>
      <c r="Y148" s="26">
        <f ca="1">IF('Get Started'!$E28="invested capital",Y147,IF('Get Started'!$E28="invested capital plus cost basis",Y146,Y145))*Y11</f>
        <v>0</v>
      </c>
      <c r="Z148" s="26">
        <f ca="1">IF('Get Started'!$E28="invested capital",Z147,IF('Get Started'!$E28="invested capital plus cost basis",Z146,Z145))*Z11</f>
        <v>0</v>
      </c>
    </row>
    <row r="149" spans="1:26" ht="13" outlineLevel="1">
      <c r="B149" s="12" t="s">
        <v>250</v>
      </c>
      <c r="C149" s="12"/>
      <c r="D149" s="12" t="s">
        <v>163</v>
      </c>
      <c r="E149" s="26">
        <f t="shared" ca="1" si="112"/>
        <v>962499.99999999988</v>
      </c>
      <c r="F149" s="26"/>
      <c r="G149" s="26">
        <f ca="1">MIN(G148,'Get Started'!$E25*IF('Get Started'!$E26="committed capital",G59,IF(SUMPRODUCT(--(Forecast!$G15:$Z15&lt;&gt;"committed"))=0,G70,G70))-F151)</f>
        <v>0</v>
      </c>
      <c r="H149" s="26">
        <f ca="1">MIN(H148,'Get Started'!$E25*IF('Get Started'!$E26="committed capital",H59,IF(SUMPRODUCT(--(Forecast!$G15:$Z15&lt;&gt;"committed"))=0,H70,H70))-G151)</f>
        <v>0</v>
      </c>
      <c r="I149" s="26">
        <f ca="1">MIN(I148,'Get Started'!$E25*IF('Get Started'!$E26="committed capital",I59,IF(SUMPRODUCT(--(Forecast!$G15:$Z15&lt;&gt;"committed"))=0,I70,I70))-H151)</f>
        <v>0</v>
      </c>
      <c r="J149" s="26">
        <f ca="1">MIN(J148,'Get Started'!$E25*IF('Get Started'!$E26="committed capital",J59,IF(SUMPRODUCT(--(Forecast!$G15:$Z15&lt;&gt;"committed"))=0,J70,J70))-I151)</f>
        <v>962499.99999999988</v>
      </c>
      <c r="K149" s="26">
        <f ca="1">MIN(K148,'Get Started'!$E25*IF('Get Started'!$E26="committed capital",K59,IF(SUMPRODUCT(--(Forecast!$G15:$Z15&lt;&gt;"committed"))=0,K70,K70))-J151)</f>
        <v>0</v>
      </c>
      <c r="L149" s="26">
        <f ca="1">MIN(L148,'Get Started'!$E25*IF('Get Started'!$E26="committed capital",L59,IF(SUMPRODUCT(--(Forecast!$G15:$Z15&lt;&gt;"committed"))=0,L70,L70))-K151)</f>
        <v>0</v>
      </c>
      <c r="M149" s="26">
        <f ca="1">MIN(M148,'Get Started'!$E25*IF('Get Started'!$E26="committed capital",M59,IF(SUMPRODUCT(--(Forecast!$G15:$Z15&lt;&gt;"committed"))=0,M70,M70))-L151)</f>
        <v>0</v>
      </c>
      <c r="N149" s="26">
        <f ca="1">MIN(N148,'Get Started'!$E25*IF('Get Started'!$E26="committed capital",N59,IF(SUMPRODUCT(--(Forecast!$G15:$Z15&lt;&gt;"committed"))=0,N70,N70))-M151)</f>
        <v>0</v>
      </c>
      <c r="O149" s="26">
        <f ca="1">MIN(O148,'Get Started'!$E25*IF('Get Started'!$E26="committed capital",O59,IF(SUMPRODUCT(--(Forecast!$G15:$Z15&lt;&gt;"committed"))=0,O70,O70))-N151)</f>
        <v>0</v>
      </c>
      <c r="P149" s="26">
        <f ca="1">MIN(P148,'Get Started'!$E25*IF('Get Started'!$E26="committed capital",P59,IF(SUMPRODUCT(--(Forecast!$G15:$Z15&lt;&gt;"committed"))=0,P70,P70))-O151)</f>
        <v>0</v>
      </c>
      <c r="Q149" s="26">
        <f ca="1">MIN(Q148,'Get Started'!$E25*IF('Get Started'!$E26="committed capital",Q59,IF(SUMPRODUCT(--(Forecast!$G15:$Z15&lt;&gt;"committed"))=0,Q70,Q70))-P151)</f>
        <v>0</v>
      </c>
      <c r="R149" s="26">
        <f ca="1">MIN(R148,'Get Started'!$E25*IF('Get Started'!$E26="committed capital",R59,IF(SUMPRODUCT(--(Forecast!$G15:$Z15&lt;&gt;"committed"))=0,R70,R70))-Q151)</f>
        <v>0</v>
      </c>
      <c r="S149" s="26">
        <f ca="1">MIN(S148,'Get Started'!$E25*IF('Get Started'!$E26="committed capital",S59,IF(SUMPRODUCT(--(Forecast!$G15:$Z15&lt;&gt;"committed"))=0,S70,S70))-R151)</f>
        <v>0</v>
      </c>
      <c r="T149" s="26">
        <f ca="1">MIN(T148,'Get Started'!$E25*IF('Get Started'!$E26="committed capital",T59,IF(SUMPRODUCT(--(Forecast!$G15:$Z15&lt;&gt;"committed"))=0,T70,T70))-S151)</f>
        <v>0</v>
      </c>
      <c r="U149" s="26">
        <f ca="1">MIN(U148,'Get Started'!$E25*IF('Get Started'!$E26="committed capital",U59,IF(SUMPRODUCT(--(Forecast!$G15:$Z15&lt;&gt;"committed"))=0,U70,U70))-T151)</f>
        <v>0</v>
      </c>
      <c r="V149" s="26">
        <f ca="1">MIN(V148,'Get Started'!$E25*IF('Get Started'!$E26="committed capital",V59,IF(SUMPRODUCT(--(Forecast!$G15:$Z15&lt;&gt;"committed"))=0,V70,V70))-U151)</f>
        <v>0</v>
      </c>
      <c r="W149" s="26">
        <f ca="1">MIN(W148,'Get Started'!$E25*IF('Get Started'!$E26="committed capital",W59,IF(SUMPRODUCT(--(Forecast!$G15:$Z15&lt;&gt;"committed"))=0,W70,W70))-V151)</f>
        <v>0</v>
      </c>
      <c r="X149" s="26">
        <f ca="1">MIN(X148,'Get Started'!$E25*IF('Get Started'!$E26="committed capital",X59,IF(SUMPRODUCT(--(Forecast!$G15:$Z15&lt;&gt;"committed"))=0,X70,X70))-W151)</f>
        <v>0</v>
      </c>
      <c r="Y149" s="26">
        <f ca="1">MIN(Y148,'Get Started'!$E25*IF('Get Started'!$E26="committed capital",Y59,IF(SUMPRODUCT(--(Forecast!$G15:$Z15&lt;&gt;"committed"))=0,Y70,Y70))-X151)</f>
        <v>0</v>
      </c>
      <c r="Z149" s="26">
        <f ca="1">MIN(Z148,'Get Started'!$E25*IF('Get Started'!$E26="committed capital",Z59,IF(SUMPRODUCT(--(Forecast!$G15:$Z15&lt;&gt;"committed"))=0,Z70,Z70))-Y151)</f>
        <v>0</v>
      </c>
    </row>
    <row r="150" spans="1:26" ht="13" outlineLevel="1">
      <c r="B150" s="12" t="s">
        <v>209</v>
      </c>
      <c r="C150" s="12"/>
      <c r="D150" s="12" t="s">
        <v>163</v>
      </c>
      <c r="E150" s="26">
        <f t="shared" ca="1" si="112"/>
        <v>962499.99999999988</v>
      </c>
      <c r="F150" s="26"/>
      <c r="G150" s="26">
        <f t="shared" ref="G150:Z150" ca="1" si="114">G149</f>
        <v>0</v>
      </c>
      <c r="H150" s="26">
        <f t="shared" ca="1" si="114"/>
        <v>0</v>
      </c>
      <c r="I150" s="26">
        <f t="shared" ca="1" si="114"/>
        <v>0</v>
      </c>
      <c r="J150" s="26">
        <f t="shared" ca="1" si="114"/>
        <v>962499.99999999988</v>
      </c>
      <c r="K150" s="26">
        <f t="shared" ca="1" si="114"/>
        <v>0</v>
      </c>
      <c r="L150" s="26">
        <f t="shared" ca="1" si="114"/>
        <v>0</v>
      </c>
      <c r="M150" s="26">
        <f t="shared" ca="1" si="114"/>
        <v>0</v>
      </c>
      <c r="N150" s="26">
        <f t="shared" ca="1" si="114"/>
        <v>0</v>
      </c>
      <c r="O150" s="26">
        <f t="shared" ca="1" si="114"/>
        <v>0</v>
      </c>
      <c r="P150" s="26">
        <f t="shared" ca="1" si="114"/>
        <v>0</v>
      </c>
      <c r="Q150" s="26">
        <f t="shared" ca="1" si="114"/>
        <v>0</v>
      </c>
      <c r="R150" s="26">
        <f t="shared" ca="1" si="114"/>
        <v>0</v>
      </c>
      <c r="S150" s="26">
        <f t="shared" ca="1" si="114"/>
        <v>0</v>
      </c>
      <c r="T150" s="26">
        <f t="shared" ca="1" si="114"/>
        <v>0</v>
      </c>
      <c r="U150" s="26">
        <f t="shared" ca="1" si="114"/>
        <v>0</v>
      </c>
      <c r="V150" s="26">
        <f t="shared" ca="1" si="114"/>
        <v>0</v>
      </c>
      <c r="W150" s="26">
        <f t="shared" ca="1" si="114"/>
        <v>0</v>
      </c>
      <c r="X150" s="26">
        <f t="shared" ca="1" si="114"/>
        <v>0</v>
      </c>
      <c r="Y150" s="26">
        <f t="shared" ca="1" si="114"/>
        <v>0</v>
      </c>
      <c r="Z150" s="26">
        <f t="shared" ca="1" si="114"/>
        <v>0</v>
      </c>
    </row>
    <row r="151" spans="1:26" ht="13" outlineLevel="1">
      <c r="B151" s="34" t="str">
        <f>"Cumulative "&amp;B149</f>
        <v>Cumulative Proceeds Recycled</v>
      </c>
      <c r="C151" s="12"/>
      <c r="D151" s="12" t="s">
        <v>173</v>
      </c>
      <c r="E151" s="26">
        <f t="shared" ca="1" si="112"/>
        <v>962499.99999999988</v>
      </c>
      <c r="F151" s="26"/>
      <c r="G151" s="26">
        <f t="shared" ref="G151:Z151" ca="1" si="115">F151+G149</f>
        <v>0</v>
      </c>
      <c r="H151" s="26">
        <f t="shared" ca="1" si="115"/>
        <v>0</v>
      </c>
      <c r="I151" s="26">
        <f t="shared" ca="1" si="115"/>
        <v>0</v>
      </c>
      <c r="J151" s="26">
        <f t="shared" ca="1" si="115"/>
        <v>962499.99999999988</v>
      </c>
      <c r="K151" s="26">
        <f t="shared" ca="1" si="115"/>
        <v>962499.99999999988</v>
      </c>
      <c r="L151" s="26">
        <f t="shared" ca="1" si="115"/>
        <v>962499.99999999988</v>
      </c>
      <c r="M151" s="26">
        <f t="shared" ca="1" si="115"/>
        <v>962499.99999999988</v>
      </c>
      <c r="N151" s="26">
        <f t="shared" ca="1" si="115"/>
        <v>962499.99999999988</v>
      </c>
      <c r="O151" s="26">
        <f t="shared" ca="1" si="115"/>
        <v>962499.99999999988</v>
      </c>
      <c r="P151" s="26">
        <f t="shared" ca="1" si="115"/>
        <v>962499.99999999988</v>
      </c>
      <c r="Q151" s="26">
        <f t="shared" ca="1" si="115"/>
        <v>962499.99999999988</v>
      </c>
      <c r="R151" s="26">
        <f t="shared" ca="1" si="115"/>
        <v>962499.99999999988</v>
      </c>
      <c r="S151" s="26">
        <f t="shared" ca="1" si="115"/>
        <v>962499.99999999988</v>
      </c>
      <c r="T151" s="26">
        <f t="shared" ca="1" si="115"/>
        <v>962499.99999999988</v>
      </c>
      <c r="U151" s="26">
        <f t="shared" ca="1" si="115"/>
        <v>962499.99999999988</v>
      </c>
      <c r="V151" s="26">
        <f t="shared" ca="1" si="115"/>
        <v>962499.99999999988</v>
      </c>
      <c r="W151" s="26">
        <f t="shared" ca="1" si="115"/>
        <v>962499.99999999988</v>
      </c>
      <c r="X151" s="26">
        <f t="shared" ca="1" si="115"/>
        <v>962499.99999999988</v>
      </c>
      <c r="Y151" s="26">
        <f t="shared" ca="1" si="115"/>
        <v>962499.99999999988</v>
      </c>
      <c r="Z151" s="26">
        <f t="shared" ca="1" si="115"/>
        <v>962499.99999999988</v>
      </c>
    </row>
    <row r="152" spans="1:26" ht="13" outlineLevel="1">
      <c r="B152" s="34" t="s">
        <v>251</v>
      </c>
      <c r="D152" s="12" t="s">
        <v>252</v>
      </c>
      <c r="E152" s="53">
        <f ca="1">E151/E30</f>
        <v>3.8499999999999993E-2</v>
      </c>
      <c r="F152" s="26"/>
      <c r="G152" s="75"/>
      <c r="H152" s="75"/>
      <c r="I152" s="75"/>
      <c r="J152" s="75"/>
      <c r="K152" s="75"/>
      <c r="L152" s="75"/>
      <c r="M152" s="75"/>
      <c r="N152" s="75"/>
      <c r="O152" s="75"/>
      <c r="P152" s="75"/>
      <c r="Q152" s="75"/>
      <c r="R152" s="75"/>
      <c r="S152" s="75"/>
      <c r="T152" s="75"/>
      <c r="U152" s="75"/>
      <c r="V152" s="75"/>
      <c r="W152" s="75"/>
      <c r="X152" s="75"/>
      <c r="Y152" s="75"/>
      <c r="Z152" s="75"/>
    </row>
    <row r="153" spans="1:26" ht="13" outlineLevel="1">
      <c r="B153" s="34" t="s">
        <v>253</v>
      </c>
      <c r="C153" s="12"/>
      <c r="D153" s="12" t="s">
        <v>252</v>
      </c>
      <c r="E153" s="53">
        <f ca="1">E149/E41</f>
        <v>0.1964285714285714</v>
      </c>
      <c r="F153" s="26"/>
      <c r="G153" s="75"/>
      <c r="H153" s="75"/>
      <c r="I153" s="75"/>
      <c r="J153" s="75"/>
      <c r="K153" s="75"/>
      <c r="L153" s="75"/>
      <c r="M153" s="75"/>
      <c r="N153" s="75"/>
      <c r="O153" s="75"/>
      <c r="P153" s="75"/>
      <c r="Q153" s="75"/>
      <c r="R153" s="75"/>
      <c r="S153" s="75"/>
      <c r="T153" s="75"/>
      <c r="U153" s="75"/>
      <c r="V153" s="75"/>
      <c r="W153" s="75"/>
      <c r="X153" s="75"/>
      <c r="Y153" s="75"/>
      <c r="Z153" s="75"/>
    </row>
    <row r="154" spans="1:26" ht="13" outlineLevel="1">
      <c r="B154" s="34"/>
      <c r="C154" s="12"/>
      <c r="D154" s="12"/>
      <c r="E154" s="12"/>
      <c r="F154" s="26"/>
      <c r="G154" s="80"/>
      <c r="H154" s="80"/>
      <c r="I154" s="80"/>
      <c r="J154" s="80"/>
      <c r="K154" s="75"/>
      <c r="L154" s="75"/>
      <c r="M154" s="75"/>
      <c r="N154" s="75"/>
      <c r="O154" s="75"/>
      <c r="P154" s="75"/>
      <c r="Q154" s="75"/>
      <c r="R154" s="75"/>
      <c r="S154" s="75"/>
      <c r="T154" s="75"/>
      <c r="U154" s="75"/>
      <c r="V154" s="75"/>
      <c r="W154" s="75"/>
      <c r="X154" s="75"/>
      <c r="Y154" s="75"/>
      <c r="Z154" s="75"/>
    </row>
    <row r="155" spans="1:26" ht="13" outlineLevel="1">
      <c r="A155" s="34"/>
      <c r="B155" s="81" t="s">
        <v>254</v>
      </c>
      <c r="C155" s="34"/>
      <c r="D155" s="82"/>
      <c r="E155" s="83"/>
      <c r="F155" s="64"/>
      <c r="G155" s="84"/>
      <c r="H155" s="84"/>
      <c r="I155" s="84"/>
      <c r="J155" s="84"/>
      <c r="K155" s="84"/>
      <c r="L155" s="84"/>
      <c r="M155" s="84"/>
      <c r="N155" s="84"/>
      <c r="O155" s="84"/>
      <c r="P155" s="84"/>
      <c r="Q155" s="84"/>
      <c r="R155" s="84"/>
      <c r="S155" s="84"/>
      <c r="T155" s="84"/>
      <c r="U155" s="84"/>
      <c r="V155" s="84"/>
      <c r="W155" s="84"/>
      <c r="X155" s="84"/>
      <c r="Y155" s="84"/>
      <c r="Z155" s="84"/>
    </row>
    <row r="156" spans="1:26" ht="13" outlineLevel="1">
      <c r="A156" s="34"/>
      <c r="B156" s="34" t="s">
        <v>255</v>
      </c>
      <c r="C156" s="34"/>
      <c r="D156" s="34" t="s">
        <v>163</v>
      </c>
      <c r="E156" s="83">
        <f t="shared" ref="E156:E178" ca="1" si="116">IF(D156="sum",SUM(G156:Z156),IF(D156="final",Z156,IF(D156="initial",G156,IF(D156="average",AVERAGE(G156:Z156),0))))</f>
        <v>0.99999999999999956</v>
      </c>
      <c r="F156" s="64"/>
      <c r="G156" s="85">
        <f t="shared" ref="G156:Z156" ca="1" si="117">IF($E20&lt;&gt;0,G20*1, MIN(1-F173,MAX(0,G157+G158+G159+G164-G160)) )</f>
        <v>0.21909999999999996</v>
      </c>
      <c r="H156" s="85">
        <f t="shared" ca="1" si="117"/>
        <v>0.21509999999999999</v>
      </c>
      <c r="I156" s="85">
        <f t="shared" ca="1" si="117"/>
        <v>0.21509999999999999</v>
      </c>
      <c r="J156" s="85">
        <f t="shared" ca="1" si="117"/>
        <v>0.21509999999999999</v>
      </c>
      <c r="K156" s="85">
        <f t="shared" ca="1" si="117"/>
        <v>2.2599999999999999E-2</v>
      </c>
      <c r="L156" s="85">
        <f t="shared" ca="1" si="117"/>
        <v>2.2599999999999999E-2</v>
      </c>
      <c r="M156" s="85">
        <f t="shared" ca="1" si="117"/>
        <v>2.2599999999999999E-2</v>
      </c>
      <c r="N156" s="85">
        <f t="shared" ca="1" si="117"/>
        <v>2.2599999999999999E-2</v>
      </c>
      <c r="O156" s="85">
        <f t="shared" ca="1" si="117"/>
        <v>2.2599999999999999E-2</v>
      </c>
      <c r="P156" s="85">
        <f t="shared" ca="1" si="117"/>
        <v>2.2599999999999999E-2</v>
      </c>
      <c r="Q156" s="85">
        <f t="shared" ca="1" si="117"/>
        <v>0</v>
      </c>
      <c r="R156" s="85">
        <f t="shared" ca="1" si="117"/>
        <v>0</v>
      </c>
      <c r="S156" s="85">
        <f t="shared" ca="1" si="117"/>
        <v>0</v>
      </c>
      <c r="T156" s="85">
        <f t="shared" ca="1" si="117"/>
        <v>0</v>
      </c>
      <c r="U156" s="85">
        <f t="shared" ca="1" si="117"/>
        <v>0</v>
      </c>
      <c r="V156" s="85">
        <f t="shared" ca="1" si="117"/>
        <v>0</v>
      </c>
      <c r="W156" s="85">
        <f t="shared" ca="1" si="117"/>
        <v>0</v>
      </c>
      <c r="X156" s="85">
        <f t="shared" ca="1" si="117"/>
        <v>0</v>
      </c>
      <c r="Y156" s="85">
        <f t="shared" ca="1" si="117"/>
        <v>0</v>
      </c>
      <c r="Z156" s="85">
        <f t="shared" ca="1" si="117"/>
        <v>0</v>
      </c>
    </row>
    <row r="157" spans="1:26" ht="13" outlineLevel="1">
      <c r="A157" s="34"/>
      <c r="B157" s="34" t="s">
        <v>256</v>
      </c>
      <c r="C157" s="34"/>
      <c r="D157" s="34" t="s">
        <v>163</v>
      </c>
      <c r="E157" s="83">
        <f t="shared" si="116"/>
        <v>4.0000000000000001E-3</v>
      </c>
      <c r="F157" s="64"/>
      <c r="G157" s="85">
        <f t="shared" ref="G157:Z157" si="118">IFERROR(G39/$E30,0)</f>
        <v>4.0000000000000001E-3</v>
      </c>
      <c r="H157" s="85">
        <f t="shared" si="118"/>
        <v>0</v>
      </c>
      <c r="I157" s="85">
        <f t="shared" si="118"/>
        <v>0</v>
      </c>
      <c r="J157" s="85">
        <f t="shared" si="118"/>
        <v>0</v>
      </c>
      <c r="K157" s="85">
        <f t="shared" si="118"/>
        <v>0</v>
      </c>
      <c r="L157" s="85">
        <f t="shared" si="118"/>
        <v>0</v>
      </c>
      <c r="M157" s="85">
        <f t="shared" si="118"/>
        <v>0</v>
      </c>
      <c r="N157" s="85">
        <f t="shared" si="118"/>
        <v>0</v>
      </c>
      <c r="O157" s="85">
        <f t="shared" si="118"/>
        <v>0</v>
      </c>
      <c r="P157" s="85">
        <f t="shared" si="118"/>
        <v>0</v>
      </c>
      <c r="Q157" s="85">
        <f t="shared" si="118"/>
        <v>0</v>
      </c>
      <c r="R157" s="85">
        <f t="shared" si="118"/>
        <v>0</v>
      </c>
      <c r="S157" s="85">
        <f t="shared" si="118"/>
        <v>0</v>
      </c>
      <c r="T157" s="85">
        <f t="shared" si="118"/>
        <v>0</v>
      </c>
      <c r="U157" s="85">
        <f t="shared" si="118"/>
        <v>0</v>
      </c>
      <c r="V157" s="85">
        <f t="shared" si="118"/>
        <v>0</v>
      </c>
      <c r="W157" s="85">
        <f t="shared" si="118"/>
        <v>0</v>
      </c>
      <c r="X157" s="85">
        <f t="shared" si="118"/>
        <v>0</v>
      </c>
      <c r="Y157" s="85">
        <f t="shared" si="118"/>
        <v>0</v>
      </c>
      <c r="Z157" s="85">
        <f t="shared" si="118"/>
        <v>0</v>
      </c>
    </row>
    <row r="158" spans="1:26" ht="13" outlineLevel="1">
      <c r="A158" s="34"/>
      <c r="B158" s="34" t="s">
        <v>257</v>
      </c>
      <c r="C158" s="34"/>
      <c r="D158" s="34" t="s">
        <v>163</v>
      </c>
      <c r="E158" s="83">
        <f t="shared" si="116"/>
        <v>2.9999999999999995E-2</v>
      </c>
      <c r="F158" s="64"/>
      <c r="G158" s="85">
        <f t="shared" ref="G158:Z158" si="119">IFERROR(G40/$E30,0)</f>
        <v>3.0000000000000001E-3</v>
      </c>
      <c r="H158" s="85">
        <f t="shared" si="119"/>
        <v>3.0000000000000001E-3</v>
      </c>
      <c r="I158" s="85">
        <f t="shared" si="119"/>
        <v>3.0000000000000001E-3</v>
      </c>
      <c r="J158" s="85">
        <f t="shared" si="119"/>
        <v>3.0000000000000001E-3</v>
      </c>
      <c r="K158" s="85">
        <f t="shared" si="119"/>
        <v>3.0000000000000001E-3</v>
      </c>
      <c r="L158" s="85">
        <f t="shared" si="119"/>
        <v>3.0000000000000001E-3</v>
      </c>
      <c r="M158" s="85">
        <f t="shared" si="119"/>
        <v>3.0000000000000001E-3</v>
      </c>
      <c r="N158" s="85">
        <f t="shared" si="119"/>
        <v>3.0000000000000001E-3</v>
      </c>
      <c r="O158" s="85">
        <f t="shared" si="119"/>
        <v>3.0000000000000001E-3</v>
      </c>
      <c r="P158" s="85">
        <f t="shared" si="119"/>
        <v>3.0000000000000001E-3</v>
      </c>
      <c r="Q158" s="85">
        <f t="shared" si="119"/>
        <v>0</v>
      </c>
      <c r="R158" s="85">
        <f t="shared" si="119"/>
        <v>0</v>
      </c>
      <c r="S158" s="85">
        <f t="shared" si="119"/>
        <v>0</v>
      </c>
      <c r="T158" s="85">
        <f t="shared" si="119"/>
        <v>0</v>
      </c>
      <c r="U158" s="85">
        <f t="shared" si="119"/>
        <v>0</v>
      </c>
      <c r="V158" s="85">
        <f t="shared" si="119"/>
        <v>0</v>
      </c>
      <c r="W158" s="85">
        <f t="shared" si="119"/>
        <v>0</v>
      </c>
      <c r="X158" s="85">
        <f t="shared" si="119"/>
        <v>0</v>
      </c>
      <c r="Y158" s="85">
        <f t="shared" si="119"/>
        <v>0</v>
      </c>
      <c r="Z158" s="85">
        <f t="shared" si="119"/>
        <v>0</v>
      </c>
    </row>
    <row r="159" spans="1:26" ht="13" outlineLevel="1">
      <c r="A159" s="34"/>
      <c r="B159" s="34" t="s">
        <v>258</v>
      </c>
      <c r="C159" s="34"/>
      <c r="D159" s="34" t="s">
        <v>163</v>
      </c>
      <c r="E159" s="83">
        <f t="shared" si="116"/>
        <v>0.19600000000000004</v>
      </c>
      <c r="F159" s="64"/>
      <c r="G159" s="85">
        <f>IF(G15="committed", 1*G14*G9*IF($C17=TRUE,(1-'Get Started'!$E10),1), IF(G15="called", IF($E20&lt;&gt;0, G173*1, G190 ) *G14*G9*IF($C17=TRUE,(1-'Get Started'!$E10),1), G191*G14*G9*IF($C17=TRUE,(1-'Get Started'!$E10),1) ) )</f>
        <v>1.9599999999999999E-2</v>
      </c>
      <c r="H159" s="85">
        <f>IF(H15="committed", 1*H14*H9*IF($C17=TRUE,(1-'Get Started'!$E10),1), IF(H15="called", IF($E20&lt;&gt;0, H173*1, H190 ) *H14*H9*IF($C17=TRUE,(1-'Get Started'!$E10),1), H191*H14*H9*IF($C17=TRUE,(1-'Get Started'!$E10),1) ) )</f>
        <v>1.9599999999999999E-2</v>
      </c>
      <c r="I159" s="85">
        <f>IF(I15="committed", 1*I14*I9*IF($C17=TRUE,(1-'Get Started'!$E10),1), IF(I15="called", IF($E20&lt;&gt;0, I173*1, I190 ) *I14*I9*IF($C17=TRUE,(1-'Get Started'!$E10),1), I191*I14*I9*IF($C17=TRUE,(1-'Get Started'!$E10),1) ) )</f>
        <v>1.9599999999999999E-2</v>
      </c>
      <c r="J159" s="85">
        <f>IF(J15="committed", 1*J14*J9*IF($C17=TRUE,(1-'Get Started'!$E10),1), IF(J15="called", IF($E20&lt;&gt;0, J173*1, J190 ) *J14*J9*IF($C17=TRUE,(1-'Get Started'!$E10),1), J191*J14*J9*IF($C17=TRUE,(1-'Get Started'!$E10),1) ) )</f>
        <v>1.9599999999999999E-2</v>
      </c>
      <c r="K159" s="85">
        <f>IF(K15="committed", 1*K14*K9*IF($C17=TRUE,(1-'Get Started'!$E10),1), IF(K15="called", IF($E20&lt;&gt;0, K173*1, K190 ) *K14*K9*IF($C17=TRUE,(1-'Get Started'!$E10),1), K191*K14*K9*IF($C17=TRUE,(1-'Get Started'!$E10),1) ) )</f>
        <v>1.9599999999999999E-2</v>
      </c>
      <c r="L159" s="85">
        <f>IF(L15="committed", 1*L14*L9*IF($C17=TRUE,(1-'Get Started'!$E10),1), IF(L15="called", IF($E20&lt;&gt;0, L173*1, L190 ) *L14*L9*IF($C17=TRUE,(1-'Get Started'!$E10),1), L191*L14*L9*IF($C17=TRUE,(1-'Get Started'!$E10),1) ) )</f>
        <v>1.9599999999999999E-2</v>
      </c>
      <c r="M159" s="85">
        <f>IF(M15="committed", 1*M14*M9*IF($C17=TRUE,(1-'Get Started'!$E10),1), IF(M15="called", IF($E20&lt;&gt;0, M173*1, M190 ) *M14*M9*IF($C17=TRUE,(1-'Get Started'!$E10),1), M191*M14*M9*IF($C17=TRUE,(1-'Get Started'!$E10),1) ) )</f>
        <v>1.9599999999999999E-2</v>
      </c>
      <c r="N159" s="85">
        <f>IF(N15="committed", 1*N14*N9*IF($C17=TRUE,(1-'Get Started'!$E10),1), IF(N15="called", IF($E20&lt;&gt;0, N173*1, N190 ) *N14*N9*IF($C17=TRUE,(1-'Get Started'!$E10),1), N191*N14*N9*IF($C17=TRUE,(1-'Get Started'!$E10),1) ) )</f>
        <v>1.9599999999999999E-2</v>
      </c>
      <c r="O159" s="85">
        <f>IF(O15="committed", 1*O14*O9*IF($C17=TRUE,(1-'Get Started'!$E10),1), IF(O15="called", IF($E20&lt;&gt;0, O173*1, O190 ) *O14*O9*IF($C17=TRUE,(1-'Get Started'!$E10),1), O191*O14*O9*IF($C17=TRUE,(1-'Get Started'!$E10),1) ) )</f>
        <v>1.9599999999999999E-2</v>
      </c>
      <c r="P159" s="85">
        <f>IF(P15="committed", 1*P14*P9*IF($C17=TRUE,(1-'Get Started'!$E10),1), IF(P15="called", IF($E20&lt;&gt;0, P173*1, P190 ) *P14*P9*IF($C17=TRUE,(1-'Get Started'!$E10),1), P191*P14*P9*IF($C17=TRUE,(1-'Get Started'!$E10),1) ) )</f>
        <v>1.9599999999999999E-2</v>
      </c>
      <c r="Q159" s="85">
        <f>IF(Q15="committed", 1*Q14*Q9*IF($C17=TRUE,(1-'Get Started'!$E10),1), IF(Q15="called", IF($E20&lt;&gt;0, Q173*1, Q190 ) *Q14*Q9*IF($C17=TRUE,(1-'Get Started'!$E10),1), Q191*Q14*Q9*IF($C17=TRUE,(1-'Get Started'!$E10),1) ) )</f>
        <v>0</v>
      </c>
      <c r="R159" s="85">
        <f>IF(R15="committed", 1*R14*R9*IF($C17=TRUE,(1-'Get Started'!$E10),1), IF(R15="called", IF($E20&lt;&gt;0, R173*1, R190 ) *R14*R9*IF($C17=TRUE,(1-'Get Started'!$E10),1), R191*R14*R9*IF($C17=TRUE,(1-'Get Started'!$E10),1) ) )</f>
        <v>0</v>
      </c>
      <c r="S159" s="85">
        <f>IF(S15="committed", 1*S14*S9*IF($C17=TRUE,(1-'Get Started'!$E10),1), IF(S15="called", IF($E20&lt;&gt;0, S173*1, S190 ) *S14*S9*IF($C17=TRUE,(1-'Get Started'!$E10),1), S191*S14*S9*IF($C17=TRUE,(1-'Get Started'!$E10),1) ) )</f>
        <v>0</v>
      </c>
      <c r="T159" s="85">
        <f>IF(T15="committed", 1*T14*T9*IF($C17=TRUE,(1-'Get Started'!$E10),1), IF(T15="called", IF($E20&lt;&gt;0, T173*1, T190 ) *T14*T9*IF($C17=TRUE,(1-'Get Started'!$E10),1), T191*T14*T9*IF($C17=TRUE,(1-'Get Started'!$E10),1) ) )</f>
        <v>0</v>
      </c>
      <c r="U159" s="85">
        <f>IF(U15="committed", 1*U14*U9*IF($C17=TRUE,(1-'Get Started'!$E10),1), IF(U15="called", IF($E20&lt;&gt;0, U173*1, U190 ) *U14*U9*IF($C17=TRUE,(1-'Get Started'!$E10),1), U191*U14*U9*IF($C17=TRUE,(1-'Get Started'!$E10),1) ) )</f>
        <v>0</v>
      </c>
      <c r="V159" s="85">
        <f>IF(V15="committed", 1*V14*V9*IF($C17=TRUE,(1-'Get Started'!$E10),1), IF(V15="called", IF($E20&lt;&gt;0, V173*1, V190 ) *V14*V9*IF($C17=TRUE,(1-'Get Started'!$E10),1), V191*V14*V9*IF($C17=TRUE,(1-'Get Started'!$E10),1) ) )</f>
        <v>0</v>
      </c>
      <c r="W159" s="85">
        <f>IF(W15="committed", 1*W14*W9*IF($C17=TRUE,(1-'Get Started'!$E10),1), IF(W15="called", IF($E20&lt;&gt;0, W173*1, W190 ) *W14*W9*IF($C17=TRUE,(1-'Get Started'!$E10),1), W191*W14*W9*IF($C17=TRUE,(1-'Get Started'!$E10),1) ) )</f>
        <v>0</v>
      </c>
      <c r="X159" s="85">
        <f>IF(X15="committed", 1*X14*X9*IF($C17=TRUE,(1-'Get Started'!$E10),1), IF(X15="called", IF($E20&lt;&gt;0, X173*1, X190 ) *X14*X9*IF($C17=TRUE,(1-'Get Started'!$E10),1), X191*X14*X9*IF($C17=TRUE,(1-'Get Started'!$E10),1) ) )</f>
        <v>0</v>
      </c>
      <c r="Y159" s="85">
        <f>IF(Y15="committed", 1*Y14*Y9*IF($C17=TRUE,(1-'Get Started'!$E10),1), IF(Y15="called", IF($E20&lt;&gt;0, Y173*1, Y190 ) *Y14*Y9*IF($C17=TRUE,(1-'Get Started'!$E10),1), Y191*Y14*Y9*IF($C17=TRUE,(1-'Get Started'!$E10),1) ) )</f>
        <v>0</v>
      </c>
      <c r="Z159" s="85">
        <f>IF(Z15="committed", 1*Z14*Z9*IF($C17=TRUE,(1-'Get Started'!$E10),1), IF(Z15="called", IF($E20&lt;&gt;0, Z173*1, Z190 ) *Z14*Z9*IF($C17=TRUE,(1-'Get Started'!$E10),1), Z191*Z14*Z9*IF($C17=TRUE,(1-'Get Started'!$E10),1) ) )</f>
        <v>0</v>
      </c>
    </row>
    <row r="160" spans="1:26" ht="13" outlineLevel="1">
      <c r="A160" s="34"/>
      <c r="B160" s="34" t="s">
        <v>259</v>
      </c>
      <c r="C160" s="34"/>
      <c r="D160" s="34" t="s">
        <v>163</v>
      </c>
      <c r="E160" s="83">
        <f t="shared" ca="1" si="116"/>
        <v>3.85E-2</v>
      </c>
      <c r="F160" s="64"/>
      <c r="G160" s="85">
        <f ca="1">MIN(G171,'Get Started'!$E25*IF('Get Started'!$E26="committed capital",1,IF(SUMPRODUCT(--(Forecast!$G15:$Z15&lt;&gt;"committed"))=0,G174,G174))-F175)</f>
        <v>0</v>
      </c>
      <c r="H160" s="85">
        <f ca="1">MIN(H171,'Get Started'!$E25*IF('Get Started'!$E26="committed capital",1,IF(SUMPRODUCT(--(Forecast!$G15:$Z15&lt;&gt;"committed"))=0,H174,H174))-G175)</f>
        <v>0</v>
      </c>
      <c r="I160" s="85">
        <f ca="1">MIN(I171,'Get Started'!$E25*IF('Get Started'!$E26="committed capital",1,IF(SUMPRODUCT(--(Forecast!$G15:$Z15&lt;&gt;"committed"))=0,I174,I174))-H175)</f>
        <v>0</v>
      </c>
      <c r="J160" s="85">
        <f ca="1">MIN(J171,'Get Started'!$E25*IF('Get Started'!$E26="committed capital",1,IF(SUMPRODUCT(--(Forecast!$G15:$Z15&lt;&gt;"committed"))=0,J174,J174))-I175)</f>
        <v>3.85E-2</v>
      </c>
      <c r="K160" s="85">
        <f ca="1">MIN(K171,'Get Started'!$E25*IF('Get Started'!$E26="committed capital",1,IF(SUMPRODUCT(--(Forecast!$G15:$Z15&lt;&gt;"committed"))=0,K174,K174))-J175)</f>
        <v>0</v>
      </c>
      <c r="L160" s="85">
        <f ca="1">MIN(L171,'Get Started'!$E25*IF('Get Started'!$E26="committed capital",1,IF(SUMPRODUCT(--(Forecast!$G15:$Z15&lt;&gt;"committed"))=0,L174,L174))-K175)</f>
        <v>0</v>
      </c>
      <c r="M160" s="85">
        <f ca="1">MIN(M171,'Get Started'!$E25*IF('Get Started'!$E26="committed capital",1,IF(SUMPRODUCT(--(Forecast!$G15:$Z15&lt;&gt;"committed"))=0,M174,M174))-L175)</f>
        <v>0</v>
      </c>
      <c r="N160" s="85">
        <f ca="1">MIN(N171,'Get Started'!$E25*IF('Get Started'!$E26="committed capital",1,IF(SUMPRODUCT(--(Forecast!$G15:$Z15&lt;&gt;"committed"))=0,N174,N174))-M175)</f>
        <v>0</v>
      </c>
      <c r="O160" s="85">
        <f ca="1">MIN(O171,'Get Started'!$E25*IF('Get Started'!$E26="committed capital",1,IF(SUMPRODUCT(--(Forecast!$G15:$Z15&lt;&gt;"committed"))=0,O174,O174))-N175)</f>
        <v>0</v>
      </c>
      <c r="P160" s="85">
        <f ca="1">MIN(P171,'Get Started'!$E25*IF('Get Started'!$E26="committed capital",1,IF(SUMPRODUCT(--(Forecast!$G15:$Z15&lt;&gt;"committed"))=0,P174,P174))-O175)</f>
        <v>0</v>
      </c>
      <c r="Q160" s="85">
        <f ca="1">MIN(Q171,'Get Started'!$E25*IF('Get Started'!$E26="committed capital",1,IF(SUMPRODUCT(--(Forecast!$G15:$Z15&lt;&gt;"committed"))=0,Q174,Q174))-P175)</f>
        <v>0</v>
      </c>
      <c r="R160" s="85">
        <f ca="1">MIN(R171,'Get Started'!$E25*IF('Get Started'!$E26="committed capital",1,IF(SUMPRODUCT(--(Forecast!$G15:$Z15&lt;&gt;"committed"))=0,R174,R174))-Q175)</f>
        <v>0</v>
      </c>
      <c r="S160" s="85">
        <f ca="1">MIN(S171,'Get Started'!$E25*IF('Get Started'!$E26="committed capital",1,IF(SUMPRODUCT(--(Forecast!$G15:$Z15&lt;&gt;"committed"))=0,S174,S174))-R175)</f>
        <v>0</v>
      </c>
      <c r="T160" s="85">
        <f ca="1">MIN(T171,'Get Started'!$E25*IF('Get Started'!$E26="committed capital",1,IF(SUMPRODUCT(--(Forecast!$G15:$Z15&lt;&gt;"committed"))=0,T174,T174))-S175)</f>
        <v>0</v>
      </c>
      <c r="U160" s="85">
        <f ca="1">MIN(U171,'Get Started'!$E25*IF('Get Started'!$E26="committed capital",1,IF(SUMPRODUCT(--(Forecast!$G15:$Z15&lt;&gt;"committed"))=0,U174,U174))-T175)</f>
        <v>0</v>
      </c>
      <c r="V160" s="85">
        <f ca="1">MIN(V171,'Get Started'!$E25*IF('Get Started'!$E26="committed capital",1,IF(SUMPRODUCT(--(Forecast!$G15:$Z15&lt;&gt;"committed"))=0,V174,V174))-U175)</f>
        <v>0</v>
      </c>
      <c r="W160" s="85">
        <f ca="1">MIN(W171,'Get Started'!$E25*IF('Get Started'!$E26="committed capital",1,IF(SUMPRODUCT(--(Forecast!$G15:$Z15&lt;&gt;"committed"))=0,W174,W174))-V175)</f>
        <v>0</v>
      </c>
      <c r="X160" s="85">
        <f ca="1">MIN(X171,'Get Started'!$E25*IF('Get Started'!$E26="committed capital",1,IF(SUMPRODUCT(--(Forecast!$G15:$Z15&lt;&gt;"committed"))=0,X174,X174))-W175)</f>
        <v>0</v>
      </c>
      <c r="Y160" s="85">
        <f ca="1">MIN(Y171,'Get Started'!$E25*IF('Get Started'!$E26="committed capital",1,IF(SUMPRODUCT(--(Forecast!$G15:$Z15&lt;&gt;"committed"))=0,Y174,Y174))-X175)</f>
        <v>0</v>
      </c>
      <c r="Z160" s="85">
        <f ca="1">MIN(Z171,'Get Started'!$E25*IF('Get Started'!$E26="committed capital",1,IF(SUMPRODUCT(--(Forecast!$G15:$Z15&lt;&gt;"committed"))=0,Z174,Z174))-Y175)</f>
        <v>0</v>
      </c>
    </row>
    <row r="161" spans="1:26" ht="13" outlineLevel="1">
      <c r="A161" s="34"/>
      <c r="B161" s="34" t="s">
        <v>260</v>
      </c>
      <c r="C161" s="86" t="s">
        <v>261</v>
      </c>
      <c r="D161" s="34" t="s">
        <v>163</v>
      </c>
      <c r="E161" s="83">
        <f t="shared" ca="1" si="116"/>
        <v>0.80849999999999989</v>
      </c>
      <c r="F161" s="64"/>
      <c r="G161" s="85">
        <f ca="1">G8/$E8*'Get Started'!$E36*(1-$E157-$E158-$E159)+G160*'Get Started'!$E36*G8 + IF('Get Started'!$E29="new and follow investments",((G8/$E8*'Get Started'!$E36*(1-$E157-$E158-$E159)+G160*'Get Started'!$E36*G8) + (G8/$E8*'Get Started'!$E36*(1-$E157-$E158-$E159)+G160*'Get Started'!$E36*G8)*'Get Started'!$F36/'Get Started'!$E36)*$E180/$E11*'Get Started'!$E36,0)</f>
        <v>0.19249999999999998</v>
      </c>
      <c r="H161" s="85">
        <f ca="1">H8/$E8*'Get Started'!$E36*(1-$E157-$E158-$E159)+H160*'Get Started'!$E36*H8 + IF('Get Started'!$E29="new and follow investments",((H8/$E8*'Get Started'!$E36*(1-$E157-$E158-$E159)+H160*'Get Started'!$E36*H8) + (H8/$E8*'Get Started'!$E36*(1-$E157-$E158-$E159)+H160*'Get Started'!$E36*H8)*'Get Started'!$F36/'Get Started'!$E36)*$E180/$E11*'Get Started'!$E36,0)</f>
        <v>0.19249999999999998</v>
      </c>
      <c r="I161" s="85">
        <f ca="1">I8/$E8*'Get Started'!$E36*(1-$E157-$E158-$E159)+I160*'Get Started'!$E36*I8 + IF('Get Started'!$E29="new and follow investments",((I8/$E8*'Get Started'!$E36*(1-$E157-$E158-$E159)+I160*'Get Started'!$E36*I8) + (I8/$E8*'Get Started'!$E36*(1-$E157-$E158-$E159)+I160*'Get Started'!$E36*I8)*'Get Started'!$F36/'Get Started'!$E36)*$E180/$E11*'Get Started'!$E36,0)</f>
        <v>0.19249999999999998</v>
      </c>
      <c r="J161" s="85">
        <f ca="1">J8/$E8*'Get Started'!$E36*(1-$E157-$E158-$E159)+J160*'Get Started'!$E36*J8 + IF('Get Started'!$E29="new and follow investments",((J8/$E8*'Get Started'!$E36*(1-$E157-$E158-$E159)+J160*'Get Started'!$E36*J8) + (J8/$E8*'Get Started'!$E36*(1-$E157-$E158-$E159)+J160*'Get Started'!$E36*J8)*'Get Started'!$F36/'Get Started'!$E36)*$E180/$E11*'Get Started'!$E36,0)</f>
        <v>0.23099999999999998</v>
      </c>
      <c r="K161" s="85">
        <f ca="1">K8/$E8*'Get Started'!$E36*(1-$E157-$E158-$E159)+K160*'Get Started'!$E36*K8 + IF('Get Started'!$E29="new and follow investments",((K8/$E8*'Get Started'!$E36*(1-$E157-$E158-$E159)+K160*'Get Started'!$E36*K8) + (K8/$E8*'Get Started'!$E36*(1-$E157-$E158-$E159)+K160*'Get Started'!$E36*K8)*'Get Started'!$F36/'Get Started'!$E36)*$E180/$E11*'Get Started'!$E36,0)</f>
        <v>0</v>
      </c>
      <c r="L161" s="85">
        <f ca="1">L8/$E8*'Get Started'!$E36*(1-$E157-$E158-$E159)+L160*'Get Started'!$E36*L8 + IF('Get Started'!$E29="new and follow investments",((L8/$E8*'Get Started'!$E36*(1-$E157-$E158-$E159)+L160*'Get Started'!$E36*L8) + (L8/$E8*'Get Started'!$E36*(1-$E157-$E158-$E159)+L160*'Get Started'!$E36*L8)*'Get Started'!$F36/'Get Started'!$E36)*$E180/$E11*'Get Started'!$E36,0)</f>
        <v>0</v>
      </c>
      <c r="M161" s="85">
        <f ca="1">M8/$E8*'Get Started'!$E36*(1-$E157-$E158-$E159)+M160*'Get Started'!$E36*M8 + IF('Get Started'!$E29="new and follow investments",((M8/$E8*'Get Started'!$E36*(1-$E157-$E158-$E159)+M160*'Get Started'!$E36*M8) + (M8/$E8*'Get Started'!$E36*(1-$E157-$E158-$E159)+M160*'Get Started'!$E36*M8)*'Get Started'!$F36/'Get Started'!$E36)*$E180/$E11*'Get Started'!$E36,0)</f>
        <v>0</v>
      </c>
      <c r="N161" s="85">
        <f ca="1">N8/$E8*'Get Started'!$E36*(1-$E157-$E158-$E159)+N160*'Get Started'!$E36*N8 + IF('Get Started'!$E29="new and follow investments",((N8/$E8*'Get Started'!$E36*(1-$E157-$E158-$E159)+N160*'Get Started'!$E36*N8) + (N8/$E8*'Get Started'!$E36*(1-$E157-$E158-$E159)+N160*'Get Started'!$E36*N8)*'Get Started'!$F36/'Get Started'!$E36)*$E180/$E11*'Get Started'!$E36,0)</f>
        <v>0</v>
      </c>
      <c r="O161" s="85">
        <f ca="1">O8/$E8*'Get Started'!$E36*(1-$E157-$E158-$E159)+O160*'Get Started'!$E36*O8 + IF('Get Started'!$E29="new and follow investments",((O8/$E8*'Get Started'!$E36*(1-$E157-$E158-$E159)+O160*'Get Started'!$E36*O8) + (O8/$E8*'Get Started'!$E36*(1-$E157-$E158-$E159)+O160*'Get Started'!$E36*O8)*'Get Started'!$F36/'Get Started'!$E36)*$E180/$E11*'Get Started'!$E36,0)</f>
        <v>0</v>
      </c>
      <c r="P161" s="85">
        <f ca="1">P8/$E8*'Get Started'!$E36*(1-$E157-$E158-$E159)+P160*'Get Started'!$E36*P8 + IF('Get Started'!$E29="new and follow investments",((P8/$E8*'Get Started'!$E36*(1-$E157-$E158-$E159)+P160*'Get Started'!$E36*P8) + (P8/$E8*'Get Started'!$E36*(1-$E157-$E158-$E159)+P160*'Get Started'!$E36*P8)*'Get Started'!$F36/'Get Started'!$E36)*$E180/$E11*'Get Started'!$E36,0)</f>
        <v>0</v>
      </c>
      <c r="Q161" s="85">
        <f ca="1">Q8/$E8*'Get Started'!$E36*(1-$E157-$E158-$E159)+Q160*'Get Started'!$E36*Q8 + IF('Get Started'!$E29="new and follow investments",((Q8/$E8*'Get Started'!$E36*(1-$E157-$E158-$E159)+Q160*'Get Started'!$E36*Q8) + (Q8/$E8*'Get Started'!$E36*(1-$E157-$E158-$E159)+Q160*'Get Started'!$E36*Q8)*'Get Started'!$F36/'Get Started'!$E36)*$E180/$E11*'Get Started'!$E36,0)</f>
        <v>0</v>
      </c>
      <c r="R161" s="85">
        <f ca="1">R8/$E8*'Get Started'!$E36*(1-$E157-$E158-$E159)+R160*'Get Started'!$E36*R8 + IF('Get Started'!$E29="new and follow investments",((R8/$E8*'Get Started'!$E36*(1-$E157-$E158-$E159)+R160*'Get Started'!$E36*R8) + (R8/$E8*'Get Started'!$E36*(1-$E157-$E158-$E159)+R160*'Get Started'!$E36*R8)*'Get Started'!$F36/'Get Started'!$E36)*$E180/$E11*'Get Started'!$E36,0)</f>
        <v>0</v>
      </c>
      <c r="S161" s="85">
        <f ca="1">S8/$E8*'Get Started'!$E36*(1-$E157-$E158-$E159)+S160*'Get Started'!$E36*S8 + IF('Get Started'!$E29="new and follow investments",((S8/$E8*'Get Started'!$E36*(1-$E157-$E158-$E159)+S160*'Get Started'!$E36*S8) + (S8/$E8*'Get Started'!$E36*(1-$E157-$E158-$E159)+S160*'Get Started'!$E36*S8)*'Get Started'!$F36/'Get Started'!$E36)*$E180/$E11*'Get Started'!$E36,0)</f>
        <v>0</v>
      </c>
      <c r="T161" s="85">
        <f ca="1">T8/$E8*'Get Started'!$E36*(1-$E157-$E158-$E159)+T160*'Get Started'!$E36*T8 + IF('Get Started'!$E29="new and follow investments",((T8/$E8*'Get Started'!$E36*(1-$E157-$E158-$E159)+T160*'Get Started'!$E36*T8) + (T8/$E8*'Get Started'!$E36*(1-$E157-$E158-$E159)+T160*'Get Started'!$E36*T8)*'Get Started'!$F36/'Get Started'!$E36)*$E180/$E11*'Get Started'!$E36,0)</f>
        <v>0</v>
      </c>
      <c r="U161" s="85">
        <f ca="1">U8/$E8*'Get Started'!$E36*(1-$E157-$E158-$E159)+U160*'Get Started'!$E36*U8 + IF('Get Started'!$E29="new and follow investments",((U8/$E8*'Get Started'!$E36*(1-$E157-$E158-$E159)+U160*'Get Started'!$E36*U8) + (U8/$E8*'Get Started'!$E36*(1-$E157-$E158-$E159)+U160*'Get Started'!$E36*U8)*'Get Started'!$F36/'Get Started'!$E36)*$E180/$E11*'Get Started'!$E36,0)</f>
        <v>0</v>
      </c>
      <c r="V161" s="85">
        <f ca="1">V8/$E8*'Get Started'!$E36*(1-$E157-$E158-$E159)+V160*'Get Started'!$E36*V8 + IF('Get Started'!$E29="new and follow investments",((V8/$E8*'Get Started'!$E36*(1-$E157-$E158-$E159)+V160*'Get Started'!$E36*V8) + (V8/$E8*'Get Started'!$E36*(1-$E157-$E158-$E159)+V160*'Get Started'!$E36*V8)*'Get Started'!$F36/'Get Started'!$E36)*$E180/$E11*'Get Started'!$E36,0)</f>
        <v>0</v>
      </c>
      <c r="W161" s="85">
        <f ca="1">W8/$E8*'Get Started'!$E36*(1-$E157-$E158-$E159)+W160*'Get Started'!$E36*W8 + IF('Get Started'!$E29="new and follow investments",((W8/$E8*'Get Started'!$E36*(1-$E157-$E158-$E159)+W160*'Get Started'!$E36*W8) + (W8/$E8*'Get Started'!$E36*(1-$E157-$E158-$E159)+W160*'Get Started'!$E36*W8)*'Get Started'!$F36/'Get Started'!$E36)*$E180/$E11*'Get Started'!$E36,0)</f>
        <v>0</v>
      </c>
      <c r="X161" s="85">
        <f ca="1">X8/$E8*'Get Started'!$E36*(1-$E157-$E158-$E159)+X160*'Get Started'!$E36*X8 + IF('Get Started'!$E29="new and follow investments",((X8/$E8*'Get Started'!$E36*(1-$E157-$E158-$E159)+X160*'Get Started'!$E36*X8) + (X8/$E8*'Get Started'!$E36*(1-$E157-$E158-$E159)+X160*'Get Started'!$E36*X8)*'Get Started'!$F36/'Get Started'!$E36)*$E180/$E11*'Get Started'!$E36,0)</f>
        <v>0</v>
      </c>
      <c r="Y161" s="85">
        <f ca="1">Y8/$E8*'Get Started'!$E36*(1-$E157-$E158-$E159)+Y160*'Get Started'!$E36*Y8 + IF('Get Started'!$E29="new and follow investments",((Y8/$E8*'Get Started'!$E36*(1-$E157-$E158-$E159)+Y160*'Get Started'!$E36*Y8) + (Y8/$E8*'Get Started'!$E36*(1-$E157-$E158-$E159)+Y160*'Get Started'!$E36*Y8)*'Get Started'!$F36/'Get Started'!$E36)*$E180/$E11*'Get Started'!$E36,0)</f>
        <v>0</v>
      </c>
      <c r="Z161" s="85">
        <f ca="1">Z8/$E8*'Get Started'!$E36*(1-$E157-$E158-$E159)+Z160*'Get Started'!$E36*Z8 + IF('Get Started'!$E29="new and follow investments",((Z8/$E8*'Get Started'!$E36*(1-$E157-$E158-$E159)+Z160*'Get Started'!$E36*Z8) + (Z8/$E8*'Get Started'!$E36*(1-$E157-$E158-$E159)+Z160*'Get Started'!$E36*Z8)*'Get Started'!$F36/'Get Started'!$E36)*$E180/$E11*'Get Started'!$E36,0)</f>
        <v>0</v>
      </c>
    </row>
    <row r="162" spans="1:26" ht="13" outlineLevel="1">
      <c r="A162" s="34"/>
      <c r="B162" s="34" t="s">
        <v>262</v>
      </c>
      <c r="C162" s="34"/>
      <c r="D162" s="34" t="s">
        <v>163</v>
      </c>
      <c r="E162" s="83">
        <f t="shared" ca="1" si="116"/>
        <v>0</v>
      </c>
      <c r="F162" s="64"/>
      <c r="G162" s="85">
        <f>F161*'Get Started'!$F36/'Get Started'!$E36</f>
        <v>0</v>
      </c>
      <c r="H162" s="85">
        <f ca="1">G161*'Get Started'!$F36/'Get Started'!$E36</f>
        <v>0</v>
      </c>
      <c r="I162" s="85">
        <f ca="1">H161*'Get Started'!$F36/'Get Started'!$E36</f>
        <v>0</v>
      </c>
      <c r="J162" s="85">
        <f ca="1">I161*'Get Started'!$F36/'Get Started'!$E36</f>
        <v>0</v>
      </c>
      <c r="K162" s="85">
        <f ca="1">J161*'Get Started'!$F36/'Get Started'!$E36</f>
        <v>0</v>
      </c>
      <c r="L162" s="85">
        <f ca="1">K161*'Get Started'!$F36/'Get Started'!$E36</f>
        <v>0</v>
      </c>
      <c r="M162" s="85">
        <f ca="1">L161*'Get Started'!$F36/'Get Started'!$E36</f>
        <v>0</v>
      </c>
      <c r="N162" s="85">
        <f ca="1">M161*'Get Started'!$F36/'Get Started'!$E36</f>
        <v>0</v>
      </c>
      <c r="O162" s="85">
        <f ca="1">N161*'Get Started'!$F36/'Get Started'!$E36</f>
        <v>0</v>
      </c>
      <c r="P162" s="85">
        <f ca="1">O161*'Get Started'!$F36/'Get Started'!$E36</f>
        <v>0</v>
      </c>
      <c r="Q162" s="85">
        <f ca="1">P161*'Get Started'!$F36/'Get Started'!$E36</f>
        <v>0</v>
      </c>
      <c r="R162" s="85">
        <f ca="1">Q161*'Get Started'!$F36/'Get Started'!$E36</f>
        <v>0</v>
      </c>
      <c r="S162" s="85">
        <f ca="1">R161*'Get Started'!$F36/'Get Started'!$E36</f>
        <v>0</v>
      </c>
      <c r="T162" s="85">
        <f ca="1">S161*'Get Started'!$F36/'Get Started'!$E36</f>
        <v>0</v>
      </c>
      <c r="U162" s="85">
        <f ca="1">T161*'Get Started'!$F36/'Get Started'!$E36</f>
        <v>0</v>
      </c>
      <c r="V162" s="85">
        <f ca="1">U161*'Get Started'!$F36/'Get Started'!$E36</f>
        <v>0</v>
      </c>
      <c r="W162" s="85">
        <f ca="1">V161*'Get Started'!$F36/'Get Started'!$E36</f>
        <v>0</v>
      </c>
      <c r="X162" s="85">
        <f ca="1">W161*'Get Started'!$F36/'Get Started'!$E36</f>
        <v>0</v>
      </c>
      <c r="Y162" s="85">
        <f ca="1">X161*'Get Started'!$F36/'Get Started'!$E36</f>
        <v>0</v>
      </c>
      <c r="Z162" s="85">
        <f ca="1">Y161*'Get Started'!$F36/'Get Started'!$E36</f>
        <v>0</v>
      </c>
    </row>
    <row r="163" spans="1:26" ht="13" outlineLevel="1">
      <c r="A163" s="34"/>
      <c r="B163" s="34" t="s">
        <v>263</v>
      </c>
      <c r="C163" s="34"/>
      <c r="D163" s="34" t="s">
        <v>163</v>
      </c>
      <c r="E163" s="83">
        <f t="shared" ca="1" si="116"/>
        <v>0.80849999999999989</v>
      </c>
      <c r="F163" s="64"/>
      <c r="G163" s="85">
        <f t="shared" ref="G163:Z163" ca="1" si="120">G161+H162</f>
        <v>0.19249999999999998</v>
      </c>
      <c r="H163" s="85">
        <f t="shared" ca="1" si="120"/>
        <v>0.19249999999999998</v>
      </c>
      <c r="I163" s="85">
        <f t="shared" ca="1" si="120"/>
        <v>0.19249999999999998</v>
      </c>
      <c r="J163" s="85">
        <f t="shared" ca="1" si="120"/>
        <v>0.23099999999999998</v>
      </c>
      <c r="K163" s="85">
        <f t="shared" ca="1" si="120"/>
        <v>0</v>
      </c>
      <c r="L163" s="85">
        <f t="shared" ca="1" si="120"/>
        <v>0</v>
      </c>
      <c r="M163" s="85">
        <f t="shared" ca="1" si="120"/>
        <v>0</v>
      </c>
      <c r="N163" s="85">
        <f t="shared" ca="1" si="120"/>
        <v>0</v>
      </c>
      <c r="O163" s="85">
        <f t="shared" ca="1" si="120"/>
        <v>0</v>
      </c>
      <c r="P163" s="85">
        <f t="shared" ca="1" si="120"/>
        <v>0</v>
      </c>
      <c r="Q163" s="85">
        <f t="shared" ca="1" si="120"/>
        <v>0</v>
      </c>
      <c r="R163" s="85">
        <f t="shared" ca="1" si="120"/>
        <v>0</v>
      </c>
      <c r="S163" s="85">
        <f t="shared" ca="1" si="120"/>
        <v>0</v>
      </c>
      <c r="T163" s="85">
        <f t="shared" ca="1" si="120"/>
        <v>0</v>
      </c>
      <c r="U163" s="85">
        <f t="shared" ca="1" si="120"/>
        <v>0</v>
      </c>
      <c r="V163" s="85">
        <f t="shared" ca="1" si="120"/>
        <v>0</v>
      </c>
      <c r="W163" s="85">
        <f t="shared" ca="1" si="120"/>
        <v>0</v>
      </c>
      <c r="X163" s="85">
        <f t="shared" ca="1" si="120"/>
        <v>0</v>
      </c>
      <c r="Y163" s="85">
        <f t="shared" ca="1" si="120"/>
        <v>0</v>
      </c>
      <c r="Z163" s="85">
        <f t="shared" ca="1" si="120"/>
        <v>0</v>
      </c>
    </row>
    <row r="164" spans="1:26" ht="13" outlineLevel="1">
      <c r="A164" s="34"/>
      <c r="B164" s="34" t="s">
        <v>103</v>
      </c>
      <c r="C164" s="34"/>
      <c r="D164" s="34" t="s">
        <v>163</v>
      </c>
      <c r="E164" s="83">
        <f t="shared" ca="1" si="116"/>
        <v>0.80849999999999989</v>
      </c>
      <c r="F164" s="64"/>
      <c r="G164" s="85">
        <f t="shared" ref="G164:Z164" ca="1" si="121">G161+G162</f>
        <v>0.19249999999999998</v>
      </c>
      <c r="H164" s="85">
        <f t="shared" ca="1" si="121"/>
        <v>0.19249999999999998</v>
      </c>
      <c r="I164" s="85">
        <f t="shared" ca="1" si="121"/>
        <v>0.19249999999999998</v>
      </c>
      <c r="J164" s="85">
        <f t="shared" ca="1" si="121"/>
        <v>0.23099999999999998</v>
      </c>
      <c r="K164" s="85">
        <f t="shared" ca="1" si="121"/>
        <v>0</v>
      </c>
      <c r="L164" s="85">
        <f t="shared" ca="1" si="121"/>
        <v>0</v>
      </c>
      <c r="M164" s="85">
        <f t="shared" ca="1" si="121"/>
        <v>0</v>
      </c>
      <c r="N164" s="85">
        <f t="shared" ca="1" si="121"/>
        <v>0</v>
      </c>
      <c r="O164" s="85">
        <f t="shared" ca="1" si="121"/>
        <v>0</v>
      </c>
      <c r="P164" s="85">
        <f t="shared" ca="1" si="121"/>
        <v>0</v>
      </c>
      <c r="Q164" s="85">
        <f t="shared" ca="1" si="121"/>
        <v>0</v>
      </c>
      <c r="R164" s="85">
        <f t="shared" ca="1" si="121"/>
        <v>0</v>
      </c>
      <c r="S164" s="85">
        <f t="shared" ca="1" si="121"/>
        <v>0</v>
      </c>
      <c r="T164" s="85">
        <f t="shared" ca="1" si="121"/>
        <v>0</v>
      </c>
      <c r="U164" s="85">
        <f t="shared" ca="1" si="121"/>
        <v>0</v>
      </c>
      <c r="V164" s="85">
        <f t="shared" ca="1" si="121"/>
        <v>0</v>
      </c>
      <c r="W164" s="85">
        <f t="shared" ca="1" si="121"/>
        <v>0</v>
      </c>
      <c r="X164" s="85">
        <f t="shared" ca="1" si="121"/>
        <v>0</v>
      </c>
      <c r="Y164" s="85">
        <f t="shared" ca="1" si="121"/>
        <v>0</v>
      </c>
      <c r="Z164" s="85">
        <f t="shared" ca="1" si="121"/>
        <v>0</v>
      </c>
    </row>
    <row r="165" spans="1:26" ht="13" outlineLevel="1">
      <c r="A165" s="34"/>
      <c r="B165" s="34" t="s">
        <v>264</v>
      </c>
      <c r="C165" s="34"/>
      <c r="D165" s="34" t="s">
        <v>163</v>
      </c>
      <c r="E165" s="83">
        <f t="shared" ca="1" si="116"/>
        <v>0.80849999999999989</v>
      </c>
      <c r="F165" s="64"/>
      <c r="G165" s="85">
        <f ca="1">IF(G4&lt;'Get Started'!$H48,0,OFFSET(G163,0,-1*'Get Started'!$H48)*'Get Started'!$E48)+IF(G4&lt;'Get Started'!$H47,0,OFFSET(G163,0,-1*'Get Started'!$H47)*'Get Started'!$E47)+IF(G4&lt;'Get Started'!$H46,0,OFFSET(G163,0,-1*'Get Started'!$H46)*'Get Started'!$E46)+IF(G4&lt;'Get Started'!$H45,0,OFFSET(G163,0,-1*'Get Started'!$H45)*'Get Started'!$E45)</f>
        <v>0</v>
      </c>
      <c r="H165" s="85">
        <f ca="1">IF(H4&lt;'Get Started'!$H48,0,OFFSET(H163,0,-1*'Get Started'!$H48)*'Get Started'!$E48)+IF(H4&lt;'Get Started'!$H47,0,OFFSET(H163,0,-1*'Get Started'!$H47)*'Get Started'!$E47)+IF(H4&lt;'Get Started'!$H46,0,OFFSET(H163,0,-1*'Get Started'!$H46)*'Get Started'!$E46)+IF(H4&lt;'Get Started'!$H45,0,OFFSET(H163,0,-1*'Get Started'!$H45)*'Get Started'!$E45)</f>
        <v>0</v>
      </c>
      <c r="I165" s="85">
        <f ca="1">IF(I4&lt;'Get Started'!$H48,0,OFFSET(I163,0,-1*'Get Started'!$H48)*'Get Started'!$E48)+IF(I4&lt;'Get Started'!$H47,0,OFFSET(I163,0,-1*'Get Started'!$H47)*'Get Started'!$E47)+IF(I4&lt;'Get Started'!$H46,0,OFFSET(I163,0,-1*'Get Started'!$H46)*'Get Started'!$E46)+IF(I4&lt;'Get Started'!$H45,0,OFFSET(I163,0,-1*'Get Started'!$H45)*'Get Started'!$E45)</f>
        <v>0.11549999999999998</v>
      </c>
      <c r="J165" s="85">
        <f ca="1">IF(J4&lt;'Get Started'!$H48,0,OFFSET(J163,0,-1*'Get Started'!$H48)*'Get Started'!$E48)+IF(J4&lt;'Get Started'!$H47,0,OFFSET(J163,0,-1*'Get Started'!$H47)*'Get Started'!$E47)+IF(J4&lt;'Get Started'!$H46,0,OFFSET(J163,0,-1*'Get Started'!$H46)*'Get Started'!$E46)+IF(J4&lt;'Get Started'!$H45,0,OFFSET(J163,0,-1*'Get Started'!$H45)*'Get Started'!$E45)</f>
        <v>0.15399999999999997</v>
      </c>
      <c r="K165" s="85">
        <f ca="1">IF(K4&lt;'Get Started'!$H48,0,OFFSET(K163,0,-1*'Get Started'!$H48)*'Get Started'!$E48)+IF(K4&lt;'Get Started'!$H47,0,OFFSET(K163,0,-1*'Get Started'!$H47)*'Get Started'!$E47)+IF(K4&lt;'Get Started'!$H46,0,OFFSET(K163,0,-1*'Get Started'!$H46)*'Get Started'!$E46)+IF(K4&lt;'Get Started'!$H45,0,OFFSET(K163,0,-1*'Get Started'!$H45)*'Get Started'!$E45)</f>
        <v>0.17324999999999996</v>
      </c>
      <c r="L165" s="85">
        <f ca="1">IF(L4&lt;'Get Started'!$H48,0,OFFSET(L163,0,-1*'Get Started'!$H48)*'Get Started'!$E48)+IF(L4&lt;'Get Started'!$H47,0,OFFSET(L163,0,-1*'Get Started'!$H47)*'Get Started'!$E47)+IF(L4&lt;'Get Started'!$H46,0,OFFSET(L163,0,-1*'Get Started'!$H46)*'Get Started'!$E46)+IF(L4&lt;'Get Started'!$H45,0,OFFSET(L163,0,-1*'Get Started'!$H45)*'Get Started'!$E45)</f>
        <v>0.19634999999999997</v>
      </c>
      <c r="M165" s="85">
        <f ca="1">IF(M4&lt;'Get Started'!$H48,0,OFFSET(M163,0,-1*'Get Started'!$H48)*'Get Started'!$E48)+IF(M4&lt;'Get Started'!$H47,0,OFFSET(M163,0,-1*'Get Started'!$H47)*'Get Started'!$E47)+IF(M4&lt;'Get Started'!$H46,0,OFFSET(M163,0,-1*'Get Started'!$H46)*'Get Started'!$E46)+IF(M4&lt;'Get Started'!$H45,0,OFFSET(M163,0,-1*'Get Started'!$H45)*'Get Started'!$E45)</f>
        <v>8.4699999999999998E-2</v>
      </c>
      <c r="N165" s="85">
        <f ca="1">IF(N4&lt;'Get Started'!$H48,0,OFFSET(N163,0,-1*'Get Started'!$H48)*'Get Started'!$E48)+IF(N4&lt;'Get Started'!$H47,0,OFFSET(N163,0,-1*'Get Started'!$H47)*'Get Started'!$E47)+IF(N4&lt;'Get Started'!$H46,0,OFFSET(N163,0,-1*'Get Started'!$H46)*'Get Started'!$E46)+IF(N4&lt;'Get Started'!$H45,0,OFFSET(N163,0,-1*'Get Started'!$H45)*'Get Started'!$E45)</f>
        <v>4.2349999999999992E-2</v>
      </c>
      <c r="O165" s="85">
        <f ca="1">IF(O4&lt;'Get Started'!$H48,0,OFFSET(O163,0,-1*'Get Started'!$H48)*'Get Started'!$E48)+IF(O4&lt;'Get Started'!$H47,0,OFFSET(O163,0,-1*'Get Started'!$H47)*'Get Started'!$E47)+IF(O4&lt;'Get Started'!$H46,0,OFFSET(O163,0,-1*'Get Started'!$H46)*'Get Started'!$E46)+IF(O4&lt;'Get Started'!$H45,0,OFFSET(O163,0,-1*'Get Started'!$H45)*'Get Started'!$E45)</f>
        <v>1.9249999999999993E-2</v>
      </c>
      <c r="P165" s="85">
        <f ca="1">IF(P4&lt;'Get Started'!$H48,0,OFFSET(P163,0,-1*'Get Started'!$H48)*'Get Started'!$E48)+IF(P4&lt;'Get Started'!$H47,0,OFFSET(P163,0,-1*'Get Started'!$H47)*'Get Started'!$E47)+IF(P4&lt;'Get Started'!$H46,0,OFFSET(P163,0,-1*'Get Started'!$H46)*'Get Started'!$E46)+IF(P4&lt;'Get Started'!$H45,0,OFFSET(P163,0,-1*'Get Started'!$H45)*'Get Started'!$E45)</f>
        <v>2.3099999999999992E-2</v>
      </c>
      <c r="Q165" s="85">
        <f ca="1">IF(Q4&lt;'Get Started'!$H48,0,OFFSET(Q163,0,-1*'Get Started'!$H48)*'Get Started'!$E48)+IF(Q4&lt;'Get Started'!$H47,0,OFFSET(Q163,0,-1*'Get Started'!$H47)*'Get Started'!$E47)+IF(Q4&lt;'Get Started'!$H46,0,OFFSET(Q163,0,-1*'Get Started'!$H46)*'Get Started'!$E46)+IF(Q4&lt;'Get Started'!$H45,0,OFFSET(Q163,0,-1*'Get Started'!$H45)*'Get Started'!$E45)</f>
        <v>0</v>
      </c>
      <c r="R165" s="85">
        <f ca="1">IF(R4&lt;'Get Started'!$H48,0,OFFSET(R163,0,-1*'Get Started'!$H48)*'Get Started'!$E48)+IF(R4&lt;'Get Started'!$H47,0,OFFSET(R163,0,-1*'Get Started'!$H47)*'Get Started'!$E47)+IF(R4&lt;'Get Started'!$H46,0,OFFSET(R163,0,-1*'Get Started'!$H46)*'Get Started'!$E46)+IF(R4&lt;'Get Started'!$H45,0,OFFSET(R163,0,-1*'Get Started'!$H45)*'Get Started'!$E45)</f>
        <v>0</v>
      </c>
      <c r="S165" s="85">
        <f ca="1">IF(S4&lt;'Get Started'!$H48,0,OFFSET(S163,0,-1*'Get Started'!$H48)*'Get Started'!$E48)+IF(S4&lt;'Get Started'!$H47,0,OFFSET(S163,0,-1*'Get Started'!$H47)*'Get Started'!$E47)+IF(S4&lt;'Get Started'!$H46,0,OFFSET(S163,0,-1*'Get Started'!$H46)*'Get Started'!$E46)+IF(S4&lt;'Get Started'!$H45,0,OFFSET(S163,0,-1*'Get Started'!$H45)*'Get Started'!$E45)</f>
        <v>0</v>
      </c>
      <c r="T165" s="85">
        <f ca="1">IF(T4&lt;'Get Started'!$H48,0,OFFSET(T163,0,-1*'Get Started'!$H48)*'Get Started'!$E48)+IF(T4&lt;'Get Started'!$H47,0,OFFSET(T163,0,-1*'Get Started'!$H47)*'Get Started'!$E47)+IF(T4&lt;'Get Started'!$H46,0,OFFSET(T163,0,-1*'Get Started'!$H46)*'Get Started'!$E46)+IF(T4&lt;'Get Started'!$H45,0,OFFSET(T163,0,-1*'Get Started'!$H45)*'Get Started'!$E45)</f>
        <v>0</v>
      </c>
      <c r="U165" s="85">
        <f ca="1">IF(U4&lt;'Get Started'!$H48,0,OFFSET(U163,0,-1*'Get Started'!$H48)*'Get Started'!$E48)+IF(U4&lt;'Get Started'!$H47,0,OFFSET(U163,0,-1*'Get Started'!$H47)*'Get Started'!$E47)+IF(U4&lt;'Get Started'!$H46,0,OFFSET(U163,0,-1*'Get Started'!$H46)*'Get Started'!$E46)+IF(U4&lt;'Get Started'!$H45,0,OFFSET(U163,0,-1*'Get Started'!$H45)*'Get Started'!$E45)</f>
        <v>0</v>
      </c>
      <c r="V165" s="85">
        <f ca="1">IF(V4&lt;'Get Started'!$H48,0,OFFSET(V163,0,-1*'Get Started'!$H48)*'Get Started'!$E48)+IF(V4&lt;'Get Started'!$H47,0,OFFSET(V163,0,-1*'Get Started'!$H47)*'Get Started'!$E47)+IF(V4&lt;'Get Started'!$H46,0,OFFSET(V163,0,-1*'Get Started'!$H46)*'Get Started'!$E46)+IF(V4&lt;'Get Started'!$H45,0,OFFSET(V163,0,-1*'Get Started'!$H45)*'Get Started'!$E45)</f>
        <v>0</v>
      </c>
      <c r="W165" s="85">
        <f ca="1">IF(W4&lt;'Get Started'!$H48,0,OFFSET(W163,0,-1*'Get Started'!$H48)*'Get Started'!$E48)+IF(W4&lt;'Get Started'!$H47,0,OFFSET(W163,0,-1*'Get Started'!$H47)*'Get Started'!$E47)+IF(W4&lt;'Get Started'!$H46,0,OFFSET(W163,0,-1*'Get Started'!$H46)*'Get Started'!$E46)+IF(W4&lt;'Get Started'!$H45,0,OFFSET(W163,0,-1*'Get Started'!$H45)*'Get Started'!$E45)</f>
        <v>0</v>
      </c>
      <c r="X165" s="85">
        <f ca="1">IF(X4&lt;'Get Started'!$H48,0,OFFSET(X163,0,-1*'Get Started'!$H48)*'Get Started'!$E48)+IF(X4&lt;'Get Started'!$H47,0,OFFSET(X163,0,-1*'Get Started'!$H47)*'Get Started'!$E47)+IF(X4&lt;'Get Started'!$H46,0,OFFSET(X163,0,-1*'Get Started'!$H46)*'Get Started'!$E46)+IF(X4&lt;'Get Started'!$H45,0,OFFSET(X163,0,-1*'Get Started'!$H45)*'Get Started'!$E45)</f>
        <v>0</v>
      </c>
      <c r="Y165" s="85">
        <f ca="1">IF(Y4&lt;'Get Started'!$H48,0,OFFSET(Y163,0,-1*'Get Started'!$H48)*'Get Started'!$E48)+IF(Y4&lt;'Get Started'!$H47,0,OFFSET(Y163,0,-1*'Get Started'!$H47)*'Get Started'!$E47)+IF(Y4&lt;'Get Started'!$H46,0,OFFSET(Y163,0,-1*'Get Started'!$H46)*'Get Started'!$E46)+IF(Y4&lt;'Get Started'!$H45,0,OFFSET(Y163,0,-1*'Get Started'!$H45)*'Get Started'!$E45)</f>
        <v>0</v>
      </c>
      <c r="Z165" s="85">
        <f ca="1">IF(Z4&lt;'Get Started'!$H48,0,OFFSET(Z163,0,-1*'Get Started'!$H48)*'Get Started'!$E48)+IF(Z4&lt;'Get Started'!$H47,0,OFFSET(Z163,0,-1*'Get Started'!$H47)*'Get Started'!$E47)+IF(Z4&lt;'Get Started'!$H46,0,OFFSET(Z163,0,-1*'Get Started'!$H46)*'Get Started'!$E46)+IF(Z4&lt;'Get Started'!$H45,0,OFFSET(Z163,0,-1*'Get Started'!$H45)*'Get Started'!$E45)</f>
        <v>0</v>
      </c>
    </row>
    <row r="166" spans="1:26" ht="13" outlineLevel="1">
      <c r="A166" s="34"/>
      <c r="B166" s="34" t="str">
        <f>"cumulative "&amp;B164</f>
        <v>cumulative invested capital</v>
      </c>
      <c r="C166" s="34"/>
      <c r="D166" s="34" t="s">
        <v>173</v>
      </c>
      <c r="E166" s="83">
        <f t="shared" ca="1" si="116"/>
        <v>0</v>
      </c>
      <c r="F166" s="64"/>
      <c r="G166" s="85">
        <f t="shared" ref="G166:Z166" ca="1" si="122">ROUND(G161+G162+F166+G165*-1,10)</f>
        <v>0.1925</v>
      </c>
      <c r="H166" s="85">
        <f t="shared" ca="1" si="122"/>
        <v>0.38500000000000001</v>
      </c>
      <c r="I166" s="85">
        <f t="shared" ca="1" si="122"/>
        <v>0.46200000000000002</v>
      </c>
      <c r="J166" s="85">
        <f t="shared" ca="1" si="122"/>
        <v>0.53900000000000003</v>
      </c>
      <c r="K166" s="85">
        <f t="shared" ca="1" si="122"/>
        <v>0.36575000000000002</v>
      </c>
      <c r="L166" s="85">
        <f t="shared" ca="1" si="122"/>
        <v>0.1694</v>
      </c>
      <c r="M166" s="85">
        <f t="shared" ca="1" si="122"/>
        <v>8.4699999999999998E-2</v>
      </c>
      <c r="N166" s="85">
        <f t="shared" ca="1" si="122"/>
        <v>4.2349999999999999E-2</v>
      </c>
      <c r="O166" s="85">
        <f t="shared" ca="1" si="122"/>
        <v>2.3099999999999999E-2</v>
      </c>
      <c r="P166" s="85">
        <f t="shared" ca="1" si="122"/>
        <v>0</v>
      </c>
      <c r="Q166" s="85">
        <f t="shared" ca="1" si="122"/>
        <v>0</v>
      </c>
      <c r="R166" s="85">
        <f t="shared" ca="1" si="122"/>
        <v>0</v>
      </c>
      <c r="S166" s="85">
        <f t="shared" ca="1" si="122"/>
        <v>0</v>
      </c>
      <c r="T166" s="85">
        <f t="shared" ca="1" si="122"/>
        <v>0</v>
      </c>
      <c r="U166" s="85">
        <f t="shared" ca="1" si="122"/>
        <v>0</v>
      </c>
      <c r="V166" s="85">
        <f t="shared" ca="1" si="122"/>
        <v>0</v>
      </c>
      <c r="W166" s="85">
        <f t="shared" ca="1" si="122"/>
        <v>0</v>
      </c>
      <c r="X166" s="85">
        <f t="shared" ca="1" si="122"/>
        <v>0</v>
      </c>
      <c r="Y166" s="85">
        <f t="shared" ca="1" si="122"/>
        <v>0</v>
      </c>
      <c r="Z166" s="85">
        <f t="shared" ca="1" si="122"/>
        <v>0</v>
      </c>
    </row>
    <row r="167" spans="1:26" ht="13" outlineLevel="1">
      <c r="A167" s="34"/>
      <c r="B167" s="34" t="s">
        <v>265</v>
      </c>
      <c r="C167" s="34"/>
      <c r="D167" s="34" t="s">
        <v>163</v>
      </c>
      <c r="E167" s="83">
        <f t="shared" ca="1" si="116"/>
        <v>3.2339999999999995</v>
      </c>
      <c r="F167" s="64"/>
      <c r="G167" s="85">
        <f ca="1">(IF(G4&lt;'Get Started'!$H48,0,OFFSET(G163,0,-1*'Get Started'!$H48)*'Get Started'!$E48*'Get Started'!$G48)+IF(G4&lt;'Get Started'!$H47,0,OFFSET(G163,0,-1*'Get Started'!$H47)*'Get Started'!$E47*'Get Started'!$G47)+IF(G4&lt;'Get Started'!$H46,0,OFFSET(G163,0,-1*'Get Started'!$H46)*'Get Started'!$E46*'Get Started'!$G46)+IF(G4&lt;'Get Started'!$H45,0,OFFSET(G163,0,-1*'Get Started'!$H45)*'Get Started'!$E45*'Get Started'!$G45))</f>
        <v>0</v>
      </c>
      <c r="H167" s="85">
        <f ca="1">(IF(H4&lt;'Get Started'!$H48,0,OFFSET(H163,0,-1*'Get Started'!$H48)*'Get Started'!$E48*'Get Started'!$G48)+IF(H4&lt;'Get Started'!$H47,0,OFFSET(H163,0,-1*'Get Started'!$H47)*'Get Started'!$E47*'Get Started'!$G47)+IF(H4&lt;'Get Started'!$H46,0,OFFSET(H163,0,-1*'Get Started'!$H46)*'Get Started'!$E46*'Get Started'!$G46)+IF(H4&lt;'Get Started'!$H45,0,OFFSET(H163,0,-1*'Get Started'!$H45)*'Get Started'!$E45*'Get Started'!$G45))</f>
        <v>0</v>
      </c>
      <c r="I167" s="85">
        <f ca="1">(IF(I4&lt;'Get Started'!$H48,0,OFFSET(I163,0,-1*'Get Started'!$H48)*'Get Started'!$E48*'Get Started'!$G48)+IF(I4&lt;'Get Started'!$H47,0,OFFSET(I163,0,-1*'Get Started'!$H47)*'Get Started'!$E47*'Get Started'!$G47)+IF(I4&lt;'Get Started'!$H46,0,OFFSET(I163,0,-1*'Get Started'!$H46)*'Get Started'!$E46*'Get Started'!$G46)+IF(I4&lt;'Get Started'!$H45,0,OFFSET(I163,0,-1*'Get Started'!$H45)*'Get Started'!$E45*'Get Started'!$G45))</f>
        <v>0</v>
      </c>
      <c r="J167" s="85">
        <f ca="1">(IF(J4&lt;'Get Started'!$H48,0,OFFSET(J163,0,-1*'Get Started'!$H48)*'Get Started'!$E48*'Get Started'!$G48)+IF(J4&lt;'Get Started'!$H47,0,OFFSET(J163,0,-1*'Get Started'!$H47)*'Get Started'!$E47*'Get Started'!$G47)+IF(J4&lt;'Get Started'!$H46,0,OFFSET(J163,0,-1*'Get Started'!$H46)*'Get Started'!$E46*'Get Started'!$G46)+IF(J4&lt;'Get Started'!$H45,0,OFFSET(J163,0,-1*'Get Started'!$H45)*'Get Started'!$E45*'Get Started'!$G45))</f>
        <v>5.7749999999999996E-2</v>
      </c>
      <c r="K167" s="85">
        <f ca="1">(IF(K4&lt;'Get Started'!$H48,0,OFFSET(K163,0,-1*'Get Started'!$H48)*'Get Started'!$E48*'Get Started'!$G48)+IF(K4&lt;'Get Started'!$H47,0,OFFSET(K163,0,-1*'Get Started'!$H47)*'Get Started'!$E47*'Get Started'!$G47)+IF(K4&lt;'Get Started'!$H46,0,OFFSET(K163,0,-1*'Get Started'!$H46)*'Get Started'!$E46*'Get Started'!$G46)+IF(K4&lt;'Get Started'!$H45,0,OFFSET(K163,0,-1*'Get Started'!$H45)*'Get Started'!$E45*'Get Started'!$G45))</f>
        <v>0.154</v>
      </c>
      <c r="L167" s="85">
        <f ca="1">(IF(L4&lt;'Get Started'!$H48,0,OFFSET(L163,0,-1*'Get Started'!$H48)*'Get Started'!$E48*'Get Started'!$G48)+IF(L4&lt;'Get Started'!$H47,0,OFFSET(L163,0,-1*'Get Started'!$H47)*'Get Started'!$E47*'Get Started'!$G47)+IF(L4&lt;'Get Started'!$H46,0,OFFSET(L163,0,-1*'Get Started'!$H46)*'Get Started'!$E46*'Get Started'!$G46)+IF(L4&lt;'Get Started'!$H45,0,OFFSET(L163,0,-1*'Get Started'!$H45)*'Get Started'!$E45*'Get Started'!$G45))</f>
        <v>0.154</v>
      </c>
      <c r="M167" s="85">
        <f ca="1">(IF(M4&lt;'Get Started'!$H48,0,OFFSET(M163,0,-1*'Get Started'!$H48)*'Get Started'!$E48*'Get Started'!$G48)+IF(M4&lt;'Get Started'!$H47,0,OFFSET(M163,0,-1*'Get Started'!$H47)*'Get Started'!$E47*'Get Started'!$G47)+IF(M4&lt;'Get Started'!$H46,0,OFFSET(M163,0,-1*'Get Started'!$H46)*'Get Started'!$E46*'Get Started'!$G46)+IF(M4&lt;'Get Started'!$H45,0,OFFSET(M163,0,-1*'Get Started'!$H45)*'Get Started'!$E45*'Get Started'!$G45))</f>
        <v>0.78154999999999986</v>
      </c>
      <c r="N167" s="85">
        <f ca="1">(IF(N4&lt;'Get Started'!$H48,0,OFFSET(N163,0,-1*'Get Started'!$H48)*'Get Started'!$E48*'Get Started'!$G48)+IF(N4&lt;'Get Started'!$H47,0,OFFSET(N163,0,-1*'Get Started'!$H47)*'Get Started'!$E47*'Get Started'!$G47)+IF(N4&lt;'Get Started'!$H46,0,OFFSET(N163,0,-1*'Get Started'!$H46)*'Get Started'!$E46*'Get Started'!$G46)+IF(N4&lt;'Get Started'!$H45,0,OFFSET(N163,0,-1*'Get Started'!$H45)*'Get Started'!$E45*'Get Started'!$G45))</f>
        <v>0.73149999999999982</v>
      </c>
      <c r="O167" s="85">
        <f ca="1">(IF(O4&lt;'Get Started'!$H48,0,OFFSET(O163,0,-1*'Get Started'!$H48)*'Get Started'!$E48*'Get Started'!$G48)+IF(O4&lt;'Get Started'!$H47,0,OFFSET(O163,0,-1*'Get Started'!$H47)*'Get Started'!$E47*'Get Started'!$G47)+IF(O4&lt;'Get Started'!$H46,0,OFFSET(O163,0,-1*'Get Started'!$H46)*'Get Started'!$E46*'Get Started'!$G46)+IF(O4&lt;'Get Started'!$H45,0,OFFSET(O163,0,-1*'Get Started'!$H45)*'Get Started'!$E45*'Get Started'!$G45))</f>
        <v>0.61599999999999977</v>
      </c>
      <c r="P167" s="85">
        <f ca="1">(IF(P4&lt;'Get Started'!$H48,0,OFFSET(P163,0,-1*'Get Started'!$H48)*'Get Started'!$E48*'Get Started'!$G48)+IF(P4&lt;'Get Started'!$H47,0,OFFSET(P163,0,-1*'Get Started'!$H47)*'Get Started'!$E47*'Get Started'!$G47)+IF(P4&lt;'Get Started'!$H46,0,OFFSET(P163,0,-1*'Get Started'!$H46)*'Get Started'!$E46*'Get Started'!$G46)+IF(P4&lt;'Get Started'!$H45,0,OFFSET(P163,0,-1*'Get Started'!$H45)*'Get Started'!$E45*'Get Started'!$G45))</f>
        <v>0.73919999999999975</v>
      </c>
      <c r="Q167" s="85">
        <f ca="1">(IF(Q4&lt;'Get Started'!$H48,0,OFFSET(Q163,0,-1*'Get Started'!$H48)*'Get Started'!$E48*'Get Started'!$G48)+IF(Q4&lt;'Get Started'!$H47,0,OFFSET(Q163,0,-1*'Get Started'!$H47)*'Get Started'!$E47*'Get Started'!$G47)+IF(Q4&lt;'Get Started'!$H46,0,OFFSET(Q163,0,-1*'Get Started'!$H46)*'Get Started'!$E46*'Get Started'!$G46)+IF(Q4&lt;'Get Started'!$H45,0,OFFSET(Q163,0,-1*'Get Started'!$H45)*'Get Started'!$E45*'Get Started'!$G45))</f>
        <v>0</v>
      </c>
      <c r="R167" s="85">
        <f ca="1">(IF(R4&lt;'Get Started'!$H48,0,OFFSET(R163,0,-1*'Get Started'!$H48)*'Get Started'!$E48*'Get Started'!$G48)+IF(R4&lt;'Get Started'!$H47,0,OFFSET(R163,0,-1*'Get Started'!$H47)*'Get Started'!$E47*'Get Started'!$G47)+IF(R4&lt;'Get Started'!$H46,0,OFFSET(R163,0,-1*'Get Started'!$H46)*'Get Started'!$E46*'Get Started'!$G46)+IF(R4&lt;'Get Started'!$H45,0,OFFSET(R163,0,-1*'Get Started'!$H45)*'Get Started'!$E45*'Get Started'!$G45))</f>
        <v>0</v>
      </c>
      <c r="S167" s="85">
        <f ca="1">(IF(S4&lt;'Get Started'!$H48,0,OFFSET(S163,0,-1*'Get Started'!$H48)*'Get Started'!$E48*'Get Started'!$G48)+IF(S4&lt;'Get Started'!$H47,0,OFFSET(S163,0,-1*'Get Started'!$H47)*'Get Started'!$E47*'Get Started'!$G47)+IF(S4&lt;'Get Started'!$H46,0,OFFSET(S163,0,-1*'Get Started'!$H46)*'Get Started'!$E46*'Get Started'!$G46)+IF(S4&lt;'Get Started'!$H45,0,OFFSET(S163,0,-1*'Get Started'!$H45)*'Get Started'!$E45*'Get Started'!$G45))</f>
        <v>0</v>
      </c>
      <c r="T167" s="85">
        <f ca="1">(IF(T4&lt;'Get Started'!$H48,0,OFFSET(T163,0,-1*'Get Started'!$H48)*'Get Started'!$E48*'Get Started'!$G48)+IF(T4&lt;'Get Started'!$H47,0,OFFSET(T163,0,-1*'Get Started'!$H47)*'Get Started'!$E47*'Get Started'!$G47)+IF(T4&lt;'Get Started'!$H46,0,OFFSET(T163,0,-1*'Get Started'!$H46)*'Get Started'!$E46*'Get Started'!$G46)+IF(T4&lt;'Get Started'!$H45,0,OFFSET(T163,0,-1*'Get Started'!$H45)*'Get Started'!$E45*'Get Started'!$G45))</f>
        <v>0</v>
      </c>
      <c r="U167" s="85">
        <f ca="1">(IF(U4&lt;'Get Started'!$H48,0,OFFSET(U163,0,-1*'Get Started'!$H48)*'Get Started'!$E48*'Get Started'!$G48)+IF(U4&lt;'Get Started'!$H47,0,OFFSET(U163,0,-1*'Get Started'!$H47)*'Get Started'!$E47*'Get Started'!$G47)+IF(U4&lt;'Get Started'!$H46,0,OFFSET(U163,0,-1*'Get Started'!$H46)*'Get Started'!$E46*'Get Started'!$G46)+IF(U4&lt;'Get Started'!$H45,0,OFFSET(U163,0,-1*'Get Started'!$H45)*'Get Started'!$E45*'Get Started'!$G45))</f>
        <v>0</v>
      </c>
      <c r="V167" s="85">
        <f ca="1">(IF(V4&lt;'Get Started'!$H48,0,OFFSET(V163,0,-1*'Get Started'!$H48)*'Get Started'!$E48*'Get Started'!$G48)+IF(V4&lt;'Get Started'!$H47,0,OFFSET(V163,0,-1*'Get Started'!$H47)*'Get Started'!$E47*'Get Started'!$G47)+IF(V4&lt;'Get Started'!$H46,0,OFFSET(V163,0,-1*'Get Started'!$H46)*'Get Started'!$E46*'Get Started'!$G46)+IF(V4&lt;'Get Started'!$H45,0,OFFSET(V163,0,-1*'Get Started'!$H45)*'Get Started'!$E45*'Get Started'!$G45))</f>
        <v>0</v>
      </c>
      <c r="W167" s="85">
        <f ca="1">(IF(W4&lt;'Get Started'!$H48,0,OFFSET(W163,0,-1*'Get Started'!$H48)*'Get Started'!$E48*'Get Started'!$G48)+IF(W4&lt;'Get Started'!$H47,0,OFFSET(W163,0,-1*'Get Started'!$H47)*'Get Started'!$E47*'Get Started'!$G47)+IF(W4&lt;'Get Started'!$H46,0,OFFSET(W163,0,-1*'Get Started'!$H46)*'Get Started'!$E46*'Get Started'!$G46)+IF(W4&lt;'Get Started'!$H45,0,OFFSET(W163,0,-1*'Get Started'!$H45)*'Get Started'!$E45*'Get Started'!$G45))</f>
        <v>0</v>
      </c>
      <c r="X167" s="85">
        <f ca="1">(IF(X4&lt;'Get Started'!$H48,0,OFFSET(X163,0,-1*'Get Started'!$H48)*'Get Started'!$E48*'Get Started'!$G48)+IF(X4&lt;'Get Started'!$H47,0,OFFSET(X163,0,-1*'Get Started'!$H47)*'Get Started'!$E47*'Get Started'!$G47)+IF(X4&lt;'Get Started'!$H46,0,OFFSET(X163,0,-1*'Get Started'!$H46)*'Get Started'!$E46*'Get Started'!$G46)+IF(X4&lt;'Get Started'!$H45,0,OFFSET(X163,0,-1*'Get Started'!$H45)*'Get Started'!$E45*'Get Started'!$G45))</f>
        <v>0</v>
      </c>
      <c r="Y167" s="85">
        <f ca="1">(IF(Y4&lt;'Get Started'!$H48,0,OFFSET(Y163,0,-1*'Get Started'!$H48)*'Get Started'!$E48*'Get Started'!$G48)+IF(Y4&lt;'Get Started'!$H47,0,OFFSET(Y163,0,-1*'Get Started'!$H47)*'Get Started'!$E47*'Get Started'!$G47)+IF(Y4&lt;'Get Started'!$H46,0,OFFSET(Y163,0,-1*'Get Started'!$H46)*'Get Started'!$E46*'Get Started'!$G46)+IF(Y4&lt;'Get Started'!$H45,0,OFFSET(Y163,0,-1*'Get Started'!$H45)*'Get Started'!$E45*'Get Started'!$G45))</f>
        <v>0</v>
      </c>
      <c r="Z167" s="85">
        <f ca="1">(IF(Z4&lt;'Get Started'!$H48,0,OFFSET(Z163,0,-1*'Get Started'!$H48)*'Get Started'!$E48*'Get Started'!$G48)+IF(Z4&lt;'Get Started'!$H47,0,OFFSET(Z163,0,-1*'Get Started'!$H47)*'Get Started'!$E47*'Get Started'!$G47)+IF(Z4&lt;'Get Started'!$H46,0,OFFSET(Z163,0,-1*'Get Started'!$H46)*'Get Started'!$E46*'Get Started'!$G46)+IF(Z4&lt;'Get Started'!$H45,0,OFFSET(Z163,0,-1*'Get Started'!$H45)*'Get Started'!$E45*'Get Started'!$G45))</f>
        <v>0</v>
      </c>
    </row>
    <row r="168" spans="1:26" ht="13" outlineLevel="1">
      <c r="A168" s="34"/>
      <c r="B168" s="34" t="s">
        <v>266</v>
      </c>
      <c r="C168" s="34"/>
      <c r="D168" s="34" t="s">
        <v>163</v>
      </c>
      <c r="E168" s="83">
        <f t="shared" ca="1" si="116"/>
        <v>3.2339999999999995</v>
      </c>
      <c r="F168" s="67"/>
      <c r="G168" s="85">
        <f ca="1">IF('Get Started'!$H48&lt;='Get Started'!$E27,IF(AND(G4&lt;'Get Started'!$H48,'Get Started'!$H48&lt;='Get Started'!$E27),0,OFFSET(G163,0,-1*'Get Started'!$H48)*'Get Started'!$E48*'Get Started'!$G48),0)+IF('Get Started'!$H47&lt;='Get Started'!$E27,IF(G4&lt;'Get Started'!$H47,0,OFFSET(G163,0,-1*'Get Started'!$H47)*'Get Started'!$E47*'Get Started'!$G47),0)+IF('Get Started'!$H46&lt;='Get Started'!$E27,IF(G4&lt;'Get Started'!$H46,0,OFFSET(G163,0,-1*'Get Started'!$H46)*'Get Started'!$E46*'Get Started'!$G46),0)+IF('Get Started'!$H45&lt;='Get Started'!$E27,IF(G4&lt;'Get Started'!$H45,0,OFFSET(G163,0,-1*'Get Started'!$H45)*'Get Started'!$E45*'Get Started'!$G45),0)</f>
        <v>0</v>
      </c>
      <c r="H168" s="85">
        <f ca="1">IF('Get Started'!$H48&lt;='Get Started'!$E27,IF(AND(H4&lt;'Get Started'!$H48,'Get Started'!$H48&lt;='Get Started'!$E27),0,OFFSET(H163,0,-1*'Get Started'!$H48)*'Get Started'!$E48*'Get Started'!$G48),0)+IF('Get Started'!$H47&lt;='Get Started'!$E27,IF(H4&lt;'Get Started'!$H47,0,OFFSET(H163,0,-1*'Get Started'!$H47)*'Get Started'!$E47*'Get Started'!$G47),0)+IF('Get Started'!$H46&lt;='Get Started'!$E27,IF(H4&lt;'Get Started'!$H46,0,OFFSET(H163,0,-1*'Get Started'!$H46)*'Get Started'!$E46*'Get Started'!$G46),0)+IF('Get Started'!$H45&lt;='Get Started'!$E27,IF(H4&lt;'Get Started'!$H45,0,OFFSET(H163,0,-1*'Get Started'!$H45)*'Get Started'!$E45*'Get Started'!$G45),0)</f>
        <v>0</v>
      </c>
      <c r="I168" s="85">
        <f ca="1">IF('Get Started'!$H48&lt;='Get Started'!$E27,IF(AND(I4&lt;'Get Started'!$H48,'Get Started'!$H48&lt;='Get Started'!$E27),0,OFFSET(I163,0,-1*'Get Started'!$H48)*'Get Started'!$E48*'Get Started'!$G48),0)+IF('Get Started'!$H47&lt;='Get Started'!$E27,IF(I4&lt;'Get Started'!$H47,0,OFFSET(I163,0,-1*'Get Started'!$H47)*'Get Started'!$E47*'Get Started'!$G47),0)+IF('Get Started'!$H46&lt;='Get Started'!$E27,IF(I4&lt;'Get Started'!$H46,0,OFFSET(I163,0,-1*'Get Started'!$H46)*'Get Started'!$E46*'Get Started'!$G46),0)+IF('Get Started'!$H45&lt;='Get Started'!$E27,IF(I4&lt;'Get Started'!$H45,0,OFFSET(I163,0,-1*'Get Started'!$H45)*'Get Started'!$E45*'Get Started'!$G45),0)</f>
        <v>0</v>
      </c>
      <c r="J168" s="85">
        <f ca="1">IF('Get Started'!$H48&lt;='Get Started'!$E27,IF(AND(J4&lt;'Get Started'!$H48,'Get Started'!$H48&lt;='Get Started'!$E27),0,OFFSET(J163,0,-1*'Get Started'!$H48)*'Get Started'!$E48*'Get Started'!$G48),0)+IF('Get Started'!$H47&lt;='Get Started'!$E27,IF(J4&lt;'Get Started'!$H47,0,OFFSET(J163,0,-1*'Get Started'!$H47)*'Get Started'!$E47*'Get Started'!$G47),0)+IF('Get Started'!$H46&lt;='Get Started'!$E27,IF(J4&lt;'Get Started'!$H46,0,OFFSET(J163,0,-1*'Get Started'!$H46)*'Get Started'!$E46*'Get Started'!$G46),0)+IF('Get Started'!$H45&lt;='Get Started'!$E27,IF(J4&lt;'Get Started'!$H45,0,OFFSET(J163,0,-1*'Get Started'!$H45)*'Get Started'!$E45*'Get Started'!$G45),0)</f>
        <v>5.7749999999999996E-2</v>
      </c>
      <c r="K168" s="85">
        <f ca="1">IF('Get Started'!$H48&lt;='Get Started'!$E27,IF(AND(K4&lt;'Get Started'!$H48,'Get Started'!$H48&lt;='Get Started'!$E27),0,OFFSET(K163,0,-1*'Get Started'!$H48)*'Get Started'!$E48*'Get Started'!$G48),0)+IF('Get Started'!$H47&lt;='Get Started'!$E27,IF(K4&lt;'Get Started'!$H47,0,OFFSET(K163,0,-1*'Get Started'!$H47)*'Get Started'!$E47*'Get Started'!$G47),0)+IF('Get Started'!$H46&lt;='Get Started'!$E27,IF(K4&lt;'Get Started'!$H46,0,OFFSET(K163,0,-1*'Get Started'!$H46)*'Get Started'!$E46*'Get Started'!$G46),0)+IF('Get Started'!$H45&lt;='Get Started'!$E27,IF(K4&lt;'Get Started'!$H45,0,OFFSET(K163,0,-1*'Get Started'!$H45)*'Get Started'!$E45*'Get Started'!$G45),0)</f>
        <v>0.154</v>
      </c>
      <c r="L168" s="85">
        <f ca="1">IF('Get Started'!$H48&lt;='Get Started'!$E27,IF(AND(L4&lt;'Get Started'!$H48,'Get Started'!$H48&lt;='Get Started'!$E27),0,OFFSET(L163,0,-1*'Get Started'!$H48)*'Get Started'!$E48*'Get Started'!$G48),0)+IF('Get Started'!$H47&lt;='Get Started'!$E27,IF(L4&lt;'Get Started'!$H47,0,OFFSET(L163,0,-1*'Get Started'!$H47)*'Get Started'!$E47*'Get Started'!$G47),0)+IF('Get Started'!$H46&lt;='Get Started'!$E27,IF(L4&lt;'Get Started'!$H46,0,OFFSET(L163,0,-1*'Get Started'!$H46)*'Get Started'!$E46*'Get Started'!$G46),0)+IF('Get Started'!$H45&lt;='Get Started'!$E27,IF(L4&lt;'Get Started'!$H45,0,OFFSET(L163,0,-1*'Get Started'!$H45)*'Get Started'!$E45*'Get Started'!$G45),0)</f>
        <v>0.154</v>
      </c>
      <c r="M168" s="85">
        <f ca="1">IF('Get Started'!$H48&lt;='Get Started'!$E27,IF(AND(M4&lt;'Get Started'!$H48,'Get Started'!$H48&lt;='Get Started'!$E27),0,OFFSET(M163,0,-1*'Get Started'!$H48)*'Get Started'!$E48*'Get Started'!$G48),0)+IF('Get Started'!$H47&lt;='Get Started'!$E27,IF(M4&lt;'Get Started'!$H47,0,OFFSET(M163,0,-1*'Get Started'!$H47)*'Get Started'!$E47*'Get Started'!$G47),0)+IF('Get Started'!$H46&lt;='Get Started'!$E27,IF(M4&lt;'Get Started'!$H46,0,OFFSET(M163,0,-1*'Get Started'!$H46)*'Get Started'!$E46*'Get Started'!$G46),0)+IF('Get Started'!$H45&lt;='Get Started'!$E27,IF(M4&lt;'Get Started'!$H45,0,OFFSET(M163,0,-1*'Get Started'!$H45)*'Get Started'!$E45*'Get Started'!$G45),0)</f>
        <v>0.78154999999999986</v>
      </c>
      <c r="N168" s="85">
        <f ca="1">IF('Get Started'!$H48&lt;='Get Started'!$E27,IF(AND(N4&lt;'Get Started'!$H48,'Get Started'!$H48&lt;='Get Started'!$E27),0,OFFSET(N163,0,-1*'Get Started'!$H48)*'Get Started'!$E48*'Get Started'!$G48),0)+IF('Get Started'!$H47&lt;='Get Started'!$E27,IF(N4&lt;'Get Started'!$H47,0,OFFSET(N163,0,-1*'Get Started'!$H47)*'Get Started'!$E47*'Get Started'!$G47),0)+IF('Get Started'!$H46&lt;='Get Started'!$E27,IF(N4&lt;'Get Started'!$H46,0,OFFSET(N163,0,-1*'Get Started'!$H46)*'Get Started'!$E46*'Get Started'!$G46),0)+IF('Get Started'!$H45&lt;='Get Started'!$E27,IF(N4&lt;'Get Started'!$H45,0,OFFSET(N163,0,-1*'Get Started'!$H45)*'Get Started'!$E45*'Get Started'!$G45),0)</f>
        <v>0.73149999999999982</v>
      </c>
      <c r="O168" s="85">
        <f ca="1">IF('Get Started'!$H48&lt;='Get Started'!$E27,IF(AND(O4&lt;'Get Started'!$H48,'Get Started'!$H48&lt;='Get Started'!$E27),0,OFFSET(O163,0,-1*'Get Started'!$H48)*'Get Started'!$E48*'Get Started'!$G48),0)+IF('Get Started'!$H47&lt;='Get Started'!$E27,IF(O4&lt;'Get Started'!$H47,0,OFFSET(O163,0,-1*'Get Started'!$H47)*'Get Started'!$E47*'Get Started'!$G47),0)+IF('Get Started'!$H46&lt;='Get Started'!$E27,IF(O4&lt;'Get Started'!$H46,0,OFFSET(O163,0,-1*'Get Started'!$H46)*'Get Started'!$E46*'Get Started'!$G46),0)+IF('Get Started'!$H45&lt;='Get Started'!$E27,IF(O4&lt;'Get Started'!$H45,0,OFFSET(O163,0,-1*'Get Started'!$H45)*'Get Started'!$E45*'Get Started'!$G45),0)</f>
        <v>0.61599999999999977</v>
      </c>
      <c r="P168" s="85">
        <f ca="1">IF('Get Started'!$H48&lt;='Get Started'!$E27,IF(AND(P4&lt;'Get Started'!$H48,'Get Started'!$H48&lt;='Get Started'!$E27),0,OFFSET(P163,0,-1*'Get Started'!$H48)*'Get Started'!$E48*'Get Started'!$G48),0)+IF('Get Started'!$H47&lt;='Get Started'!$E27,IF(P4&lt;'Get Started'!$H47,0,OFFSET(P163,0,-1*'Get Started'!$H47)*'Get Started'!$E47*'Get Started'!$G47),0)+IF('Get Started'!$H46&lt;='Get Started'!$E27,IF(P4&lt;'Get Started'!$H46,0,OFFSET(P163,0,-1*'Get Started'!$H46)*'Get Started'!$E46*'Get Started'!$G46),0)+IF('Get Started'!$H45&lt;='Get Started'!$E27,IF(P4&lt;'Get Started'!$H45,0,OFFSET(P163,0,-1*'Get Started'!$H45)*'Get Started'!$E45*'Get Started'!$G45),0)</f>
        <v>0.73919999999999975</v>
      </c>
      <c r="Q168" s="85">
        <f ca="1">IF('Get Started'!$H48&lt;='Get Started'!$E27,IF(AND(Q4&lt;'Get Started'!$H48,'Get Started'!$H48&lt;='Get Started'!$E27),0,OFFSET(Q163,0,-1*'Get Started'!$H48)*'Get Started'!$E48*'Get Started'!$G48),0)+IF('Get Started'!$H47&lt;='Get Started'!$E27,IF(Q4&lt;'Get Started'!$H47,0,OFFSET(Q163,0,-1*'Get Started'!$H47)*'Get Started'!$E47*'Get Started'!$G47),0)+IF('Get Started'!$H46&lt;='Get Started'!$E27,IF(Q4&lt;'Get Started'!$H46,0,OFFSET(Q163,0,-1*'Get Started'!$H46)*'Get Started'!$E46*'Get Started'!$G46),0)+IF('Get Started'!$H45&lt;='Get Started'!$E27,IF(Q4&lt;'Get Started'!$H45,0,OFFSET(Q163,0,-1*'Get Started'!$H45)*'Get Started'!$E45*'Get Started'!$G45),0)</f>
        <v>0</v>
      </c>
      <c r="R168" s="85">
        <f ca="1">IF('Get Started'!$H48&lt;='Get Started'!$E27,IF(AND(R4&lt;'Get Started'!$H48,'Get Started'!$H48&lt;='Get Started'!$E27),0,OFFSET(R163,0,-1*'Get Started'!$H48)*'Get Started'!$E48*'Get Started'!$G48),0)+IF('Get Started'!$H47&lt;='Get Started'!$E27,IF(R4&lt;'Get Started'!$H47,0,OFFSET(R163,0,-1*'Get Started'!$H47)*'Get Started'!$E47*'Get Started'!$G47),0)+IF('Get Started'!$H46&lt;='Get Started'!$E27,IF(R4&lt;'Get Started'!$H46,0,OFFSET(R163,0,-1*'Get Started'!$H46)*'Get Started'!$E46*'Get Started'!$G46),0)+IF('Get Started'!$H45&lt;='Get Started'!$E27,IF(R4&lt;'Get Started'!$H45,0,OFFSET(R163,0,-1*'Get Started'!$H45)*'Get Started'!$E45*'Get Started'!$G45),0)</f>
        <v>0</v>
      </c>
      <c r="S168" s="85">
        <f ca="1">IF('Get Started'!$H48&lt;='Get Started'!$E27,IF(AND(S4&lt;'Get Started'!$H48,'Get Started'!$H48&lt;='Get Started'!$E27),0,OFFSET(S163,0,-1*'Get Started'!$H48)*'Get Started'!$E48*'Get Started'!$G48),0)+IF('Get Started'!$H47&lt;='Get Started'!$E27,IF(S4&lt;'Get Started'!$H47,0,OFFSET(S163,0,-1*'Get Started'!$H47)*'Get Started'!$E47*'Get Started'!$G47),0)+IF('Get Started'!$H46&lt;='Get Started'!$E27,IF(S4&lt;'Get Started'!$H46,0,OFFSET(S163,0,-1*'Get Started'!$H46)*'Get Started'!$E46*'Get Started'!$G46),0)+IF('Get Started'!$H45&lt;='Get Started'!$E27,IF(S4&lt;'Get Started'!$H45,0,OFFSET(S163,0,-1*'Get Started'!$H45)*'Get Started'!$E45*'Get Started'!$G45),0)</f>
        <v>0</v>
      </c>
      <c r="T168" s="85">
        <f ca="1">IF('Get Started'!$H48&lt;='Get Started'!$E27,IF(AND(T4&lt;'Get Started'!$H48,'Get Started'!$H48&lt;='Get Started'!$E27),0,OFFSET(T163,0,-1*'Get Started'!$H48)*'Get Started'!$E48*'Get Started'!$G48),0)+IF('Get Started'!$H47&lt;='Get Started'!$E27,IF(T4&lt;'Get Started'!$H47,0,OFFSET(T163,0,-1*'Get Started'!$H47)*'Get Started'!$E47*'Get Started'!$G47),0)+IF('Get Started'!$H46&lt;='Get Started'!$E27,IF(T4&lt;'Get Started'!$H46,0,OFFSET(T163,0,-1*'Get Started'!$H46)*'Get Started'!$E46*'Get Started'!$G46),0)+IF('Get Started'!$H45&lt;='Get Started'!$E27,IF(T4&lt;'Get Started'!$H45,0,OFFSET(T163,0,-1*'Get Started'!$H45)*'Get Started'!$E45*'Get Started'!$G45),0)</f>
        <v>0</v>
      </c>
      <c r="U168" s="85">
        <f ca="1">IF('Get Started'!$H48&lt;='Get Started'!$E27,IF(AND(U4&lt;'Get Started'!$H48,'Get Started'!$H48&lt;='Get Started'!$E27),0,OFFSET(U163,0,-1*'Get Started'!$H48)*'Get Started'!$E48*'Get Started'!$G48),0)+IF('Get Started'!$H47&lt;='Get Started'!$E27,IF(U4&lt;'Get Started'!$H47,0,OFFSET(U163,0,-1*'Get Started'!$H47)*'Get Started'!$E47*'Get Started'!$G47),0)+IF('Get Started'!$H46&lt;='Get Started'!$E27,IF(U4&lt;'Get Started'!$H46,0,OFFSET(U163,0,-1*'Get Started'!$H46)*'Get Started'!$E46*'Get Started'!$G46),0)+IF('Get Started'!$H45&lt;='Get Started'!$E27,IF(U4&lt;'Get Started'!$H45,0,OFFSET(U163,0,-1*'Get Started'!$H45)*'Get Started'!$E45*'Get Started'!$G45),0)</f>
        <v>0</v>
      </c>
      <c r="V168" s="85">
        <f ca="1">IF('Get Started'!$H48&lt;='Get Started'!$E27,IF(AND(V4&lt;'Get Started'!$H48,'Get Started'!$H48&lt;='Get Started'!$E27),0,OFFSET(V163,0,-1*'Get Started'!$H48)*'Get Started'!$E48*'Get Started'!$G48),0)+IF('Get Started'!$H47&lt;='Get Started'!$E27,IF(V4&lt;'Get Started'!$H47,0,OFFSET(V163,0,-1*'Get Started'!$H47)*'Get Started'!$E47*'Get Started'!$G47),0)+IF('Get Started'!$H46&lt;='Get Started'!$E27,IF(V4&lt;'Get Started'!$H46,0,OFFSET(V163,0,-1*'Get Started'!$H46)*'Get Started'!$E46*'Get Started'!$G46),0)+IF('Get Started'!$H45&lt;='Get Started'!$E27,IF(V4&lt;'Get Started'!$H45,0,OFFSET(V163,0,-1*'Get Started'!$H45)*'Get Started'!$E45*'Get Started'!$G45),0)</f>
        <v>0</v>
      </c>
      <c r="W168" s="85">
        <f ca="1">IF('Get Started'!$H48&lt;='Get Started'!$E27,IF(AND(W4&lt;'Get Started'!$H48,'Get Started'!$H48&lt;='Get Started'!$E27),0,OFFSET(W163,0,-1*'Get Started'!$H48)*'Get Started'!$E48*'Get Started'!$G48),0)+IF('Get Started'!$H47&lt;='Get Started'!$E27,IF(W4&lt;'Get Started'!$H47,0,OFFSET(W163,0,-1*'Get Started'!$H47)*'Get Started'!$E47*'Get Started'!$G47),0)+IF('Get Started'!$H46&lt;='Get Started'!$E27,IF(W4&lt;'Get Started'!$H46,0,OFFSET(W163,0,-1*'Get Started'!$H46)*'Get Started'!$E46*'Get Started'!$G46),0)+IF('Get Started'!$H45&lt;='Get Started'!$E27,IF(W4&lt;'Get Started'!$H45,0,OFFSET(W163,0,-1*'Get Started'!$H45)*'Get Started'!$E45*'Get Started'!$G45),0)</f>
        <v>0</v>
      </c>
      <c r="X168" s="85">
        <f ca="1">IF('Get Started'!$H48&lt;='Get Started'!$E27,IF(AND(X4&lt;'Get Started'!$H48,'Get Started'!$H48&lt;='Get Started'!$E27),0,OFFSET(X163,0,-1*'Get Started'!$H48)*'Get Started'!$E48*'Get Started'!$G48),0)+IF('Get Started'!$H47&lt;='Get Started'!$E27,IF(X4&lt;'Get Started'!$H47,0,OFFSET(X163,0,-1*'Get Started'!$H47)*'Get Started'!$E47*'Get Started'!$G47),0)+IF('Get Started'!$H46&lt;='Get Started'!$E27,IF(X4&lt;'Get Started'!$H46,0,OFFSET(X163,0,-1*'Get Started'!$H46)*'Get Started'!$E46*'Get Started'!$G46),0)+IF('Get Started'!$H45&lt;='Get Started'!$E27,IF(X4&lt;'Get Started'!$H45,0,OFFSET(X163,0,-1*'Get Started'!$H45)*'Get Started'!$E45*'Get Started'!$G45),0)</f>
        <v>0</v>
      </c>
      <c r="Y168" s="85">
        <f ca="1">IF('Get Started'!$H48&lt;='Get Started'!$E27,IF(AND(Y4&lt;'Get Started'!$H48,'Get Started'!$H48&lt;='Get Started'!$E27),0,OFFSET(Y163,0,-1*'Get Started'!$H48)*'Get Started'!$E48*'Get Started'!$G48),0)+IF('Get Started'!$H47&lt;='Get Started'!$E27,IF(Y4&lt;'Get Started'!$H47,0,OFFSET(Y163,0,-1*'Get Started'!$H47)*'Get Started'!$E47*'Get Started'!$G47),0)+IF('Get Started'!$H46&lt;='Get Started'!$E27,IF(Y4&lt;'Get Started'!$H46,0,OFFSET(Y163,0,-1*'Get Started'!$H46)*'Get Started'!$E46*'Get Started'!$G46),0)+IF('Get Started'!$H45&lt;='Get Started'!$E27,IF(Y4&lt;'Get Started'!$H45,0,OFFSET(Y163,0,-1*'Get Started'!$H45)*'Get Started'!$E45*'Get Started'!$G45),0)</f>
        <v>0</v>
      </c>
      <c r="Z168" s="85">
        <f ca="1">IF('Get Started'!$H48&lt;='Get Started'!$E27,IF(AND(Z4&lt;'Get Started'!$H48,'Get Started'!$H48&lt;='Get Started'!$E27),0,OFFSET(Z163,0,-1*'Get Started'!$H48)*'Get Started'!$E48*'Get Started'!$G48),0)+IF('Get Started'!$H47&lt;='Get Started'!$E27,IF(Z4&lt;'Get Started'!$H47,0,OFFSET(Z163,0,-1*'Get Started'!$H47)*'Get Started'!$E47*'Get Started'!$G47),0)+IF('Get Started'!$H46&lt;='Get Started'!$E27,IF(Z4&lt;'Get Started'!$H46,0,OFFSET(Z163,0,-1*'Get Started'!$H46)*'Get Started'!$E46*'Get Started'!$G46),0)+IF('Get Started'!$H45&lt;='Get Started'!$E27,IF(Z4&lt;'Get Started'!$H45,0,OFFSET(Z163,0,-1*'Get Started'!$H45)*'Get Started'!$E45*'Get Started'!$G45),0)</f>
        <v>0</v>
      </c>
    </row>
    <row r="169" spans="1:26" ht="13" outlineLevel="1">
      <c r="A169" s="34"/>
      <c r="B169" s="34" t="s">
        <v>267</v>
      </c>
      <c r="C169" s="34"/>
      <c r="D169" s="34" t="s">
        <v>163</v>
      </c>
      <c r="E169" s="83">
        <f t="shared" ca="1" si="116"/>
        <v>0.42</v>
      </c>
      <c r="F169" s="67"/>
      <c r="G169" s="85">
        <f t="shared" ref="G169:Z169" ca="1" si="123">IFERROR(G170/((1-$E157-$E158-$E159)/1),0)</f>
        <v>0</v>
      </c>
      <c r="H169" s="85">
        <f t="shared" ca="1" si="123"/>
        <v>0</v>
      </c>
      <c r="I169" s="85">
        <f t="shared" ca="1" si="123"/>
        <v>0</v>
      </c>
      <c r="J169" s="85">
        <f t="shared" ca="1" si="123"/>
        <v>0.05</v>
      </c>
      <c r="K169" s="85">
        <f t="shared" ca="1" si="123"/>
        <v>7.4999999999999997E-2</v>
      </c>
      <c r="L169" s="85">
        <f t="shared" ca="1" si="123"/>
        <v>7.4999999999999997E-2</v>
      </c>
      <c r="M169" s="85">
        <f t="shared" ca="1" si="123"/>
        <v>0.11000000000000001</v>
      </c>
      <c r="N169" s="85">
        <f t="shared" ca="1" si="123"/>
        <v>5.4999999999999993E-2</v>
      </c>
      <c r="O169" s="85">
        <f t="shared" ca="1" si="123"/>
        <v>2.4999999999999994E-2</v>
      </c>
      <c r="P169" s="85">
        <f t="shared" ca="1" si="123"/>
        <v>2.9999999999999992E-2</v>
      </c>
      <c r="Q169" s="85">
        <f t="shared" ca="1" si="123"/>
        <v>0</v>
      </c>
      <c r="R169" s="85">
        <f t="shared" ca="1" si="123"/>
        <v>0</v>
      </c>
      <c r="S169" s="85">
        <f t="shared" ca="1" si="123"/>
        <v>0</v>
      </c>
      <c r="T169" s="85">
        <f t="shared" ca="1" si="123"/>
        <v>0</v>
      </c>
      <c r="U169" s="85">
        <f t="shared" ca="1" si="123"/>
        <v>0</v>
      </c>
      <c r="V169" s="85">
        <f t="shared" ca="1" si="123"/>
        <v>0</v>
      </c>
      <c r="W169" s="85">
        <f t="shared" ca="1" si="123"/>
        <v>0</v>
      </c>
      <c r="X169" s="85">
        <f t="shared" ca="1" si="123"/>
        <v>0</v>
      </c>
      <c r="Y169" s="85">
        <f t="shared" ca="1" si="123"/>
        <v>0</v>
      </c>
      <c r="Z169" s="85">
        <f t="shared" ca="1" si="123"/>
        <v>0</v>
      </c>
    </row>
    <row r="170" spans="1:26" ht="13" outlineLevel="1">
      <c r="A170" s="34"/>
      <c r="B170" s="34" t="s">
        <v>268</v>
      </c>
      <c r="C170" s="34"/>
      <c r="D170" s="34" t="s">
        <v>163</v>
      </c>
      <c r="E170" s="83">
        <f t="shared" ca="1" si="116"/>
        <v>0.32339999999999997</v>
      </c>
      <c r="F170" s="67"/>
      <c r="G170" s="85">
        <f ca="1">IF(AND('Get Started'!$H48&lt;='Get Started'!$E27,'Get Started'!$G48&lt;&gt;0),IF(AND(G4&lt;'Get Started'!$H48,'Get Started'!$H48&lt;='Get Started'!$E27),0,OFFSET(G163,0,-1*'Get Started'!$H48)*'Get Started'!$E48),0)+IF(AND('Get Started'!$H47&lt;='Get Started'!$E27,'Get Started'!$G47&lt;&gt;0),IF(G4&lt;'Get Started'!$H47,0,OFFSET(G163,0,-1*'Get Started'!$H47)*'Get Started'!$E47),0)+IF(AND('Get Started'!$H46&lt;='Get Started'!$E27,'Get Started'!$G46&lt;&gt;0),IF(G4&lt;'Get Started'!$H46,0,OFFSET(G163,0,-1*'Get Started'!$H46)*'Get Started'!$E46),0)+IF(AND('Get Started'!$H45&lt;='Get Started'!$E27,'Get Started'!$G45&lt;&gt;0),IF(G4&lt;'Get Started'!$H45,0,OFFSET(G163,0,-1*'Get Started'!$H45)*'Get Started'!$E45*'Get Started'!$G45),0)</f>
        <v>0</v>
      </c>
      <c r="H170" s="85">
        <f ca="1">IF(AND('Get Started'!$H48&lt;='Get Started'!$E27,'Get Started'!$G48&lt;&gt;0),IF(AND(H4&lt;'Get Started'!$H48,'Get Started'!$H48&lt;='Get Started'!$E27),0,OFFSET(H163,0,-1*'Get Started'!$H48)*'Get Started'!$E48),0)+IF(AND('Get Started'!$H47&lt;='Get Started'!$E27,'Get Started'!$G47&lt;&gt;0),IF(H4&lt;'Get Started'!$H47,0,OFFSET(H163,0,-1*'Get Started'!$H47)*'Get Started'!$E47),0)+IF(AND('Get Started'!$H46&lt;='Get Started'!$E27,'Get Started'!$G46&lt;&gt;0),IF(H4&lt;'Get Started'!$H46,0,OFFSET(H163,0,-1*'Get Started'!$H46)*'Get Started'!$E46),0)+IF(AND('Get Started'!$H45&lt;='Get Started'!$E27,'Get Started'!$G45&lt;&gt;0),IF(H4&lt;'Get Started'!$H45,0,OFFSET(H163,0,-1*'Get Started'!$H45)*'Get Started'!$E45*'Get Started'!$G45),0)</f>
        <v>0</v>
      </c>
      <c r="I170" s="85">
        <f ca="1">IF(AND('Get Started'!$H48&lt;='Get Started'!$E27,'Get Started'!$G48&lt;&gt;0),IF(AND(I4&lt;'Get Started'!$H48,'Get Started'!$H48&lt;='Get Started'!$E27),0,OFFSET(I163,0,-1*'Get Started'!$H48)*'Get Started'!$E48),0)+IF(AND('Get Started'!$H47&lt;='Get Started'!$E27,'Get Started'!$G47&lt;&gt;0),IF(I4&lt;'Get Started'!$H47,0,OFFSET(I163,0,-1*'Get Started'!$H47)*'Get Started'!$E47),0)+IF(AND('Get Started'!$H46&lt;='Get Started'!$E27,'Get Started'!$G46&lt;&gt;0),IF(I4&lt;'Get Started'!$H46,0,OFFSET(I163,0,-1*'Get Started'!$H46)*'Get Started'!$E46),0)+IF(AND('Get Started'!$H45&lt;='Get Started'!$E27,'Get Started'!$G45&lt;&gt;0),IF(I4&lt;'Get Started'!$H45,0,OFFSET(I163,0,-1*'Get Started'!$H45)*'Get Started'!$E45*'Get Started'!$G45),0)</f>
        <v>0</v>
      </c>
      <c r="J170" s="85">
        <f ca="1">IF(AND('Get Started'!$H48&lt;='Get Started'!$E27,'Get Started'!$G48&lt;&gt;0),IF(AND(J4&lt;'Get Started'!$H48,'Get Started'!$H48&lt;='Get Started'!$E27),0,OFFSET(J163,0,-1*'Get Started'!$H48)*'Get Started'!$E48),0)+IF(AND('Get Started'!$H47&lt;='Get Started'!$E27,'Get Started'!$G47&lt;&gt;0),IF(J4&lt;'Get Started'!$H47,0,OFFSET(J163,0,-1*'Get Started'!$H47)*'Get Started'!$E47),0)+IF(AND('Get Started'!$H46&lt;='Get Started'!$E27,'Get Started'!$G46&lt;&gt;0),IF(J4&lt;'Get Started'!$H46,0,OFFSET(J163,0,-1*'Get Started'!$H46)*'Get Started'!$E46),0)+IF(AND('Get Started'!$H45&lt;='Get Started'!$E27,'Get Started'!$G45&lt;&gt;0),IF(J4&lt;'Get Started'!$H45,0,OFFSET(J163,0,-1*'Get Started'!$H45)*'Get Started'!$E45*'Get Started'!$G45),0)</f>
        <v>3.85E-2</v>
      </c>
      <c r="K170" s="85">
        <f ca="1">IF(AND('Get Started'!$H48&lt;='Get Started'!$E27,'Get Started'!$G48&lt;&gt;0),IF(AND(K4&lt;'Get Started'!$H48,'Get Started'!$H48&lt;='Get Started'!$E27),0,OFFSET(K163,0,-1*'Get Started'!$H48)*'Get Started'!$E48),0)+IF(AND('Get Started'!$H47&lt;='Get Started'!$E27,'Get Started'!$G47&lt;&gt;0),IF(K4&lt;'Get Started'!$H47,0,OFFSET(K163,0,-1*'Get Started'!$H47)*'Get Started'!$E47),0)+IF(AND('Get Started'!$H46&lt;='Get Started'!$E27,'Get Started'!$G46&lt;&gt;0),IF(K4&lt;'Get Started'!$H46,0,OFFSET(K163,0,-1*'Get Started'!$H46)*'Get Started'!$E46),0)+IF(AND('Get Started'!$H45&lt;='Get Started'!$E27,'Get Started'!$G45&lt;&gt;0),IF(K4&lt;'Get Started'!$H45,0,OFFSET(K163,0,-1*'Get Started'!$H45)*'Get Started'!$E45*'Get Started'!$G45),0)</f>
        <v>5.7749999999999996E-2</v>
      </c>
      <c r="L170" s="85">
        <f ca="1">IF(AND('Get Started'!$H48&lt;='Get Started'!$E27,'Get Started'!$G48&lt;&gt;0),IF(AND(L4&lt;'Get Started'!$H48,'Get Started'!$H48&lt;='Get Started'!$E27),0,OFFSET(L163,0,-1*'Get Started'!$H48)*'Get Started'!$E48),0)+IF(AND('Get Started'!$H47&lt;='Get Started'!$E27,'Get Started'!$G47&lt;&gt;0),IF(L4&lt;'Get Started'!$H47,0,OFFSET(L163,0,-1*'Get Started'!$H47)*'Get Started'!$E47),0)+IF(AND('Get Started'!$H46&lt;='Get Started'!$E27,'Get Started'!$G46&lt;&gt;0),IF(L4&lt;'Get Started'!$H46,0,OFFSET(L163,0,-1*'Get Started'!$H46)*'Get Started'!$E46),0)+IF(AND('Get Started'!$H45&lt;='Get Started'!$E27,'Get Started'!$G45&lt;&gt;0),IF(L4&lt;'Get Started'!$H45,0,OFFSET(L163,0,-1*'Get Started'!$H45)*'Get Started'!$E45*'Get Started'!$G45),0)</f>
        <v>5.7749999999999996E-2</v>
      </c>
      <c r="M170" s="85">
        <f ca="1">IF(AND('Get Started'!$H48&lt;='Get Started'!$E27,'Get Started'!$G48&lt;&gt;0),IF(AND(M4&lt;'Get Started'!$H48,'Get Started'!$H48&lt;='Get Started'!$E27),0,OFFSET(M163,0,-1*'Get Started'!$H48)*'Get Started'!$E48),0)+IF(AND('Get Started'!$H47&lt;='Get Started'!$E27,'Get Started'!$G47&lt;&gt;0),IF(M4&lt;'Get Started'!$H47,0,OFFSET(M163,0,-1*'Get Started'!$H47)*'Get Started'!$E47),0)+IF(AND('Get Started'!$H46&lt;='Get Started'!$E27,'Get Started'!$G46&lt;&gt;0),IF(M4&lt;'Get Started'!$H46,0,OFFSET(M163,0,-1*'Get Started'!$H46)*'Get Started'!$E46),0)+IF(AND('Get Started'!$H45&lt;='Get Started'!$E27,'Get Started'!$G45&lt;&gt;0),IF(M4&lt;'Get Started'!$H45,0,OFFSET(M163,0,-1*'Get Started'!$H45)*'Get Started'!$E45*'Get Started'!$G45),0)</f>
        <v>8.4699999999999998E-2</v>
      </c>
      <c r="N170" s="85">
        <f ca="1">IF(AND('Get Started'!$H48&lt;='Get Started'!$E27,'Get Started'!$G48&lt;&gt;0),IF(AND(N4&lt;'Get Started'!$H48,'Get Started'!$H48&lt;='Get Started'!$E27),0,OFFSET(N163,0,-1*'Get Started'!$H48)*'Get Started'!$E48),0)+IF(AND('Get Started'!$H47&lt;='Get Started'!$E27,'Get Started'!$G47&lt;&gt;0),IF(N4&lt;'Get Started'!$H47,0,OFFSET(N163,0,-1*'Get Started'!$H47)*'Get Started'!$E47),0)+IF(AND('Get Started'!$H46&lt;='Get Started'!$E27,'Get Started'!$G46&lt;&gt;0),IF(N4&lt;'Get Started'!$H46,0,OFFSET(N163,0,-1*'Get Started'!$H46)*'Get Started'!$E46),0)+IF(AND('Get Started'!$H45&lt;='Get Started'!$E27,'Get Started'!$G45&lt;&gt;0),IF(N4&lt;'Get Started'!$H45,0,OFFSET(N163,0,-1*'Get Started'!$H45)*'Get Started'!$E45*'Get Started'!$G45),0)</f>
        <v>4.2349999999999992E-2</v>
      </c>
      <c r="O170" s="85">
        <f ca="1">IF(AND('Get Started'!$H48&lt;='Get Started'!$E27,'Get Started'!$G48&lt;&gt;0),IF(AND(O4&lt;'Get Started'!$H48,'Get Started'!$H48&lt;='Get Started'!$E27),0,OFFSET(O163,0,-1*'Get Started'!$H48)*'Get Started'!$E48),0)+IF(AND('Get Started'!$H47&lt;='Get Started'!$E27,'Get Started'!$G47&lt;&gt;0),IF(O4&lt;'Get Started'!$H47,0,OFFSET(O163,0,-1*'Get Started'!$H47)*'Get Started'!$E47),0)+IF(AND('Get Started'!$H46&lt;='Get Started'!$E27,'Get Started'!$G46&lt;&gt;0),IF(O4&lt;'Get Started'!$H46,0,OFFSET(O163,0,-1*'Get Started'!$H46)*'Get Started'!$E46),0)+IF(AND('Get Started'!$H45&lt;='Get Started'!$E27,'Get Started'!$G45&lt;&gt;0),IF(O4&lt;'Get Started'!$H45,0,OFFSET(O163,0,-1*'Get Started'!$H45)*'Get Started'!$E45*'Get Started'!$G45),0)</f>
        <v>1.9249999999999993E-2</v>
      </c>
      <c r="P170" s="85">
        <f ca="1">IF(AND('Get Started'!$H48&lt;='Get Started'!$E27,'Get Started'!$G48&lt;&gt;0),IF(AND(P4&lt;'Get Started'!$H48,'Get Started'!$H48&lt;='Get Started'!$E27),0,OFFSET(P163,0,-1*'Get Started'!$H48)*'Get Started'!$E48),0)+IF(AND('Get Started'!$H47&lt;='Get Started'!$E27,'Get Started'!$G47&lt;&gt;0),IF(P4&lt;'Get Started'!$H47,0,OFFSET(P163,0,-1*'Get Started'!$H47)*'Get Started'!$E47),0)+IF(AND('Get Started'!$H46&lt;='Get Started'!$E27,'Get Started'!$G46&lt;&gt;0),IF(P4&lt;'Get Started'!$H46,0,OFFSET(P163,0,-1*'Get Started'!$H46)*'Get Started'!$E46),0)+IF(AND('Get Started'!$H45&lt;='Get Started'!$E27,'Get Started'!$G45&lt;&gt;0),IF(P4&lt;'Get Started'!$H45,0,OFFSET(P163,0,-1*'Get Started'!$H45)*'Get Started'!$E45*'Get Started'!$G45),0)</f>
        <v>2.3099999999999992E-2</v>
      </c>
      <c r="Q170" s="85">
        <f ca="1">IF(AND('Get Started'!$H48&lt;='Get Started'!$E27,'Get Started'!$G48&lt;&gt;0),IF(AND(Q4&lt;'Get Started'!$H48,'Get Started'!$H48&lt;='Get Started'!$E27),0,OFFSET(Q163,0,-1*'Get Started'!$H48)*'Get Started'!$E48),0)+IF(AND('Get Started'!$H47&lt;='Get Started'!$E27,'Get Started'!$G47&lt;&gt;0),IF(Q4&lt;'Get Started'!$H47,0,OFFSET(Q163,0,-1*'Get Started'!$H47)*'Get Started'!$E47),0)+IF(AND('Get Started'!$H46&lt;='Get Started'!$E27,'Get Started'!$G46&lt;&gt;0),IF(Q4&lt;'Get Started'!$H46,0,OFFSET(Q163,0,-1*'Get Started'!$H46)*'Get Started'!$E46),0)+IF(AND('Get Started'!$H45&lt;='Get Started'!$E27,'Get Started'!$G45&lt;&gt;0),IF(Q4&lt;'Get Started'!$H45,0,OFFSET(Q163,0,-1*'Get Started'!$H45)*'Get Started'!$E45*'Get Started'!$G45),0)</f>
        <v>0</v>
      </c>
      <c r="R170" s="85">
        <f ca="1">IF(AND('Get Started'!$H48&lt;='Get Started'!$E27,'Get Started'!$G48&lt;&gt;0),IF(AND(R4&lt;'Get Started'!$H48,'Get Started'!$H48&lt;='Get Started'!$E27),0,OFFSET(R163,0,-1*'Get Started'!$H48)*'Get Started'!$E48),0)+IF(AND('Get Started'!$H47&lt;='Get Started'!$E27,'Get Started'!$G47&lt;&gt;0),IF(R4&lt;'Get Started'!$H47,0,OFFSET(R163,0,-1*'Get Started'!$H47)*'Get Started'!$E47),0)+IF(AND('Get Started'!$H46&lt;='Get Started'!$E27,'Get Started'!$G46&lt;&gt;0),IF(R4&lt;'Get Started'!$H46,0,OFFSET(R163,0,-1*'Get Started'!$H46)*'Get Started'!$E46),0)+IF(AND('Get Started'!$H45&lt;='Get Started'!$E27,'Get Started'!$G45&lt;&gt;0),IF(R4&lt;'Get Started'!$H45,0,OFFSET(R163,0,-1*'Get Started'!$H45)*'Get Started'!$E45*'Get Started'!$G45),0)</f>
        <v>0</v>
      </c>
      <c r="S170" s="85">
        <f ca="1">IF(AND('Get Started'!$H48&lt;='Get Started'!$E27,'Get Started'!$G48&lt;&gt;0),IF(AND(S4&lt;'Get Started'!$H48,'Get Started'!$H48&lt;='Get Started'!$E27),0,OFFSET(S163,0,-1*'Get Started'!$H48)*'Get Started'!$E48),0)+IF(AND('Get Started'!$H47&lt;='Get Started'!$E27,'Get Started'!$G47&lt;&gt;0),IF(S4&lt;'Get Started'!$H47,0,OFFSET(S163,0,-1*'Get Started'!$H47)*'Get Started'!$E47),0)+IF(AND('Get Started'!$H46&lt;='Get Started'!$E27,'Get Started'!$G46&lt;&gt;0),IF(S4&lt;'Get Started'!$H46,0,OFFSET(S163,0,-1*'Get Started'!$H46)*'Get Started'!$E46),0)+IF(AND('Get Started'!$H45&lt;='Get Started'!$E27,'Get Started'!$G45&lt;&gt;0),IF(S4&lt;'Get Started'!$H45,0,OFFSET(S163,0,-1*'Get Started'!$H45)*'Get Started'!$E45*'Get Started'!$G45),0)</f>
        <v>0</v>
      </c>
      <c r="T170" s="85">
        <f ca="1">IF(AND('Get Started'!$H48&lt;='Get Started'!$E27,'Get Started'!$G48&lt;&gt;0),IF(AND(T4&lt;'Get Started'!$H48,'Get Started'!$H48&lt;='Get Started'!$E27),0,OFFSET(T163,0,-1*'Get Started'!$H48)*'Get Started'!$E48),0)+IF(AND('Get Started'!$H47&lt;='Get Started'!$E27,'Get Started'!$G47&lt;&gt;0),IF(T4&lt;'Get Started'!$H47,0,OFFSET(T163,0,-1*'Get Started'!$H47)*'Get Started'!$E47),0)+IF(AND('Get Started'!$H46&lt;='Get Started'!$E27,'Get Started'!$G46&lt;&gt;0),IF(T4&lt;'Get Started'!$H46,0,OFFSET(T163,0,-1*'Get Started'!$H46)*'Get Started'!$E46),0)+IF(AND('Get Started'!$H45&lt;='Get Started'!$E27,'Get Started'!$G45&lt;&gt;0),IF(T4&lt;'Get Started'!$H45,0,OFFSET(T163,0,-1*'Get Started'!$H45)*'Get Started'!$E45*'Get Started'!$G45),0)</f>
        <v>0</v>
      </c>
      <c r="U170" s="85">
        <f ca="1">IF(AND('Get Started'!$H48&lt;='Get Started'!$E27,'Get Started'!$G48&lt;&gt;0),IF(AND(U4&lt;'Get Started'!$H48,'Get Started'!$H48&lt;='Get Started'!$E27),0,OFFSET(U163,0,-1*'Get Started'!$H48)*'Get Started'!$E48),0)+IF(AND('Get Started'!$H47&lt;='Get Started'!$E27,'Get Started'!$G47&lt;&gt;0),IF(U4&lt;'Get Started'!$H47,0,OFFSET(U163,0,-1*'Get Started'!$H47)*'Get Started'!$E47),0)+IF(AND('Get Started'!$H46&lt;='Get Started'!$E27,'Get Started'!$G46&lt;&gt;0),IF(U4&lt;'Get Started'!$H46,0,OFFSET(U163,0,-1*'Get Started'!$H46)*'Get Started'!$E46),0)+IF(AND('Get Started'!$H45&lt;='Get Started'!$E27,'Get Started'!$G45&lt;&gt;0),IF(U4&lt;'Get Started'!$H45,0,OFFSET(U163,0,-1*'Get Started'!$H45)*'Get Started'!$E45*'Get Started'!$G45),0)</f>
        <v>0</v>
      </c>
      <c r="V170" s="85">
        <f ca="1">IF(AND('Get Started'!$H48&lt;='Get Started'!$E27,'Get Started'!$G48&lt;&gt;0),IF(AND(V4&lt;'Get Started'!$H48,'Get Started'!$H48&lt;='Get Started'!$E27),0,OFFSET(V163,0,-1*'Get Started'!$H48)*'Get Started'!$E48),0)+IF(AND('Get Started'!$H47&lt;='Get Started'!$E27,'Get Started'!$G47&lt;&gt;0),IF(V4&lt;'Get Started'!$H47,0,OFFSET(V163,0,-1*'Get Started'!$H47)*'Get Started'!$E47),0)+IF(AND('Get Started'!$H46&lt;='Get Started'!$E27,'Get Started'!$G46&lt;&gt;0),IF(V4&lt;'Get Started'!$H46,0,OFFSET(V163,0,-1*'Get Started'!$H46)*'Get Started'!$E46),0)+IF(AND('Get Started'!$H45&lt;='Get Started'!$E27,'Get Started'!$G45&lt;&gt;0),IF(V4&lt;'Get Started'!$H45,0,OFFSET(V163,0,-1*'Get Started'!$H45)*'Get Started'!$E45*'Get Started'!$G45),0)</f>
        <v>0</v>
      </c>
      <c r="W170" s="85">
        <f ca="1">IF(AND('Get Started'!$H48&lt;='Get Started'!$E27,'Get Started'!$G48&lt;&gt;0),IF(AND(W4&lt;'Get Started'!$H48,'Get Started'!$H48&lt;='Get Started'!$E27),0,OFFSET(W163,0,-1*'Get Started'!$H48)*'Get Started'!$E48),0)+IF(AND('Get Started'!$H47&lt;='Get Started'!$E27,'Get Started'!$G47&lt;&gt;0),IF(W4&lt;'Get Started'!$H47,0,OFFSET(W163,0,-1*'Get Started'!$H47)*'Get Started'!$E47),0)+IF(AND('Get Started'!$H46&lt;='Get Started'!$E27,'Get Started'!$G46&lt;&gt;0),IF(W4&lt;'Get Started'!$H46,0,OFFSET(W163,0,-1*'Get Started'!$H46)*'Get Started'!$E46),0)+IF(AND('Get Started'!$H45&lt;='Get Started'!$E27,'Get Started'!$G45&lt;&gt;0),IF(W4&lt;'Get Started'!$H45,0,OFFSET(W163,0,-1*'Get Started'!$H45)*'Get Started'!$E45*'Get Started'!$G45),0)</f>
        <v>0</v>
      </c>
      <c r="X170" s="85">
        <f ca="1">IF(AND('Get Started'!$H48&lt;='Get Started'!$E27,'Get Started'!$G48&lt;&gt;0),IF(AND(X4&lt;'Get Started'!$H48,'Get Started'!$H48&lt;='Get Started'!$E27),0,OFFSET(X163,0,-1*'Get Started'!$H48)*'Get Started'!$E48),0)+IF(AND('Get Started'!$H47&lt;='Get Started'!$E27,'Get Started'!$G47&lt;&gt;0),IF(X4&lt;'Get Started'!$H47,0,OFFSET(X163,0,-1*'Get Started'!$H47)*'Get Started'!$E47),0)+IF(AND('Get Started'!$H46&lt;='Get Started'!$E27,'Get Started'!$G46&lt;&gt;0),IF(X4&lt;'Get Started'!$H46,0,OFFSET(X163,0,-1*'Get Started'!$H46)*'Get Started'!$E46),0)+IF(AND('Get Started'!$H45&lt;='Get Started'!$E27,'Get Started'!$G45&lt;&gt;0),IF(X4&lt;'Get Started'!$H45,0,OFFSET(X163,0,-1*'Get Started'!$H45)*'Get Started'!$E45*'Get Started'!$G45),0)</f>
        <v>0</v>
      </c>
      <c r="Y170" s="85">
        <f ca="1">IF(AND('Get Started'!$H48&lt;='Get Started'!$E27,'Get Started'!$G48&lt;&gt;0),IF(AND(Y4&lt;'Get Started'!$H48,'Get Started'!$H48&lt;='Get Started'!$E27),0,OFFSET(Y163,0,-1*'Get Started'!$H48)*'Get Started'!$E48),0)+IF(AND('Get Started'!$H47&lt;='Get Started'!$E27,'Get Started'!$G47&lt;&gt;0),IF(Y4&lt;'Get Started'!$H47,0,OFFSET(Y163,0,-1*'Get Started'!$H47)*'Get Started'!$E47),0)+IF(AND('Get Started'!$H46&lt;='Get Started'!$E27,'Get Started'!$G46&lt;&gt;0),IF(Y4&lt;'Get Started'!$H46,0,OFFSET(Y163,0,-1*'Get Started'!$H46)*'Get Started'!$E46),0)+IF(AND('Get Started'!$H45&lt;='Get Started'!$E27,'Get Started'!$G45&lt;&gt;0),IF(Y4&lt;'Get Started'!$H45,0,OFFSET(Y163,0,-1*'Get Started'!$H45)*'Get Started'!$E45*'Get Started'!$G45),0)</f>
        <v>0</v>
      </c>
      <c r="Z170" s="85">
        <f ca="1">IF(AND('Get Started'!$H48&lt;='Get Started'!$E27,'Get Started'!$G48&lt;&gt;0),IF(AND(Z4&lt;'Get Started'!$H48,'Get Started'!$H48&lt;='Get Started'!$E27),0,OFFSET(Z163,0,-1*'Get Started'!$H48)*'Get Started'!$E48),0)+IF(AND('Get Started'!$H47&lt;='Get Started'!$E27,'Get Started'!$G47&lt;&gt;0),IF(Z4&lt;'Get Started'!$H47,0,OFFSET(Z163,0,-1*'Get Started'!$H47)*'Get Started'!$E47),0)+IF(AND('Get Started'!$H46&lt;='Get Started'!$E27,'Get Started'!$G46&lt;&gt;0),IF(Z4&lt;'Get Started'!$H46,0,OFFSET(Z163,0,-1*'Get Started'!$H46)*'Get Started'!$E46),0)+IF(AND('Get Started'!$H45&lt;='Get Started'!$E27,'Get Started'!$G45&lt;&gt;0),IF(Z4&lt;'Get Started'!$H45,0,OFFSET(Z163,0,-1*'Get Started'!$H45)*'Get Started'!$E45*'Get Started'!$G45),0)</f>
        <v>0</v>
      </c>
    </row>
    <row r="171" spans="1:26" ht="13" outlineLevel="1">
      <c r="A171" s="34"/>
      <c r="B171" s="34" t="s">
        <v>269</v>
      </c>
      <c r="C171" s="34"/>
      <c r="D171" s="34" t="s">
        <v>163</v>
      </c>
      <c r="E171" s="83">
        <f t="shared" ca="1" si="116"/>
        <v>3.85E-2</v>
      </c>
      <c r="F171" s="64"/>
      <c r="G171" s="85">
        <f ca="1">IF('Get Started'!$E28="invested capital",G170,IF('Get Started'!$E28="invested capital plus cost basis",G169,G168))*G11</f>
        <v>0</v>
      </c>
      <c r="H171" s="85">
        <f ca="1">IF('Get Started'!$E28="invested capital",H170,IF('Get Started'!$E28="invested capital plus cost basis",H169,H168))*H11</f>
        <v>0</v>
      </c>
      <c r="I171" s="85">
        <f ca="1">IF('Get Started'!$E28="invested capital",I170,IF('Get Started'!$E28="invested capital plus cost basis",I169,I168))*I11</f>
        <v>0</v>
      </c>
      <c r="J171" s="85">
        <f ca="1">IF('Get Started'!$E28="invested capital",J170,IF('Get Started'!$E28="invested capital plus cost basis",J169,J168))*J11</f>
        <v>3.85E-2</v>
      </c>
      <c r="K171" s="85">
        <f ca="1">IF('Get Started'!$E28="invested capital",K170,IF('Get Started'!$E28="invested capital plus cost basis",K169,K168))*K11</f>
        <v>0</v>
      </c>
      <c r="L171" s="85">
        <f ca="1">IF('Get Started'!$E28="invested capital",L170,IF('Get Started'!$E28="invested capital plus cost basis",L169,L168))*L11</f>
        <v>0</v>
      </c>
      <c r="M171" s="85">
        <f ca="1">IF('Get Started'!$E28="invested capital",M170,IF('Get Started'!$E28="invested capital plus cost basis",M169,M168))*M11</f>
        <v>0</v>
      </c>
      <c r="N171" s="85">
        <f ca="1">IF('Get Started'!$E28="invested capital",N170,IF('Get Started'!$E28="invested capital plus cost basis",N169,N168))*N11</f>
        <v>0</v>
      </c>
      <c r="O171" s="85">
        <f ca="1">IF('Get Started'!$E28="invested capital",O170,IF('Get Started'!$E28="invested capital plus cost basis",O169,O168))*O11</f>
        <v>0</v>
      </c>
      <c r="P171" s="85">
        <f ca="1">IF('Get Started'!$E28="invested capital",P170,IF('Get Started'!$E28="invested capital plus cost basis",P169,P168))*P11</f>
        <v>0</v>
      </c>
      <c r="Q171" s="85">
        <f ca="1">IF('Get Started'!$E28="invested capital",Q170,IF('Get Started'!$E28="invested capital plus cost basis",Q169,Q168))*Q11</f>
        <v>0</v>
      </c>
      <c r="R171" s="85">
        <f ca="1">IF('Get Started'!$E28="invested capital",R170,IF('Get Started'!$E28="invested capital plus cost basis",R169,R168))*R11</f>
        <v>0</v>
      </c>
      <c r="S171" s="85">
        <f ca="1">IF('Get Started'!$E28="invested capital",S170,IF('Get Started'!$E28="invested capital plus cost basis",S169,S168))*S11</f>
        <v>0</v>
      </c>
      <c r="T171" s="85">
        <f ca="1">IF('Get Started'!$E28="invested capital",T170,IF('Get Started'!$E28="invested capital plus cost basis",T169,T168))*T11</f>
        <v>0</v>
      </c>
      <c r="U171" s="85">
        <f ca="1">IF('Get Started'!$E28="invested capital",U170,IF('Get Started'!$E28="invested capital plus cost basis",U169,U168))*U11</f>
        <v>0</v>
      </c>
      <c r="V171" s="85">
        <f ca="1">IF('Get Started'!$E28="invested capital",V170,IF('Get Started'!$E28="invested capital plus cost basis",V169,V168))*V11</f>
        <v>0</v>
      </c>
      <c r="W171" s="85">
        <f ca="1">IF('Get Started'!$E28="invested capital",W170,IF('Get Started'!$E28="invested capital plus cost basis",W169,W168))*W11</f>
        <v>0</v>
      </c>
      <c r="X171" s="85">
        <f ca="1">IF('Get Started'!$E28="invested capital",X170,IF('Get Started'!$E28="invested capital plus cost basis",X169,X168))*X11</f>
        <v>0</v>
      </c>
      <c r="Y171" s="85">
        <f ca="1">IF('Get Started'!$E28="invested capital",Y170,IF('Get Started'!$E28="invested capital plus cost basis",Y169,Y168))*Y11</f>
        <v>0</v>
      </c>
      <c r="Z171" s="85">
        <f ca="1">IF('Get Started'!$E28="invested capital",Z170,IF('Get Started'!$E28="invested capital plus cost basis",Z169,Z168))*Z11</f>
        <v>0</v>
      </c>
    </row>
    <row r="172" spans="1:26" ht="13" outlineLevel="1">
      <c r="A172" s="34"/>
      <c r="B172" s="34" t="s">
        <v>270</v>
      </c>
      <c r="C172" s="34"/>
      <c r="D172" s="34" t="s">
        <v>163</v>
      </c>
      <c r="E172" s="83">
        <f t="shared" ca="1" si="116"/>
        <v>0</v>
      </c>
      <c r="F172" s="64"/>
      <c r="G172" s="85">
        <f t="shared" ref="G172:Z172" si="124">IF(AND(G8=1,G11=1),0,G160)</f>
        <v>0</v>
      </c>
      <c r="H172" s="85">
        <f t="shared" si="124"/>
        <v>0</v>
      </c>
      <c r="I172" s="85">
        <f t="shared" si="124"/>
        <v>0</v>
      </c>
      <c r="J172" s="85">
        <f t="shared" si="124"/>
        <v>0</v>
      </c>
      <c r="K172" s="85">
        <f t="shared" ca="1" si="124"/>
        <v>0</v>
      </c>
      <c r="L172" s="85">
        <f t="shared" ca="1" si="124"/>
        <v>0</v>
      </c>
      <c r="M172" s="85">
        <f t="shared" ca="1" si="124"/>
        <v>0</v>
      </c>
      <c r="N172" s="85">
        <f t="shared" ca="1" si="124"/>
        <v>0</v>
      </c>
      <c r="O172" s="85">
        <f t="shared" ca="1" si="124"/>
        <v>0</v>
      </c>
      <c r="P172" s="85">
        <f t="shared" ca="1" si="124"/>
        <v>0</v>
      </c>
      <c r="Q172" s="85">
        <f t="shared" ca="1" si="124"/>
        <v>0</v>
      </c>
      <c r="R172" s="85">
        <f t="shared" ca="1" si="124"/>
        <v>0</v>
      </c>
      <c r="S172" s="85">
        <f t="shared" ca="1" si="124"/>
        <v>0</v>
      </c>
      <c r="T172" s="85">
        <f t="shared" ca="1" si="124"/>
        <v>0</v>
      </c>
      <c r="U172" s="85">
        <f t="shared" ca="1" si="124"/>
        <v>0</v>
      </c>
      <c r="V172" s="85">
        <f t="shared" ca="1" si="124"/>
        <v>0</v>
      </c>
      <c r="W172" s="85">
        <f t="shared" ca="1" si="124"/>
        <v>0</v>
      </c>
      <c r="X172" s="85">
        <f t="shared" ca="1" si="124"/>
        <v>0</v>
      </c>
      <c r="Y172" s="85">
        <f t="shared" ca="1" si="124"/>
        <v>0</v>
      </c>
      <c r="Z172" s="85">
        <f t="shared" ca="1" si="124"/>
        <v>0</v>
      </c>
    </row>
    <row r="173" spans="1:26" ht="13" outlineLevel="1">
      <c r="A173" s="34"/>
      <c r="B173" s="34" t="s">
        <v>271</v>
      </c>
      <c r="C173" s="34"/>
      <c r="D173" s="34" t="s">
        <v>173</v>
      </c>
      <c r="E173" s="83">
        <f t="shared" ca="1" si="116"/>
        <v>0.99999999999999956</v>
      </c>
      <c r="F173" s="64"/>
      <c r="G173" s="85">
        <f t="shared" ref="G173:Z173" ca="1" si="125">F173+G156</f>
        <v>0.21909999999999996</v>
      </c>
      <c r="H173" s="85">
        <f t="shared" ca="1" si="125"/>
        <v>0.43419999999999992</v>
      </c>
      <c r="I173" s="85">
        <f t="shared" ca="1" si="125"/>
        <v>0.64929999999999988</v>
      </c>
      <c r="J173" s="85">
        <f t="shared" ca="1" si="125"/>
        <v>0.86439999999999984</v>
      </c>
      <c r="K173" s="85">
        <f t="shared" ca="1" si="125"/>
        <v>0.88699999999999979</v>
      </c>
      <c r="L173" s="85">
        <f t="shared" ca="1" si="125"/>
        <v>0.90959999999999974</v>
      </c>
      <c r="M173" s="85">
        <f t="shared" ca="1" si="125"/>
        <v>0.9321999999999997</v>
      </c>
      <c r="N173" s="85">
        <f t="shared" ca="1" si="125"/>
        <v>0.95479999999999965</v>
      </c>
      <c r="O173" s="85">
        <f t="shared" ca="1" si="125"/>
        <v>0.9773999999999996</v>
      </c>
      <c r="P173" s="85">
        <f t="shared" ca="1" si="125"/>
        <v>0.99999999999999956</v>
      </c>
      <c r="Q173" s="85">
        <f t="shared" ca="1" si="125"/>
        <v>0.99999999999999956</v>
      </c>
      <c r="R173" s="85">
        <f t="shared" ca="1" si="125"/>
        <v>0.99999999999999956</v>
      </c>
      <c r="S173" s="85">
        <f t="shared" ca="1" si="125"/>
        <v>0.99999999999999956</v>
      </c>
      <c r="T173" s="85">
        <f t="shared" ca="1" si="125"/>
        <v>0.99999999999999956</v>
      </c>
      <c r="U173" s="85">
        <f t="shared" ca="1" si="125"/>
        <v>0.99999999999999956</v>
      </c>
      <c r="V173" s="85">
        <f t="shared" ca="1" si="125"/>
        <v>0.99999999999999956</v>
      </c>
      <c r="W173" s="85">
        <f t="shared" ca="1" si="125"/>
        <v>0.99999999999999956</v>
      </c>
      <c r="X173" s="85">
        <f t="shared" ca="1" si="125"/>
        <v>0.99999999999999956</v>
      </c>
      <c r="Y173" s="85">
        <f t="shared" ca="1" si="125"/>
        <v>0.99999999999999956</v>
      </c>
      <c r="Z173" s="85">
        <f t="shared" ca="1" si="125"/>
        <v>0.99999999999999956</v>
      </c>
    </row>
    <row r="174" spans="1:26" ht="13" outlineLevel="1">
      <c r="A174" s="34"/>
      <c r="B174" s="34" t="str">
        <f t="shared" ref="B174:B175" si="126">"cumulative "&amp;B159</f>
        <v>cumulative management fees</v>
      </c>
      <c r="C174" s="34"/>
      <c r="D174" s="34" t="s">
        <v>173</v>
      </c>
      <c r="E174" s="83">
        <f t="shared" si="116"/>
        <v>0.19600000000000004</v>
      </c>
      <c r="F174" s="64"/>
      <c r="G174" s="85">
        <f t="shared" ref="G174:Z174" si="127">F174+G159</f>
        <v>1.9599999999999999E-2</v>
      </c>
      <c r="H174" s="85">
        <f t="shared" si="127"/>
        <v>3.9199999999999999E-2</v>
      </c>
      <c r="I174" s="85">
        <f t="shared" si="127"/>
        <v>5.8799999999999998E-2</v>
      </c>
      <c r="J174" s="85">
        <f t="shared" si="127"/>
        <v>7.8399999999999997E-2</v>
      </c>
      <c r="K174" s="85">
        <f t="shared" si="127"/>
        <v>9.8000000000000004E-2</v>
      </c>
      <c r="L174" s="85">
        <f t="shared" si="127"/>
        <v>0.11760000000000001</v>
      </c>
      <c r="M174" s="85">
        <f t="shared" si="127"/>
        <v>0.13720000000000002</v>
      </c>
      <c r="N174" s="85">
        <f t="shared" si="127"/>
        <v>0.15680000000000002</v>
      </c>
      <c r="O174" s="85">
        <f t="shared" si="127"/>
        <v>0.17640000000000003</v>
      </c>
      <c r="P174" s="85">
        <f t="shared" si="127"/>
        <v>0.19600000000000004</v>
      </c>
      <c r="Q174" s="85">
        <f t="shared" si="127"/>
        <v>0.19600000000000004</v>
      </c>
      <c r="R174" s="85">
        <f t="shared" si="127"/>
        <v>0.19600000000000004</v>
      </c>
      <c r="S174" s="85">
        <f t="shared" si="127"/>
        <v>0.19600000000000004</v>
      </c>
      <c r="T174" s="85">
        <f t="shared" si="127"/>
        <v>0.19600000000000004</v>
      </c>
      <c r="U174" s="85">
        <f t="shared" si="127"/>
        <v>0.19600000000000004</v>
      </c>
      <c r="V174" s="85">
        <f t="shared" si="127"/>
        <v>0.19600000000000004</v>
      </c>
      <c r="W174" s="85">
        <f t="shared" si="127"/>
        <v>0.19600000000000004</v>
      </c>
      <c r="X174" s="85">
        <f t="shared" si="127"/>
        <v>0.19600000000000004</v>
      </c>
      <c r="Y174" s="85">
        <f t="shared" si="127"/>
        <v>0.19600000000000004</v>
      </c>
      <c r="Z174" s="85">
        <f t="shared" si="127"/>
        <v>0.19600000000000004</v>
      </c>
    </row>
    <row r="175" spans="1:26" ht="13" outlineLevel="1">
      <c r="A175" s="34"/>
      <c r="B175" s="34" t="str">
        <f t="shared" si="126"/>
        <v>cumulative proceeds recycled</v>
      </c>
      <c r="C175" s="34"/>
      <c r="D175" s="34" t="s">
        <v>173</v>
      </c>
      <c r="E175" s="83">
        <f t="shared" ca="1" si="116"/>
        <v>3.85E-2</v>
      </c>
      <c r="F175" s="64"/>
      <c r="G175" s="85">
        <f t="shared" ref="G175:Z175" ca="1" si="128">F175+G160</f>
        <v>0</v>
      </c>
      <c r="H175" s="85">
        <f t="shared" ca="1" si="128"/>
        <v>0</v>
      </c>
      <c r="I175" s="85">
        <f t="shared" ca="1" si="128"/>
        <v>0</v>
      </c>
      <c r="J175" s="85">
        <f t="shared" ca="1" si="128"/>
        <v>3.85E-2</v>
      </c>
      <c r="K175" s="85">
        <f t="shared" ca="1" si="128"/>
        <v>3.85E-2</v>
      </c>
      <c r="L175" s="85">
        <f t="shared" ca="1" si="128"/>
        <v>3.85E-2</v>
      </c>
      <c r="M175" s="85">
        <f t="shared" ca="1" si="128"/>
        <v>3.85E-2</v>
      </c>
      <c r="N175" s="85">
        <f t="shared" ca="1" si="128"/>
        <v>3.85E-2</v>
      </c>
      <c r="O175" s="85">
        <f t="shared" ca="1" si="128"/>
        <v>3.85E-2</v>
      </c>
      <c r="P175" s="85">
        <f t="shared" ca="1" si="128"/>
        <v>3.85E-2</v>
      </c>
      <c r="Q175" s="85">
        <f t="shared" ca="1" si="128"/>
        <v>3.85E-2</v>
      </c>
      <c r="R175" s="85">
        <f t="shared" ca="1" si="128"/>
        <v>3.85E-2</v>
      </c>
      <c r="S175" s="85">
        <f t="shared" ca="1" si="128"/>
        <v>3.85E-2</v>
      </c>
      <c r="T175" s="85">
        <f t="shared" ca="1" si="128"/>
        <v>3.85E-2</v>
      </c>
      <c r="U175" s="85">
        <f t="shared" ca="1" si="128"/>
        <v>3.85E-2</v>
      </c>
      <c r="V175" s="85">
        <f t="shared" ca="1" si="128"/>
        <v>3.85E-2</v>
      </c>
      <c r="W175" s="85">
        <f t="shared" ca="1" si="128"/>
        <v>3.85E-2</v>
      </c>
      <c r="X175" s="85">
        <f t="shared" ca="1" si="128"/>
        <v>3.85E-2</v>
      </c>
      <c r="Y175" s="85">
        <f t="shared" ca="1" si="128"/>
        <v>3.85E-2</v>
      </c>
      <c r="Z175" s="85">
        <f t="shared" ca="1" si="128"/>
        <v>3.85E-2</v>
      </c>
    </row>
    <row r="176" spans="1:26" ht="13" outlineLevel="1">
      <c r="A176" s="34"/>
      <c r="B176" s="34" t="str">
        <f t="shared" ref="B176:B180" si="129">"gross multiple on "&amp;B168</f>
        <v>gross multiple on proceeds from investments exited within timeframe</v>
      </c>
      <c r="C176" s="34"/>
      <c r="D176" s="34" t="s">
        <v>173</v>
      </c>
      <c r="E176" s="83">
        <f t="shared" si="116"/>
        <v>3.9999999999999991</v>
      </c>
      <c r="F176" s="64"/>
      <c r="G176" s="87">
        <f>IF('Get Started'!$H48&lt;='Get Started'!$E27,IF(AND(G4&lt;'Get Started'!$H48,'Get Started'!$H48&lt;='Get Started'!$E27),0,'Get Started'!$E48*'Get Started'!$G48),0)+IF('Get Started'!$H47&lt;='Get Started'!$E27,IF(G4&lt;'Get Started'!$H47,0,'Get Started'!$E47*'Get Started'!$G47),0)+IF('Get Started'!$H46&lt;='Get Started'!$E27,IF(G4&lt;'Get Started'!$H46,0,'Get Started'!$E46*'Get Started'!$G46),0)+IF('Get Started'!$H45&lt;='Get Started'!$E27,IF(G4&lt;'Get Started'!$H45,0,'Get Started'!$E45*'Get Started'!$G45),0)</f>
        <v>0</v>
      </c>
      <c r="H176" s="87">
        <f>IF('Get Started'!$H48&lt;='Get Started'!$E27,IF(AND(H4&lt;'Get Started'!$H48,'Get Started'!$H48&lt;='Get Started'!$E27),0,'Get Started'!$E48*'Get Started'!$G48),0)+IF('Get Started'!$H47&lt;='Get Started'!$E27,IF(H4&lt;'Get Started'!$H47,0,'Get Started'!$E47*'Get Started'!$G47),0)+IF('Get Started'!$H46&lt;='Get Started'!$E27,IF(H4&lt;'Get Started'!$H46,0,'Get Started'!$E46*'Get Started'!$G46),0)+IF('Get Started'!$H45&lt;='Get Started'!$E27,IF(H4&lt;'Get Started'!$H45,0,'Get Started'!$E45*'Get Started'!$G45),0)</f>
        <v>0</v>
      </c>
      <c r="I176" s="87">
        <f>IF('Get Started'!$H48&lt;='Get Started'!$E27,IF(AND(I4&lt;'Get Started'!$H48,'Get Started'!$H48&lt;='Get Started'!$E27),0,'Get Started'!$E48*'Get Started'!$G48),0)+IF('Get Started'!$H47&lt;='Get Started'!$E27,IF(I4&lt;'Get Started'!$H47,0,'Get Started'!$E47*'Get Started'!$G47),0)+IF('Get Started'!$H46&lt;='Get Started'!$E27,IF(I4&lt;'Get Started'!$H46,0,'Get Started'!$E46*'Get Started'!$G46),0)+IF('Get Started'!$H45&lt;='Get Started'!$E27,IF(I4&lt;'Get Started'!$H45,0,'Get Started'!$E45*'Get Started'!$G45),0)</f>
        <v>0.30000000000000004</v>
      </c>
      <c r="J176" s="87">
        <f>IF('Get Started'!$H48&lt;='Get Started'!$E27,IF(AND(J4&lt;'Get Started'!$H48,'Get Started'!$H48&lt;='Get Started'!$E27),0,'Get Started'!$E48*'Get Started'!$G48),0)+IF('Get Started'!$H47&lt;='Get Started'!$E27,IF(J4&lt;'Get Started'!$H47,0,'Get Started'!$E47*'Get Started'!$G47),0)+IF('Get Started'!$H46&lt;='Get Started'!$E27,IF(J4&lt;'Get Started'!$H46,0,'Get Started'!$E46*'Get Started'!$G46),0)+IF('Get Started'!$H45&lt;='Get Started'!$E27,IF(J4&lt;'Get Started'!$H45,0,'Get Started'!$E45*'Get Started'!$G45),0)</f>
        <v>0.8</v>
      </c>
      <c r="K176" s="87">
        <f>IF('Get Started'!$H48&lt;='Get Started'!$E27,IF(AND(K4&lt;'Get Started'!$H48,'Get Started'!$H48&lt;='Get Started'!$E27),0,'Get Started'!$E48*'Get Started'!$G48),0)+IF('Get Started'!$H47&lt;='Get Started'!$E27,IF(K4&lt;'Get Started'!$H47,0,'Get Started'!$E47*'Get Started'!$G47),0)+IF('Get Started'!$H46&lt;='Get Started'!$E27,IF(K4&lt;'Get Started'!$H46,0,'Get Started'!$E46*'Get Started'!$G46),0)+IF('Get Started'!$H45&lt;='Get Started'!$E27,IF(K4&lt;'Get Started'!$H45,0,'Get Started'!$E45*'Get Started'!$G45),0)</f>
        <v>0.8</v>
      </c>
      <c r="L176" s="87">
        <f>IF('Get Started'!$H48&lt;='Get Started'!$E27,IF(AND(L4&lt;'Get Started'!$H48,'Get Started'!$H48&lt;='Get Started'!$E27),0,'Get Started'!$E48*'Get Started'!$G48),0)+IF('Get Started'!$H47&lt;='Get Started'!$E27,IF(L4&lt;'Get Started'!$H47,0,'Get Started'!$E47*'Get Started'!$G47),0)+IF('Get Started'!$H46&lt;='Get Started'!$E27,IF(L4&lt;'Get Started'!$H46,0,'Get Started'!$E46*'Get Started'!$G46),0)+IF('Get Started'!$H45&lt;='Get Started'!$E27,IF(L4&lt;'Get Started'!$H45,0,'Get Started'!$E45*'Get Started'!$G45),0)</f>
        <v>3.9999999999999991</v>
      </c>
      <c r="M176" s="87">
        <f>IF('Get Started'!$H48&lt;='Get Started'!$E27,IF(AND(M4&lt;'Get Started'!$H48,'Get Started'!$H48&lt;='Get Started'!$E27),0,'Get Started'!$E48*'Get Started'!$G48),0)+IF('Get Started'!$H47&lt;='Get Started'!$E27,IF(M4&lt;'Get Started'!$H47,0,'Get Started'!$E47*'Get Started'!$G47),0)+IF('Get Started'!$H46&lt;='Get Started'!$E27,IF(M4&lt;'Get Started'!$H46,0,'Get Started'!$E46*'Get Started'!$G46),0)+IF('Get Started'!$H45&lt;='Get Started'!$E27,IF(M4&lt;'Get Started'!$H45,0,'Get Started'!$E45*'Get Started'!$G45),0)</f>
        <v>3.9999999999999991</v>
      </c>
      <c r="N176" s="87">
        <f>IF('Get Started'!$H48&lt;='Get Started'!$E27,IF(AND(N4&lt;'Get Started'!$H48,'Get Started'!$H48&lt;='Get Started'!$E27),0,'Get Started'!$E48*'Get Started'!$G48),0)+IF('Get Started'!$H47&lt;='Get Started'!$E27,IF(N4&lt;'Get Started'!$H47,0,'Get Started'!$E47*'Get Started'!$G47),0)+IF('Get Started'!$H46&lt;='Get Started'!$E27,IF(N4&lt;'Get Started'!$H46,0,'Get Started'!$E46*'Get Started'!$G46),0)+IF('Get Started'!$H45&lt;='Get Started'!$E27,IF(N4&lt;'Get Started'!$H45,0,'Get Started'!$E45*'Get Started'!$G45),0)</f>
        <v>3.9999999999999991</v>
      </c>
      <c r="O176" s="87">
        <f>IF('Get Started'!$H48&lt;='Get Started'!$E27,IF(AND(O4&lt;'Get Started'!$H48,'Get Started'!$H48&lt;='Get Started'!$E27),0,'Get Started'!$E48*'Get Started'!$G48),0)+IF('Get Started'!$H47&lt;='Get Started'!$E27,IF(O4&lt;'Get Started'!$H47,0,'Get Started'!$E47*'Get Started'!$G47),0)+IF('Get Started'!$H46&lt;='Get Started'!$E27,IF(O4&lt;'Get Started'!$H46,0,'Get Started'!$E46*'Get Started'!$G46),0)+IF('Get Started'!$H45&lt;='Get Started'!$E27,IF(O4&lt;'Get Started'!$H45,0,'Get Started'!$E45*'Get Started'!$G45),0)</f>
        <v>3.9999999999999991</v>
      </c>
      <c r="P176" s="87">
        <f>IF('Get Started'!$H48&lt;='Get Started'!$E27,IF(AND(P4&lt;'Get Started'!$H48,'Get Started'!$H48&lt;='Get Started'!$E27),0,'Get Started'!$E48*'Get Started'!$G48),0)+IF('Get Started'!$H47&lt;='Get Started'!$E27,IF(P4&lt;'Get Started'!$H47,0,'Get Started'!$E47*'Get Started'!$G47),0)+IF('Get Started'!$H46&lt;='Get Started'!$E27,IF(P4&lt;'Get Started'!$H46,0,'Get Started'!$E46*'Get Started'!$G46),0)+IF('Get Started'!$H45&lt;='Get Started'!$E27,IF(P4&lt;'Get Started'!$H45,0,'Get Started'!$E45*'Get Started'!$G45),0)</f>
        <v>3.9999999999999991</v>
      </c>
      <c r="Q176" s="87">
        <f>IF('Get Started'!$H48&lt;='Get Started'!$E27,IF(AND(Q4&lt;'Get Started'!$H48,'Get Started'!$H48&lt;='Get Started'!$E27),0,'Get Started'!$E48*'Get Started'!$G48),0)+IF('Get Started'!$H47&lt;='Get Started'!$E27,IF(Q4&lt;'Get Started'!$H47,0,'Get Started'!$E47*'Get Started'!$G47),0)+IF('Get Started'!$H46&lt;='Get Started'!$E27,IF(Q4&lt;'Get Started'!$H46,0,'Get Started'!$E46*'Get Started'!$G46),0)+IF('Get Started'!$H45&lt;='Get Started'!$E27,IF(Q4&lt;'Get Started'!$H45,0,'Get Started'!$E45*'Get Started'!$G45),0)</f>
        <v>3.9999999999999991</v>
      </c>
      <c r="R176" s="87">
        <f>IF('Get Started'!$H48&lt;='Get Started'!$E27,IF(AND(R4&lt;'Get Started'!$H48,'Get Started'!$H48&lt;='Get Started'!$E27),0,'Get Started'!$E48*'Get Started'!$G48),0)+IF('Get Started'!$H47&lt;='Get Started'!$E27,IF(R4&lt;'Get Started'!$H47,0,'Get Started'!$E47*'Get Started'!$G47),0)+IF('Get Started'!$H46&lt;='Get Started'!$E27,IF(R4&lt;'Get Started'!$H46,0,'Get Started'!$E46*'Get Started'!$G46),0)+IF('Get Started'!$H45&lt;='Get Started'!$E27,IF(R4&lt;'Get Started'!$H45,0,'Get Started'!$E45*'Get Started'!$G45),0)</f>
        <v>3.9999999999999991</v>
      </c>
      <c r="S176" s="87">
        <f>IF('Get Started'!$H48&lt;='Get Started'!$E27,IF(AND(S4&lt;'Get Started'!$H48,'Get Started'!$H48&lt;='Get Started'!$E27),0,'Get Started'!$E48*'Get Started'!$G48),0)+IF('Get Started'!$H47&lt;='Get Started'!$E27,IF(S4&lt;'Get Started'!$H47,0,'Get Started'!$E47*'Get Started'!$G47),0)+IF('Get Started'!$H46&lt;='Get Started'!$E27,IF(S4&lt;'Get Started'!$H46,0,'Get Started'!$E46*'Get Started'!$G46),0)+IF('Get Started'!$H45&lt;='Get Started'!$E27,IF(S4&lt;'Get Started'!$H45,0,'Get Started'!$E45*'Get Started'!$G45),0)</f>
        <v>3.9999999999999991</v>
      </c>
      <c r="T176" s="87">
        <f>IF('Get Started'!$H48&lt;='Get Started'!$E27,IF(AND(T4&lt;'Get Started'!$H48,'Get Started'!$H48&lt;='Get Started'!$E27),0,'Get Started'!$E48*'Get Started'!$G48),0)+IF('Get Started'!$H47&lt;='Get Started'!$E27,IF(T4&lt;'Get Started'!$H47,0,'Get Started'!$E47*'Get Started'!$G47),0)+IF('Get Started'!$H46&lt;='Get Started'!$E27,IF(T4&lt;'Get Started'!$H46,0,'Get Started'!$E46*'Get Started'!$G46),0)+IF('Get Started'!$H45&lt;='Get Started'!$E27,IF(T4&lt;'Get Started'!$H45,0,'Get Started'!$E45*'Get Started'!$G45),0)</f>
        <v>3.9999999999999991</v>
      </c>
      <c r="U176" s="87">
        <f>IF('Get Started'!$H48&lt;='Get Started'!$E27,IF(AND(U4&lt;'Get Started'!$H48,'Get Started'!$H48&lt;='Get Started'!$E27),0,'Get Started'!$E48*'Get Started'!$G48),0)+IF('Get Started'!$H47&lt;='Get Started'!$E27,IF(U4&lt;'Get Started'!$H47,0,'Get Started'!$E47*'Get Started'!$G47),0)+IF('Get Started'!$H46&lt;='Get Started'!$E27,IF(U4&lt;'Get Started'!$H46,0,'Get Started'!$E46*'Get Started'!$G46),0)+IF('Get Started'!$H45&lt;='Get Started'!$E27,IF(U4&lt;'Get Started'!$H45,0,'Get Started'!$E45*'Get Started'!$G45),0)</f>
        <v>3.9999999999999991</v>
      </c>
      <c r="V176" s="87">
        <f>IF('Get Started'!$H48&lt;='Get Started'!$E27,IF(AND(V4&lt;'Get Started'!$H48,'Get Started'!$H48&lt;='Get Started'!$E27),0,'Get Started'!$E48*'Get Started'!$G48),0)+IF('Get Started'!$H47&lt;='Get Started'!$E27,IF(V4&lt;'Get Started'!$H47,0,'Get Started'!$E47*'Get Started'!$G47),0)+IF('Get Started'!$H46&lt;='Get Started'!$E27,IF(V4&lt;'Get Started'!$H46,0,'Get Started'!$E46*'Get Started'!$G46),0)+IF('Get Started'!$H45&lt;='Get Started'!$E27,IF(V4&lt;'Get Started'!$H45,0,'Get Started'!$E45*'Get Started'!$G45),0)</f>
        <v>3.9999999999999991</v>
      </c>
      <c r="W176" s="87">
        <f>IF('Get Started'!$H48&lt;='Get Started'!$E27,IF(AND(W4&lt;'Get Started'!$H48,'Get Started'!$H48&lt;='Get Started'!$E27),0,'Get Started'!$E48*'Get Started'!$G48),0)+IF('Get Started'!$H47&lt;='Get Started'!$E27,IF(W4&lt;'Get Started'!$H47,0,'Get Started'!$E47*'Get Started'!$G47),0)+IF('Get Started'!$H46&lt;='Get Started'!$E27,IF(W4&lt;'Get Started'!$H46,0,'Get Started'!$E46*'Get Started'!$G46),0)+IF('Get Started'!$H45&lt;='Get Started'!$E27,IF(W4&lt;'Get Started'!$H45,0,'Get Started'!$E45*'Get Started'!$G45),0)</f>
        <v>3.9999999999999991</v>
      </c>
      <c r="X176" s="87">
        <f>IF('Get Started'!$H48&lt;='Get Started'!$E27,IF(AND(X4&lt;'Get Started'!$H48,'Get Started'!$H48&lt;='Get Started'!$E27),0,'Get Started'!$E48*'Get Started'!$G48),0)+IF('Get Started'!$H47&lt;='Get Started'!$E27,IF(X4&lt;'Get Started'!$H47,0,'Get Started'!$E47*'Get Started'!$G47),0)+IF('Get Started'!$H46&lt;='Get Started'!$E27,IF(X4&lt;'Get Started'!$H46,0,'Get Started'!$E46*'Get Started'!$G46),0)+IF('Get Started'!$H45&lt;='Get Started'!$E27,IF(X4&lt;'Get Started'!$H45,0,'Get Started'!$E45*'Get Started'!$G45),0)</f>
        <v>3.9999999999999991</v>
      </c>
      <c r="Y176" s="87">
        <f>IF('Get Started'!$H48&lt;='Get Started'!$E27,IF(AND(Y4&lt;'Get Started'!$H48,'Get Started'!$H48&lt;='Get Started'!$E27),0,'Get Started'!$E48*'Get Started'!$G48),0)+IF('Get Started'!$H47&lt;='Get Started'!$E27,IF(Y4&lt;'Get Started'!$H47,0,'Get Started'!$E47*'Get Started'!$G47),0)+IF('Get Started'!$H46&lt;='Get Started'!$E27,IF(Y4&lt;'Get Started'!$H46,0,'Get Started'!$E46*'Get Started'!$G46),0)+IF('Get Started'!$H45&lt;='Get Started'!$E27,IF(Y4&lt;'Get Started'!$H45,0,'Get Started'!$E45*'Get Started'!$G45),0)</f>
        <v>3.9999999999999991</v>
      </c>
      <c r="Z176" s="87">
        <f>IF('Get Started'!$H48&lt;='Get Started'!$E27,IF(AND(Z4&lt;'Get Started'!$H48,'Get Started'!$H48&lt;='Get Started'!$E27),0,'Get Started'!$E48*'Get Started'!$G48),0)+IF('Get Started'!$H47&lt;='Get Started'!$E27,IF(Z4&lt;'Get Started'!$H47,0,'Get Started'!$E47*'Get Started'!$G47),0)+IF('Get Started'!$H46&lt;='Get Started'!$E27,IF(Z4&lt;'Get Started'!$H46,0,'Get Started'!$E46*'Get Started'!$G46),0)+IF('Get Started'!$H45&lt;='Get Started'!$E27,IF(Z4&lt;'Get Started'!$H45,0,'Get Started'!$E45*'Get Started'!$G45),0)</f>
        <v>3.9999999999999991</v>
      </c>
    </row>
    <row r="177" spans="1:26" ht="13" outlineLevel="1">
      <c r="A177" s="34"/>
      <c r="B177" s="34" t="str">
        <f t="shared" si="129"/>
        <v>gross multiple on cost basis of investments exited within timeframe</v>
      </c>
      <c r="C177" s="34"/>
      <c r="D177" s="34" t="s">
        <v>173</v>
      </c>
      <c r="E177" s="83">
        <f t="shared" si="116"/>
        <v>5.1948051948051939</v>
      </c>
      <c r="F177" s="64"/>
      <c r="G177" s="87">
        <f t="shared" ref="G177:Z177" si="130">IFERROR(G176/((1-$E157-$E158-$E159)/1),0)</f>
        <v>0</v>
      </c>
      <c r="H177" s="87">
        <f t="shared" si="130"/>
        <v>0</v>
      </c>
      <c r="I177" s="87">
        <f t="shared" si="130"/>
        <v>0.38961038961038974</v>
      </c>
      <c r="J177" s="87">
        <f t="shared" si="130"/>
        <v>1.0389610389610391</v>
      </c>
      <c r="K177" s="87">
        <f t="shared" si="130"/>
        <v>1.0389610389610391</v>
      </c>
      <c r="L177" s="87">
        <f t="shared" si="130"/>
        <v>5.1948051948051939</v>
      </c>
      <c r="M177" s="87">
        <f t="shared" si="130"/>
        <v>5.1948051948051939</v>
      </c>
      <c r="N177" s="87">
        <f t="shared" si="130"/>
        <v>5.1948051948051939</v>
      </c>
      <c r="O177" s="87">
        <f t="shared" si="130"/>
        <v>5.1948051948051939</v>
      </c>
      <c r="P177" s="87">
        <f t="shared" si="130"/>
        <v>5.1948051948051939</v>
      </c>
      <c r="Q177" s="87">
        <f t="shared" si="130"/>
        <v>5.1948051948051939</v>
      </c>
      <c r="R177" s="87">
        <f t="shared" si="130"/>
        <v>5.1948051948051939</v>
      </c>
      <c r="S177" s="87">
        <f t="shared" si="130"/>
        <v>5.1948051948051939</v>
      </c>
      <c r="T177" s="87">
        <f t="shared" si="130"/>
        <v>5.1948051948051939</v>
      </c>
      <c r="U177" s="87">
        <f t="shared" si="130"/>
        <v>5.1948051948051939</v>
      </c>
      <c r="V177" s="87">
        <f t="shared" si="130"/>
        <v>5.1948051948051939</v>
      </c>
      <c r="W177" s="87">
        <f t="shared" si="130"/>
        <v>5.1948051948051939</v>
      </c>
      <c r="X177" s="87">
        <f t="shared" si="130"/>
        <v>5.1948051948051939</v>
      </c>
      <c r="Y177" s="87">
        <f t="shared" si="130"/>
        <v>5.1948051948051939</v>
      </c>
      <c r="Z177" s="87">
        <f t="shared" si="130"/>
        <v>5.1948051948051939</v>
      </c>
    </row>
    <row r="178" spans="1:26" ht="13" outlineLevel="1">
      <c r="A178" s="34"/>
      <c r="B178" s="34" t="str">
        <f t="shared" si="129"/>
        <v>gross multiple on invested capital from investments exited within timeframe</v>
      </c>
      <c r="C178" s="34"/>
      <c r="D178" s="34" t="s">
        <v>173</v>
      </c>
      <c r="E178" s="83">
        <f t="shared" si="116"/>
        <v>0.4</v>
      </c>
      <c r="F178" s="64"/>
      <c r="G178" s="87">
        <f>IF(AND('Get Started'!$H48&lt;='Get Started'!$E27,'Get Started'!$G48&lt;&gt;0),IF(AND(G4&lt;'Get Started'!$H48,'Get Started'!$H48&lt;='Get Started'!$E27),0,'Get Started'!$E48),0)+IF(AND('Get Started'!$H47&lt;='Get Started'!$E27,'Get Started'!$G47&lt;&gt;0),IF(G4&lt;'Get Started'!$H47,0,'Get Started'!$E47),0)+IF(AND('Get Started'!$H46&lt;='Get Started'!$E27,'Get Started'!$G46&lt;&gt;0),IF(G4&lt;'Get Started'!$H46,0,'Get Started'!$E46),0)+IF(AND('Get Started'!$H45&lt;='Get Started'!$E27,'Get Started'!$G45&lt;&gt;0),IF(G4&lt;'Get Started'!$H45,0,'Get Started'!$E45*'Get Started'!$G45),0)</f>
        <v>0</v>
      </c>
      <c r="H178" s="87">
        <f>IF(AND('Get Started'!$H48&lt;='Get Started'!$E27,'Get Started'!$G48&lt;&gt;0),IF(AND(H4&lt;'Get Started'!$H48,'Get Started'!$H48&lt;='Get Started'!$E27),0,'Get Started'!$E48),0)+IF(AND('Get Started'!$H47&lt;='Get Started'!$E27,'Get Started'!$G47&lt;&gt;0),IF(H4&lt;'Get Started'!$H47,0,'Get Started'!$E47),0)+IF(AND('Get Started'!$H46&lt;='Get Started'!$E27,'Get Started'!$G46&lt;&gt;0),IF(H4&lt;'Get Started'!$H46,0,'Get Started'!$E46),0)+IF(AND('Get Started'!$H45&lt;='Get Started'!$E27,'Get Started'!$G45&lt;&gt;0),IF(H4&lt;'Get Started'!$H45,0,'Get Started'!$E45*'Get Started'!$G45),0)</f>
        <v>0</v>
      </c>
      <c r="I178" s="87">
        <f>IF(AND('Get Started'!$H48&lt;='Get Started'!$E27,'Get Started'!$G48&lt;&gt;0),IF(AND(I4&lt;'Get Started'!$H48,'Get Started'!$H48&lt;='Get Started'!$E27),0,'Get Started'!$E48),0)+IF(AND('Get Started'!$H47&lt;='Get Started'!$E27,'Get Started'!$G47&lt;&gt;0),IF(I4&lt;'Get Started'!$H47,0,'Get Started'!$E47),0)+IF(AND('Get Started'!$H46&lt;='Get Started'!$E27,'Get Started'!$G46&lt;&gt;0),IF(I4&lt;'Get Started'!$H46,0,'Get Started'!$E46),0)+IF(AND('Get Started'!$H45&lt;='Get Started'!$E27,'Get Started'!$G45&lt;&gt;0),IF(I4&lt;'Get Started'!$H45,0,'Get Started'!$E45*'Get Started'!$G45),0)</f>
        <v>0.2</v>
      </c>
      <c r="J178" s="87">
        <f>IF(AND('Get Started'!$H48&lt;='Get Started'!$E27,'Get Started'!$G48&lt;&gt;0),IF(AND(J4&lt;'Get Started'!$H48,'Get Started'!$H48&lt;='Get Started'!$E27),0,'Get Started'!$E48),0)+IF(AND('Get Started'!$H47&lt;='Get Started'!$E27,'Get Started'!$G47&lt;&gt;0),IF(J4&lt;'Get Started'!$H47,0,'Get Started'!$E47),0)+IF(AND('Get Started'!$H46&lt;='Get Started'!$E27,'Get Started'!$G46&lt;&gt;0),IF(J4&lt;'Get Started'!$H46,0,'Get Started'!$E46),0)+IF(AND('Get Started'!$H45&lt;='Get Started'!$E27,'Get Started'!$G45&lt;&gt;0),IF(J4&lt;'Get Started'!$H45,0,'Get Started'!$E45*'Get Started'!$G45),0)</f>
        <v>0.30000000000000004</v>
      </c>
      <c r="K178" s="87">
        <f>IF(AND('Get Started'!$H48&lt;='Get Started'!$E27,'Get Started'!$G48&lt;&gt;0),IF(AND(K4&lt;'Get Started'!$H48,'Get Started'!$H48&lt;='Get Started'!$E27),0,'Get Started'!$E48),0)+IF(AND('Get Started'!$H47&lt;='Get Started'!$E27,'Get Started'!$G47&lt;&gt;0),IF(K4&lt;'Get Started'!$H47,0,'Get Started'!$E47),0)+IF(AND('Get Started'!$H46&lt;='Get Started'!$E27,'Get Started'!$G46&lt;&gt;0),IF(K4&lt;'Get Started'!$H46,0,'Get Started'!$E46),0)+IF(AND('Get Started'!$H45&lt;='Get Started'!$E27,'Get Started'!$G45&lt;&gt;0),IF(K4&lt;'Get Started'!$H45,0,'Get Started'!$E45*'Get Started'!$G45),0)</f>
        <v>0.30000000000000004</v>
      </c>
      <c r="L178" s="87">
        <f>IF(AND('Get Started'!$H48&lt;='Get Started'!$E27,'Get Started'!$G48&lt;&gt;0),IF(AND(L4&lt;'Get Started'!$H48,'Get Started'!$H48&lt;='Get Started'!$E27),0,'Get Started'!$E48),0)+IF(AND('Get Started'!$H47&lt;='Get Started'!$E27,'Get Started'!$G47&lt;&gt;0),IF(L4&lt;'Get Started'!$H47,0,'Get Started'!$E47),0)+IF(AND('Get Started'!$H46&lt;='Get Started'!$E27,'Get Started'!$G46&lt;&gt;0),IF(L4&lt;'Get Started'!$H46,0,'Get Started'!$E46),0)+IF(AND('Get Started'!$H45&lt;='Get Started'!$E27,'Get Started'!$G45&lt;&gt;0),IF(L4&lt;'Get Started'!$H45,0,'Get Started'!$E45*'Get Started'!$G45),0)</f>
        <v>0.4</v>
      </c>
      <c r="M178" s="87">
        <f>IF(AND('Get Started'!$H48&lt;='Get Started'!$E27,'Get Started'!$G48&lt;&gt;0),IF(AND(M4&lt;'Get Started'!$H48,'Get Started'!$H48&lt;='Get Started'!$E27),0,'Get Started'!$E48),0)+IF(AND('Get Started'!$H47&lt;='Get Started'!$E27,'Get Started'!$G47&lt;&gt;0),IF(M4&lt;'Get Started'!$H47,0,'Get Started'!$E47),0)+IF(AND('Get Started'!$H46&lt;='Get Started'!$E27,'Get Started'!$G46&lt;&gt;0),IF(M4&lt;'Get Started'!$H46,0,'Get Started'!$E46),0)+IF(AND('Get Started'!$H45&lt;='Get Started'!$E27,'Get Started'!$G45&lt;&gt;0),IF(M4&lt;'Get Started'!$H45,0,'Get Started'!$E45*'Get Started'!$G45),0)</f>
        <v>0.4</v>
      </c>
      <c r="N178" s="87">
        <f>IF(AND('Get Started'!$H48&lt;='Get Started'!$E27,'Get Started'!$G48&lt;&gt;0),IF(AND(N4&lt;'Get Started'!$H48,'Get Started'!$H48&lt;='Get Started'!$E27),0,'Get Started'!$E48),0)+IF(AND('Get Started'!$H47&lt;='Get Started'!$E27,'Get Started'!$G47&lt;&gt;0),IF(N4&lt;'Get Started'!$H47,0,'Get Started'!$E47),0)+IF(AND('Get Started'!$H46&lt;='Get Started'!$E27,'Get Started'!$G46&lt;&gt;0),IF(N4&lt;'Get Started'!$H46,0,'Get Started'!$E46),0)+IF(AND('Get Started'!$H45&lt;='Get Started'!$E27,'Get Started'!$G45&lt;&gt;0),IF(N4&lt;'Get Started'!$H45,0,'Get Started'!$E45*'Get Started'!$G45),0)</f>
        <v>0.4</v>
      </c>
      <c r="O178" s="87">
        <f>IF(AND('Get Started'!$H48&lt;='Get Started'!$E27,'Get Started'!$G48&lt;&gt;0),IF(AND(O4&lt;'Get Started'!$H48,'Get Started'!$H48&lt;='Get Started'!$E27),0,'Get Started'!$E48),0)+IF(AND('Get Started'!$H47&lt;='Get Started'!$E27,'Get Started'!$G47&lt;&gt;0),IF(O4&lt;'Get Started'!$H47,0,'Get Started'!$E47),0)+IF(AND('Get Started'!$H46&lt;='Get Started'!$E27,'Get Started'!$G46&lt;&gt;0),IF(O4&lt;'Get Started'!$H46,0,'Get Started'!$E46),0)+IF(AND('Get Started'!$H45&lt;='Get Started'!$E27,'Get Started'!$G45&lt;&gt;0),IF(O4&lt;'Get Started'!$H45,0,'Get Started'!$E45*'Get Started'!$G45),0)</f>
        <v>0.4</v>
      </c>
      <c r="P178" s="87">
        <f>IF(AND('Get Started'!$H48&lt;='Get Started'!$E27,'Get Started'!$G48&lt;&gt;0),IF(AND(P4&lt;'Get Started'!$H48,'Get Started'!$H48&lt;='Get Started'!$E27),0,'Get Started'!$E48),0)+IF(AND('Get Started'!$H47&lt;='Get Started'!$E27,'Get Started'!$G47&lt;&gt;0),IF(P4&lt;'Get Started'!$H47,0,'Get Started'!$E47),0)+IF(AND('Get Started'!$H46&lt;='Get Started'!$E27,'Get Started'!$G46&lt;&gt;0),IF(P4&lt;'Get Started'!$H46,0,'Get Started'!$E46),0)+IF(AND('Get Started'!$H45&lt;='Get Started'!$E27,'Get Started'!$G45&lt;&gt;0),IF(P4&lt;'Get Started'!$H45,0,'Get Started'!$E45*'Get Started'!$G45),0)</f>
        <v>0.4</v>
      </c>
      <c r="Q178" s="87">
        <f>IF(AND('Get Started'!$H48&lt;='Get Started'!$E27,'Get Started'!$G48&lt;&gt;0),IF(AND(Q4&lt;'Get Started'!$H48,'Get Started'!$H48&lt;='Get Started'!$E27),0,'Get Started'!$E48),0)+IF(AND('Get Started'!$H47&lt;='Get Started'!$E27,'Get Started'!$G47&lt;&gt;0),IF(Q4&lt;'Get Started'!$H47,0,'Get Started'!$E47),0)+IF(AND('Get Started'!$H46&lt;='Get Started'!$E27,'Get Started'!$G46&lt;&gt;0),IF(Q4&lt;'Get Started'!$H46,0,'Get Started'!$E46),0)+IF(AND('Get Started'!$H45&lt;='Get Started'!$E27,'Get Started'!$G45&lt;&gt;0),IF(Q4&lt;'Get Started'!$H45,0,'Get Started'!$E45*'Get Started'!$G45),0)</f>
        <v>0.4</v>
      </c>
      <c r="R178" s="87">
        <f>IF(AND('Get Started'!$H48&lt;='Get Started'!$E27,'Get Started'!$G48&lt;&gt;0),IF(AND(R4&lt;'Get Started'!$H48,'Get Started'!$H48&lt;='Get Started'!$E27),0,'Get Started'!$E48),0)+IF(AND('Get Started'!$H47&lt;='Get Started'!$E27,'Get Started'!$G47&lt;&gt;0),IF(R4&lt;'Get Started'!$H47,0,'Get Started'!$E47),0)+IF(AND('Get Started'!$H46&lt;='Get Started'!$E27,'Get Started'!$G46&lt;&gt;0),IF(R4&lt;'Get Started'!$H46,0,'Get Started'!$E46),0)+IF(AND('Get Started'!$H45&lt;='Get Started'!$E27,'Get Started'!$G45&lt;&gt;0),IF(R4&lt;'Get Started'!$H45,0,'Get Started'!$E45*'Get Started'!$G45),0)</f>
        <v>0.4</v>
      </c>
      <c r="S178" s="87">
        <f>IF(AND('Get Started'!$H48&lt;='Get Started'!$E27,'Get Started'!$G48&lt;&gt;0),IF(AND(S4&lt;'Get Started'!$H48,'Get Started'!$H48&lt;='Get Started'!$E27),0,'Get Started'!$E48),0)+IF(AND('Get Started'!$H47&lt;='Get Started'!$E27,'Get Started'!$G47&lt;&gt;0),IF(S4&lt;'Get Started'!$H47,0,'Get Started'!$E47),0)+IF(AND('Get Started'!$H46&lt;='Get Started'!$E27,'Get Started'!$G46&lt;&gt;0),IF(S4&lt;'Get Started'!$H46,0,'Get Started'!$E46),0)+IF(AND('Get Started'!$H45&lt;='Get Started'!$E27,'Get Started'!$G45&lt;&gt;0),IF(S4&lt;'Get Started'!$H45,0,'Get Started'!$E45*'Get Started'!$G45),0)</f>
        <v>0.4</v>
      </c>
      <c r="T178" s="87">
        <f>IF(AND('Get Started'!$H48&lt;='Get Started'!$E27,'Get Started'!$G48&lt;&gt;0),IF(AND(T4&lt;'Get Started'!$H48,'Get Started'!$H48&lt;='Get Started'!$E27),0,'Get Started'!$E48),0)+IF(AND('Get Started'!$H47&lt;='Get Started'!$E27,'Get Started'!$G47&lt;&gt;0),IF(T4&lt;'Get Started'!$H47,0,'Get Started'!$E47),0)+IF(AND('Get Started'!$H46&lt;='Get Started'!$E27,'Get Started'!$G46&lt;&gt;0),IF(T4&lt;'Get Started'!$H46,0,'Get Started'!$E46),0)+IF(AND('Get Started'!$H45&lt;='Get Started'!$E27,'Get Started'!$G45&lt;&gt;0),IF(T4&lt;'Get Started'!$H45,0,'Get Started'!$E45*'Get Started'!$G45),0)</f>
        <v>0.4</v>
      </c>
      <c r="U178" s="87">
        <f>IF(AND('Get Started'!$H48&lt;='Get Started'!$E27,'Get Started'!$G48&lt;&gt;0),IF(AND(U4&lt;'Get Started'!$H48,'Get Started'!$H48&lt;='Get Started'!$E27),0,'Get Started'!$E48),0)+IF(AND('Get Started'!$H47&lt;='Get Started'!$E27,'Get Started'!$G47&lt;&gt;0),IF(U4&lt;'Get Started'!$H47,0,'Get Started'!$E47),0)+IF(AND('Get Started'!$H46&lt;='Get Started'!$E27,'Get Started'!$G46&lt;&gt;0),IF(U4&lt;'Get Started'!$H46,0,'Get Started'!$E46),0)+IF(AND('Get Started'!$H45&lt;='Get Started'!$E27,'Get Started'!$G45&lt;&gt;0),IF(U4&lt;'Get Started'!$H45,0,'Get Started'!$E45*'Get Started'!$G45),0)</f>
        <v>0.4</v>
      </c>
      <c r="V178" s="87">
        <f>IF(AND('Get Started'!$H48&lt;='Get Started'!$E27,'Get Started'!$G48&lt;&gt;0),IF(AND(V4&lt;'Get Started'!$H48,'Get Started'!$H48&lt;='Get Started'!$E27),0,'Get Started'!$E48),0)+IF(AND('Get Started'!$H47&lt;='Get Started'!$E27,'Get Started'!$G47&lt;&gt;0),IF(V4&lt;'Get Started'!$H47,0,'Get Started'!$E47),0)+IF(AND('Get Started'!$H46&lt;='Get Started'!$E27,'Get Started'!$G46&lt;&gt;0),IF(V4&lt;'Get Started'!$H46,0,'Get Started'!$E46),0)+IF(AND('Get Started'!$H45&lt;='Get Started'!$E27,'Get Started'!$G45&lt;&gt;0),IF(V4&lt;'Get Started'!$H45,0,'Get Started'!$E45*'Get Started'!$G45),0)</f>
        <v>0.4</v>
      </c>
      <c r="W178" s="87">
        <f>IF(AND('Get Started'!$H48&lt;='Get Started'!$E27,'Get Started'!$G48&lt;&gt;0),IF(AND(W4&lt;'Get Started'!$H48,'Get Started'!$H48&lt;='Get Started'!$E27),0,'Get Started'!$E48),0)+IF(AND('Get Started'!$H47&lt;='Get Started'!$E27,'Get Started'!$G47&lt;&gt;0),IF(W4&lt;'Get Started'!$H47,0,'Get Started'!$E47),0)+IF(AND('Get Started'!$H46&lt;='Get Started'!$E27,'Get Started'!$G46&lt;&gt;0),IF(W4&lt;'Get Started'!$H46,0,'Get Started'!$E46),0)+IF(AND('Get Started'!$H45&lt;='Get Started'!$E27,'Get Started'!$G45&lt;&gt;0),IF(W4&lt;'Get Started'!$H45,0,'Get Started'!$E45*'Get Started'!$G45),0)</f>
        <v>0.4</v>
      </c>
      <c r="X178" s="87">
        <f>IF(AND('Get Started'!$H48&lt;='Get Started'!$E27,'Get Started'!$G48&lt;&gt;0),IF(AND(X4&lt;'Get Started'!$H48,'Get Started'!$H48&lt;='Get Started'!$E27),0,'Get Started'!$E48),0)+IF(AND('Get Started'!$H47&lt;='Get Started'!$E27,'Get Started'!$G47&lt;&gt;0),IF(X4&lt;'Get Started'!$H47,0,'Get Started'!$E47),0)+IF(AND('Get Started'!$H46&lt;='Get Started'!$E27,'Get Started'!$G46&lt;&gt;0),IF(X4&lt;'Get Started'!$H46,0,'Get Started'!$E46),0)+IF(AND('Get Started'!$H45&lt;='Get Started'!$E27,'Get Started'!$G45&lt;&gt;0),IF(X4&lt;'Get Started'!$H45,0,'Get Started'!$E45*'Get Started'!$G45),0)</f>
        <v>0.4</v>
      </c>
      <c r="Y178" s="87">
        <f>IF(AND('Get Started'!$H48&lt;='Get Started'!$E27,'Get Started'!$G48&lt;&gt;0),IF(AND(Y4&lt;'Get Started'!$H48,'Get Started'!$H48&lt;='Get Started'!$E27),0,'Get Started'!$E48),0)+IF(AND('Get Started'!$H47&lt;='Get Started'!$E27,'Get Started'!$G47&lt;&gt;0),IF(Y4&lt;'Get Started'!$H47,0,'Get Started'!$E47),0)+IF(AND('Get Started'!$H46&lt;='Get Started'!$E27,'Get Started'!$G46&lt;&gt;0),IF(Y4&lt;'Get Started'!$H46,0,'Get Started'!$E46),0)+IF(AND('Get Started'!$H45&lt;='Get Started'!$E27,'Get Started'!$G45&lt;&gt;0),IF(Y4&lt;'Get Started'!$H45,0,'Get Started'!$E45*'Get Started'!$G45),0)</f>
        <v>0.4</v>
      </c>
      <c r="Z178" s="87">
        <f>IF(AND('Get Started'!$H48&lt;='Get Started'!$E27,'Get Started'!$G48&lt;&gt;0),IF(AND(Z4&lt;'Get Started'!$H48,'Get Started'!$H48&lt;='Get Started'!$E27),0,'Get Started'!$E48),0)+IF(AND('Get Started'!$H47&lt;='Get Started'!$E27,'Get Started'!$G47&lt;&gt;0),IF(Z4&lt;'Get Started'!$H47,0,'Get Started'!$E47),0)+IF(AND('Get Started'!$H46&lt;='Get Started'!$E27,'Get Started'!$G46&lt;&gt;0),IF(Z4&lt;'Get Started'!$H46,0,'Get Started'!$E46),0)+IF(AND('Get Started'!$H45&lt;='Get Started'!$E27,'Get Started'!$G45&lt;&gt;0),IF(Z4&lt;'Get Started'!$H45,0,'Get Started'!$E45*'Get Started'!$G45),0)</f>
        <v>0.4</v>
      </c>
    </row>
    <row r="179" spans="1:26" ht="13" outlineLevel="1">
      <c r="A179" s="34"/>
      <c r="B179" s="34" t="str">
        <f t="shared" si="129"/>
        <v>gross multiple on proceds to be recycled, within recycling timeframe</v>
      </c>
      <c r="C179" s="34"/>
      <c r="D179" s="34" t="s">
        <v>272</v>
      </c>
      <c r="E179" s="83">
        <f t="shared" ref="E179:E180" si="131">IF(D179="sum",SUM(G179:Z179),IF(D179="final",Z179,IF(D179="initial",G179,IF(D179="average",IFERROR(SUM(G179:Z179)/COUNTIF(G179:Z179,"&gt;0"),0),0))))</f>
        <v>0.25</v>
      </c>
      <c r="F179" s="64"/>
      <c r="G179" s="85">
        <f>IF(AND(G8=1,G11=1),0,G178)</f>
        <v>0</v>
      </c>
      <c r="H179" s="85">
        <f>IF('Get Started'!$E28="invested capital",H178,IF('Get Started'!$E28="invested capital plus cost basis",H177,H176))*H11</f>
        <v>0</v>
      </c>
      <c r="I179" s="85">
        <f>IF('Get Started'!$E28="invested capital",I178,IF('Get Started'!$E28="invested capital plus cost basis",I177,I176))*I11</f>
        <v>0.2</v>
      </c>
      <c r="J179" s="85">
        <f>IF('Get Started'!$E28="invested capital",J178,IF('Get Started'!$E28="invested capital plus cost basis",J177,J176))*J11</f>
        <v>0.30000000000000004</v>
      </c>
      <c r="K179" s="85">
        <f>IF('Get Started'!$E28="invested capital",K178,IF('Get Started'!$E28="invested capital plus cost basis",K177,K176))*K11</f>
        <v>0</v>
      </c>
      <c r="L179" s="85">
        <f>IF('Get Started'!$E28="invested capital",L178,IF('Get Started'!$E28="invested capital plus cost basis",L177,L176))*L11</f>
        <v>0</v>
      </c>
      <c r="M179" s="85">
        <f>IF('Get Started'!$E28="invested capital",M178,IF('Get Started'!$E28="invested capital plus cost basis",M177,M176))*M11</f>
        <v>0</v>
      </c>
      <c r="N179" s="85">
        <f>IF('Get Started'!$E28="invested capital",N178,IF('Get Started'!$E28="invested capital plus cost basis",N177,N176))*N11</f>
        <v>0</v>
      </c>
      <c r="O179" s="85">
        <f>IF('Get Started'!$E28="invested capital",O178,IF('Get Started'!$E28="invested capital plus cost basis",O177,O176))*O11</f>
        <v>0</v>
      </c>
      <c r="P179" s="85">
        <f>IF('Get Started'!$E28="invested capital",P178,IF('Get Started'!$E28="invested capital plus cost basis",P177,P176))*P11</f>
        <v>0</v>
      </c>
      <c r="Q179" s="85">
        <f>IF('Get Started'!$E28="invested capital",Q178,IF('Get Started'!$E28="invested capital plus cost basis",Q177,Q176))*Q11</f>
        <v>0</v>
      </c>
      <c r="R179" s="85">
        <f>IF('Get Started'!$E28="invested capital",R178,IF('Get Started'!$E28="invested capital plus cost basis",R177,R176))*R11</f>
        <v>0</v>
      </c>
      <c r="S179" s="85">
        <f>IF('Get Started'!$E28="invested capital",S178,IF('Get Started'!$E28="invested capital plus cost basis",S177,S176))*S11</f>
        <v>0</v>
      </c>
      <c r="T179" s="85">
        <f>IF('Get Started'!$E28="invested capital",T178,IF('Get Started'!$E28="invested capital plus cost basis",T177,T176))*T11</f>
        <v>0</v>
      </c>
      <c r="U179" s="85">
        <f>IF('Get Started'!$E28="invested capital",U178,IF('Get Started'!$E28="invested capital plus cost basis",U177,U176))*U11</f>
        <v>0</v>
      </c>
      <c r="V179" s="85">
        <f>IF('Get Started'!$E28="invested capital",V178,IF('Get Started'!$E28="invested capital plus cost basis",V177,V176))*V11</f>
        <v>0</v>
      </c>
      <c r="W179" s="85">
        <f>IF('Get Started'!$E28="invested capital",W178,IF('Get Started'!$E28="invested capital plus cost basis",W177,W176))*W11</f>
        <v>0</v>
      </c>
      <c r="X179" s="85">
        <f>IF('Get Started'!$E28="invested capital",X178,IF('Get Started'!$E28="invested capital plus cost basis",X177,X176))*X11</f>
        <v>0</v>
      </c>
      <c r="Y179" s="85">
        <f>IF('Get Started'!$E28="invested capital",Y178,IF('Get Started'!$E28="invested capital plus cost basis",Y177,Y176))*Y11</f>
        <v>0</v>
      </c>
      <c r="Z179" s="85">
        <f>IF('Get Started'!$E28="invested capital",Z178,IF('Get Started'!$E28="invested capital plus cost basis",Z177,Z176))*Z11</f>
        <v>0</v>
      </c>
    </row>
    <row r="180" spans="1:26" ht="13" outlineLevel="1">
      <c r="A180" s="34"/>
      <c r="B180" s="34" t="str">
        <f t="shared" si="129"/>
        <v>gross multiple on capital to add to budgeted invested capital</v>
      </c>
      <c r="C180" s="34"/>
      <c r="D180" s="34" t="s">
        <v>272</v>
      </c>
      <c r="E180" s="83">
        <f t="shared" si="131"/>
        <v>0</v>
      </c>
      <c r="F180" s="64"/>
      <c r="G180" s="85">
        <f t="shared" ref="G180:Z180" si="132">IF(AND(G8=1,G11=1),0,G179)</f>
        <v>0</v>
      </c>
      <c r="H180" s="85">
        <f t="shared" si="132"/>
        <v>0</v>
      </c>
      <c r="I180" s="85">
        <f t="shared" si="132"/>
        <v>0</v>
      </c>
      <c r="J180" s="85">
        <f t="shared" si="132"/>
        <v>0</v>
      </c>
      <c r="K180" s="85">
        <f t="shared" si="132"/>
        <v>0</v>
      </c>
      <c r="L180" s="85">
        <f t="shared" si="132"/>
        <v>0</v>
      </c>
      <c r="M180" s="85">
        <f t="shared" si="132"/>
        <v>0</v>
      </c>
      <c r="N180" s="85">
        <f t="shared" si="132"/>
        <v>0</v>
      </c>
      <c r="O180" s="85">
        <f t="shared" si="132"/>
        <v>0</v>
      </c>
      <c r="P180" s="85">
        <f t="shared" si="132"/>
        <v>0</v>
      </c>
      <c r="Q180" s="85">
        <f t="shared" si="132"/>
        <v>0</v>
      </c>
      <c r="R180" s="85">
        <f t="shared" si="132"/>
        <v>0</v>
      </c>
      <c r="S180" s="85">
        <f t="shared" si="132"/>
        <v>0</v>
      </c>
      <c r="T180" s="85">
        <f t="shared" si="132"/>
        <v>0</v>
      </c>
      <c r="U180" s="85">
        <f t="shared" si="132"/>
        <v>0</v>
      </c>
      <c r="V180" s="85">
        <f t="shared" si="132"/>
        <v>0</v>
      </c>
      <c r="W180" s="85">
        <f t="shared" si="132"/>
        <v>0</v>
      </c>
      <c r="X180" s="85">
        <f t="shared" si="132"/>
        <v>0</v>
      </c>
      <c r="Y180" s="85">
        <f t="shared" si="132"/>
        <v>0</v>
      </c>
      <c r="Z180" s="85">
        <f t="shared" si="132"/>
        <v>0</v>
      </c>
    </row>
    <row r="181" spans="1:26" ht="13" outlineLevel="1">
      <c r="A181" s="34"/>
      <c r="B181" s="34"/>
      <c r="C181" s="34"/>
      <c r="D181" s="34"/>
      <c r="E181" s="88"/>
      <c r="F181" s="64"/>
      <c r="G181" s="84"/>
      <c r="H181" s="64"/>
      <c r="I181" s="64"/>
      <c r="J181" s="87"/>
      <c r="K181" s="87"/>
      <c r="L181" s="64"/>
      <c r="M181" s="64"/>
      <c r="N181" s="64"/>
      <c r="O181" s="64"/>
      <c r="P181" s="64"/>
      <c r="Q181" s="64"/>
      <c r="R181" s="64"/>
      <c r="S181" s="64"/>
      <c r="T181" s="64"/>
      <c r="U181" s="64"/>
      <c r="V181" s="64"/>
      <c r="W181" s="64"/>
      <c r="X181" s="64"/>
      <c r="Y181" s="64"/>
      <c r="Z181" s="64"/>
    </row>
    <row r="182" spans="1:26" ht="13" outlineLevel="1">
      <c r="A182" s="34"/>
      <c r="B182" s="81" t="s">
        <v>273</v>
      </c>
      <c r="C182" s="34"/>
      <c r="D182" s="34"/>
      <c r="E182" s="64"/>
      <c r="F182" s="64"/>
      <c r="G182" s="87"/>
      <c r="H182" s="87"/>
      <c r="I182" s="84"/>
      <c r="J182" s="84"/>
      <c r="K182" s="64"/>
      <c r="L182" s="64"/>
      <c r="M182" s="64"/>
      <c r="N182" s="64"/>
      <c r="O182" s="64"/>
      <c r="P182" s="64"/>
      <c r="Q182" s="64"/>
      <c r="R182" s="64"/>
      <c r="S182" s="64"/>
      <c r="T182" s="64"/>
      <c r="U182" s="64"/>
      <c r="V182" s="64"/>
      <c r="W182" s="64"/>
      <c r="X182" s="64"/>
      <c r="Y182" s="64"/>
      <c r="Z182" s="64"/>
    </row>
    <row r="183" spans="1:26" ht="13" outlineLevel="1">
      <c r="A183" s="34"/>
      <c r="B183" s="34" t="s">
        <v>260</v>
      </c>
      <c r="C183" s="34"/>
      <c r="D183" s="34" t="s">
        <v>163</v>
      </c>
      <c r="E183" s="83">
        <f t="shared" ref="E183:E191" si="133">IF(D183="sum",SUM(G183:Z183),IF(D183="final",Z183,IF(D183="initial",G183,IF(D183="average",AVERAGE(G183:Z183),0))))</f>
        <v>1</v>
      </c>
      <c r="F183" s="64"/>
      <c r="G183" s="85">
        <f>G8*G8/$E8*'Get Started'!$E36</f>
        <v>0.25</v>
      </c>
      <c r="H183" s="85">
        <f>H8*H8/$E8*'Get Started'!$E36</f>
        <v>0.25</v>
      </c>
      <c r="I183" s="85">
        <f>I8*I8/$E8*'Get Started'!$E36</f>
        <v>0.25</v>
      </c>
      <c r="J183" s="85">
        <f>J8*J8/$E8*'Get Started'!$E36</f>
        <v>0.25</v>
      </c>
      <c r="K183" s="85">
        <f>K8*K8/$E8*'Get Started'!$E36</f>
        <v>0</v>
      </c>
      <c r="L183" s="85">
        <f>L8*L8/$E8*'Get Started'!$E36</f>
        <v>0</v>
      </c>
      <c r="M183" s="85">
        <f>M8*M8/$E8*'Get Started'!$E36</f>
        <v>0</v>
      </c>
      <c r="N183" s="85">
        <f>N8*N8/$E8*'Get Started'!$E36</f>
        <v>0</v>
      </c>
      <c r="O183" s="85">
        <f>O8*O8/$E8*'Get Started'!$E36</f>
        <v>0</v>
      </c>
      <c r="P183" s="85">
        <f>P8*P8/$E8*'Get Started'!$E36</f>
        <v>0</v>
      </c>
      <c r="Q183" s="85">
        <f>Q8*Q8/$E8*'Get Started'!$E36</f>
        <v>0</v>
      </c>
      <c r="R183" s="85">
        <f>R8*R8/$E8*'Get Started'!$E36</f>
        <v>0</v>
      </c>
      <c r="S183" s="85">
        <f>S8*S8/$E8*'Get Started'!$E36</f>
        <v>0</v>
      </c>
      <c r="T183" s="85">
        <f>T8*T8/$E8*'Get Started'!$E36</f>
        <v>0</v>
      </c>
      <c r="U183" s="85">
        <f>U8*U8/$E8*'Get Started'!$E36</f>
        <v>0</v>
      </c>
      <c r="V183" s="85">
        <f>V8*V8/$E8*'Get Started'!$E36</f>
        <v>0</v>
      </c>
      <c r="W183" s="85">
        <f>W8*W8/$E8*'Get Started'!$E36</f>
        <v>0</v>
      </c>
      <c r="X183" s="85">
        <f>X8*X8/$E8*'Get Started'!$E36</f>
        <v>0</v>
      </c>
      <c r="Y183" s="85">
        <f>Y8*Y8/$E8*'Get Started'!$E36</f>
        <v>0</v>
      </c>
      <c r="Z183" s="85">
        <f>Z8*Z8/$E8*'Get Started'!$E36</f>
        <v>0</v>
      </c>
    </row>
    <row r="184" spans="1:26" ht="13" outlineLevel="1">
      <c r="A184" s="34"/>
      <c r="B184" s="34" t="s">
        <v>262</v>
      </c>
      <c r="C184" s="34"/>
      <c r="D184" s="34" t="s">
        <v>163</v>
      </c>
      <c r="E184" s="83">
        <f t="shared" si="133"/>
        <v>0</v>
      </c>
      <c r="F184" s="64"/>
      <c r="G184" s="85">
        <f>F183*'Get Started'!$F36/'Get Started'!$E36</f>
        <v>0</v>
      </c>
      <c r="H184" s="85">
        <f>G183*'Get Started'!$F36/'Get Started'!$E36</f>
        <v>0</v>
      </c>
      <c r="I184" s="85">
        <f>H183*'Get Started'!$F36/'Get Started'!$E36</f>
        <v>0</v>
      </c>
      <c r="J184" s="85">
        <f>I183*'Get Started'!$F36/'Get Started'!$E36</f>
        <v>0</v>
      </c>
      <c r="K184" s="85">
        <f>J183*'Get Started'!$F36/'Get Started'!$E36</f>
        <v>0</v>
      </c>
      <c r="L184" s="85">
        <f>K183*'Get Started'!$F36/'Get Started'!$E36</f>
        <v>0</v>
      </c>
      <c r="M184" s="85">
        <f>L183*'Get Started'!$F36/'Get Started'!$E36</f>
        <v>0</v>
      </c>
      <c r="N184" s="85">
        <f>M183*'Get Started'!$F36/'Get Started'!$E36</f>
        <v>0</v>
      </c>
      <c r="O184" s="85">
        <f>N183*'Get Started'!$F36/'Get Started'!$E36</f>
        <v>0</v>
      </c>
      <c r="P184" s="85">
        <f>O183*'Get Started'!$F36/'Get Started'!$E36</f>
        <v>0</v>
      </c>
      <c r="Q184" s="85">
        <f>P183*'Get Started'!$F36/'Get Started'!$E36</f>
        <v>0</v>
      </c>
      <c r="R184" s="85">
        <f>Q183*'Get Started'!$F36/'Get Started'!$E36</f>
        <v>0</v>
      </c>
      <c r="S184" s="85">
        <f>R183*'Get Started'!$F36/'Get Started'!$E36</f>
        <v>0</v>
      </c>
      <c r="T184" s="85">
        <f>S183*'Get Started'!$F36/'Get Started'!$E36</f>
        <v>0</v>
      </c>
      <c r="U184" s="85">
        <f>T183*'Get Started'!$F36/'Get Started'!$E36</f>
        <v>0</v>
      </c>
      <c r="V184" s="85">
        <f>U183*'Get Started'!$F36/'Get Started'!$E36</f>
        <v>0</v>
      </c>
      <c r="W184" s="85">
        <f>V183*'Get Started'!$F36/'Get Started'!$E36</f>
        <v>0</v>
      </c>
      <c r="X184" s="85">
        <f>W183*'Get Started'!$F36/'Get Started'!$E36</f>
        <v>0</v>
      </c>
      <c r="Y184" s="85">
        <f>X183*'Get Started'!$F36/'Get Started'!$E36</f>
        <v>0</v>
      </c>
      <c r="Z184" s="85">
        <f>Y183*'Get Started'!$F36/'Get Started'!$E36</f>
        <v>0</v>
      </c>
    </row>
    <row r="185" spans="1:26" ht="13" outlineLevel="1">
      <c r="A185" s="34"/>
      <c r="B185" s="34" t="s">
        <v>263</v>
      </c>
      <c r="C185" s="34"/>
      <c r="D185" s="34" t="s">
        <v>163</v>
      </c>
      <c r="E185" s="83">
        <f t="shared" si="133"/>
        <v>1</v>
      </c>
      <c r="F185" s="64"/>
      <c r="G185" s="85">
        <f t="shared" ref="G185:Z185" si="134">G183+H184</f>
        <v>0.25</v>
      </c>
      <c r="H185" s="85">
        <f t="shared" si="134"/>
        <v>0.25</v>
      </c>
      <c r="I185" s="85">
        <f t="shared" si="134"/>
        <v>0.25</v>
      </c>
      <c r="J185" s="85">
        <f t="shared" si="134"/>
        <v>0.25</v>
      </c>
      <c r="K185" s="85">
        <f t="shared" si="134"/>
        <v>0</v>
      </c>
      <c r="L185" s="85">
        <f t="shared" si="134"/>
        <v>0</v>
      </c>
      <c r="M185" s="85">
        <f t="shared" si="134"/>
        <v>0</v>
      </c>
      <c r="N185" s="85">
        <f t="shared" si="134"/>
        <v>0</v>
      </c>
      <c r="O185" s="85">
        <f t="shared" si="134"/>
        <v>0</v>
      </c>
      <c r="P185" s="85">
        <f t="shared" si="134"/>
        <v>0</v>
      </c>
      <c r="Q185" s="85">
        <f t="shared" si="134"/>
        <v>0</v>
      </c>
      <c r="R185" s="85">
        <f t="shared" si="134"/>
        <v>0</v>
      </c>
      <c r="S185" s="85">
        <f t="shared" si="134"/>
        <v>0</v>
      </c>
      <c r="T185" s="85">
        <f t="shared" si="134"/>
        <v>0</v>
      </c>
      <c r="U185" s="85">
        <f t="shared" si="134"/>
        <v>0</v>
      </c>
      <c r="V185" s="85">
        <f t="shared" si="134"/>
        <v>0</v>
      </c>
      <c r="W185" s="85">
        <f t="shared" si="134"/>
        <v>0</v>
      </c>
      <c r="X185" s="85">
        <f t="shared" si="134"/>
        <v>0</v>
      </c>
      <c r="Y185" s="85">
        <f t="shared" si="134"/>
        <v>0</v>
      </c>
      <c r="Z185" s="85">
        <f t="shared" si="134"/>
        <v>0</v>
      </c>
    </row>
    <row r="186" spans="1:26" ht="13" outlineLevel="1">
      <c r="A186" s="34"/>
      <c r="B186" s="34" t="s">
        <v>264</v>
      </c>
      <c r="C186" s="34"/>
      <c r="D186" s="34" t="s">
        <v>163</v>
      </c>
      <c r="E186" s="83">
        <f t="shared" ca="1" si="133"/>
        <v>1</v>
      </c>
      <c r="F186" s="64"/>
      <c r="G186" s="85">
        <f ca="1">IF(G4&lt;'Get Started'!$H48,0,OFFSET(G185,0,-1*'Get Started'!$H48)*'Get Started'!$E48)+IF(G4&lt;'Get Started'!$H47,0,OFFSET(G185,0,-1*'Get Started'!$H47)*'Get Started'!$E47)+IF(G4&lt;'Get Started'!$H46,0,OFFSET(G185,0,-1*'Get Started'!$H46)*'Get Started'!$E46)+IF(G4&lt;'Get Started'!$H45,0,OFFSET(G185,0,-1*'Get Started'!$H45)*'Get Started'!$E45)</f>
        <v>0</v>
      </c>
      <c r="H186" s="85">
        <f ca="1">IF(H4&lt;'Get Started'!$H48,0,OFFSET(H185,0,-1*'Get Started'!$H48)*'Get Started'!$E48)+IF(H4&lt;'Get Started'!$H47,0,OFFSET(H185,0,-1*'Get Started'!$H47)*'Get Started'!$E47)+IF(H4&lt;'Get Started'!$H46,0,OFFSET(H185,0,-1*'Get Started'!$H46)*'Get Started'!$E46)+IF(H4&lt;'Get Started'!$H45,0,OFFSET(H185,0,-1*'Get Started'!$H45)*'Get Started'!$E45)</f>
        <v>0</v>
      </c>
      <c r="I186" s="85">
        <f ca="1">IF(I4&lt;'Get Started'!$H48,0,OFFSET(I185,0,-1*'Get Started'!$H48)*'Get Started'!$E48)+IF(I4&lt;'Get Started'!$H47,0,OFFSET(I185,0,-1*'Get Started'!$H47)*'Get Started'!$E47)+IF(I4&lt;'Get Started'!$H46,0,OFFSET(I185,0,-1*'Get Started'!$H46)*'Get Started'!$E46)+IF(I4&lt;'Get Started'!$H45,0,OFFSET(I185,0,-1*'Get Started'!$H45)*'Get Started'!$E45)</f>
        <v>0.15</v>
      </c>
      <c r="J186" s="85">
        <f ca="1">IF(J4&lt;'Get Started'!$H48,0,OFFSET(J185,0,-1*'Get Started'!$H48)*'Get Started'!$E48)+IF(J4&lt;'Get Started'!$H47,0,OFFSET(J185,0,-1*'Get Started'!$H47)*'Get Started'!$E47)+IF(J4&lt;'Get Started'!$H46,0,OFFSET(J185,0,-1*'Get Started'!$H46)*'Get Started'!$E46)+IF(J4&lt;'Get Started'!$H45,0,OFFSET(J185,0,-1*'Get Started'!$H45)*'Get Started'!$E45)</f>
        <v>0.2</v>
      </c>
      <c r="K186" s="85">
        <f ca="1">IF(K4&lt;'Get Started'!$H48,0,OFFSET(K185,0,-1*'Get Started'!$H48)*'Get Started'!$E48)+IF(K4&lt;'Get Started'!$H47,0,OFFSET(K185,0,-1*'Get Started'!$H47)*'Get Started'!$E47)+IF(K4&lt;'Get Started'!$H46,0,OFFSET(K185,0,-1*'Get Started'!$H46)*'Get Started'!$E46)+IF(K4&lt;'Get Started'!$H45,0,OFFSET(K185,0,-1*'Get Started'!$H45)*'Get Started'!$E45)</f>
        <v>0.22500000000000001</v>
      </c>
      <c r="L186" s="85">
        <f ca="1">IF(L4&lt;'Get Started'!$H48,0,OFFSET(L185,0,-1*'Get Started'!$H48)*'Get Started'!$E48)+IF(L4&lt;'Get Started'!$H47,0,OFFSET(L185,0,-1*'Get Started'!$H47)*'Get Started'!$E47)+IF(L4&lt;'Get Started'!$H46,0,OFFSET(L185,0,-1*'Get Started'!$H46)*'Get Started'!$E46)+IF(L4&lt;'Get Started'!$H45,0,OFFSET(L185,0,-1*'Get Started'!$H45)*'Get Started'!$E45)</f>
        <v>0.22500000000000001</v>
      </c>
      <c r="M186" s="85">
        <f ca="1">IF(M4&lt;'Get Started'!$H48,0,OFFSET(M185,0,-1*'Get Started'!$H48)*'Get Started'!$E48)+IF(M4&lt;'Get Started'!$H47,0,OFFSET(M185,0,-1*'Get Started'!$H47)*'Get Started'!$E47)+IF(M4&lt;'Get Started'!$H46,0,OFFSET(M185,0,-1*'Get Started'!$H46)*'Get Started'!$E46)+IF(M4&lt;'Get Started'!$H45,0,OFFSET(M185,0,-1*'Get Started'!$H45)*'Get Started'!$E45)</f>
        <v>0.1</v>
      </c>
      <c r="N186" s="85">
        <f ca="1">IF(N4&lt;'Get Started'!$H48,0,OFFSET(N185,0,-1*'Get Started'!$H48)*'Get Started'!$E48)+IF(N4&lt;'Get Started'!$H47,0,OFFSET(N185,0,-1*'Get Started'!$H47)*'Get Started'!$E47)+IF(N4&lt;'Get Started'!$H46,0,OFFSET(N185,0,-1*'Get Started'!$H46)*'Get Started'!$E46)+IF(N4&lt;'Get Started'!$H45,0,OFFSET(N185,0,-1*'Get Started'!$H45)*'Get Started'!$E45)</f>
        <v>4.9999999999999996E-2</v>
      </c>
      <c r="O186" s="85">
        <f ca="1">IF(O4&lt;'Get Started'!$H48,0,OFFSET(O185,0,-1*'Get Started'!$H48)*'Get Started'!$E48)+IF(O4&lt;'Get Started'!$H47,0,OFFSET(O185,0,-1*'Get Started'!$H47)*'Get Started'!$E47)+IF(O4&lt;'Get Started'!$H46,0,OFFSET(O185,0,-1*'Get Started'!$H46)*'Get Started'!$E46)+IF(O4&lt;'Get Started'!$H45,0,OFFSET(O185,0,-1*'Get Started'!$H45)*'Get Started'!$E45)</f>
        <v>2.4999999999999994E-2</v>
      </c>
      <c r="P186" s="85">
        <f ca="1">IF(P4&lt;'Get Started'!$H48,0,OFFSET(P185,0,-1*'Get Started'!$H48)*'Get Started'!$E48)+IF(P4&lt;'Get Started'!$H47,0,OFFSET(P185,0,-1*'Get Started'!$H47)*'Get Started'!$E47)+IF(P4&lt;'Get Started'!$H46,0,OFFSET(P185,0,-1*'Get Started'!$H46)*'Get Started'!$E46)+IF(P4&lt;'Get Started'!$H45,0,OFFSET(P185,0,-1*'Get Started'!$H45)*'Get Started'!$E45)</f>
        <v>2.4999999999999994E-2</v>
      </c>
      <c r="Q186" s="85">
        <f ca="1">IF(Q4&lt;'Get Started'!$H48,0,OFFSET(Q185,0,-1*'Get Started'!$H48)*'Get Started'!$E48)+IF(Q4&lt;'Get Started'!$H47,0,OFFSET(Q185,0,-1*'Get Started'!$H47)*'Get Started'!$E47)+IF(Q4&lt;'Get Started'!$H46,0,OFFSET(Q185,0,-1*'Get Started'!$H46)*'Get Started'!$E46)+IF(Q4&lt;'Get Started'!$H45,0,OFFSET(Q185,0,-1*'Get Started'!$H45)*'Get Started'!$E45)</f>
        <v>0</v>
      </c>
      <c r="R186" s="85">
        <f ca="1">IF(R4&lt;'Get Started'!$H48,0,OFFSET(R185,0,-1*'Get Started'!$H48)*'Get Started'!$E48)+IF(R4&lt;'Get Started'!$H47,0,OFFSET(R185,0,-1*'Get Started'!$H47)*'Get Started'!$E47)+IF(R4&lt;'Get Started'!$H46,0,OFFSET(R185,0,-1*'Get Started'!$H46)*'Get Started'!$E46)+IF(R4&lt;'Get Started'!$H45,0,OFFSET(R185,0,-1*'Get Started'!$H45)*'Get Started'!$E45)</f>
        <v>0</v>
      </c>
      <c r="S186" s="85">
        <f ca="1">IF(S4&lt;'Get Started'!$H48,0,OFFSET(S185,0,-1*'Get Started'!$H48)*'Get Started'!$E48)+IF(S4&lt;'Get Started'!$H47,0,OFFSET(S185,0,-1*'Get Started'!$H47)*'Get Started'!$E47)+IF(S4&lt;'Get Started'!$H46,0,OFFSET(S185,0,-1*'Get Started'!$H46)*'Get Started'!$E46)+IF(S4&lt;'Get Started'!$H45,0,OFFSET(S185,0,-1*'Get Started'!$H45)*'Get Started'!$E45)</f>
        <v>0</v>
      </c>
      <c r="T186" s="85">
        <f ca="1">IF(T4&lt;'Get Started'!$H48,0,OFFSET(T185,0,-1*'Get Started'!$H48)*'Get Started'!$E48)+IF(T4&lt;'Get Started'!$H47,0,OFFSET(T185,0,-1*'Get Started'!$H47)*'Get Started'!$E47)+IF(T4&lt;'Get Started'!$H46,0,OFFSET(T185,0,-1*'Get Started'!$H46)*'Get Started'!$E46)+IF(T4&lt;'Get Started'!$H45,0,OFFSET(T185,0,-1*'Get Started'!$H45)*'Get Started'!$E45)</f>
        <v>0</v>
      </c>
      <c r="U186" s="85">
        <f ca="1">IF(U4&lt;'Get Started'!$H48,0,OFFSET(U185,0,-1*'Get Started'!$H48)*'Get Started'!$E48)+IF(U4&lt;'Get Started'!$H47,0,OFFSET(U185,0,-1*'Get Started'!$H47)*'Get Started'!$E47)+IF(U4&lt;'Get Started'!$H46,0,OFFSET(U185,0,-1*'Get Started'!$H46)*'Get Started'!$E46)+IF(U4&lt;'Get Started'!$H45,0,OFFSET(U185,0,-1*'Get Started'!$H45)*'Get Started'!$E45)</f>
        <v>0</v>
      </c>
      <c r="V186" s="85">
        <f ca="1">IF(V4&lt;'Get Started'!$H48,0,OFFSET(V185,0,-1*'Get Started'!$H48)*'Get Started'!$E48)+IF(V4&lt;'Get Started'!$H47,0,OFFSET(V185,0,-1*'Get Started'!$H47)*'Get Started'!$E47)+IF(V4&lt;'Get Started'!$H46,0,OFFSET(V185,0,-1*'Get Started'!$H46)*'Get Started'!$E46)+IF(V4&lt;'Get Started'!$H45,0,OFFSET(V185,0,-1*'Get Started'!$H45)*'Get Started'!$E45)</f>
        <v>0</v>
      </c>
      <c r="W186" s="85">
        <f ca="1">IF(W4&lt;'Get Started'!$H48,0,OFFSET(W185,0,-1*'Get Started'!$H48)*'Get Started'!$E48)+IF(W4&lt;'Get Started'!$H47,0,OFFSET(W185,0,-1*'Get Started'!$H47)*'Get Started'!$E47)+IF(W4&lt;'Get Started'!$H46,0,OFFSET(W185,0,-1*'Get Started'!$H46)*'Get Started'!$E46)+IF(W4&lt;'Get Started'!$H45,0,OFFSET(W185,0,-1*'Get Started'!$H45)*'Get Started'!$E45)</f>
        <v>0</v>
      </c>
      <c r="X186" s="85">
        <f ca="1">IF(X4&lt;'Get Started'!$H48,0,OFFSET(X185,0,-1*'Get Started'!$H48)*'Get Started'!$E48)+IF(X4&lt;'Get Started'!$H47,0,OFFSET(X185,0,-1*'Get Started'!$H47)*'Get Started'!$E47)+IF(X4&lt;'Get Started'!$H46,0,OFFSET(X185,0,-1*'Get Started'!$H46)*'Get Started'!$E46)+IF(X4&lt;'Get Started'!$H45,0,OFFSET(X185,0,-1*'Get Started'!$H45)*'Get Started'!$E45)</f>
        <v>0</v>
      </c>
      <c r="Y186" s="85">
        <f ca="1">IF(Y4&lt;'Get Started'!$H48,0,OFFSET(Y185,0,-1*'Get Started'!$H48)*'Get Started'!$E48)+IF(Y4&lt;'Get Started'!$H47,0,OFFSET(Y185,0,-1*'Get Started'!$H47)*'Get Started'!$E47)+IF(Y4&lt;'Get Started'!$H46,0,OFFSET(Y185,0,-1*'Get Started'!$H46)*'Get Started'!$E46)+IF(Y4&lt;'Get Started'!$H45,0,OFFSET(Y185,0,-1*'Get Started'!$H45)*'Get Started'!$E45)</f>
        <v>0</v>
      </c>
      <c r="Z186" s="85">
        <f ca="1">IF(Z4&lt;'Get Started'!$H48,0,OFFSET(Z185,0,-1*'Get Started'!$H48)*'Get Started'!$E48)+IF(Z4&lt;'Get Started'!$H47,0,OFFSET(Z185,0,-1*'Get Started'!$H47)*'Get Started'!$E47)+IF(Z4&lt;'Get Started'!$H46,0,OFFSET(Z185,0,-1*'Get Started'!$H46)*'Get Started'!$E46)+IF(Z4&lt;'Get Started'!$H45,0,OFFSET(Z185,0,-1*'Get Started'!$H45)*'Get Started'!$E45)</f>
        <v>0</v>
      </c>
    </row>
    <row r="187" spans="1:26" ht="13" outlineLevel="1">
      <c r="A187" s="34"/>
      <c r="B187" s="34" t="s">
        <v>274</v>
      </c>
      <c r="C187" s="34"/>
      <c r="D187" s="34" t="s">
        <v>173</v>
      </c>
      <c r="E187" s="83">
        <f t="shared" ca="1" si="133"/>
        <v>0</v>
      </c>
      <c r="F187" s="64"/>
      <c r="G187" s="85">
        <f t="shared" ref="G187:Z187" ca="1" si="135">ROUND(G183+G186*-1+G184+F187,10)</f>
        <v>0.25</v>
      </c>
      <c r="H187" s="85">
        <f t="shared" ca="1" si="135"/>
        <v>0.5</v>
      </c>
      <c r="I187" s="85">
        <f t="shared" ca="1" si="135"/>
        <v>0.6</v>
      </c>
      <c r="J187" s="85">
        <f t="shared" ca="1" si="135"/>
        <v>0.65</v>
      </c>
      <c r="K187" s="85">
        <f t="shared" ca="1" si="135"/>
        <v>0.42499999999999999</v>
      </c>
      <c r="L187" s="85">
        <f t="shared" ca="1" si="135"/>
        <v>0.2</v>
      </c>
      <c r="M187" s="85">
        <f t="shared" ca="1" si="135"/>
        <v>0.1</v>
      </c>
      <c r="N187" s="85">
        <f t="shared" ca="1" si="135"/>
        <v>0.05</v>
      </c>
      <c r="O187" s="85">
        <f t="shared" ca="1" si="135"/>
        <v>2.5000000000000001E-2</v>
      </c>
      <c r="P187" s="85">
        <f t="shared" ca="1" si="135"/>
        <v>0</v>
      </c>
      <c r="Q187" s="85">
        <f t="shared" ca="1" si="135"/>
        <v>0</v>
      </c>
      <c r="R187" s="85">
        <f t="shared" ca="1" si="135"/>
        <v>0</v>
      </c>
      <c r="S187" s="85">
        <f t="shared" ca="1" si="135"/>
        <v>0</v>
      </c>
      <c r="T187" s="85">
        <f t="shared" ca="1" si="135"/>
        <v>0</v>
      </c>
      <c r="U187" s="85">
        <f t="shared" ca="1" si="135"/>
        <v>0</v>
      </c>
      <c r="V187" s="85">
        <f t="shared" ca="1" si="135"/>
        <v>0</v>
      </c>
      <c r="W187" s="85">
        <f t="shared" ca="1" si="135"/>
        <v>0</v>
      </c>
      <c r="X187" s="85">
        <f t="shared" ca="1" si="135"/>
        <v>0</v>
      </c>
      <c r="Y187" s="85">
        <f t="shared" ca="1" si="135"/>
        <v>0</v>
      </c>
      <c r="Z187" s="85">
        <f t="shared" ca="1" si="135"/>
        <v>0</v>
      </c>
    </row>
    <row r="188" spans="1:26" ht="13" outlineLevel="1">
      <c r="A188" s="34"/>
      <c r="B188" s="34" t="s">
        <v>275</v>
      </c>
      <c r="C188" s="34"/>
      <c r="D188" s="34" t="s">
        <v>173</v>
      </c>
      <c r="E188" s="83">
        <f t="shared" si="133"/>
        <v>1</v>
      </c>
      <c r="F188" s="64"/>
      <c r="G188" s="85">
        <f t="shared" ref="G188:Z188" si="136">F188+G183+G184</f>
        <v>0.25</v>
      </c>
      <c r="H188" s="85">
        <f t="shared" si="136"/>
        <v>0.5</v>
      </c>
      <c r="I188" s="85">
        <f t="shared" si="136"/>
        <v>0.75</v>
      </c>
      <c r="J188" s="85">
        <f t="shared" si="136"/>
        <v>1</v>
      </c>
      <c r="K188" s="85">
        <f t="shared" si="136"/>
        <v>1</v>
      </c>
      <c r="L188" s="85">
        <f t="shared" si="136"/>
        <v>1</v>
      </c>
      <c r="M188" s="85">
        <f t="shared" si="136"/>
        <v>1</v>
      </c>
      <c r="N188" s="85">
        <f t="shared" si="136"/>
        <v>1</v>
      </c>
      <c r="O188" s="85">
        <f t="shared" si="136"/>
        <v>1</v>
      </c>
      <c r="P188" s="85">
        <f t="shared" si="136"/>
        <v>1</v>
      </c>
      <c r="Q188" s="85">
        <f t="shared" si="136"/>
        <v>1</v>
      </c>
      <c r="R188" s="85">
        <f t="shared" si="136"/>
        <v>1</v>
      </c>
      <c r="S188" s="85">
        <f t="shared" si="136"/>
        <v>1</v>
      </c>
      <c r="T188" s="85">
        <f t="shared" si="136"/>
        <v>1</v>
      </c>
      <c r="U188" s="85">
        <f t="shared" si="136"/>
        <v>1</v>
      </c>
      <c r="V188" s="85">
        <f t="shared" si="136"/>
        <v>1</v>
      </c>
      <c r="W188" s="85">
        <f t="shared" si="136"/>
        <v>1</v>
      </c>
      <c r="X188" s="85">
        <f t="shared" si="136"/>
        <v>1</v>
      </c>
      <c r="Y188" s="85">
        <f t="shared" si="136"/>
        <v>1</v>
      </c>
      <c r="Z188" s="85">
        <f t="shared" si="136"/>
        <v>1</v>
      </c>
    </row>
    <row r="189" spans="1:26" ht="13" outlineLevel="1">
      <c r="A189" s="34"/>
      <c r="B189" s="34" t="s">
        <v>276</v>
      </c>
      <c r="C189" s="34"/>
      <c r="D189" s="34" t="s">
        <v>163</v>
      </c>
      <c r="E189" s="83">
        <f t="shared" si="133"/>
        <v>0</v>
      </c>
      <c r="F189" s="64"/>
      <c r="G189" s="85">
        <f>IF(G15&lt;&gt;"committed",((G187+F187)/2*IF($C17=TRUE,(1-'Get Started'!$E10),1))*G14*G9,0)</f>
        <v>0</v>
      </c>
      <c r="H189" s="85">
        <f>IF(H15&lt;&gt;"committed",((H187+G187)/2*IF($C17=TRUE,(1-'Get Started'!$E10),1))*H14*H9,0)</f>
        <v>0</v>
      </c>
      <c r="I189" s="85">
        <f>IF(I15&lt;&gt;"committed",((I187+H187)/2*IF($C17=TRUE,(1-'Get Started'!$E10),1))*I14*I9,0)</f>
        <v>0</v>
      </c>
      <c r="J189" s="85">
        <f>IF(J15&lt;&gt;"committed",((J187+I187)/2*IF($C17=TRUE,(1-'Get Started'!$E10),1))*J14*J9,0)</f>
        <v>0</v>
      </c>
      <c r="K189" s="85">
        <f>IF(K15&lt;&gt;"committed",((K187+J187)/2*IF($C17=TRUE,(1-'Get Started'!$E10),1))*K14*K9,0)</f>
        <v>0</v>
      </c>
      <c r="L189" s="85">
        <f>IF(L15&lt;&gt;"committed",((L187+K187)/2*IF($C17=TRUE,(1-'Get Started'!$E10),1))*L14*L9,0)</f>
        <v>0</v>
      </c>
      <c r="M189" s="85">
        <f>IF(M15&lt;&gt;"committed",((M187+L187)/2*IF($C17=TRUE,(1-'Get Started'!$E10),1))*M14*M9,0)</f>
        <v>0</v>
      </c>
      <c r="N189" s="85">
        <f>IF(N15&lt;&gt;"committed",((N187+M187)/2*IF($C17=TRUE,(1-'Get Started'!$E10),1))*N14*N9,0)</f>
        <v>0</v>
      </c>
      <c r="O189" s="85">
        <f>IF(O15&lt;&gt;"committed",((O187+N187)/2*IF($C17=TRUE,(1-'Get Started'!$E10),1))*O14*O9,0)</f>
        <v>0</v>
      </c>
      <c r="P189" s="85">
        <f>IF(P15&lt;&gt;"committed",((P187+O187)/2*IF($C17=TRUE,(1-'Get Started'!$E10),1))*P14*P9,0)</f>
        <v>0</v>
      </c>
      <c r="Q189" s="85">
        <f>IF(Q15&lt;&gt;"committed",((Q187+P187)/2*IF($C17=TRUE,(1-'Get Started'!$E10),1))*Q14*Q9,0)</f>
        <v>0</v>
      </c>
      <c r="R189" s="85">
        <f>IF(R15&lt;&gt;"committed",((R187+Q187)/2*IF($C17=TRUE,(1-'Get Started'!$E10),1))*R14*R9,0)</f>
        <v>0</v>
      </c>
      <c r="S189" s="85">
        <f>IF(S15&lt;&gt;"committed",((S187+R187)/2*IF($C17=TRUE,(1-'Get Started'!$E10),1))*S14*S9,0)</f>
        <v>0</v>
      </c>
      <c r="T189" s="85">
        <f>IF(T15&lt;&gt;"committed",((T187+S187)/2*IF($C17=TRUE,(1-'Get Started'!$E10),1))*T14*T9,0)</f>
        <v>0</v>
      </c>
      <c r="U189" s="85">
        <f>IF(U15&lt;&gt;"committed",((U187+T187)/2*IF($C17=TRUE,(1-'Get Started'!$E10),1))*U14*U9,0)</f>
        <v>0</v>
      </c>
      <c r="V189" s="85">
        <f>IF(V15&lt;&gt;"committed",((V187+U187)/2*IF($C17=TRUE,(1-'Get Started'!$E10),1))*V14*V9,0)</f>
        <v>0</v>
      </c>
      <c r="W189" s="85">
        <f>IF(W15&lt;&gt;"committed",((W187+V187)/2*IF($C17=TRUE,(1-'Get Started'!$E10),1))*W14*W9,0)</f>
        <v>0</v>
      </c>
      <c r="X189" s="85">
        <f>IF(X15&lt;&gt;"committed",((X187+W187)/2*IF($C17=TRUE,(1-'Get Started'!$E10),1))*X14*X9,0)</f>
        <v>0</v>
      </c>
      <c r="Y189" s="85">
        <f>IF(Y15&lt;&gt;"committed",((Y187+X187)/2*IF($C17=TRUE,(1-'Get Started'!$E10),1))*Y14*Y9,0)</f>
        <v>0</v>
      </c>
      <c r="Z189" s="85">
        <f>IF(Z15&lt;&gt;"committed",((Z187+Y187)/2*IF($C17=TRUE,(1-'Get Started'!$E10),1))*Z14*Z9,0)</f>
        <v>0</v>
      </c>
    </row>
    <row r="190" spans="1:26" ht="13" outlineLevel="1">
      <c r="A190" s="34"/>
      <c r="B190" s="34" t="s">
        <v>277</v>
      </c>
      <c r="C190" s="34"/>
      <c r="D190" s="34" t="s">
        <v>173</v>
      </c>
      <c r="E190" s="83">
        <f t="shared" si="133"/>
        <v>0</v>
      </c>
      <c r="F190" s="64"/>
      <c r="G190" s="85">
        <f>IF(G15="called",(G188+G157+G158)*IF($C17=TRUE,(1-'Get Started'!$E10),1)*G9/(1-G14),0)</f>
        <v>0</v>
      </c>
      <c r="H190" s="85">
        <f>IF(H15="called",(H188+H157+H158)*IF($C17=TRUE,(1-'Get Started'!$E10),1)*H9/(1-H14),0)</f>
        <v>0</v>
      </c>
      <c r="I190" s="85">
        <f>IF(I15="called",(I188+I157+I158)*IF($C17=TRUE,(1-'Get Started'!$E10),1)*I9/(1-I14),0)</f>
        <v>0</v>
      </c>
      <c r="J190" s="85">
        <f>IF(J15="called",(J188+J157+J158)*IF($C17=TRUE,(1-'Get Started'!$E10),1)*J9/(1-J14),0)</f>
        <v>0</v>
      </c>
      <c r="K190" s="85">
        <f>IF(K15="called",(K188+K157+K158)*IF($C17=TRUE,(1-'Get Started'!$E10),1)*K9/(1-K14),0)</f>
        <v>0</v>
      </c>
      <c r="L190" s="85">
        <f>IF(L15="called",(L188+L157+L158)*IF($C17=TRUE,(1-'Get Started'!$E10),1)*L9/(1-L14),0)</f>
        <v>0</v>
      </c>
      <c r="M190" s="85">
        <f>IF(M15="called",(M188+M157+M158)*IF($C17=TRUE,(1-'Get Started'!$E10),1)*M9/(1-M14),0)</f>
        <v>0</v>
      </c>
      <c r="N190" s="85">
        <f>IF(N15="called",(N188+N157+N158)*IF($C17=TRUE,(1-'Get Started'!$E10),1)*N9/(1-N14),0)</f>
        <v>0</v>
      </c>
      <c r="O190" s="85">
        <f>IF(O15="called",(O188+O157+O158)*IF($C17=TRUE,(1-'Get Started'!$E10),1)*O9/(1-O14),0)</f>
        <v>0</v>
      </c>
      <c r="P190" s="85">
        <f>IF(P15="called",(P188+P157+P158)*IF($C17=TRUE,(1-'Get Started'!$E10),1)*P9/(1-P14),0)</f>
        <v>0</v>
      </c>
      <c r="Q190" s="85">
        <f>IF(Q15="called",(Q188+Q157+Q158)*IF($C17=TRUE,(1-'Get Started'!$E10),1)*Q9/(1-Q14),0)</f>
        <v>0</v>
      </c>
      <c r="R190" s="85">
        <f>IF(R15="called",(R188+R157+R158)*IF($C17=TRUE,(1-'Get Started'!$E10),1)*R9/(1-R14),0)</f>
        <v>0</v>
      </c>
      <c r="S190" s="85">
        <f>IF(S15="called",(S188+S157+S158)*IF($C17=TRUE,(1-'Get Started'!$E10),1)*S9/(1-S14),0)</f>
        <v>0</v>
      </c>
      <c r="T190" s="85">
        <f>IF(T15="called",(T188+T157+T158)*IF($C17=TRUE,(1-'Get Started'!$E10),1)*T9/(1-T14),0)</f>
        <v>0</v>
      </c>
      <c r="U190" s="85">
        <f>IF(U15="called",(U188+U157+U158)*IF($C17=TRUE,(1-'Get Started'!$E10),1)*U9/(1-U14),0)</f>
        <v>0</v>
      </c>
      <c r="V190" s="85">
        <f>IF(V15="called",(V188+V157+V158)*IF($C17=TRUE,(1-'Get Started'!$E10),1)*V9/(1-V14),0)</f>
        <v>0</v>
      </c>
      <c r="W190" s="85">
        <f>IF(W15="called",(W188+W157+W158)*IF($C17=TRUE,(1-'Get Started'!$E10),1)*W9/(1-W14),0)</f>
        <v>0</v>
      </c>
      <c r="X190" s="85">
        <f>IF(X15="called",(X188+X157+X158)*IF($C17=TRUE,(1-'Get Started'!$E10),1)*X9/(1-X14),0)</f>
        <v>0</v>
      </c>
      <c r="Y190" s="85">
        <f>IF(Y15="called",(Y188+Y157+Y158)*IF($C17=TRUE,(1-'Get Started'!$E10),1)*Y9/(1-Y14),0)</f>
        <v>0</v>
      </c>
      <c r="Z190" s="85">
        <f>IF(Z15="called",(Z188+Z157+Z158)*IF($C17=TRUE,(1-'Get Started'!$E10),1)*Z9/(1-Z14),0)</f>
        <v>0</v>
      </c>
    </row>
    <row r="191" spans="1:26" ht="13" outlineLevel="1">
      <c r="A191" s="34"/>
      <c r="B191" s="34" t="s">
        <v>278</v>
      </c>
      <c r="C191" s="34"/>
      <c r="D191" s="34" t="s">
        <v>173</v>
      </c>
      <c r="E191" s="83">
        <f t="shared" si="133"/>
        <v>0</v>
      </c>
      <c r="F191" s="64"/>
      <c r="G191" s="85">
        <f>IF(G15="assets under management",((G187+F187)/2*IF($C17=TRUE,(1-'Get Started'!$E10),1))*G9,0)</f>
        <v>0</v>
      </c>
      <c r="H191" s="85">
        <f>IF(H15&lt;&gt;"committed",((H187+G187)/2*IF($C17=TRUE,(1-'Get Started'!$E10),1))*H9,0)</f>
        <v>0</v>
      </c>
      <c r="I191" s="85">
        <f>IF(I15&lt;&gt;"committed",((I187+H187)/2*IF($C17=TRUE,(1-'Get Started'!$E10),1))*I9,0)</f>
        <v>0</v>
      </c>
      <c r="J191" s="85">
        <f>IF(J15&lt;&gt;"committed",((J187+I187)/2*IF($C17=TRUE,(1-'Get Started'!$E10),1))*J9,0)</f>
        <v>0</v>
      </c>
      <c r="K191" s="85">
        <f>IF(K15&lt;&gt;"committed",((K187+J187)/2*IF($C17=TRUE,(1-'Get Started'!$E10),1))*K9,0)</f>
        <v>0</v>
      </c>
      <c r="L191" s="85">
        <f>IF(L15&lt;&gt;"committed",((L187+K187)/2*IF($C17=TRUE,(1-'Get Started'!$E10),1))*L9,0)</f>
        <v>0</v>
      </c>
      <c r="M191" s="85">
        <f>IF(M15&lt;&gt;"committed",((M187+L187)/2*IF($C17=TRUE,(1-'Get Started'!$E10),1))*M9,0)</f>
        <v>0</v>
      </c>
      <c r="N191" s="85">
        <f>IF(N15&lt;&gt;"committed",((N187+M187)/2*IF($C17=TRUE,(1-'Get Started'!$E10),1))*N9,0)</f>
        <v>0</v>
      </c>
      <c r="O191" s="85">
        <f>IF(O15&lt;&gt;"committed",((O187+N187)/2*IF($C17=TRUE,(1-'Get Started'!$E10),1))*O9,0)</f>
        <v>0</v>
      </c>
      <c r="P191" s="85">
        <f>IF(P15&lt;&gt;"committed",((P187+O187)/2*IF($C17=TRUE,(1-'Get Started'!$E10),1))*P9,0)</f>
        <v>0</v>
      </c>
      <c r="Q191" s="85">
        <f>IF(Q15&lt;&gt;"committed",((Q187+P187)/2*IF($C17=TRUE,(1-'Get Started'!$E10),1))*Q9,0)</f>
        <v>0</v>
      </c>
      <c r="R191" s="85">
        <f>IF(R15&lt;&gt;"committed",((R187+Q187)/2*IF($C17=TRUE,(1-'Get Started'!$E10),1))*R9,0)</f>
        <v>0</v>
      </c>
      <c r="S191" s="85">
        <f>IF(S15&lt;&gt;"committed",((S187+R187)/2*IF($C17=TRUE,(1-'Get Started'!$E10),1))*S9,0)</f>
        <v>0</v>
      </c>
      <c r="T191" s="85">
        <f>IF(T15&lt;&gt;"committed",((T187+S187)/2*IF($C17=TRUE,(1-'Get Started'!$E10),1))*T9,0)</f>
        <v>0</v>
      </c>
      <c r="U191" s="85">
        <f>IF(U15&lt;&gt;"committed",((U187+T187)/2*IF($C17=TRUE,(1-'Get Started'!$E10),1))*U9,0)</f>
        <v>0</v>
      </c>
      <c r="V191" s="85">
        <f>IF(V15&lt;&gt;"committed",((V187+U187)/2*IF($C17=TRUE,(1-'Get Started'!$E10),1))*V9,0)</f>
        <v>0</v>
      </c>
      <c r="W191" s="85">
        <f>IF(W15&lt;&gt;"committed",((W187+V187)/2*IF($C17=TRUE,(1-'Get Started'!$E10),1))*W9,0)</f>
        <v>0</v>
      </c>
      <c r="X191" s="85">
        <f>IF(X15&lt;&gt;"committed",((X187+W187)/2*IF($C17=TRUE,(1-'Get Started'!$E10),1))*X9,0)</f>
        <v>0</v>
      </c>
      <c r="Y191" s="85">
        <f>IF(Y15&lt;&gt;"committed",((Y187+X187)/2*IF($C17=TRUE,(1-'Get Started'!$E10),1))*Y9,0)</f>
        <v>0</v>
      </c>
      <c r="Z191" s="85">
        <f>IF(Z15&lt;&gt;"committed",((Z187+Y187)/2*IF($C17=TRUE,(1-'Get Started'!$E10),1))*Z9,0)</f>
        <v>0</v>
      </c>
    </row>
    <row r="192" spans="1:26" ht="13" outlineLevel="1">
      <c r="B192" s="12"/>
      <c r="C192" s="12"/>
      <c r="D192" s="12"/>
      <c r="E192" s="12"/>
      <c r="F192" s="26"/>
      <c r="G192" s="75"/>
      <c r="H192" s="75"/>
      <c r="I192" s="75"/>
      <c r="J192" s="75"/>
      <c r="K192" s="75"/>
      <c r="L192" s="75"/>
      <c r="M192" s="75"/>
      <c r="N192" s="75"/>
      <c r="O192" s="75"/>
      <c r="P192" s="75"/>
      <c r="Q192" s="75"/>
      <c r="R192" s="75"/>
      <c r="S192" s="75"/>
      <c r="T192" s="75"/>
      <c r="U192" s="75"/>
      <c r="V192" s="75"/>
      <c r="W192" s="75"/>
      <c r="X192" s="75"/>
      <c r="Y192" s="75"/>
      <c r="Z192" s="75"/>
    </row>
    <row r="193" spans="2:26" ht="13">
      <c r="B193" s="12"/>
      <c r="C193" s="12"/>
      <c r="D193" s="12"/>
      <c r="E193" s="26"/>
      <c r="F193" s="26"/>
      <c r="G193" s="26"/>
      <c r="H193" s="26"/>
      <c r="I193" s="26"/>
      <c r="J193" s="26"/>
      <c r="K193" s="26"/>
      <c r="L193" s="26"/>
      <c r="M193" s="26"/>
      <c r="N193" s="26"/>
      <c r="O193" s="26"/>
      <c r="P193" s="26"/>
      <c r="Q193" s="26"/>
      <c r="R193" s="26"/>
      <c r="S193" s="26"/>
      <c r="T193" s="26"/>
      <c r="U193" s="26"/>
      <c r="V193" s="26"/>
      <c r="W193" s="26"/>
      <c r="X193" s="26"/>
      <c r="Y193" s="26"/>
      <c r="Z193" s="26"/>
    </row>
  </sheetData>
  <dataValidations count="4">
    <dataValidation type="list" allowBlank="1" sqref="D93" xr:uid="{00000000-0002-0000-0400-000000000000}">
      <formula1>"sum,final,initial,average,max"</formula1>
    </dataValidation>
    <dataValidation type="list" allowBlank="1" sqref="D8:D11 D14:D20 D22:D28 D30:D87 D89:D92 D95:D125 D128:D135 D138:D142 D145:D151 D156:D180 D183:D191" xr:uid="{00000000-0002-0000-0400-000001000000}">
      <formula1>"sum,final,initial,average"</formula1>
    </dataValidation>
    <dataValidation type="list" allowBlank="1" showInputMessage="1" showErrorMessage="1" prompt="Click and enter a value from the list of items" sqref="G15:Z15" xr:uid="{00000000-0002-0000-0400-000002000000}">
      <formula1>"committed,assets under management,called"</formula1>
    </dataValidation>
    <dataValidation type="list" allowBlank="1" sqref="C127" xr:uid="{00000000-0002-0000-0400-000003000000}">
      <formula1>"Total Fund (European),Deal-by-deal with clawback (American),Deal-by-deal no clawback (SPVs)"</formula1>
    </dataValidation>
  </dataValidations>
  <hyperlinks>
    <hyperlink ref="C9"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27"/>
  <sheetViews>
    <sheetView showGridLines="0" workbookViewId="0"/>
  </sheetViews>
  <sheetFormatPr baseColWidth="10" defaultColWidth="12.6640625" defaultRowHeight="15.75" customHeight="1"/>
  <cols>
    <col min="1" max="1" width="4.5" customWidth="1"/>
    <col min="2" max="2" width="37.6640625" customWidth="1"/>
    <col min="3" max="3" width="43.33203125" customWidth="1"/>
    <col min="4" max="4" width="70.1640625" customWidth="1"/>
  </cols>
  <sheetData>
    <row r="1" spans="1:6" ht="15.75" customHeight="1">
      <c r="A1" s="34"/>
      <c r="B1" s="34"/>
      <c r="C1" s="34"/>
      <c r="D1" s="34"/>
      <c r="E1" s="34"/>
      <c r="F1" s="34"/>
    </row>
    <row r="2" spans="1:6">
      <c r="A2" s="34"/>
      <c r="B2" s="89" t="s">
        <v>279</v>
      </c>
      <c r="C2" s="34"/>
      <c r="D2" s="34"/>
      <c r="E2" s="34"/>
      <c r="F2" s="34"/>
    </row>
    <row r="3" spans="1:6" ht="15.75" customHeight="1">
      <c r="A3" s="34"/>
      <c r="B3" s="90" t="s">
        <v>280</v>
      </c>
      <c r="C3" s="91"/>
      <c r="D3" s="34"/>
      <c r="E3" s="34"/>
      <c r="F3" s="34"/>
    </row>
    <row r="4" spans="1:6" ht="15.75" customHeight="1">
      <c r="A4" s="34"/>
      <c r="B4" s="34"/>
      <c r="C4" s="34"/>
      <c r="D4" s="34"/>
      <c r="E4" s="34"/>
      <c r="F4" s="34"/>
    </row>
    <row r="5" spans="1:6" ht="15.75" customHeight="1">
      <c r="A5" s="34"/>
      <c r="B5" s="92" t="s">
        <v>281</v>
      </c>
      <c r="C5" s="92" t="s">
        <v>282</v>
      </c>
      <c r="D5" s="92" t="s">
        <v>283</v>
      </c>
      <c r="E5" s="34"/>
      <c r="F5" s="34"/>
    </row>
    <row r="6" spans="1:6" ht="15.75" customHeight="1">
      <c r="A6" s="34"/>
      <c r="B6" s="34"/>
      <c r="C6" s="34"/>
      <c r="D6" s="34"/>
      <c r="E6" s="34"/>
      <c r="F6" s="34"/>
    </row>
    <row r="7" spans="1:6" ht="15.75" customHeight="1">
      <c r="A7" s="34"/>
      <c r="B7" s="93" t="s">
        <v>284</v>
      </c>
      <c r="C7" s="93" t="s">
        <v>285</v>
      </c>
      <c r="D7" s="94" t="s">
        <v>286</v>
      </c>
      <c r="E7" s="34"/>
      <c r="F7" s="34"/>
    </row>
    <row r="8" spans="1:6" ht="15.75" customHeight="1">
      <c r="A8" s="34"/>
      <c r="B8" s="95" t="s">
        <v>287</v>
      </c>
      <c r="C8" s="95" t="s">
        <v>288</v>
      </c>
      <c r="D8" s="96" t="s">
        <v>289</v>
      </c>
      <c r="E8" s="34"/>
      <c r="F8" s="34"/>
    </row>
    <row r="9" spans="1:6" ht="15.75" customHeight="1">
      <c r="A9" s="34"/>
      <c r="B9" s="93" t="s">
        <v>290</v>
      </c>
      <c r="C9" s="93" t="s">
        <v>291</v>
      </c>
      <c r="D9" s="94" t="s">
        <v>292</v>
      </c>
      <c r="E9" s="34"/>
      <c r="F9" s="34"/>
    </row>
    <row r="10" spans="1:6" ht="15.75" customHeight="1">
      <c r="A10" s="34"/>
      <c r="B10" s="95" t="s">
        <v>293</v>
      </c>
      <c r="C10" s="95" t="s">
        <v>294</v>
      </c>
      <c r="D10" s="96" t="s">
        <v>295</v>
      </c>
      <c r="E10" s="34"/>
      <c r="F10" s="34"/>
    </row>
    <row r="11" spans="1:6" ht="15.75" customHeight="1">
      <c r="A11" s="34"/>
      <c r="B11" s="93" t="s">
        <v>296</v>
      </c>
      <c r="C11" s="93" t="s">
        <v>297</v>
      </c>
      <c r="D11" s="94" t="s">
        <v>298</v>
      </c>
      <c r="E11" s="34"/>
      <c r="F11" s="34"/>
    </row>
    <row r="12" spans="1:6" ht="15.75" customHeight="1">
      <c r="A12" s="34"/>
      <c r="B12" s="95" t="s">
        <v>299</v>
      </c>
      <c r="C12" s="95" t="s">
        <v>300</v>
      </c>
      <c r="D12" s="96" t="s">
        <v>301</v>
      </c>
      <c r="E12" s="34"/>
      <c r="F12" s="34"/>
    </row>
    <row r="13" spans="1:6" ht="15.75" customHeight="1">
      <c r="A13" s="34"/>
      <c r="B13" s="93" t="s">
        <v>302</v>
      </c>
      <c r="C13" s="93" t="s">
        <v>303</v>
      </c>
      <c r="D13" s="97" t="s">
        <v>304</v>
      </c>
      <c r="E13" s="34"/>
      <c r="F13" s="34"/>
    </row>
    <row r="14" spans="1:6" ht="15.75" customHeight="1">
      <c r="A14" s="34"/>
      <c r="B14" s="95" t="s">
        <v>302</v>
      </c>
      <c r="C14" s="95" t="s">
        <v>305</v>
      </c>
      <c r="D14" s="98" t="s">
        <v>304</v>
      </c>
      <c r="E14" s="34"/>
      <c r="F14" s="34"/>
    </row>
    <row r="15" spans="1:6" ht="15.75" customHeight="1">
      <c r="A15" s="34"/>
      <c r="B15" s="93" t="s">
        <v>306</v>
      </c>
      <c r="C15" s="93" t="s">
        <v>307</v>
      </c>
      <c r="D15" s="97" t="s">
        <v>304</v>
      </c>
      <c r="E15" s="34"/>
      <c r="F15" s="34"/>
    </row>
    <row r="16" spans="1:6" ht="15.75" customHeight="1">
      <c r="A16" s="34"/>
      <c r="B16" s="95" t="s">
        <v>308</v>
      </c>
      <c r="C16" s="95" t="s">
        <v>309</v>
      </c>
      <c r="D16" s="98" t="s">
        <v>304</v>
      </c>
      <c r="E16" s="34"/>
      <c r="F16" s="34"/>
    </row>
    <row r="17" spans="1:6" ht="15.75" customHeight="1">
      <c r="A17" s="34"/>
      <c r="B17" s="93" t="s">
        <v>310</v>
      </c>
      <c r="C17" s="93" t="s">
        <v>311</v>
      </c>
      <c r="D17" s="94" t="s">
        <v>312</v>
      </c>
      <c r="E17" s="34"/>
      <c r="F17" s="34"/>
    </row>
    <row r="18" spans="1:6" ht="15.75" customHeight="1">
      <c r="A18" s="34"/>
      <c r="B18" s="95" t="s">
        <v>313</v>
      </c>
      <c r="C18" s="95" t="s">
        <v>314</v>
      </c>
      <c r="D18" s="98" t="s">
        <v>304</v>
      </c>
      <c r="E18" s="34"/>
      <c r="F18" s="34"/>
    </row>
    <row r="19" spans="1:6" ht="15.75" customHeight="1">
      <c r="A19" s="34"/>
      <c r="B19" s="93" t="s">
        <v>315</v>
      </c>
      <c r="C19" s="93" t="s">
        <v>316</v>
      </c>
      <c r="D19" s="99" t="s">
        <v>317</v>
      </c>
      <c r="E19" s="34"/>
      <c r="F19" s="34"/>
    </row>
    <row r="20" spans="1:6" ht="15.75" customHeight="1">
      <c r="A20" s="34"/>
      <c r="B20" s="95" t="s">
        <v>318</v>
      </c>
      <c r="C20" s="95" t="s">
        <v>319</v>
      </c>
      <c r="D20" s="98" t="s">
        <v>320</v>
      </c>
      <c r="E20" s="34"/>
      <c r="F20" s="34"/>
    </row>
    <row r="21" spans="1:6" ht="15.75" customHeight="1">
      <c r="A21" s="34"/>
      <c r="B21" s="93" t="s">
        <v>321</v>
      </c>
      <c r="C21" s="93" t="s">
        <v>322</v>
      </c>
      <c r="D21" s="94" t="s">
        <v>323</v>
      </c>
      <c r="E21" s="34"/>
      <c r="F21" s="34"/>
    </row>
    <row r="22" spans="1:6" ht="15.75" customHeight="1">
      <c r="A22" s="34"/>
      <c r="B22" s="95" t="s">
        <v>324</v>
      </c>
      <c r="C22" s="95" t="s">
        <v>325</v>
      </c>
      <c r="D22" s="96" t="s">
        <v>326</v>
      </c>
      <c r="E22" s="34"/>
      <c r="F22" s="34"/>
    </row>
    <row r="23" spans="1:6" ht="15.75" customHeight="1">
      <c r="A23" s="34"/>
      <c r="B23" s="93" t="s">
        <v>327</v>
      </c>
      <c r="C23" s="93" t="s">
        <v>328</v>
      </c>
      <c r="D23" s="94" t="s">
        <v>329</v>
      </c>
      <c r="E23" s="34"/>
      <c r="F23" s="34"/>
    </row>
    <row r="24" spans="1:6" ht="15.75" customHeight="1">
      <c r="A24" s="34"/>
      <c r="B24" s="95" t="s">
        <v>330</v>
      </c>
      <c r="C24" s="95" t="s">
        <v>331</v>
      </c>
      <c r="D24" s="96" t="s">
        <v>332</v>
      </c>
      <c r="E24" s="34"/>
      <c r="F24" s="34"/>
    </row>
    <row r="25" spans="1:6" ht="15.75" customHeight="1">
      <c r="A25" s="34"/>
      <c r="B25" s="93" t="s">
        <v>333</v>
      </c>
      <c r="C25" s="93" t="s">
        <v>334</v>
      </c>
      <c r="D25" s="100" t="s">
        <v>335</v>
      </c>
      <c r="E25" s="34"/>
      <c r="F25" s="34"/>
    </row>
    <row r="26" spans="1:6" ht="15.75" customHeight="1">
      <c r="A26" s="34"/>
      <c r="B26" s="95" t="s">
        <v>336</v>
      </c>
      <c r="C26" s="95" t="s">
        <v>337</v>
      </c>
      <c r="D26" s="101" t="s">
        <v>338</v>
      </c>
      <c r="E26" s="34"/>
      <c r="F26" s="34"/>
    </row>
    <row r="27" spans="1:6" ht="15.75" customHeight="1">
      <c r="A27" s="34"/>
      <c r="B27" s="34"/>
      <c r="C27" s="34"/>
      <c r="D27" s="34"/>
      <c r="E27" s="34"/>
      <c r="F27" s="34"/>
    </row>
  </sheetData>
  <hyperlinks>
    <hyperlink ref="D7" r:id="rId1" xr:uid="{00000000-0004-0000-0500-000000000000}"/>
    <hyperlink ref="D8" r:id="rId2" xr:uid="{00000000-0004-0000-0500-000001000000}"/>
    <hyperlink ref="D9" r:id="rId3" xr:uid="{00000000-0004-0000-0500-000002000000}"/>
    <hyperlink ref="D10" r:id="rId4" xr:uid="{00000000-0004-0000-0500-000003000000}"/>
    <hyperlink ref="D11" r:id="rId5" xr:uid="{00000000-0004-0000-0500-000004000000}"/>
    <hyperlink ref="D12" r:id="rId6" xr:uid="{00000000-0004-0000-0500-000005000000}"/>
    <hyperlink ref="D13" r:id="rId7" xr:uid="{00000000-0004-0000-0500-000006000000}"/>
    <hyperlink ref="D14" r:id="rId8" xr:uid="{00000000-0004-0000-0500-000007000000}"/>
    <hyperlink ref="D15" r:id="rId9" xr:uid="{00000000-0004-0000-0500-000008000000}"/>
    <hyperlink ref="D16" r:id="rId10" xr:uid="{00000000-0004-0000-0500-000009000000}"/>
    <hyperlink ref="D17" r:id="rId11" xr:uid="{00000000-0004-0000-0500-00000A000000}"/>
    <hyperlink ref="D18" r:id="rId12" xr:uid="{00000000-0004-0000-0500-00000B000000}"/>
    <hyperlink ref="D20" r:id="rId13" xr:uid="{00000000-0004-0000-0500-00000C000000}"/>
    <hyperlink ref="D21" r:id="rId14" xr:uid="{00000000-0004-0000-0500-00000D000000}"/>
    <hyperlink ref="D22" r:id="rId15" xr:uid="{00000000-0004-0000-0500-00000E000000}"/>
    <hyperlink ref="D23" r:id="rId16" xr:uid="{00000000-0004-0000-0500-00000F000000}"/>
    <hyperlink ref="D24" r:id="rId17" xr:uid="{00000000-0004-0000-0500-000010000000}"/>
    <hyperlink ref="D25" r:id="rId18" xr:uid="{00000000-0004-0000-0500-000011000000}"/>
    <hyperlink ref="D26" r:id="rId19" xr:uid="{00000000-0004-0000-0500-000012000000}"/>
  </hyperlinks>
  <pageMargins left="0.7" right="0.7" top="0.75" bottom="0.75" header="0.3" footer="0.3"/>
  <tableParts count="1">
    <tablePart r:id="rId2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V21"/>
  <sheetViews>
    <sheetView showGridLines="0" topLeftCell="A2" workbookViewId="0">
      <selection activeCell="A7" sqref="A7:XFD20"/>
    </sheetView>
  </sheetViews>
  <sheetFormatPr baseColWidth="10" defaultColWidth="12.6640625" defaultRowHeight="15.75" customHeight="1"/>
  <cols>
    <col min="1" max="1" width="5.1640625" customWidth="1"/>
    <col min="2" max="2" width="28.6640625" customWidth="1"/>
    <col min="3" max="3" width="21.1640625" customWidth="1"/>
    <col min="4" max="4" width="16.33203125" customWidth="1"/>
    <col min="5" max="5" width="11.33203125" customWidth="1"/>
    <col min="6" max="14" width="12.6640625" customWidth="1"/>
    <col min="15" max="15" width="15.33203125" customWidth="1"/>
    <col min="16" max="20" width="12.6640625" customWidth="1"/>
  </cols>
  <sheetData>
    <row r="1" spans="1:22" ht="15.75" customHeight="1">
      <c r="A1" s="34"/>
      <c r="B1" s="34"/>
      <c r="C1" s="34"/>
      <c r="D1" s="34"/>
      <c r="E1" s="34"/>
      <c r="F1" s="34"/>
      <c r="G1" s="34"/>
      <c r="H1" s="34"/>
      <c r="I1" s="34"/>
      <c r="J1" s="34"/>
      <c r="K1" s="34"/>
      <c r="L1" s="34"/>
      <c r="M1" s="34"/>
      <c r="N1" s="34"/>
      <c r="O1" s="34"/>
      <c r="P1" s="34"/>
      <c r="Q1" s="34"/>
      <c r="R1" s="34"/>
      <c r="S1" s="34"/>
      <c r="T1" s="34"/>
      <c r="U1" s="34"/>
      <c r="V1" s="34"/>
    </row>
    <row r="2" spans="1:22">
      <c r="A2" s="34"/>
      <c r="B2" s="89" t="s">
        <v>339</v>
      </c>
      <c r="C2" s="34"/>
      <c r="D2" s="34"/>
      <c r="E2" s="34"/>
      <c r="F2" s="34"/>
      <c r="G2" s="34"/>
      <c r="H2" s="34"/>
      <c r="I2" s="34"/>
      <c r="J2" s="34"/>
      <c r="K2" s="34"/>
      <c r="L2" s="34"/>
      <c r="M2" s="34"/>
      <c r="N2" s="34"/>
      <c r="O2" s="34"/>
      <c r="P2" s="34"/>
      <c r="Q2" s="34"/>
      <c r="R2" s="34"/>
      <c r="S2" s="34"/>
      <c r="T2" s="34"/>
      <c r="U2" s="34"/>
      <c r="V2" s="34"/>
    </row>
    <row r="3" spans="1:22" ht="15.75" customHeight="1">
      <c r="A3" s="34"/>
      <c r="B3" s="102" t="s">
        <v>340</v>
      </c>
      <c r="C3" s="34"/>
      <c r="D3" s="34"/>
      <c r="E3" s="34"/>
      <c r="F3" s="34"/>
      <c r="G3" s="34"/>
      <c r="H3" s="34"/>
      <c r="I3" s="34"/>
      <c r="J3" s="34"/>
      <c r="K3" s="34"/>
      <c r="L3" s="34"/>
      <c r="M3" s="34"/>
      <c r="N3" s="34"/>
      <c r="O3" s="34"/>
      <c r="P3" s="34"/>
      <c r="Q3" s="34"/>
      <c r="R3" s="34"/>
      <c r="S3" s="34"/>
      <c r="T3" s="34"/>
      <c r="U3" s="34"/>
      <c r="V3" s="34"/>
    </row>
    <row r="4" spans="1:22" ht="15.75" customHeight="1">
      <c r="A4" s="34"/>
      <c r="B4" s="34"/>
      <c r="C4" s="34"/>
      <c r="D4" s="34"/>
      <c r="E4" s="34"/>
      <c r="F4" s="34"/>
      <c r="G4" s="34"/>
      <c r="H4" s="34"/>
      <c r="I4" s="34"/>
      <c r="J4" s="34"/>
      <c r="K4" s="34"/>
      <c r="L4" s="34"/>
      <c r="M4" s="34"/>
      <c r="N4" s="34"/>
      <c r="O4" s="34"/>
      <c r="P4" s="34"/>
      <c r="Q4" s="34"/>
      <c r="R4" s="34"/>
      <c r="S4" s="34"/>
      <c r="T4" s="34"/>
      <c r="U4" s="34"/>
      <c r="V4" s="34"/>
    </row>
    <row r="5" spans="1:22" ht="15.75" customHeight="1">
      <c r="A5" s="34"/>
      <c r="B5" s="103" t="s">
        <v>341</v>
      </c>
      <c r="C5" s="103" t="s">
        <v>283</v>
      </c>
      <c r="D5" s="103" t="s">
        <v>342</v>
      </c>
      <c r="E5" s="103" t="s">
        <v>343</v>
      </c>
      <c r="F5" s="104" t="s">
        <v>344</v>
      </c>
      <c r="G5" s="104" t="s">
        <v>345</v>
      </c>
      <c r="H5" s="104" t="s">
        <v>346</v>
      </c>
      <c r="I5" s="104" t="s">
        <v>347</v>
      </c>
      <c r="J5" s="104" t="s">
        <v>107</v>
      </c>
      <c r="K5" s="104" t="s">
        <v>348</v>
      </c>
      <c r="L5" s="104" t="s">
        <v>349</v>
      </c>
      <c r="M5" s="104" t="s">
        <v>350</v>
      </c>
      <c r="N5" s="104" t="s">
        <v>351</v>
      </c>
      <c r="O5" s="104" t="s">
        <v>352</v>
      </c>
      <c r="P5" s="104" t="s">
        <v>353</v>
      </c>
      <c r="Q5" s="104" t="s">
        <v>354</v>
      </c>
      <c r="R5" s="104" t="s">
        <v>355</v>
      </c>
      <c r="S5" s="104" t="s">
        <v>356</v>
      </c>
      <c r="T5" s="104" t="s">
        <v>357</v>
      </c>
      <c r="U5" s="104" t="s">
        <v>358</v>
      </c>
      <c r="V5" s="34"/>
    </row>
    <row r="6" spans="1:22" ht="15.75" customHeight="1">
      <c r="A6" s="105"/>
      <c r="B6" s="105"/>
      <c r="C6" s="105"/>
      <c r="D6" s="105"/>
      <c r="E6" s="105"/>
      <c r="F6" s="105"/>
      <c r="G6" s="105"/>
      <c r="H6" s="105"/>
      <c r="I6" s="105"/>
      <c r="J6" s="105"/>
      <c r="K6" s="105"/>
      <c r="L6" s="105"/>
      <c r="M6" s="105"/>
      <c r="N6" s="105"/>
      <c r="O6" s="105"/>
      <c r="P6" s="105"/>
      <c r="Q6" s="105"/>
      <c r="R6" s="105"/>
      <c r="S6" s="105"/>
      <c r="T6" s="105"/>
      <c r="U6" s="105"/>
      <c r="V6" s="105"/>
    </row>
    <row r="7" spans="1:22" ht="45" customHeight="1">
      <c r="A7" s="105"/>
      <c r="B7" s="106" t="s">
        <v>359</v>
      </c>
      <c r="C7" s="107" t="s">
        <v>360</v>
      </c>
      <c r="D7" s="106" t="s">
        <v>361</v>
      </c>
      <c r="E7" s="106" t="s">
        <v>362</v>
      </c>
      <c r="F7" s="116" t="b">
        <v>1</v>
      </c>
      <c r="G7" s="116" t="b">
        <v>0</v>
      </c>
      <c r="H7" s="116" t="b">
        <v>0</v>
      </c>
      <c r="I7" s="116" t="b">
        <v>1</v>
      </c>
      <c r="J7" s="116" t="b">
        <v>0</v>
      </c>
      <c r="K7" s="116" t="b">
        <v>0</v>
      </c>
      <c r="L7" s="116" t="b">
        <v>0</v>
      </c>
      <c r="M7" s="116" t="b">
        <v>0</v>
      </c>
      <c r="N7" s="116" t="b">
        <v>0</v>
      </c>
      <c r="O7" s="116" t="b">
        <v>0</v>
      </c>
      <c r="P7" s="116" t="b">
        <v>0</v>
      </c>
      <c r="Q7" s="116" t="b">
        <v>0</v>
      </c>
      <c r="R7" s="116" t="b">
        <v>0</v>
      </c>
      <c r="S7" s="116" t="b">
        <v>0</v>
      </c>
      <c r="T7" s="116" t="b">
        <v>0</v>
      </c>
      <c r="U7" s="116" t="b">
        <v>0</v>
      </c>
      <c r="V7" s="105"/>
    </row>
    <row r="8" spans="1:22" ht="45" customHeight="1">
      <c r="A8" s="105"/>
      <c r="B8" s="106" t="s">
        <v>306</v>
      </c>
      <c r="C8" s="108" t="s">
        <v>363</v>
      </c>
      <c r="D8" s="106" t="s">
        <v>361</v>
      </c>
      <c r="E8" s="106" t="s">
        <v>364</v>
      </c>
      <c r="F8" s="116" t="b">
        <v>1</v>
      </c>
      <c r="G8" s="116" t="b">
        <v>1</v>
      </c>
      <c r="H8" s="116" t="b">
        <v>0</v>
      </c>
      <c r="I8" s="116" t="b">
        <v>1</v>
      </c>
      <c r="J8" s="116" t="b">
        <v>0</v>
      </c>
      <c r="K8" s="116" t="b">
        <v>0</v>
      </c>
      <c r="L8" s="116" t="b">
        <v>0</v>
      </c>
      <c r="M8" s="116" t="b">
        <v>0</v>
      </c>
      <c r="N8" s="116" t="b">
        <v>0</v>
      </c>
      <c r="O8" s="116" t="b">
        <v>0</v>
      </c>
      <c r="P8" s="116" t="b">
        <v>0</v>
      </c>
      <c r="Q8" s="116" t="b">
        <v>0</v>
      </c>
      <c r="R8" s="116" t="b">
        <v>0</v>
      </c>
      <c r="S8" s="116" t="b">
        <v>0</v>
      </c>
      <c r="T8" s="116" t="b">
        <v>0</v>
      </c>
      <c r="U8" s="116" t="b">
        <v>0</v>
      </c>
      <c r="V8" s="105"/>
    </row>
    <row r="9" spans="1:22" ht="45" customHeight="1">
      <c r="A9" s="105"/>
      <c r="B9" s="106" t="s">
        <v>365</v>
      </c>
      <c r="C9" s="109" t="s">
        <v>366</v>
      </c>
      <c r="D9" s="106" t="s">
        <v>361</v>
      </c>
      <c r="E9" s="106" t="s">
        <v>364</v>
      </c>
      <c r="F9" s="116" t="b">
        <v>1</v>
      </c>
      <c r="G9" s="116" t="b">
        <v>1</v>
      </c>
      <c r="H9" s="116" t="b">
        <v>0</v>
      </c>
      <c r="I9" s="116" t="b">
        <v>1</v>
      </c>
      <c r="J9" s="116" t="b">
        <v>1</v>
      </c>
      <c r="K9" s="116" t="b">
        <v>1</v>
      </c>
      <c r="L9" s="116" t="b">
        <v>0</v>
      </c>
      <c r="M9" s="116" t="b">
        <v>0</v>
      </c>
      <c r="N9" s="116" t="b">
        <v>0</v>
      </c>
      <c r="O9" s="116" t="b">
        <v>0</v>
      </c>
      <c r="P9" s="116" t="b">
        <v>0</v>
      </c>
      <c r="Q9" s="116" t="b">
        <v>0</v>
      </c>
      <c r="R9" s="116" t="b">
        <v>0</v>
      </c>
      <c r="S9" s="116" t="b">
        <v>0</v>
      </c>
      <c r="T9" s="116" t="b">
        <v>0</v>
      </c>
      <c r="U9" s="116" t="b">
        <v>0</v>
      </c>
      <c r="V9" s="105"/>
    </row>
    <row r="10" spans="1:22" ht="45" customHeight="1">
      <c r="A10" s="105"/>
      <c r="B10" s="106" t="s">
        <v>367</v>
      </c>
      <c r="C10" s="107" t="s">
        <v>368</v>
      </c>
      <c r="D10" s="106" t="s">
        <v>369</v>
      </c>
      <c r="E10" s="106" t="s">
        <v>364</v>
      </c>
      <c r="F10" s="116" t="b">
        <v>1</v>
      </c>
      <c r="G10" s="116" t="b">
        <v>1</v>
      </c>
      <c r="H10" s="116" t="b">
        <v>0</v>
      </c>
      <c r="I10" s="116" t="b">
        <v>1</v>
      </c>
      <c r="J10" s="116" t="b">
        <v>1</v>
      </c>
      <c r="K10" s="116" t="b">
        <v>0</v>
      </c>
      <c r="L10" s="116" t="b">
        <v>0</v>
      </c>
      <c r="M10" s="116" t="b">
        <v>0</v>
      </c>
      <c r="N10" s="116" t="b">
        <v>0</v>
      </c>
      <c r="O10" s="116" t="b">
        <v>0</v>
      </c>
      <c r="P10" s="116" t="b">
        <v>0</v>
      </c>
      <c r="Q10" s="116" t="b">
        <v>0</v>
      </c>
      <c r="R10" s="116" t="b">
        <v>0</v>
      </c>
      <c r="S10" s="116" t="b">
        <v>0</v>
      </c>
      <c r="T10" s="116" t="b">
        <v>0</v>
      </c>
      <c r="U10" s="116" t="b">
        <v>0</v>
      </c>
      <c r="V10" s="105"/>
    </row>
    <row r="11" spans="1:22" ht="45" customHeight="1">
      <c r="A11" s="105"/>
      <c r="B11" s="106" t="s">
        <v>370</v>
      </c>
      <c r="C11" s="107" t="s">
        <v>371</v>
      </c>
      <c r="D11" s="106" t="s">
        <v>369</v>
      </c>
      <c r="E11" s="110" t="s">
        <v>364</v>
      </c>
      <c r="F11" s="116" t="b">
        <v>1</v>
      </c>
      <c r="G11" s="116" t="b">
        <v>1</v>
      </c>
      <c r="H11" s="116" t="b">
        <v>0</v>
      </c>
      <c r="I11" s="116" t="b">
        <v>1</v>
      </c>
      <c r="J11" s="116" t="b">
        <v>1</v>
      </c>
      <c r="K11" s="116" t="b">
        <v>0</v>
      </c>
      <c r="L11" s="116" t="b">
        <v>0</v>
      </c>
      <c r="M11" s="116" t="b">
        <v>0</v>
      </c>
      <c r="N11" s="116" t="b">
        <v>0</v>
      </c>
      <c r="O11" s="116" t="b">
        <v>0</v>
      </c>
      <c r="P11" s="116" t="b">
        <v>0</v>
      </c>
      <c r="Q11" s="116" t="b">
        <v>0</v>
      </c>
      <c r="R11" s="116" t="b">
        <v>0</v>
      </c>
      <c r="S11" s="116" t="b">
        <v>1</v>
      </c>
      <c r="T11" s="116" t="b">
        <v>1</v>
      </c>
      <c r="U11" s="116" t="b">
        <v>0</v>
      </c>
      <c r="V11" s="105"/>
    </row>
    <row r="12" spans="1:22" ht="45" customHeight="1">
      <c r="A12" s="105"/>
      <c r="B12" s="106" t="s">
        <v>372</v>
      </c>
      <c r="C12" s="107" t="s">
        <v>373</v>
      </c>
      <c r="D12" s="106" t="s">
        <v>369</v>
      </c>
      <c r="E12" s="110" t="s">
        <v>374</v>
      </c>
      <c r="F12" s="116" t="b">
        <v>1</v>
      </c>
      <c r="G12" s="116" t="b">
        <v>1</v>
      </c>
      <c r="H12" s="116" t="b">
        <v>0</v>
      </c>
      <c r="I12" s="116" t="b">
        <v>1</v>
      </c>
      <c r="J12" s="116" t="b">
        <v>1</v>
      </c>
      <c r="K12" s="116" t="b">
        <v>1</v>
      </c>
      <c r="L12" s="116" t="b">
        <v>0</v>
      </c>
      <c r="M12" s="116" t="b">
        <v>0</v>
      </c>
      <c r="N12" s="116" t="b">
        <v>0</v>
      </c>
      <c r="O12" s="116" t="b">
        <v>0</v>
      </c>
      <c r="P12" s="116" t="b">
        <v>0</v>
      </c>
      <c r="Q12" s="116" t="b">
        <v>0</v>
      </c>
      <c r="R12" s="116" t="b">
        <v>0</v>
      </c>
      <c r="S12" s="116" t="b">
        <v>0</v>
      </c>
      <c r="T12" s="116" t="b">
        <v>1</v>
      </c>
      <c r="U12" s="116" t="b">
        <v>0</v>
      </c>
      <c r="V12" s="105"/>
    </row>
    <row r="13" spans="1:22" ht="45" customHeight="1">
      <c r="A13" s="105"/>
      <c r="B13" s="106" t="s">
        <v>375</v>
      </c>
      <c r="C13" s="107" t="s">
        <v>312</v>
      </c>
      <c r="D13" s="106" t="s">
        <v>369</v>
      </c>
      <c r="E13" s="110" t="s">
        <v>376</v>
      </c>
      <c r="F13" s="116" t="b">
        <v>1</v>
      </c>
      <c r="G13" s="116" t="b">
        <v>1</v>
      </c>
      <c r="H13" s="116" t="b">
        <v>1</v>
      </c>
      <c r="I13" s="116" t="b">
        <v>1</v>
      </c>
      <c r="J13" s="116" t="b">
        <v>1</v>
      </c>
      <c r="K13" s="116" t="b">
        <v>0</v>
      </c>
      <c r="L13" s="116" t="b">
        <v>1</v>
      </c>
      <c r="M13" s="116" t="b">
        <v>0</v>
      </c>
      <c r="N13" s="116" t="b">
        <v>0</v>
      </c>
      <c r="O13" s="116" t="b">
        <v>1</v>
      </c>
      <c r="P13" s="116" t="b">
        <v>1</v>
      </c>
      <c r="Q13" s="116" t="b">
        <v>0</v>
      </c>
      <c r="R13" s="116" t="b">
        <v>0</v>
      </c>
      <c r="S13" s="116" t="b">
        <v>0</v>
      </c>
      <c r="T13" s="116" t="b">
        <v>1</v>
      </c>
      <c r="U13" s="116" t="b">
        <v>0</v>
      </c>
      <c r="V13" s="105"/>
    </row>
    <row r="14" spans="1:22" ht="45" customHeight="1">
      <c r="A14" s="105"/>
      <c r="B14" s="106" t="s">
        <v>377</v>
      </c>
      <c r="C14" s="107" t="s">
        <v>378</v>
      </c>
      <c r="D14" s="106" t="s">
        <v>369</v>
      </c>
      <c r="E14" s="106" t="s">
        <v>364</v>
      </c>
      <c r="F14" s="116" t="b">
        <v>1</v>
      </c>
      <c r="G14" s="116" t="b">
        <v>0</v>
      </c>
      <c r="H14" s="116" t="b">
        <v>0</v>
      </c>
      <c r="I14" s="116" t="b">
        <v>1</v>
      </c>
      <c r="J14" s="116" t="b">
        <v>0</v>
      </c>
      <c r="K14" s="116" t="b">
        <v>0</v>
      </c>
      <c r="L14" s="116" t="b">
        <v>0</v>
      </c>
      <c r="M14" s="116" t="b">
        <v>1</v>
      </c>
      <c r="N14" s="116" t="b">
        <v>0</v>
      </c>
      <c r="O14" s="116" t="b">
        <v>0</v>
      </c>
      <c r="P14" s="116" t="b">
        <v>0</v>
      </c>
      <c r="Q14" s="116" t="b">
        <v>0</v>
      </c>
      <c r="R14" s="116" t="b">
        <v>0</v>
      </c>
      <c r="S14" s="116" t="b">
        <v>0</v>
      </c>
      <c r="T14" s="116" t="b">
        <v>0</v>
      </c>
      <c r="U14" s="116" t="b">
        <v>0</v>
      </c>
      <c r="V14" s="105"/>
    </row>
    <row r="15" spans="1:22" ht="45" customHeight="1">
      <c r="A15" s="105"/>
      <c r="B15" s="106" t="s">
        <v>379</v>
      </c>
      <c r="C15" s="109" t="s">
        <v>380</v>
      </c>
      <c r="D15" s="106" t="s">
        <v>369</v>
      </c>
      <c r="E15" s="106" t="s">
        <v>364</v>
      </c>
      <c r="F15" s="116" t="b">
        <v>1</v>
      </c>
      <c r="G15" s="116" t="b">
        <v>1</v>
      </c>
      <c r="H15" s="116" t="b">
        <v>0</v>
      </c>
      <c r="I15" s="116" t="b">
        <v>1</v>
      </c>
      <c r="J15" s="116" t="b">
        <v>1</v>
      </c>
      <c r="K15" s="116" t="b">
        <v>0</v>
      </c>
      <c r="L15" s="116" t="b">
        <v>0</v>
      </c>
      <c r="M15" s="116" t="b">
        <v>0</v>
      </c>
      <c r="N15" s="116" t="b">
        <v>0</v>
      </c>
      <c r="O15" s="116" t="b">
        <v>0</v>
      </c>
      <c r="P15" s="116" t="b">
        <v>0</v>
      </c>
      <c r="Q15" s="116" t="b">
        <v>0</v>
      </c>
      <c r="R15" s="116" t="b">
        <v>0</v>
      </c>
      <c r="S15" s="116" t="b">
        <v>0</v>
      </c>
      <c r="T15" s="116" t="b">
        <v>0</v>
      </c>
      <c r="U15" s="116" t="b">
        <v>1</v>
      </c>
      <c r="V15" s="105"/>
    </row>
    <row r="16" spans="1:22" ht="45" customHeight="1">
      <c r="A16" s="105"/>
      <c r="B16" s="106" t="s">
        <v>321</v>
      </c>
      <c r="C16" s="107" t="s">
        <v>381</v>
      </c>
      <c r="D16" s="106" t="s">
        <v>369</v>
      </c>
      <c r="E16" s="106" t="s">
        <v>364</v>
      </c>
      <c r="F16" s="116" t="b">
        <v>1</v>
      </c>
      <c r="G16" s="116" t="b">
        <v>1</v>
      </c>
      <c r="H16" s="116" t="b">
        <v>0</v>
      </c>
      <c r="I16" s="116" t="b">
        <v>0</v>
      </c>
      <c r="J16" s="116" t="b">
        <v>0</v>
      </c>
      <c r="K16" s="116" t="b">
        <v>0</v>
      </c>
      <c r="L16" s="116" t="b">
        <v>0</v>
      </c>
      <c r="M16" s="116" t="b">
        <v>0</v>
      </c>
      <c r="N16" s="116" t="b">
        <v>0</v>
      </c>
      <c r="O16" s="116" t="b">
        <v>0</v>
      </c>
      <c r="P16" s="116" t="b">
        <v>0</v>
      </c>
      <c r="Q16" s="116" t="b">
        <v>1</v>
      </c>
      <c r="R16" s="116" t="b">
        <v>0</v>
      </c>
      <c r="S16" s="116" t="b">
        <v>0</v>
      </c>
      <c r="T16" s="116" t="b">
        <v>0</v>
      </c>
      <c r="U16" s="116" t="b">
        <v>0</v>
      </c>
      <c r="V16" s="105"/>
    </row>
    <row r="17" spans="1:22" ht="45" customHeight="1">
      <c r="A17" s="105"/>
      <c r="B17" s="106" t="s">
        <v>324</v>
      </c>
      <c r="C17" s="107" t="s">
        <v>326</v>
      </c>
      <c r="D17" s="106" t="s">
        <v>382</v>
      </c>
      <c r="E17" s="106" t="s">
        <v>364</v>
      </c>
      <c r="F17" s="116" t="b">
        <v>0</v>
      </c>
      <c r="G17" s="116" t="b">
        <v>0</v>
      </c>
      <c r="H17" s="116" t="b">
        <v>0</v>
      </c>
      <c r="I17" s="116" t="b">
        <v>0</v>
      </c>
      <c r="J17" s="116" t="b">
        <v>0</v>
      </c>
      <c r="K17" s="116" t="b">
        <v>0</v>
      </c>
      <c r="L17" s="116" t="b">
        <v>0</v>
      </c>
      <c r="M17" s="116" t="b">
        <v>0</v>
      </c>
      <c r="N17" s="116" t="b">
        <v>0</v>
      </c>
      <c r="O17" s="116" t="b">
        <v>0</v>
      </c>
      <c r="P17" s="116" t="b">
        <v>0</v>
      </c>
      <c r="Q17" s="116" t="b">
        <v>0</v>
      </c>
      <c r="R17" s="116" t="b">
        <v>1</v>
      </c>
      <c r="S17" s="116" t="b">
        <v>0</v>
      </c>
      <c r="T17" s="116" t="b">
        <v>0</v>
      </c>
      <c r="U17" s="116" t="b">
        <v>0</v>
      </c>
      <c r="V17" s="105"/>
    </row>
    <row r="18" spans="1:22" ht="45" customHeight="1">
      <c r="A18" s="105"/>
      <c r="B18" s="106" t="s">
        <v>327</v>
      </c>
      <c r="C18" s="107" t="s">
        <v>383</v>
      </c>
      <c r="D18" s="106" t="s">
        <v>382</v>
      </c>
      <c r="E18" s="106" t="s">
        <v>364</v>
      </c>
      <c r="F18" s="116" t="b">
        <v>0</v>
      </c>
      <c r="G18" s="116" t="b">
        <v>0</v>
      </c>
      <c r="H18" s="116" t="b">
        <v>0</v>
      </c>
      <c r="I18" s="116" t="b">
        <v>0</v>
      </c>
      <c r="J18" s="116" t="b">
        <v>0</v>
      </c>
      <c r="K18" s="116" t="b">
        <v>0</v>
      </c>
      <c r="L18" s="116" t="b">
        <v>0</v>
      </c>
      <c r="M18" s="116" t="b">
        <v>0</v>
      </c>
      <c r="N18" s="116" t="b">
        <v>0</v>
      </c>
      <c r="O18" s="116" t="b">
        <v>0</v>
      </c>
      <c r="P18" s="116" t="b">
        <v>0</v>
      </c>
      <c r="Q18" s="116" t="b">
        <v>0</v>
      </c>
      <c r="R18" s="116" t="b">
        <v>1</v>
      </c>
      <c r="S18" s="116" t="b">
        <v>0</v>
      </c>
      <c r="T18" s="116" t="b">
        <v>0</v>
      </c>
      <c r="U18" s="116" t="b">
        <v>0</v>
      </c>
      <c r="V18" s="105"/>
    </row>
    <row r="19" spans="1:22" ht="45" customHeight="1">
      <c r="A19" s="105"/>
      <c r="B19" s="106" t="s">
        <v>384</v>
      </c>
      <c r="C19" s="107" t="s">
        <v>385</v>
      </c>
      <c r="D19" s="106" t="s">
        <v>382</v>
      </c>
      <c r="E19" s="106" t="s">
        <v>364</v>
      </c>
      <c r="F19" s="116" t="b">
        <v>0</v>
      </c>
      <c r="G19" s="116" t="b">
        <v>0</v>
      </c>
      <c r="H19" s="116" t="b">
        <v>0</v>
      </c>
      <c r="I19" s="116" t="b">
        <v>0</v>
      </c>
      <c r="J19" s="116" t="b">
        <v>0</v>
      </c>
      <c r="K19" s="116" t="b">
        <v>0</v>
      </c>
      <c r="L19" s="116" t="b">
        <v>0</v>
      </c>
      <c r="M19" s="116" t="b">
        <v>0</v>
      </c>
      <c r="N19" s="116" t="b">
        <v>0</v>
      </c>
      <c r="O19" s="116" t="b">
        <v>0</v>
      </c>
      <c r="P19" s="116" t="b">
        <v>0</v>
      </c>
      <c r="Q19" s="116" t="b">
        <v>0</v>
      </c>
      <c r="R19" s="116" t="b">
        <v>0</v>
      </c>
      <c r="S19" s="116" t="b">
        <v>0</v>
      </c>
      <c r="T19" s="116" t="b">
        <v>1</v>
      </c>
      <c r="U19" s="116" t="b">
        <v>0</v>
      </c>
      <c r="V19" s="105"/>
    </row>
    <row r="20" spans="1:22" ht="45" customHeight="1">
      <c r="A20" s="34"/>
      <c r="B20" s="106" t="s">
        <v>386</v>
      </c>
      <c r="C20" s="111" t="s">
        <v>317</v>
      </c>
      <c r="D20" s="106" t="s">
        <v>387</v>
      </c>
      <c r="E20" s="106" t="s">
        <v>388</v>
      </c>
      <c r="F20" s="116" t="b">
        <v>0</v>
      </c>
      <c r="G20" s="116" t="b">
        <v>0</v>
      </c>
      <c r="H20" s="116" t="b">
        <v>0</v>
      </c>
      <c r="I20" s="116" t="b">
        <v>0</v>
      </c>
      <c r="J20" s="116" t="b">
        <v>0</v>
      </c>
      <c r="K20" s="116" t="b">
        <v>0</v>
      </c>
      <c r="L20" s="116" t="b">
        <v>0</v>
      </c>
      <c r="M20" s="116" t="b">
        <v>0</v>
      </c>
      <c r="N20" s="116" t="b">
        <v>0</v>
      </c>
      <c r="O20" s="116" t="b">
        <v>0</v>
      </c>
      <c r="P20" s="116" t="b">
        <v>0</v>
      </c>
      <c r="Q20" s="116" t="b">
        <v>0</v>
      </c>
      <c r="R20" s="116" t="b">
        <v>0</v>
      </c>
      <c r="S20" s="116" t="b">
        <v>0</v>
      </c>
      <c r="T20" s="116" t="b">
        <v>0</v>
      </c>
      <c r="U20" s="116" t="b">
        <v>0</v>
      </c>
      <c r="V20" s="105"/>
    </row>
    <row r="21" spans="1:22" ht="15.75" customHeight="1">
      <c r="A21" s="34"/>
      <c r="B21" s="34"/>
      <c r="C21" s="34"/>
      <c r="D21" s="34"/>
      <c r="E21" s="34"/>
      <c r="F21" s="34"/>
      <c r="G21" s="34"/>
      <c r="H21" s="34"/>
      <c r="I21" s="34"/>
      <c r="J21" s="34"/>
      <c r="K21" s="34"/>
      <c r="L21" s="34"/>
      <c r="M21" s="34"/>
      <c r="N21" s="34"/>
      <c r="O21" s="34"/>
      <c r="P21" s="34"/>
      <c r="Q21" s="34"/>
      <c r="R21" s="34"/>
      <c r="S21" s="34"/>
      <c r="T21" s="34"/>
      <c r="U21" s="34"/>
      <c r="V21" s="34"/>
    </row>
  </sheetData>
  <hyperlinks>
    <hyperlink ref="C7" r:id="rId1" xr:uid="{00000000-0004-0000-0600-000000000000}"/>
    <hyperlink ref="C8" r:id="rId2" xr:uid="{00000000-0004-0000-0600-000001000000}"/>
    <hyperlink ref="C9" r:id="rId3" xr:uid="{00000000-0004-0000-0600-000002000000}"/>
    <hyperlink ref="C10" r:id="rId4" xr:uid="{00000000-0004-0000-0600-000003000000}"/>
    <hyperlink ref="C11" r:id="rId5" xr:uid="{00000000-0004-0000-0600-000004000000}"/>
    <hyperlink ref="C12" r:id="rId6" xr:uid="{00000000-0004-0000-0600-000005000000}"/>
    <hyperlink ref="C13" r:id="rId7" xr:uid="{00000000-0004-0000-0600-000006000000}"/>
    <hyperlink ref="C14" r:id="rId8" xr:uid="{00000000-0004-0000-0600-000008000000}"/>
    <hyperlink ref="C15" r:id="rId9" xr:uid="{00000000-0004-0000-0600-000009000000}"/>
    <hyperlink ref="C16" r:id="rId10" xr:uid="{00000000-0004-0000-0600-00000A000000}"/>
    <hyperlink ref="C17" r:id="rId11" xr:uid="{00000000-0004-0000-0600-00000B000000}"/>
    <hyperlink ref="C18" r:id="rId12" xr:uid="{00000000-0004-0000-0600-00000C000000}"/>
    <hyperlink ref="C19" r:id="rId13" xr:uid="{00000000-0004-0000-0600-00000D000000}"/>
    <hyperlink ref="C20" r:id="rId14" xr:uid="{00000000-0004-0000-0600-00000E000000}"/>
  </hyperlinks>
  <pageMargins left="0.7" right="0.7" top="0.75" bottom="0.75" header="0.3" footer="0.3"/>
  <tableParts count="1">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C42"/>
  <sheetViews>
    <sheetView showGridLines="0" workbookViewId="0"/>
  </sheetViews>
  <sheetFormatPr baseColWidth="10" defaultColWidth="12.6640625" defaultRowHeight="15.75" customHeight="1"/>
  <cols>
    <col min="1" max="1" width="5.5" customWidth="1"/>
    <col min="2" max="2" width="31.6640625" customWidth="1"/>
    <col min="3" max="3" width="80.1640625" customWidth="1"/>
  </cols>
  <sheetData>
    <row r="2" spans="2:3">
      <c r="B2" s="2" t="s">
        <v>40</v>
      </c>
    </row>
    <row r="3" spans="2:3" ht="15.75" customHeight="1">
      <c r="B3" s="17" t="s">
        <v>389</v>
      </c>
    </row>
    <row r="4" spans="2:3" ht="15.75" customHeight="1">
      <c r="B4" s="12"/>
    </row>
    <row r="5" spans="2:3" ht="15.75" customHeight="1">
      <c r="B5" s="19" t="s">
        <v>390</v>
      </c>
      <c r="C5" s="19" t="s">
        <v>391</v>
      </c>
    </row>
    <row r="6" spans="2:3" ht="15.75" customHeight="1">
      <c r="B6" s="10"/>
      <c r="C6" s="10"/>
    </row>
    <row r="7" spans="2:3" ht="15.75" customHeight="1">
      <c r="B7" s="10" t="s">
        <v>392</v>
      </c>
      <c r="C7" s="10" t="s">
        <v>393</v>
      </c>
    </row>
    <row r="8" spans="2:3" ht="15.75" customHeight="1">
      <c r="B8" s="10" t="s">
        <v>394</v>
      </c>
      <c r="C8" s="10" t="s">
        <v>395</v>
      </c>
    </row>
    <row r="9" spans="2:3" ht="15.75" customHeight="1">
      <c r="B9" s="10" t="s">
        <v>396</v>
      </c>
      <c r="C9" s="10" t="s">
        <v>397</v>
      </c>
    </row>
    <row r="10" spans="2:3" ht="15.75" customHeight="1">
      <c r="B10" s="10" t="s">
        <v>398</v>
      </c>
      <c r="C10" s="10" t="s">
        <v>399</v>
      </c>
    </row>
    <row r="11" spans="2:3" ht="15.75" customHeight="1">
      <c r="B11" s="10" t="s">
        <v>184</v>
      </c>
      <c r="C11" s="10" t="s">
        <v>400</v>
      </c>
    </row>
    <row r="12" spans="2:3" ht="15.75" customHeight="1">
      <c r="B12" s="10" t="s">
        <v>179</v>
      </c>
      <c r="C12" s="10" t="s">
        <v>401</v>
      </c>
    </row>
    <row r="13" spans="2:3" ht="15.75" customHeight="1">
      <c r="B13" s="10" t="s">
        <v>402</v>
      </c>
      <c r="C13" s="10" t="s">
        <v>403</v>
      </c>
    </row>
    <row r="14" spans="2:3" ht="15.75" customHeight="1">
      <c r="B14" s="10" t="s">
        <v>195</v>
      </c>
      <c r="C14" s="10" t="s">
        <v>404</v>
      </c>
    </row>
    <row r="15" spans="2:3" ht="15.75" customHeight="1">
      <c r="B15" s="10" t="s">
        <v>196</v>
      </c>
      <c r="C15" s="10" t="s">
        <v>405</v>
      </c>
    </row>
    <row r="16" spans="2:3" ht="15.75" customHeight="1">
      <c r="B16" s="10" t="s">
        <v>167</v>
      </c>
      <c r="C16" s="10" t="s">
        <v>406</v>
      </c>
    </row>
    <row r="17" spans="2:3" ht="15.75" customHeight="1">
      <c r="B17" s="10" t="s">
        <v>407</v>
      </c>
      <c r="C17" s="10" t="s">
        <v>408</v>
      </c>
    </row>
    <row r="18" spans="2:3" ht="15.75" customHeight="1">
      <c r="B18" s="106" t="s">
        <v>144</v>
      </c>
      <c r="C18" s="10" t="s">
        <v>409</v>
      </c>
    </row>
    <row r="19" spans="2:3" ht="15.75" customHeight="1">
      <c r="B19" s="106" t="s">
        <v>198</v>
      </c>
      <c r="C19" s="10" t="s">
        <v>410</v>
      </c>
    </row>
    <row r="20" spans="2:3" ht="15.75" customHeight="1">
      <c r="B20" s="106" t="s">
        <v>199</v>
      </c>
      <c r="C20" s="10" t="s">
        <v>411</v>
      </c>
    </row>
    <row r="21" spans="2:3" ht="15.75" customHeight="1">
      <c r="B21" s="106" t="s">
        <v>146</v>
      </c>
      <c r="C21" s="10" t="s">
        <v>412</v>
      </c>
    </row>
    <row r="22" spans="2:3" ht="15.75" customHeight="1">
      <c r="B22" s="106" t="s">
        <v>413</v>
      </c>
      <c r="C22" s="10" t="s">
        <v>414</v>
      </c>
    </row>
    <row r="23" spans="2:3" ht="15.75" customHeight="1">
      <c r="B23" s="106" t="s">
        <v>415</v>
      </c>
      <c r="C23" s="10" t="s">
        <v>416</v>
      </c>
    </row>
    <row r="24" spans="2:3" ht="15.75" customHeight="1">
      <c r="B24" s="106" t="s">
        <v>417</v>
      </c>
      <c r="C24" s="10" t="s">
        <v>418</v>
      </c>
    </row>
    <row r="25" spans="2:3" ht="15.75" customHeight="1">
      <c r="B25" s="106" t="s">
        <v>148</v>
      </c>
      <c r="C25" s="10" t="s">
        <v>419</v>
      </c>
    </row>
    <row r="26" spans="2:3" ht="15.75" customHeight="1">
      <c r="B26" s="106" t="s">
        <v>200</v>
      </c>
      <c r="C26" s="10" t="s">
        <v>420</v>
      </c>
    </row>
    <row r="27" spans="2:3" ht="15.75" customHeight="1">
      <c r="B27" s="106" t="s">
        <v>203</v>
      </c>
      <c r="C27" s="10" t="s">
        <v>204</v>
      </c>
    </row>
    <row r="28" spans="2:3" ht="15.75" customHeight="1">
      <c r="B28" s="106" t="s">
        <v>205</v>
      </c>
      <c r="C28" s="10" t="s">
        <v>421</v>
      </c>
    </row>
    <row r="29" spans="2:3" ht="15.75" customHeight="1">
      <c r="B29" s="106" t="s">
        <v>207</v>
      </c>
      <c r="C29" s="10" t="s">
        <v>208</v>
      </c>
    </row>
    <row r="30" spans="2:3" ht="15.75" customHeight="1">
      <c r="B30" s="106" t="s">
        <v>215</v>
      </c>
      <c r="C30" s="10" t="s">
        <v>422</v>
      </c>
    </row>
    <row r="31" spans="2:3" ht="15.75" customHeight="1">
      <c r="B31" s="106" t="s">
        <v>216</v>
      </c>
      <c r="C31" s="10" t="s">
        <v>423</v>
      </c>
    </row>
    <row r="32" spans="2:3" ht="15.75" customHeight="1">
      <c r="B32" s="106" t="s">
        <v>217</v>
      </c>
      <c r="C32" s="10" t="s">
        <v>424</v>
      </c>
    </row>
    <row r="33" spans="2:3" ht="15.75" customHeight="1">
      <c r="B33" s="106" t="s">
        <v>218</v>
      </c>
      <c r="C33" s="10" t="s">
        <v>425</v>
      </c>
    </row>
    <row r="34" spans="2:3" ht="15.75" customHeight="1">
      <c r="B34" s="106" t="s">
        <v>222</v>
      </c>
      <c r="C34" s="10" t="s">
        <v>426</v>
      </c>
    </row>
    <row r="35" spans="2:3" ht="15.75" customHeight="1">
      <c r="B35" s="106" t="s">
        <v>150</v>
      </c>
      <c r="C35" s="10" t="s">
        <v>427</v>
      </c>
    </row>
    <row r="36" spans="2:3" ht="15.75" customHeight="1">
      <c r="B36" s="106" t="s">
        <v>154</v>
      </c>
      <c r="C36" s="10" t="s">
        <v>428</v>
      </c>
    </row>
    <row r="37" spans="2:3" ht="15.75" customHeight="1">
      <c r="B37" s="106" t="s">
        <v>224</v>
      </c>
      <c r="C37" s="10" t="s">
        <v>429</v>
      </c>
    </row>
    <row r="38" spans="2:3" ht="15.75" customHeight="1">
      <c r="B38" s="106" t="s">
        <v>152</v>
      </c>
      <c r="C38" s="10" t="s">
        <v>430</v>
      </c>
    </row>
    <row r="39" spans="2:3" ht="15.75" customHeight="1">
      <c r="B39" s="106" t="s">
        <v>156</v>
      </c>
      <c r="C39" s="10" t="s">
        <v>431</v>
      </c>
    </row>
    <row r="40" spans="2:3" ht="15.75" customHeight="1">
      <c r="B40" s="106" t="s">
        <v>225</v>
      </c>
      <c r="C40" s="10" t="s">
        <v>432</v>
      </c>
    </row>
    <row r="41" spans="2:3" ht="15.75" customHeight="1">
      <c r="B41" s="10" t="s">
        <v>433</v>
      </c>
      <c r="C41" s="10" t="s">
        <v>434</v>
      </c>
    </row>
    <row r="42" spans="2:3" ht="15.75" customHeight="1">
      <c r="B42" s="10" t="s">
        <v>435</v>
      </c>
      <c r="C42" s="10" t="s">
        <v>436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1:D26"/>
  <sheetViews>
    <sheetView showGridLines="0" workbookViewId="0">
      <selection activeCell="D13" sqref="D13"/>
    </sheetView>
  </sheetViews>
  <sheetFormatPr baseColWidth="10" defaultColWidth="12.6640625" defaultRowHeight="15.75" customHeight="1"/>
  <cols>
    <col min="1" max="1" width="5.5" customWidth="1"/>
    <col min="2" max="2" width="17.6640625" customWidth="1"/>
    <col min="3" max="3" width="16" customWidth="1"/>
    <col min="4" max="4" width="87.5" customWidth="1"/>
  </cols>
  <sheetData>
    <row r="1" spans="2:4" ht="15.75" customHeight="1">
      <c r="C1" s="112"/>
    </row>
    <row r="2" spans="2:4">
      <c r="B2" s="2" t="s">
        <v>42</v>
      </c>
      <c r="C2" s="112"/>
    </row>
    <row r="3" spans="2:4" ht="15.75" customHeight="1">
      <c r="B3" s="17" t="s">
        <v>437</v>
      </c>
      <c r="C3" s="112"/>
    </row>
    <row r="4" spans="2:4" ht="15.75" customHeight="1">
      <c r="B4" s="12"/>
      <c r="C4" s="112"/>
    </row>
    <row r="5" spans="2:4" ht="15.75" customHeight="1">
      <c r="B5" s="19" t="s">
        <v>438</v>
      </c>
      <c r="C5" s="22" t="s">
        <v>439</v>
      </c>
      <c r="D5" s="19" t="s">
        <v>391</v>
      </c>
    </row>
    <row r="6" spans="2:4" ht="15.75" customHeight="1">
      <c r="B6" s="10"/>
      <c r="C6" s="113"/>
      <c r="D6" s="10"/>
    </row>
    <row r="7" spans="2:4" s="119" customFormat="1" ht="15.75" customHeight="1">
      <c r="B7" s="117" t="s">
        <v>440</v>
      </c>
      <c r="C7" s="118">
        <v>45715</v>
      </c>
      <c r="D7" s="117" t="s">
        <v>441</v>
      </c>
    </row>
    <row r="8" spans="2:4" s="119" customFormat="1" ht="15.75" customHeight="1">
      <c r="B8" s="117" t="s">
        <v>442</v>
      </c>
      <c r="C8" s="118">
        <v>45714</v>
      </c>
      <c r="D8" s="117" t="s">
        <v>443</v>
      </c>
    </row>
    <row r="9" spans="2:4" s="119" customFormat="1" ht="15.75" customHeight="1">
      <c r="B9" s="117" t="s">
        <v>444</v>
      </c>
      <c r="C9" s="118">
        <v>45713</v>
      </c>
      <c r="D9" s="117" t="s">
        <v>445</v>
      </c>
    </row>
    <row r="10" spans="2:4" s="119" customFormat="1" ht="15.75" customHeight="1">
      <c r="B10" s="117" t="s">
        <v>446</v>
      </c>
      <c r="C10" s="118">
        <v>45712</v>
      </c>
      <c r="D10" s="117" t="s">
        <v>447</v>
      </c>
    </row>
    <row r="11" spans="2:4" s="119" customFormat="1" ht="15.75" customHeight="1">
      <c r="B11" s="117" t="s">
        <v>448</v>
      </c>
      <c r="C11" s="118">
        <v>45712</v>
      </c>
      <c r="D11" s="117" t="s">
        <v>449</v>
      </c>
    </row>
    <row r="12" spans="2:4" s="119" customFormat="1" ht="15.75" customHeight="1">
      <c r="B12" s="117" t="s">
        <v>450</v>
      </c>
      <c r="C12" s="118">
        <v>45527</v>
      </c>
      <c r="D12" s="117" t="s">
        <v>451</v>
      </c>
    </row>
    <row r="13" spans="2:4" s="119" customFormat="1" ht="15.75" customHeight="1">
      <c r="B13" s="117" t="s">
        <v>452</v>
      </c>
      <c r="C13" s="118">
        <v>45524</v>
      </c>
      <c r="D13" s="117" t="s">
        <v>453</v>
      </c>
    </row>
    <row r="14" spans="2:4" s="119" customFormat="1" ht="15.75" customHeight="1">
      <c r="B14" s="117" t="s">
        <v>454</v>
      </c>
      <c r="C14" s="118">
        <v>45356</v>
      </c>
      <c r="D14" s="117" t="s">
        <v>455</v>
      </c>
    </row>
    <row r="15" spans="2:4" s="119" customFormat="1" ht="15.75" customHeight="1">
      <c r="B15" s="117" t="s">
        <v>456</v>
      </c>
      <c r="C15" s="118">
        <v>45276</v>
      </c>
      <c r="D15" s="117" t="s">
        <v>457</v>
      </c>
    </row>
    <row r="16" spans="2:4" s="119" customFormat="1" ht="15.75" customHeight="1">
      <c r="B16" s="117" t="s">
        <v>458</v>
      </c>
      <c r="C16" s="118">
        <v>45272</v>
      </c>
      <c r="D16" s="117" t="s">
        <v>459</v>
      </c>
    </row>
    <row r="17" spans="2:4" s="119" customFormat="1" ht="15.75" customHeight="1">
      <c r="B17" s="117" t="s">
        <v>460</v>
      </c>
      <c r="C17" s="118">
        <v>45268</v>
      </c>
      <c r="D17" s="117" t="s">
        <v>461</v>
      </c>
    </row>
    <row r="18" spans="2:4" s="119" customFormat="1" ht="15.75" customHeight="1">
      <c r="B18" s="117" t="s">
        <v>462</v>
      </c>
      <c r="C18" s="118">
        <v>45266</v>
      </c>
      <c r="D18" s="117" t="s">
        <v>463</v>
      </c>
    </row>
    <row r="19" spans="2:4" s="119" customFormat="1" ht="15.75" customHeight="1">
      <c r="B19" s="117" t="s">
        <v>464</v>
      </c>
      <c r="C19" s="118">
        <v>45248</v>
      </c>
      <c r="D19" s="117" t="s">
        <v>465</v>
      </c>
    </row>
    <row r="20" spans="2:4" s="119" customFormat="1" ht="15.75" customHeight="1">
      <c r="B20" s="117" t="s">
        <v>466</v>
      </c>
      <c r="C20" s="118">
        <v>45238</v>
      </c>
      <c r="D20" s="117" t="s">
        <v>467</v>
      </c>
    </row>
    <row r="21" spans="2:4" s="119" customFormat="1" ht="15.75" customHeight="1">
      <c r="B21" s="117" t="s">
        <v>468</v>
      </c>
      <c r="C21" s="118">
        <v>44924</v>
      </c>
      <c r="D21" s="120" t="s">
        <v>469</v>
      </c>
    </row>
    <row r="22" spans="2:4" s="119" customFormat="1" ht="15.75" customHeight="1">
      <c r="B22" s="117" t="s">
        <v>470</v>
      </c>
      <c r="C22" s="118">
        <v>44861</v>
      </c>
      <c r="D22" s="117" t="s">
        <v>471</v>
      </c>
    </row>
    <row r="23" spans="2:4" s="119" customFormat="1" ht="15.75" customHeight="1">
      <c r="B23" s="121" t="s">
        <v>472</v>
      </c>
      <c r="C23" s="122">
        <v>44669</v>
      </c>
      <c r="D23" s="121" t="s">
        <v>473</v>
      </c>
    </row>
    <row r="24" spans="2:4" s="119" customFormat="1" ht="15.75" customHeight="1">
      <c r="B24" s="121" t="s">
        <v>474</v>
      </c>
      <c r="C24" s="122">
        <v>44624</v>
      </c>
      <c r="D24" s="121" t="s">
        <v>475</v>
      </c>
    </row>
    <row r="25" spans="2:4" s="119" customFormat="1" ht="15.75" customHeight="1">
      <c r="B25" s="121" t="s">
        <v>476</v>
      </c>
      <c r="C25" s="122">
        <v>44470</v>
      </c>
      <c r="D25" s="123" t="s">
        <v>477</v>
      </c>
    </row>
    <row r="26" spans="2:4" ht="15.75" customHeight="1">
      <c r="C26" s="112"/>
    </row>
  </sheetData>
  <hyperlinks>
    <hyperlink ref="D21" r:id="rId1" xr:uid="{00000000-0004-0000-0800-000000000000}"/>
    <hyperlink ref="D25" r:id="rId2" xr:uid="{00000000-0004-0000-0800-000001000000}"/>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License</vt:lpstr>
      <vt:lpstr>Get Started</vt:lpstr>
      <vt:lpstr>Key Reports</vt:lpstr>
      <vt:lpstr>Forecast</vt:lpstr>
      <vt:lpstr>Resources</vt:lpstr>
      <vt:lpstr>Model Comparison</vt:lpstr>
      <vt:lpstr>Glossary</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Davidson</cp:lastModifiedBy>
  <dcterms:modified xsi:type="dcterms:W3CDTF">2025-02-27T11:52:16Z</dcterms:modified>
</cp:coreProperties>
</file>