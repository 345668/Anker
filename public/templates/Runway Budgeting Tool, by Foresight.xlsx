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License" sheetId="2" r:id="rId5"/>
    <sheet state="visible" name="Disclaimer" sheetId="3" r:id="rId6"/>
    <sheet state="visible" name="Get Started" sheetId="4" r:id="rId7"/>
    <sheet state="visible" name="Summary" sheetId="5" r:id="rId8"/>
    <sheet state="visible" name="Key Reports" sheetId="6" r:id="rId9"/>
    <sheet state="visible" name="Forecast" sheetId="7" r:id="rId10"/>
    <sheet state="visible" name="Sources &amp; Uses" sheetId="8" r:id="rId11"/>
    <sheet state="visible" name="Statements" sheetId="9" r:id="rId12"/>
    <sheet state="visible" name="Model Comparison" sheetId="10" r:id="rId13"/>
    <sheet state="visible" name="Glossary" sheetId="11" r:id="rId14"/>
    <sheet state="visible" name="Changelog" sheetId="12" r:id="rId15"/>
  </sheets>
  <definedNames>
    <definedName name="misc">#REF!</definedName>
    <definedName name="total_shareholders_equity">#REF!</definedName>
    <definedName name="uniforms">#REF!</definedName>
    <definedName name="insurance">#REF!</definedName>
    <definedName name="start_up_cost_amortization">#REF!</definedName>
    <definedName name="Salary">#REF!</definedName>
    <definedName name="aircraft_subscriptions">#REF!</definedName>
    <definedName name="offices">#REF!</definedName>
    <definedName name="net_working_capital">#REF!</definedName>
    <definedName name="accrued_IT_expenses">#REF!</definedName>
    <definedName name="net_working_capital_t_minus_1">#REF!</definedName>
    <definedName name="crew_salary">#REF!</definedName>
    <definedName name="management_salary">#REF!</definedName>
    <definedName name="accrued_manag_salary">#REF!</definedName>
    <definedName name="EBIT">#REF!</definedName>
    <definedName name="debt">#REF!</definedName>
    <definedName name="maintenance">#REF!</definedName>
    <definedName name="net_income">#REF!</definedName>
    <definedName name="accrued_employee_and_crew_salary">#REF!</definedName>
    <definedName name="required_capital">#REF!</definedName>
    <definedName name="Postholder_salary">#REF!</definedName>
    <definedName name="operating_cash_flow">#REF!</definedName>
    <definedName name="subscriptions">#REF!</definedName>
    <definedName name="current_liabilities">#REF!</definedName>
    <definedName name="EBITDA">#REF!</definedName>
    <definedName name="Cost_of_Goods_Sold">#REF!</definedName>
    <definedName name="other_operating_cost">#REF!</definedName>
    <definedName name="revenues">#REF!</definedName>
    <definedName name="uniform_writeoff_expense">#REF!</definedName>
    <definedName name="initial_training">#REF!</definedName>
    <definedName name="interest_on_debts">#REF!</definedName>
    <definedName name="total_dep_and_amort">#REF!</definedName>
    <definedName name="total_startup_asset_funds">#REF!</definedName>
    <definedName name="furn_soft_equip_depreciation">#REF!</definedName>
    <definedName name="total_revised_startup_costs">#REF!</definedName>
    <definedName name="aircraft_lease">#REF!</definedName>
    <definedName name="furn_soft_equip">#REF!</definedName>
    <definedName name="employee_salary">#REF!</definedName>
    <definedName name="accrued_postholder_salary">#REF!</definedName>
    <definedName name="travel">#REF!</definedName>
    <definedName name="tax">#REF!</definedName>
    <definedName name="change_in_NWC">#REF!</definedName>
    <definedName name="aircraft_lease_deposit">#REF!</definedName>
    <definedName name="contingency">#REF!</definedName>
    <definedName name="cash_and_cash_equiv">#REF!</definedName>
    <definedName name="interest_on_debt">#REF!</definedName>
    <definedName name="recurrent_training">#REF!</definedName>
    <definedName name="total_operating_expenses">#REF!</definedName>
    <definedName name="current_assets">#REF!</definedName>
    <definedName name="IT">#REF!</definedName>
  </definedNames>
  <calcPr/>
</workbook>
</file>

<file path=xl/sharedStrings.xml><?xml version="1.0" encoding="utf-8"?>
<sst xmlns="http://schemas.openxmlformats.org/spreadsheetml/2006/main" count="1241" uniqueCount="700">
  <si>
    <t>Runway Budgeting Tool, by Foresight</t>
  </si>
  <si>
    <t>aka Pre-seed and Seed Budget Tool, Runway and Cash Budget Tool, Runway and Cash Forecasting Tool</t>
  </si>
  <si>
    <t>Copyright &amp; Contact</t>
  </si>
  <si>
    <t xml:space="preserve">This was created by Taylor Davidson (@tdavidson) of Foresight.
© 2023, Unstructured Ventures, LLC.
Questions, contact taylor@foresight.is or @tdavidson
</t>
  </si>
  <si>
    <t>License</t>
  </si>
  <si>
    <r>
      <rPr>
        <color rgb="FF000000"/>
        <sz val="10.0"/>
      </rPr>
      <t xml:space="preserve">tl:dr; You can modify, edit, use, and share within your company (and with third-parties as needed to operate your business). You may not redistribute, resell, give away to others. </t>
    </r>
    <r>
      <rPr>
        <color rgb="FF1155CC"/>
        <sz val="10.0"/>
        <u/>
      </rPr>
      <t xml:space="preserve">Full license.
</t>
    </r>
  </si>
  <si>
    <t>Goal</t>
  </si>
  <si>
    <t xml:space="preserve">Goal of this model is to create an easy way for anyone to model a startup business. The model uses external market data where applicable and estimates when necessary. You should adjust all metrics and inputs to fit your business.
</t>
  </si>
  <si>
    <t>Copy to Google Sheets or Download to Excel</t>
  </si>
  <si>
    <r>
      <rPr>
        <sz val="10.0"/>
      </rPr>
      <t xml:space="preserve">File &gt; Make a Copy to copy it to your own Google Drive, or File &gt; Download to download this to use in Excel or other spreadsheet programs. </t>
    </r>
    <r>
      <rPr>
        <color rgb="FF1155CC"/>
        <sz val="10.0"/>
        <u/>
      </rPr>
      <t xml:space="preserve">See License for warranties and liabilities.
</t>
    </r>
  </si>
  <si>
    <t>Support</t>
  </si>
  <si>
    <r>
      <rPr>
        <sz val="10.0"/>
      </rPr>
      <t xml:space="preserve">Questions, happy to assist, contact anytime. More details on how I provide support: </t>
    </r>
    <r>
      <rPr>
        <color rgb="FF1155CC"/>
        <sz val="10.0"/>
        <u/>
      </rPr>
      <t xml:space="preserve">https://foresight.is/learn/support
</t>
    </r>
  </si>
  <si>
    <t>Missing a feature you need?</t>
  </si>
  <si>
    <r>
      <rPr>
        <sz val="10.0"/>
      </rPr>
      <t xml:space="preserve">Check out </t>
    </r>
    <r>
      <rPr>
        <color rgb="FF1155CC"/>
        <sz val="10.0"/>
        <u/>
      </rPr>
      <t>Alternatives to Foresight</t>
    </r>
    <r>
      <rPr>
        <sz val="10.0"/>
      </rPr>
      <t xml:space="preserve"> for more modeling tools, and check out Foresight's </t>
    </r>
    <r>
      <rPr>
        <color rgb="FF1155CC"/>
        <sz val="10.0"/>
        <u/>
      </rPr>
      <t>Standard Financial Model</t>
    </r>
    <r>
      <rPr>
        <sz val="10.0"/>
      </rPr>
      <t xml:space="preserve"> for a more comprehensive model with extensive prebuilt options for different revenue models, MRR and ARR, historical financials, budget variances, and more.
</t>
    </r>
  </si>
  <si>
    <t>Quickstart</t>
  </si>
  <si>
    <t>1) Any number in blue with grey shaded background is an input (i.e. an assumption or data point that can be changed), anything in black is the result of a formula. Change blue at will, change anything in black with caution.
2) All cells and formulas are unlocked - as in all Foresight models - so that you can make edits as needed and completely understand what is going on.
3) All assumptions are illustrative ONLY, do not assume they are market data or standard.
4) As with all templates, feel free to create your own model from scratch, using this as a guide. 
5) The model is constructed to fit a wide variety of businesses, and therefore, some sections may or may not be relevant to yours. I have grouped together sections on all sheets so that you can review different sections and see all the possibilities, but also easily hide the sections not relevant for you. Simply click on the "+" button on the left-hand side to unhide a section, and click on the "-" button to hide it.</t>
  </si>
  <si>
    <t>Outline</t>
  </si>
  <si>
    <t>README</t>
  </si>
  <si>
    <t>Contact into, overview on model. Safe to delete or hide.</t>
  </si>
  <si>
    <t xml:space="preserve">   Formatting and Colors Overview</t>
  </si>
  <si>
    <r>
      <rPr>
        <sz val="10.0"/>
      </rPr>
      <t xml:space="preserve">Details on what the colors and formatting in the model mean. </t>
    </r>
    <r>
      <rPr>
        <color rgb="FF1155CC"/>
        <sz val="10.0"/>
        <u/>
      </rPr>
      <t>https://foresight.is/learn/colors-and-formatting</t>
    </r>
  </si>
  <si>
    <r>
      <rPr>
        <sz val="10.0"/>
      </rPr>
      <t xml:space="preserve">Terms of use of the model. Safe to delete or hide. </t>
    </r>
    <r>
      <rPr>
        <color rgb="FF1155CC"/>
        <sz val="10.0"/>
        <u/>
      </rPr>
      <t>https://foresight.is/license</t>
    </r>
  </si>
  <si>
    <t>Get Started</t>
  </si>
  <si>
    <t>Core assumptions for the fund. Do not delete, safe to hide. Overall model summary: https://www.loom.com/share/938d2d52ead548beb0d3608b73d44408</t>
  </si>
  <si>
    <t xml:space="preserve">   Model Structure</t>
  </si>
  <si>
    <r>
      <rPr>
        <sz val="10.0"/>
      </rPr>
      <t xml:space="preserve">Overall model summary: </t>
    </r>
    <r>
      <rPr>
        <color rgb="FF1155CC"/>
        <sz val="10.0"/>
        <u/>
      </rPr>
      <t>https://www.loom.com/share/938d2d52ead548beb0d3608b73d44408</t>
    </r>
  </si>
  <si>
    <t xml:space="preserve">   Balance Sheet</t>
  </si>
  <si>
    <t>https://www.loom.com/share/39ead41b345547cdac1461ee493e151f</t>
  </si>
  <si>
    <t xml:space="preserve">   Seasonality</t>
  </si>
  <si>
    <t>https://www.loom.com/share/86297c4ba4584ec791e08ab49b280240</t>
  </si>
  <si>
    <t xml:space="preserve">   Model Checks</t>
  </si>
  <si>
    <t>https://www.loom.com/share/e0ceaab1ec284905af5afeff41cdbe7a</t>
  </si>
  <si>
    <t>Forecast</t>
  </si>
  <si>
    <t xml:space="preserve">   Revenues, Expenses, and Cash Flows</t>
  </si>
  <si>
    <t>https://www.loom.com/share/86f2d7320cf64d2fab27488f7ee5eae1</t>
  </si>
  <si>
    <t xml:space="preserve">   Categories</t>
  </si>
  <si>
    <t xml:space="preserve">  Detailed Calculations</t>
  </si>
  <si>
    <t>Key Reports</t>
  </si>
  <si>
    <t>https://www.loom.com/share/0ff526ed8ae54efcaa230e7b28b4752a</t>
  </si>
  <si>
    <t>Sources &amp; Uses</t>
  </si>
  <si>
    <t>https://www.loom.com/share/2a2a1ffd603646b4ba781fa193c9d6b4</t>
  </si>
  <si>
    <t>Statements</t>
  </si>
  <si>
    <t>https://www.loom.com/share/bfe33b507a424b31aab02b9f579f1b1b</t>
  </si>
  <si>
    <t>Model Comparison</t>
  </si>
  <si>
    <t>Informational sheet with links to other models available to use. Safe to delete or hide.</t>
  </si>
  <si>
    <t>Glossary</t>
  </si>
  <si>
    <t>Informational sheet on common financial terms used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</si>
  <si>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</si>
  <si>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</si>
  <si>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</si>
  <si>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</si>
  <si>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</si>
  <si>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</si>
  <si>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</si>
  <si>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</si>
  <si>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</si>
  <si>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</si>
  <si>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</si>
  <si>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</si>
  <si>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</si>
  <si>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</si>
  <si>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</si>
  <si>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</si>
  <si>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</si>
  <si>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</si>
  <si>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</si>
  <si>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</si>
  <si>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</si>
  <si>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</si>
  <si>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</si>
  <si>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Disclaimer</t>
  </si>
  <si>
    <t>Investments in the Company, if offered, will only be offered to a selected number of accredited investors, and only on the basis of a private offering memorandum for the Company. There are significant risks that are not presented and disclosed in this Investor Presentation.  These risks could have a significant negative impact on the performance of the Company.</t>
  </si>
  <si>
    <t>This Investor Presentation contains forward-looking statements regarding our business plans and prospects and financial conditions, all statements, other than statements of historical fact, in this Investor Presentation, and the attached exhibits, including, among other things, statements regarding our competitive strengths, business strategy, financial projections and plans and objectives of management are forward-looking statements. Although we believe that the expectations reflected in such forward-looking statements are reasonable, there can be no assurance that such expectations will prove to be correct.  Forward-looking statements are inherently subject to risks and uncertainties, many of which cannot be predicted with accuracy and some of which might not even be anticipated.  Future events and actual results, financial or otherwise, could differ materially from those set forth in, or contemplated by, the forward-looking statements in this Investor Presentation, and, as such, the forward-looking statements contained herein should not be relied upon when making your investment decision.  We undertake no obligation to update or revise any forward-looking statements.</t>
  </si>
  <si>
    <t>The financial projections in this Investor Presentation present, to the best of management’s knowledge and belief, the Company’s expected financial position, results of operations, and cash flows for the forecast period.  Accordingly, the financial projections reflect its judgment, as of the date of these financial projections, of the expected conditions and its expected course of action following the sale of securities by the Company.  The assumptions disclosed herein are those that management believes are significant to the financial projections.  There will usually be differences between the projected and actual results, because events and circumstances frequently do not occur as expected, and those differences may be material.  Since the projections are based upon assumptions about circumstances and events that have not yet taken place regarding costs, income, expenses and federal tax matters, which are subject to variations and economic events as future operations actually occur, they do not necessarily reflect the results that will be achieved and should not be relied upon. In all cases, the targeted returns are not predictions or projections that the results in the pro forma financials will be achieved nor of the performance of any investment, and are expressly subject to all assumptions embedded in the pro forma financials and the risk factors disclosed herein. This investment has a high degree of risk, and there can be no assurances that all or any of the assumptions will be true or that an investment’s actual performance will bear any relation to these hypothetical illustrations.</t>
  </si>
  <si>
    <t xml:space="preserve">This information contained in this Investor Presentation includes proprietary information, is strictly confidential, and is not to be used or distributed to others without the express written consent of the Company. </t>
  </si>
  <si>
    <t>This document has been prepared solely for information purposes and is being furnished solely for use by prospective purchasers in considering their interest in obtaining additional information and making their own evaluation of the Company and does not contain all of the information that a prospective purchaser may desire.  This information reflects various assumptions by the Company concerning anticipated results, which assumptions may or may not prove to be correct, and the Company has no obligation to update such information.  The only information that will have any legal effect will be that specifically contained in definitive documentation. This Investor Presentation has been submitted confidentially to a limited number of investors so that they can consider their interest in obtaining additional information and making their own evaluation of the Company.  No offers to purchase the securities of the Company will be accepted prior to (1) the receipt by recipient of a complete private offering memorandum and (2) determination by the Company that the recipient is an appropriate purchaser in light of standards contained in U.S. Securities laws after a full evaluation of recipient by the Company.  The Company has not authorized its use for any other purpose.  This Investor Presentation may not be copied or reproduced in whole or in part.  By accepting a copy of this Investor Presentation, the recipient agrees that neither it nor any of its representatives, agents or employees shall use it for any other purpose or divulge to any party any confidential information about the Company.</t>
  </si>
  <si>
    <t>Key model assumptions and summaries. Detailed inputs on Forecast sheet.</t>
  </si>
  <si>
    <t>Model Structure</t>
  </si>
  <si>
    <t>Capital, Management Fees, base Fund-level assumptions</t>
  </si>
  <si>
    <t>Company Name</t>
  </si>
  <si>
    <t>Company</t>
  </si>
  <si>
    <t>This is used in the Legal Disclaimer sheet, which is purely optional, but something many people choose to include in their projections when they provide them to potential investors</t>
  </si>
  <si>
    <t>Base Timescale</t>
  </si>
  <si>
    <t>monthly</t>
  </si>
  <si>
    <t>You can use the model to forecast monthly, quarterly, or annually, and then the model will use that as it's base timescale.</t>
  </si>
  <si>
    <t>This sets the # of periods in the model. (1 period = 1 month, or 1 quarter, or 1 year, as set in assumption above.) Max 36 periods in prebuilt model, can be extended if needed.</t>
  </si>
  <si>
    <t>Date of first period in model</t>
  </si>
  <si>
    <t>Define the end date that is the last date of the period used in the model</t>
  </si>
  <si>
    <t>Fiscal year end</t>
  </si>
  <si>
    <t>Defines the end of the fiscal year used in the model</t>
  </si>
  <si>
    <t>Do you want to use relative or absolute dates?</t>
  </si>
  <si>
    <t>relative</t>
  </si>
  <si>
    <t>The dates above set the start date and fiscal year end used in the timescales, but you can also set whether you want the primary timescale used for reports and charts to be absolute (for example, Jan 2021 or 2021) or relative (month 1 or year 1)</t>
  </si>
  <si>
    <t>Balance Sheet</t>
  </si>
  <si>
    <t>Optional assumptions for automatic revenue recognition and cash collection calculations, depreciation, corporate taxes, and VAT</t>
  </si>
  <si>
    <t>Cash on hand, beginning of model</t>
  </si>
  <si>
    <t>$</t>
  </si>
  <si>
    <t>sets the currency symbol used in the model, and the opening cash balance for the financial statements</t>
  </si>
  <si>
    <t>Optional: Revenue Recognition</t>
  </si>
  <si>
    <t>Use automatic revenue recognition?</t>
  </si>
  <si>
    <t>yes</t>
  </si>
  <si>
    <t>by default this is turned on (select "yes"), you can turn off (select "no") to enter in your revenue recognition and billings schedules manually</t>
  </si>
  <si>
    <t>#</t>
  </si>
  <si>
    <t>If select "yes" in the cell above, if applicable, and only if you feed billings into model and not revenues. do not use if you are calculating revenue recognition with the default revenue structure in the Standard Model or other themes (i.e. leave as "0"). If you have a business where you are taking upfront payments as revenues, they need to be recognized over the length of the period over which you are obligated to provide the services for which the payments cover. This assumption is used to calculated deferred revenues</t>
  </si>
  <si>
    <t>Optional: Accounts Receivable</t>
  </si>
  <si>
    <t>Use automatic cash collection calculations?</t>
  </si>
  <si>
    <t>by default this is turned on (select "yes"), you can turn off (select "no") to enter in your cash collection schedule manually</t>
  </si>
  <si>
    <t>Optional: Days Accounts Receivable</t>
  </si>
  <si>
    <t>days. If select "yes" in the assumption above, the model allows you to assume the Days Accounts Receivable so that you can collect the cash later than recognizing the revenenues, if applicable for your business. Any period assumed &lt;= 30 days means it's collected in same month as revenues.</t>
  </si>
  <si>
    <t>Optional: Accrued Liabilities and Prepaid Expenses</t>
  </si>
  <si>
    <t>by default model uses a simpler method for estimating balances of these accounts. Can be edited on Statements sheet, or can create different methods more similar to Accounts Receivable method if desired</t>
  </si>
  <si>
    <t>Balance of Prepaid Expenses, as % of SG&amp;A</t>
  </si>
  <si>
    <t>%</t>
  </si>
  <si>
    <t>Balance of Accounts Payable, as % of SG&amp;A</t>
  </si>
  <si>
    <t>Balance of Accrued Liabilities, as % of SG&amp;A</t>
  </si>
  <si>
    <t>Optional: Depreciation</t>
  </si>
  <si>
    <t>months. The model assumes straight-line depreciation for all capital expenditures, all depreciated by the # of months in this input. If you need different depreciation schedules for different assets, it's not difficult to build that in, create that and link into the expense section.</t>
  </si>
  <si>
    <t>Optional: Corporate Income Taxes and VAT</t>
  </si>
  <si>
    <t>Corporate Income Taxes</t>
  </si>
  <si>
    <t>used for calculating corporate taxes, only if any net loss carry-forwards are extinguished</t>
  </si>
  <si>
    <t>-</t>
  </si>
  <si>
    <t>quarterly</t>
  </si>
  <si>
    <t>By default, this has options for paying monthly, quarterly, or annually. Select your option in the dropdown.</t>
  </si>
  <si>
    <t>VAT (Value-Added Taxes)</t>
  </si>
  <si>
    <t>assumption for VAT collected, as % of revenues. Assumption for VAT deductions is directly on Forecast sheet</t>
  </si>
  <si>
    <t>Optional: Inventory</t>
  </si>
  <si>
    <t>this section forecasts inventory purchases based on a schedule of sales. Inventory purchases flow through cash, and are expensed through cost of sales to match the costs to revenues. Default assumption is that all purchases are paid in the month forecasted in the model, to create deferrals or inventory payable, create a custom schedule and feed into hooks.</t>
  </si>
  <si>
    <t># Months lead time from purchase to in inventory</t>
  </si>
  <si>
    <t>if applicable, enter in positive numbers only. this takes the forecasted COGS and applies a lead time from when purchases are made to when they are added to inventory. This takes the forecasted purchases and creates a lag to when they are added to inventory.Work in progress and finished goods are considered a subset of the inventory and are not split out specifically.</t>
  </si>
  <si>
    <t>Safety Stock - Ending Inventory as % of COGS</t>
  </si>
  <si>
    <t>if applicable, a % of current month's COGS can be kept in inventory, as "safety stock". This can be used in addition to the lead time assumptions if desired.</t>
  </si>
  <si>
    <t>Minimum Order Quantity (MOQ)</t>
  </si>
  <si>
    <t>if applicable, the dollar value of the minimum order quantity. For example, if the inventory calcs say you need to purchase $500 of inventory, and your minimum order from your supplier is $1500, the model will buy $1500 of inventory and then run it down until next time it needs inventory.</t>
  </si>
  <si>
    <t>Optional: % of Inventory Purchase paid at time of purchase</t>
  </si>
  <si>
    <t>optional. This lets you determine when the inventory purchases are paid, and set how much is paid at time of purchase.</t>
  </si>
  <si>
    <t>Optional: Remaining Inventory Purchases, paid 0 days post-purchase</t>
  </si>
  <si>
    <t>days. The model allows you to assume the Inventory Accounts Payable so that you can pay for inventory after purchase. The model calculates the payables based on the other two options above first, then assumes the remaining flows through this timing.</t>
  </si>
  <si>
    <t>Seasonality</t>
  </si>
  <si>
    <t>Per Calendar Month, % change, from baseline</t>
  </si>
  <si>
    <t xml:space="preserve">  Optional section. This section allows you to set + and - % impacts on a recurring monthly basis that is separate from the growth rates above. The two layer on each other, creating cyclical, seasonal effect on forecasted metrics.</t>
  </si>
  <si>
    <t>change in baseline, per calendar month</t>
  </si>
  <si>
    <t>The inputs here start with the first month in the model, and are reused for this month in every year throughout the forecast period in the model</t>
  </si>
  <si>
    <t>Input a positive number for an extra increase during that month and a negative number for an extra decline.</t>
  </si>
  <si>
    <t>Estimated Overall Impact (should = zero)</t>
  </si>
  <si>
    <t xml:space="preserve">  You want the estimated overall impact to be close to zero, the sum of the increase and decreases per month entered above. It's not exact, because the bases of each month can be different - i.e. if the baseline is growing or changing - but it's a good estimate of the overall impact of your seasonality inputs</t>
  </si>
  <si>
    <t>Model Checks</t>
  </si>
  <si>
    <t>Helper calculations to monitor potential issues for you to research</t>
  </si>
  <si>
    <t>Does the Balance Sheet balance?</t>
  </si>
  <si>
    <t>Check to make sure assets = liabilities + shareholder's equity</t>
  </si>
  <si>
    <t>Does Cash on hand stay above zero?</t>
  </si>
  <si>
    <t>The inverse - cash on hand below zero signifies the company runs out of money at some point</t>
  </si>
  <si>
    <t>Do Deferred Revenues stay positive?</t>
  </si>
  <si>
    <t>This check helps to make sure that the revenues and billings are being properly recorded</t>
  </si>
  <si>
    <t>Does Inventory stay positive?</t>
  </si>
  <si>
    <t>This check helps make sure the inventory calcs are correct, and that enough inventory is purchased</t>
  </si>
  <si>
    <t>Does Net Property, Plant and Equipment stay greater than zero?</t>
  </si>
  <si>
    <t>This check helps make sure that depreciation schedule is correct, and not over-depreciating capital expenditures</t>
  </si>
  <si>
    <t>Annual Summary</t>
  </si>
  <si>
    <t>Year</t>
  </si>
  <si>
    <t>Revenues</t>
  </si>
  <si>
    <t>Y/Y % Growth</t>
  </si>
  <si>
    <t>Growth Multiple</t>
  </si>
  <si>
    <t>COGS</t>
  </si>
  <si>
    <t>Gross Margin</t>
  </si>
  <si>
    <t>% of Revenue</t>
  </si>
  <si>
    <t>SG&amp;A</t>
  </si>
  <si>
    <t>EBITDA</t>
  </si>
  <si>
    <t>Depreciation and Amortization</t>
  </si>
  <si>
    <t>Interest Expense</t>
  </si>
  <si>
    <t>Other (Income) Expense</t>
  </si>
  <si>
    <t>Taxes</t>
  </si>
  <si>
    <t>Net Income</t>
  </si>
  <si>
    <t>Statement of Cash Flows</t>
  </si>
  <si>
    <t>Cash, Beginning of Period</t>
  </si>
  <si>
    <t>Cash Flow from Operations</t>
  </si>
  <si>
    <t>Cash Flow from Investing</t>
  </si>
  <si>
    <t>Cash Flow from Financing</t>
  </si>
  <si>
    <t>Cash, End of Period</t>
  </si>
  <si>
    <t>Assets</t>
  </si>
  <si>
    <t>Liabilities</t>
  </si>
  <si>
    <t>Shareholder's Equity</t>
  </si>
  <si>
    <t>Period in model</t>
  </si>
  <si>
    <t>period in the model, base timescale</t>
  </si>
  <si>
    <t>final</t>
  </si>
  <si>
    <t>Date at end of period</t>
  </si>
  <si>
    <t>date at end of period</t>
  </si>
  <si>
    <t>Fiscal Year</t>
  </si>
  <si>
    <t>fiscal year, expressed as either a relative # or an absolute date</t>
  </si>
  <si>
    <t>Timestep</t>
  </si>
  <si>
    <t>period - 1, used in a couple calculations</t>
  </si>
  <si>
    <t>Month # in Fiscal Year</t>
  </si>
  <si>
    <t>tracks the month in the fiscal year, 1 through 12</t>
  </si>
  <si>
    <t>optional, used for any driver that selects "use seasonality"</t>
  </si>
  <si>
    <t>sum</t>
  </si>
  <si>
    <t>Note: Deferred revenues start month</t>
  </si>
  <si>
    <t>optional start month for recognizing deferred revenues, used in one calculation in model</t>
  </si>
  <si>
    <t>initial</t>
  </si>
  <si>
    <t>Forecasted Revenues, Expenses, and Cash Flows</t>
  </si>
  <si>
    <t>Used to forecast operating metrics, revenues, and expenses. Use the forecasting drivers *or* directly overwrite the formulas in the appropriate months to directly input your assumptions or create your own logic.</t>
  </si>
  <si>
    <t>Detail</t>
  </si>
  <si>
    <t>Category</t>
  </si>
  <si>
    <t>Initial Value</t>
  </si>
  <si>
    <t>Starts in period #</t>
  </si>
  <si>
    <t>Changing based on</t>
  </si>
  <si>
    <t>Changing by % or #</t>
  </si>
  <si>
    <t>Using Driver</t>
  </si>
  <si>
    <t>Use Seasonality</t>
  </si>
  <si>
    <t>Use the prebuilt formulas *or* directly type in your inputs over the formulas, either way is valid.</t>
  </si>
  <si>
    <t>First Revenue Description</t>
  </si>
  <si>
    <t>...</t>
  </si>
  <si>
    <t>Subscribers</t>
  </si>
  <si>
    <t>% change</t>
  </si>
  <si>
    <t>Second Revenue Description</t>
  </si>
  <si>
    <t># per</t>
  </si>
  <si>
    <t>Product &amp; Materials</t>
  </si>
  <si>
    <t>Equity Investment</t>
  </si>
  <si>
    <t>Salaries</t>
  </si>
  <si>
    <t>Salaries and Benefits</t>
  </si>
  <si>
    <t>SAFE Investment</t>
  </si>
  <si>
    <t>TBD</t>
  </si>
  <si>
    <t>Overhead</t>
  </si>
  <si>
    <t>Note: Insert new rows above this line</t>
  </si>
  <si>
    <t>Totals by Category</t>
  </si>
  <si>
    <t>Used to create the key categories used in the model, generates the financial statements.</t>
  </si>
  <si>
    <t>Metric</t>
  </si>
  <si>
    <t>User-defined operating metric</t>
  </si>
  <si>
    <t>check box or input TRUE to use this category for acquisition spend</t>
  </si>
  <si>
    <t>Operating Metric</t>
  </si>
  <si>
    <t>Gross Transaction Value</t>
  </si>
  <si>
    <t>Optional</t>
  </si>
  <si>
    <t>Bookings</t>
  </si>
  <si>
    <t>Billings</t>
  </si>
  <si>
    <t>Sum from the schedule of billings</t>
  </si>
  <si>
    <t>Cash Collected</t>
  </si>
  <si>
    <t>Sum from the accounts receivable schedule</t>
  </si>
  <si>
    <t>Sum from the schedule of revenues</t>
  </si>
  <si>
    <t>Rename the categories or create your own. This category is assigned to SG&amp;A</t>
  </si>
  <si>
    <t>Advertising &amp; Marketing</t>
  </si>
  <si>
    <t>Create your own categories on the left, then select in the dropdown above. Summary by categories, used purely for reporting and detail to help you simplify your cost reporting.</t>
  </si>
  <si>
    <t>Design &amp; Development</t>
  </si>
  <si>
    <t>Legal and Accounting</t>
  </si>
  <si>
    <t>Cost of Sales</t>
  </si>
  <si>
    <t>Cost of Goods Sold</t>
  </si>
  <si>
    <t>Category is held for cost of sales, sum of the entries above. check the box or select TRUE to use this category to define these cost of sales to be used in inventory calculations</t>
  </si>
  <si>
    <t>use in inventory calcs?</t>
  </si>
  <si>
    <t>Capital Expenditures</t>
  </si>
  <si>
    <t>CAPEX</t>
  </si>
  <si>
    <t>Category is held for capital expenditures, sum of the entries above</t>
  </si>
  <si>
    <t>Other Assets</t>
  </si>
  <si>
    <t>Category is held for purchases of other assets, to be amortized, sum of the entries above</t>
  </si>
  <si>
    <t>Purchases, Inventory</t>
  </si>
  <si>
    <t>Category is held for purchases of inventory, to be expensed through cost of sales to match to revenues</t>
  </si>
  <si>
    <t>Disposals, Inventory</t>
  </si>
  <si>
    <t>Category is held for disposals of inventory</t>
  </si>
  <si>
    <t>Depreciation</t>
  </si>
  <si>
    <t>Sum of entries above plus calculation from depreciation schedule on Forecast sheet</t>
  </si>
  <si>
    <t>Amortization</t>
  </si>
  <si>
    <t>Sum of entries above, typically used to amortize Other Assets. Model does not include prebuilt calculations for amortization of other assets.</t>
  </si>
  <si>
    <t>Interest expense during period</t>
  </si>
  <si>
    <t>Other Income</t>
  </si>
  <si>
    <t>Sum of entries above; entries can be positive or negative, Statements and cash flows assume other income is a positive number and will correct for whichever way it is entered</t>
  </si>
  <si>
    <t>Other Expense</t>
  </si>
  <si>
    <t>Sum of entries above, representing noncore expenses</t>
  </si>
  <si>
    <t>Sum of entries above, plus taxes calculated using the assumptions for corporate taxes</t>
  </si>
  <si>
    <t>Change in equity investments during period</t>
  </si>
  <si>
    <t>Change in SAFE investments during period. Use this for new SAFE investments as well as the conversion of SAFEs (record as a negative for a conversion)</t>
  </si>
  <si>
    <t>Convertible Note Investment</t>
  </si>
  <si>
    <t>Change in convertible debt investments during period. Use this for new convertible debt as well as the conversion of convertibles (record as a negative for a conversion)</t>
  </si>
  <si>
    <t>Debt Financing</t>
  </si>
  <si>
    <t>External financing treated as debt. Bank loans, revolvers, etc.</t>
  </si>
  <si>
    <t>Grants and Donations</t>
  </si>
  <si>
    <t>External grants, donations, nondilutive financing. Treated as other income on income statement and cash flow from operations.</t>
  </si>
  <si>
    <t>Debt Repayment</t>
  </si>
  <si>
    <t>Repayment of principal of debt. Use for tracking principal payments only, not the interest component of debt payments (that would be tracked under interest expense)</t>
  </si>
  <si>
    <t>Accrued Interest</t>
  </si>
  <si>
    <t>Interest accrued and not paid, typically used for convertible debt or SAFE investment methods. You will want to track the interest expense and the accrued interest separately to account for the expense and balance sheet treatment accordingly.</t>
  </si>
  <si>
    <t>Change in Owners Equity</t>
  </si>
  <si>
    <t>Change in owner's equity</t>
  </si>
  <si>
    <t>Change in Accounts Receivable</t>
  </si>
  <si>
    <t>Change in accounts receivable, for the balance sheet. Used if you want to feed in a specific change in accounts receivable per period</t>
  </si>
  <si>
    <t>Change in Current Liabilities</t>
  </si>
  <si>
    <t>Change in current liabilities; often to use this you will build custom logic into the model to calculate this, this provides an easy way to feed this into the model.</t>
  </si>
  <si>
    <t>Change in Noncurrent Liabilties</t>
  </si>
  <si>
    <t>Change in noncurrent liabilities; often to use this you will build custom logic into the model to calculate this, this provides an easy way to feed this into the model.</t>
  </si>
  <si>
    <t>Change in Working Capital Loan Facility</t>
  </si>
  <si>
    <t>Optional, for a working capital loan facility; often to use this you will build custom logic into the model to calculate this, this provides an easy way to feed this into the model.</t>
  </si>
  <si>
    <t>not applicable</t>
  </si>
  <si>
    <t>Detailed Calculations</t>
  </si>
  <si>
    <t>category subtotals. the labels are important because the sums use the labels to find the relevant lines, and matches on this sheet and the Statements also</t>
  </si>
  <si>
    <t>you can change the term used, but it must represent the same concept, the model is built to use this specific line in financial statements and reports</t>
  </si>
  <si>
    <t>Burn</t>
  </si>
  <si>
    <t>Net Burn</t>
  </si>
  <si>
    <t>calculated here as cash flow from operations + cash flow from investing + debt repayments, excluding external cash flows</t>
  </si>
  <si>
    <t>Net Burn (net negative)</t>
  </si>
  <si>
    <t>Net Burn (net positive)</t>
  </si>
  <si>
    <t>Revenue Recognition</t>
  </si>
  <si>
    <t>calculations billings, revenue recognition, and cash collection, on top of the manual inputs in the revenues section on the Forecast sheet</t>
  </si>
  <si>
    <t>Deferred Revenues</t>
  </si>
  <si>
    <t>Deferred Revenue, beginning of period</t>
  </si>
  <si>
    <t>deferred revenues, beginning of period</t>
  </si>
  <si>
    <t>summed from the inputs in the revenues section</t>
  </si>
  <si>
    <t>calculated if no billings are input in manual section. By default this assumes billings = revenues, to change that, input your billings and revenue schedule into the revenues section with the appropriate labels</t>
  </si>
  <si>
    <t>Recognized Revenues</t>
  </si>
  <si>
    <t>estimated from any deferred revenues on the opening balance sheet</t>
  </si>
  <si>
    <t>calculated if no revenues are input but billlings are input</t>
  </si>
  <si>
    <t>Deferred Revenue, end of period</t>
  </si>
  <si>
    <t>deferred revenues, end of period</t>
  </si>
  <si>
    <t>Accounts Receivable</t>
  </si>
  <si>
    <t>Accounts Receivable, beginning of period</t>
  </si>
  <si>
    <t>accounts receivable at the beginning of the period</t>
  </si>
  <si>
    <t>New Accounts Receivable</t>
  </si>
  <si>
    <t>equals billings during period</t>
  </si>
  <si>
    <t>Accounts Receivable Collected</t>
  </si>
  <si>
    <t>calculated if no collections are input</t>
  </si>
  <si>
    <t>if used, this overwrites the calculations from the previous two lines</t>
  </si>
  <si>
    <t>Accounts Receivable, end of period</t>
  </si>
  <si>
    <t>accounts receivable at the end of the period</t>
  </si>
  <si>
    <t>if applicable, calculates depreciation expenses. This can be broken out into different depreciation schedules for different assets if desired; simply create new schedule and link in the annual depreciation into the expenses section</t>
  </si>
  <si>
    <t>Property, Plant and Equipment, net of Depreciation, beginning of period</t>
  </si>
  <si>
    <t>accumulated capital expenditures + depreciation, at beginning of period</t>
  </si>
  <si>
    <t>New Capital Expenditures (CAPEX)</t>
  </si>
  <si>
    <t>capital expenditures during period</t>
  </si>
  <si>
    <t>Using assumption from Settings, straight-line depreciation for all capital expenditures</t>
  </si>
  <si>
    <t>Any additional depreciation expenses outlined in the main Expenses section above. This can be used to create a custom depreciation schedule, for example.</t>
  </si>
  <si>
    <t>Property, Plant and Equipment, net of Depreciation, end of period</t>
  </si>
  <si>
    <t>accumulated capital expenditures + depreciation, at end of period</t>
  </si>
  <si>
    <t>Accumulated Capital Expenditures</t>
  </si>
  <si>
    <t>Total capital expenditures to date</t>
  </si>
  <si>
    <t>Accumulated Depreciation</t>
  </si>
  <si>
    <t>Total depreciation to date</t>
  </si>
  <si>
    <t>Value of Newly Fully Depreciated Assets</t>
  </si>
  <si>
    <t>assets which reach full depreciation during this period, positive number</t>
  </si>
  <si>
    <t>Capital Expenditure Depreciation Basis</t>
  </si>
  <si>
    <t>accumulated capital expenditure, less any fully- depreciated assets, at time of full depreciation. This is used for the calculation of depreciation. The depreciation calculation could be done clearer using cohorts, which would allow for different average depreciation schedules for assets acquired at different times, or could be broken out into different depreciation schedules for different assets, but a simpler method is used in this model for efficiency.</t>
  </si>
  <si>
    <t>Optional: Corporate Income Taxes</t>
  </si>
  <si>
    <t>if applicable, calculates when corporate income taxes are actually paid.</t>
  </si>
  <si>
    <t>Corporate Taxes Payable, Beginning of Period</t>
  </si>
  <si>
    <t>beginning of period</t>
  </si>
  <si>
    <t>Corporate Income Taxes Accrued</t>
  </si>
  <si>
    <t>optional. Calculation for how corporate income taxes is accrued based on a percentage of revenues, but this can also be overwritten with a custom calculation in this row</t>
  </si>
  <si>
    <t>Corporate Income Taxes Deducted</t>
  </si>
  <si>
    <t>optional. Manual input for corporate tax credits or other specific taxation policies that reduce corporate taxes</t>
  </si>
  <si>
    <t>Corporate Income Taxes Disbursed</t>
  </si>
  <si>
    <t>corporate income taxes paid per period. Prebuilt has options for paying monthly, quarterly, annually, assuming paid the month after end of quarter, year, or previous month, can be replaced with a custom calculation</t>
  </si>
  <si>
    <t>Corporate Taxes Payable, End of Period</t>
  </si>
  <si>
    <t>end of period</t>
  </si>
  <si>
    <t>Optional: VAT (Value-Added-Tax)</t>
  </si>
  <si>
    <t>if applicable, this handles VAT-related cash flows. VAT is not a cost of doing business and should not show up on an income statement, but will show up on a balance sheet to handle the accrual and payment of VAT over time. You may need to change this for your particular business</t>
  </si>
  <si>
    <t>Value-Added Tax Payable, Beginning of Period</t>
  </si>
  <si>
    <t>value-added tax payable, beginning of period</t>
  </si>
  <si>
    <t>Value-Added Tax Accrued</t>
  </si>
  <si>
    <t>optional. Calculation for how VAT is accrued based on a percentage of revenues, but this can also be overwritten with a custom calculation in this row</t>
  </si>
  <si>
    <t>Value-Added Tax Deducted</t>
  </si>
  <si>
    <t>optional. Manual input to create your own scheme for how VAT is deducted.</t>
  </si>
  <si>
    <t>Value-Added Tax Disbursed</t>
  </si>
  <si>
    <t>optional, Value-Added Tax disbursements per period. Prebuilt has options for paying monthly, quarterly, annually, assuming paid the month after end of quarter, year, or previous month, can be replaced with a custom calculation</t>
  </si>
  <si>
    <t>Value-Added Tax Payable, End of Period</t>
  </si>
  <si>
    <t>value-added tax payable, end of period</t>
  </si>
  <si>
    <t>if applicable, calculates inventory purchases</t>
  </si>
  <si>
    <t>use finished goods calcs?</t>
  </si>
  <si>
    <t>Inventory Value, Beginning of Period</t>
  </si>
  <si>
    <t>if applicable, value of inventory at beginning of period</t>
  </si>
  <si>
    <t>New Purchases, Inventory, manual entry</t>
  </si>
  <si>
    <t>taken from manual entry in expenses above</t>
  </si>
  <si>
    <t>New Purchases, Inventory, based on lead time</t>
  </si>
  <si>
    <t>automatically calculated using assumption of # of months lead time from purchase to sale (on Get Started sheet). The hard part to this formula is where if estimates sales based on the lag from when inventory purchase is made until it comes available to sale, and if an order has been places but not yet delivered, does not continue buying.</t>
  </si>
  <si>
    <t>New Purchases, Inventory, based on safety stock</t>
  </si>
  <si>
    <t>optional, if necessary to purchase more to fulfill on inventory needs. This will add more inventory if needed by the safety stock assumption</t>
  </si>
  <si>
    <t>New Purchases, Inventory, based on minimum order quantity</t>
  </si>
  <si>
    <t>optional, if necessary to purchase more to fulfill on inventory needs and satisfy the minimum order quantity (MOQ), from Get Started sheet. Only used if the MOW assumption is not equal to zero, and if inventory purchases is necessary so that inventory does not go negative</t>
  </si>
  <si>
    <t>New Purchases, Inventory</t>
  </si>
  <si>
    <t>Optional. If the Actuals are used, this will calculate this, and the total will not use the forecast above</t>
  </si>
  <si>
    <t>Total New Purchases, Inventory, manual entry</t>
  </si>
  <si>
    <t>sum of the above</t>
  </si>
  <si>
    <t>sum of COGS related to inventory from above</t>
  </si>
  <si>
    <t>Inventory Disposals</t>
  </si>
  <si>
    <t>Optional. If the Actuals are used in Hooks, this will calculate this if relevant, based on the relative changes in inventory, work in progress, and cost of sales.</t>
  </si>
  <si>
    <t>Inventory Value, End of Period</t>
  </si>
  <si>
    <t>if applicable, value of inventory at end of period. Is this negative in early months? That's likely because of a lead time in your inventory purchasing that is not picked up for early months sales. Edit your forecast so that you do not selling until you have enough lead time for your inventory, or add in an opening inventory amount (on Statements) that covers the early inventory costs</t>
  </si>
  <si>
    <t>Inventory Accounts Payable, Beginning of Period</t>
  </si>
  <si>
    <t>inventory accounts payable, beginning of period</t>
  </si>
  <si>
    <t>New Inventory Purchases</t>
  </si>
  <si>
    <t>this takes the total purchases for inventory above, adds it to payables. This gets reduced by the different payables timing below.</t>
  </si>
  <si>
    <t>Paid at time of Purchase</t>
  </si>
  <si>
    <t>optional. Uses input from Get Started to calculate how much of the inventory purchases are paid at the time of purchase. Model default is for all purchases to be paid at time of ordering inventory.</t>
  </si>
  <si>
    <t>optional. If the two options above results in less than 100%, the remaining will be paid using a Days Accounts Payable assumption, and calculated on this line.</t>
  </si>
  <si>
    <t>Net New Inventory Accounts Payable</t>
  </si>
  <si>
    <t>Optional. If the Actuals are used in Hooks, this will calculate this, and the total will not use the forecast above</t>
  </si>
  <si>
    <t>Inventory Accounts Payable, End of Period</t>
  </si>
  <si>
    <t>inventory accounts payable, end of period</t>
  </si>
  <si>
    <t>Optional: Finished Inventory</t>
  </si>
  <si>
    <t>the above inventory section calculates the total value of inventory, including work-in-progress.this optional section shows what the finished inventory would be, to make sure that the inventory purchases account for what is needed to sell in each period</t>
  </si>
  <si>
    <t>Additions to Finished Inventory</t>
  </si>
  <si>
    <t>uses lag from Get started, if necessary. new additions to finished inventory during period</t>
  </si>
  <si>
    <t>optional, in case there are additions to finished inventory not captured in the forecast above, or in the opening balance sheet. often if there are purchases made prior to the start of the forecast, there may be additions due to enter into finished inventory that would not otherwise be known or captured.</t>
  </si>
  <si>
    <t>Cost of Goods Sold and Inventory Disposals</t>
  </si>
  <si>
    <t>cost of sales plus disposals of inventory</t>
  </si>
  <si>
    <t>finished inventory, end of period</t>
  </si>
  <si>
    <t>Sources &amp; Uses of Funds</t>
  </si>
  <si>
    <t>Breakdown of sources of capital and how it's spent for the period below.</t>
  </si>
  <si>
    <t>Start Month</t>
  </si>
  <si>
    <t>End Month</t>
  </si>
  <si>
    <t>Sources</t>
  </si>
  <si>
    <t>External Funding</t>
  </si>
  <si>
    <t>Total Sources</t>
  </si>
  <si>
    <t>Uses</t>
  </si>
  <si>
    <t>Working Capital</t>
  </si>
  <si>
    <t>Total Uses</t>
  </si>
  <si>
    <r>
      <rPr>
        <rFont val="Arial"/>
        <b/>
        <color theme="1"/>
        <sz val="10.0"/>
      </rPr>
      <t>Note:</t>
    </r>
    <r>
      <rPr>
        <rFont val="Arial"/>
        <color theme="1"/>
        <sz val="10.0"/>
      </rPr>
      <t xml:space="preserve"> Working capital simply denotes the difference between the expenses captured in the above and the sources of funds. </t>
    </r>
  </si>
  <si>
    <t>Does not capture all cash flow impacts of timing of expenses, or spending on inventory, etc. Adjust for your use.</t>
  </si>
  <si>
    <t>Income Statement</t>
  </si>
  <si>
    <t>total net revenues, from forecast sheet</t>
  </si>
  <si>
    <t>% Growth</t>
  </si>
  <si>
    <t>average</t>
  </si>
  <si>
    <t>growth, period to period. i.e. monthly for the months, quarterly for the quarters, annual for the years.</t>
  </si>
  <si>
    <t>combines the COGS entered into the expenses and the COGS calculated from the inventory expenses</t>
  </si>
  <si>
    <t>revenues less cost of goods sold.</t>
  </si>
  <si>
    <t>Gross Margin % of Revenues</t>
  </si>
  <si>
    <t>gross margin, as a % of revenues</t>
  </si>
  <si>
    <t>sg&amp;a = selling, general, and administrative. overhead expenses involved in running the business.</t>
  </si>
  <si>
    <t>% of Revenues</t>
  </si>
  <si>
    <t>SG&amp;A, as a % of revenues</t>
  </si>
  <si>
    <t>Operating Income (EBITDA)</t>
  </si>
  <si>
    <t>gross margin less sg&amp;a</t>
  </si>
  <si>
    <t>operating income, as a % of revenues</t>
  </si>
  <si>
    <t>depreciation expense. Calculated from the capital expenditures and any input depreciation.</t>
  </si>
  <si>
    <t>amortization of intangible assets. Often a non-standard expense (i.e. not the same each month, but taken as one-time expenses). Entered through Forecast sheet</t>
  </si>
  <si>
    <t>interest expense, i.e. money spent to pay interest on loans. Input on the expenses section on Forecast tab.</t>
  </si>
  <si>
    <t>income that is not core operating revenue. For most businesses this will be zero.</t>
  </si>
  <si>
    <t>from the expenses, used to capture expenses that incurred outside the core business. For most businesses this will be zero.</t>
  </si>
  <si>
    <t>Earnings before Taxes (EBT)</t>
  </si>
  <si>
    <t>earnings before taxes</t>
  </si>
  <si>
    <t>corporate taxes. Uses net loss carry-forwards to not start charging taxes until cumulative net income is positive. Assumes losses can be carried forward throughout forecast period, thus 71 months.</t>
  </si>
  <si>
    <t>Net Income (Loss)</t>
  </si>
  <si>
    <t>net income or (net loss)</t>
  </si>
  <si>
    <t>Cumulative Net Income (Loss)</t>
  </si>
  <si>
    <t>total net income (loss) over time</t>
  </si>
  <si>
    <t>net income, as a % of revenues</t>
  </si>
  <si>
    <t>Opening balance sheet</t>
  </si>
  <si>
    <t>Cash</t>
  </si>
  <si>
    <t>cash on hand, end of period</t>
  </si>
  <si>
    <t>revenues that have been earned, but cash not yet collected</t>
  </si>
  <si>
    <t>Inventory</t>
  </si>
  <si>
    <t>if appliable. Not calculated by default in the Runway tool, prebuilt calcs for this are in the Starter and Standard Models - https://foresight.is/models</t>
  </si>
  <si>
    <t>Prepaid Expense</t>
  </si>
  <si>
    <t>Other Current Assets</t>
  </si>
  <si>
    <t>Total Current Assets</t>
  </si>
  <si>
    <t>total</t>
  </si>
  <si>
    <t>Property, Plant and Equipment (Capital Investments)</t>
  </si>
  <si>
    <t>total capital expenditures, at end of period</t>
  </si>
  <si>
    <t>total depreciation, at end of period. Enter as a negative number</t>
  </si>
  <si>
    <t>Total Fixed Assets</t>
  </si>
  <si>
    <t>other assets is likely zero, but in case this applies, simply type it in the row to the right.</t>
  </si>
  <si>
    <t>Accumulated Amortization</t>
  </si>
  <si>
    <t>total amortization, end of period. Enter as negative number.</t>
  </si>
  <si>
    <t>Total Assets</t>
  </si>
  <si>
    <t>Current Liabilities</t>
  </si>
  <si>
    <t>Accounts Payable</t>
  </si>
  <si>
    <t xml:space="preserve">expenses where you've already received the benefit, but haven't paid for it yet. Cash you owe.  if appliable. Not calculated by default in the Runway tool, prebuilt calcs for this are in the Starter and Standard Models - https://foresight.is/models </t>
  </si>
  <si>
    <t>Inventory Accounts Payable</t>
  </si>
  <si>
    <t xml:space="preserve">liabilities to pay for inventory that you have contracted to receive, but not yet paid for.  if appliable. Not calculated by default in the Runway tool, prebuilt calcs for this are in the Starter and Standard Models - https://foresight.is/models </t>
  </si>
  <si>
    <t>Deferred Revenue Liability</t>
  </si>
  <si>
    <t>this is to handle revenue recognition, and it's an important one. For situations like upfront billing, while you receive the cash all at once, you can only recognize the revenue when the services are provided. The difference gets stored as a revenue liability, then this account is decreased over time as the revenue is recognized.</t>
  </si>
  <si>
    <t>Accrued Liabilities</t>
  </si>
  <si>
    <t xml:space="preserve">liabilites, or things you will owe in the future, but haven't been billed yet.  if appliable. Not calculated by default in the Runway tool, prebuilt calcs for this are in the Starter and Standard Models - https://foresight.is/models </t>
  </si>
  <si>
    <t xml:space="preserve">Optional. Not calculated by default in the Runway tool, prebuilt calcs for this are in the Starter and Standard Models - https://foresight.is/models </t>
  </si>
  <si>
    <t>Corporate Tax Payable</t>
  </si>
  <si>
    <t xml:space="preserve">handles accruing and paying corporate taxes. if appliable. Not calculated by default in the Runway tool, prebuilt calcs for this are in the Starter and Standard Models - https://foresight.is/models </t>
  </si>
  <si>
    <t>Value-Added Tax Payable</t>
  </si>
  <si>
    <t xml:space="preserve">Optional, if need to account for value-added tax (VAT) collections and disbursements. if appliable. Not calculated by default in the Runway tool, prebuilt calcs for this are in the Starter and Standard Models - https://foresight.is/models </t>
  </si>
  <si>
    <t>Working Capital Loan Facility</t>
  </si>
  <si>
    <t xml:space="preserve">working capital line is treated as a current liability. It is paid off or drawn down based on a couple simple assumptions about how it should be used.  if appliable. Not calculated by default in the Runway tool, prebuilt calcs for this are in the Starter and Standard Models - https://foresight.is/models </t>
  </si>
  <si>
    <t>Total Current Liabilities</t>
  </si>
  <si>
    <t>Noncurrent Liabilities</t>
  </si>
  <si>
    <t>Convertible Notes and SAFEs</t>
  </si>
  <si>
    <t>Tracks new convertible notes less any conversions to equity</t>
  </si>
  <si>
    <t>Assumes all debt taken out in the debt financing is long term debt. If that's not the case for you, edit the balance sheet to break out the short-term and long-term debt.</t>
  </si>
  <si>
    <t xml:space="preserve">Tracks accrued interest on convertibles or debt that is not paid. if appliable. Not calculated by default in the Runway tool, prebuilt calcs for this are in the Starter and Standard Models - https://foresight.is/models </t>
  </si>
  <si>
    <t>Optional, for Liability account</t>
  </si>
  <si>
    <t>Total Noncurrent Liabilities</t>
  </si>
  <si>
    <t>Stockholders Equity</t>
  </si>
  <si>
    <t>Owners Equity</t>
  </si>
  <si>
    <t>value of owner's equity, or cash put into the business</t>
  </si>
  <si>
    <t>value of external equity investments into the business</t>
  </si>
  <si>
    <t>value of external investments through SAFEs into the business</t>
  </si>
  <si>
    <t>Retained Earnings</t>
  </si>
  <si>
    <t>total value of past net income or loss, plus adjustments for conversion of convertible notes or SAFEs with discount rates or accured interest. Many accounting systems carry this until end of year and then move current year's net income into retained earnings; I update this monthly for simplicity. If you have a beginning cash balance, I plug the opposing account to Retained Earnings so that the balance sheet will balance. Feel free to edit this if you have a full opening balance sheet.</t>
  </si>
  <si>
    <t>current period's net income or loss</t>
  </si>
  <si>
    <t>Total Stockholders Equity</t>
  </si>
  <si>
    <t>Total Liabilities and Shareholder's Equity</t>
  </si>
  <si>
    <t>Check</t>
  </si>
  <si>
    <t>Check to make sure Assets == Liabilities + Shareholder's Equity. Should be zero for all periods.</t>
  </si>
  <si>
    <t>cash at beginning of period. Edit this on Get Started sheet</t>
  </si>
  <si>
    <t>calculated above on income statement</t>
  </si>
  <si>
    <t>Add: Depreciation</t>
  </si>
  <si>
    <t>add back a non-cash expense, depreciation</t>
  </si>
  <si>
    <t>Add: Amortization</t>
  </si>
  <si>
    <t>add back a non-cash expense, amortization</t>
  </si>
  <si>
    <t>Add: Changes in Working Capital</t>
  </si>
  <si>
    <t>accounting for changes in working capital (accounts receivable, inventory, accounts payable, accrued liabilities, prepaid expenses, etc.) that have not hit the income statement</t>
  </si>
  <si>
    <t>Net Cash Flow from Operations</t>
  </si>
  <si>
    <t>cash flow from operating the business</t>
  </si>
  <si>
    <t>capital expenditures, this period</t>
  </si>
  <si>
    <t>likely zero for your business.</t>
  </si>
  <si>
    <t>cash flow from investing in the business</t>
  </si>
  <si>
    <t>Change in Equity Investments</t>
  </si>
  <si>
    <t>new equity investment, this period, including any conversions from convertible notes or SAFEs</t>
  </si>
  <si>
    <t>Change in SAFE Investments</t>
  </si>
  <si>
    <t>Change in Convertible Debt Investments</t>
  </si>
  <si>
    <t>new equity investment, this period, less any conversions to equity</t>
  </si>
  <si>
    <t>New Debt Financing</t>
  </si>
  <si>
    <t>new debt, this period</t>
  </si>
  <si>
    <t>Changes in Owners Equity</t>
  </si>
  <si>
    <t>changes in owner equity</t>
  </si>
  <si>
    <t>debt repaid this period</t>
  </si>
  <si>
    <t>Draw (Repayment) on Working Capital Line</t>
  </si>
  <si>
    <t>amount drawn from (or paid back) on working capital facility</t>
  </si>
  <si>
    <t>Net Cash Flow from Financing</t>
  </si>
  <si>
    <t>cash flow from financing activities. This does not include dividends or other items, but feel free to edit if necessary</t>
  </si>
  <si>
    <t>Net Cash Flow</t>
  </si>
  <si>
    <t>total net cash flow from operations, investing, and financing</t>
  </si>
  <si>
    <t>cash at end of period. Note to see when it goes negative and when external financing is necessary.</t>
  </si>
  <si>
    <t>Foresight Template Comparison</t>
  </si>
  <si>
    <t>I offer a range of templates for venture funds and angels. Here's a breakdown of the models and how they compare.</t>
  </si>
  <si>
    <t>Template</t>
  </si>
  <si>
    <t>Link</t>
  </si>
  <si>
    <t>Software</t>
  </si>
  <si>
    <t>Usecase</t>
  </si>
  <si>
    <t>Price</t>
  </si>
  <si>
    <t>Time Scale</t>
  </si>
  <si>
    <t>Prebuilt Revenue Model</t>
  </si>
  <si>
    <t>Operating Expenses</t>
  </si>
  <si>
    <t>Hiring Plan</t>
  </si>
  <si>
    <t>Consolidated Financials</t>
  </si>
  <si>
    <t>Charts and Graphs</t>
  </si>
  <si>
    <t>Key Performance Metrics</t>
  </si>
  <si>
    <t>Historical Financials and Budget Variances</t>
  </si>
  <si>
    <t>Prebuilt Inventory Calcs</t>
  </si>
  <si>
    <t>Capital Structure (Equity, Debt, Grants, etc.)</t>
  </si>
  <si>
    <t>Cap Table and Valuation</t>
  </si>
  <si>
    <t>Runway and Cash Forecasting Tool</t>
  </si>
  <si>
    <t>https://foresight.is/runway-cash-forecasting</t>
  </si>
  <si>
    <t>Google Sheets, download to Excel</t>
  </si>
  <si>
    <t>Seed-stage companies building first model</t>
  </si>
  <si>
    <t>Free</t>
  </si>
  <si>
    <t>3 years</t>
  </si>
  <si>
    <t>Starter Financial Model</t>
  </si>
  <si>
    <t>https://foresight.is/starter-financial-model</t>
  </si>
  <si>
    <t>Excel, upload to Google Sheets</t>
  </si>
  <si>
    <t>Seed - A stage companies building their own custom revenue model</t>
  </si>
  <si>
    <t>$74 USD</t>
  </si>
  <si>
    <t>5 years</t>
  </si>
  <si>
    <t>Standard Financial Model</t>
  </si>
  <si>
    <t>https://foresight.is/standard-financial-model</t>
  </si>
  <si>
    <t>Seed - B stage companies leveraging the prebuilt revenue model or building their own</t>
  </si>
  <si>
    <t>$149 USD</t>
  </si>
  <si>
    <t>Standard Financial Model for SaaS</t>
  </si>
  <si>
    <r>
      <rPr>
        <color rgb="FF1155CC"/>
        <sz val="10.0"/>
        <u/>
      </rPr>
      <t>https://foresight</t>
    </r>
    <r>
      <rPr>
        <sz val="10.0"/>
      </rPr>
      <t>.is/saas-financial-model</t>
    </r>
  </si>
  <si>
    <t>Companies with SaaS business models</t>
  </si>
  <si>
    <t>Standard Financial Model for Ecommerce</t>
  </si>
  <si>
    <t>https://foresight.is/ecommerce-financial-model</t>
  </si>
  <si>
    <t>Companies with Ecommerce business models</t>
  </si>
  <si>
    <t>SaaS Forecasting Tool</t>
  </si>
  <si>
    <t>https://foresight.is/saas-forecasting-tool</t>
  </si>
  <si>
    <t>Seed-stage entrepreneurs wanting to understand how to forecast SaaS businesses</t>
  </si>
  <si>
    <t>Ecommerce ForecastingTool</t>
  </si>
  <si>
    <t>https://foresight.is/ecommerce-forecasting-tool</t>
  </si>
  <si>
    <t>Seed-stage entrepreneurs wanting to understand how to forecast Ecommerce businesses</t>
  </si>
  <si>
    <t>Unit Economics Tool</t>
  </si>
  <si>
    <t>https://foresight.is/unit-economics-template</t>
  </si>
  <si>
    <t>Seed - B stage companies wanting to detail their unit economics, LTV, and cash flows on a per-user (subscriber, client, customer, etc.) basis.</t>
  </si>
  <si>
    <t>~</t>
  </si>
  <si>
    <t>Enterprise SaaS Forecasting Tool</t>
  </si>
  <si>
    <t>https://foresight.is/enterprise-saas-template</t>
  </si>
  <si>
    <t>Enterprise SaaS businesses wanting to use an enterprise pipeline and specific customer method to forecast their revenues</t>
  </si>
  <si>
    <t>Key terms and definitions of financial concepts used in the model. More at https://foresight.is/learn/financial-statements , more to come</t>
  </si>
  <si>
    <t>Term</t>
  </si>
  <si>
    <t>Definition</t>
  </si>
  <si>
    <t>Model-specific variable that creates a structure for you to input and track operational metrics - e.g. customers, clients, orders, employees, etc. - that can be used as a driver for calculating other revenue and expense items in the model.</t>
  </si>
  <si>
    <r>
      <rPr>
        <sz val="10.0"/>
      </rPr>
      <t xml:space="preserve">Total value of transactions over a period of time. Not relevant for all businesses, most useful for marketplace businesses or payment businesses that process transactions, and take a cut of that for their own revenues. </t>
    </r>
    <r>
      <rPr>
        <color rgb="FF1155CC"/>
        <sz val="10.0"/>
        <u/>
      </rPr>
      <t>https://www.investopedia.com/terms/g/gross-merchandise-value.asp</t>
    </r>
  </si>
  <si>
    <t>Total value of new contracted revenue signed during a period of time. Naturally a forward-looking metric, helps understand future revenue potential. https://www.chargebee.com/blog/bookings-vs-billings-vs-revenue/</t>
  </si>
  <si>
    <r>
      <rPr>
        <sz val="10.0"/>
      </rPr>
      <t xml:space="preserve">Invoices billed to customers. </t>
    </r>
    <r>
      <rPr>
        <color rgb="FF1155CC"/>
        <sz val="10.0"/>
        <u/>
      </rPr>
      <t>https://www.chargebee.com/blog/bookings-vs-billings-vs-revenue/</t>
    </r>
  </si>
  <si>
    <t>Recognized revenues during period. More at https://foresight.is/learn/financial-statements</t>
  </si>
  <si>
    <r>
      <rPr>
        <sz val="10.0"/>
      </rPr>
      <t xml:space="preserve">Receivables collected. When cash is actually received by the company. </t>
    </r>
    <r>
      <rPr>
        <color rgb="FF1155CC"/>
        <sz val="10.0"/>
        <u/>
      </rPr>
      <t>https://foresight.is/learn/financial-statements</t>
    </r>
  </si>
  <si>
    <t>Revenue Type 1</t>
  </si>
  <si>
    <t>User-defined term to allow you to group revenues into different categories for reporting purposes</t>
  </si>
  <si>
    <t>Revenue Type 2</t>
  </si>
  <si>
    <t>User-defined term for a category of SG&amp;A (selling, general, and administration) expenses</t>
  </si>
  <si>
    <t>Category for cost of sales, expenses directly related to providing revenues to customers. https://foresight.is/learn/financial-statements</t>
  </si>
  <si>
    <r>
      <rPr>
        <sz val="10.0"/>
      </rPr>
      <t xml:space="preserve">CAPEX, expenses that are not directly expensed during period but are depreciated over a longer period of time. Background at </t>
    </r>
    <r>
      <rPr>
        <color rgb="FF1155CC"/>
        <sz val="10.0"/>
        <u/>
      </rPr>
      <t>https://foresight.is/learn/financial-statements</t>
    </r>
  </si>
  <si>
    <t>https://foresight.is/learn/financial-statements</t>
  </si>
  <si>
    <t>Expenses paid related to paying interest on outstanding debt.</t>
  </si>
  <si>
    <t>Income non-core to the business operations</t>
  </si>
  <si>
    <t>Expenses non-core to the business operations.</t>
  </si>
  <si>
    <t>Corporate taxes recognized during period. May require adjustment for specific local tax policies. Does not include VAT (Value-Added Tax), which is not reported through income statements but through balance sheet and statement of cash flows.</t>
  </si>
  <si>
    <t>External financing treated as equity</t>
  </si>
  <si>
    <t>Convertible Note and SAFE Investments</t>
  </si>
  <si>
    <t>This includes convertible notes, SAFE instruments. Technically many convertible debt investments are treated as debt, and SAFE as equity, so this could be split out in future versions of model.</t>
  </si>
  <si>
    <t>Debt Repayments</t>
  </si>
  <si>
    <t>Debt repaid; enter as positive or negative, model will convert it to use as a negative</t>
  </si>
  <si>
    <t>Here's what has changed.</t>
  </si>
  <si>
    <t>Version</t>
  </si>
  <si>
    <t>Date</t>
  </si>
  <si>
    <t>Applicable Models</t>
  </si>
  <si>
    <t>v5.2.5</t>
  </si>
  <si>
    <t>Standard Model, Starter Model, Runway Budget Tool</t>
  </si>
  <si>
    <t>Edited Accounts Receivable calculation to use new billings instead of revenues in the calculation</t>
  </si>
  <si>
    <t>v5.2.4</t>
  </si>
  <si>
    <t>Edited Forecast sheet, Convertible Note, SAFE, and Accrued Interest lines in Forecast section to remove the abs() part of the formula, so that entering in a negative amount to convert the note or SAFE (and accrued interest) would work correctly without requiring a manual edit</t>
  </si>
  <si>
    <t>v5.2.3</t>
  </si>
  <si>
    <t>Standard Model</t>
  </si>
  <si>
    <t>- Edits to line 29 and 30 on Key Metrics sheet to be more specific on what "customers" are included in CAC calculations
- Edits to Revenues sheet to create a new "bundling" feature. line 114 calculates the conversions after the conversion lag, line 115 is a bundling input, line 116 calculates conversions after bundling. some businesses may make sales over time, but when the sales start may not be the same period, but may bundle them together into groups. an example is in education, where you often sign up users but don't start charging them until school is in session, for example. this input is designed to say "yes" or "no" using a "1" or "0", respectively, to say whether the conversions should flow through (a "1") or be bundled and held until the next event ("0" until the period for them to flow through into the next "1"). Kind of specific for certain businesses; if you don't understand it, then it doesn't apply to you :)</t>
  </si>
  <si>
    <t>v5.2.2</t>
  </si>
  <si>
    <t>- Formula rationalization, reducing use of OFFSET and replacing with INDEX. Goal is to reduce use of volatile functions and improve performance (speed of recalculations). Forecast, Revenues, and Hiring Plan sheets first edit, will replace more OFFSET over time.
- Get Started and Revenues sheet, added new option for % billed upfront. Most cases it will be 100%, but in some cases (services, consulting, some enterprise contracts) there is a need for contracts to be paid at multiple times, on a non-every month or all billed upfront option. This implements a billing option where you can select to bill a % upfront in first month of contract, and the remainder at the end of the contract (on the last month of the contract)</t>
  </si>
  <si>
    <t>v5.2.1</t>
  </si>
  <si>
    <t>Standard Model only
- Edited Hiring Plan so it uses the timescale from Forecast sheet, without recalculating the timescale.
- Added a new assumption to Get Started for the revenue calculations on Revenues sheet so that the input for the starting number of revenue units is exposed on Get Started. No change in model functionality, just a slight addition to make it clearer where to make that input.
Standard, Starter, and Runway Budget Tool
- Edited the timescale on Forecast sheet row 7, so that it corrects the fiscal year for non-end of calendar year dates for the summaries</t>
  </si>
  <si>
    <t>v5.2.0</t>
  </si>
  <si>
    <t>Fixed a calculation on Revenues sheet where the seasonality for growth was calculating using the % growth, and not the new units that period. Simple quick change; in the current default template the seasonality impact is line 101, and it multiples line 10 by line 100, simply change it to multiply line 10 (the % seasonality that month) by line 99 (the new units that period)</t>
  </si>
  <si>
    <t>v5.1.9</t>
  </si>
  <si>
    <t>Fixed estimated taxes payable to use Taxes instead of Salaries lines, row 420 and 421 in the current default (thank you to user for finding this).</t>
  </si>
  <si>
    <t>v5.1.8</t>
  </si>
  <si>
    <t>Fixed COGS calculation in the inventory section (row 449 in the current default) to add to the SUMIFS to also look for Cost of Sales, so that it didn't accidentally pick up advertising and marketing costs used for CAC analysis.</t>
  </si>
  <si>
    <t>v5.1.7</t>
  </si>
  <si>
    <t>Extended the Revenues build (with additional assumptions on Get Started) to allow for a % of new revenue units to select two different churn / repeat cycles with separate revenue assumptions. This allows you to segment new customers/users/subscribers/clients into two separate bases, allowing you to assume annual/monthly billing, for example.
Edited Accounts Payable and Accrued Liabilites on Balance Sheet on Statements sheet to include previous period, so that the formulas are change per period + previous period (Thank you to user for finding this; while the Starter Model shares the same build for the Statements, this was only in the Standard Model).</t>
  </si>
  <si>
    <t>v5.1.6</t>
  </si>
  <si>
    <t>Starter Model, Standard Model, Budget Tool</t>
  </si>
  <si>
    <t>Edited Forecast sheet to include a new input line for "Changes in Accounts Receviable", and edited the accounts receivable calc to use that amount if used in the model. What this does is make it easier to use the actual changes in accounts receivable in the model; previously you had to compute cash collected to back into the change in accounts receivable, now it will do it directly using the change in AR you calculate from your actual balance sheet</t>
  </si>
  <si>
    <t>v5.1.5</t>
  </si>
  <si>
    <t>Edited line 89 (Taxes, forecast) and line 195 (Taxes, actuals + forecast) on Forecast sheet to correct an error introduced in previous version. Simple to change by adjusting those two lines.</t>
  </si>
  <si>
    <t>v5.1.4</t>
  </si>
  <si>
    <t>Added a new Key Metrics Sheet (focused on SaaS businesses) and a few new SaaS-specific metrics on the Forecast sheet.Added new Hiring Plan sheet to aid in detailing a hiring plan by putting it on a separate sheet.</t>
  </si>
  <si>
    <t>v5.1.3</t>
  </si>
  <si>
    <t>Added new full annual financial statements to Summary sheet (Balance Sheet, Statement of Cash Flows). Continued the edits from previous version on the remaining lines on Revenues, and also edited Forecast sheet to remove error that would occur for periods &lt; 72 months on Get Started input</t>
  </si>
  <si>
    <t>v5.1.2</t>
  </si>
  <si>
    <t>Edits to Revenues sheet in the cohort calculations to add the test for the period against the number of periods on Get Started, to remove error on Breakdown sheet that would occur for periods &lt; 72 months on Get Started</t>
  </si>
  <si>
    <t>v5.1.1</t>
  </si>
  <si>
    <t>Edits to Forecast sheet to correctly calculate Billings if the marketplace option is selected, rows 508 to 580 on Revenues Sheet</t>
  </si>
  <si>
    <t>v5.1.0</t>
  </si>
  <si>
    <t>Edits to Get Started and Forecast sheet to improve performance for ecommerce businesses. Now, if ecommerce is selected as the business type, it will change the churn input to a repeat input, and the calculations around churn and retention will flip to repeat rates.</t>
  </si>
  <si>
    <t>v5.0.9</t>
  </si>
  <si>
    <t>Edited row 114 - conversion lag - on Revenues sheet. Formula used wrong references to the timescale, so would fail to calculate conversions if you were using the lag (if assuming no lag, e.g. "0" input on Get Started for Conversion Lag input, then there was no error and this does not impact anything.)</t>
  </si>
  <si>
    <t>v5.0.8</t>
  </si>
  <si>
    <t>⭐ New Revenues build !!! Removed previous revenues build with a new structure for forecasting revenues. This puts the core revenue forecast on its own sheet, "Revenues", with the associated assumptions on Get Started. This has been in draft form for awhile, but today pushing the update. Likely some kinks to work out in the revenues calcs, because a number of alternative ways to calculate revenues are also included, so thank you for any input or notes on how it works. This update deprecates the "Presets" sheet, which is no longer used. Unit Economics sheet is also added in, note that by default it is not linked into the model but used for doing LTV calcs using the inputs from Get Started, but will likely need to be changed for your specific analysis.</t>
  </si>
  <si>
    <t>v5.0.7</t>
  </si>
  <si>
    <t>Updated the "Forecast, by categories" section to do the calcs for the "Changes in..." accounts differently. Previously, the calcs used abs(), which converted any negative changes to positive changes. Removed the abs() portion of the formulas so that the changes can reflect positive and negative changes, as it should.</t>
  </si>
  <si>
    <t>v5.0.6</t>
  </si>
  <si>
    <t>Starter Model, Standard Model</t>
  </si>
  <si>
    <t>Updated Budget sheet to better work with the budget, to include forecast + actuals during the time period selected</t>
  </si>
  <si>
    <t>v5.0.5</t>
  </si>
  <si>
    <t>Budget Tool, Starter Model, Standard Model</t>
  </si>
  <si>
    <t>Changed the core formula in the revenues, expenses section on the Forecast sheet to fix the implementation of Seasonality. Thank you Jeffrey for finding the issue.</t>
  </si>
  <si>
    <t>v5.0.4</t>
  </si>
  <si>
    <t>Added the default revenue model to the Standard Model. This uses the new v5 revenue core, with 1 conversion step / channel, on a separate sheet with separate assumptions, so that the revenue model is clearly a component to the model, and much easier to replicate to add additional revenue models as needed. (To replicate, simply select both the Revenues and Assumptions sheet, and duplicate them, to create a separate revenue model, then link into the core Forecast sheet).</t>
  </si>
  <si>
    <t>v5.0.3</t>
  </si>
  <si>
    <t>1. Added two basic valuation methods, for multiple-based (revenues or EBITDA) and discounted cash flow (DCF) to aid in understanding valuation basics.
2. Added in the Breakdown sheet, pulling over a feature from the previous Starter Model base that allows one to allocate revenues and expenses to segments to help communicate the performance of different business lines, etc. Altered the structure so that it can allocate revenues/costs different for forecast and actuals, allowing you to allocate costs from the same category (e.g. advertising expenses or salaries) to different segments without forcing you to allocate them to different categories, addressing an opportunity for improvement over the previous version.</t>
  </si>
  <si>
    <t>v5.0.2</t>
  </si>
  <si>
    <t>Two new features: 1) a prebuilt debt repayment amortization schedule, and 2) a reworked corporate income tax core to improve how to handle income tax expenses and payables. Added new structure for debt repayments into the forecast, fixed bug with pulling in actuals + forecast on forecast sheet (formula was correct in first column, not in the remainder), added options for more changes in balance sheet accounts into the forecast calc block (to aid in more detailed cash / accrual methods for expense treatments and balance sheet impacts)</t>
  </si>
  <si>
    <t>v5.0.1</t>
  </si>
  <si>
    <t>Updated to add in more options for balance sheet changes, prebuilt in Inventory calcs</t>
  </si>
  <si>
    <t>v5.0.0</t>
  </si>
  <si>
    <t>Consolidating model approach and Changelog for different model versions. Since the three base models - Pre-seed and Seed Financial Budget, Starter Financial Model, and Standard Financial Model - all share the same core, it's easier to think of it as one product - with one Changelog - with different versions. So I'm combining the Changelogs so that there's more clarity and consistency to managing the Changelog across the products. The Standard was on v5, the Starter on v4, the Budget Tool on v3, so everything got bumped up to v5 and will increment from there.</t>
  </si>
  <si>
    <t>v3.0.0</t>
  </si>
  <si>
    <t>Budget Tool</t>
  </si>
  <si>
    <t>Fresh new version of the Runway Tool, rebuilt in Google Sheets with a new approach to add new features, as well as make it even easier to use. New approach for using drivers to forecast revenues and expenses. Refactored Forecast sheet. New timescale options to do quarterly or annual models as well as monthly. A few features removed (cap table, unit economics used for forecasting), that may be added in the future.</t>
  </si>
  <si>
    <t>v2.09</t>
  </si>
  <si>
    <t>Forecast: Edited date format for the absolute date option to remove inconsistency with non-US date formats
Statements: Deleted line in cash flow from financing for grants to remove a double counting of grant cash flows. Thank you to a user for finding this bug.</t>
  </si>
  <si>
    <t>v2.08</t>
  </si>
  <si>
    <t>Forecast: Edited to remove the last uses of OFFSET function.
Forecast, Statements, Get Started: Added new feature to set the timescale to relative or absolute dates. Useful if you're forecasting something very new and the actual dates aren't relevant for you, and you just want to think in terms of Year 1, Year 2, etc.
Key Reports: Edited to allow to use relative dates if selected on Get Started
Key Reports: Edited the Sources and Uses to break out sources of cash in more detail. Also added a couple expense lines to the summarized expenses chart</t>
  </si>
  <si>
    <t>v2.07</t>
  </si>
  <si>
    <t>Forecast: Edited to remove (most) usage of OFFSET function. Working to standardize across templates to replace use of volative OFFSET with INDEX MATCH.
Forecast: Added columns to define sum, initial, final, etc., to provide easier ways to scan the overall numbers at a glance</t>
  </si>
  <si>
    <t>v2.06</t>
  </si>
  <si>
    <t>Forecast: Edited row 390 and 395 so that convertible notes and SAFES flow into cap table and financial statements correctly.</t>
  </si>
  <si>
    <t>v2.05</t>
  </si>
  <si>
    <t>Forecast: Edited line 16 so that the start date for the Growth is always used (carry the formula across all periods).</t>
  </si>
  <si>
    <t>v2.04</t>
  </si>
  <si>
    <t>Forecast: Small edit to treat grants and donations as other income. Takes the Grants and Donations input line from the Funding section and adds it to Other Income. Grants can be accounted for in many ways, as current period income, recognized over time, as credits against expenses, restricted, etc., so as always, you may need to detail this in more detail if Grants is an important part of your strategy.</t>
  </si>
  <si>
    <t>v2.03</t>
  </si>
  <si>
    <t>Forecast: Edited row 418 (investor share count) so it adds new shares per period, instead of compounding overtime
Statements: Removed work in progress (blank asset account) as a separate account</t>
  </si>
  <si>
    <t>v2.02</t>
  </si>
  <si>
    <t>Forecast: Edited row 328 (gross burn) to carry the formula from column L across the rest of the cells.
Key Reports: edited line 68 so it pulls the total correctly (mislinked to Taxes). Not used in any formulas or charts, no other implications.</t>
  </si>
  <si>
    <t>v2.01</t>
  </si>
  <si>
    <t>Unit Economics: Edited line 90 so that Transactions properly account for Churn</t>
  </si>
  <si>
    <t>v2.00</t>
  </si>
  <si>
    <t>Upgraded model, adding in Statements and additional features to power revenue recognition, depreciation, accounts receivable, and basic accruals for corporate taxes and VAT.
Summary: new sheet, to provide quick three year summary of cash flows and a couple key charts
Get Started: New assumptions to power new features, and a new Checks section to create a centralized set of checks on model performance, to make sure key calculations are performing correctly
Forecast: Deleted CAC calculations to simplify and make CAC clearer, and to focus on using Unit Economics to drive CAC and LTV calcs.</t>
  </si>
  <si>
    <t>v1.43</t>
  </si>
  <si>
    <t>Unit Economics: Reworked the unit economics sheet to better handle one-time and transaction style revenue streams, better labels for per period churn, more flexibility for use. Easy to upgrade.</t>
  </si>
  <si>
    <t>v1.42</t>
  </si>
  <si>
    <t>Unit Economics: Added new Unit Economics sheet, to help communicate the underlying unit economics of the business.</t>
  </si>
  <si>
    <t>v1.41</t>
  </si>
  <si>
    <t>Impact: New sheet, Impact, to help track impact metrics in addition to financial metrics. In partnership with Venture Better, https://venturebetter.org</t>
  </si>
  <si>
    <t>v1.4</t>
  </si>
  <si>
    <t>Forecast: Edits to cap table and ownership calculations. Changed line 113 to a monthly interest rate, and changed the formula in line 114 to use a monthly rate (changed the "y" to "m" in the formula. Edited line 109 to pick up unconverted notes better in different situations of funding round sequences.</t>
  </si>
  <si>
    <t>v1.3</t>
  </si>
  <si>
    <t>Forecast: Edits to lines 134, 135, and I140 to track existing ownership correctly.</t>
  </si>
  <si>
    <t>v1.2</t>
  </si>
  <si>
    <t>Completely new version that is based off a streamlined Starter Model (https://foresight.is/starter-financial-model). This includes a couple new features on costs and summary, but is largely the same as v1.1.
Key Reports: Added new chart at the bottom of sheet that compares traction, ownership, and cash on hand, to show how fundraises impact cash on hand and ownership (of founders). This was inspired by Thomas Korte of AngelPad (https://angelpad.org), thank you to Thomas for the idea.
Updated license terms to a Creative Commons license. See more on Github: https://github.com/foresighthq/runway-tool/</t>
  </si>
  <si>
    <t>v1.1</t>
  </si>
  <si>
    <t>Dates. Slight structural change which will have zero impact unless you are moving between Google Sheets and Excel regularly. The way I construct the date ranges in the model allows you to set any start date, and the model automatically figures out when the quarters and the years end. (Assuming calendar years equal fiscal years.) The original way I built this used array formulas. Google Sheets handles array formulas differently than Excel, and I've noticed that Google Sheets will properly convert array formulas from Excel, but Excel will often fail to convert array formulas from Google Sheets. So if you moved the model to Google Sheets and back to Excel, it would often create errors in all the calculations simply because Excel would fail to convert the formulas properly. So I was able to change the way the dates are calculated and stop using array formulas to end this issue. If you aren't importing in and out of Google Sheets this change is unnecessary.</t>
  </si>
  <si>
    <t>v1</t>
  </si>
  <si>
    <t>Initial release of the Runway Tool. This free tool can be used to model cash, expenses and revenues in a simple way to forecast burn and runway. This is inspired by Runway ( https://www.startuprunway.io ), a software tool to do the same thing. The major difference is that this tool can be modified by anyone in anyway, i.e. you can add in additional logic for forecasting expenses, revenues (i.e. model churn, MRR, etc.), and cash in any way you want. 
This tool is built into every Foresight model (see all models at https://foresight.is ), and all models contain prebuilt logic and structures to help you forecast these expensesand revenues easier. Modeling transaction, subscription, and marketplace businesses is already built in, from modeling growth efforts to conversions to revenues, etc., and does all the forecasting around fundraising needs automatically. They also creates full consolidated financial statements, a number of summaries and charts to present the business, detail out your hiring plan, forecast your cap table, and a number of other features used to help you forecast and manage your business.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</si>
</sst>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00_-;\-* #,##0.00_-;_-* &quot;-&quot;??_-;_-@"/>
    <numFmt numFmtId="165" formatCode="_-* #,##0_-;\-* #,##0_-;_-* &quot;-&quot;??_-;_-@"/>
    <numFmt numFmtId="166" formatCode="#,##0_);(#,##0);_(&quot;-&quot;_);_(@_)"/>
    <numFmt numFmtId="167" formatCode="_(* #,##0.00_);_(* \(#,##0.00\);_(* &quot;-&quot;??_);_(@_)"/>
    <numFmt numFmtId="168" formatCode="_(* #,##0_);_(* \(#,##0\);_(* &quot;-&quot;_);_(@_)"/>
    <numFmt numFmtId="169" formatCode="0.00\ \x"/>
    <numFmt numFmtId="170" formatCode="_(* #,##0_);_(* \(#,##0\);_(* &quot;-&quot;??_);_(@_)"/>
    <numFmt numFmtId="171" formatCode="Q0"/>
    <numFmt numFmtId="172" formatCode="&quot;Year&quot; #,##0_);(#,##0);_(&quot;-&quot;_);_(@_)"/>
    <numFmt numFmtId="173" formatCode="M/d/yyyy"/>
  </numFmts>
  <fonts count="37">
    <font>
      <sz val="12.0"/>
      <color theme="1"/>
      <name val="Arial"/>
      <scheme val="minor"/>
    </font>
    <font>
      <sz val="10.0"/>
      <color theme="1"/>
      <name val="Arial"/>
      <scheme val="minor"/>
    </font>
    <font>
      <b/>
      <sz val="14.0"/>
      <color theme="1"/>
      <name val="Arial"/>
      <scheme val="minor"/>
    </font>
    <font>
      <sz val="10.0"/>
      <color rgb="FF666666"/>
      <name val="Arial"/>
      <scheme val="minor"/>
    </font>
    <font>
      <sz val="10.0"/>
      <color rgb="FF000000"/>
      <name val="Arial"/>
      <scheme val="minor"/>
    </font>
    <font>
      <b/>
      <sz val="10.0"/>
      <color theme="1"/>
      <name val="Arial"/>
      <scheme val="minor"/>
    </font>
    <font>
      <sz val="10.0"/>
      <color rgb="FF000000"/>
    </font>
    <font>
      <u/>
      <sz val="10.0"/>
      <color rgb="FF0000FF"/>
    </font>
    <font>
      <b/>
      <sz val="12.0"/>
      <color theme="1"/>
      <name val="Arial"/>
      <scheme val="minor"/>
    </font>
    <font>
      <u/>
      <sz val="10.0"/>
      <color rgb="FF1155CC"/>
    </font>
    <font>
      <u/>
      <sz val="10.0"/>
      <color rgb="FF0000FF"/>
    </font>
    <font>
      <i/>
      <sz val="10.0"/>
      <color rgb="FF000000"/>
      <name val="&quot;Avenir Book&quot;"/>
    </font>
    <font>
      <u/>
      <sz val="10.0"/>
      <color rgb="FF1155CC"/>
      <name val="Arial"/>
    </font>
    <font>
      <sz val="10.0"/>
      <color rgb="FF000000"/>
      <name val="&quot;Avenir Book&quot;"/>
    </font>
    <font>
      <sz val="10.0"/>
      <color rgb="FF0000FF"/>
      <name val="Arial"/>
      <scheme val="minor"/>
    </font>
    <font>
      <b/>
      <i/>
      <sz val="10.0"/>
      <color theme="1"/>
      <name val="Arial"/>
      <scheme val="minor"/>
    </font>
    <font>
      <i/>
      <sz val="10.0"/>
      <color theme="1"/>
      <name val="Arial"/>
      <scheme val="minor"/>
    </font>
    <font>
      <sz val="12.0"/>
      <color rgb="FF000000"/>
      <name val="&quot;Avenir Book&quot;"/>
    </font>
    <font>
      <b/>
      <sz val="14.0"/>
      <color theme="1"/>
      <name val="Arial"/>
    </font>
    <font>
      <sz val="8.0"/>
      <color rgb="FF666666"/>
      <name val="Arial"/>
      <scheme val="minor"/>
    </font>
    <font>
      <sz val="10.0"/>
      <color theme="1"/>
      <name val="Arial"/>
    </font>
    <font>
      <color theme="1"/>
      <name val="Arial"/>
      <scheme val="minor"/>
    </font>
    <font>
      <sz val="10.0"/>
      <color rgb="FF0000FF"/>
      <name val="Arial"/>
    </font>
    <font>
      <b/>
      <sz val="10.0"/>
      <color theme="1"/>
      <name val="Arial"/>
    </font>
    <font>
      <sz val="10.0"/>
      <color rgb="FFFF0000"/>
      <name val="Arial"/>
    </font>
    <font>
      <b/>
      <sz val="12.0"/>
      <color theme="1"/>
      <name val="Arial"/>
    </font>
    <font>
      <sz val="10.0"/>
      <color rgb="FF434343"/>
      <name val="Arial"/>
    </font>
    <font>
      <i/>
      <sz val="10.0"/>
      <color theme="1"/>
      <name val="Arial"/>
    </font>
    <font>
      <sz val="12.0"/>
      <color theme="1"/>
      <name val="Arial"/>
    </font>
    <font>
      <sz val="10.0"/>
      <color rgb="FFFFFFFF"/>
      <name val="Arial"/>
    </font>
    <font>
      <sz val="11.0"/>
      <color rgb="FF000000"/>
      <name val="Inconsolata"/>
    </font>
    <font>
      <sz val="10.0"/>
      <color rgb="FFFFFFFF"/>
      <name val="Arial"/>
      <scheme val="minor"/>
    </font>
    <font>
      <sz val="10.0"/>
      <color rgb="FF3366FF"/>
      <name val="Arial"/>
      <scheme val="minor"/>
    </font>
    <font>
      <u/>
      <sz val="10.0"/>
      <color rgb="FF0000FF"/>
    </font>
    <font>
      <u/>
      <sz val="10.0"/>
      <color rgb="FF1155CC"/>
    </font>
    <font>
      <u/>
      <sz val="10.0"/>
      <color rgb="FF0000FF"/>
    </font>
    <font>
      <sz val="10.0"/>
      <color theme="1"/>
      <name val="Avenir"/>
    </font>
  </fonts>
  <fills count="5">
    <fill>
      <patternFill patternType="none"/>
    </fill>
    <fill>
      <patternFill patternType="lightGray"/>
    </fill>
    <fill>
      <patternFill patternType="solid">
        <fgColor rgb="FFF2F2F2"/>
        <bgColor rgb="FFF2F2F2"/>
      </patternFill>
    </fill>
    <fill>
      <patternFill patternType="solid">
        <fgColor rgb="FFF3F3F3"/>
        <bgColor rgb="FFF3F3F3"/>
      </patternFill>
    </fill>
    <fill>
      <patternFill patternType="solid">
        <fgColor rgb="FFFFFFFF"/>
        <bgColor rgb="FFFFFFFF"/>
      </patternFill>
    </fill>
  </fills>
  <borders count="8">
    <border/>
    <border>
      <right/>
    </border>
    <border>
      <left/>
      <right/>
      <top/>
      <bottom/>
    </border>
    <border>
      <bottom style="thin">
        <color rgb="FF000000"/>
      </bottom>
    </border>
    <border>
      <top style="thin">
        <color rgb="FF000000"/>
      </top>
    </border>
    <border>
      <top style="thin">
        <color rgb="FF000000"/>
      </top>
      <bottom style="double">
        <color rgb="FF000000"/>
      </bottom>
    </border>
    <border>
      <left/>
      <right/>
      <top/>
    </border>
    <border>
      <right/>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vertical="top" wrapText="1"/>
    </xf>
    <xf borderId="0" fillId="0" fontId="4" numFmtId="0" xfId="0" applyAlignment="1" applyFont="1">
      <alignment readingOrder="0" shrinkToFit="0" wrapText="1"/>
    </xf>
    <xf borderId="0" fillId="0" fontId="6" numFmtId="0" xfId="0" applyAlignment="1" applyFont="1">
      <alignment readingOrder="0" shrinkToFit="0" vertical="top" wrapText="1"/>
    </xf>
    <xf borderId="0" fillId="0" fontId="1" numFmtId="0" xfId="0" applyAlignment="1" applyFont="1">
      <alignment readingOrder="0" shrinkToFit="0" vertical="top" wrapText="1"/>
    </xf>
    <xf borderId="0" fillId="0" fontId="5"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8" numFmtId="0" xfId="0" applyAlignment="1" applyFont="1">
      <alignment readingOrder="0" shrinkToFit="0" vertical="top" wrapText="1"/>
    </xf>
    <xf borderId="0" fillId="0" fontId="1" numFmtId="0" xfId="0" applyAlignment="1" applyFont="1">
      <alignment readingOrder="0" vertical="top"/>
    </xf>
    <xf borderId="0" fillId="0" fontId="4" numFmtId="0" xfId="0" applyAlignment="1" applyFont="1">
      <alignment readingOrder="0" shrinkToFit="0" vertical="top" wrapText="1"/>
    </xf>
    <xf borderId="0" fillId="0" fontId="1" numFmtId="0" xfId="0" applyAlignment="1" applyFont="1">
      <alignment vertical="top"/>
    </xf>
    <xf borderId="0" fillId="0" fontId="4"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vertical="top"/>
    </xf>
    <xf borderId="0" fillId="0" fontId="1" numFmtId="0" xfId="0" applyAlignment="1" applyFont="1">
      <alignment readingOrder="0"/>
    </xf>
    <xf borderId="0" fillId="0" fontId="1" numFmtId="0" xfId="0" applyAlignment="1" applyFont="1">
      <alignment readingOrder="0" shrinkToFit="0" vertical="top" wrapText="1"/>
    </xf>
    <xf borderId="0" fillId="0" fontId="11" numFmtId="0" xfId="0" applyAlignment="1" applyFont="1">
      <alignment readingOrder="0" shrinkToFit="0" vertical="bottom" wrapText="1"/>
    </xf>
    <xf borderId="0" fillId="0" fontId="12" numFmtId="0" xfId="0" applyAlignment="1" applyFont="1">
      <alignment readingOrder="0" shrinkToFit="0" vertical="bottom" wrapText="1"/>
    </xf>
    <xf borderId="0" fillId="0" fontId="13" numFmtId="0" xfId="0" applyAlignment="1" applyFont="1">
      <alignment shrinkToFit="0" vertical="bottom" wrapText="1"/>
    </xf>
    <xf borderId="0" fillId="0" fontId="13"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1" numFmtId="0" xfId="0" applyAlignment="1" applyFont="1">
      <alignment horizontal="center"/>
    </xf>
    <xf borderId="1" fillId="0" fontId="3" numFmtId="0" xfId="0" applyAlignment="1" applyBorder="1" applyFont="1">
      <alignment shrinkToFit="0" vertical="bottom" wrapText="0"/>
    </xf>
    <xf borderId="0" fillId="0" fontId="8" numFmtId="0" xfId="0" applyAlignment="1" applyFont="1">
      <alignment vertical="bottom"/>
    </xf>
    <xf borderId="0" fillId="0" fontId="1" numFmtId="164" xfId="0" applyAlignment="1" applyFont="1" applyNumberFormat="1">
      <alignment horizontal="center"/>
    </xf>
    <xf borderId="0" fillId="0" fontId="1" numFmtId="0" xfId="0" applyAlignment="1" applyFont="1">
      <alignment vertical="bottom"/>
    </xf>
    <xf borderId="0" fillId="0" fontId="1" numFmtId="0" xfId="0" applyAlignment="1" applyFont="1">
      <alignment readingOrder="0" vertical="bottom"/>
    </xf>
    <xf borderId="2" fillId="2" fontId="14" numFmtId="165" xfId="0" applyAlignment="1" applyBorder="1" applyFill="1" applyFont="1" applyNumberFormat="1">
      <alignment horizontal="right"/>
    </xf>
    <xf borderId="0" fillId="0" fontId="1" numFmtId="0" xfId="0" applyFont="1"/>
    <xf borderId="2" fillId="2" fontId="14" numFmtId="0" xfId="0" applyAlignment="1" applyBorder="1" applyFont="1">
      <alignment horizontal="right" readingOrder="0"/>
    </xf>
    <xf borderId="2" fillId="2" fontId="14" numFmtId="165" xfId="0" applyAlignment="1" applyBorder="1" applyFont="1" applyNumberFormat="1">
      <alignment readingOrder="0"/>
    </xf>
    <xf borderId="2" fillId="2" fontId="14" numFmtId="17" xfId="0" applyAlignment="1" applyBorder="1" applyFont="1" applyNumberFormat="1">
      <alignment readingOrder="0"/>
    </xf>
    <xf borderId="0" fillId="0" fontId="15" numFmtId="0" xfId="0" applyAlignment="1" applyFont="1">
      <alignment vertical="bottom"/>
    </xf>
    <xf borderId="0" fillId="0" fontId="0" numFmtId="0" xfId="0" applyAlignment="1" applyFont="1">
      <alignment horizontal="center" vertical="bottom"/>
    </xf>
    <xf borderId="0" fillId="0" fontId="15" numFmtId="0" xfId="0" applyAlignment="1" applyFont="1">
      <alignment readingOrder="0" vertical="bottom"/>
    </xf>
    <xf borderId="0" fillId="0" fontId="8" numFmtId="164" xfId="0" applyAlignment="1" applyFont="1" applyNumberFormat="1">
      <alignment readingOrder="0"/>
    </xf>
    <xf borderId="0" fillId="0" fontId="1" numFmtId="164" xfId="0" applyFont="1" applyNumberFormat="1"/>
    <xf borderId="0" fillId="0" fontId="3" numFmtId="164" xfId="0" applyFont="1" applyNumberFormat="1"/>
    <xf borderId="0" fillId="0" fontId="1" numFmtId="0" xfId="0" applyAlignment="1" applyFont="1">
      <alignment shrinkToFit="0" wrapText="1"/>
    </xf>
    <xf borderId="2" fillId="2" fontId="14" numFmtId="165" xfId="0" applyAlignment="1" applyBorder="1" applyFont="1" applyNumberFormat="1">
      <alignment horizontal="center"/>
    </xf>
    <xf borderId="0" fillId="3" fontId="14" numFmtId="166" xfId="0" applyAlignment="1" applyFill="1" applyFont="1" applyNumberFormat="1">
      <alignment horizontal="right" readingOrder="0" vertical="bottom"/>
    </xf>
    <xf borderId="0" fillId="0" fontId="16" numFmtId="164" xfId="0" applyFont="1" applyNumberFormat="1"/>
    <xf borderId="2" fillId="2" fontId="14" numFmtId="165" xfId="0" applyBorder="1" applyFont="1" applyNumberFormat="1"/>
    <xf borderId="0" fillId="0" fontId="16" numFmtId="164" xfId="0" applyAlignment="1" applyFont="1" applyNumberFormat="1">
      <alignment readingOrder="0"/>
    </xf>
    <xf borderId="0" fillId="0" fontId="1" numFmtId="164" xfId="0" applyAlignment="1" applyFont="1" applyNumberFormat="1">
      <alignment readingOrder="0"/>
    </xf>
    <xf borderId="2" fillId="2" fontId="14" numFmtId="9" xfId="0" applyAlignment="1" applyBorder="1" applyFont="1" applyNumberFormat="1">
      <alignment readingOrder="0"/>
    </xf>
    <xf borderId="2" fillId="2" fontId="14" numFmtId="9" xfId="0" applyBorder="1" applyFont="1" applyNumberFormat="1"/>
    <xf borderId="2" fillId="2" fontId="14" numFmtId="165" xfId="0" applyAlignment="1" applyBorder="1" applyFont="1" applyNumberFormat="1">
      <alignment horizontal="right" readingOrder="0"/>
    </xf>
    <xf borderId="0" fillId="0" fontId="17" numFmtId="0" xfId="0" applyAlignment="1" applyFont="1">
      <alignment shrinkToFit="0" vertical="bottom" wrapText="0"/>
    </xf>
    <xf borderId="0" fillId="0" fontId="17" numFmtId="0" xfId="0" applyAlignment="1" applyFont="1">
      <alignment vertical="bottom"/>
    </xf>
    <xf borderId="0" fillId="0" fontId="1" numFmtId="167" xfId="0" applyAlignment="1" applyFont="1" applyNumberFormat="1">
      <alignment horizontal="left"/>
    </xf>
    <xf borderId="0" fillId="0" fontId="1" numFmtId="9" xfId="0" applyFont="1" applyNumberFormat="1"/>
    <xf borderId="0" fillId="0" fontId="3" numFmtId="164" xfId="0" applyAlignment="1" applyFont="1" applyNumberFormat="1">
      <alignment readingOrder="0"/>
    </xf>
    <xf borderId="0" fillId="0" fontId="1" numFmtId="164" xfId="0" applyAlignment="1" applyFont="1" applyNumberFormat="1">
      <alignment horizontal="right"/>
    </xf>
    <xf borderId="0" fillId="0" fontId="18" numFmtId="0" xfId="0" applyAlignment="1" applyFont="1">
      <alignment readingOrder="0" vertical="bottom"/>
    </xf>
    <xf borderId="3" fillId="0" fontId="1" numFmtId="164" xfId="0" applyBorder="1" applyFont="1" applyNumberFormat="1"/>
    <xf borderId="3" fillId="0" fontId="1" numFmtId="1" xfId="0" applyBorder="1" applyFont="1" applyNumberFormat="1"/>
    <xf borderId="0" fillId="0" fontId="19" numFmtId="0" xfId="0" applyAlignment="1" applyFont="1">
      <alignment horizontal="right" vertical="top"/>
    </xf>
    <xf borderId="0" fillId="0" fontId="1" numFmtId="168" xfId="0" applyFont="1" applyNumberFormat="1"/>
    <xf borderId="0" fillId="0" fontId="1" numFmtId="169" xfId="0" applyAlignment="1" applyFont="1" applyNumberFormat="1">
      <alignment horizontal="right"/>
    </xf>
    <xf borderId="0" fillId="0" fontId="1" numFmtId="170" xfId="0" applyFont="1" applyNumberFormat="1"/>
    <xf borderId="4" fillId="0" fontId="1" numFmtId="168" xfId="0" applyBorder="1" applyFont="1" applyNumberFormat="1"/>
    <xf borderId="5" fillId="0" fontId="1" numFmtId="168" xfId="0" applyBorder="1" applyFont="1" applyNumberFormat="1"/>
    <xf borderId="0" fillId="0" fontId="5" numFmtId="164" xfId="0" applyAlignment="1" applyFont="1" applyNumberFormat="1">
      <alignment readingOrder="0"/>
    </xf>
    <xf borderId="0" fillId="0" fontId="1" numFmtId="1" xfId="0" applyAlignment="1" applyFont="1" applyNumberFormat="1">
      <alignment horizontal="right"/>
    </xf>
    <xf borderId="3" fillId="0" fontId="1" numFmtId="1" xfId="0" applyAlignment="1" applyBorder="1" applyFont="1" applyNumberFormat="1">
      <alignment horizontal="right"/>
    </xf>
    <xf borderId="0" fillId="0" fontId="19" numFmtId="2" xfId="0" applyAlignment="1" applyFont="1" applyNumberFormat="1">
      <alignment horizontal="right" vertical="top"/>
    </xf>
    <xf borderId="0" fillId="0" fontId="1" numFmtId="168" xfId="0" applyAlignment="1" applyFont="1" applyNumberFormat="1">
      <alignment readingOrder="0"/>
    </xf>
    <xf borderId="0" fillId="0" fontId="20" numFmtId="0" xfId="0" applyAlignment="1" applyFont="1">
      <alignment horizontal="center" vertical="bottom"/>
    </xf>
    <xf borderId="0" fillId="0" fontId="20" numFmtId="0" xfId="0" applyAlignment="1" applyFont="1">
      <alignment vertical="bottom"/>
    </xf>
    <xf borderId="0" fillId="0" fontId="20" numFmtId="0" xfId="0" applyAlignment="1" applyFont="1">
      <alignment readingOrder="0" vertical="bottom"/>
    </xf>
    <xf borderId="3" fillId="0" fontId="20" numFmtId="0" xfId="0" applyAlignment="1" applyBorder="1" applyFont="1">
      <alignment readingOrder="0" vertical="bottom"/>
    </xf>
    <xf borderId="3" fillId="0" fontId="21" numFmtId="0" xfId="0" applyAlignment="1" applyBorder="1" applyFont="1">
      <alignment horizontal="center"/>
    </xf>
    <xf borderId="3" fillId="0" fontId="20" numFmtId="0" xfId="0" applyAlignment="1" applyBorder="1" applyFont="1">
      <alignment vertical="bottom"/>
    </xf>
    <xf borderId="3" fillId="0" fontId="20" numFmtId="166" xfId="0" applyAlignment="1" applyBorder="1" applyFont="1" applyNumberFormat="1">
      <alignment horizontal="right" vertical="bottom"/>
    </xf>
    <xf borderId="3" fillId="0" fontId="20" numFmtId="171" xfId="0" applyAlignment="1" applyBorder="1" applyFont="1" applyNumberFormat="1">
      <alignment vertical="bottom"/>
    </xf>
    <xf borderId="3" fillId="0" fontId="20" numFmtId="172" xfId="0" applyAlignment="1" applyBorder="1" applyFont="1" applyNumberFormat="1">
      <alignment horizontal="right" vertical="bottom"/>
    </xf>
    <xf borderId="0" fillId="0" fontId="20" numFmtId="166" xfId="0" applyAlignment="1" applyFont="1" applyNumberFormat="1">
      <alignment horizontal="center" readingOrder="0" vertical="bottom"/>
    </xf>
    <xf borderId="0" fillId="0" fontId="20" numFmtId="166" xfId="0" applyAlignment="1" applyFont="1" applyNumberFormat="1">
      <alignment horizontal="right" vertical="bottom"/>
    </xf>
    <xf borderId="0" fillId="0" fontId="20" numFmtId="171" xfId="0" applyAlignment="1" applyFont="1" applyNumberFormat="1">
      <alignment vertical="bottom"/>
    </xf>
    <xf borderId="0" fillId="0" fontId="20" numFmtId="0" xfId="0" applyAlignment="1" applyFont="1">
      <alignment horizontal="right" vertical="bottom"/>
    </xf>
    <xf borderId="0" fillId="0" fontId="20" numFmtId="14" xfId="0" applyAlignment="1" applyFont="1" applyNumberFormat="1">
      <alignment horizontal="right" vertical="bottom"/>
    </xf>
    <xf borderId="0" fillId="3" fontId="22" numFmtId="173" xfId="0" applyAlignment="1" applyFont="1" applyNumberFormat="1">
      <alignment horizontal="right" vertical="bottom"/>
    </xf>
    <xf borderId="0" fillId="0" fontId="20" numFmtId="0" xfId="0" applyAlignment="1" applyFont="1">
      <alignment horizontal="center" readingOrder="0" vertical="bottom"/>
    </xf>
    <xf borderId="0" fillId="0" fontId="20" numFmtId="166" xfId="0" applyAlignment="1" applyFont="1" applyNumberFormat="1">
      <alignment vertical="bottom"/>
    </xf>
    <xf borderId="0" fillId="0" fontId="20" numFmtId="9" xfId="0" applyAlignment="1" applyFont="1" applyNumberFormat="1">
      <alignment horizontal="right" vertical="bottom"/>
    </xf>
    <xf borderId="0" fillId="0" fontId="20" numFmtId="9" xfId="0" applyAlignment="1" applyFont="1" applyNumberFormat="1">
      <alignment vertical="bottom"/>
    </xf>
    <xf borderId="0" fillId="0" fontId="23" numFmtId="0" xfId="0" applyAlignment="1" applyFont="1">
      <alignment readingOrder="0" vertical="bottom"/>
    </xf>
    <xf borderId="0" fillId="0" fontId="24" numFmtId="166" xfId="0" applyAlignment="1" applyFont="1" applyNumberFormat="1">
      <alignment readingOrder="0" vertical="bottom"/>
    </xf>
    <xf borderId="0" fillId="0" fontId="25" numFmtId="0" xfId="0" applyAlignment="1" applyFont="1">
      <alignment readingOrder="0" vertical="bottom"/>
    </xf>
    <xf borderId="0" fillId="0" fontId="26" numFmtId="0" xfId="0" applyAlignment="1" applyFont="1">
      <alignment readingOrder="0" vertical="bottom"/>
    </xf>
    <xf borderId="3" fillId="0" fontId="20" numFmtId="0" xfId="0" applyAlignment="1" applyBorder="1" applyFont="1">
      <alignment horizontal="center" vertical="bottom"/>
    </xf>
    <xf borderId="3" fillId="0" fontId="20" numFmtId="166" xfId="0" applyAlignment="1" applyBorder="1" applyFont="1" applyNumberFormat="1">
      <alignment horizontal="center" readingOrder="0" shrinkToFit="0" vertical="bottom" wrapText="1"/>
    </xf>
    <xf borderId="0" fillId="0" fontId="20" numFmtId="166" xfId="0" applyAlignment="1" applyFont="1" applyNumberFormat="1">
      <alignment readingOrder="0" vertical="bottom"/>
    </xf>
    <xf borderId="0" fillId="0" fontId="20" numFmtId="168" xfId="0" applyAlignment="1" applyFont="1" applyNumberFormat="1">
      <alignment horizontal="center"/>
    </xf>
    <xf borderId="2" fillId="2" fontId="22" numFmtId="168" xfId="0" applyAlignment="1" applyBorder="1" applyFont="1" applyNumberFormat="1">
      <alignment readingOrder="0"/>
    </xf>
    <xf borderId="0" fillId="2" fontId="22" numFmtId="166" xfId="0" applyAlignment="1" applyFont="1" applyNumberFormat="1">
      <alignment horizontal="center" readingOrder="0" vertical="bottom"/>
    </xf>
    <xf borderId="2" fillId="2" fontId="22" numFmtId="9" xfId="0" applyAlignment="1" applyBorder="1" applyFont="1" applyNumberFormat="1">
      <alignment readingOrder="0"/>
    </xf>
    <xf borderId="0" fillId="2" fontId="21" numFmtId="0" xfId="0" applyAlignment="1" applyFont="1">
      <alignment readingOrder="0"/>
    </xf>
    <xf borderId="2" fillId="2" fontId="22" numFmtId="168" xfId="0" applyBorder="1" applyFont="1" applyNumberFormat="1"/>
    <xf borderId="0" fillId="2" fontId="21" numFmtId="0" xfId="0" applyFont="1"/>
    <xf borderId="0" fillId="0" fontId="27" numFmtId="168" xfId="0" applyFont="1" applyNumberFormat="1"/>
    <xf borderId="0" fillId="0" fontId="20" numFmtId="168" xfId="0" applyFont="1" applyNumberFormat="1"/>
    <xf borderId="0" fillId="0" fontId="27" numFmtId="168" xfId="0" applyAlignment="1" applyFont="1" applyNumberFormat="1">
      <alignment horizontal="center"/>
    </xf>
    <xf borderId="0" fillId="0" fontId="20" numFmtId="168" xfId="0" applyAlignment="1" applyFont="1" applyNumberFormat="1">
      <alignment horizontal="center" readingOrder="0"/>
    </xf>
    <xf borderId="0" fillId="0" fontId="20" numFmtId="168" xfId="0" applyAlignment="1" applyFont="1" applyNumberFormat="1">
      <alignment readingOrder="0"/>
    </xf>
    <xf borderId="0" fillId="0" fontId="21" numFmtId="0" xfId="0" applyFont="1"/>
    <xf borderId="0" fillId="0" fontId="22" numFmtId="168" xfId="0" applyAlignment="1" applyFont="1" applyNumberFormat="1">
      <alignment readingOrder="0"/>
    </xf>
    <xf borderId="0" fillId="2" fontId="28" numFmtId="166" xfId="0" applyFont="1" applyNumberFormat="1"/>
    <xf borderId="0" fillId="0" fontId="29" numFmtId="166" xfId="0" applyAlignment="1" applyFont="1" applyNumberFormat="1">
      <alignment vertical="bottom"/>
    </xf>
    <xf borderId="0" fillId="2" fontId="28" numFmtId="166" xfId="0" applyAlignment="1" applyFont="1" applyNumberFormat="1">
      <alignment readingOrder="0"/>
    </xf>
    <xf borderId="0" fillId="0" fontId="1" numFmtId="166" xfId="0" applyFont="1" applyNumberFormat="1"/>
    <xf borderId="0" fillId="0" fontId="16" numFmtId="0" xfId="0" applyAlignment="1" applyFont="1">
      <alignment readingOrder="0"/>
    </xf>
    <xf borderId="0" fillId="0" fontId="16" numFmtId="168" xfId="0" applyAlignment="1" applyFont="1" applyNumberFormat="1">
      <alignment readingOrder="0"/>
    </xf>
    <xf borderId="6" fillId="2" fontId="22" numFmtId="168" xfId="0" applyAlignment="1" applyBorder="1" applyFont="1" applyNumberFormat="1">
      <alignment readingOrder="0"/>
    </xf>
    <xf borderId="0" fillId="2" fontId="22" numFmtId="168" xfId="0" applyAlignment="1" applyFont="1" applyNumberFormat="1">
      <alignment readingOrder="0"/>
    </xf>
    <xf borderId="0" fillId="0" fontId="1" numFmtId="168" xfId="0" applyAlignment="1" applyFont="1" applyNumberFormat="1">
      <alignment horizontal="left" readingOrder="0"/>
    </xf>
    <xf borderId="0" fillId="2" fontId="14" numFmtId="165" xfId="0" applyAlignment="1" applyFont="1" applyNumberFormat="1">
      <alignment horizontal="right" readingOrder="0" vertical="bottom"/>
    </xf>
    <xf borderId="7" fillId="2" fontId="14" numFmtId="165" xfId="0" applyAlignment="1" applyBorder="1" applyFont="1" applyNumberFormat="1">
      <alignment horizontal="right" readingOrder="0" vertical="bottom"/>
    </xf>
    <xf borderId="0" fillId="0" fontId="16" numFmtId="168" xfId="0" applyAlignment="1" applyFont="1" applyNumberFormat="1">
      <alignment horizontal="left" readingOrder="0"/>
    </xf>
    <xf borderId="7" fillId="0" fontId="1" numFmtId="165" xfId="0" applyAlignment="1" applyBorder="1" applyFont="1" applyNumberFormat="1">
      <alignment horizontal="right" readingOrder="0" vertical="bottom"/>
    </xf>
    <xf borderId="1" fillId="0" fontId="1" numFmtId="165" xfId="0" applyAlignment="1" applyBorder="1" applyFont="1" applyNumberFormat="1">
      <alignment horizontal="right" readingOrder="0" vertical="bottom"/>
    </xf>
    <xf borderId="4" fillId="0" fontId="1" numFmtId="165" xfId="0" applyBorder="1" applyFont="1" applyNumberFormat="1"/>
    <xf borderId="0" fillId="0" fontId="1" numFmtId="165" xfId="0" applyFont="1" applyNumberFormat="1"/>
    <xf borderId="0" fillId="4" fontId="4" numFmtId="0" xfId="0" applyAlignment="1" applyFill="1" applyFont="1">
      <alignment readingOrder="0"/>
    </xf>
    <xf borderId="0" fillId="4" fontId="30" numFmtId="0" xfId="0" applyAlignment="1" applyFont="1">
      <alignment readingOrder="0"/>
    </xf>
    <xf borderId="0" fillId="0" fontId="20" numFmtId="172" xfId="0" applyAlignment="1" applyFont="1" applyNumberFormat="1">
      <alignment horizontal="right" vertical="bottom"/>
    </xf>
    <xf borderId="4" fillId="0" fontId="20" numFmtId="0" xfId="0" applyAlignment="1" applyBorder="1" applyFont="1">
      <alignment readingOrder="0" vertical="bottom"/>
    </xf>
    <xf borderId="4" fillId="0" fontId="20" numFmtId="166" xfId="0" applyAlignment="1" applyBorder="1" applyFont="1" applyNumberFormat="1">
      <alignment horizontal="center" readingOrder="0" vertical="bottom"/>
    </xf>
    <xf borderId="4" fillId="0" fontId="20" numFmtId="0" xfId="0" applyAlignment="1" applyBorder="1" applyFont="1">
      <alignment vertical="bottom"/>
    </xf>
    <xf borderId="4" fillId="0" fontId="20" numFmtId="166" xfId="0" applyAlignment="1" applyBorder="1" applyFont="1" applyNumberFormat="1">
      <alignment horizontal="right" vertical="bottom"/>
    </xf>
    <xf borderId="4" fillId="0" fontId="20" numFmtId="171" xfId="0" applyAlignment="1" applyBorder="1" applyFont="1" applyNumberFormat="1">
      <alignment vertical="bottom"/>
    </xf>
    <xf borderId="0" fillId="0" fontId="20" numFmtId="0" xfId="0" applyAlignment="1" applyFont="1">
      <alignment vertical="bottom"/>
    </xf>
    <xf borderId="0" fillId="0" fontId="27" numFmtId="0" xfId="0" applyAlignment="1" applyFont="1">
      <alignment vertical="bottom"/>
    </xf>
    <xf borderId="0" fillId="0" fontId="8" numFmtId="0" xfId="0" applyAlignment="1" applyFont="1">
      <alignment readingOrder="0"/>
    </xf>
    <xf borderId="0" fillId="0" fontId="1" numFmtId="165" xfId="0" applyAlignment="1" applyFont="1" applyNumberFormat="1">
      <alignment horizontal="center"/>
    </xf>
    <xf borderId="0" fillId="0" fontId="31" numFmtId="168" xfId="0" applyFont="1" applyNumberFormat="1"/>
    <xf borderId="0" fillId="0" fontId="20" numFmtId="10" xfId="0" applyAlignment="1" applyFont="1" applyNumberFormat="1">
      <alignment horizontal="right" vertical="bottom"/>
    </xf>
    <xf borderId="4" fillId="0" fontId="1" numFmtId="168" xfId="0" applyAlignment="1" applyBorder="1" applyFont="1" applyNumberFormat="1">
      <alignment horizontal="right"/>
    </xf>
    <xf borderId="2" fillId="2" fontId="32" numFmtId="168" xfId="0" applyBorder="1" applyFont="1" applyNumberFormat="1"/>
    <xf borderId="0" fillId="0" fontId="16" numFmtId="164" xfId="0" applyAlignment="1" applyFont="1" applyNumberFormat="1">
      <alignment horizontal="right"/>
    </xf>
    <xf borderId="2" fillId="2" fontId="14" numFmtId="168" xfId="0" applyBorder="1" applyFont="1" applyNumberFormat="1"/>
    <xf borderId="2" fillId="2" fontId="14" numFmtId="168" xfId="0" applyAlignment="1" applyBorder="1" applyFont="1" applyNumberFormat="1">
      <alignment readingOrder="0"/>
    </xf>
    <xf borderId="2" fillId="0" fontId="1" numFmtId="168" xfId="0" applyBorder="1" applyFont="1" applyNumberFormat="1"/>
    <xf borderId="0" fillId="0" fontId="5" numFmtId="168" xfId="0" applyFont="1" applyNumberFormat="1"/>
    <xf borderId="0" fillId="0" fontId="1" numFmtId="0" xfId="0" applyAlignment="1" applyFont="1">
      <alignment shrinkToFit="0" wrapText="1"/>
    </xf>
    <xf borderId="3" fillId="0" fontId="1" numFmtId="0" xfId="0" applyAlignment="1" applyBorder="1" applyFont="1">
      <alignment readingOrder="0" shrinkToFit="0" wrapText="1"/>
    </xf>
    <xf borderId="3" fillId="0" fontId="1" numFmtId="0" xfId="0" applyAlignment="1" applyBorder="1" applyFont="1">
      <alignment horizontal="center" readingOrder="0" shrinkToFit="0" wrapText="1"/>
    </xf>
    <xf borderId="0" fillId="0" fontId="1" numFmtId="0" xfId="0" applyAlignment="1" applyFont="1">
      <alignment shrinkToFit="0" vertical="top" wrapText="0"/>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33" numFmtId="0" xfId="0" applyAlignment="1" applyFont="1">
      <alignment readingOrder="0" shrinkToFit="0" vertical="top" wrapText="0"/>
    </xf>
    <xf borderId="0" fillId="0" fontId="1" numFmtId="0" xfId="0" applyAlignment="1" applyFont="1">
      <alignment horizontal="center" readingOrder="0" shrinkToFit="0" vertical="top"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34" numFmtId="0" xfId="0" applyAlignment="1" applyFont="1">
      <alignment readingOrder="0" shrinkToFit="0" vertical="top" wrapText="0"/>
    </xf>
    <xf borderId="0" fillId="0" fontId="35"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1" numFmtId="0" xfId="0" applyAlignment="1" applyFont="1">
      <alignment horizontal="center" readingOrder="0" shrinkToFit="0" vertical="top" wrapText="1"/>
    </xf>
    <xf borderId="3" fillId="0" fontId="1" numFmtId="0" xfId="0" applyAlignment="1" applyBorder="1" applyFont="1">
      <alignment readingOrder="0"/>
    </xf>
    <xf borderId="0" fillId="0" fontId="1" numFmtId="0" xfId="0" applyAlignment="1" applyFont="1">
      <alignment shrinkToFit="0" vertical="top" wrapText="1"/>
    </xf>
    <xf borderId="0" fillId="0" fontId="20" numFmtId="0" xfId="0" applyAlignment="1" applyFont="1">
      <alignment shrinkToFit="0" vertical="top" wrapText="1"/>
    </xf>
    <xf borderId="0" fillId="0" fontId="1" numFmtId="0" xfId="0" applyAlignment="1" applyFont="1">
      <alignment horizontal="left"/>
    </xf>
    <xf borderId="3" fillId="0" fontId="1" numFmtId="0" xfId="0" applyAlignment="1" applyBorder="1" applyFont="1">
      <alignment horizontal="left" readingOrder="0"/>
    </xf>
    <xf borderId="0" fillId="0" fontId="1" numFmtId="0" xfId="0" applyAlignment="1" applyFont="1">
      <alignment horizontal="left" readingOrder="0" shrinkToFit="0" vertical="top" wrapText="1"/>
    </xf>
    <xf borderId="0" fillId="0" fontId="28" numFmtId="0" xfId="0" applyAlignment="1" applyFont="1">
      <alignment vertical="bottom"/>
    </xf>
    <xf borderId="0" fillId="0" fontId="1" numFmtId="173" xfId="0" applyAlignment="1" applyFont="1" applyNumberFormat="1">
      <alignment horizontal="left" readingOrder="0" shrinkToFit="0" vertical="top" wrapText="1"/>
    </xf>
    <xf quotePrefix="1" borderId="0" fillId="0" fontId="1" numFmtId="0" xfId="0" applyAlignment="1" applyFont="1">
      <alignment readingOrder="0" shrinkToFit="0" vertical="top" wrapText="1"/>
    </xf>
    <xf borderId="0" fillId="0" fontId="36" numFmtId="165" xfId="0" applyAlignment="1" applyFont="1" applyNumberFormat="1">
      <alignment readingOrder="0" shrinkToFit="0" vertical="top" wrapText="1"/>
    </xf>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0E0E3"/>
          <bgColor rgb="FFD0E0E3"/>
        </patternFill>
      </fill>
      <border/>
    </dxf>
  </dxfs>
  <tableStyles count="5">
    <tableStyle count="3" pivot="0" name="README-style">
      <tableStyleElement dxfId="1" type="headerRow"/>
      <tableStyleElement dxfId="2" type="firstRowStripe"/>
      <tableStyleElement dxfId="1" type="secondRowStripe"/>
    </tableStyle>
    <tableStyle count="3" pivot="0" name="README-style 2">
      <tableStyleElement dxfId="3" type="headerRow"/>
      <tableStyleElement dxfId="2" type="firstRowStripe"/>
      <tableStyleElement dxfId="3" type="secondRowStripe"/>
    </tableStyle>
    <tableStyle count="3" pivot="0" name="Model Comparison-style">
      <tableStyleElement dxfId="1" type="headerRow"/>
      <tableStyleElement dxfId="2" type="firstRowStripe"/>
      <tableStyleElement dxfId="1" type="secondRowStripe"/>
    </tableStyle>
    <tableStyle count="3" pivot="0" name="Glossary-style">
      <tableStyleElement dxfId="1" type="headerRow"/>
      <tableStyleElement dxfId="2" type="firstRowStripe"/>
      <tableStyleElement dxfId="1" type="secondRowStripe"/>
    </tableStyle>
    <tableStyle count="3" pivot="0" name="Changelog-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 Flows</a:t>
            </a:r>
          </a:p>
        </c:rich>
      </c:tx>
      <c:overlay val="0"/>
    </c:title>
    <c:plotArea>
      <c:layout/>
      <c:barChart>
        <c:barDir val="col"/>
        <c:ser>
          <c:idx val="0"/>
          <c:order val="0"/>
          <c:tx>
            <c:strRef>
              <c:f>Summary!$B$37</c:f>
            </c:strRef>
          </c:tx>
          <c:spPr>
            <a:solidFill>
              <a:schemeClr val="accent1"/>
            </a:solidFill>
            <a:ln cmpd="sng">
              <a:solidFill>
                <a:srgbClr val="000000"/>
              </a:solidFill>
            </a:ln>
          </c:spPr>
          <c:cat>
            <c:strRef>
              <c:f>Summary!$C$33:$E$33</c:f>
            </c:strRef>
          </c:cat>
          <c:val>
            <c:numRef>
              <c:f>Summary!$C$37:$E$37</c:f>
              <c:numCache/>
            </c:numRef>
          </c:val>
        </c:ser>
        <c:ser>
          <c:idx val="1"/>
          <c:order val="1"/>
          <c:tx>
            <c:strRef>
              <c:f>Summary!$B$38</c:f>
            </c:strRef>
          </c:tx>
          <c:spPr>
            <a:solidFill>
              <a:schemeClr val="accent2"/>
            </a:solidFill>
            <a:ln cmpd="sng">
              <a:solidFill>
                <a:srgbClr val="000000"/>
              </a:solidFill>
            </a:ln>
          </c:spPr>
          <c:cat>
            <c:strRef>
              <c:f>Summary!$C$33:$E$33</c:f>
            </c:strRef>
          </c:cat>
          <c:val>
            <c:numRef>
              <c:f>Summary!$C$38:$E$38</c:f>
              <c:numCache/>
            </c:numRef>
          </c:val>
        </c:ser>
        <c:ser>
          <c:idx val="2"/>
          <c:order val="2"/>
          <c:tx>
            <c:strRef>
              <c:f>Summary!$B$39</c:f>
            </c:strRef>
          </c:tx>
          <c:spPr>
            <a:solidFill>
              <a:schemeClr val="accent3"/>
            </a:solidFill>
            <a:ln cmpd="sng">
              <a:solidFill>
                <a:srgbClr val="000000"/>
              </a:solidFill>
            </a:ln>
          </c:spPr>
          <c:cat>
            <c:strRef>
              <c:f>Summary!$C$33:$E$33</c:f>
            </c:strRef>
          </c:cat>
          <c:val>
            <c:numRef>
              <c:f>Summary!$C$39:$E$39</c:f>
              <c:numCache/>
            </c:numRef>
          </c:val>
        </c:ser>
        <c:axId val="1328829855"/>
        <c:axId val="1436797112"/>
      </c:barChart>
      <c:catAx>
        <c:axId val="13288298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6797112"/>
      </c:catAx>
      <c:valAx>
        <c:axId val="1436797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8829855"/>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Revenues and Net Income</a:t>
            </a:r>
          </a:p>
        </c:rich>
      </c:tx>
      <c:overlay val="0"/>
    </c:title>
    <c:plotArea>
      <c:layout/>
      <c:lineChart>
        <c:ser>
          <c:idx val="0"/>
          <c:order val="0"/>
          <c:tx>
            <c:strRef>
              <c:f>Summary!$B$6</c:f>
            </c:strRef>
          </c:tx>
          <c:spPr>
            <a:ln cmpd="sng">
              <a:solidFill>
                <a:srgbClr val="4285F4"/>
              </a:solidFill>
            </a:ln>
          </c:spPr>
          <c:marker>
            <c:symbol val="none"/>
          </c:marker>
          <c:cat>
            <c:strRef>
              <c:f>Summary!$C$4:$E$4</c:f>
            </c:strRef>
          </c:cat>
          <c:val>
            <c:numRef>
              <c:f>Summary!$C$6:$E$6</c:f>
              <c:numCache/>
            </c:numRef>
          </c:val>
          <c:smooth val="0"/>
        </c:ser>
        <c:ser>
          <c:idx val="1"/>
          <c:order val="1"/>
          <c:tx>
            <c:strRef>
              <c:f>Summary!$B$10</c:f>
            </c:strRef>
          </c:tx>
          <c:spPr>
            <a:ln cmpd="sng">
              <a:solidFill>
                <a:srgbClr val="EA4335"/>
              </a:solidFill>
            </a:ln>
          </c:spPr>
          <c:marker>
            <c:symbol val="none"/>
          </c:marker>
          <c:cat>
            <c:strRef>
              <c:f>Summary!$C$4:$E$4</c:f>
            </c:strRef>
          </c:cat>
          <c:val>
            <c:numRef>
              <c:f>Summary!$C$10:$E$10</c:f>
              <c:numCache/>
            </c:numRef>
          </c:val>
          <c:smooth val="0"/>
        </c:ser>
        <c:ser>
          <c:idx val="2"/>
          <c:order val="2"/>
          <c:tx>
            <c:strRef>
              <c:f>Summary!$B$15</c:f>
            </c:strRef>
          </c:tx>
          <c:spPr>
            <a:ln cmpd="sng">
              <a:solidFill>
                <a:srgbClr val="FBBC04"/>
              </a:solidFill>
            </a:ln>
          </c:spPr>
          <c:marker>
            <c:symbol val="none"/>
          </c:marker>
          <c:cat>
            <c:strRef>
              <c:f>Summary!$C$4:$E$4</c:f>
            </c:strRef>
          </c:cat>
          <c:val>
            <c:numRef>
              <c:f>Summary!$C$15:$E$15</c:f>
              <c:numCache/>
            </c:numRef>
          </c:val>
          <c:smooth val="0"/>
        </c:ser>
        <c:ser>
          <c:idx val="3"/>
          <c:order val="3"/>
          <c:tx>
            <c:strRef>
              <c:f>Summary!$B$26</c:f>
            </c:strRef>
          </c:tx>
          <c:spPr>
            <a:ln cmpd="sng">
              <a:solidFill>
                <a:srgbClr val="34A853"/>
              </a:solidFill>
            </a:ln>
          </c:spPr>
          <c:marker>
            <c:symbol val="none"/>
          </c:marker>
          <c:cat>
            <c:strRef>
              <c:f>Summary!$C$4:$E$4</c:f>
            </c:strRef>
          </c:cat>
          <c:val>
            <c:numRef>
              <c:f>Summary!$C$26:$E$26</c:f>
              <c:numCache/>
            </c:numRef>
          </c:val>
          <c:smooth val="0"/>
        </c:ser>
        <c:axId val="2085076004"/>
        <c:axId val="563434680"/>
      </c:lineChart>
      <c:catAx>
        <c:axId val="2085076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63434680"/>
      </c:catAx>
      <c:valAx>
        <c:axId val="563434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5076004"/>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 and Cash Balances</a:t>
            </a:r>
          </a:p>
        </c:rich>
      </c:tx>
      <c:overlay val="0"/>
    </c:title>
    <c:plotArea>
      <c:layout/>
      <c:barChart>
        <c:barDir val="col"/>
        <c:ser>
          <c:idx val="1"/>
          <c:order val="1"/>
          <c:tx>
            <c:strRef>
              <c:f>Forecast!$S$104</c:f>
            </c:strRef>
          </c:tx>
          <c:spPr>
            <a:solidFill>
              <a:schemeClr val="accent2"/>
            </a:solidFill>
            <a:ln cmpd="sng">
              <a:solidFill>
                <a:srgbClr val="000000">
                  <a:alpha val="0"/>
                </a:srgbClr>
              </a:solidFill>
            </a:ln>
          </c:spPr>
          <c:cat>
            <c:strRef>
              <c:f>Statements!$S$4:$BB$4</c:f>
            </c:strRef>
          </c:cat>
          <c:val>
            <c:numRef>
              <c:f>Forecast!$T$104:$BC$104</c:f>
              <c:numCache/>
            </c:numRef>
          </c:val>
        </c:ser>
        <c:axId val="136411741"/>
        <c:axId val="1098568267"/>
      </c:barChart>
      <c:catAx>
        <c:axId val="136411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8568267"/>
      </c:catAx>
      <c:valAx>
        <c:axId val="10985682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411741"/>
      </c:valAx>
      <c:lineChart>
        <c:varyColors val="0"/>
        <c:ser>
          <c:idx val="0"/>
          <c:order val="0"/>
          <c:tx>
            <c:strRef>
              <c:f>Statements!$R$117</c:f>
            </c:strRef>
          </c:tx>
          <c:spPr>
            <a:ln cmpd="sng">
              <a:solidFill>
                <a:srgbClr val="4285F4"/>
              </a:solidFill>
            </a:ln>
          </c:spPr>
          <c:marker>
            <c:symbol val="none"/>
          </c:marker>
          <c:cat>
            <c:strRef>
              <c:f>Statements!$S$4:$BB$4</c:f>
            </c:strRef>
          </c:cat>
          <c:val>
            <c:numRef>
              <c:f>Statements!$S$117:$BB$117</c:f>
              <c:numCache/>
            </c:numRef>
          </c:val>
          <c:smooth val="1"/>
        </c:ser>
        <c:axId val="1647689341"/>
        <c:axId val="1148124872"/>
      </c:lineChart>
      <c:catAx>
        <c:axId val="164768934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148124872"/>
      </c:catAx>
      <c:valAx>
        <c:axId val="114812487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7689341"/>
        <c:crosses val="max"/>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Revenues and Net Income</a:t>
            </a:r>
          </a:p>
        </c:rich>
      </c:tx>
      <c:overlay val="0"/>
    </c:title>
    <c:plotArea>
      <c:layout/>
      <c:lineChart>
        <c:ser>
          <c:idx val="0"/>
          <c:order val="0"/>
          <c:tx>
            <c:strRef>
              <c:f>Statements!$R$12</c:f>
            </c:strRef>
          </c:tx>
          <c:spPr>
            <a:ln cmpd="sng">
              <a:solidFill>
                <a:srgbClr val="4285F4"/>
              </a:solidFill>
            </a:ln>
          </c:spPr>
          <c:marker>
            <c:symbol val="none"/>
          </c:marker>
          <c:cat>
            <c:strRef>
              <c:f>Statements!$S$4:$BB$4</c:f>
            </c:strRef>
          </c:cat>
          <c:val>
            <c:numRef>
              <c:f>Statements!$S$12:$BB$12</c:f>
              <c:numCache/>
            </c:numRef>
          </c:val>
          <c:smooth val="0"/>
        </c:ser>
        <c:ser>
          <c:idx val="1"/>
          <c:order val="1"/>
          <c:tx>
            <c:strRef>
              <c:f>Statements!$R$15</c:f>
            </c:strRef>
          </c:tx>
          <c:spPr>
            <a:ln cmpd="sng">
              <a:solidFill>
                <a:srgbClr val="EA4335"/>
              </a:solidFill>
            </a:ln>
          </c:spPr>
          <c:marker>
            <c:symbol val="none"/>
          </c:marker>
          <c:cat>
            <c:strRef>
              <c:f>Statements!$S$4:$BB$4</c:f>
            </c:strRef>
          </c:cat>
          <c:val>
            <c:numRef>
              <c:f>Statements!$S$15:$BB$15</c:f>
              <c:numCache/>
            </c:numRef>
          </c:val>
          <c:smooth val="0"/>
        </c:ser>
        <c:ser>
          <c:idx val="2"/>
          <c:order val="2"/>
          <c:tx>
            <c:strRef>
              <c:f>Statements!$R$20</c:f>
            </c:strRef>
          </c:tx>
          <c:spPr>
            <a:ln cmpd="sng">
              <a:solidFill>
                <a:srgbClr val="FBBC04"/>
              </a:solidFill>
            </a:ln>
          </c:spPr>
          <c:marker>
            <c:symbol val="none"/>
          </c:marker>
          <c:cat>
            <c:strRef>
              <c:f>Statements!$S$4:$BB$4</c:f>
            </c:strRef>
          </c:cat>
          <c:val>
            <c:numRef>
              <c:f>Statements!$S$20:$BB$20</c:f>
              <c:numCache/>
            </c:numRef>
          </c:val>
          <c:smooth val="0"/>
        </c:ser>
        <c:ser>
          <c:idx val="3"/>
          <c:order val="3"/>
          <c:tx>
            <c:strRef>
              <c:f>Statements!$R$36</c:f>
            </c:strRef>
          </c:tx>
          <c:spPr>
            <a:ln cmpd="sng">
              <a:solidFill>
                <a:srgbClr val="34A853"/>
              </a:solidFill>
            </a:ln>
          </c:spPr>
          <c:marker>
            <c:symbol val="none"/>
          </c:marker>
          <c:cat>
            <c:strRef>
              <c:f>Statements!$S$4:$BB$4</c:f>
            </c:strRef>
          </c:cat>
          <c:val>
            <c:numRef>
              <c:f>Statements!$S$36:$BB$36</c:f>
              <c:numCache/>
            </c:numRef>
          </c:val>
          <c:smooth val="0"/>
        </c:ser>
        <c:axId val="720609294"/>
        <c:axId val="2112200076"/>
      </c:lineChart>
      <c:catAx>
        <c:axId val="7206092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2200076"/>
      </c:catAx>
      <c:valAx>
        <c:axId val="2112200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0609294"/>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 Flows</a:t>
            </a:r>
          </a:p>
        </c:rich>
      </c:tx>
      <c:overlay val="0"/>
    </c:title>
    <c:plotArea>
      <c:layout/>
      <c:barChart>
        <c:barDir val="col"/>
        <c:ser>
          <c:idx val="0"/>
          <c:order val="0"/>
          <c:tx>
            <c:strRef>
              <c:f>Statements!$R$98</c:f>
            </c:strRef>
          </c:tx>
          <c:spPr>
            <a:solidFill>
              <a:schemeClr val="accent1"/>
            </a:solidFill>
            <a:ln cmpd="sng">
              <a:solidFill>
                <a:srgbClr val="000000"/>
              </a:solidFill>
            </a:ln>
          </c:spPr>
          <c:cat>
            <c:strRef>
              <c:f>Statements!$S$4:$BB$4</c:f>
            </c:strRef>
          </c:cat>
          <c:val>
            <c:numRef>
              <c:f>Statements!$S$98:$BB$98</c:f>
              <c:numCache/>
            </c:numRef>
          </c:val>
        </c:ser>
        <c:ser>
          <c:idx val="1"/>
          <c:order val="1"/>
          <c:tx>
            <c:strRef>
              <c:f>Statements!$R$103</c:f>
            </c:strRef>
          </c:tx>
          <c:spPr>
            <a:solidFill>
              <a:schemeClr val="accent2"/>
            </a:solidFill>
            <a:ln cmpd="sng">
              <a:solidFill>
                <a:srgbClr val="000000"/>
              </a:solidFill>
            </a:ln>
          </c:spPr>
          <c:cat>
            <c:strRef>
              <c:f>Statements!$S$4:$BB$4</c:f>
            </c:strRef>
          </c:cat>
          <c:val>
            <c:numRef>
              <c:f>Statements!$S$103:$BB$103</c:f>
              <c:numCache/>
            </c:numRef>
          </c:val>
        </c:ser>
        <c:ser>
          <c:idx val="2"/>
          <c:order val="2"/>
          <c:tx>
            <c:strRef>
              <c:f>Statements!$R$113</c:f>
            </c:strRef>
          </c:tx>
          <c:spPr>
            <a:solidFill>
              <a:schemeClr val="accent3"/>
            </a:solidFill>
            <a:ln cmpd="sng">
              <a:solidFill>
                <a:srgbClr val="000000"/>
              </a:solidFill>
            </a:ln>
          </c:spPr>
          <c:cat>
            <c:strRef>
              <c:f>Statements!$S$4:$BB$4</c:f>
            </c:strRef>
          </c:cat>
          <c:val>
            <c:numRef>
              <c:f>Statements!$S$113:$BB$113</c:f>
              <c:numCache/>
            </c:numRef>
          </c:val>
        </c:ser>
        <c:axId val="11513915"/>
        <c:axId val="1950851167"/>
      </c:barChart>
      <c:catAx>
        <c:axId val="115139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0851167"/>
      </c:catAx>
      <c:valAx>
        <c:axId val="19508511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13915"/>
      </c:valAx>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Expenses by category</a:t>
            </a:r>
          </a:p>
        </c:rich>
      </c:tx>
      <c:overlay val="0"/>
    </c:title>
    <c:plotArea>
      <c:layout/>
      <c:barChart>
        <c:barDir val="col"/>
        <c:grouping val="stacked"/>
        <c:ser>
          <c:idx val="0"/>
          <c:order val="0"/>
          <c:tx>
            <c:strRef>
              <c:f>Forecast!$S$63</c:f>
            </c:strRef>
          </c:tx>
          <c:spPr>
            <a:solidFill>
              <a:schemeClr val="accent1"/>
            </a:solidFill>
            <a:ln cmpd="sng">
              <a:solidFill>
                <a:srgbClr val="000000"/>
              </a:solidFill>
            </a:ln>
          </c:spPr>
          <c:cat>
            <c:strRef>
              <c:f>Statements!$S$4:$BB$4</c:f>
            </c:strRef>
          </c:cat>
          <c:val>
            <c:numRef>
              <c:f>Forecast!$T$63:$BC$63</c:f>
              <c:numCache/>
            </c:numRef>
          </c:val>
        </c:ser>
        <c:ser>
          <c:idx val="1"/>
          <c:order val="1"/>
          <c:tx>
            <c:strRef>
              <c:f>Forecast!$S$64</c:f>
            </c:strRef>
          </c:tx>
          <c:spPr>
            <a:solidFill>
              <a:schemeClr val="accent2"/>
            </a:solidFill>
            <a:ln cmpd="sng">
              <a:solidFill>
                <a:srgbClr val="000000"/>
              </a:solidFill>
            </a:ln>
          </c:spPr>
          <c:cat>
            <c:strRef>
              <c:f>Statements!$S$4:$BB$4</c:f>
            </c:strRef>
          </c:cat>
          <c:val>
            <c:numRef>
              <c:f>Forecast!$T$64:$BC$64</c:f>
              <c:numCache/>
            </c:numRef>
          </c:val>
        </c:ser>
        <c:ser>
          <c:idx val="2"/>
          <c:order val="2"/>
          <c:tx>
            <c:strRef>
              <c:f>Forecast!$S$65</c:f>
            </c:strRef>
          </c:tx>
          <c:spPr>
            <a:solidFill>
              <a:schemeClr val="accent3"/>
            </a:solidFill>
            <a:ln cmpd="sng">
              <a:solidFill>
                <a:srgbClr val="000000"/>
              </a:solidFill>
            </a:ln>
          </c:spPr>
          <c:cat>
            <c:strRef>
              <c:f>Statements!$S$4:$BB$4</c:f>
            </c:strRef>
          </c:cat>
          <c:val>
            <c:numRef>
              <c:f>Forecast!$T$65:$BC$65</c:f>
              <c:numCache/>
            </c:numRef>
          </c:val>
        </c:ser>
        <c:ser>
          <c:idx val="3"/>
          <c:order val="3"/>
          <c:tx>
            <c:strRef>
              <c:f>Forecast!$S$66</c:f>
            </c:strRef>
          </c:tx>
          <c:spPr>
            <a:solidFill>
              <a:schemeClr val="accent4"/>
            </a:solidFill>
            <a:ln cmpd="sng">
              <a:solidFill>
                <a:srgbClr val="000000"/>
              </a:solidFill>
            </a:ln>
          </c:spPr>
          <c:cat>
            <c:strRef>
              <c:f>Statements!$S$4:$BB$4</c:f>
            </c:strRef>
          </c:cat>
          <c:val>
            <c:numRef>
              <c:f>Forecast!$T$66:$BC$66</c:f>
              <c:numCache/>
            </c:numRef>
          </c:val>
        </c:ser>
        <c:ser>
          <c:idx val="4"/>
          <c:order val="4"/>
          <c:tx>
            <c:strRef>
              <c:f>Forecast!$S$67</c:f>
            </c:strRef>
          </c:tx>
          <c:spPr>
            <a:solidFill>
              <a:schemeClr val="accent5"/>
            </a:solidFill>
            <a:ln cmpd="sng">
              <a:solidFill>
                <a:srgbClr val="000000"/>
              </a:solidFill>
            </a:ln>
          </c:spPr>
          <c:cat>
            <c:strRef>
              <c:f>Statements!$S$4:$BB$4</c:f>
            </c:strRef>
          </c:cat>
          <c:val>
            <c:numRef>
              <c:f>Forecast!$T$67:$BC$67</c:f>
              <c:numCache/>
            </c:numRef>
          </c:val>
        </c:ser>
        <c:ser>
          <c:idx val="5"/>
          <c:order val="5"/>
          <c:tx>
            <c:strRef>
              <c:f>Forecast!$S$68</c:f>
            </c:strRef>
          </c:tx>
          <c:spPr>
            <a:solidFill>
              <a:schemeClr val="accent6"/>
            </a:solidFill>
            <a:ln cmpd="sng">
              <a:solidFill>
                <a:srgbClr val="000000"/>
              </a:solidFill>
            </a:ln>
          </c:spPr>
          <c:cat>
            <c:strRef>
              <c:f>Statements!$S$4:$BB$4</c:f>
            </c:strRef>
          </c:cat>
          <c:val>
            <c:numRef>
              <c:f>Forecast!$T$68:$BC$68</c:f>
              <c:numCache/>
            </c:numRef>
          </c:val>
        </c:ser>
        <c:ser>
          <c:idx val="6"/>
          <c:order val="6"/>
          <c:tx>
            <c:strRef>
              <c:f>Forecast!$S$69</c:f>
            </c:strRef>
          </c:tx>
          <c:spPr>
            <a:solidFill>
              <a:schemeClr val="accent1">
                <a:lumOff val="30000"/>
              </a:schemeClr>
            </a:solidFill>
            <a:ln cmpd="sng">
              <a:solidFill>
                <a:srgbClr val="000000"/>
              </a:solidFill>
            </a:ln>
          </c:spPr>
          <c:cat>
            <c:strRef>
              <c:f>Statements!$S$4:$BB$4</c:f>
            </c:strRef>
          </c:cat>
          <c:val>
            <c:numRef>
              <c:f>Forecast!$T$69:$BC$69</c:f>
              <c:numCache/>
            </c:numRef>
          </c:val>
        </c:ser>
        <c:overlap val="100"/>
        <c:axId val="1043603672"/>
        <c:axId val="156419006"/>
      </c:barChart>
      <c:catAx>
        <c:axId val="10436036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6419006"/>
      </c:catAx>
      <c:valAx>
        <c:axId val="156419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3603672"/>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Uses of funds</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'Sources &amp; Uses'!$B$15:$B$23</c:f>
            </c:strRef>
          </c:cat>
          <c:val>
            <c:numRef>
              <c:f>'Sources &amp; Uses'!$C$15:$C$23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923925</xdr:colOff>
      <xdr:row>21</xdr:row>
      <xdr:rowOff>180975</xdr:rowOff>
    </xdr:from>
    <xdr:ext cx="5381625" cy="3333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923925</xdr:colOff>
      <xdr:row>3</xdr:row>
      <xdr:rowOff>9525</xdr:rowOff>
    </xdr:from>
    <xdr:ext cx="5381625" cy="33337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1</xdr:row>
      <xdr:rowOff>47625</xdr:rowOff>
    </xdr:from>
    <xdr:ext cx="6724650" cy="41719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209550</xdr:colOff>
      <xdr:row>1</xdr:row>
      <xdr:rowOff>47625</xdr:rowOff>
    </xdr:from>
    <xdr:ext cx="6724650" cy="41719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266700</xdr:colOff>
      <xdr:row>25</xdr:row>
      <xdr:rowOff>28575</xdr:rowOff>
    </xdr:from>
    <xdr:ext cx="6724650" cy="417195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209550</xdr:colOff>
      <xdr:row>25</xdr:row>
      <xdr:rowOff>28575</xdr:rowOff>
    </xdr:from>
    <xdr:ext cx="6724650" cy="417195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3</xdr:row>
      <xdr:rowOff>38100</xdr:rowOff>
    </xdr:from>
    <xdr:ext cx="6657975" cy="41243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5:C11" displayName="Table_1" name="Table_1" id="1">
  <tableColumns count="2">
    <tableColumn name="Copyright &amp; Contact" id="1"/>
    <tableColumn name="This was created by Taylor Davidson (@tdavidson) of Foresight._x000a_© 2023, Unstructured Ventures, LLC._x000a_Questions, contact taylor@foresight.is or @tdavidson_x000a_" id="2"/>
  </tableColumns>
  <tableStyleInfo name="README-style" showColumnStripes="0" showFirstColumn="1" showLastColumn="1" showRowStripes="1"/>
</table>
</file>

<file path=xl/tables/table2.xml><?xml version="1.0" encoding="utf-8"?>
<table xmlns="http://schemas.openxmlformats.org/spreadsheetml/2006/main" ref="B15:C32" displayName="Table_2" name="Table_2" id="2">
  <tableColumns count="2">
    <tableColumn name="README" id="1"/>
    <tableColumn name="Contact into, overview on model. Safe to delete or hide." id="2"/>
  </tableColumns>
  <tableStyleInfo name="README-style 2" showColumnStripes="0" showFirstColumn="1" showLastColumn="1" showRowStripes="1"/>
</table>
</file>

<file path=xl/tables/table3.xml><?xml version="1.0" encoding="utf-8"?>
<table xmlns="http://schemas.openxmlformats.org/spreadsheetml/2006/main" headerRowCount="0" ref="B7:Q17" displayName="Table_3" name="Table_3" id="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Model Comparison-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B7:C33" displayName="Table_4" name="Table_4" id="4">
  <tableColumns count="2">
    <tableColumn name="Operating Metric" id="1"/>
    <tableColumn name="Model-specific variable that creates a structure for you to input and track operational metrics - e.g. customers, clients, orders, employees, etc. - that can be used as a driver for calculating other revenue and expense items in the model." id="2"/>
  </tableColumns>
  <tableStyleInfo name="Glossary-style" showColumnStripes="0" showFirstColumn="1" showLastColumn="1" showRowStripes="1"/>
</table>
</file>

<file path=xl/tables/table5.xml><?xml version="1.0" encoding="utf-8"?>
<table xmlns="http://schemas.openxmlformats.org/spreadsheetml/2006/main" headerRowCount="0" ref="B8:E53" displayName="Table_5" name="Table_5" id="5">
  <tableColumns count="4">
    <tableColumn name="Column1" id="1"/>
    <tableColumn name="Column2" id="2"/>
    <tableColumn name="Column3" id="3"/>
    <tableColumn name="Column4" id="4"/>
  </tableColumns>
  <tableStyleInfo name="Changelo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oom.com/share/39ead41b345547cdac1461ee493e151f" TargetMode="External"/><Relationship Id="rId10" Type="http://schemas.openxmlformats.org/officeDocument/2006/relationships/hyperlink" Target="https://www.loom.com/share/86f2d7320cf64d2fab27488f7ee5eae1" TargetMode="External"/><Relationship Id="rId13" Type="http://schemas.openxmlformats.org/officeDocument/2006/relationships/hyperlink" Target="https://www.loom.com/share/2a2a1ffd603646b4ba781fa193c9d6b4" TargetMode="External"/><Relationship Id="rId12" Type="http://schemas.openxmlformats.org/officeDocument/2006/relationships/hyperlink" Target="https://www.loom.com/share/0ff526ed8ae54efcaa230e7b28b4752a" TargetMode="External"/><Relationship Id="rId1" Type="http://schemas.openxmlformats.org/officeDocument/2006/relationships/hyperlink" Target="https://foresight.is/learn/support" TargetMode="External"/><Relationship Id="rId2" Type="http://schemas.openxmlformats.org/officeDocument/2006/relationships/hyperlink" Target="https://foresight.is/learn/alternatives-foresight" TargetMode="External"/><Relationship Id="rId3" Type="http://schemas.openxmlformats.org/officeDocument/2006/relationships/hyperlink" Target="https://foresight.is/learn/colors-and-formatting" TargetMode="External"/><Relationship Id="rId4" Type="http://schemas.openxmlformats.org/officeDocument/2006/relationships/hyperlink" Target="https://foresight.is/license" TargetMode="External"/><Relationship Id="rId9" Type="http://schemas.openxmlformats.org/officeDocument/2006/relationships/hyperlink" Target="https://www.loom.com/share/86f2d7320cf64d2fab27488f7ee5eae1" TargetMode="External"/><Relationship Id="rId15" Type="http://schemas.openxmlformats.org/officeDocument/2006/relationships/drawing" Target="../drawings/drawing1.xml"/><Relationship Id="rId14" Type="http://schemas.openxmlformats.org/officeDocument/2006/relationships/hyperlink" Target="https://www.loom.com/share/bfe33b507a424b31aab02b9f579f1b1b" TargetMode="External"/><Relationship Id="rId5" Type="http://schemas.openxmlformats.org/officeDocument/2006/relationships/hyperlink" Target="https://www.loom.com/share/938d2d52ead548beb0d3608b73d44408" TargetMode="External"/><Relationship Id="rId19" Type="http://schemas.openxmlformats.org/officeDocument/2006/relationships/table" Target="../tables/table2.xml"/><Relationship Id="rId6" Type="http://schemas.openxmlformats.org/officeDocument/2006/relationships/hyperlink" Target="https://www.loom.com/share/39ead41b345547cdac1461ee493e151f" TargetMode="External"/><Relationship Id="rId18" Type="http://schemas.openxmlformats.org/officeDocument/2006/relationships/table" Target="../tables/table1.xml"/><Relationship Id="rId7" Type="http://schemas.openxmlformats.org/officeDocument/2006/relationships/hyperlink" Target="https://www.loom.com/share/86297c4ba4584ec791e08ab49b280240" TargetMode="External"/><Relationship Id="rId8" Type="http://schemas.openxmlformats.org/officeDocument/2006/relationships/hyperlink" Target="https://www.loom.com/share/e0ceaab1ec284905af5afeff41cdbe7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0" Type="http://schemas.openxmlformats.org/officeDocument/2006/relationships/drawing" Target="../drawings/drawing10.xml"/><Relationship Id="rId12" Type="http://schemas.openxmlformats.org/officeDocument/2006/relationships/table" Target="../tables/table3.xml"/><Relationship Id="rId1" Type="http://schemas.openxmlformats.org/officeDocument/2006/relationships/hyperlink" Target="https://foresight.is/runway-cash-forecasting" TargetMode="External"/><Relationship Id="rId2" Type="http://schemas.openxmlformats.org/officeDocument/2006/relationships/hyperlink" Target="https://foresight.is/standard-financial-model" TargetMode="External"/><Relationship Id="rId3" Type="http://schemas.openxmlformats.org/officeDocument/2006/relationships/hyperlink" Target="https://foresight.is/standard-financial-model" TargetMode="External"/><Relationship Id="rId4" Type="http://schemas.openxmlformats.org/officeDocument/2006/relationships/hyperlink" Target="https://foresight/" TargetMode="External"/><Relationship Id="rId9" Type="http://schemas.openxmlformats.org/officeDocument/2006/relationships/hyperlink" Target="https://foresight.is/enterprise-saas-template" TargetMode="External"/><Relationship Id="rId5" Type="http://schemas.openxmlformats.org/officeDocument/2006/relationships/hyperlink" Target="https://foresight.is/ecommerce-financial-model" TargetMode="External"/><Relationship Id="rId6" Type="http://schemas.openxmlformats.org/officeDocument/2006/relationships/hyperlink" Target="https://foresight.is/saas-forecasting-tool" TargetMode="External"/><Relationship Id="rId7" Type="http://schemas.openxmlformats.org/officeDocument/2006/relationships/hyperlink" Target="https://foresight.is/ecommerce-forecasting-tool" TargetMode="External"/><Relationship Id="rId8" Type="http://schemas.openxmlformats.org/officeDocument/2006/relationships/hyperlink" Target="https://foresight.is/unit-economics-templat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vestopedia.com/terms/g/gross-merchandise-value.asp" TargetMode="External"/><Relationship Id="rId2" Type="http://schemas.openxmlformats.org/officeDocument/2006/relationships/hyperlink" Target="https://www.chargebee.com/blog/bookings-vs-billings-vs-revenue/" TargetMode="External"/><Relationship Id="rId3" Type="http://schemas.openxmlformats.org/officeDocument/2006/relationships/hyperlink" Target="https://foresight.is/learn/financial-statements" TargetMode="External"/><Relationship Id="rId4" Type="http://schemas.openxmlformats.org/officeDocument/2006/relationships/hyperlink" Target="https://foresight.is/learn/financial-statements" TargetMode="External"/><Relationship Id="rId9" Type="http://schemas.openxmlformats.org/officeDocument/2006/relationships/table" Target="../tables/table4.xml"/><Relationship Id="rId5" Type="http://schemas.openxmlformats.org/officeDocument/2006/relationships/hyperlink" Target="https://foresight.is/learn/financial-statements" TargetMode="External"/><Relationship Id="rId6" Type="http://schemas.openxmlformats.org/officeDocument/2006/relationships/hyperlink" Target="https://foresight.is/learn/financial-statements"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3.3"/>
    <col customWidth="1" min="2" max="2" width="28.1"/>
    <col customWidth="1" min="3" max="3" width="52.5"/>
    <col customWidth="1" min="4" max="4" width="18.2"/>
  </cols>
  <sheetData>
    <row r="1">
      <c r="A1" s="1"/>
      <c r="B1" s="1"/>
      <c r="C1" s="1"/>
      <c r="D1" s="1"/>
      <c r="E1" s="1"/>
    </row>
    <row r="2">
      <c r="A2" s="1"/>
      <c r="B2" s="2" t="s">
        <v>0</v>
      </c>
      <c r="C2" s="1"/>
      <c r="D2" s="1"/>
      <c r="E2" s="1"/>
    </row>
    <row r="3">
      <c r="A3" s="1"/>
      <c r="B3" s="3" t="s">
        <v>1</v>
      </c>
      <c r="C3" s="1"/>
      <c r="D3" s="1"/>
      <c r="E3" s="1"/>
    </row>
    <row r="4">
      <c r="A4" s="1"/>
      <c r="B4" s="4"/>
      <c r="C4" s="1"/>
      <c r="D4" s="1"/>
      <c r="E4" s="1"/>
    </row>
    <row r="5">
      <c r="A5" s="1"/>
      <c r="B5" s="5" t="s">
        <v>2</v>
      </c>
      <c r="C5" s="6" t="s">
        <v>3</v>
      </c>
      <c r="D5" s="1"/>
      <c r="E5" s="1"/>
    </row>
    <row r="6">
      <c r="A6" s="1"/>
      <c r="B6" s="5" t="s">
        <v>4</v>
      </c>
      <c r="C6" s="7" t="s">
        <v>5</v>
      </c>
      <c r="D6" s="1"/>
      <c r="E6" s="1"/>
    </row>
    <row r="7">
      <c r="A7" s="1"/>
      <c r="B7" s="5" t="s">
        <v>6</v>
      </c>
      <c r="C7" s="8" t="s">
        <v>7</v>
      </c>
      <c r="D7" s="1"/>
      <c r="E7" s="1"/>
    </row>
    <row r="8">
      <c r="A8" s="1"/>
      <c r="B8" s="9" t="s">
        <v>8</v>
      </c>
      <c r="C8" s="10" t="s">
        <v>9</v>
      </c>
      <c r="D8" s="1"/>
      <c r="E8" s="1"/>
    </row>
    <row r="9">
      <c r="A9" s="1"/>
      <c r="B9" s="9" t="s">
        <v>10</v>
      </c>
      <c r="C9" s="10" t="s">
        <v>11</v>
      </c>
      <c r="D9" s="1"/>
      <c r="E9" s="1"/>
    </row>
    <row r="10">
      <c r="A10" s="1"/>
      <c r="B10" s="9" t="s">
        <v>12</v>
      </c>
      <c r="C10" s="10" t="s">
        <v>13</v>
      </c>
      <c r="D10" s="1"/>
      <c r="E10" s="1"/>
    </row>
    <row r="11">
      <c r="A11" s="1"/>
      <c r="B11" s="5" t="s">
        <v>14</v>
      </c>
      <c r="C11" s="8" t="s">
        <v>15</v>
      </c>
      <c r="D11" s="1"/>
      <c r="E11" s="1"/>
    </row>
    <row r="12">
      <c r="A12" s="1"/>
      <c r="B12" s="11"/>
      <c r="C12" s="12"/>
      <c r="D12" s="1"/>
      <c r="E12" s="1"/>
    </row>
    <row r="13">
      <c r="A13" s="1"/>
      <c r="B13" s="13" t="s">
        <v>16</v>
      </c>
      <c r="C13" s="14"/>
      <c r="D13" s="1"/>
      <c r="E13" s="1"/>
    </row>
    <row r="14">
      <c r="A14" s="1"/>
      <c r="B14" s="15"/>
      <c r="C14" s="16"/>
      <c r="D14" s="1"/>
      <c r="E14" s="1"/>
    </row>
    <row r="15">
      <c r="A15" s="1"/>
      <c r="B15" s="17" t="s">
        <v>17</v>
      </c>
      <c r="C15" s="8" t="s">
        <v>18</v>
      </c>
      <c r="D15" s="1"/>
      <c r="E15" s="1"/>
    </row>
    <row r="16">
      <c r="A16" s="1"/>
      <c r="B16" s="17" t="s">
        <v>19</v>
      </c>
      <c r="C16" s="10" t="s">
        <v>20</v>
      </c>
      <c r="D16" s="1"/>
      <c r="E16" s="1"/>
    </row>
    <row r="17">
      <c r="A17" s="1"/>
      <c r="B17" s="17" t="s">
        <v>4</v>
      </c>
      <c r="C17" s="10" t="s">
        <v>21</v>
      </c>
      <c r="D17" s="1"/>
      <c r="E17" s="1"/>
    </row>
    <row r="18">
      <c r="A18" s="1"/>
      <c r="B18" s="17" t="s">
        <v>22</v>
      </c>
      <c r="C18" s="8" t="s">
        <v>23</v>
      </c>
      <c r="D18" s="1"/>
      <c r="E18" s="1"/>
    </row>
    <row r="19">
      <c r="A19" s="1"/>
      <c r="B19" s="17" t="s">
        <v>24</v>
      </c>
      <c r="C19" s="10" t="s">
        <v>25</v>
      </c>
      <c r="D19" s="1"/>
      <c r="E19" s="1"/>
    </row>
    <row r="20">
      <c r="A20" s="1"/>
      <c r="B20" s="17" t="s">
        <v>26</v>
      </c>
      <c r="C20" s="18" t="s">
        <v>27</v>
      </c>
      <c r="D20" s="1"/>
      <c r="E20" s="1"/>
    </row>
    <row r="21">
      <c r="A21" s="1"/>
      <c r="B21" s="17" t="s">
        <v>28</v>
      </c>
      <c r="C21" s="19" t="s">
        <v>29</v>
      </c>
      <c r="D21" s="1"/>
      <c r="E21" s="1"/>
    </row>
    <row r="22">
      <c r="A22" s="1"/>
      <c r="B22" s="20" t="s">
        <v>30</v>
      </c>
      <c r="C22" s="19" t="s">
        <v>31</v>
      </c>
      <c r="D22" s="1"/>
      <c r="E22" s="1"/>
    </row>
    <row r="23">
      <c r="A23" s="1"/>
      <c r="B23" s="20" t="s">
        <v>32</v>
      </c>
      <c r="C23" s="8"/>
      <c r="D23" s="1"/>
      <c r="E23" s="1"/>
    </row>
    <row r="24">
      <c r="A24" s="1"/>
      <c r="B24" s="14" t="s">
        <v>33</v>
      </c>
      <c r="C24" s="19" t="s">
        <v>34</v>
      </c>
      <c r="D24" s="1"/>
      <c r="E24" s="1"/>
    </row>
    <row r="25">
      <c r="A25" s="1"/>
      <c r="B25" s="14" t="s">
        <v>35</v>
      </c>
      <c r="C25" s="19" t="s">
        <v>34</v>
      </c>
      <c r="D25" s="1"/>
      <c r="E25" s="1"/>
    </row>
    <row r="26">
      <c r="A26" s="1"/>
      <c r="B26" s="14" t="s">
        <v>36</v>
      </c>
      <c r="C26" s="18" t="s">
        <v>27</v>
      </c>
      <c r="D26" s="1"/>
      <c r="E26" s="1"/>
    </row>
    <row r="27">
      <c r="A27" s="1"/>
      <c r="B27" s="14" t="s">
        <v>37</v>
      </c>
      <c r="C27" s="19" t="s">
        <v>38</v>
      </c>
      <c r="D27" s="1"/>
      <c r="E27" s="1"/>
    </row>
    <row r="28">
      <c r="A28" s="1"/>
      <c r="B28" s="14" t="s">
        <v>39</v>
      </c>
      <c r="C28" s="19" t="s">
        <v>40</v>
      </c>
      <c r="D28" s="1"/>
      <c r="E28" s="1"/>
    </row>
    <row r="29">
      <c r="A29" s="1"/>
      <c r="B29" s="21" t="s">
        <v>41</v>
      </c>
      <c r="C29" s="19" t="s">
        <v>42</v>
      </c>
      <c r="D29" s="1"/>
      <c r="E29" s="1"/>
    </row>
    <row r="30">
      <c r="A30" s="1"/>
      <c r="B30" s="14" t="s">
        <v>43</v>
      </c>
      <c r="C30" s="8" t="s">
        <v>44</v>
      </c>
      <c r="D30" s="1"/>
      <c r="E30" s="1"/>
    </row>
    <row r="31">
      <c r="A31" s="1"/>
      <c r="B31" s="14" t="s">
        <v>45</v>
      </c>
      <c r="C31" s="8" t="s">
        <v>46</v>
      </c>
      <c r="D31" s="1"/>
      <c r="E31" s="1"/>
    </row>
    <row r="32">
      <c r="A32" s="1"/>
      <c r="B32" s="21" t="s">
        <v>47</v>
      </c>
      <c r="C32" s="8" t="s">
        <v>48</v>
      </c>
      <c r="D32" s="1"/>
      <c r="E32" s="1"/>
    </row>
    <row r="33">
      <c r="A33" s="1"/>
      <c r="B33" s="22"/>
      <c r="C33" s="23"/>
      <c r="D33" s="1"/>
      <c r="E33" s="1"/>
    </row>
  </sheetData>
  <hyperlinks>
    <hyperlink display="tl:dr; You can modify, edit, use, and share within your company (and with third-parties as needed to operate your business). You may not redistribute, resell, give away to others. Full license.&#10;" location="null!A1" ref="C6"/>
    <hyperlink display="File &gt; Make a Copy to copy it to your own Google Drive, or File &gt; Download to download this to use in Excel or other spreadsheet programs. See License for warranties and liabilities.&#10;" location="null!A1" ref="C8"/>
    <hyperlink r:id="rId1" ref="C9"/>
    <hyperlink r:id="rId2" ref="C10"/>
    <hyperlink r:id="rId3" ref="C16"/>
    <hyperlink r:id="rId4" ref="C17"/>
    <hyperlink r:id="rId5" ref="C19"/>
    <hyperlink r:id="rId6" ref="C20"/>
    <hyperlink r:id="rId7" ref="C21"/>
    <hyperlink r:id="rId8" ref="C22"/>
    <hyperlink r:id="rId9" ref="C24"/>
    <hyperlink r:id="rId10" ref="C25"/>
    <hyperlink r:id="rId11" ref="C26"/>
    <hyperlink r:id="rId12" ref="C27"/>
    <hyperlink r:id="rId13" ref="C28"/>
    <hyperlink r:id="rId14" ref="C29"/>
  </hyperlinks>
  <drawing r:id="rId15"/>
  <tableParts count="2">
    <tablePart r:id="rId18"/>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2.3"/>
    <col customWidth="1" min="2" max="2" width="63.3"/>
  </cols>
  <sheetData>
    <row r="1" ht="29.25" customHeight="1">
      <c r="A1" s="2"/>
      <c r="B1" s="2" t="s">
        <v>49</v>
      </c>
    </row>
    <row r="2" ht="15.75" customHeight="1">
      <c r="A2" s="24"/>
      <c r="B2" s="25" t="s">
        <v>50</v>
      </c>
    </row>
    <row r="3">
      <c r="A3" s="26"/>
      <c r="B3" s="26"/>
    </row>
    <row r="4">
      <c r="A4" s="27"/>
      <c r="B4" s="27" t="s">
        <v>51</v>
      </c>
    </row>
    <row r="5">
      <c r="A5" s="26"/>
      <c r="B5" s="26"/>
    </row>
    <row r="6">
      <c r="A6" s="27"/>
      <c r="B6" s="27" t="s">
        <v>52</v>
      </c>
    </row>
    <row r="7">
      <c r="A7" s="26"/>
      <c r="B7" s="26"/>
    </row>
    <row r="8">
      <c r="A8" s="27"/>
      <c r="B8" s="27" t="s">
        <v>53</v>
      </c>
    </row>
    <row r="9">
      <c r="A9" s="27"/>
      <c r="B9" s="27" t="s">
        <v>54</v>
      </c>
    </row>
    <row r="10">
      <c r="A10" s="27"/>
      <c r="B10" s="27" t="s">
        <v>55</v>
      </c>
    </row>
    <row r="11">
      <c r="A11" s="27"/>
      <c r="B11" s="27" t="s">
        <v>56</v>
      </c>
    </row>
    <row r="12">
      <c r="A12" s="27"/>
      <c r="B12" s="27" t="s">
        <v>57</v>
      </c>
    </row>
    <row r="13">
      <c r="A13" s="26"/>
      <c r="B13" s="26"/>
    </row>
    <row r="14">
      <c r="A14" s="27"/>
      <c r="B14" s="27" t="s">
        <v>58</v>
      </c>
    </row>
    <row r="15">
      <c r="A15" s="27"/>
      <c r="B15" s="27" t="s">
        <v>59</v>
      </c>
    </row>
    <row r="16">
      <c r="A16" s="27"/>
      <c r="B16" s="27" t="s">
        <v>60</v>
      </c>
    </row>
    <row r="17">
      <c r="A17" s="27"/>
      <c r="B17" s="27" t="s">
        <v>61</v>
      </c>
    </row>
    <row r="18">
      <c r="A18" s="27"/>
      <c r="B18" s="27" t="s">
        <v>62</v>
      </c>
    </row>
    <row r="19">
      <c r="A19" s="27"/>
      <c r="B19" s="27" t="s">
        <v>63</v>
      </c>
    </row>
    <row r="20">
      <c r="A20" s="27"/>
      <c r="B20" s="27" t="s">
        <v>64</v>
      </c>
    </row>
    <row r="21">
      <c r="A21" s="27"/>
      <c r="B21" s="27" t="s">
        <v>65</v>
      </c>
    </row>
    <row r="22">
      <c r="A22" s="26"/>
      <c r="B22" s="26"/>
    </row>
    <row r="23">
      <c r="A23" s="27"/>
      <c r="B23" s="27" t="s">
        <v>66</v>
      </c>
    </row>
    <row r="24">
      <c r="A24" s="26"/>
      <c r="B24" s="26"/>
    </row>
    <row r="25">
      <c r="A25" s="27"/>
      <c r="B25" s="27" t="s">
        <v>67</v>
      </c>
    </row>
    <row r="26">
      <c r="A26" s="26"/>
      <c r="B26" s="26"/>
    </row>
    <row r="27">
      <c r="A27" s="27"/>
      <c r="B27" s="27" t="s">
        <v>68</v>
      </c>
    </row>
    <row r="28">
      <c r="A28" s="26"/>
      <c r="B28" s="26"/>
    </row>
    <row r="29">
      <c r="A29" s="27"/>
      <c r="B29" s="27" t="s">
        <v>69</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4.0"/>
    <col customWidth="1" min="2" max="2" width="60.0"/>
  </cols>
  <sheetData>
    <row r="2">
      <c r="B2" s="2" t="s">
        <v>70</v>
      </c>
    </row>
    <row r="3">
      <c r="B3" s="28"/>
    </row>
    <row r="4">
      <c r="B4" s="29" t="str">
        <f>"This Investor Presentation is provided for informational purposes only and does not constitute an offer to buy or a solicitation of an offer to invest, or to procure an investment in "&amp;'Get Started'!D9&amp;" (the “Company”)."</f>
        <v>This Investor Presentation is provided for informational purposes only and does not constitute an offer to buy or a solicitation of an offer to invest, or to procure an investment in Company (the “Company”).</v>
      </c>
    </row>
    <row r="5">
      <c r="B5" s="28" t="s">
        <v>71</v>
      </c>
    </row>
    <row r="6">
      <c r="B6" s="29" t="s">
        <v>72</v>
      </c>
    </row>
    <row r="7">
      <c r="B7" s="28" t="s">
        <v>73</v>
      </c>
    </row>
    <row r="8">
      <c r="B8" s="29" t="s">
        <v>74</v>
      </c>
    </row>
    <row r="9">
      <c r="B9" s="29" t="s">
        <v>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3.8"/>
    <col customWidth="1" min="2" max="2" width="29.1"/>
    <col customWidth="1" min="3" max="3" width="5.8"/>
    <col customWidth="1" min="4" max="4" width="12.1"/>
  </cols>
  <sheetData>
    <row r="1">
      <c r="A1" s="1"/>
      <c r="B1" s="1"/>
      <c r="C1" s="30"/>
      <c r="D1" s="1"/>
      <c r="E1" s="1"/>
      <c r="F1" s="1"/>
      <c r="G1" s="1"/>
      <c r="H1" s="1"/>
      <c r="I1" s="1"/>
      <c r="J1" s="1"/>
      <c r="K1" s="1"/>
      <c r="L1" s="1"/>
      <c r="M1" s="1"/>
      <c r="N1" s="1"/>
      <c r="O1" s="1"/>
      <c r="P1" s="1"/>
      <c r="Q1" s="1"/>
      <c r="R1" s="1"/>
      <c r="S1" s="1"/>
      <c r="T1" s="1"/>
      <c r="U1" s="1"/>
      <c r="V1" s="1"/>
      <c r="W1" s="1"/>
      <c r="X1" s="1"/>
      <c r="Y1" s="1"/>
      <c r="Z1" s="1"/>
    </row>
    <row r="2">
      <c r="A2" s="1"/>
      <c r="B2" s="2" t="s">
        <v>22</v>
      </c>
      <c r="C2" s="30"/>
      <c r="D2" s="1"/>
      <c r="E2" s="1"/>
      <c r="F2" s="1"/>
      <c r="G2" s="1"/>
      <c r="H2" s="1"/>
      <c r="I2" s="1"/>
      <c r="J2" s="1"/>
      <c r="K2" s="1"/>
      <c r="L2" s="1"/>
      <c r="M2" s="1"/>
      <c r="N2" s="1"/>
      <c r="O2" s="1"/>
      <c r="P2" s="1"/>
      <c r="Q2" s="1"/>
      <c r="R2" s="1"/>
      <c r="S2" s="1"/>
      <c r="T2" s="1"/>
      <c r="U2" s="1"/>
      <c r="V2" s="1"/>
      <c r="W2" s="1"/>
      <c r="X2" s="1"/>
      <c r="Y2" s="1"/>
      <c r="Z2" s="1"/>
    </row>
    <row r="3">
      <c r="A3" s="1"/>
      <c r="B3" s="31" t="s">
        <v>76</v>
      </c>
      <c r="C3" s="30"/>
      <c r="D3" s="1"/>
      <c r="E3" s="1"/>
      <c r="F3" s="1"/>
      <c r="G3" s="1"/>
      <c r="H3" s="1"/>
      <c r="I3" s="1"/>
      <c r="J3" s="1"/>
      <c r="K3" s="1"/>
      <c r="L3" s="1"/>
      <c r="M3" s="1"/>
      <c r="N3" s="1"/>
      <c r="O3" s="1"/>
      <c r="P3" s="1"/>
      <c r="Q3" s="1"/>
      <c r="R3" s="1"/>
      <c r="S3" s="1"/>
      <c r="T3" s="1"/>
      <c r="U3" s="1"/>
      <c r="V3" s="1"/>
      <c r="W3" s="1"/>
      <c r="X3" s="1"/>
      <c r="Y3" s="1"/>
      <c r="Z3" s="1"/>
    </row>
    <row r="4">
      <c r="A4" s="1"/>
      <c r="B4" s="1"/>
      <c r="C4" s="30"/>
      <c r="D4" s="1"/>
      <c r="E4" s="1"/>
      <c r="F4" s="1"/>
      <c r="G4" s="1"/>
      <c r="H4" s="1"/>
      <c r="I4" s="1"/>
      <c r="J4" s="1"/>
      <c r="K4" s="1"/>
      <c r="L4" s="1"/>
      <c r="M4" s="1"/>
      <c r="N4" s="1"/>
      <c r="O4" s="1"/>
      <c r="P4" s="1"/>
      <c r="Q4" s="1"/>
      <c r="R4" s="1"/>
      <c r="S4" s="1"/>
      <c r="T4" s="1"/>
      <c r="U4" s="1"/>
      <c r="V4" s="1"/>
      <c r="W4" s="1"/>
      <c r="X4" s="1"/>
      <c r="Y4" s="1"/>
      <c r="Z4" s="1"/>
    </row>
    <row r="5">
      <c r="A5" s="1"/>
      <c r="B5" s="32"/>
      <c r="C5" s="33"/>
      <c r="E5" s="1"/>
      <c r="F5" s="1"/>
      <c r="G5" s="1"/>
      <c r="H5" s="1"/>
      <c r="I5" s="1"/>
      <c r="J5" s="1"/>
      <c r="K5" s="1"/>
      <c r="L5" s="1"/>
      <c r="M5" s="1"/>
      <c r="N5" s="1"/>
      <c r="O5" s="1"/>
      <c r="P5" s="1"/>
      <c r="Q5" s="1"/>
      <c r="R5" s="1"/>
      <c r="S5" s="1"/>
      <c r="T5" s="1"/>
      <c r="U5" s="1"/>
      <c r="V5" s="1"/>
      <c r="W5" s="1"/>
      <c r="X5" s="1"/>
      <c r="Y5" s="1"/>
      <c r="Z5" s="1"/>
    </row>
    <row r="6">
      <c r="A6" s="1"/>
      <c r="B6" s="32" t="s">
        <v>77</v>
      </c>
      <c r="C6" s="33"/>
      <c r="E6" s="1"/>
      <c r="F6" s="1"/>
      <c r="G6" s="1"/>
      <c r="H6" s="1"/>
      <c r="I6" s="1"/>
      <c r="J6" s="1"/>
      <c r="K6" s="1"/>
      <c r="L6" s="1"/>
      <c r="M6" s="1"/>
      <c r="N6" s="1"/>
      <c r="O6" s="1"/>
      <c r="P6" s="1"/>
      <c r="Q6" s="1"/>
      <c r="R6" s="1"/>
      <c r="S6" s="1"/>
      <c r="T6" s="1"/>
      <c r="U6" s="1"/>
      <c r="V6" s="1"/>
      <c r="W6" s="1"/>
      <c r="X6" s="1"/>
      <c r="Y6" s="1"/>
      <c r="Z6" s="1"/>
    </row>
    <row r="7">
      <c r="A7" s="1"/>
      <c r="B7" s="31" t="s">
        <v>78</v>
      </c>
      <c r="C7" s="33"/>
      <c r="D7" s="1"/>
      <c r="E7" s="1"/>
      <c r="F7" s="1"/>
      <c r="G7" s="1"/>
      <c r="H7" s="1"/>
      <c r="I7" s="1"/>
      <c r="J7" s="1"/>
      <c r="K7" s="1"/>
      <c r="L7" s="1"/>
      <c r="M7" s="1"/>
      <c r="N7" s="1"/>
      <c r="O7" s="1"/>
      <c r="P7" s="1"/>
      <c r="Q7" s="1"/>
      <c r="R7" s="1"/>
      <c r="S7" s="1"/>
      <c r="T7" s="1"/>
      <c r="U7" s="1"/>
      <c r="V7" s="1"/>
      <c r="W7" s="1"/>
      <c r="X7" s="1"/>
      <c r="Y7" s="1"/>
      <c r="Z7" s="1"/>
    </row>
    <row r="8">
      <c r="A8" s="1"/>
      <c r="B8" s="34"/>
      <c r="C8" s="33"/>
      <c r="D8" s="33"/>
      <c r="E8" s="1"/>
      <c r="F8" s="1"/>
      <c r="G8" s="1"/>
      <c r="H8" s="1"/>
      <c r="I8" s="1"/>
      <c r="J8" s="1"/>
      <c r="K8" s="1"/>
      <c r="L8" s="1"/>
      <c r="M8" s="1"/>
      <c r="N8" s="1"/>
      <c r="O8" s="1"/>
      <c r="P8" s="1"/>
      <c r="Q8" s="1"/>
      <c r="R8" s="1"/>
      <c r="S8" s="1"/>
      <c r="T8" s="1"/>
      <c r="U8" s="1"/>
      <c r="V8" s="1"/>
      <c r="W8" s="1"/>
      <c r="X8" s="1"/>
      <c r="Y8" s="1"/>
      <c r="Z8" s="1"/>
    </row>
    <row r="9">
      <c r="A9" s="1"/>
      <c r="B9" s="35" t="s">
        <v>79</v>
      </c>
      <c r="C9" s="33"/>
      <c r="D9" s="36" t="s">
        <v>80</v>
      </c>
      <c r="E9" s="1"/>
      <c r="F9" s="37" t="s">
        <v>81</v>
      </c>
      <c r="G9" s="1"/>
      <c r="H9" s="1"/>
      <c r="I9" s="1"/>
      <c r="J9" s="1"/>
      <c r="K9" s="1"/>
      <c r="L9" s="1"/>
      <c r="M9" s="1"/>
      <c r="N9" s="1"/>
      <c r="O9" s="1"/>
      <c r="P9" s="1"/>
      <c r="Q9" s="1"/>
      <c r="R9" s="1"/>
      <c r="S9" s="1"/>
      <c r="T9" s="1"/>
      <c r="U9" s="1"/>
      <c r="V9" s="1"/>
      <c r="W9" s="1"/>
      <c r="X9" s="1"/>
      <c r="Y9" s="1"/>
      <c r="Z9" s="1"/>
    </row>
    <row r="10">
      <c r="A10" s="1"/>
      <c r="B10" s="35" t="s">
        <v>82</v>
      </c>
      <c r="C10" s="33"/>
      <c r="D10" s="38" t="s">
        <v>83</v>
      </c>
      <c r="E10" s="1"/>
      <c r="F10" s="22" t="s">
        <v>84</v>
      </c>
      <c r="G10" s="1"/>
      <c r="H10" s="1"/>
      <c r="I10" s="1"/>
      <c r="J10" s="1"/>
      <c r="K10" s="1"/>
      <c r="L10" s="1"/>
      <c r="M10" s="1"/>
      <c r="N10" s="1"/>
      <c r="O10" s="1"/>
      <c r="P10" s="1"/>
      <c r="Q10" s="1"/>
      <c r="R10" s="1"/>
      <c r="S10" s="1"/>
      <c r="T10" s="1"/>
      <c r="U10" s="1"/>
      <c r="V10" s="1"/>
      <c r="W10" s="1"/>
      <c r="X10" s="1"/>
      <c r="Y10" s="1"/>
      <c r="Z10" s="1"/>
    </row>
    <row r="11">
      <c r="A11" s="1"/>
      <c r="B11" s="35" t="str">
        <f>"# of "&amp;if(D10="monthly","months",if(D10="quarterly","quarters","years"))&amp;" in model"</f>
        <v># of months in model</v>
      </c>
      <c r="C11" s="33"/>
      <c r="D11" s="39">
        <v>36.0</v>
      </c>
      <c r="E11" s="1"/>
      <c r="F11" s="22" t="s">
        <v>85</v>
      </c>
      <c r="G11" s="1"/>
      <c r="H11" s="1"/>
      <c r="I11" s="1"/>
      <c r="J11" s="1"/>
      <c r="K11" s="1"/>
      <c r="L11" s="1"/>
      <c r="M11" s="1"/>
      <c r="N11" s="1"/>
      <c r="O11" s="1"/>
      <c r="P11" s="1"/>
      <c r="Q11" s="1"/>
      <c r="R11" s="1"/>
      <c r="S11" s="1"/>
      <c r="T11" s="1"/>
      <c r="U11" s="1"/>
      <c r="V11" s="1"/>
      <c r="W11" s="1"/>
      <c r="X11" s="1"/>
      <c r="Y11" s="1"/>
      <c r="Z11" s="1"/>
    </row>
    <row r="12">
      <c r="A12" s="1"/>
      <c r="B12" s="35" t="s">
        <v>86</v>
      </c>
      <c r="C12" s="33"/>
      <c r="D12" s="40">
        <v>44927.0</v>
      </c>
      <c r="E12" s="1"/>
      <c r="F12" s="22" t="s">
        <v>87</v>
      </c>
      <c r="G12" s="1"/>
      <c r="H12" s="1"/>
      <c r="I12" s="1"/>
      <c r="J12" s="1"/>
      <c r="K12" s="1"/>
      <c r="L12" s="1"/>
      <c r="M12" s="1"/>
      <c r="N12" s="1"/>
      <c r="O12" s="1"/>
      <c r="P12" s="1"/>
      <c r="Q12" s="1"/>
      <c r="R12" s="1"/>
      <c r="S12" s="1"/>
      <c r="T12" s="1"/>
      <c r="U12" s="1"/>
      <c r="V12" s="1"/>
      <c r="W12" s="1"/>
      <c r="X12" s="1"/>
      <c r="Y12" s="1"/>
      <c r="Z12" s="1"/>
    </row>
    <row r="13">
      <c r="A13" s="1"/>
      <c r="B13" s="35" t="s">
        <v>88</v>
      </c>
      <c r="C13" s="33"/>
      <c r="D13" s="40">
        <f>DATE(YEAR(D12),12,31)</f>
        <v>45291</v>
      </c>
      <c r="E13" s="1"/>
      <c r="F13" s="22" t="s">
        <v>89</v>
      </c>
      <c r="G13" s="1"/>
      <c r="H13" s="1"/>
      <c r="I13" s="1"/>
      <c r="J13" s="1"/>
      <c r="K13" s="1"/>
      <c r="L13" s="1"/>
      <c r="M13" s="1"/>
      <c r="N13" s="1"/>
      <c r="O13" s="1"/>
      <c r="P13" s="1"/>
      <c r="Q13" s="1"/>
      <c r="R13" s="1"/>
      <c r="S13" s="1"/>
      <c r="T13" s="1"/>
      <c r="U13" s="1"/>
      <c r="V13" s="1"/>
      <c r="W13" s="1"/>
      <c r="X13" s="1"/>
      <c r="Y13" s="1"/>
      <c r="Z13" s="1"/>
    </row>
    <row r="14">
      <c r="A14" s="1"/>
      <c r="B14" s="34" t="s">
        <v>90</v>
      </c>
      <c r="C14" s="33"/>
      <c r="D14" s="38" t="s">
        <v>91</v>
      </c>
      <c r="E14" s="1"/>
      <c r="F14" s="37" t="s">
        <v>92</v>
      </c>
      <c r="G14" s="1"/>
      <c r="H14" s="1"/>
      <c r="I14" s="1"/>
      <c r="J14" s="1"/>
      <c r="K14" s="1"/>
      <c r="L14" s="1"/>
      <c r="M14" s="1"/>
      <c r="N14" s="1"/>
      <c r="O14" s="1"/>
      <c r="P14" s="1"/>
      <c r="Q14" s="1"/>
      <c r="R14" s="1"/>
      <c r="S14" s="1"/>
      <c r="T14" s="1"/>
      <c r="U14" s="1"/>
      <c r="V14" s="1"/>
      <c r="W14" s="1"/>
      <c r="X14" s="1"/>
      <c r="Y14" s="1"/>
      <c r="Z14" s="1"/>
    </row>
    <row r="15">
      <c r="A15" s="1"/>
      <c r="B15" s="41"/>
      <c r="C15" s="42"/>
      <c r="D15" s="34"/>
      <c r="E15" s="1"/>
      <c r="F15" s="37"/>
      <c r="G15" s="1"/>
      <c r="H15" s="1"/>
      <c r="I15" s="1"/>
      <c r="J15" s="1"/>
      <c r="K15" s="1"/>
      <c r="L15" s="1"/>
      <c r="M15" s="1"/>
      <c r="N15" s="1"/>
      <c r="O15" s="1"/>
      <c r="P15" s="1"/>
      <c r="Q15" s="1"/>
      <c r="R15" s="1"/>
      <c r="S15" s="1"/>
      <c r="T15" s="1"/>
      <c r="U15" s="1"/>
      <c r="V15" s="1"/>
      <c r="W15" s="1"/>
      <c r="X15" s="1"/>
      <c r="Y15" s="1"/>
      <c r="Z15" s="1"/>
    </row>
    <row r="16">
      <c r="A16" s="1"/>
      <c r="B16" s="43"/>
      <c r="C16" s="42"/>
      <c r="D16" s="34"/>
      <c r="E16" s="1"/>
      <c r="F16" s="1"/>
      <c r="G16" s="1"/>
      <c r="H16" s="1"/>
      <c r="I16" s="1"/>
      <c r="J16" s="1"/>
      <c r="K16" s="1"/>
      <c r="L16" s="1"/>
      <c r="M16" s="1"/>
      <c r="N16" s="1"/>
      <c r="O16" s="1"/>
      <c r="P16" s="1"/>
      <c r="Q16" s="1"/>
      <c r="R16" s="1"/>
      <c r="S16" s="1"/>
      <c r="T16" s="1"/>
      <c r="U16" s="1"/>
      <c r="V16" s="1"/>
      <c r="W16" s="1"/>
      <c r="X16" s="1"/>
      <c r="Y16" s="1"/>
      <c r="Z16" s="1"/>
    </row>
    <row r="17">
      <c r="A17" s="1"/>
      <c r="B17" s="44" t="s">
        <v>93</v>
      </c>
      <c r="C17" s="33"/>
      <c r="D17" s="45"/>
      <c r="E17" s="45"/>
      <c r="G17" s="1"/>
      <c r="H17" s="1"/>
      <c r="I17" s="1"/>
      <c r="J17" s="1"/>
      <c r="K17" s="1"/>
      <c r="L17" s="1"/>
      <c r="M17" s="1"/>
      <c r="N17" s="1"/>
      <c r="O17" s="1"/>
      <c r="P17" s="1"/>
      <c r="Q17" s="1"/>
      <c r="R17" s="1"/>
      <c r="S17" s="1"/>
      <c r="T17" s="1"/>
      <c r="U17" s="1"/>
      <c r="V17" s="1"/>
      <c r="W17" s="1"/>
      <c r="X17" s="1"/>
      <c r="Y17" s="1"/>
      <c r="Z17" s="1"/>
    </row>
    <row r="18">
      <c r="A18" s="1"/>
      <c r="B18" s="46" t="s">
        <v>94</v>
      </c>
      <c r="C18" s="33"/>
      <c r="D18" s="45"/>
      <c r="E18" s="45"/>
      <c r="F18" s="47"/>
      <c r="G18" s="1"/>
      <c r="H18" s="1"/>
      <c r="I18" s="1"/>
      <c r="J18" s="1"/>
      <c r="K18" s="1"/>
      <c r="L18" s="1"/>
      <c r="M18" s="1"/>
      <c r="N18" s="1"/>
      <c r="O18" s="1"/>
      <c r="P18" s="1"/>
      <c r="Q18" s="1"/>
      <c r="R18" s="1"/>
      <c r="S18" s="1"/>
      <c r="T18" s="1"/>
      <c r="U18" s="1"/>
      <c r="V18" s="1"/>
      <c r="W18" s="1"/>
      <c r="X18" s="1"/>
      <c r="Y18" s="1"/>
      <c r="Z18" s="1"/>
    </row>
    <row r="19">
      <c r="A19" s="1"/>
      <c r="B19" s="45"/>
      <c r="C19" s="33"/>
      <c r="D19" s="45"/>
      <c r="E19" s="45"/>
      <c r="F19" s="47"/>
      <c r="G19" s="1"/>
      <c r="H19" s="1"/>
      <c r="I19" s="1"/>
      <c r="J19" s="1"/>
      <c r="K19" s="1"/>
      <c r="L19" s="1"/>
      <c r="M19" s="1"/>
      <c r="N19" s="1"/>
      <c r="O19" s="1"/>
      <c r="P19" s="1"/>
      <c r="Q19" s="1"/>
      <c r="R19" s="1"/>
      <c r="S19" s="1"/>
      <c r="T19" s="1"/>
      <c r="U19" s="1"/>
      <c r="V19" s="1"/>
      <c r="W19" s="1"/>
      <c r="X19" s="1"/>
      <c r="Y19" s="1"/>
      <c r="Z19" s="1"/>
    </row>
    <row r="20">
      <c r="A20" s="1"/>
      <c r="B20" s="45" t="s">
        <v>95</v>
      </c>
      <c r="C20" s="48" t="s">
        <v>96</v>
      </c>
      <c r="D20" s="49">
        <v>0.0</v>
      </c>
      <c r="E20" s="45"/>
      <c r="F20" s="37" t="s">
        <v>97</v>
      </c>
      <c r="G20" s="1"/>
      <c r="H20" s="1"/>
      <c r="I20" s="1"/>
      <c r="J20" s="1"/>
      <c r="K20" s="1"/>
      <c r="L20" s="1"/>
      <c r="M20" s="1"/>
      <c r="N20" s="1"/>
      <c r="O20" s="1"/>
      <c r="P20" s="1"/>
      <c r="Q20" s="1"/>
      <c r="R20" s="1"/>
      <c r="S20" s="1"/>
      <c r="T20" s="1"/>
      <c r="U20" s="1"/>
      <c r="V20" s="1"/>
      <c r="W20" s="1"/>
      <c r="X20" s="1"/>
      <c r="Y20" s="1"/>
      <c r="Z20" s="1"/>
    </row>
    <row r="21">
      <c r="A21" s="1"/>
      <c r="B21" s="45"/>
      <c r="C21" s="33"/>
      <c r="D21" s="45"/>
      <c r="E21" s="45"/>
      <c r="F21" s="47"/>
      <c r="G21" s="1"/>
      <c r="H21" s="1"/>
      <c r="I21" s="1"/>
      <c r="J21" s="1"/>
      <c r="K21" s="1"/>
      <c r="L21" s="1"/>
      <c r="M21" s="1"/>
      <c r="N21" s="1"/>
      <c r="O21" s="1"/>
      <c r="P21" s="1"/>
      <c r="Q21" s="1"/>
      <c r="R21" s="1"/>
      <c r="S21" s="1"/>
      <c r="T21" s="1"/>
      <c r="U21" s="1"/>
      <c r="V21" s="1"/>
      <c r="W21" s="1"/>
      <c r="X21" s="1"/>
      <c r="Y21" s="1"/>
      <c r="Z21" s="1"/>
    </row>
    <row r="22">
      <c r="A22" s="1"/>
      <c r="B22" s="50" t="s">
        <v>98</v>
      </c>
      <c r="C22" s="33"/>
      <c r="D22" s="37"/>
      <c r="E22" s="37"/>
      <c r="F22" s="47"/>
      <c r="G22" s="1"/>
      <c r="H22" s="1"/>
      <c r="I22" s="1"/>
      <c r="J22" s="1"/>
      <c r="K22" s="1"/>
      <c r="L22" s="1"/>
      <c r="M22" s="1"/>
      <c r="N22" s="1"/>
      <c r="O22" s="1"/>
      <c r="P22" s="1"/>
      <c r="Q22" s="1"/>
      <c r="R22" s="1"/>
      <c r="S22" s="1"/>
      <c r="T22" s="1"/>
      <c r="U22" s="1"/>
      <c r="V22" s="1"/>
      <c r="W22" s="1"/>
      <c r="X22" s="1"/>
      <c r="Y22" s="1"/>
      <c r="Z22" s="1"/>
    </row>
    <row r="23">
      <c r="A23" s="1"/>
      <c r="B23" s="45" t="s">
        <v>99</v>
      </c>
      <c r="C23" s="33"/>
      <c r="D23" s="36" t="s">
        <v>100</v>
      </c>
      <c r="E23" s="37"/>
      <c r="F23" s="37" t="s">
        <v>101</v>
      </c>
      <c r="G23" s="1"/>
      <c r="H23" s="1"/>
      <c r="I23" s="1"/>
      <c r="J23" s="1"/>
      <c r="K23" s="1"/>
      <c r="L23" s="1"/>
      <c r="M23" s="1"/>
      <c r="N23" s="1"/>
      <c r="O23" s="1"/>
      <c r="P23" s="1"/>
      <c r="Q23" s="1"/>
      <c r="R23" s="1"/>
      <c r="S23" s="1"/>
      <c r="T23" s="1"/>
      <c r="U23" s="1"/>
      <c r="V23" s="1"/>
      <c r="W23" s="1"/>
      <c r="X23" s="1"/>
      <c r="Y23" s="1"/>
      <c r="Z23" s="1"/>
    </row>
    <row r="24">
      <c r="A24" s="1"/>
      <c r="B24" s="45" t="str">
        <f>"Optional: Recognize pre-existing deferred revenues over "&amp;MAX(1,D24)&amp;" month"&amp;IF(D24&gt;1,"s","")</f>
        <v>Optional: Recognize pre-existing deferred revenues over 1 month</v>
      </c>
      <c r="C24" s="33" t="s">
        <v>102</v>
      </c>
      <c r="D24" s="51">
        <v>1.0</v>
      </c>
      <c r="E24" s="47"/>
      <c r="F24" s="37" t="s">
        <v>103</v>
      </c>
      <c r="G24" s="1"/>
      <c r="H24" s="1"/>
      <c r="I24" s="1"/>
      <c r="J24" s="1"/>
      <c r="K24" s="1"/>
      <c r="L24" s="1"/>
      <c r="M24" s="1"/>
      <c r="N24" s="1"/>
      <c r="O24" s="1"/>
      <c r="P24" s="1"/>
      <c r="Q24" s="1"/>
      <c r="R24" s="1"/>
      <c r="S24" s="1"/>
      <c r="T24" s="1"/>
      <c r="U24" s="1"/>
      <c r="V24" s="1"/>
      <c r="W24" s="1"/>
      <c r="X24" s="1"/>
      <c r="Y24" s="1"/>
      <c r="Z24" s="1"/>
    </row>
    <row r="25">
      <c r="A25" s="1"/>
      <c r="B25" s="45"/>
      <c r="C25" s="33"/>
      <c r="D25" s="37"/>
      <c r="E25" s="37"/>
      <c r="F25" s="37"/>
      <c r="G25" s="1"/>
      <c r="H25" s="1"/>
      <c r="I25" s="1"/>
      <c r="J25" s="1"/>
      <c r="K25" s="1"/>
      <c r="L25" s="1"/>
      <c r="M25" s="1"/>
      <c r="N25" s="1"/>
      <c r="O25" s="1"/>
      <c r="P25" s="1"/>
      <c r="Q25" s="1"/>
      <c r="R25" s="1"/>
      <c r="S25" s="1"/>
      <c r="T25" s="1"/>
      <c r="U25" s="1"/>
      <c r="V25" s="1"/>
      <c r="W25" s="1"/>
      <c r="X25" s="1"/>
      <c r="Y25" s="1"/>
      <c r="Z25" s="1"/>
    </row>
    <row r="26">
      <c r="A26" s="1"/>
      <c r="B26" s="50" t="s">
        <v>104</v>
      </c>
      <c r="C26" s="33"/>
      <c r="D26" s="37"/>
      <c r="E26" s="47"/>
      <c r="F26" s="47"/>
      <c r="G26" s="1"/>
      <c r="H26" s="1"/>
      <c r="I26" s="1"/>
      <c r="J26" s="1"/>
      <c r="K26" s="1"/>
      <c r="L26" s="1"/>
      <c r="M26" s="1"/>
      <c r="N26" s="1"/>
      <c r="O26" s="1"/>
      <c r="P26" s="1"/>
      <c r="Q26" s="1"/>
      <c r="R26" s="1"/>
      <c r="S26" s="1"/>
      <c r="T26" s="1"/>
      <c r="U26" s="1"/>
      <c r="V26" s="1"/>
      <c r="W26" s="1"/>
      <c r="X26" s="1"/>
      <c r="Y26" s="1"/>
      <c r="Z26" s="1"/>
    </row>
    <row r="27">
      <c r="A27" s="1"/>
      <c r="B27" s="45" t="s">
        <v>105</v>
      </c>
      <c r="C27" s="33"/>
      <c r="D27" s="36" t="s">
        <v>100</v>
      </c>
      <c r="E27" s="37"/>
      <c r="F27" s="37" t="s">
        <v>106</v>
      </c>
      <c r="G27" s="1"/>
      <c r="H27" s="1"/>
      <c r="I27" s="1"/>
      <c r="J27" s="1"/>
      <c r="K27" s="1"/>
      <c r="L27" s="1"/>
      <c r="M27" s="1"/>
      <c r="N27" s="1"/>
      <c r="O27" s="1"/>
      <c r="P27" s="1"/>
      <c r="Q27" s="1"/>
      <c r="R27" s="1"/>
      <c r="S27" s="1"/>
      <c r="T27" s="1"/>
      <c r="U27" s="1"/>
      <c r="V27" s="1"/>
      <c r="W27" s="1"/>
      <c r="X27" s="1"/>
      <c r="Y27" s="1"/>
      <c r="Z27" s="1"/>
    </row>
    <row r="28">
      <c r="A28" s="1"/>
      <c r="B28" s="45" t="s">
        <v>107</v>
      </c>
      <c r="C28" s="33" t="s">
        <v>102</v>
      </c>
      <c r="D28" s="39">
        <v>0.0</v>
      </c>
      <c r="E28" s="47"/>
      <c r="F28" s="37" t="s">
        <v>108</v>
      </c>
      <c r="G28" s="1"/>
      <c r="H28" s="1"/>
      <c r="I28" s="1"/>
      <c r="J28" s="1"/>
      <c r="K28" s="1"/>
      <c r="L28" s="1"/>
      <c r="M28" s="1"/>
      <c r="N28" s="1"/>
      <c r="O28" s="1"/>
      <c r="P28" s="1"/>
      <c r="Q28" s="1"/>
      <c r="R28" s="1"/>
      <c r="S28" s="1"/>
      <c r="T28" s="1"/>
      <c r="U28" s="1"/>
      <c r="V28" s="1"/>
      <c r="W28" s="1"/>
      <c r="X28" s="1"/>
      <c r="Y28" s="1"/>
      <c r="Z28" s="1"/>
    </row>
    <row r="29">
      <c r="A29" s="1"/>
      <c r="B29" s="45"/>
      <c r="C29" s="33"/>
      <c r="D29" s="37"/>
      <c r="E29" s="37"/>
      <c r="F29" s="37"/>
      <c r="G29" s="1"/>
      <c r="H29" s="1"/>
      <c r="I29" s="1"/>
      <c r="J29" s="1"/>
      <c r="K29" s="1"/>
      <c r="L29" s="1"/>
      <c r="M29" s="1"/>
      <c r="N29" s="1"/>
      <c r="O29" s="1"/>
      <c r="P29" s="1"/>
      <c r="Q29" s="1"/>
      <c r="R29" s="1"/>
      <c r="S29" s="1"/>
      <c r="T29" s="1"/>
      <c r="U29" s="1"/>
      <c r="V29" s="1"/>
      <c r="W29" s="1"/>
      <c r="X29" s="1"/>
      <c r="Y29" s="1"/>
      <c r="Z29" s="1"/>
    </row>
    <row r="30">
      <c r="A30" s="1"/>
      <c r="B30" s="52" t="s">
        <v>109</v>
      </c>
      <c r="C30" s="33"/>
      <c r="D30" s="37"/>
      <c r="E30" s="37"/>
      <c r="F30" s="22" t="s">
        <v>110</v>
      </c>
      <c r="G30" s="1"/>
      <c r="H30" s="1"/>
      <c r="I30" s="1"/>
      <c r="J30" s="1"/>
      <c r="K30" s="1"/>
      <c r="L30" s="1"/>
      <c r="M30" s="1"/>
      <c r="N30" s="1"/>
      <c r="O30" s="1"/>
      <c r="P30" s="1"/>
      <c r="Q30" s="1"/>
      <c r="R30" s="1"/>
      <c r="S30" s="1"/>
      <c r="T30" s="1"/>
      <c r="U30" s="1"/>
      <c r="V30" s="1"/>
      <c r="W30" s="1"/>
      <c r="X30" s="1"/>
      <c r="Y30" s="1"/>
      <c r="Z30" s="1"/>
    </row>
    <row r="31">
      <c r="A31" s="1"/>
      <c r="B31" s="53" t="s">
        <v>111</v>
      </c>
      <c r="C31" s="33" t="s">
        <v>112</v>
      </c>
      <c r="D31" s="54">
        <v>0.0</v>
      </c>
      <c r="E31" s="37"/>
      <c r="F31" s="22"/>
      <c r="G31" s="1"/>
      <c r="H31" s="1"/>
      <c r="I31" s="1"/>
      <c r="J31" s="1"/>
      <c r="K31" s="1"/>
      <c r="L31" s="1"/>
      <c r="M31" s="1"/>
      <c r="N31" s="1"/>
      <c r="O31" s="1"/>
      <c r="P31" s="1"/>
      <c r="Q31" s="1"/>
      <c r="R31" s="1"/>
      <c r="S31" s="1"/>
      <c r="T31" s="1"/>
      <c r="U31" s="1"/>
      <c r="V31" s="1"/>
      <c r="W31" s="1"/>
      <c r="X31" s="1"/>
      <c r="Y31" s="1"/>
      <c r="Z31" s="1"/>
    </row>
    <row r="32">
      <c r="A32" s="1"/>
      <c r="B32" s="53" t="s">
        <v>113</v>
      </c>
      <c r="C32" s="33" t="s">
        <v>112</v>
      </c>
      <c r="D32" s="54">
        <v>0.0</v>
      </c>
      <c r="E32" s="37"/>
      <c r="F32" s="37"/>
      <c r="G32" s="1"/>
      <c r="H32" s="1"/>
      <c r="I32" s="1"/>
      <c r="J32" s="1"/>
      <c r="K32" s="1"/>
      <c r="L32" s="1"/>
      <c r="M32" s="1"/>
      <c r="N32" s="1"/>
      <c r="O32" s="1"/>
      <c r="P32" s="1"/>
      <c r="Q32" s="1"/>
      <c r="R32" s="1"/>
      <c r="S32" s="1"/>
      <c r="T32" s="1"/>
      <c r="U32" s="1"/>
      <c r="V32" s="1"/>
      <c r="W32" s="1"/>
      <c r="X32" s="1"/>
      <c r="Y32" s="1"/>
      <c r="Z32" s="1"/>
    </row>
    <row r="33">
      <c r="A33" s="1"/>
      <c r="B33" s="53" t="s">
        <v>114</v>
      </c>
      <c r="C33" s="33" t="s">
        <v>112</v>
      </c>
      <c r="D33" s="54">
        <v>0.0</v>
      </c>
      <c r="E33" s="37"/>
      <c r="F33" s="37"/>
      <c r="G33" s="1"/>
      <c r="H33" s="1"/>
      <c r="I33" s="1"/>
      <c r="J33" s="1"/>
      <c r="K33" s="1"/>
      <c r="L33" s="1"/>
      <c r="M33" s="1"/>
      <c r="N33" s="1"/>
      <c r="O33" s="1"/>
      <c r="P33" s="1"/>
      <c r="Q33" s="1"/>
      <c r="R33" s="1"/>
      <c r="S33" s="1"/>
      <c r="T33" s="1"/>
      <c r="U33" s="1"/>
      <c r="V33" s="1"/>
      <c r="W33" s="1"/>
      <c r="X33" s="1"/>
      <c r="Y33" s="1"/>
      <c r="Z33" s="1"/>
    </row>
    <row r="34">
      <c r="A34" s="1"/>
      <c r="B34" s="50"/>
      <c r="C34" s="33"/>
      <c r="D34" s="37"/>
      <c r="E34" s="37"/>
      <c r="F34" s="37"/>
      <c r="G34" s="1"/>
      <c r="H34" s="1"/>
      <c r="I34" s="1"/>
      <c r="J34" s="1"/>
      <c r="K34" s="1"/>
      <c r="L34" s="1"/>
      <c r="M34" s="1"/>
      <c r="N34" s="1"/>
      <c r="O34" s="1"/>
      <c r="P34" s="1"/>
      <c r="Q34" s="1"/>
      <c r="R34" s="1"/>
      <c r="S34" s="1"/>
      <c r="T34" s="1"/>
      <c r="U34" s="1"/>
      <c r="V34" s="1"/>
      <c r="W34" s="1"/>
      <c r="X34" s="1"/>
      <c r="Y34" s="1"/>
      <c r="Z34" s="1"/>
    </row>
    <row r="35">
      <c r="A35" s="1"/>
      <c r="B35" s="50" t="s">
        <v>115</v>
      </c>
      <c r="C35" s="33"/>
      <c r="D35" s="37"/>
      <c r="E35" s="37"/>
      <c r="F35" s="37"/>
      <c r="G35" s="1"/>
      <c r="H35" s="1"/>
      <c r="I35" s="1"/>
      <c r="J35" s="1"/>
      <c r="K35" s="1"/>
      <c r="L35" s="1"/>
      <c r="M35" s="1"/>
      <c r="N35" s="1"/>
      <c r="O35" s="1"/>
      <c r="P35" s="1"/>
      <c r="Q35" s="1"/>
      <c r="R35" s="1"/>
      <c r="S35" s="1"/>
      <c r="T35" s="1"/>
      <c r="U35" s="1"/>
      <c r="V35" s="1"/>
      <c r="W35" s="1"/>
      <c r="X35" s="1"/>
      <c r="Y35" s="1"/>
      <c r="Z35" s="1"/>
    </row>
    <row r="36">
      <c r="A36" s="1"/>
      <c r="B36" s="45" t="str">
        <f>"Depreciation, straight line for "&amp;D36&amp;" "&amp;if(D10="monthly","months",if(D10="quarterly","quarters","years"))</f>
        <v>Depreciation, straight line for 36 months</v>
      </c>
      <c r="C36" s="33" t="s">
        <v>102</v>
      </c>
      <c r="D36" s="39">
        <v>36.0</v>
      </c>
      <c r="E36" s="47"/>
      <c r="F36" s="37" t="s">
        <v>116</v>
      </c>
      <c r="G36" s="1"/>
      <c r="H36" s="1"/>
      <c r="I36" s="1"/>
      <c r="J36" s="1"/>
      <c r="K36" s="1"/>
      <c r="L36" s="1"/>
      <c r="M36" s="1"/>
      <c r="N36" s="1"/>
      <c r="O36" s="1"/>
      <c r="P36" s="1"/>
      <c r="Q36" s="1"/>
      <c r="R36" s="1"/>
      <c r="S36" s="1"/>
      <c r="T36" s="1"/>
      <c r="U36" s="1"/>
      <c r="V36" s="1"/>
      <c r="W36" s="1"/>
      <c r="X36" s="1"/>
      <c r="Y36" s="1"/>
      <c r="Z36" s="1"/>
    </row>
    <row r="37">
      <c r="A37" s="1"/>
      <c r="B37" s="50"/>
      <c r="C37" s="33"/>
      <c r="D37" s="37"/>
      <c r="E37" s="37"/>
      <c r="F37" s="37"/>
      <c r="G37" s="1"/>
      <c r="H37" s="1"/>
      <c r="I37" s="1"/>
      <c r="J37" s="1"/>
      <c r="K37" s="1"/>
      <c r="L37" s="1"/>
      <c r="M37" s="1"/>
      <c r="N37" s="1"/>
      <c r="O37" s="1"/>
      <c r="P37" s="1"/>
      <c r="Q37" s="1"/>
      <c r="R37" s="1"/>
      <c r="S37" s="1"/>
      <c r="T37" s="1"/>
      <c r="U37" s="1"/>
      <c r="V37" s="1"/>
      <c r="W37" s="1"/>
      <c r="X37" s="1"/>
      <c r="Y37" s="1"/>
      <c r="Z37" s="1"/>
    </row>
    <row r="38">
      <c r="A38" s="1"/>
      <c r="B38" s="50" t="s">
        <v>117</v>
      </c>
      <c r="C38" s="33"/>
      <c r="D38" s="37"/>
      <c r="E38" s="37"/>
      <c r="F38" s="37"/>
      <c r="G38" s="1"/>
      <c r="H38" s="1"/>
      <c r="I38" s="1"/>
      <c r="J38" s="1"/>
      <c r="K38" s="1"/>
      <c r="L38" s="1"/>
      <c r="M38" s="1"/>
      <c r="N38" s="1"/>
      <c r="O38" s="1"/>
      <c r="P38" s="1"/>
      <c r="Q38" s="1"/>
      <c r="R38" s="1"/>
      <c r="S38" s="1"/>
      <c r="T38" s="1"/>
      <c r="U38" s="1"/>
      <c r="V38" s="1"/>
      <c r="W38" s="1"/>
      <c r="X38" s="1"/>
      <c r="Y38" s="1"/>
      <c r="Z38" s="1"/>
    </row>
    <row r="39">
      <c r="A39" s="1"/>
      <c r="B39" s="45" t="s">
        <v>118</v>
      </c>
      <c r="C39" s="33" t="s">
        <v>112</v>
      </c>
      <c r="D39" s="55">
        <v>0.21</v>
      </c>
      <c r="E39" s="47"/>
      <c r="F39" s="37" t="s">
        <v>119</v>
      </c>
      <c r="G39" s="1"/>
      <c r="H39" s="1"/>
      <c r="I39" s="1"/>
      <c r="J39" s="1"/>
      <c r="K39" s="1"/>
      <c r="L39" s="1"/>
      <c r="M39" s="1"/>
      <c r="N39" s="1"/>
      <c r="O39" s="1"/>
      <c r="P39" s="1"/>
      <c r="Q39" s="1"/>
      <c r="R39" s="1"/>
      <c r="S39" s="1"/>
      <c r="T39" s="1"/>
      <c r="U39" s="1"/>
      <c r="V39" s="1"/>
      <c r="W39" s="1"/>
      <c r="X39" s="1"/>
      <c r="Y39" s="1"/>
      <c r="Z39" s="1"/>
    </row>
    <row r="40">
      <c r="A40" s="1"/>
      <c r="B40" s="45" t="str">
        <f>"Schedule for paying "&amp;B39</f>
        <v>Schedule for paying Corporate Income Taxes</v>
      </c>
      <c r="C40" s="33" t="s">
        <v>120</v>
      </c>
      <c r="D40" s="56" t="s">
        <v>121</v>
      </c>
      <c r="E40" s="37"/>
      <c r="F40" s="37" t="s">
        <v>122</v>
      </c>
      <c r="G40" s="1"/>
      <c r="H40" s="1"/>
      <c r="I40" s="1"/>
      <c r="J40" s="1"/>
      <c r="K40" s="1"/>
      <c r="L40" s="1"/>
      <c r="M40" s="1"/>
      <c r="N40" s="1"/>
      <c r="O40" s="1"/>
      <c r="P40" s="1"/>
      <c r="Q40" s="1"/>
      <c r="R40" s="1"/>
      <c r="S40" s="1"/>
      <c r="T40" s="1"/>
      <c r="U40" s="1"/>
      <c r="V40" s="1"/>
      <c r="W40" s="1"/>
      <c r="X40" s="1"/>
      <c r="Y40" s="1"/>
      <c r="Z40" s="1"/>
    </row>
    <row r="41">
      <c r="A41" s="1"/>
      <c r="B41" s="45" t="s">
        <v>123</v>
      </c>
      <c r="C41" s="33" t="s">
        <v>112</v>
      </c>
      <c r="D41" s="54">
        <v>0.0</v>
      </c>
      <c r="E41" s="47"/>
      <c r="F41" s="37" t="s">
        <v>124</v>
      </c>
      <c r="G41" s="1"/>
      <c r="H41" s="1"/>
      <c r="I41" s="1"/>
      <c r="J41" s="1"/>
      <c r="K41" s="1"/>
      <c r="L41" s="1"/>
      <c r="M41" s="1"/>
      <c r="N41" s="1"/>
      <c r="O41" s="1"/>
      <c r="P41" s="1"/>
      <c r="Q41" s="1"/>
      <c r="R41" s="1"/>
      <c r="S41" s="1"/>
      <c r="T41" s="1"/>
      <c r="U41" s="1"/>
      <c r="V41" s="1"/>
      <c r="W41" s="1"/>
      <c r="X41" s="1"/>
      <c r="Y41" s="1"/>
      <c r="Z41" s="1"/>
    </row>
    <row r="42">
      <c r="A42" s="1"/>
      <c r="B42" s="45" t="str">
        <f>"Schedule for paying "&amp;B41</f>
        <v>Schedule for paying VAT (Value-Added Taxes)</v>
      </c>
      <c r="C42" s="33" t="s">
        <v>120</v>
      </c>
      <c r="D42" s="56" t="s">
        <v>121</v>
      </c>
      <c r="E42" s="47"/>
      <c r="F42" s="37" t="s">
        <v>122</v>
      </c>
      <c r="G42" s="37"/>
      <c r="H42" s="37"/>
      <c r="I42" s="1"/>
      <c r="J42" s="1"/>
      <c r="K42" s="1"/>
      <c r="L42" s="1"/>
      <c r="M42" s="1"/>
      <c r="N42" s="1"/>
      <c r="O42" s="1"/>
      <c r="P42" s="1"/>
      <c r="Q42" s="1"/>
      <c r="R42" s="1"/>
      <c r="S42" s="1"/>
      <c r="T42" s="1"/>
      <c r="U42" s="1"/>
      <c r="V42" s="1"/>
      <c r="W42" s="1"/>
      <c r="X42" s="1"/>
      <c r="Y42" s="1"/>
      <c r="Z42" s="1"/>
    </row>
    <row r="43">
      <c r="A43" s="1"/>
      <c r="B43" s="1"/>
      <c r="C43" s="30"/>
      <c r="D43" s="1"/>
      <c r="E43" s="1"/>
      <c r="F43" s="37"/>
      <c r="G43" s="37"/>
      <c r="H43" s="37"/>
      <c r="I43" s="1"/>
      <c r="J43" s="1"/>
      <c r="K43" s="1"/>
      <c r="L43" s="1"/>
      <c r="M43" s="1"/>
      <c r="N43" s="1"/>
      <c r="O43" s="1"/>
      <c r="P43" s="1"/>
      <c r="Q43" s="1"/>
      <c r="R43" s="1"/>
      <c r="S43" s="1"/>
      <c r="T43" s="1"/>
      <c r="U43" s="1"/>
      <c r="V43" s="1"/>
      <c r="W43" s="1"/>
      <c r="X43" s="1"/>
      <c r="Y43" s="1"/>
      <c r="Z43" s="1"/>
    </row>
    <row r="44">
      <c r="A44" s="1"/>
      <c r="B44" s="50" t="s">
        <v>125</v>
      </c>
      <c r="C44" s="33"/>
      <c r="D44" s="57"/>
      <c r="E44" s="58"/>
      <c r="F44" s="37" t="s">
        <v>126</v>
      </c>
      <c r="G44" s="37"/>
      <c r="H44" s="37"/>
      <c r="L44" s="1"/>
      <c r="M44" s="1"/>
      <c r="N44" s="1"/>
      <c r="O44" s="1"/>
      <c r="P44" s="1"/>
      <c r="Q44" s="1"/>
      <c r="R44" s="1"/>
      <c r="S44" s="1"/>
      <c r="T44" s="1"/>
      <c r="U44" s="1"/>
      <c r="V44" s="1"/>
      <c r="W44" s="1"/>
      <c r="X44" s="1"/>
      <c r="Y44" s="1"/>
      <c r="Z44" s="1"/>
    </row>
    <row r="45">
      <c r="A45" s="1"/>
      <c r="B45" s="45" t="s">
        <v>127</v>
      </c>
      <c r="C45" s="33" t="s">
        <v>102</v>
      </c>
      <c r="D45" s="39">
        <v>0.0</v>
      </c>
      <c r="E45" s="58"/>
      <c r="F45" s="37" t="s">
        <v>128</v>
      </c>
      <c r="G45" s="37"/>
      <c r="H45" s="37"/>
      <c r="L45" s="1"/>
      <c r="M45" s="1"/>
      <c r="N45" s="1"/>
      <c r="O45" s="1"/>
      <c r="P45" s="1"/>
      <c r="Q45" s="1"/>
      <c r="R45" s="1"/>
      <c r="S45" s="1"/>
      <c r="T45" s="1"/>
      <c r="U45" s="1"/>
      <c r="V45" s="1"/>
      <c r="W45" s="1"/>
      <c r="X45" s="1"/>
      <c r="Y45" s="1"/>
      <c r="Z45" s="1"/>
    </row>
    <row r="46">
      <c r="A46" s="1"/>
      <c r="B46" s="45" t="s">
        <v>129</v>
      </c>
      <c r="C46" s="33" t="s">
        <v>112</v>
      </c>
      <c r="D46" s="54">
        <v>0.0</v>
      </c>
      <c r="E46" s="58"/>
      <c r="F46" s="37" t="s">
        <v>130</v>
      </c>
      <c r="G46" s="37"/>
      <c r="H46" s="37"/>
      <c r="L46" s="1"/>
      <c r="M46" s="1"/>
      <c r="N46" s="1"/>
      <c r="O46" s="1"/>
      <c r="P46" s="1"/>
      <c r="Q46" s="1"/>
      <c r="R46" s="1"/>
      <c r="S46" s="1"/>
      <c r="T46" s="1"/>
      <c r="U46" s="1"/>
      <c r="V46" s="1"/>
      <c r="W46" s="1"/>
      <c r="X46" s="1"/>
      <c r="Y46" s="1"/>
      <c r="Z46" s="1"/>
    </row>
    <row r="47">
      <c r="A47" s="1"/>
      <c r="B47" s="45" t="s">
        <v>131</v>
      </c>
      <c r="C47" s="33" t="s">
        <v>96</v>
      </c>
      <c r="D47" s="39">
        <v>0.0</v>
      </c>
      <c r="E47" s="58"/>
      <c r="F47" s="37" t="s">
        <v>132</v>
      </c>
      <c r="G47" s="37"/>
      <c r="H47" s="37"/>
      <c r="L47" s="1"/>
      <c r="M47" s="1"/>
      <c r="N47" s="1"/>
      <c r="O47" s="1"/>
      <c r="P47" s="1"/>
      <c r="Q47" s="1"/>
      <c r="R47" s="1"/>
      <c r="S47" s="1"/>
      <c r="T47" s="1"/>
      <c r="U47" s="1"/>
      <c r="V47" s="1"/>
      <c r="W47" s="1"/>
      <c r="X47" s="1"/>
      <c r="Y47" s="1"/>
      <c r="Z47" s="1"/>
    </row>
    <row r="48">
      <c r="A48" s="1"/>
      <c r="B48" s="45" t="s">
        <v>133</v>
      </c>
      <c r="C48" s="33" t="s">
        <v>112</v>
      </c>
      <c r="D48" s="54">
        <v>1.0</v>
      </c>
      <c r="E48" s="58"/>
      <c r="F48" s="37" t="s">
        <v>134</v>
      </c>
      <c r="G48" s="37"/>
      <c r="H48" s="37"/>
      <c r="L48" s="1"/>
      <c r="M48" s="1"/>
      <c r="N48" s="1"/>
      <c r="O48" s="1"/>
      <c r="P48" s="1"/>
      <c r="Q48" s="1"/>
      <c r="R48" s="1"/>
      <c r="S48" s="1"/>
      <c r="T48" s="1"/>
      <c r="U48" s="1"/>
      <c r="V48" s="1"/>
      <c r="W48" s="1"/>
      <c r="X48" s="1"/>
      <c r="Y48" s="1"/>
      <c r="Z48" s="1"/>
    </row>
    <row r="49">
      <c r="A49" s="1"/>
      <c r="B49" s="45" t="s">
        <v>135</v>
      </c>
      <c r="C49" s="33" t="s">
        <v>102</v>
      </c>
      <c r="D49" s="39">
        <v>0.0</v>
      </c>
      <c r="E49" s="58"/>
      <c r="F49" s="37" t="s">
        <v>136</v>
      </c>
      <c r="G49" s="37"/>
      <c r="H49" s="37"/>
      <c r="L49" s="1"/>
      <c r="M49" s="1"/>
      <c r="N49" s="1"/>
      <c r="O49" s="1"/>
      <c r="P49" s="1"/>
      <c r="Q49" s="1"/>
      <c r="R49" s="1"/>
      <c r="S49" s="1"/>
      <c r="T49" s="1"/>
      <c r="U49" s="1"/>
      <c r="V49" s="1"/>
      <c r="W49" s="1"/>
      <c r="X49" s="1"/>
      <c r="Y49" s="1"/>
      <c r="Z49" s="1"/>
    </row>
    <row r="50">
      <c r="A50" s="1"/>
      <c r="B50" s="45"/>
      <c r="C50" s="33"/>
      <c r="D50" s="57"/>
      <c r="E50" s="58"/>
      <c r="F50" s="37"/>
      <c r="G50" s="37"/>
      <c r="H50" s="37"/>
      <c r="L50" s="1"/>
      <c r="M50" s="1"/>
      <c r="N50" s="1"/>
      <c r="O50" s="1"/>
      <c r="P50" s="1"/>
      <c r="Q50" s="1"/>
      <c r="R50" s="1"/>
      <c r="S50" s="1"/>
      <c r="T50" s="1"/>
      <c r="U50" s="1"/>
      <c r="V50" s="1"/>
      <c r="W50" s="1"/>
      <c r="X50" s="1"/>
      <c r="Y50" s="1"/>
      <c r="Z50" s="1"/>
    </row>
    <row r="51">
      <c r="A51" s="1"/>
      <c r="B51" s="44"/>
      <c r="C51" s="30"/>
      <c r="D51" s="1"/>
      <c r="E51" s="1"/>
      <c r="F51" s="1"/>
      <c r="G51" s="1"/>
      <c r="H51" s="1"/>
      <c r="I51" s="1"/>
      <c r="J51" s="1"/>
      <c r="K51" s="1"/>
      <c r="L51" s="1"/>
      <c r="M51" s="1"/>
      <c r="N51" s="1"/>
      <c r="O51" s="1"/>
      <c r="P51" s="1"/>
      <c r="Q51" s="1"/>
      <c r="R51" s="1"/>
      <c r="S51" s="1"/>
      <c r="T51" s="1"/>
      <c r="U51" s="1"/>
      <c r="V51" s="1"/>
      <c r="W51" s="1"/>
      <c r="X51" s="1"/>
      <c r="Y51" s="1"/>
      <c r="Z51" s="1"/>
    </row>
    <row r="52">
      <c r="A52" s="1"/>
      <c r="B52" s="44" t="s">
        <v>137</v>
      </c>
      <c r="C52" s="30"/>
      <c r="D52" s="1"/>
      <c r="E52" s="1"/>
      <c r="F52" s="1"/>
      <c r="G52" s="1"/>
      <c r="H52" s="1"/>
      <c r="I52" s="1"/>
      <c r="J52" s="1"/>
      <c r="K52" s="1"/>
      <c r="L52" s="1"/>
      <c r="M52" s="1"/>
      <c r="N52" s="1"/>
      <c r="O52" s="1"/>
      <c r="P52" s="1"/>
      <c r="Q52" s="1"/>
      <c r="R52" s="1"/>
      <c r="S52" s="1"/>
      <c r="T52" s="1"/>
      <c r="U52" s="1"/>
      <c r="V52" s="1"/>
      <c r="W52" s="1"/>
      <c r="X52" s="1"/>
      <c r="Y52" s="1"/>
      <c r="Z52" s="1"/>
    </row>
    <row r="53">
      <c r="A53" s="1"/>
      <c r="B53" s="46" t="s">
        <v>138</v>
      </c>
      <c r="C53" s="33"/>
      <c r="D53" s="37"/>
      <c r="E53" s="37"/>
      <c r="F53" s="22" t="s">
        <v>139</v>
      </c>
      <c r="G53" s="1"/>
      <c r="H53" s="1"/>
      <c r="I53" s="1"/>
      <c r="J53" s="1"/>
      <c r="K53" s="1"/>
      <c r="L53" s="1"/>
      <c r="M53" s="1"/>
      <c r="N53" s="1"/>
      <c r="O53" s="1"/>
      <c r="P53" s="1"/>
      <c r="Q53" s="1"/>
      <c r="R53" s="1"/>
      <c r="S53" s="1"/>
      <c r="T53" s="1"/>
      <c r="U53" s="1"/>
      <c r="V53" s="1"/>
      <c r="W53" s="1"/>
      <c r="X53" s="1"/>
      <c r="Y53" s="1"/>
      <c r="Z53" s="1"/>
    </row>
    <row r="54">
      <c r="A54" s="1"/>
      <c r="B54" s="59"/>
      <c r="C54" s="33"/>
      <c r="D54" s="37"/>
      <c r="E54" s="37"/>
      <c r="F54" s="45"/>
      <c r="G54" s="1"/>
      <c r="H54" s="1"/>
      <c r="I54" s="1"/>
      <c r="J54" s="1"/>
      <c r="K54" s="1"/>
      <c r="L54" s="1"/>
      <c r="M54" s="1"/>
      <c r="N54" s="1"/>
      <c r="O54" s="1"/>
      <c r="P54" s="1"/>
      <c r="Q54" s="1"/>
      <c r="R54" s="1"/>
      <c r="S54" s="1"/>
      <c r="T54" s="1"/>
      <c r="U54" s="1"/>
      <c r="V54" s="1"/>
      <c r="W54" s="1"/>
      <c r="X54" s="1"/>
      <c r="Y54" s="1"/>
      <c r="Z54" s="1"/>
    </row>
    <row r="55">
      <c r="A55" s="1"/>
      <c r="B55" s="59" t="str">
        <f>TEXT(EDATE('Get Started'!D$12,-12),"mmmm")</f>
        <v>January</v>
      </c>
      <c r="C55" s="33" t="s">
        <v>112</v>
      </c>
      <c r="D55" s="54">
        <v>0.0</v>
      </c>
      <c r="E55" s="37"/>
      <c r="F55" s="53" t="s">
        <v>140</v>
      </c>
      <c r="G55" s="1"/>
      <c r="H55" s="1"/>
      <c r="I55" s="1"/>
      <c r="J55" s="1"/>
      <c r="K55" s="1"/>
      <c r="L55" s="1"/>
      <c r="M55" s="1"/>
      <c r="N55" s="1"/>
      <c r="O55" s="1"/>
      <c r="P55" s="1"/>
      <c r="Q55" s="1"/>
      <c r="R55" s="1"/>
      <c r="S55" s="1"/>
      <c r="T55" s="1"/>
      <c r="U55" s="1"/>
      <c r="V55" s="1"/>
      <c r="W55" s="1"/>
      <c r="X55" s="1"/>
      <c r="Y55" s="1"/>
      <c r="Z55" s="1"/>
    </row>
    <row r="56">
      <c r="A56" s="1"/>
      <c r="B56" s="59" t="str">
        <f>TEXT(EDATE('Get Started'!D$12,-11),"mmmm")</f>
        <v>February</v>
      </c>
      <c r="C56" s="33" t="s">
        <v>112</v>
      </c>
      <c r="D56" s="54">
        <v>0.0</v>
      </c>
      <c r="E56" s="37"/>
      <c r="F56" s="45" t="s">
        <v>141</v>
      </c>
      <c r="G56" s="1"/>
      <c r="H56" s="1"/>
      <c r="I56" s="1"/>
      <c r="J56" s="1"/>
      <c r="K56" s="1"/>
      <c r="L56" s="1"/>
      <c r="M56" s="1"/>
      <c r="N56" s="1"/>
      <c r="O56" s="1"/>
      <c r="P56" s="1"/>
      <c r="Q56" s="1"/>
      <c r="R56" s="1"/>
      <c r="S56" s="1"/>
      <c r="T56" s="1"/>
      <c r="U56" s="1"/>
      <c r="V56" s="1"/>
      <c r="W56" s="1"/>
      <c r="X56" s="1"/>
      <c r="Y56" s="1"/>
      <c r="Z56" s="1"/>
    </row>
    <row r="57">
      <c r="A57" s="1"/>
      <c r="B57" s="59" t="str">
        <f>TEXT(EDATE('Get Started'!D$12,-10),"mmmm")</f>
        <v>March</v>
      </c>
      <c r="C57" s="33" t="s">
        <v>112</v>
      </c>
      <c r="D57" s="54">
        <v>0.0</v>
      </c>
      <c r="E57" s="37"/>
      <c r="F57" s="45" t="s">
        <v>142</v>
      </c>
      <c r="G57" s="1"/>
      <c r="H57" s="1"/>
      <c r="I57" s="1"/>
      <c r="J57" s="1"/>
      <c r="K57" s="1"/>
      <c r="L57" s="1"/>
      <c r="M57" s="1"/>
      <c r="N57" s="1"/>
      <c r="O57" s="1"/>
      <c r="P57" s="1"/>
      <c r="Q57" s="1"/>
      <c r="R57" s="1"/>
      <c r="S57" s="1"/>
      <c r="T57" s="1"/>
      <c r="U57" s="1"/>
      <c r="V57" s="1"/>
      <c r="W57" s="1"/>
      <c r="X57" s="1"/>
      <c r="Y57" s="1"/>
      <c r="Z57" s="1"/>
    </row>
    <row r="58">
      <c r="A58" s="1"/>
      <c r="B58" s="59" t="str">
        <f>TEXT(EDATE('Get Started'!D$12,-9),"mmmm")</f>
        <v>April</v>
      </c>
      <c r="C58" s="33" t="s">
        <v>112</v>
      </c>
      <c r="D58" s="54">
        <v>0.0</v>
      </c>
      <c r="E58" s="37"/>
      <c r="F58" s="45"/>
      <c r="G58" s="1"/>
      <c r="H58" s="1"/>
      <c r="I58" s="1"/>
      <c r="J58" s="1"/>
      <c r="K58" s="1"/>
      <c r="L58" s="1"/>
      <c r="M58" s="1"/>
      <c r="N58" s="1"/>
      <c r="O58" s="1"/>
      <c r="P58" s="1"/>
      <c r="Q58" s="1"/>
      <c r="R58" s="1"/>
      <c r="S58" s="1"/>
      <c r="T58" s="1"/>
      <c r="U58" s="1"/>
      <c r="V58" s="1"/>
      <c r="W58" s="1"/>
      <c r="X58" s="1"/>
      <c r="Y58" s="1"/>
      <c r="Z58" s="1"/>
    </row>
    <row r="59">
      <c r="A59" s="1"/>
      <c r="B59" s="59" t="str">
        <f>TEXT(EDATE('Get Started'!D$12,-8),"mmmm")</f>
        <v>May</v>
      </c>
      <c r="C59" s="33" t="s">
        <v>112</v>
      </c>
      <c r="D59" s="54">
        <v>0.0</v>
      </c>
      <c r="E59" s="37"/>
      <c r="F59" s="45"/>
      <c r="G59" s="1"/>
      <c r="H59" s="1"/>
      <c r="I59" s="1"/>
      <c r="J59" s="1"/>
      <c r="K59" s="1"/>
      <c r="L59" s="1"/>
      <c r="M59" s="1"/>
      <c r="N59" s="1"/>
      <c r="O59" s="1"/>
      <c r="P59" s="1"/>
      <c r="Q59" s="1"/>
      <c r="R59" s="1"/>
      <c r="S59" s="1"/>
      <c r="T59" s="1"/>
      <c r="U59" s="1"/>
      <c r="V59" s="1"/>
      <c r="W59" s="1"/>
      <c r="X59" s="1"/>
      <c r="Y59" s="1"/>
      <c r="Z59" s="1"/>
    </row>
    <row r="60">
      <c r="A60" s="1"/>
      <c r="B60" s="59" t="str">
        <f>TEXT(EDATE('Get Started'!D$12,-7),"mmmm")</f>
        <v>June</v>
      </c>
      <c r="C60" s="33" t="s">
        <v>112</v>
      </c>
      <c r="D60" s="54">
        <v>0.0</v>
      </c>
      <c r="E60" s="37"/>
      <c r="F60" s="45"/>
      <c r="G60" s="1"/>
      <c r="H60" s="1"/>
      <c r="I60" s="1"/>
      <c r="J60" s="1"/>
      <c r="K60" s="1"/>
      <c r="L60" s="1"/>
      <c r="M60" s="1"/>
      <c r="N60" s="1"/>
      <c r="O60" s="1"/>
      <c r="P60" s="1"/>
      <c r="Q60" s="1"/>
      <c r="R60" s="1"/>
      <c r="S60" s="1"/>
      <c r="T60" s="1"/>
      <c r="U60" s="1"/>
      <c r="V60" s="1"/>
      <c r="W60" s="1"/>
      <c r="X60" s="1"/>
      <c r="Y60" s="1"/>
      <c r="Z60" s="1"/>
    </row>
    <row r="61">
      <c r="A61" s="1"/>
      <c r="B61" s="59" t="str">
        <f>TEXT(EDATE('Get Started'!D$12,-6),"mmmm")</f>
        <v>July</v>
      </c>
      <c r="C61" s="33" t="s">
        <v>112</v>
      </c>
      <c r="D61" s="54">
        <v>0.0</v>
      </c>
      <c r="E61" s="37"/>
      <c r="F61" s="37"/>
      <c r="G61" s="1"/>
      <c r="H61" s="1"/>
      <c r="I61" s="1"/>
      <c r="J61" s="1"/>
      <c r="K61" s="1"/>
      <c r="L61" s="1"/>
      <c r="M61" s="1"/>
      <c r="N61" s="1"/>
      <c r="O61" s="1"/>
      <c r="P61" s="1"/>
      <c r="Q61" s="1"/>
      <c r="R61" s="1"/>
      <c r="S61" s="1"/>
      <c r="T61" s="1"/>
      <c r="U61" s="1"/>
      <c r="V61" s="1"/>
      <c r="W61" s="1"/>
      <c r="X61" s="1"/>
      <c r="Y61" s="1"/>
      <c r="Z61" s="1"/>
    </row>
    <row r="62">
      <c r="A62" s="1"/>
      <c r="B62" s="59" t="str">
        <f>TEXT(EDATE('Get Started'!D$12,-5),"mmmm")</f>
        <v>August</v>
      </c>
      <c r="C62" s="33" t="s">
        <v>112</v>
      </c>
      <c r="D62" s="54">
        <v>0.0</v>
      </c>
      <c r="E62" s="37"/>
      <c r="F62" s="37"/>
      <c r="G62" s="1"/>
      <c r="H62" s="1"/>
      <c r="I62" s="1"/>
      <c r="J62" s="1"/>
      <c r="K62" s="1"/>
      <c r="L62" s="1"/>
      <c r="M62" s="1"/>
      <c r="N62" s="1"/>
      <c r="O62" s="1"/>
      <c r="P62" s="1"/>
      <c r="Q62" s="1"/>
      <c r="R62" s="1"/>
      <c r="S62" s="1"/>
      <c r="T62" s="1"/>
      <c r="U62" s="1"/>
      <c r="V62" s="1"/>
      <c r="W62" s="1"/>
      <c r="X62" s="1"/>
      <c r="Y62" s="1"/>
      <c r="Z62" s="1"/>
    </row>
    <row r="63">
      <c r="A63" s="1"/>
      <c r="B63" s="59" t="str">
        <f>TEXT(EDATE('Get Started'!D$12,-4),"mmmm")</f>
        <v>September</v>
      </c>
      <c r="C63" s="33" t="s">
        <v>112</v>
      </c>
      <c r="D63" s="54">
        <v>0.0</v>
      </c>
      <c r="E63" s="37"/>
      <c r="F63" s="37"/>
      <c r="G63" s="1"/>
      <c r="H63" s="1"/>
      <c r="I63" s="1"/>
      <c r="J63" s="1"/>
      <c r="K63" s="1"/>
      <c r="L63" s="1"/>
      <c r="M63" s="1"/>
      <c r="N63" s="1"/>
      <c r="O63" s="1"/>
      <c r="P63" s="1"/>
      <c r="Q63" s="1"/>
      <c r="R63" s="1"/>
      <c r="S63" s="1"/>
      <c r="T63" s="1"/>
      <c r="U63" s="1"/>
      <c r="V63" s="1"/>
      <c r="W63" s="1"/>
      <c r="X63" s="1"/>
      <c r="Y63" s="1"/>
      <c r="Z63" s="1"/>
    </row>
    <row r="64">
      <c r="A64" s="1"/>
      <c r="B64" s="59" t="str">
        <f>TEXT(EDATE('Get Started'!D$12,-3),"mmmm")</f>
        <v>October</v>
      </c>
      <c r="C64" s="33" t="s">
        <v>112</v>
      </c>
      <c r="D64" s="54">
        <v>0.0</v>
      </c>
      <c r="E64" s="37"/>
      <c r="F64" s="37"/>
      <c r="G64" s="1"/>
      <c r="H64" s="1"/>
      <c r="I64" s="1"/>
      <c r="J64" s="1"/>
      <c r="K64" s="1"/>
      <c r="L64" s="1"/>
      <c r="M64" s="1"/>
      <c r="N64" s="1"/>
      <c r="O64" s="1"/>
      <c r="P64" s="1"/>
      <c r="Q64" s="1"/>
      <c r="R64" s="1"/>
      <c r="S64" s="1"/>
      <c r="T64" s="1"/>
      <c r="U64" s="1"/>
      <c r="V64" s="1"/>
      <c r="W64" s="1"/>
      <c r="X64" s="1"/>
      <c r="Y64" s="1"/>
      <c r="Z64" s="1"/>
    </row>
    <row r="65">
      <c r="A65" s="1"/>
      <c r="B65" s="59" t="str">
        <f>TEXT(EDATE('Get Started'!D$12,-2),"mmmm")</f>
        <v>November</v>
      </c>
      <c r="C65" s="33" t="s">
        <v>112</v>
      </c>
      <c r="D65" s="54">
        <v>0.0</v>
      </c>
      <c r="E65" s="37"/>
      <c r="F65" s="37"/>
      <c r="G65" s="1"/>
      <c r="H65" s="1"/>
      <c r="I65" s="1"/>
      <c r="J65" s="1"/>
      <c r="K65" s="1"/>
      <c r="L65" s="1"/>
      <c r="M65" s="1"/>
      <c r="N65" s="1"/>
      <c r="O65" s="1"/>
      <c r="P65" s="1"/>
      <c r="Q65" s="1"/>
      <c r="R65" s="1"/>
      <c r="S65" s="1"/>
      <c r="T65" s="1"/>
      <c r="U65" s="1"/>
      <c r="V65" s="1"/>
      <c r="W65" s="1"/>
      <c r="X65" s="1"/>
      <c r="Y65" s="1"/>
      <c r="Z65" s="1"/>
    </row>
    <row r="66">
      <c r="A66" s="1"/>
      <c r="B66" s="59" t="str">
        <f>TEXT(EDATE('Get Started'!D$12,-1),"mmmm")</f>
        <v>December</v>
      </c>
      <c r="C66" s="33" t="s">
        <v>112</v>
      </c>
      <c r="D66" s="54">
        <v>0.0</v>
      </c>
      <c r="E66" s="37"/>
      <c r="F66" s="37"/>
      <c r="G66" s="1"/>
      <c r="H66" s="1"/>
      <c r="I66" s="1"/>
      <c r="J66" s="1"/>
      <c r="K66" s="1"/>
      <c r="L66" s="1"/>
      <c r="M66" s="1"/>
      <c r="N66" s="1"/>
      <c r="O66" s="1"/>
      <c r="P66" s="1"/>
      <c r="Q66" s="1"/>
      <c r="R66" s="1"/>
      <c r="S66" s="1"/>
      <c r="T66" s="1"/>
      <c r="U66" s="1"/>
      <c r="V66" s="1"/>
      <c r="W66" s="1"/>
      <c r="X66" s="1"/>
      <c r="Y66" s="1"/>
      <c r="Z66" s="1"/>
    </row>
    <row r="67">
      <c r="A67" s="1"/>
      <c r="B67" s="59" t="s">
        <v>143</v>
      </c>
      <c r="C67" s="33" t="s">
        <v>112</v>
      </c>
      <c r="D67" s="60">
        <f>SUM(D55:D66)</f>
        <v>0</v>
      </c>
      <c r="E67" s="37"/>
      <c r="F67" s="37" t="s">
        <v>144</v>
      </c>
      <c r="G67" s="1"/>
      <c r="H67" s="1"/>
      <c r="I67" s="1"/>
      <c r="J67" s="1"/>
      <c r="K67" s="1"/>
      <c r="L67" s="1"/>
      <c r="M67" s="1"/>
      <c r="N67" s="1"/>
      <c r="O67" s="1"/>
      <c r="P67" s="1"/>
      <c r="Q67" s="1"/>
      <c r="R67" s="1"/>
      <c r="S67" s="1"/>
      <c r="T67" s="1"/>
      <c r="U67" s="1"/>
      <c r="V67" s="1"/>
      <c r="W67" s="1"/>
      <c r="X67" s="1"/>
      <c r="Y67" s="1"/>
      <c r="Z67" s="1"/>
    </row>
    <row r="68">
      <c r="A68" s="1"/>
      <c r="B68" s="59"/>
      <c r="C68" s="33"/>
      <c r="D68" s="60"/>
      <c r="E68" s="37"/>
      <c r="F68" s="37"/>
      <c r="G68" s="1"/>
      <c r="H68" s="1"/>
      <c r="I68" s="1"/>
      <c r="J68" s="1"/>
      <c r="K68" s="1"/>
      <c r="L68" s="1"/>
      <c r="M68" s="1"/>
      <c r="N68" s="1"/>
      <c r="O68" s="1"/>
      <c r="P68" s="1"/>
      <c r="Q68" s="1"/>
      <c r="R68" s="1"/>
      <c r="S68" s="1"/>
      <c r="T68" s="1"/>
      <c r="U68" s="1"/>
      <c r="V68" s="1"/>
      <c r="W68" s="1"/>
      <c r="X68" s="1"/>
      <c r="Y68" s="1"/>
      <c r="Z68" s="1"/>
    </row>
    <row r="69">
      <c r="A69" s="1"/>
      <c r="B69" s="44"/>
      <c r="C69" s="30"/>
      <c r="D69" s="1"/>
      <c r="E69" s="1"/>
      <c r="F69" s="1"/>
      <c r="G69" s="1"/>
      <c r="H69" s="1"/>
      <c r="I69" s="1"/>
      <c r="J69" s="1"/>
      <c r="K69" s="1"/>
      <c r="L69" s="1"/>
      <c r="M69" s="1"/>
      <c r="N69" s="1"/>
      <c r="O69" s="1"/>
      <c r="P69" s="1"/>
      <c r="Q69" s="1"/>
      <c r="R69" s="1"/>
      <c r="S69" s="1"/>
      <c r="T69" s="1"/>
      <c r="U69" s="1"/>
      <c r="V69" s="1"/>
      <c r="W69" s="1"/>
      <c r="X69" s="1"/>
      <c r="Y69" s="1"/>
      <c r="Z69" s="1"/>
    </row>
    <row r="70">
      <c r="A70" s="1"/>
      <c r="B70" s="44" t="s">
        <v>145</v>
      </c>
      <c r="C70" s="30"/>
      <c r="D70" s="1"/>
      <c r="E70" s="1"/>
      <c r="F70" s="1"/>
      <c r="G70" s="1"/>
      <c r="H70" s="1"/>
      <c r="I70" s="1"/>
      <c r="J70" s="1"/>
      <c r="K70" s="1"/>
      <c r="L70" s="1"/>
      <c r="M70" s="1"/>
      <c r="N70" s="1"/>
      <c r="O70" s="1"/>
      <c r="P70" s="1"/>
      <c r="Q70" s="1"/>
      <c r="R70" s="1"/>
      <c r="S70" s="1"/>
      <c r="T70" s="1"/>
      <c r="U70" s="1"/>
      <c r="V70" s="1"/>
      <c r="W70" s="1"/>
      <c r="X70" s="1"/>
      <c r="Y70" s="1"/>
      <c r="Z70" s="1"/>
    </row>
    <row r="71">
      <c r="A71" s="1"/>
      <c r="B71" s="61" t="s">
        <v>146</v>
      </c>
      <c r="C71" s="30"/>
      <c r="D71" s="1"/>
      <c r="E71" s="1"/>
      <c r="F71" s="1"/>
      <c r="G71" s="1"/>
      <c r="H71" s="1"/>
      <c r="I71" s="1"/>
      <c r="J71" s="1"/>
      <c r="K71" s="1"/>
      <c r="L71" s="1"/>
      <c r="M71" s="1"/>
      <c r="N71" s="1"/>
      <c r="O71" s="1"/>
      <c r="P71" s="1"/>
      <c r="Q71" s="1"/>
      <c r="R71" s="1"/>
      <c r="S71" s="1"/>
      <c r="T71" s="1"/>
      <c r="U71" s="1"/>
      <c r="V71" s="1"/>
      <c r="W71" s="1"/>
      <c r="X71" s="1"/>
      <c r="Y71" s="1"/>
      <c r="Z71" s="1"/>
    </row>
    <row r="72">
      <c r="A72" s="1"/>
      <c r="B72" s="45"/>
      <c r="C72" s="33"/>
      <c r="D72" s="62"/>
      <c r="E72" s="47"/>
      <c r="F72" s="37"/>
      <c r="G72" s="1"/>
      <c r="H72" s="1"/>
      <c r="I72" s="1"/>
      <c r="J72" s="1"/>
      <c r="K72" s="1"/>
      <c r="L72" s="1"/>
      <c r="M72" s="1"/>
      <c r="N72" s="1"/>
      <c r="O72" s="1"/>
      <c r="P72" s="1"/>
      <c r="Q72" s="1"/>
      <c r="R72" s="1"/>
      <c r="S72" s="1"/>
      <c r="T72" s="1"/>
      <c r="U72" s="1"/>
      <c r="V72" s="1"/>
      <c r="W72" s="1"/>
      <c r="X72" s="1"/>
      <c r="Y72" s="1"/>
      <c r="Z72" s="1"/>
    </row>
    <row r="73">
      <c r="A73" s="1"/>
      <c r="B73" s="45" t="s">
        <v>147</v>
      </c>
      <c r="C73" s="33"/>
      <c r="D73" s="62" t="str">
        <f>IF(COUNTIFS(Statements!S86:BB86,"&lt;&gt;"&amp;"0")=0,"yes","no")</f>
        <v>yes</v>
      </c>
      <c r="E73" s="47"/>
      <c r="F73" s="37" t="s">
        <v>148</v>
      </c>
      <c r="G73" s="1"/>
      <c r="H73" s="1"/>
      <c r="I73" s="1"/>
      <c r="J73" s="1"/>
      <c r="K73" s="1"/>
      <c r="L73" s="1"/>
      <c r="M73" s="1"/>
      <c r="N73" s="1"/>
      <c r="O73" s="1"/>
      <c r="P73" s="1"/>
      <c r="Q73" s="1"/>
      <c r="R73" s="1"/>
      <c r="S73" s="1"/>
      <c r="T73" s="1"/>
      <c r="U73" s="1"/>
      <c r="V73" s="1"/>
      <c r="W73" s="1"/>
      <c r="X73" s="1"/>
      <c r="Y73" s="1"/>
      <c r="Z73" s="1"/>
    </row>
    <row r="74">
      <c r="A74" s="1"/>
      <c r="B74" s="45" t="s">
        <v>149</v>
      </c>
      <c r="C74" s="33"/>
      <c r="D74" s="62" t="str">
        <f>IF(COUNTIFS(Statements!S117:BB117,"&lt;"&amp;"0")=0,"yes","no")</f>
        <v>yes</v>
      </c>
      <c r="E74" s="47"/>
      <c r="F74" s="37" t="s">
        <v>150</v>
      </c>
      <c r="G74" s="1"/>
      <c r="H74" s="1"/>
      <c r="I74" s="1"/>
      <c r="J74" s="1"/>
      <c r="K74" s="1"/>
      <c r="L74" s="1"/>
      <c r="M74" s="1"/>
      <c r="N74" s="1"/>
      <c r="O74" s="1"/>
      <c r="P74" s="1"/>
      <c r="Q74" s="1"/>
      <c r="R74" s="1"/>
      <c r="S74" s="1"/>
      <c r="T74" s="1"/>
      <c r="U74" s="1"/>
      <c r="V74" s="1"/>
      <c r="W74" s="1"/>
      <c r="X74" s="1"/>
      <c r="Y74" s="1"/>
      <c r="Z74" s="1"/>
    </row>
    <row r="75">
      <c r="A75" s="1"/>
      <c r="B75" s="45" t="s">
        <v>151</v>
      </c>
      <c r="C75" s="33"/>
      <c r="D75" s="62" t="str">
        <f>IF(COUNTIFS(Statements!S62:BB62,"&lt;"&amp;"0")=0,"yes","no")</f>
        <v>yes</v>
      </c>
      <c r="E75" s="47"/>
      <c r="F75" s="37" t="s">
        <v>152</v>
      </c>
      <c r="G75" s="1"/>
      <c r="H75" s="1"/>
      <c r="I75" s="1"/>
      <c r="J75" s="1"/>
      <c r="K75" s="1"/>
      <c r="L75" s="1"/>
      <c r="M75" s="1"/>
      <c r="N75" s="1"/>
      <c r="O75" s="1"/>
      <c r="P75" s="1"/>
      <c r="Q75" s="1"/>
      <c r="R75" s="1"/>
      <c r="S75" s="1"/>
      <c r="T75" s="1"/>
      <c r="U75" s="1"/>
      <c r="V75" s="1"/>
      <c r="W75" s="1"/>
      <c r="X75" s="1"/>
      <c r="Y75" s="1"/>
      <c r="Z75" s="1"/>
    </row>
    <row r="76">
      <c r="A76" s="1"/>
      <c r="B76" s="53" t="s">
        <v>153</v>
      </c>
      <c r="C76" s="33"/>
      <c r="D76" s="62" t="str">
        <f>IF(COUNTIFS(Statements!S46:BB46,"&lt;"&amp;"0")=0,"yes","no")</f>
        <v>yes</v>
      </c>
      <c r="E76" s="47"/>
      <c r="F76" s="22" t="s">
        <v>154</v>
      </c>
      <c r="G76" s="1"/>
      <c r="H76" s="1"/>
      <c r="I76" s="1"/>
      <c r="J76" s="1"/>
      <c r="K76" s="1"/>
      <c r="L76" s="1"/>
      <c r="M76" s="1"/>
      <c r="N76" s="1"/>
      <c r="O76" s="1"/>
      <c r="P76" s="1"/>
      <c r="Q76" s="1"/>
      <c r="R76" s="1"/>
      <c r="S76" s="1"/>
      <c r="T76" s="1"/>
      <c r="U76" s="1"/>
      <c r="V76" s="1"/>
      <c r="W76" s="1"/>
      <c r="X76" s="1"/>
      <c r="Y76" s="1"/>
      <c r="Z76" s="1"/>
    </row>
    <row r="77">
      <c r="A77" s="1"/>
      <c r="B77" s="45" t="s">
        <v>155</v>
      </c>
      <c r="C77" s="33"/>
      <c r="D77" s="62" t="str">
        <f>IF(COUNTIFS(Statements!S51:BB51,"&lt;"&amp;"0")=0,"yes","no")</f>
        <v>yes</v>
      </c>
      <c r="E77" s="47"/>
      <c r="F77" s="37" t="s">
        <v>156</v>
      </c>
      <c r="G77" s="1"/>
      <c r="H77" s="1"/>
      <c r="I77" s="1"/>
      <c r="J77" s="1"/>
      <c r="K77" s="1"/>
      <c r="L77" s="1"/>
      <c r="M77" s="1"/>
      <c r="N77" s="1"/>
      <c r="O77" s="1"/>
      <c r="P77" s="1"/>
      <c r="Q77" s="1"/>
      <c r="R77" s="1"/>
      <c r="S77" s="1"/>
      <c r="T77" s="1"/>
      <c r="U77" s="1"/>
      <c r="V77" s="1"/>
      <c r="W77" s="1"/>
      <c r="X77" s="1"/>
      <c r="Y77" s="1"/>
      <c r="Z77" s="1"/>
    </row>
    <row r="78">
      <c r="A78" s="1"/>
      <c r="B78" s="1"/>
      <c r="C78" s="30"/>
      <c r="D78" s="1"/>
      <c r="E78" s="1"/>
      <c r="F78" s="1"/>
      <c r="G78" s="1"/>
      <c r="H78" s="1"/>
      <c r="I78" s="1"/>
      <c r="J78" s="1"/>
      <c r="K78" s="1"/>
      <c r="L78" s="1"/>
      <c r="M78" s="1"/>
      <c r="N78" s="1"/>
      <c r="O78" s="1"/>
      <c r="P78" s="1"/>
      <c r="Q78" s="1"/>
      <c r="R78" s="1"/>
      <c r="S78" s="1"/>
      <c r="T78" s="1"/>
      <c r="U78" s="1"/>
      <c r="V78" s="1"/>
      <c r="W78" s="1"/>
      <c r="X78" s="1"/>
      <c r="Y78" s="1"/>
      <c r="Z78" s="1"/>
    </row>
  </sheetData>
  <dataValidations>
    <dataValidation type="list" allowBlank="1" showErrorMessage="1" sqref="D10">
      <formula1>"monthly,quarterly,annual"</formula1>
    </dataValidation>
    <dataValidation type="list" allowBlank="1" showErrorMessage="1" sqref="D23 D27">
      <formula1>"yes,no"</formula1>
    </dataValidation>
    <dataValidation type="list" allowBlank="1" showErrorMessage="1" sqref="D14">
      <formula1>"absolute,relative"</formula1>
    </dataValidation>
    <dataValidation type="list" allowBlank="1" showErrorMessage="1" sqref="D40 D42">
      <formula1>"monthly,quarterly,annual"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5.1"/>
    <col customWidth="1" min="2" max="2" width="20.4"/>
  </cols>
  <sheetData>
    <row r="1">
      <c r="A1" s="1"/>
      <c r="B1" s="1"/>
      <c r="C1" s="1"/>
      <c r="D1" s="1"/>
      <c r="E1" s="1"/>
      <c r="F1" s="1"/>
      <c r="G1" s="1"/>
      <c r="H1" s="1"/>
      <c r="I1" s="1"/>
      <c r="J1" s="1"/>
      <c r="K1" s="1"/>
      <c r="L1" s="1"/>
      <c r="M1" s="1"/>
    </row>
    <row r="2">
      <c r="A2" s="1"/>
      <c r="B2" s="63" t="s">
        <v>157</v>
      </c>
      <c r="C2" s="1"/>
      <c r="D2" s="1"/>
      <c r="E2" s="1"/>
      <c r="F2" s="1"/>
      <c r="G2" s="1"/>
      <c r="H2" s="1"/>
      <c r="I2" s="1"/>
      <c r="J2" s="1"/>
      <c r="K2" s="1"/>
      <c r="L2" s="1"/>
      <c r="M2" s="1"/>
    </row>
    <row r="3">
      <c r="A3" s="1"/>
      <c r="B3" s="1"/>
      <c r="C3" s="1"/>
      <c r="D3" s="1"/>
      <c r="E3" s="1"/>
      <c r="F3" s="1"/>
      <c r="G3" s="1"/>
      <c r="H3" s="1"/>
      <c r="I3" s="1"/>
      <c r="J3" s="1"/>
      <c r="K3" s="1"/>
      <c r="L3" s="1"/>
      <c r="M3" s="1"/>
    </row>
    <row r="4">
      <c r="A4" s="1"/>
      <c r="B4" s="64" t="s">
        <v>158</v>
      </c>
      <c r="C4" s="65">
        <f>if('Get Started'!D14="relative",1,year('Get Started'!D12))</f>
        <v>1</v>
      </c>
      <c r="D4" s="65">
        <f>if(C4&lt;max(Forecast!$T7:$BA7),C4+1,"")</f>
        <v>2</v>
      </c>
      <c r="E4" s="65">
        <f>if(D4&lt;max(Forecast!$T7:$BA7),D4+1,"")</f>
        <v>3</v>
      </c>
      <c r="F4" s="1"/>
      <c r="G4" s="1"/>
      <c r="H4" s="1"/>
      <c r="I4" s="1"/>
      <c r="J4" s="1"/>
      <c r="K4" s="1"/>
      <c r="L4" s="1"/>
      <c r="M4" s="1"/>
    </row>
    <row r="5">
      <c r="A5" s="1"/>
      <c r="B5" s="1"/>
      <c r="C5" s="66" t="str">
        <f>if('Get Started'!D14="absolute",IF(ROUNDUP(DAYS360('Get Started'!D12,'Get Started'!D13)/30,0)&lt;11," ("&amp;ROUNDUP(DAYS360('Get Started'!D12,'Get Started'!D13)/30,0)&amp;" months)",""),"")</f>
        <v/>
      </c>
      <c r="D5" s="1"/>
      <c r="E5" s="1"/>
      <c r="F5" s="1"/>
      <c r="G5" s="1"/>
      <c r="H5" s="1"/>
      <c r="I5" s="1"/>
      <c r="J5" s="1"/>
      <c r="K5" s="1"/>
      <c r="L5" s="1"/>
      <c r="M5" s="1"/>
    </row>
    <row r="6">
      <c r="A6" s="1"/>
      <c r="B6" s="45" t="s">
        <v>159</v>
      </c>
      <c r="C6" s="67">
        <f>if(C4="","",sumifs(Statements!$S12:$BB12,Statements!$S$7:$BB$7,C$4))</f>
        <v>12300</v>
      </c>
      <c r="D6" s="67">
        <f>if(D4="","",sumifs(Statements!$S12:$BB12,Statements!$S$7:$BB$7,D$4))</f>
        <v>13560.75</v>
      </c>
      <c r="E6" s="67">
        <f>if(E4="","",sumifs(Statements!$S12:$BB12,Statements!$S$7:$BB$7,E$4))</f>
        <v>14950.72688</v>
      </c>
      <c r="F6" s="67"/>
      <c r="G6" s="67"/>
      <c r="H6" s="67"/>
      <c r="I6" s="67"/>
      <c r="J6" s="67"/>
      <c r="K6" s="67"/>
      <c r="L6" s="67"/>
      <c r="M6" s="1"/>
    </row>
    <row r="7">
      <c r="A7" s="1"/>
      <c r="B7" s="45" t="s">
        <v>160</v>
      </c>
      <c r="C7" s="60">
        <f t="shared" ref="C7:E7" si="1">if(C4="","",IFERROR(C6/B6-1,0))</f>
        <v>0</v>
      </c>
      <c r="D7" s="60">
        <f t="shared" si="1"/>
        <v>0.1025</v>
      </c>
      <c r="E7" s="60">
        <f t="shared" si="1"/>
        <v>0.1025</v>
      </c>
      <c r="F7" s="60"/>
      <c r="G7" s="60"/>
      <c r="H7" s="60"/>
      <c r="I7" s="60"/>
      <c r="J7" s="60"/>
      <c r="K7" s="60"/>
      <c r="L7" s="60"/>
      <c r="M7" s="1"/>
    </row>
    <row r="8">
      <c r="A8" s="1"/>
      <c r="B8" s="45" t="s">
        <v>161</v>
      </c>
      <c r="C8" s="68" t="str">
        <f t="shared" ref="C8:E8" si="2">if(C4="","",IFERROR(C6/B6,"na"))</f>
        <v>na</v>
      </c>
      <c r="D8" s="68">
        <f t="shared" si="2"/>
        <v>1.1025</v>
      </c>
      <c r="E8" s="68">
        <f t="shared" si="2"/>
        <v>1.1025</v>
      </c>
      <c r="F8" s="68"/>
      <c r="G8" s="68"/>
      <c r="H8" s="68"/>
      <c r="I8" s="68"/>
      <c r="J8" s="68"/>
      <c r="K8" s="68"/>
      <c r="L8" s="68"/>
      <c r="M8" s="1"/>
    </row>
    <row r="9">
      <c r="A9" s="1"/>
      <c r="B9" s="45"/>
      <c r="C9" s="69"/>
      <c r="D9" s="69"/>
      <c r="E9" s="69"/>
      <c r="F9" s="69"/>
      <c r="G9" s="69"/>
      <c r="H9" s="69"/>
      <c r="I9" s="69"/>
      <c r="J9" s="69"/>
      <c r="K9" s="69"/>
      <c r="L9" s="69"/>
      <c r="M9" s="1"/>
    </row>
    <row r="10">
      <c r="A10" s="1"/>
      <c r="B10" s="45" t="s">
        <v>162</v>
      </c>
      <c r="C10" s="67">
        <f>if(C4="","",sumifs(Statements!$S15:$BB15,Statements!$S$7:$BB$7,C$4))</f>
        <v>0</v>
      </c>
      <c r="D10" s="67">
        <f>if(D4="","",sumifs(Statements!$S15:$BB15,Statements!$S$7:$BB$7,D$4))</f>
        <v>0</v>
      </c>
      <c r="E10" s="67">
        <f>if(E4="","",sumifs(Statements!$S15:$BB15,Statements!$S$7:$BB$7,E$4))</f>
        <v>0</v>
      </c>
      <c r="F10" s="67"/>
      <c r="G10" s="67"/>
      <c r="H10" s="67"/>
      <c r="I10" s="67"/>
      <c r="J10" s="67"/>
      <c r="K10" s="67"/>
      <c r="L10" s="67"/>
      <c r="M10" s="1"/>
    </row>
    <row r="11">
      <c r="A11" s="1"/>
      <c r="B11" s="45" t="s">
        <v>163</v>
      </c>
      <c r="C11" s="70">
        <f t="shared" ref="C11:E11" si="3">if(C4="","",C6-C10)</f>
        <v>12300</v>
      </c>
      <c r="D11" s="70">
        <f t="shared" si="3"/>
        <v>13560.75</v>
      </c>
      <c r="E11" s="70">
        <f t="shared" si="3"/>
        <v>14950.72688</v>
      </c>
      <c r="F11" s="67"/>
      <c r="G11" s="67"/>
      <c r="H11" s="67"/>
      <c r="I11" s="67"/>
      <c r="J11" s="67"/>
      <c r="K11" s="67"/>
      <c r="L11" s="67"/>
      <c r="M11" s="1"/>
    </row>
    <row r="12">
      <c r="A12" s="1"/>
      <c r="B12" s="45" t="s">
        <v>164</v>
      </c>
      <c r="C12" s="60">
        <f t="shared" ref="C12:E12" si="4">if(C4="","",IFERROR(C11/C$6,0))</f>
        <v>1</v>
      </c>
      <c r="D12" s="60">
        <f t="shared" si="4"/>
        <v>1</v>
      </c>
      <c r="E12" s="60">
        <f t="shared" si="4"/>
        <v>1</v>
      </c>
      <c r="F12" s="60"/>
      <c r="G12" s="60"/>
      <c r="H12" s="60"/>
      <c r="I12" s="60"/>
      <c r="J12" s="60"/>
      <c r="K12" s="60"/>
      <c r="L12" s="60"/>
      <c r="M12" s="1"/>
    </row>
    <row r="13">
      <c r="A13" s="1"/>
      <c r="B13" s="45" t="s">
        <v>160</v>
      </c>
      <c r="C13" s="60">
        <f t="shared" ref="C13:E13" si="5">if(C4="","",IFERROR(C11/B11-1,0))</f>
        <v>0</v>
      </c>
      <c r="D13" s="60">
        <f t="shared" si="5"/>
        <v>0.1025</v>
      </c>
      <c r="E13" s="60">
        <f t="shared" si="5"/>
        <v>0.1025</v>
      </c>
      <c r="F13" s="60"/>
      <c r="G13" s="60"/>
      <c r="H13" s="60"/>
      <c r="I13" s="60"/>
      <c r="J13" s="60"/>
      <c r="K13" s="60"/>
      <c r="L13" s="60"/>
      <c r="M13" s="1"/>
    </row>
    <row r="14">
      <c r="A14" s="1"/>
      <c r="B14" s="45"/>
      <c r="C14" s="67"/>
      <c r="D14" s="67"/>
      <c r="E14" s="67"/>
      <c r="F14" s="67"/>
      <c r="G14" s="67"/>
      <c r="H14" s="67"/>
      <c r="I14" s="67"/>
      <c r="J14" s="67"/>
      <c r="K14" s="67"/>
      <c r="L14" s="67"/>
      <c r="M14" s="1"/>
    </row>
    <row r="15">
      <c r="A15" s="1"/>
      <c r="B15" s="45" t="s">
        <v>165</v>
      </c>
      <c r="C15" s="67">
        <f>if(C4="","",sumifs(Statements!$S20:$BB20,Statements!$S$7:$BB$7,C$4))</f>
        <v>0</v>
      </c>
      <c r="D15" s="67">
        <f>if(D4="","",sumifs(Statements!$S20:$BB20,Statements!$S$7:$BB$7,D$4))</f>
        <v>0</v>
      </c>
      <c r="E15" s="67">
        <f>if(E4="","",sumifs(Statements!$S20:$BB20,Statements!$S$7:$BB$7,E$4))</f>
        <v>0</v>
      </c>
      <c r="F15" s="67"/>
      <c r="G15" s="67"/>
      <c r="H15" s="67"/>
      <c r="I15" s="67"/>
      <c r="J15" s="67"/>
      <c r="K15" s="67"/>
      <c r="L15" s="67"/>
      <c r="M15" s="1"/>
    </row>
    <row r="16">
      <c r="A16" s="1"/>
      <c r="B16" s="45" t="s">
        <v>164</v>
      </c>
      <c r="C16" s="60">
        <f t="shared" ref="C16:E16" si="6">if(C8="","",IFERROR(C15/C$6,0))</f>
        <v>0</v>
      </c>
      <c r="D16" s="60">
        <f t="shared" si="6"/>
        <v>0</v>
      </c>
      <c r="E16" s="60">
        <f t="shared" si="6"/>
        <v>0</v>
      </c>
      <c r="F16" s="60"/>
      <c r="G16" s="60"/>
      <c r="H16" s="60"/>
      <c r="I16" s="60"/>
      <c r="J16" s="60"/>
      <c r="K16" s="60"/>
      <c r="L16" s="60"/>
      <c r="M16" s="1"/>
    </row>
    <row r="17">
      <c r="A17" s="1"/>
      <c r="B17" s="45"/>
      <c r="C17" s="69"/>
      <c r="D17" s="69"/>
      <c r="E17" s="69"/>
      <c r="F17" s="69"/>
      <c r="G17" s="69"/>
      <c r="H17" s="69"/>
      <c r="I17" s="69"/>
      <c r="J17" s="69"/>
      <c r="K17" s="69"/>
      <c r="L17" s="69"/>
      <c r="M17" s="1"/>
    </row>
    <row r="18">
      <c r="A18" s="1"/>
      <c r="B18" s="45" t="s">
        <v>166</v>
      </c>
      <c r="C18" s="69">
        <f t="shared" ref="C18:E18" si="7">if(C4="","",C11-C15)</f>
        <v>12300</v>
      </c>
      <c r="D18" s="69">
        <f t="shared" si="7"/>
        <v>13560.75</v>
      </c>
      <c r="E18" s="69">
        <f t="shared" si="7"/>
        <v>14950.72688</v>
      </c>
      <c r="F18" s="69"/>
      <c r="G18" s="69"/>
      <c r="H18" s="69"/>
      <c r="I18" s="69"/>
      <c r="J18" s="69"/>
      <c r="K18" s="69"/>
      <c r="L18" s="69"/>
      <c r="M18" s="1"/>
    </row>
    <row r="19">
      <c r="A19" s="1"/>
      <c r="B19" s="45" t="s">
        <v>164</v>
      </c>
      <c r="C19" s="60">
        <f t="shared" ref="C19:E19" si="8">if(C11="","",IFERROR(C18/C$6,0))</f>
        <v>1</v>
      </c>
      <c r="D19" s="60">
        <f t="shared" si="8"/>
        <v>1</v>
      </c>
      <c r="E19" s="60">
        <f t="shared" si="8"/>
        <v>1</v>
      </c>
      <c r="F19" s="60"/>
      <c r="G19" s="60"/>
      <c r="H19" s="60"/>
      <c r="I19" s="60"/>
      <c r="J19" s="60"/>
      <c r="K19" s="60"/>
      <c r="L19" s="60"/>
      <c r="M19" s="1"/>
    </row>
    <row r="20">
      <c r="A20" s="1"/>
      <c r="B20" s="45"/>
      <c r="C20" s="69"/>
      <c r="D20" s="69"/>
      <c r="E20" s="69"/>
      <c r="F20" s="69"/>
      <c r="G20" s="69"/>
      <c r="H20" s="69"/>
      <c r="I20" s="69"/>
      <c r="J20" s="69"/>
      <c r="K20" s="69"/>
      <c r="L20" s="69"/>
      <c r="M20" s="1"/>
    </row>
    <row r="21">
      <c r="A21" s="1"/>
      <c r="B21" s="45" t="s">
        <v>167</v>
      </c>
      <c r="C21" s="67">
        <f>if(C4="","",sumifs(Statements!$S26:$BB26,Statements!$S$7:$BB$7,C$4)+sumifs(Statements!$S27:$BB27,Statements!$S$7:$BB$7,C$4))</f>
        <v>0</v>
      </c>
      <c r="D21" s="67">
        <f>if(D4="","",sumifs(Statements!$S26:$BB26,Statements!$S$7:$BB$7,D$4)+sumifs(Statements!$S27:$BB27,Statements!$S$7:$BB$7,D$4))</f>
        <v>0</v>
      </c>
      <c r="E21" s="67">
        <f>if(E4="","",sumifs(Statements!$S26:$BB26,Statements!$S$7:$BB$7,E$4)+sumifs(Statements!$S27:$BB27,Statements!$S$7:$BB$7,E$4))</f>
        <v>0</v>
      </c>
      <c r="F21" s="67"/>
      <c r="G21" s="67"/>
      <c r="H21" s="67"/>
      <c r="I21" s="67"/>
      <c r="J21" s="67"/>
      <c r="K21" s="67"/>
      <c r="L21" s="67"/>
      <c r="M21" s="1"/>
    </row>
    <row r="22">
      <c r="A22" s="1"/>
      <c r="B22" s="45" t="s">
        <v>168</v>
      </c>
      <c r="C22" s="67">
        <f>if(C4="","",sumifs(Statements!$S28:$BB28,Statements!$S$7:$BB$7,C$4))</f>
        <v>0</v>
      </c>
      <c r="D22" s="67">
        <f>if(D4="","",sumifs(Statements!$S28:$BB28,Statements!$S$7:$BB$7,D$4))</f>
        <v>0</v>
      </c>
      <c r="E22" s="67">
        <f>if(E4="","",sumifs(Statements!$S28:$BB28,Statements!$S$7:$BB$7,E$4))</f>
        <v>0</v>
      </c>
      <c r="F22" s="67"/>
      <c r="G22" s="67"/>
      <c r="H22" s="67"/>
      <c r="I22" s="67"/>
      <c r="J22" s="67"/>
      <c r="K22" s="67"/>
      <c r="L22" s="67"/>
      <c r="M22" s="1"/>
    </row>
    <row r="23">
      <c r="A23" s="1"/>
      <c r="B23" s="45" t="s">
        <v>169</v>
      </c>
      <c r="C23" s="67">
        <f>if(C4="","",sumifs(Statements!$S29:$BB29,Statements!$S$7:$BB$7,C$4)*-1+sumifs(Statements!$S30:$BB30,Statements!$S$7:$BB$7,C$4))</f>
        <v>0</v>
      </c>
      <c r="D23" s="67">
        <f>if(D4="","",sumifs(Statements!$S29:$BB29,Statements!$S$7:$BB$7,D$4)*-1+sumifs(Statements!$S30:$BB30,Statements!$S$7:$BB$7,D$4))</f>
        <v>0</v>
      </c>
      <c r="E23" s="67">
        <f>if(E4="","",sumifs(Statements!$S29:$BB29,Statements!$S$7:$BB$7,E$4)*-1+sumifs(Statements!$S30:$BB30,Statements!$S$7:$BB$7,E$4))</f>
        <v>0</v>
      </c>
      <c r="F23" s="67"/>
      <c r="G23" s="67"/>
      <c r="H23" s="67"/>
      <c r="I23" s="67"/>
      <c r="J23" s="67"/>
      <c r="K23" s="67"/>
      <c r="L23" s="67"/>
      <c r="M23" s="1"/>
    </row>
    <row r="24">
      <c r="A24" s="1"/>
      <c r="B24" s="45" t="s">
        <v>170</v>
      </c>
      <c r="C24" s="67">
        <f>if(C4="","",sumifs(Statements!$S34:$BB34,Statements!$S$7:$BB$7,C$4))</f>
        <v>2583</v>
      </c>
      <c r="D24" s="67">
        <f>if(D4="","",sumifs(Statements!$S34:$BB34,Statements!$S$7:$BB$7,D$4))</f>
        <v>2847.7575</v>
      </c>
      <c r="E24" s="67">
        <f>if(E4="","",sumifs(Statements!$S34:$BB34,Statements!$S$7:$BB$7,E$4))</f>
        <v>3139.652644</v>
      </c>
      <c r="F24" s="67"/>
      <c r="G24" s="67"/>
      <c r="H24" s="67"/>
      <c r="I24" s="67"/>
      <c r="J24" s="67"/>
      <c r="K24" s="67"/>
      <c r="L24" s="67"/>
      <c r="M24" s="1"/>
    </row>
    <row r="25">
      <c r="A25" s="1"/>
      <c r="B25" s="45"/>
      <c r="C25" s="69"/>
      <c r="D25" s="69"/>
      <c r="E25" s="69"/>
      <c r="F25" s="69"/>
      <c r="G25" s="69"/>
      <c r="H25" s="69"/>
      <c r="I25" s="69"/>
      <c r="J25" s="69"/>
      <c r="K25" s="69"/>
      <c r="L25" s="69"/>
      <c r="M25" s="1"/>
    </row>
    <row r="26">
      <c r="A26" s="1"/>
      <c r="B26" s="45" t="s">
        <v>171</v>
      </c>
      <c r="C26" s="71">
        <f t="shared" ref="C26:E26" si="9">if(C4="","",C18-C21-C22-C23-C24)</f>
        <v>9717</v>
      </c>
      <c r="D26" s="71">
        <f t="shared" si="9"/>
        <v>10712.9925</v>
      </c>
      <c r="E26" s="71">
        <f t="shared" si="9"/>
        <v>11811.07423</v>
      </c>
      <c r="F26" s="67"/>
      <c r="G26" s="67"/>
      <c r="H26" s="67"/>
      <c r="I26" s="67"/>
      <c r="J26" s="67"/>
      <c r="K26" s="67"/>
      <c r="L26" s="67"/>
      <c r="M26" s="1"/>
    </row>
    <row r="27">
      <c r="A27" s="1"/>
      <c r="B27" s="45" t="s">
        <v>164</v>
      </c>
      <c r="C27" s="60">
        <f t="shared" ref="C27:E27" si="10">if(C19="","",IFERROR(C26/C$6,0))</f>
        <v>0.79</v>
      </c>
      <c r="D27" s="60">
        <f t="shared" si="10"/>
        <v>0.79</v>
      </c>
      <c r="E27" s="60">
        <f t="shared" si="10"/>
        <v>0.79</v>
      </c>
      <c r="F27" s="60"/>
      <c r="G27" s="60"/>
      <c r="H27" s="60"/>
      <c r="I27" s="60"/>
      <c r="J27" s="60"/>
      <c r="K27" s="60"/>
      <c r="L27" s="60"/>
      <c r="M27" s="1"/>
    </row>
    <row r="28">
      <c r="A28" s="1"/>
      <c r="B28" s="45" t="s">
        <v>160</v>
      </c>
      <c r="C28" s="60">
        <f t="shared" ref="C28:E28" si="11">if(C4="","",IFERROR(ABS(C26-B26)/ABS(B26),0))</f>
        <v>0</v>
      </c>
      <c r="D28" s="60">
        <f t="shared" si="11"/>
        <v>0.1025</v>
      </c>
      <c r="E28" s="60">
        <f t="shared" si="11"/>
        <v>0.1025</v>
      </c>
      <c r="F28" s="60"/>
      <c r="G28" s="60"/>
      <c r="H28" s="60"/>
      <c r="I28" s="60"/>
      <c r="J28" s="60"/>
      <c r="K28" s="60"/>
      <c r="L28" s="60"/>
      <c r="M28" s="1"/>
    </row>
    <row r="29">
      <c r="A29" s="1"/>
      <c r="B29" s="45"/>
      <c r="C29" s="37"/>
      <c r="D29" s="1"/>
      <c r="E29" s="1"/>
      <c r="F29" s="1"/>
      <c r="G29" s="1"/>
      <c r="H29" s="1"/>
      <c r="I29" s="1"/>
      <c r="J29" s="1"/>
      <c r="K29" s="1"/>
      <c r="L29" s="1"/>
      <c r="M29" s="1"/>
    </row>
    <row r="30">
      <c r="A30" s="1"/>
      <c r="B30" s="45"/>
      <c r="C30" s="37"/>
      <c r="D30" s="1"/>
      <c r="E30" s="1"/>
      <c r="F30" s="1"/>
      <c r="G30" s="1"/>
      <c r="H30" s="1"/>
      <c r="I30" s="1"/>
      <c r="J30" s="1"/>
      <c r="K30" s="1"/>
      <c r="L30" s="1"/>
      <c r="M30" s="1"/>
    </row>
    <row r="31">
      <c r="A31" s="1"/>
      <c r="B31" s="72" t="s">
        <v>172</v>
      </c>
      <c r="C31" s="73"/>
      <c r="D31" s="73"/>
      <c r="E31" s="73"/>
      <c r="F31" s="73"/>
      <c r="G31" s="73"/>
      <c r="H31" s="73"/>
      <c r="I31" s="73"/>
      <c r="J31" s="73"/>
      <c r="K31" s="73"/>
      <c r="L31" s="73"/>
      <c r="M31" s="1"/>
    </row>
    <row r="32">
      <c r="A32" s="1"/>
      <c r="B32" s="45"/>
      <c r="C32" s="73"/>
      <c r="D32" s="73"/>
      <c r="E32" s="73"/>
      <c r="F32" s="73"/>
      <c r="G32" s="73"/>
      <c r="H32" s="73"/>
      <c r="I32" s="73"/>
      <c r="J32" s="73"/>
      <c r="K32" s="73"/>
      <c r="L32" s="73"/>
      <c r="M32" s="1"/>
    </row>
    <row r="33">
      <c r="A33" s="1"/>
      <c r="B33" s="64" t="s">
        <v>158</v>
      </c>
      <c r="C33" s="74">
        <f t="shared" ref="C33:E33" si="12">C$4</f>
        <v>1</v>
      </c>
      <c r="D33" s="74">
        <f t="shared" si="12"/>
        <v>2</v>
      </c>
      <c r="E33" s="74">
        <f t="shared" si="12"/>
        <v>3</v>
      </c>
      <c r="F33" s="73"/>
      <c r="G33" s="73"/>
      <c r="H33" s="73"/>
      <c r="I33" s="73"/>
      <c r="J33" s="73"/>
      <c r="K33" s="73"/>
      <c r="L33" s="73"/>
      <c r="M33" s="1"/>
    </row>
    <row r="34">
      <c r="A34" s="1"/>
      <c r="B34" s="45"/>
      <c r="C34" s="75" t="str">
        <f>C5</f>
        <v/>
      </c>
      <c r="D34" s="1"/>
      <c r="E34" s="1"/>
      <c r="F34" s="1"/>
      <c r="G34" s="1"/>
      <c r="H34" s="1"/>
      <c r="I34" s="1"/>
      <c r="J34" s="1"/>
      <c r="K34" s="1"/>
      <c r="L34" s="1"/>
      <c r="M34" s="1"/>
    </row>
    <row r="35">
      <c r="A35" s="1"/>
      <c r="B35" s="67" t="s">
        <v>173</v>
      </c>
      <c r="C35" s="67">
        <f>Statements!R44</f>
        <v>0</v>
      </c>
      <c r="D35" s="67">
        <f t="shared" ref="D35:E35" si="13">if(D4="","",C41)</f>
        <v>510158</v>
      </c>
      <c r="E35" s="67">
        <f t="shared" si="13"/>
        <v>520916.195</v>
      </c>
      <c r="F35" s="1"/>
      <c r="G35" s="1"/>
      <c r="H35" s="1"/>
      <c r="I35" s="1"/>
      <c r="J35" s="1"/>
      <c r="K35" s="1"/>
      <c r="L35" s="1"/>
      <c r="M35" s="1"/>
    </row>
    <row r="36">
      <c r="A36" s="1"/>
      <c r="B36" s="67"/>
      <c r="C36" s="67"/>
      <c r="D36" s="1"/>
      <c r="E36" s="1"/>
      <c r="F36" s="1"/>
      <c r="G36" s="1"/>
      <c r="H36" s="1"/>
      <c r="I36" s="1"/>
      <c r="J36" s="1"/>
      <c r="K36" s="1"/>
      <c r="L36" s="1"/>
      <c r="M36" s="1"/>
    </row>
    <row r="37">
      <c r="A37" s="1"/>
      <c r="B37" s="67" t="s">
        <v>174</v>
      </c>
      <c r="C37" s="67">
        <f>if(C4="","",sumifs(Statements!$S98:$BB98,Statements!$S$7:$BB$7,C$4))</f>
        <v>10158</v>
      </c>
      <c r="D37" s="67">
        <f>if(D4="","",sumifs(Statements!$S98:$BB98,Statements!$S$7:$BB$7,D$4))</f>
        <v>10758.195</v>
      </c>
      <c r="E37" s="67">
        <f>if(E4="","",sumifs(Statements!$S98:$BB98,Statements!$S$7:$BB$7,E$4))</f>
        <v>11860.90999</v>
      </c>
      <c r="F37" s="67"/>
      <c r="G37" s="67"/>
      <c r="H37" s="67"/>
      <c r="I37" s="67"/>
      <c r="J37" s="67"/>
      <c r="K37" s="67"/>
      <c r="L37" s="67"/>
      <c r="M37" s="1"/>
    </row>
    <row r="38">
      <c r="A38" s="1"/>
      <c r="B38" s="67" t="s">
        <v>175</v>
      </c>
      <c r="C38" s="67">
        <f>if(C4="","",sumifs(Statements!$S103:$BB103,Statements!$S$7:$BB$7,C$4))</f>
        <v>0</v>
      </c>
      <c r="D38" s="67">
        <f>if(D4="","",sumifs(Statements!$S103:$BB103,Statements!$S$7:$BB$7,D$4))</f>
        <v>0</v>
      </c>
      <c r="E38" s="67">
        <f>if(E4="","",sumifs(Statements!$S103:$BB103,Statements!$S$7:$BB$7,E$4))</f>
        <v>0</v>
      </c>
      <c r="F38" s="67"/>
      <c r="G38" s="67"/>
      <c r="H38" s="67"/>
      <c r="I38" s="67"/>
      <c r="J38" s="67"/>
      <c r="K38" s="67"/>
      <c r="L38" s="67"/>
      <c r="M38" s="1"/>
    </row>
    <row r="39">
      <c r="A39" s="1"/>
      <c r="B39" s="67" t="s">
        <v>176</v>
      </c>
      <c r="C39" s="67">
        <f>if(C4="","",sumifs(Statements!$S113:$BB113,Statements!$S$7:$BB$7,C$4))</f>
        <v>500000</v>
      </c>
      <c r="D39" s="67">
        <f>if(D4="","",sumifs(Statements!$S113:$BB113,Statements!$S$7:$BB$7,D$4))</f>
        <v>0</v>
      </c>
      <c r="E39" s="67">
        <f>if(E4="","",sumifs(Statements!$S113:$BB113,Statements!$S$7:$BB$7,E$4))</f>
        <v>0</v>
      </c>
      <c r="F39" s="67"/>
      <c r="G39" s="67"/>
      <c r="H39" s="67"/>
      <c r="I39" s="67"/>
      <c r="J39" s="67"/>
      <c r="K39" s="67"/>
      <c r="L39" s="67"/>
      <c r="M39" s="1"/>
    </row>
    <row r="40">
      <c r="A40" s="1"/>
      <c r="B40" s="67"/>
      <c r="C40" s="67"/>
      <c r="D40" s="67"/>
      <c r="E40" s="67"/>
      <c r="F40" s="67"/>
      <c r="G40" s="67"/>
      <c r="H40" s="67"/>
      <c r="I40" s="67"/>
      <c r="J40" s="67"/>
      <c r="K40" s="67"/>
      <c r="L40" s="67"/>
      <c r="M40" s="1"/>
    </row>
    <row r="41">
      <c r="A41" s="1"/>
      <c r="B41" s="67" t="s">
        <v>177</v>
      </c>
      <c r="C41" s="70">
        <f t="shared" ref="C41:E41" si="14">if(C4="","",sum(C35,C37:C39))</f>
        <v>510158</v>
      </c>
      <c r="D41" s="70">
        <f t="shared" si="14"/>
        <v>520916.195</v>
      </c>
      <c r="E41" s="70">
        <f t="shared" si="14"/>
        <v>532777.105</v>
      </c>
      <c r="F41" s="67"/>
      <c r="G41" s="67"/>
      <c r="H41" s="67"/>
      <c r="I41" s="67"/>
      <c r="J41" s="67"/>
      <c r="K41" s="67"/>
      <c r="L41" s="67"/>
      <c r="M41" s="1"/>
    </row>
    <row r="42">
      <c r="A42" s="1"/>
      <c r="B42" s="67"/>
      <c r="C42" s="67"/>
      <c r="D42" s="1"/>
      <c r="E42" s="1"/>
      <c r="F42" s="1"/>
      <c r="G42" s="1"/>
      <c r="H42" s="1"/>
      <c r="I42" s="1"/>
      <c r="J42" s="1"/>
      <c r="K42" s="1"/>
      <c r="L42" s="1"/>
      <c r="M42" s="1"/>
    </row>
    <row r="43">
      <c r="A43" s="1"/>
      <c r="B43" s="67"/>
      <c r="C43" s="67"/>
      <c r="D43" s="1"/>
      <c r="E43" s="1"/>
      <c r="F43" s="1"/>
      <c r="G43" s="1"/>
      <c r="H43" s="1"/>
      <c r="I43" s="1"/>
      <c r="J43" s="1"/>
      <c r="K43" s="1"/>
      <c r="L43" s="1"/>
      <c r="M43" s="1"/>
    </row>
    <row r="44">
      <c r="A44" s="1"/>
      <c r="B44" s="72" t="s">
        <v>93</v>
      </c>
      <c r="C44" s="73"/>
      <c r="D44" s="73"/>
      <c r="E44" s="73"/>
      <c r="F44" s="1"/>
      <c r="G44" s="1"/>
      <c r="H44" s="1"/>
      <c r="I44" s="1"/>
      <c r="J44" s="1"/>
      <c r="K44" s="1"/>
      <c r="L44" s="1"/>
      <c r="M44" s="1"/>
    </row>
    <row r="45">
      <c r="A45" s="1"/>
      <c r="B45" s="45"/>
      <c r="C45" s="73"/>
      <c r="D45" s="73"/>
      <c r="E45" s="73"/>
      <c r="F45" s="1"/>
      <c r="G45" s="1"/>
      <c r="H45" s="1"/>
      <c r="I45" s="1"/>
      <c r="J45" s="1"/>
      <c r="K45" s="1"/>
      <c r="L45" s="1"/>
      <c r="M45" s="1"/>
    </row>
    <row r="46">
      <c r="A46" s="1"/>
      <c r="B46" s="64" t="s">
        <v>158</v>
      </c>
      <c r="C46" s="74">
        <f t="shared" ref="C46:E46" si="15">C$4</f>
        <v>1</v>
      </c>
      <c r="D46" s="74">
        <f t="shared" si="15"/>
        <v>2</v>
      </c>
      <c r="E46" s="74">
        <f t="shared" si="15"/>
        <v>3</v>
      </c>
      <c r="F46" s="1"/>
      <c r="G46" s="1"/>
      <c r="H46" s="1"/>
      <c r="I46" s="1"/>
      <c r="J46" s="1"/>
      <c r="K46" s="1"/>
      <c r="L46" s="1"/>
      <c r="M46" s="1"/>
    </row>
    <row r="47">
      <c r="A47" s="1"/>
      <c r="B47" s="67"/>
      <c r="C47" s="67"/>
      <c r="D47" s="1"/>
      <c r="E47" s="1"/>
      <c r="F47" s="1"/>
      <c r="G47" s="1"/>
      <c r="H47" s="1"/>
      <c r="I47" s="1"/>
      <c r="J47" s="1"/>
      <c r="K47" s="1"/>
      <c r="L47" s="1"/>
      <c r="M47" s="1"/>
    </row>
    <row r="48">
      <c r="A48" s="1"/>
      <c r="B48" s="76" t="s">
        <v>178</v>
      </c>
      <c r="C48" s="67">
        <f t="array" ref="C48">if(C4="","",index(Statements!$S57:$BB57,,match(C$4,Statements!$S$7:$BB$7,0)))</f>
        <v>500790</v>
      </c>
      <c r="D48" s="67">
        <f t="array" ref="D48">if(D4="","",index(Statements!$S57:$BB57,,match(D$4,Statements!$S$7:$BB$7,0)))</f>
        <v>510587.975</v>
      </c>
      <c r="E48" s="67">
        <f t="array" ref="E48">if(E4="","",index(Statements!$S57:$BB57,,match(E$4,Statements!$S$7:$BB$7,0)))</f>
        <v>521390.2424</v>
      </c>
      <c r="F48" s="1"/>
      <c r="G48" s="1"/>
      <c r="H48" s="1"/>
      <c r="I48" s="1"/>
      <c r="J48" s="1"/>
      <c r="K48" s="1"/>
      <c r="L48" s="1"/>
      <c r="M48" s="1"/>
    </row>
    <row r="49">
      <c r="A49" s="1"/>
      <c r="B49" s="76" t="s">
        <v>179</v>
      </c>
      <c r="C49" s="67">
        <f t="array" ref="C49">if(C4="","",index(Statements!$S68:$BB68,,match(C$4,Statements!$S$7:$BB$7,0)))</f>
        <v>0</v>
      </c>
      <c r="D49" s="67">
        <f t="array" ref="D49">if(D4="","",index(Statements!$S68:$BB68,,match(D$4,Statements!$S$7:$BB$7,0)))</f>
        <v>0</v>
      </c>
      <c r="E49" s="67">
        <f t="array" ref="E49">if(E4="","",index(Statements!$S68:$BB68,,match(E$4,Statements!$S$7:$BB$7,0)))</f>
        <v>0</v>
      </c>
      <c r="F49" s="1"/>
      <c r="G49" s="1"/>
      <c r="H49" s="1"/>
      <c r="I49" s="1"/>
      <c r="J49" s="1"/>
      <c r="K49" s="1"/>
      <c r="L49" s="1"/>
      <c r="M49" s="1"/>
    </row>
    <row r="50">
      <c r="A50" s="1"/>
      <c r="B50" s="76" t="s">
        <v>180</v>
      </c>
      <c r="C50" s="67">
        <f t="array" ref="C50">if(C4="","",index(Statements!$S83:$BB83,,match(C$4,Statements!$S$7:$BB$7,0)))</f>
        <v>500790</v>
      </c>
      <c r="D50" s="67">
        <f t="array" ref="D50">if(D4="","",index(Statements!$S83:$BB83,,match(D$4,Statements!$S$7:$BB$7,0)))</f>
        <v>510587.975</v>
      </c>
      <c r="E50" s="67">
        <f t="array" ref="E50">if(E4="","",index(Statements!$S83:$BB83,,match(E$4,Statements!$S$7:$BB$7,0)))</f>
        <v>521390.2424</v>
      </c>
      <c r="F50" s="1"/>
      <c r="G50" s="1"/>
      <c r="H50" s="1"/>
      <c r="I50" s="1"/>
      <c r="J50" s="1"/>
      <c r="K50" s="1"/>
      <c r="L50" s="1"/>
      <c r="M50" s="1"/>
    </row>
    <row r="51">
      <c r="A51" s="1"/>
      <c r="B51" s="67"/>
      <c r="C51" s="67"/>
      <c r="D51" s="1"/>
      <c r="E51" s="1"/>
      <c r="F51" s="1"/>
      <c r="G51" s="1"/>
      <c r="H51" s="1"/>
      <c r="I51" s="1"/>
      <c r="J51" s="1"/>
      <c r="K51" s="1"/>
      <c r="L51" s="1"/>
      <c r="M51" s="1"/>
    </row>
    <row r="52">
      <c r="A52" s="1"/>
      <c r="B52" s="67"/>
      <c r="C52" s="67"/>
      <c r="D52" s="1"/>
      <c r="E52" s="1"/>
      <c r="F52" s="1"/>
      <c r="G52" s="1"/>
      <c r="H52" s="1"/>
      <c r="I52" s="1"/>
      <c r="J52" s="1"/>
      <c r="K52" s="1"/>
      <c r="L52" s="1"/>
      <c r="M52"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5.0"/>
  </cols>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0.1" defaultRowHeight="15.0" outlineLevelRow="1"/>
  <cols>
    <col customWidth="1" min="1" max="1" width="4.6"/>
    <col customWidth="1" min="2" max="2" width="24.7"/>
    <col customWidth="1" min="3" max="3" width="5.1"/>
    <col customWidth="1" min="4" max="4" width="16.7"/>
    <col customWidth="1" min="5" max="5" width="3.1"/>
    <col customWidth="1" min="6" max="6" width="2.8"/>
    <col customWidth="1" min="7" max="7" width="3.1"/>
    <col customWidth="1" min="8" max="8" width="6.7"/>
    <col customWidth="1" min="9" max="9" width="7.0"/>
    <col customWidth="1" min="10" max="10" width="6.3"/>
    <col customWidth="1" min="11" max="11" width="7.6"/>
    <col customWidth="1" min="12" max="12" width="7.7"/>
    <col customWidth="1" min="13" max="13" width="8.1"/>
    <col customWidth="1" min="14" max="14" width="9.1"/>
    <col customWidth="1" min="15" max="15" width="8.0"/>
    <col customWidth="1" min="16" max="16" width="10.1"/>
    <col customWidth="1" min="17" max="17" width="14.6"/>
    <col customWidth="1" min="18" max="18" width="8.0"/>
    <col customWidth="1" min="19" max="20" width="8.4"/>
  </cols>
  <sheetData>
    <row r="1">
      <c r="A1" s="1"/>
      <c r="B1" s="1"/>
      <c r="C1" s="30"/>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63" t="s">
        <v>32</v>
      </c>
      <c r="C2" s="77"/>
      <c r="D2" s="78"/>
      <c r="E2" s="78"/>
      <c r="F2" s="78"/>
      <c r="G2" s="78"/>
      <c r="H2" s="78"/>
      <c r="I2" s="78"/>
      <c r="J2" s="78"/>
      <c r="K2" s="78"/>
      <c r="L2" s="78"/>
      <c r="M2" s="78"/>
      <c r="N2" s="78"/>
      <c r="O2" s="78"/>
      <c r="P2" s="78"/>
      <c r="Q2" s="78"/>
      <c r="R2" s="78"/>
      <c r="S2" s="79"/>
      <c r="T2" s="78"/>
      <c r="U2" s="78"/>
      <c r="V2" s="78"/>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c r="A3" s="1"/>
      <c r="B3" s="78"/>
      <c r="C3" s="77"/>
      <c r="D3" s="78"/>
      <c r="E3" s="78"/>
      <c r="F3" s="78"/>
      <c r="G3" s="78"/>
      <c r="H3" s="78"/>
      <c r="I3" s="78"/>
      <c r="J3" s="78"/>
      <c r="K3" s="78"/>
      <c r="L3" s="78"/>
      <c r="M3" s="78"/>
      <c r="N3" s="78"/>
      <c r="O3" s="78"/>
      <c r="P3" s="78"/>
      <c r="Q3" s="78"/>
      <c r="R3" s="78"/>
      <c r="S3" s="78"/>
      <c r="T3" s="78"/>
      <c r="U3" s="78"/>
      <c r="V3" s="78"/>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row>
    <row r="4">
      <c r="A4" s="1"/>
      <c r="B4" s="80" t="str">
        <f>if('Get Started'!$D10="monthly","Month ",if('Get Started'!$D10="quarterly","Quarter ","Year "))</f>
        <v>Month </v>
      </c>
      <c r="C4" s="81"/>
      <c r="D4" s="82"/>
      <c r="E4" s="82"/>
      <c r="F4" s="82"/>
      <c r="G4" s="82"/>
      <c r="H4" s="82"/>
      <c r="I4" s="83"/>
      <c r="J4" s="84"/>
      <c r="K4" s="84"/>
      <c r="L4" s="84"/>
      <c r="M4" s="84"/>
      <c r="N4" s="84"/>
      <c r="O4" s="84"/>
      <c r="P4" s="84"/>
      <c r="Q4" s="84"/>
      <c r="R4" s="84"/>
      <c r="S4" s="85" t="str">
        <f>if('Get Started'!$D14="relative",$B4&amp;S5,text(S6,"mmm yyy"))</f>
        <v>Month 0</v>
      </c>
      <c r="T4" s="85" t="str">
        <f>if('Get Started'!$D14="relative",$B4&amp;T5,text(T6,"mmm yyy"))</f>
        <v>Month 1</v>
      </c>
      <c r="U4" s="85" t="str">
        <f>if('Get Started'!$D14="relative",$B4&amp;U5,text(U6,"mmm yyy"))</f>
        <v>Month 2</v>
      </c>
      <c r="V4" s="85" t="str">
        <f>if('Get Started'!$D14="relative",$B4&amp;V5,text(V6,"mmm yyy"))</f>
        <v>Month 3</v>
      </c>
      <c r="W4" s="85" t="str">
        <f>if('Get Started'!$D14="relative",$B4&amp;W5,text(W6,"mmm yyy"))</f>
        <v>Month 4</v>
      </c>
      <c r="X4" s="85" t="str">
        <f>if('Get Started'!$D14="relative",$B4&amp;X5,text(X6,"mmm yyy"))</f>
        <v>Month 5</v>
      </c>
      <c r="Y4" s="85" t="str">
        <f>if('Get Started'!$D14="relative",$B4&amp;Y5,text(Y6,"mmm yyy"))</f>
        <v>Month 6</v>
      </c>
      <c r="Z4" s="85" t="str">
        <f>if('Get Started'!$D14="relative",$B4&amp;Z5,text(Z6,"mmm yyy"))</f>
        <v>Month 7</v>
      </c>
      <c r="AA4" s="85" t="str">
        <f>if('Get Started'!$D14="relative",$B4&amp;AA5,text(AA6,"mmm yyy"))</f>
        <v>Month 8</v>
      </c>
      <c r="AB4" s="85" t="str">
        <f>if('Get Started'!$D14="relative",$B4&amp;AB5,text(AB6,"mmm yyy"))</f>
        <v>Month 9</v>
      </c>
      <c r="AC4" s="85" t="str">
        <f>if('Get Started'!$D14="relative",$B4&amp;AC5,text(AC6,"mmm yyy"))</f>
        <v>Month 10</v>
      </c>
      <c r="AD4" s="85" t="str">
        <f>if('Get Started'!$D14="relative",$B4&amp;AD5,text(AD6,"mmm yyy"))</f>
        <v>Month 11</v>
      </c>
      <c r="AE4" s="85" t="str">
        <f>if('Get Started'!$D14="relative",$B4&amp;AE5,text(AE6,"mmm yyy"))</f>
        <v>Month 12</v>
      </c>
      <c r="AF4" s="85" t="str">
        <f>if('Get Started'!$D14="relative",$B4&amp;AF5,text(AF6,"mmm yyy"))</f>
        <v>Month 13</v>
      </c>
      <c r="AG4" s="85" t="str">
        <f>if('Get Started'!$D14="relative",$B4&amp;AG5,text(AG6,"mmm yyy"))</f>
        <v>Month 14</v>
      </c>
      <c r="AH4" s="85" t="str">
        <f>if('Get Started'!$D14="relative",$B4&amp;AH5,text(AH6,"mmm yyy"))</f>
        <v>Month 15</v>
      </c>
      <c r="AI4" s="85" t="str">
        <f>if('Get Started'!$D14="relative",$B4&amp;AI5,text(AI6,"mmm yyy"))</f>
        <v>Month 16</v>
      </c>
      <c r="AJ4" s="85" t="str">
        <f>if('Get Started'!$D14="relative",$B4&amp;AJ5,text(AJ6,"mmm yyy"))</f>
        <v>Month 17</v>
      </c>
      <c r="AK4" s="85" t="str">
        <f>if('Get Started'!$D14="relative",$B4&amp;AK5,text(AK6,"mmm yyy"))</f>
        <v>Month 18</v>
      </c>
      <c r="AL4" s="85" t="str">
        <f>if('Get Started'!$D14="relative",$B4&amp;AL5,text(AL6,"mmm yyy"))</f>
        <v>Month 19</v>
      </c>
      <c r="AM4" s="85" t="str">
        <f>if('Get Started'!$D14="relative",$B4&amp;AM5,text(AM6,"mmm yyy"))</f>
        <v>Month 20</v>
      </c>
      <c r="AN4" s="85" t="str">
        <f>if('Get Started'!$D14="relative",$B4&amp;AN5,text(AN6,"mmm yyy"))</f>
        <v>Month 21</v>
      </c>
      <c r="AO4" s="85" t="str">
        <f>if('Get Started'!$D14="relative",$B4&amp;AO5,text(AO6,"mmm yyy"))</f>
        <v>Month 22</v>
      </c>
      <c r="AP4" s="85" t="str">
        <f>if('Get Started'!$D14="relative",$B4&amp;AP5,text(AP6,"mmm yyy"))</f>
        <v>Month 23</v>
      </c>
      <c r="AQ4" s="85" t="str">
        <f>if('Get Started'!$D14="relative",$B4&amp;AQ5,text(AQ6,"mmm yyy"))</f>
        <v>Month 24</v>
      </c>
      <c r="AR4" s="85" t="str">
        <f>if('Get Started'!$D14="relative",$B4&amp;AR5,text(AR6,"mmm yyy"))</f>
        <v>Month 25</v>
      </c>
      <c r="AS4" s="85" t="str">
        <f>if('Get Started'!$D14="relative",$B4&amp;AS5,text(AS6,"mmm yyy"))</f>
        <v>Month 26</v>
      </c>
      <c r="AT4" s="85" t="str">
        <f>if('Get Started'!$D14="relative",$B4&amp;AT5,text(AT6,"mmm yyy"))</f>
        <v>Month 27</v>
      </c>
      <c r="AU4" s="85" t="str">
        <f>if('Get Started'!$D14="relative",$B4&amp;AU5,text(AU6,"mmm yyy"))</f>
        <v>Month 28</v>
      </c>
      <c r="AV4" s="85" t="str">
        <f>if('Get Started'!$D14="relative",$B4&amp;AV5,text(AV6,"mmm yyy"))</f>
        <v>Month 29</v>
      </c>
      <c r="AW4" s="85" t="str">
        <f>if('Get Started'!$D14="relative",$B4&amp;AW5,text(AW6,"mmm yyy"))</f>
        <v>Month 30</v>
      </c>
      <c r="AX4" s="85" t="str">
        <f>if('Get Started'!$D14="relative",$B4&amp;AX5,text(AX6,"mmm yyy"))</f>
        <v>Month 31</v>
      </c>
      <c r="AY4" s="85" t="str">
        <f>if('Get Started'!$D14="relative",$B4&amp;AY5,text(AY6,"mmm yyy"))</f>
        <v>Month 32</v>
      </c>
      <c r="AZ4" s="85" t="str">
        <f>if('Get Started'!$D14="relative",$B4&amp;AZ5,text(AZ6,"mmm yyy"))</f>
        <v>Month 33</v>
      </c>
      <c r="BA4" s="85" t="str">
        <f>if('Get Started'!$D14="relative",$B4&amp;BA5,text(BA6,"mmm yyy"))</f>
        <v>Month 34</v>
      </c>
      <c r="BB4" s="85" t="str">
        <f>if('Get Started'!$D14="relative",$B4&amp;BB5,text(BB6,"mmm yyy"))</f>
        <v>Month 35</v>
      </c>
      <c r="BC4" s="85" t="str">
        <f>if('Get Started'!$D14="relative",$B4&amp;BC5,text(BC6,"mmm yyy"))</f>
        <v>Month 36</v>
      </c>
    </row>
    <row r="5">
      <c r="A5" s="1"/>
      <c r="B5" s="79" t="s">
        <v>181</v>
      </c>
      <c r="C5" s="86" t="s">
        <v>102</v>
      </c>
      <c r="D5" s="79" t="s">
        <v>182</v>
      </c>
      <c r="E5" s="78"/>
      <c r="F5" s="78"/>
      <c r="G5" s="78"/>
      <c r="H5" s="79" t="s">
        <v>183</v>
      </c>
      <c r="I5" s="87">
        <f t="shared" ref="I5:I11" si="1">if(H5="sum",sum(T5:BC5),if(H5="final",index(T5:BC5,match(99^99,T5:BC5,1)),if(H5="initial",T5,if(H5="average",average(T5:BC5),0))))</f>
        <v>36</v>
      </c>
      <c r="J5" s="88"/>
      <c r="K5" s="88"/>
      <c r="L5" s="88"/>
      <c r="M5" s="88"/>
      <c r="N5" s="88"/>
      <c r="O5" s="88"/>
      <c r="P5" s="88"/>
      <c r="Q5" s="88"/>
      <c r="R5" s="88"/>
      <c r="S5" s="89">
        <v>0.0</v>
      </c>
      <c r="T5" s="89">
        <f>1</f>
        <v>1</v>
      </c>
      <c r="U5" s="89">
        <f>if(T5&lt;'Get Started'!$D11,T5+1,"")</f>
        <v>2</v>
      </c>
      <c r="V5" s="89">
        <f>if(U5&lt;'Get Started'!$D11,U5+1,"")</f>
        <v>3</v>
      </c>
      <c r="W5" s="87">
        <f>if(V5&lt;'Get Started'!$D11,V5+1,"")</f>
        <v>4</v>
      </c>
      <c r="X5" s="87">
        <f>if(W5&lt;'Get Started'!$D11,W5+1,"")</f>
        <v>5</v>
      </c>
      <c r="Y5" s="87">
        <f>if(X5&lt;'Get Started'!$D11,X5+1,"")</f>
        <v>6</v>
      </c>
      <c r="Z5" s="87">
        <f>if(Y5&lt;'Get Started'!$D11,Y5+1,"")</f>
        <v>7</v>
      </c>
      <c r="AA5" s="87">
        <f>if(Z5&lt;'Get Started'!$D11,Z5+1,"")</f>
        <v>8</v>
      </c>
      <c r="AB5" s="87">
        <f>if(AA5&lt;'Get Started'!$D11,AA5+1,"")</f>
        <v>9</v>
      </c>
      <c r="AC5" s="87">
        <f>if(AB5&lt;'Get Started'!$D11,AB5+1,"")</f>
        <v>10</v>
      </c>
      <c r="AD5" s="87">
        <f>if(AC5&lt;'Get Started'!$D11,AC5+1,"")</f>
        <v>11</v>
      </c>
      <c r="AE5" s="87">
        <f>if(AD5&lt;'Get Started'!$D11,AD5+1,"")</f>
        <v>12</v>
      </c>
      <c r="AF5" s="87">
        <f>if(AE5&lt;'Get Started'!$D11,AE5+1,"")</f>
        <v>13</v>
      </c>
      <c r="AG5" s="87">
        <f>if(AF5&lt;'Get Started'!$D11,AF5+1,"")</f>
        <v>14</v>
      </c>
      <c r="AH5" s="87">
        <f>if(AG5&lt;'Get Started'!$D11,AG5+1,"")</f>
        <v>15</v>
      </c>
      <c r="AI5" s="87">
        <f>if(AH5&lt;'Get Started'!$D11,AH5+1,"")</f>
        <v>16</v>
      </c>
      <c r="AJ5" s="87">
        <f>if(AI5&lt;'Get Started'!$D11,AI5+1,"")</f>
        <v>17</v>
      </c>
      <c r="AK5" s="87">
        <f>if(AJ5&lt;'Get Started'!$D11,AJ5+1,"")</f>
        <v>18</v>
      </c>
      <c r="AL5" s="87">
        <f>if(AK5&lt;'Get Started'!$D11,AK5+1,"")</f>
        <v>19</v>
      </c>
      <c r="AM5" s="87">
        <f>if(AL5&lt;'Get Started'!$D11,AL5+1,"")</f>
        <v>20</v>
      </c>
      <c r="AN5" s="87">
        <f>if(AM5&lt;'Get Started'!$D11,AM5+1,"")</f>
        <v>21</v>
      </c>
      <c r="AO5" s="87">
        <f>if(AN5&lt;'Get Started'!$D11,AN5+1,"")</f>
        <v>22</v>
      </c>
      <c r="AP5" s="87">
        <f>if(AO5&lt;'Get Started'!$D11,AO5+1,"")</f>
        <v>23</v>
      </c>
      <c r="AQ5" s="87">
        <f>if(AP5&lt;'Get Started'!$D11,AP5+1,"")</f>
        <v>24</v>
      </c>
      <c r="AR5" s="87">
        <f>if(AQ5&lt;'Get Started'!$D11,AQ5+1,"")</f>
        <v>25</v>
      </c>
      <c r="AS5" s="87">
        <f>if(AR5&lt;'Get Started'!$D11,AR5+1,"")</f>
        <v>26</v>
      </c>
      <c r="AT5" s="87">
        <f>if(AS5&lt;'Get Started'!$D11,AS5+1,"")</f>
        <v>27</v>
      </c>
      <c r="AU5" s="87">
        <f>if(AT5&lt;'Get Started'!$D11,AT5+1,"")</f>
        <v>28</v>
      </c>
      <c r="AV5" s="87">
        <f>if(AU5&lt;'Get Started'!$D11,AU5+1,"")</f>
        <v>29</v>
      </c>
      <c r="AW5" s="87">
        <f>if(AV5&lt;'Get Started'!$D11,AV5+1,"")</f>
        <v>30</v>
      </c>
      <c r="AX5" s="87">
        <f>if(AW5&lt;'Get Started'!$D11,AW5+1,"")</f>
        <v>31</v>
      </c>
      <c r="AY5" s="87">
        <f>if(AX5&lt;'Get Started'!$D11,AX5+1,"")</f>
        <v>32</v>
      </c>
      <c r="AZ5" s="87">
        <f>if(AY5&lt;'Get Started'!$D11,AY5+1,"")</f>
        <v>33</v>
      </c>
      <c r="BA5" s="87">
        <f>if(AZ5&lt;'Get Started'!$D11,AZ5+1,"")</f>
        <v>34</v>
      </c>
      <c r="BB5" s="87">
        <f>if(BA5&lt;'Get Started'!$D11,BA5+1,"")</f>
        <v>35</v>
      </c>
      <c r="BC5" s="87">
        <f>if(BB5&lt;'Get Started'!$D11,BB5+1,"")</f>
        <v>36</v>
      </c>
    </row>
    <row r="6">
      <c r="A6" s="1"/>
      <c r="B6" s="78" t="s">
        <v>184</v>
      </c>
      <c r="C6" s="86" t="s">
        <v>120</v>
      </c>
      <c r="D6" s="79" t="s">
        <v>185</v>
      </c>
      <c r="E6" s="78"/>
      <c r="F6" s="78"/>
      <c r="G6" s="78"/>
      <c r="H6" s="79" t="s">
        <v>183</v>
      </c>
      <c r="I6" s="90">
        <f t="shared" si="1"/>
        <v>46022</v>
      </c>
      <c r="J6" s="88"/>
      <c r="K6" s="88"/>
      <c r="L6" s="88"/>
      <c r="M6" s="88"/>
      <c r="N6" s="88"/>
      <c r="O6" s="88"/>
      <c r="P6" s="88"/>
      <c r="Q6" s="88"/>
      <c r="R6" s="88"/>
      <c r="S6" s="90">
        <f>eomonth(edate(T6,if('Get Started'!$D10="monthly",-1,if('Get Started'!$D10="quarterly",-3,-12))),0)</f>
        <v>44926</v>
      </c>
      <c r="T6" s="91">
        <f>eomonth('Get Started'!D12,0)</f>
        <v>44957</v>
      </c>
      <c r="U6" s="90">
        <f>if(T5&lt;'Get Started'!$D11,eomonth(edate(T6,if('Get Started'!$D10="monthly",1,if('Get Started'!$D10="quarterly",3,12))),0),"")</f>
        <v>44985</v>
      </c>
      <c r="V6" s="90">
        <f>if(U5&lt;'Get Started'!$D11,eomonth(edate(U6,if('Get Started'!$D10="monthly",1,if('Get Started'!$D10="quarterly",3,12))),0),"")</f>
        <v>45016</v>
      </c>
      <c r="W6" s="90">
        <f>if(V5&lt;'Get Started'!$D11,eomonth(edate(V6,if('Get Started'!$D10="monthly",1,if('Get Started'!$D10="quarterly",3,12))),0),"")</f>
        <v>45046</v>
      </c>
      <c r="X6" s="90">
        <f>if(W5&lt;'Get Started'!$D11,eomonth(edate(W6,if('Get Started'!$D10="monthly",1,if('Get Started'!$D10="quarterly",3,12))),0),"")</f>
        <v>45077</v>
      </c>
      <c r="Y6" s="90">
        <f>if(X5&lt;'Get Started'!$D11,eomonth(edate(X6,if('Get Started'!$D10="monthly",1,if('Get Started'!$D10="quarterly",3,12))),0),"")</f>
        <v>45107</v>
      </c>
      <c r="Z6" s="90">
        <f>if(Y5&lt;'Get Started'!$D11,eomonth(edate(Y6,if('Get Started'!$D10="monthly",1,if('Get Started'!$D10="quarterly",3,12))),0),"")</f>
        <v>45138</v>
      </c>
      <c r="AA6" s="90">
        <f>if(Z5&lt;'Get Started'!$D11,eomonth(edate(Z6,if('Get Started'!$D10="monthly",1,if('Get Started'!$D10="quarterly",3,12))),0),"")</f>
        <v>45169</v>
      </c>
      <c r="AB6" s="90">
        <f>if(AA5&lt;'Get Started'!$D11,eomonth(edate(AA6,if('Get Started'!$D10="monthly",1,if('Get Started'!$D10="quarterly",3,12))),0),"")</f>
        <v>45199</v>
      </c>
      <c r="AC6" s="90">
        <f>if(AB5&lt;'Get Started'!$D11,eomonth(edate(AB6,if('Get Started'!$D10="monthly",1,if('Get Started'!$D10="quarterly",3,12))),0),"")</f>
        <v>45230</v>
      </c>
      <c r="AD6" s="90">
        <f>if(AC5&lt;'Get Started'!$D11,eomonth(edate(AC6,if('Get Started'!$D10="monthly",1,if('Get Started'!$D10="quarterly",3,12))),0),"")</f>
        <v>45260</v>
      </c>
      <c r="AE6" s="90">
        <f>if(AD5&lt;'Get Started'!$D11,eomonth(edate(AD6,if('Get Started'!$D10="monthly",1,if('Get Started'!$D10="quarterly",3,12))),0),"")</f>
        <v>45291</v>
      </c>
      <c r="AF6" s="90">
        <f>if(AE5&lt;'Get Started'!$D11,eomonth(edate(AE6,if('Get Started'!$D10="monthly",1,if('Get Started'!$D10="quarterly",3,12))),0),"")</f>
        <v>45322</v>
      </c>
      <c r="AG6" s="90">
        <f>if(AF5&lt;'Get Started'!$D11,eomonth(edate(AF6,if('Get Started'!$D10="monthly",1,if('Get Started'!$D10="quarterly",3,12))),0),"")</f>
        <v>45351</v>
      </c>
      <c r="AH6" s="90">
        <f>if(AG5&lt;'Get Started'!$D11,eomonth(edate(AG6,if('Get Started'!$D10="monthly",1,if('Get Started'!$D10="quarterly",3,12))),0),"")</f>
        <v>45382</v>
      </c>
      <c r="AI6" s="90">
        <f>if(AH5&lt;'Get Started'!$D11,eomonth(edate(AH6,if('Get Started'!$D10="monthly",1,if('Get Started'!$D10="quarterly",3,12))),0),"")</f>
        <v>45412</v>
      </c>
      <c r="AJ6" s="90">
        <f>if(AI5&lt;'Get Started'!$D11,eomonth(edate(AI6,if('Get Started'!$D10="monthly",1,if('Get Started'!$D10="quarterly",3,12))),0),"")</f>
        <v>45443</v>
      </c>
      <c r="AK6" s="90">
        <f>if(AJ5&lt;'Get Started'!$D11,eomonth(edate(AJ6,if('Get Started'!$D10="monthly",1,if('Get Started'!$D10="quarterly",3,12))),0),"")</f>
        <v>45473</v>
      </c>
      <c r="AL6" s="90">
        <f>if(AK5&lt;'Get Started'!$D11,eomonth(edate(AK6,if('Get Started'!$D10="monthly",1,if('Get Started'!$D10="quarterly",3,12))),0),"")</f>
        <v>45504</v>
      </c>
      <c r="AM6" s="90">
        <f>if(AL5&lt;'Get Started'!$D11,eomonth(edate(AL6,if('Get Started'!$D10="monthly",1,if('Get Started'!$D10="quarterly",3,12))),0),"")</f>
        <v>45535</v>
      </c>
      <c r="AN6" s="90">
        <f>if(AM5&lt;'Get Started'!$D11,eomonth(edate(AM6,if('Get Started'!$D10="monthly",1,if('Get Started'!$D10="quarterly",3,12))),0),"")</f>
        <v>45565</v>
      </c>
      <c r="AO6" s="90">
        <f>if(AN5&lt;'Get Started'!$D11,eomonth(edate(AN6,if('Get Started'!$D10="monthly",1,if('Get Started'!$D10="quarterly",3,12))),0),"")</f>
        <v>45596</v>
      </c>
      <c r="AP6" s="90">
        <f>if(AO5&lt;'Get Started'!$D11,eomonth(edate(AO6,if('Get Started'!$D10="monthly",1,if('Get Started'!$D10="quarterly",3,12))),0),"")</f>
        <v>45626</v>
      </c>
      <c r="AQ6" s="90">
        <f>if(AP5&lt;'Get Started'!$D11,eomonth(edate(AP6,if('Get Started'!$D10="monthly",1,if('Get Started'!$D10="quarterly",3,12))),0),"")</f>
        <v>45657</v>
      </c>
      <c r="AR6" s="90">
        <f>if(AQ5&lt;'Get Started'!$D11,eomonth(edate(AQ6,if('Get Started'!$D10="monthly",1,if('Get Started'!$D10="quarterly",3,12))),0),"")</f>
        <v>45688</v>
      </c>
      <c r="AS6" s="90">
        <f>if(AR5&lt;'Get Started'!$D11,eomonth(edate(AR6,if('Get Started'!$D10="monthly",1,if('Get Started'!$D10="quarterly",3,12))),0),"")</f>
        <v>45716</v>
      </c>
      <c r="AT6" s="90">
        <f>if(AS5&lt;'Get Started'!$D11,eomonth(edate(AS6,if('Get Started'!$D10="monthly",1,if('Get Started'!$D10="quarterly",3,12))),0),"")</f>
        <v>45747</v>
      </c>
      <c r="AU6" s="90">
        <f>if(AT5&lt;'Get Started'!$D11,eomonth(edate(AT6,if('Get Started'!$D10="monthly",1,if('Get Started'!$D10="quarterly",3,12))),0),"")</f>
        <v>45777</v>
      </c>
      <c r="AV6" s="90">
        <f>if(AU5&lt;'Get Started'!$D11,eomonth(edate(AU6,if('Get Started'!$D10="monthly",1,if('Get Started'!$D10="quarterly",3,12))),0),"")</f>
        <v>45808</v>
      </c>
      <c r="AW6" s="90">
        <f>if(AV5&lt;'Get Started'!$D11,eomonth(edate(AV6,if('Get Started'!$D10="monthly",1,if('Get Started'!$D10="quarterly",3,12))),0),"")</f>
        <v>45838</v>
      </c>
      <c r="AX6" s="90">
        <f>if(AW5&lt;'Get Started'!$D11,eomonth(edate(AW6,if('Get Started'!$D10="monthly",1,if('Get Started'!$D10="quarterly",3,12))),0),"")</f>
        <v>45869</v>
      </c>
      <c r="AY6" s="90">
        <f>if(AX5&lt;'Get Started'!$D11,eomonth(edate(AX6,if('Get Started'!$D10="monthly",1,if('Get Started'!$D10="quarterly",3,12))),0),"")</f>
        <v>45900</v>
      </c>
      <c r="AZ6" s="90">
        <f>if(AY5&lt;'Get Started'!$D11,eomonth(edate(AY6,if('Get Started'!$D10="monthly",1,if('Get Started'!$D10="quarterly",3,12))),0),"")</f>
        <v>45930</v>
      </c>
      <c r="BA6" s="90">
        <f>if(AZ5&lt;'Get Started'!$D11,eomonth(edate(AZ6,if('Get Started'!$D10="monthly",1,if('Get Started'!$D10="quarterly",3,12))),0),"")</f>
        <v>45961</v>
      </c>
      <c r="BB6" s="90">
        <f>if(BA5&lt;'Get Started'!$D11,eomonth(edate(BA6,if('Get Started'!$D10="monthly",1,if('Get Started'!$D10="quarterly",3,12))),0),"")</f>
        <v>45991</v>
      </c>
      <c r="BC6" s="90">
        <f>if(BB5&lt;'Get Started'!$D11,eomonth(edate(BB6,if('Get Started'!$D10="monthly",1,if('Get Started'!$D10="quarterly",3,12))),0),"")</f>
        <v>46022</v>
      </c>
    </row>
    <row r="7">
      <c r="A7" s="1"/>
      <c r="B7" s="79" t="s">
        <v>186</v>
      </c>
      <c r="C7" s="86" t="s">
        <v>102</v>
      </c>
      <c r="D7" s="79" t="s">
        <v>187</v>
      </c>
      <c r="E7" s="78"/>
      <c r="F7" s="78"/>
      <c r="G7" s="78"/>
      <c r="H7" s="79" t="s">
        <v>183</v>
      </c>
      <c r="I7" s="89">
        <f t="shared" si="1"/>
        <v>3</v>
      </c>
      <c r="J7" s="88"/>
      <c r="K7" s="88"/>
      <c r="L7" s="88"/>
      <c r="M7" s="88"/>
      <c r="N7" s="88"/>
      <c r="O7" s="88"/>
      <c r="P7" s="88"/>
      <c r="Q7" s="88"/>
      <c r="R7" s="88"/>
      <c r="S7" s="88"/>
      <c r="T7" s="89">
        <f>if(T$5="","",if('Get Started'!$D14="relative",ROUNDUP(T5/if('Get Started'!$D10="monthly",12,if('Get Started'!$D10="quarterly",4,1)),0),year(T6)))</f>
        <v>1</v>
      </c>
      <c r="U7" s="89">
        <f>if(U$5="","",if('Get Started'!$D14="relative",ROUNDUP(U5/if('Get Started'!$D10="monthly",12,if('Get Started'!$D10="quarterly",4,1)),0),year(U6)))</f>
        <v>1</v>
      </c>
      <c r="V7" s="89">
        <f>if(V$5="","",if('Get Started'!$D14="relative",ROUNDUP(V5/if('Get Started'!$D10="monthly",12,if('Get Started'!$D10="quarterly",4,1)),0),year(V6)))</f>
        <v>1</v>
      </c>
      <c r="W7" s="89">
        <f>if(W$5="","",if('Get Started'!$D14="relative",ROUNDUP(W5/if('Get Started'!$D10="monthly",12,if('Get Started'!$D10="quarterly",4,1)),0),year(W6)))</f>
        <v>1</v>
      </c>
      <c r="X7" s="89">
        <f>if(X$5="","",if('Get Started'!$D14="relative",ROUNDUP(X5/if('Get Started'!$D10="monthly",12,if('Get Started'!$D10="quarterly",4,1)),0),year(X6)))</f>
        <v>1</v>
      </c>
      <c r="Y7" s="89">
        <f>if(Y$5="","",if('Get Started'!$D14="relative",ROUNDUP(Y5/if('Get Started'!$D10="monthly",12,if('Get Started'!$D10="quarterly",4,1)),0),year(Y6)))</f>
        <v>1</v>
      </c>
      <c r="Z7" s="89">
        <f>if(Z$5="","",if('Get Started'!$D14="relative",ROUNDUP(Z5/if('Get Started'!$D10="monthly",12,if('Get Started'!$D10="quarterly",4,1)),0),year(Z6)))</f>
        <v>1</v>
      </c>
      <c r="AA7" s="89">
        <f>if(AA$5="","",if('Get Started'!$D14="relative",ROUNDUP(AA5/if('Get Started'!$D10="monthly",12,if('Get Started'!$D10="quarterly",4,1)),0),year(AA6)))</f>
        <v>1</v>
      </c>
      <c r="AB7" s="89">
        <f>if(AB$5="","",if('Get Started'!$D14="relative",ROUNDUP(AB5/if('Get Started'!$D10="monthly",12,if('Get Started'!$D10="quarterly",4,1)),0),year(AB6)))</f>
        <v>1</v>
      </c>
      <c r="AC7" s="89">
        <f>if(AC$5="","",if('Get Started'!$D14="relative",ROUNDUP(AC5/if('Get Started'!$D10="monthly",12,if('Get Started'!$D10="quarterly",4,1)),0),year(AC6)))</f>
        <v>1</v>
      </c>
      <c r="AD7" s="89">
        <f>if(AD$5="","",if('Get Started'!$D14="relative",ROUNDUP(AD5/if('Get Started'!$D10="monthly",12,if('Get Started'!$D10="quarterly",4,1)),0),year(AD6)))</f>
        <v>1</v>
      </c>
      <c r="AE7" s="89">
        <f>if(AE$5="","",if('Get Started'!$D14="relative",ROUNDUP(AE5/if('Get Started'!$D10="monthly",12,if('Get Started'!$D10="quarterly",4,1)),0),year(AE6)))</f>
        <v>1</v>
      </c>
      <c r="AF7" s="89">
        <f>if(AF$5="","",if('Get Started'!$D14="relative",ROUNDUP(AF5/if('Get Started'!$D10="monthly",12,if('Get Started'!$D10="quarterly",4,1)),0),year(AF6)))</f>
        <v>2</v>
      </c>
      <c r="AG7" s="89">
        <f>if(AG$5="","",if('Get Started'!$D14="relative",ROUNDUP(AG5/if('Get Started'!$D10="monthly",12,if('Get Started'!$D10="quarterly",4,1)),0),year(AG6)))</f>
        <v>2</v>
      </c>
      <c r="AH7" s="89">
        <f>if(AH$5="","",if('Get Started'!$D14="relative",ROUNDUP(AH5/if('Get Started'!$D10="monthly",12,if('Get Started'!$D10="quarterly",4,1)),0),year(AH6)))</f>
        <v>2</v>
      </c>
      <c r="AI7" s="89">
        <f>if(AI$5="","",if('Get Started'!$D14="relative",ROUNDUP(AI5/if('Get Started'!$D10="monthly",12,if('Get Started'!$D10="quarterly",4,1)),0),year(AI6)))</f>
        <v>2</v>
      </c>
      <c r="AJ7" s="89">
        <f>if(AJ$5="","",if('Get Started'!$D14="relative",ROUNDUP(AJ5/if('Get Started'!$D10="monthly",12,if('Get Started'!$D10="quarterly",4,1)),0),year(AJ6)))</f>
        <v>2</v>
      </c>
      <c r="AK7" s="89">
        <f>if(AK$5="","",if('Get Started'!$D14="relative",ROUNDUP(AK5/if('Get Started'!$D10="monthly",12,if('Get Started'!$D10="quarterly",4,1)),0),year(AK6)))</f>
        <v>2</v>
      </c>
      <c r="AL7" s="89">
        <f>if(AL$5="","",if('Get Started'!$D14="relative",ROUNDUP(AL5/if('Get Started'!$D10="monthly",12,if('Get Started'!$D10="quarterly",4,1)),0),year(AL6)))</f>
        <v>2</v>
      </c>
      <c r="AM7" s="89">
        <f>if(AM$5="","",if('Get Started'!$D14="relative",ROUNDUP(AM5/if('Get Started'!$D10="monthly",12,if('Get Started'!$D10="quarterly",4,1)),0),year(AM6)))</f>
        <v>2</v>
      </c>
      <c r="AN7" s="89">
        <f>if(AN$5="","",if('Get Started'!$D14="relative",ROUNDUP(AN5/if('Get Started'!$D10="monthly",12,if('Get Started'!$D10="quarterly",4,1)),0),year(AN6)))</f>
        <v>2</v>
      </c>
      <c r="AO7" s="89">
        <f>if(AO$5="","",if('Get Started'!$D14="relative",ROUNDUP(AO5/if('Get Started'!$D10="monthly",12,if('Get Started'!$D10="quarterly",4,1)),0),year(AO6)))</f>
        <v>2</v>
      </c>
      <c r="AP7" s="89">
        <f>if(AP$5="","",if('Get Started'!$D14="relative",ROUNDUP(AP5/if('Get Started'!$D10="monthly",12,if('Get Started'!$D10="quarterly",4,1)),0),year(AP6)))</f>
        <v>2</v>
      </c>
      <c r="AQ7" s="89">
        <f>if(AQ$5="","",if('Get Started'!$D14="relative",ROUNDUP(AQ5/if('Get Started'!$D10="monthly",12,if('Get Started'!$D10="quarterly",4,1)),0),year(AQ6)))</f>
        <v>2</v>
      </c>
      <c r="AR7" s="89">
        <f>if(AR$5="","",if('Get Started'!$D14="relative",ROUNDUP(AR5/if('Get Started'!$D10="monthly",12,if('Get Started'!$D10="quarterly",4,1)),0),year(AR6)))</f>
        <v>3</v>
      </c>
      <c r="AS7" s="89">
        <f>if(AS$5="","",if('Get Started'!$D14="relative",ROUNDUP(AS5/if('Get Started'!$D10="monthly",12,if('Get Started'!$D10="quarterly",4,1)),0),year(AS6)))</f>
        <v>3</v>
      </c>
      <c r="AT7" s="89">
        <f>if(AT$5="","",if('Get Started'!$D14="relative",ROUNDUP(AT5/if('Get Started'!$D10="monthly",12,if('Get Started'!$D10="quarterly",4,1)),0),year(AT6)))</f>
        <v>3</v>
      </c>
      <c r="AU7" s="89">
        <f>if(AU$5="","",if('Get Started'!$D14="relative",ROUNDUP(AU5/if('Get Started'!$D10="monthly",12,if('Get Started'!$D10="quarterly",4,1)),0),year(AU6)))</f>
        <v>3</v>
      </c>
      <c r="AV7" s="89">
        <f>if(AV$5="","",if('Get Started'!$D14="relative",ROUNDUP(AV5/if('Get Started'!$D10="monthly",12,if('Get Started'!$D10="quarterly",4,1)),0),year(AV6)))</f>
        <v>3</v>
      </c>
      <c r="AW7" s="89">
        <f>if(AW$5="","",if('Get Started'!$D14="relative",ROUNDUP(AW5/if('Get Started'!$D10="monthly",12,if('Get Started'!$D10="quarterly",4,1)),0),year(AW6)))</f>
        <v>3</v>
      </c>
      <c r="AX7" s="89">
        <f>if(AX$5="","",if('Get Started'!$D14="relative",ROUNDUP(AX5/if('Get Started'!$D10="monthly",12,if('Get Started'!$D10="quarterly",4,1)),0),year(AX6)))</f>
        <v>3</v>
      </c>
      <c r="AY7" s="89">
        <f>if(AY$5="","",if('Get Started'!$D14="relative",ROUNDUP(AY5/if('Get Started'!$D10="monthly",12,if('Get Started'!$D10="quarterly",4,1)),0),year(AY6)))</f>
        <v>3</v>
      </c>
      <c r="AZ7" s="89">
        <f>if(AZ$5="","",if('Get Started'!$D14="relative",ROUNDUP(AZ5/if('Get Started'!$D10="monthly",12,if('Get Started'!$D10="quarterly",4,1)),0),year(AZ6)))</f>
        <v>3</v>
      </c>
      <c r="BA7" s="89">
        <f>if(BA$5="","",if('Get Started'!$D14="relative",ROUNDUP(BA5/if('Get Started'!$D10="monthly",12,if('Get Started'!$D10="quarterly",4,1)),0),year(BA6)))</f>
        <v>3</v>
      </c>
      <c r="BB7" s="89">
        <f>if(BB$5="","",if('Get Started'!$D14="relative",ROUNDUP(BB5/if('Get Started'!$D10="monthly",12,if('Get Started'!$D10="quarterly",4,1)),0),year(BB6)))</f>
        <v>3</v>
      </c>
      <c r="BC7" s="89">
        <f>if(BC$5="","",if('Get Started'!$D14="relative",ROUNDUP(BC5/if('Get Started'!$D10="monthly",12,if('Get Started'!$D10="quarterly",4,1)),0),year(BC6)))</f>
        <v>3</v>
      </c>
    </row>
    <row r="8" outlineLevel="1">
      <c r="A8" s="1"/>
      <c r="B8" s="79" t="s">
        <v>188</v>
      </c>
      <c r="C8" s="86" t="s">
        <v>102</v>
      </c>
      <c r="D8" s="79" t="s">
        <v>189</v>
      </c>
      <c r="E8" s="78"/>
      <c r="F8" s="78"/>
      <c r="G8" s="78"/>
      <c r="H8" s="79" t="s">
        <v>183</v>
      </c>
      <c r="I8" s="87">
        <f t="shared" si="1"/>
        <v>35</v>
      </c>
      <c r="J8" s="88"/>
      <c r="K8" s="88"/>
      <c r="L8" s="88"/>
      <c r="M8" s="88"/>
      <c r="N8" s="88"/>
      <c r="O8" s="88"/>
      <c r="P8" s="88"/>
      <c r="Q8" s="88"/>
      <c r="R8" s="88"/>
      <c r="S8" s="90"/>
      <c r="T8" s="89">
        <v>0.0</v>
      </c>
      <c r="U8" s="89">
        <f>if(T5&lt;'Get Started'!$D11,T8+1,"")</f>
        <v>1</v>
      </c>
      <c r="V8" s="89">
        <f>if(U5&lt;'Get Started'!$D11,U8+1,"")</f>
        <v>2</v>
      </c>
      <c r="W8" s="89">
        <f>if(V5&lt;'Get Started'!$D11,V8+1,"")</f>
        <v>3</v>
      </c>
      <c r="X8" s="89">
        <f>if(W5&lt;'Get Started'!$D11,W8+1,"")</f>
        <v>4</v>
      </c>
      <c r="Y8" s="89">
        <f>if(X5&lt;'Get Started'!$D11,X8+1,"")</f>
        <v>5</v>
      </c>
      <c r="Z8" s="89">
        <f>if(Y5&lt;'Get Started'!$D11,Y8+1,"")</f>
        <v>6</v>
      </c>
      <c r="AA8" s="89">
        <f>if(Z5&lt;'Get Started'!$D11,Z8+1,"")</f>
        <v>7</v>
      </c>
      <c r="AB8" s="89">
        <f>if(AA5&lt;'Get Started'!$D11,AA8+1,"")</f>
        <v>8</v>
      </c>
      <c r="AC8" s="89">
        <f>if(AB5&lt;'Get Started'!$D11,AB8+1,"")</f>
        <v>9</v>
      </c>
      <c r="AD8" s="89">
        <f>if(AC5&lt;'Get Started'!$D11,AC8+1,"")</f>
        <v>10</v>
      </c>
      <c r="AE8" s="89">
        <f>if(AD5&lt;'Get Started'!$D11,AD8+1,"")</f>
        <v>11</v>
      </c>
      <c r="AF8" s="89">
        <f>if(AE5&lt;'Get Started'!$D11,AE8+1,"")</f>
        <v>12</v>
      </c>
      <c r="AG8" s="89">
        <f>if(AF5&lt;'Get Started'!$D11,AF8+1,"")</f>
        <v>13</v>
      </c>
      <c r="AH8" s="89">
        <f>if(AG5&lt;'Get Started'!$D11,AG8+1,"")</f>
        <v>14</v>
      </c>
      <c r="AI8" s="89">
        <f>if(AH5&lt;'Get Started'!$D11,AH8+1,"")</f>
        <v>15</v>
      </c>
      <c r="AJ8" s="89">
        <f>if(AI5&lt;'Get Started'!$D11,AI8+1,"")</f>
        <v>16</v>
      </c>
      <c r="AK8" s="89">
        <f>if(AJ5&lt;'Get Started'!$D11,AJ8+1,"")</f>
        <v>17</v>
      </c>
      <c r="AL8" s="89">
        <f>if(AK5&lt;'Get Started'!$D11,AK8+1,"")</f>
        <v>18</v>
      </c>
      <c r="AM8" s="89">
        <f>if(AL5&lt;'Get Started'!$D11,AL8+1,"")</f>
        <v>19</v>
      </c>
      <c r="AN8" s="89">
        <f>if(AM5&lt;'Get Started'!$D11,AM8+1,"")</f>
        <v>20</v>
      </c>
      <c r="AO8" s="89">
        <f>if(AN5&lt;'Get Started'!$D11,AN8+1,"")</f>
        <v>21</v>
      </c>
      <c r="AP8" s="89">
        <f>if(AO5&lt;'Get Started'!$D11,AO8+1,"")</f>
        <v>22</v>
      </c>
      <c r="AQ8" s="89">
        <f>if(AP5&lt;'Get Started'!$D11,AP8+1,"")</f>
        <v>23</v>
      </c>
      <c r="AR8" s="89">
        <f>if(AQ5&lt;'Get Started'!$D11,AQ8+1,"")</f>
        <v>24</v>
      </c>
      <c r="AS8" s="89">
        <f>if(AR5&lt;'Get Started'!$D11,AR8+1,"")</f>
        <v>25</v>
      </c>
      <c r="AT8" s="89">
        <f>if(AS5&lt;'Get Started'!$D11,AS8+1,"")</f>
        <v>26</v>
      </c>
      <c r="AU8" s="89">
        <f>if(AT5&lt;'Get Started'!$D11,AT8+1,"")</f>
        <v>27</v>
      </c>
      <c r="AV8" s="89">
        <f>if(AU5&lt;'Get Started'!$D11,AU8+1,"")</f>
        <v>28</v>
      </c>
      <c r="AW8" s="89">
        <f>if(AV5&lt;'Get Started'!$D11,AV8+1,"")</f>
        <v>29</v>
      </c>
      <c r="AX8" s="89">
        <f>if(AW5&lt;'Get Started'!$D11,AW8+1,"")</f>
        <v>30</v>
      </c>
      <c r="AY8" s="89">
        <f>if(AX5&lt;'Get Started'!$D11,AX8+1,"")</f>
        <v>31</v>
      </c>
      <c r="AZ8" s="89">
        <f>if(AY5&lt;'Get Started'!$D11,AY8+1,"")</f>
        <v>32</v>
      </c>
      <c r="BA8" s="89">
        <f>if(AZ5&lt;'Get Started'!$D11,AZ8+1,"")</f>
        <v>33</v>
      </c>
      <c r="BB8" s="89">
        <f>if(BA5&lt;'Get Started'!$D11,BA8+1,"")</f>
        <v>34</v>
      </c>
      <c r="BC8" s="89">
        <f>if(BB5&lt;'Get Started'!$D11,BB8+1,"")</f>
        <v>35</v>
      </c>
    </row>
    <row r="9" outlineLevel="1">
      <c r="A9" s="1"/>
      <c r="B9" s="79" t="s">
        <v>190</v>
      </c>
      <c r="C9" s="92" t="s">
        <v>102</v>
      </c>
      <c r="D9" s="79" t="s">
        <v>191</v>
      </c>
      <c r="E9" s="78"/>
      <c r="F9" s="78"/>
      <c r="G9" s="78"/>
      <c r="H9" s="79" t="s">
        <v>183</v>
      </c>
      <c r="I9" s="87">
        <f t="shared" si="1"/>
        <v>12</v>
      </c>
      <c r="J9" s="88"/>
      <c r="K9" s="93"/>
      <c r="L9" s="93"/>
      <c r="M9" s="93"/>
      <c r="N9" s="93"/>
      <c r="O9" s="93"/>
      <c r="P9" s="93"/>
      <c r="Q9" s="93"/>
      <c r="R9" s="93"/>
      <c r="S9" s="93"/>
      <c r="T9" s="89">
        <f>if(T$5="","",IF(MOD(MONTH(T6)+12-MONTH('Get Started'!$D13),12)=0,12,MOD(MONTH(T6)+12-MONTH('Get Started'!$D13),12)))</f>
        <v>1</v>
      </c>
      <c r="U9" s="89">
        <f>if(U$5="","",IF(MOD(MONTH(U6)+12-MONTH('Get Started'!$D13),12)=0,12,MOD(MONTH(U6)+12-MONTH('Get Started'!$D13),12)))</f>
        <v>2</v>
      </c>
      <c r="V9" s="89">
        <f>if(V$5="","",IF(MOD(MONTH(V6)+12-MONTH('Get Started'!$D13),12)=0,12,MOD(MONTH(V6)+12-MONTH('Get Started'!$D13),12)))</f>
        <v>3</v>
      </c>
      <c r="W9" s="89">
        <f>if(W$5="","",IF(MOD(MONTH(W6)+12-MONTH('Get Started'!$D13),12)=0,12,MOD(MONTH(W6)+12-MONTH('Get Started'!$D13),12)))</f>
        <v>4</v>
      </c>
      <c r="X9" s="89">
        <f>if(X$5="","",IF(MOD(MONTH(X6)+12-MONTH('Get Started'!$D13),12)=0,12,MOD(MONTH(X6)+12-MONTH('Get Started'!$D13),12)))</f>
        <v>5</v>
      </c>
      <c r="Y9" s="89">
        <f>if(Y$5="","",IF(MOD(MONTH(Y6)+12-MONTH('Get Started'!$D13),12)=0,12,MOD(MONTH(Y6)+12-MONTH('Get Started'!$D13),12)))</f>
        <v>6</v>
      </c>
      <c r="Z9" s="89">
        <f>if(Z$5="","",IF(MOD(MONTH(Z6)+12-MONTH('Get Started'!$D13),12)=0,12,MOD(MONTH(Z6)+12-MONTH('Get Started'!$D13),12)))</f>
        <v>7</v>
      </c>
      <c r="AA9" s="89">
        <f>if(AA$5="","",IF(MOD(MONTH(AA6)+12-MONTH('Get Started'!$D13),12)=0,12,MOD(MONTH(AA6)+12-MONTH('Get Started'!$D13),12)))</f>
        <v>8</v>
      </c>
      <c r="AB9" s="89">
        <f>if(AB$5="","",IF(MOD(MONTH(AB6)+12-MONTH('Get Started'!$D13),12)=0,12,MOD(MONTH(AB6)+12-MONTH('Get Started'!$D13),12)))</f>
        <v>9</v>
      </c>
      <c r="AC9" s="89">
        <f>if(AC$5="","",IF(MOD(MONTH(AC6)+12-MONTH('Get Started'!$D13),12)=0,12,MOD(MONTH(AC6)+12-MONTH('Get Started'!$D13),12)))</f>
        <v>10</v>
      </c>
      <c r="AD9" s="89">
        <f>if(AD$5="","",IF(MOD(MONTH(AD6)+12-MONTH('Get Started'!$D13),12)=0,12,MOD(MONTH(AD6)+12-MONTH('Get Started'!$D13),12)))</f>
        <v>11</v>
      </c>
      <c r="AE9" s="89">
        <f>if(AE$5="","",IF(MOD(MONTH(AE6)+12-MONTH('Get Started'!$D13),12)=0,12,MOD(MONTH(AE6)+12-MONTH('Get Started'!$D13),12)))</f>
        <v>12</v>
      </c>
      <c r="AF9" s="89">
        <f>if(AF$5="","",IF(MOD(MONTH(AF6)+12-MONTH('Get Started'!$D13),12)=0,12,MOD(MONTH(AF6)+12-MONTH('Get Started'!$D13),12)))</f>
        <v>1</v>
      </c>
      <c r="AG9" s="89">
        <f>if(AG$5="","",IF(MOD(MONTH(AG6)+12-MONTH('Get Started'!$D13),12)=0,12,MOD(MONTH(AG6)+12-MONTH('Get Started'!$D13),12)))</f>
        <v>2</v>
      </c>
      <c r="AH9" s="89">
        <f>if(AH$5="","",IF(MOD(MONTH(AH6)+12-MONTH('Get Started'!$D13),12)=0,12,MOD(MONTH(AH6)+12-MONTH('Get Started'!$D13),12)))</f>
        <v>3</v>
      </c>
      <c r="AI9" s="89">
        <f>if(AI$5="","",IF(MOD(MONTH(AI6)+12-MONTH('Get Started'!$D13),12)=0,12,MOD(MONTH(AI6)+12-MONTH('Get Started'!$D13),12)))</f>
        <v>4</v>
      </c>
      <c r="AJ9" s="89">
        <f>if(AJ$5="","",IF(MOD(MONTH(AJ6)+12-MONTH('Get Started'!$D13),12)=0,12,MOD(MONTH(AJ6)+12-MONTH('Get Started'!$D13),12)))</f>
        <v>5</v>
      </c>
      <c r="AK9" s="89">
        <f>if(AK$5="","",IF(MOD(MONTH(AK6)+12-MONTH('Get Started'!$D13),12)=0,12,MOD(MONTH(AK6)+12-MONTH('Get Started'!$D13),12)))</f>
        <v>6</v>
      </c>
      <c r="AL9" s="89">
        <f>if(AL$5="","",IF(MOD(MONTH(AL6)+12-MONTH('Get Started'!$D13),12)=0,12,MOD(MONTH(AL6)+12-MONTH('Get Started'!$D13),12)))</f>
        <v>7</v>
      </c>
      <c r="AM9" s="89">
        <f>if(AM$5="","",IF(MOD(MONTH(AM6)+12-MONTH('Get Started'!$D13),12)=0,12,MOD(MONTH(AM6)+12-MONTH('Get Started'!$D13),12)))</f>
        <v>8</v>
      </c>
      <c r="AN9" s="89">
        <f>if(AN$5="","",IF(MOD(MONTH(AN6)+12-MONTH('Get Started'!$D13),12)=0,12,MOD(MONTH(AN6)+12-MONTH('Get Started'!$D13),12)))</f>
        <v>9</v>
      </c>
      <c r="AO9" s="89">
        <f>if(AO$5="","",IF(MOD(MONTH(AO6)+12-MONTH('Get Started'!$D13),12)=0,12,MOD(MONTH(AO6)+12-MONTH('Get Started'!$D13),12)))</f>
        <v>10</v>
      </c>
      <c r="AP9" s="89">
        <f>if(AP$5="","",IF(MOD(MONTH(AP6)+12-MONTH('Get Started'!$D13),12)=0,12,MOD(MONTH(AP6)+12-MONTH('Get Started'!$D13),12)))</f>
        <v>11</v>
      </c>
      <c r="AQ9" s="89">
        <f>if(AQ$5="","",IF(MOD(MONTH(AQ6)+12-MONTH('Get Started'!$D13),12)=0,12,MOD(MONTH(AQ6)+12-MONTH('Get Started'!$D13),12)))</f>
        <v>12</v>
      </c>
      <c r="AR9" s="89">
        <f>if(AR$5="","",IF(MOD(MONTH(AR6)+12-MONTH('Get Started'!$D13),12)=0,12,MOD(MONTH(AR6)+12-MONTH('Get Started'!$D13),12)))</f>
        <v>1</v>
      </c>
      <c r="AS9" s="89">
        <f>if(AS$5="","",IF(MOD(MONTH(AS6)+12-MONTH('Get Started'!$D13),12)=0,12,MOD(MONTH(AS6)+12-MONTH('Get Started'!$D13),12)))</f>
        <v>2</v>
      </c>
      <c r="AT9" s="89">
        <f>if(AT$5="","",IF(MOD(MONTH(AT6)+12-MONTH('Get Started'!$D13),12)=0,12,MOD(MONTH(AT6)+12-MONTH('Get Started'!$D13),12)))</f>
        <v>3</v>
      </c>
      <c r="AU9" s="89">
        <f>if(AU$5="","",IF(MOD(MONTH(AU6)+12-MONTH('Get Started'!$D13),12)=0,12,MOD(MONTH(AU6)+12-MONTH('Get Started'!$D13),12)))</f>
        <v>4</v>
      </c>
      <c r="AV9" s="89">
        <f>if(AV$5="","",IF(MOD(MONTH(AV6)+12-MONTH('Get Started'!$D13),12)=0,12,MOD(MONTH(AV6)+12-MONTH('Get Started'!$D13),12)))</f>
        <v>5</v>
      </c>
      <c r="AW9" s="89">
        <f>if(AW$5="","",IF(MOD(MONTH(AW6)+12-MONTH('Get Started'!$D13),12)=0,12,MOD(MONTH(AW6)+12-MONTH('Get Started'!$D13),12)))</f>
        <v>6</v>
      </c>
      <c r="AX9" s="89">
        <f>if(AX$5="","",IF(MOD(MONTH(AX6)+12-MONTH('Get Started'!$D13),12)=0,12,MOD(MONTH(AX6)+12-MONTH('Get Started'!$D13),12)))</f>
        <v>7</v>
      </c>
      <c r="AY9" s="89">
        <f>if(AY$5="","",IF(MOD(MONTH(AY6)+12-MONTH('Get Started'!$D13),12)=0,12,MOD(MONTH(AY6)+12-MONTH('Get Started'!$D13),12)))</f>
        <v>8</v>
      </c>
      <c r="AZ9" s="89">
        <f>if(AZ$5="","",IF(MOD(MONTH(AZ6)+12-MONTH('Get Started'!$D13),12)=0,12,MOD(MONTH(AZ6)+12-MONTH('Get Started'!$D13),12)))</f>
        <v>9</v>
      </c>
      <c r="BA9" s="89">
        <f>if(BA$5="","",IF(MOD(MONTH(BA6)+12-MONTH('Get Started'!$D13),12)=0,12,MOD(MONTH(BA6)+12-MONTH('Get Started'!$D13),12)))</f>
        <v>10</v>
      </c>
      <c r="BB9" s="89">
        <f>if(BB$5="","",IF(MOD(MONTH(BB6)+12-MONTH('Get Started'!$D13),12)=0,12,MOD(MONTH(BB6)+12-MONTH('Get Started'!$D13),12)))</f>
        <v>11</v>
      </c>
      <c r="BC9" s="89">
        <f>if(BC$5="","",IF(MOD(MONTH(BC6)+12-MONTH('Get Started'!$D13),12)=0,12,MOD(MONTH(BC6)+12-MONTH('Get Started'!$D13),12)))</f>
        <v>12</v>
      </c>
    </row>
    <row r="10" outlineLevel="1">
      <c r="A10" s="1"/>
      <c r="B10" s="79" t="s">
        <v>137</v>
      </c>
      <c r="C10" s="92" t="s">
        <v>112</v>
      </c>
      <c r="D10" s="79" t="s">
        <v>192</v>
      </c>
      <c r="E10" s="78"/>
      <c r="F10" s="78"/>
      <c r="G10" s="78"/>
      <c r="H10" s="79" t="s">
        <v>193</v>
      </c>
      <c r="I10" s="94">
        <f t="shared" si="1"/>
        <v>0</v>
      </c>
      <c r="J10" s="88"/>
      <c r="K10" s="93"/>
      <c r="L10" s="93"/>
      <c r="M10" s="93"/>
      <c r="N10" s="93"/>
      <c r="O10" s="93"/>
      <c r="P10" s="93"/>
      <c r="Q10" s="93"/>
      <c r="R10" s="93"/>
      <c r="S10" s="93"/>
      <c r="T10" s="95">
        <f t="array" ref="T10">if(T$5="","",index('Get Started'!$D55:$D66,match(text(T6,"mmmm"),'Get Started'!$B55:$B66,0)))</f>
        <v>0</v>
      </c>
      <c r="U10" s="95">
        <f t="array" ref="U10">if(U$5="","",index('Get Started'!$D55:$D66,match(text(U6,"mmmm"),'Get Started'!$B55:$B66,0)))</f>
        <v>0</v>
      </c>
      <c r="V10" s="95">
        <f t="array" ref="V10">if(V$5="","",index('Get Started'!$D55:$D66,match(text(V6,"mmmm"),'Get Started'!$B55:$B66,0)))</f>
        <v>0</v>
      </c>
      <c r="W10" s="95">
        <f t="array" ref="W10">if(W$5="","",index('Get Started'!$D55:$D66,match(text(W6,"mmmm"),'Get Started'!$B55:$B66,0)))</f>
        <v>0</v>
      </c>
      <c r="X10" s="95">
        <f t="array" ref="X10">if(X$5="","",index('Get Started'!$D55:$D66,match(text(X6,"mmmm"),'Get Started'!$B55:$B66,0)))</f>
        <v>0</v>
      </c>
      <c r="Y10" s="95">
        <f t="array" ref="Y10">if(Y$5="","",index('Get Started'!$D55:$D66,match(text(Y6,"mmmm"),'Get Started'!$B55:$B66,0)))</f>
        <v>0</v>
      </c>
      <c r="Z10" s="95">
        <f t="array" ref="Z10">if(Z$5="","",index('Get Started'!$D55:$D66,match(text(Z6,"mmmm"),'Get Started'!$B55:$B66,0)))</f>
        <v>0</v>
      </c>
      <c r="AA10" s="95">
        <f t="array" ref="AA10">if(AA$5="","",index('Get Started'!$D55:$D66,match(text(AA6,"mmmm"),'Get Started'!$B55:$B66,0)))</f>
        <v>0</v>
      </c>
      <c r="AB10" s="95">
        <f t="array" ref="AB10">if(AB$5="","",index('Get Started'!$D55:$D66,match(text(AB6,"mmmm"),'Get Started'!$B55:$B66,0)))</f>
        <v>0</v>
      </c>
      <c r="AC10" s="95">
        <f t="array" ref="AC10">if(AC$5="","",index('Get Started'!$D55:$D66,match(text(AC6,"mmmm"),'Get Started'!$B55:$B66,0)))</f>
        <v>0</v>
      </c>
      <c r="AD10" s="95">
        <f t="array" ref="AD10">if(AD$5="","",index('Get Started'!$D55:$D66,match(text(AD6,"mmmm"),'Get Started'!$B55:$B66,0)))</f>
        <v>0</v>
      </c>
      <c r="AE10" s="95">
        <f t="array" ref="AE10">if(AE$5="","",index('Get Started'!$D55:$D66,match(text(AE6,"mmmm"),'Get Started'!$B55:$B66,0)))</f>
        <v>0</v>
      </c>
      <c r="AF10" s="95">
        <f t="array" ref="AF10">if(AF$5="","",index('Get Started'!$D55:$D66,match(text(AF6,"mmmm"),'Get Started'!$B55:$B66,0)))</f>
        <v>0</v>
      </c>
      <c r="AG10" s="95">
        <f t="array" ref="AG10">if(AG$5="","",index('Get Started'!$D55:$D66,match(text(AG6,"mmmm"),'Get Started'!$B55:$B66,0)))</f>
        <v>0</v>
      </c>
      <c r="AH10" s="95">
        <f t="array" ref="AH10">if(AH$5="","",index('Get Started'!$D55:$D66,match(text(AH6,"mmmm"),'Get Started'!$B55:$B66,0)))</f>
        <v>0</v>
      </c>
      <c r="AI10" s="95">
        <f t="array" ref="AI10">if(AI$5="","",index('Get Started'!$D55:$D66,match(text(AI6,"mmmm"),'Get Started'!$B55:$B66,0)))</f>
        <v>0</v>
      </c>
      <c r="AJ10" s="95">
        <f t="array" ref="AJ10">if(AJ$5="","",index('Get Started'!$D55:$D66,match(text(AJ6,"mmmm"),'Get Started'!$B55:$B66,0)))</f>
        <v>0</v>
      </c>
      <c r="AK10" s="95">
        <f t="array" ref="AK10">if(AK$5="","",index('Get Started'!$D55:$D66,match(text(AK6,"mmmm"),'Get Started'!$B55:$B66,0)))</f>
        <v>0</v>
      </c>
      <c r="AL10" s="95">
        <f t="array" ref="AL10">if(AL$5="","",index('Get Started'!$D55:$D66,match(text(AL6,"mmmm"),'Get Started'!$B55:$B66,0)))</f>
        <v>0</v>
      </c>
      <c r="AM10" s="95">
        <f t="array" ref="AM10">if(AM$5="","",index('Get Started'!$D55:$D66,match(text(AM6,"mmmm"),'Get Started'!$B55:$B66,0)))</f>
        <v>0</v>
      </c>
      <c r="AN10" s="95">
        <f t="array" ref="AN10">if(AN$5="","",index('Get Started'!$D55:$D66,match(text(AN6,"mmmm"),'Get Started'!$B55:$B66,0)))</f>
        <v>0</v>
      </c>
      <c r="AO10" s="95">
        <f t="array" ref="AO10">if(AO$5="","",index('Get Started'!$D55:$D66,match(text(AO6,"mmmm"),'Get Started'!$B55:$B66,0)))</f>
        <v>0</v>
      </c>
      <c r="AP10" s="95">
        <f t="array" ref="AP10">if(AP$5="","",index('Get Started'!$D55:$D66,match(text(AP6,"mmmm"),'Get Started'!$B55:$B66,0)))</f>
        <v>0</v>
      </c>
      <c r="AQ10" s="95">
        <f t="array" ref="AQ10">if(AQ$5="","",index('Get Started'!$D55:$D66,match(text(AQ6,"mmmm"),'Get Started'!$B55:$B66,0)))</f>
        <v>0</v>
      </c>
      <c r="AR10" s="95">
        <f t="array" ref="AR10">if(AR$5="","",index('Get Started'!$D55:$D66,match(text(AR6,"mmmm"),'Get Started'!$B55:$B66,0)))</f>
        <v>0</v>
      </c>
      <c r="AS10" s="95">
        <f t="array" ref="AS10">if(AS$5="","",index('Get Started'!$D55:$D66,match(text(AS6,"mmmm"),'Get Started'!$B55:$B66,0)))</f>
        <v>0</v>
      </c>
      <c r="AT10" s="95">
        <f t="array" ref="AT10">if(AT$5="","",index('Get Started'!$D55:$D66,match(text(AT6,"mmmm"),'Get Started'!$B55:$B66,0)))</f>
        <v>0</v>
      </c>
      <c r="AU10" s="95">
        <f t="array" ref="AU10">if(AU$5="","",index('Get Started'!$D55:$D66,match(text(AU6,"mmmm"),'Get Started'!$B55:$B66,0)))</f>
        <v>0</v>
      </c>
      <c r="AV10" s="95">
        <f t="array" ref="AV10">if(AV$5="","",index('Get Started'!$D55:$D66,match(text(AV6,"mmmm"),'Get Started'!$B55:$B66,0)))</f>
        <v>0</v>
      </c>
      <c r="AW10" s="95">
        <f t="array" ref="AW10">if(AW$5="","",index('Get Started'!$D55:$D66,match(text(AW6,"mmmm"),'Get Started'!$B55:$B66,0)))</f>
        <v>0</v>
      </c>
      <c r="AX10" s="95">
        <f t="array" ref="AX10">if(AX$5="","",index('Get Started'!$D55:$D66,match(text(AX6,"mmmm"),'Get Started'!$B55:$B66,0)))</f>
        <v>0</v>
      </c>
      <c r="AY10" s="95">
        <f t="array" ref="AY10">if(AY$5="","",index('Get Started'!$D55:$D66,match(text(AY6,"mmmm"),'Get Started'!$B55:$B66,0)))</f>
        <v>0</v>
      </c>
      <c r="AZ10" s="95">
        <f t="array" ref="AZ10">if(AZ$5="","",index('Get Started'!$D55:$D66,match(text(AZ6,"mmmm"),'Get Started'!$B55:$B66,0)))</f>
        <v>0</v>
      </c>
      <c r="BA10" s="95">
        <f t="array" ref="BA10">if(BA$5="","",index('Get Started'!$D55:$D66,match(text(BA6,"mmmm"),'Get Started'!$B55:$B66,0)))</f>
        <v>0</v>
      </c>
      <c r="BB10" s="95">
        <f t="array" ref="BB10">if(BB$5="","",index('Get Started'!$D55:$D66,match(text(BB6,"mmmm"),'Get Started'!$B55:$B66,0)))</f>
        <v>0</v>
      </c>
      <c r="BC10" s="95">
        <f t="array" ref="BC10">if(BC$5="","",index('Get Started'!$D55:$D66,match(text(BC6,"mmmm"),'Get Started'!$B55:$B66,0)))</f>
        <v>0</v>
      </c>
    </row>
    <row r="11" outlineLevel="1">
      <c r="A11" s="1"/>
      <c r="B11" s="79" t="s">
        <v>194</v>
      </c>
      <c r="C11" s="92" t="s">
        <v>102</v>
      </c>
      <c r="D11" s="79" t="s">
        <v>195</v>
      </c>
      <c r="E11" s="78"/>
      <c r="F11" s="78"/>
      <c r="G11" s="78"/>
      <c r="H11" s="79" t="s">
        <v>196</v>
      </c>
      <c r="I11" s="87">
        <f t="shared" si="1"/>
        <v>1</v>
      </c>
      <c r="J11" s="88"/>
      <c r="K11" s="93"/>
      <c r="L11" s="93"/>
      <c r="M11" s="93"/>
      <c r="N11" s="93"/>
      <c r="O11" s="93"/>
      <c r="P11" s="93"/>
      <c r="Q11" s="93"/>
      <c r="R11" s="93"/>
      <c r="S11" s="93"/>
      <c r="T11" s="89">
        <f>if(T$5="","",T5+MIN(T$5,'Get Started'!$D$24)-1)</f>
        <v>1</v>
      </c>
      <c r="U11" s="89">
        <f>if(U$5="","",U5+MIN(U$5,'Get Started'!$D$24)-1)</f>
        <v>2</v>
      </c>
      <c r="V11" s="89">
        <f>if(V$5="","",V5+MIN(V$5,'Get Started'!$D$24)-1)</f>
        <v>3</v>
      </c>
      <c r="W11" s="87">
        <f>if(W$5="","",W5+MIN(W$5,'Get Started'!$D$24)-1)</f>
        <v>4</v>
      </c>
      <c r="X11" s="87">
        <f>if(X$5="","",X5+MIN(X$5,'Get Started'!$D$24)-1)</f>
        <v>5</v>
      </c>
      <c r="Y11" s="87">
        <f>if(Y$5="","",Y5+MIN(Y$5,'Get Started'!$D$24)-1)</f>
        <v>6</v>
      </c>
      <c r="Z11" s="87">
        <f>if(Z$5="","",Z5+MIN(Z$5,'Get Started'!$D$24)-1)</f>
        <v>7</v>
      </c>
      <c r="AA11" s="87">
        <f>if(AA$5="","",AA5+MIN(AA$5,'Get Started'!$D$24)-1)</f>
        <v>8</v>
      </c>
      <c r="AB11" s="87">
        <f>if(AB$5="","",AB5+MIN(AB$5,'Get Started'!$D$24)-1)</f>
        <v>9</v>
      </c>
      <c r="AC11" s="87">
        <f>if(AC$5="","",AC5+MIN(AC$5,'Get Started'!$D$24)-1)</f>
        <v>10</v>
      </c>
      <c r="AD11" s="87">
        <f>if(AD$5="","",AD5+MIN(AD$5,'Get Started'!$D$24)-1)</f>
        <v>11</v>
      </c>
      <c r="AE11" s="87">
        <f>if(AE$5="","",AE5+MIN(AE$5,'Get Started'!$D$24)-1)</f>
        <v>12</v>
      </c>
      <c r="AF11" s="87">
        <f>if(AF$5="","",AF5+MIN(AF$5,'Get Started'!$D$24)-1)</f>
        <v>13</v>
      </c>
      <c r="AG11" s="87">
        <f>if(AG$5="","",AG5+MIN(AG$5,'Get Started'!$D$24)-1)</f>
        <v>14</v>
      </c>
      <c r="AH11" s="87">
        <f>if(AH$5="","",AH5+MIN(AH$5,'Get Started'!$D$24)-1)</f>
        <v>15</v>
      </c>
      <c r="AI11" s="87">
        <f>if(AI$5="","",AI5+MIN(AI$5,'Get Started'!$D$24)-1)</f>
        <v>16</v>
      </c>
      <c r="AJ11" s="87">
        <f>if(AJ$5="","",AJ5+MIN(AJ$5,'Get Started'!$D$24)-1)</f>
        <v>17</v>
      </c>
      <c r="AK11" s="87">
        <f>if(AK$5="","",AK5+MIN(AK$5,'Get Started'!$D$24)-1)</f>
        <v>18</v>
      </c>
      <c r="AL11" s="87">
        <f>if(AL$5="","",AL5+MIN(AL$5,'Get Started'!$D$24)-1)</f>
        <v>19</v>
      </c>
      <c r="AM11" s="87">
        <f>if(AM$5="","",AM5+MIN(AM$5,'Get Started'!$D$24)-1)</f>
        <v>20</v>
      </c>
      <c r="AN11" s="87">
        <f>if(AN$5="","",AN5+MIN(AN$5,'Get Started'!$D$24)-1)</f>
        <v>21</v>
      </c>
      <c r="AO11" s="87">
        <f>if(AO$5="","",AO5+MIN(AO$5,'Get Started'!$D$24)-1)</f>
        <v>22</v>
      </c>
      <c r="AP11" s="87">
        <f>if(AP$5="","",AP5+MIN(AP$5,'Get Started'!$D$24)-1)</f>
        <v>23</v>
      </c>
      <c r="AQ11" s="87">
        <f>if(AQ$5="","",AQ5+MIN(AQ$5,'Get Started'!$D$24)-1)</f>
        <v>24</v>
      </c>
      <c r="AR11" s="87">
        <f>if(AR$5="","",AR5+MIN(AR$5,'Get Started'!$D$24)-1)</f>
        <v>25</v>
      </c>
      <c r="AS11" s="87">
        <f>if(AS$5="","",AS5+MIN(AS$5,'Get Started'!$D$24)-1)</f>
        <v>26</v>
      </c>
      <c r="AT11" s="87">
        <f>if(AT$5="","",AT5+MIN(AT$5,'Get Started'!$D$24)-1)</f>
        <v>27</v>
      </c>
      <c r="AU11" s="87">
        <f>if(AU$5="","",AU5+MIN(AU$5,'Get Started'!$D$24)-1)</f>
        <v>28</v>
      </c>
      <c r="AV11" s="87">
        <f>if(AV$5="","",AV5+MIN(AV$5,'Get Started'!$D$24)-1)</f>
        <v>29</v>
      </c>
      <c r="AW11" s="87">
        <f>if(AW$5="","",AW5+MIN(AW$5,'Get Started'!$D$24)-1)</f>
        <v>30</v>
      </c>
      <c r="AX11" s="87">
        <f>if(AX$5="","",AX5+MIN(AX$5,'Get Started'!$D$24)-1)</f>
        <v>31</v>
      </c>
      <c r="AY11" s="87">
        <f>if(AY$5="","",AY5+MIN(AY$5,'Get Started'!$D$24)-1)</f>
        <v>32</v>
      </c>
      <c r="AZ11" s="87">
        <f>if(AZ$5="","",AZ5+MIN(AZ$5,'Get Started'!$D$24)-1)</f>
        <v>33</v>
      </c>
      <c r="BA11" s="87">
        <f>if(BA$5="","",BA5+MIN(BA$5,'Get Started'!$D$24)-1)</f>
        <v>34</v>
      </c>
      <c r="BB11" s="87">
        <f>if(BB$5="","",BB5+MIN(BB$5,'Get Started'!$D$24)-1)</f>
        <v>35</v>
      </c>
      <c r="BC11" s="87">
        <f>if(BC$5="","",BC5+MIN(BC$5,'Get Started'!$D$24)-1)</f>
        <v>36</v>
      </c>
    </row>
    <row r="12">
      <c r="A12" s="1"/>
      <c r="B12" s="96"/>
      <c r="C12" s="77"/>
      <c r="D12" s="78"/>
      <c r="E12" s="78"/>
      <c r="F12" s="78"/>
      <c r="G12" s="78"/>
      <c r="H12" s="78"/>
      <c r="I12" s="78"/>
      <c r="J12" s="88"/>
      <c r="K12" s="93"/>
      <c r="L12" s="93"/>
      <c r="M12" s="93"/>
      <c r="N12" s="93"/>
      <c r="O12" s="97"/>
      <c r="P12" s="93"/>
      <c r="Q12" s="93"/>
      <c r="S12" s="93"/>
      <c r="T12" s="93"/>
      <c r="U12" s="93"/>
      <c r="V12" s="93"/>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row>
    <row r="13">
      <c r="A13" s="1"/>
      <c r="B13" s="98"/>
      <c r="C13" s="77"/>
      <c r="D13" s="78"/>
      <c r="E13" s="78"/>
      <c r="F13" s="78"/>
      <c r="G13" s="78"/>
      <c r="H13" s="78"/>
      <c r="I13" s="78"/>
      <c r="J13" s="88"/>
      <c r="K13" s="93"/>
      <c r="L13" s="93"/>
      <c r="M13" s="93"/>
      <c r="N13" s="93"/>
      <c r="O13" s="93"/>
      <c r="P13" s="93"/>
      <c r="Q13" s="93"/>
      <c r="S13" s="93"/>
      <c r="T13" s="93"/>
      <c r="U13" s="93"/>
      <c r="V13" s="93"/>
      <c r="W13" s="93"/>
      <c r="X13" s="93"/>
      <c r="Y13" s="93"/>
      <c r="Z13" s="93"/>
      <c r="AA13" s="93"/>
      <c r="AB13" s="93"/>
      <c r="AC13" s="93"/>
      <c r="AD13" s="93"/>
      <c r="AE13" s="93"/>
      <c r="AF13" s="1"/>
      <c r="AG13" s="1"/>
      <c r="AH13" s="1"/>
      <c r="AI13" s="1"/>
      <c r="AJ13" s="1"/>
      <c r="AK13" s="1"/>
      <c r="AL13" s="1"/>
      <c r="AM13" s="1"/>
      <c r="AN13" s="1"/>
      <c r="AO13" s="1"/>
      <c r="AP13" s="1"/>
      <c r="AQ13" s="1"/>
      <c r="AR13" s="1"/>
      <c r="AS13" s="1"/>
      <c r="AT13" s="1"/>
      <c r="AU13" s="1"/>
      <c r="AV13" s="1"/>
      <c r="AW13" s="1"/>
      <c r="AX13" s="1"/>
      <c r="AY13" s="1"/>
      <c r="AZ13" s="1"/>
      <c r="BA13" s="1"/>
      <c r="BB13" s="1"/>
      <c r="BC13" s="1"/>
    </row>
    <row r="14">
      <c r="A14" s="1"/>
      <c r="B14" s="98" t="s">
        <v>197</v>
      </c>
      <c r="C14" s="77"/>
      <c r="D14" s="78"/>
      <c r="E14" s="78"/>
      <c r="F14" s="78"/>
      <c r="G14" s="78"/>
      <c r="H14" s="78"/>
      <c r="I14" s="78"/>
      <c r="J14" s="88"/>
      <c r="K14" s="93"/>
      <c r="L14" s="93"/>
      <c r="M14" s="93"/>
      <c r="N14" s="93"/>
      <c r="O14" s="93"/>
      <c r="P14" s="93"/>
      <c r="Q14" s="93"/>
      <c r="S14" s="93"/>
      <c r="T14" s="93"/>
      <c r="U14" s="93"/>
      <c r="V14" s="93"/>
      <c r="W14" s="93"/>
      <c r="X14" s="93"/>
      <c r="Y14" s="93"/>
      <c r="Z14" s="93"/>
      <c r="AA14" s="93"/>
      <c r="AB14" s="93"/>
      <c r="AC14" s="93"/>
      <c r="AD14" s="93"/>
      <c r="AE14" s="93"/>
      <c r="AF14" s="1"/>
      <c r="AG14" s="1"/>
      <c r="AH14" s="1"/>
      <c r="AI14" s="1"/>
      <c r="AJ14" s="1"/>
      <c r="AK14" s="1"/>
      <c r="AL14" s="1"/>
      <c r="AM14" s="1"/>
      <c r="AN14" s="1"/>
      <c r="AO14" s="1"/>
      <c r="AP14" s="1"/>
      <c r="AQ14" s="1"/>
      <c r="AR14" s="1"/>
      <c r="AS14" s="1"/>
      <c r="AT14" s="1"/>
      <c r="AU14" s="1"/>
      <c r="AV14" s="1"/>
      <c r="AW14" s="1"/>
      <c r="AX14" s="1"/>
      <c r="AY14" s="1"/>
      <c r="AZ14" s="1"/>
      <c r="BA14" s="1"/>
      <c r="BB14" s="1"/>
      <c r="BC14" s="1"/>
    </row>
    <row r="15">
      <c r="A15" s="1"/>
      <c r="B15" s="99" t="s">
        <v>198</v>
      </c>
      <c r="C15" s="77"/>
      <c r="D15" s="78"/>
      <c r="E15" s="78"/>
      <c r="F15" s="78"/>
      <c r="G15" s="78"/>
      <c r="H15" s="78"/>
      <c r="I15" s="78"/>
      <c r="J15" s="88"/>
      <c r="K15" s="93"/>
      <c r="L15" s="93"/>
      <c r="M15" s="93"/>
      <c r="N15" s="93"/>
      <c r="O15" s="93"/>
      <c r="P15" s="93"/>
      <c r="Q15" s="93"/>
      <c r="S15" s="93"/>
      <c r="T15" s="93"/>
      <c r="U15" s="93"/>
      <c r="V15" s="93"/>
      <c r="W15" s="93"/>
      <c r="X15" s="93"/>
      <c r="Y15" s="93"/>
      <c r="Z15" s="93"/>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row>
    <row r="16">
      <c r="A16" s="1"/>
      <c r="B16" s="80" t="s">
        <v>199</v>
      </c>
      <c r="C16" s="100"/>
      <c r="D16" s="80" t="s">
        <v>200</v>
      </c>
      <c r="E16" s="82"/>
      <c r="F16" s="82"/>
      <c r="G16" s="82"/>
      <c r="H16" s="82"/>
      <c r="I16" s="82"/>
      <c r="J16" s="84"/>
      <c r="K16" s="101" t="s">
        <v>201</v>
      </c>
      <c r="L16" s="101" t="s">
        <v>202</v>
      </c>
      <c r="M16" s="101" t="str">
        <f>"Repeats every N "&amp;lower($B4)</f>
        <v>Repeats every N month </v>
      </c>
      <c r="N16" s="101" t="s">
        <v>203</v>
      </c>
      <c r="O16" s="101" t="str">
        <f>"Changes every N "&amp;lower($B4)</f>
        <v>Changes every N month </v>
      </c>
      <c r="P16" s="101" t="s">
        <v>204</v>
      </c>
      <c r="Q16" s="101" t="s">
        <v>205</v>
      </c>
      <c r="R16" s="101" t="s">
        <v>206</v>
      </c>
      <c r="S16" s="93"/>
      <c r="T16" s="102" t="s">
        <v>207</v>
      </c>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row>
    <row r="17">
      <c r="A17" s="1"/>
      <c r="B17" s="103"/>
      <c r="C17" s="103"/>
      <c r="D17" s="103"/>
      <c r="E17" s="103"/>
      <c r="F17" s="103"/>
      <c r="G17" s="103"/>
      <c r="H17" s="103"/>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row>
    <row r="18">
      <c r="A18" s="1"/>
      <c r="B18" s="104" t="s">
        <v>159</v>
      </c>
      <c r="C18" s="103" t="str">
        <f>'Get Started'!$C$20</f>
        <v>$</v>
      </c>
      <c r="D18" s="104" t="s">
        <v>208</v>
      </c>
      <c r="E18" s="78"/>
      <c r="F18" s="78"/>
      <c r="G18" s="78"/>
      <c r="H18" s="79" t="s">
        <v>193</v>
      </c>
      <c r="I18" s="87">
        <f t="shared" ref="I18:I46" si="3">if(H18="sum",sum(T18:BC18),if(H18="final",index(T18:BC18,match(99^99,T18:BC18,1)),if(H18="initial",T18,if(H18="average",average(T18:BC18),0))))</f>
        <v>0</v>
      </c>
      <c r="J18" s="88"/>
      <c r="K18" s="104">
        <v>0.0</v>
      </c>
      <c r="L18" s="104">
        <v>0.0</v>
      </c>
      <c r="M18" s="104">
        <v>0.0</v>
      </c>
      <c r="N18" s="105" t="s">
        <v>209</v>
      </c>
      <c r="O18" s="104">
        <v>0.0</v>
      </c>
      <c r="P18" s="106">
        <v>0.0</v>
      </c>
      <c r="Q18" s="105" t="s">
        <v>209</v>
      </c>
      <c r="R18" s="107" t="b">
        <v>0</v>
      </c>
      <c r="T18" s="108">
        <f t="shared" ref="T18:BC18" si="2">if(T$5="","",iferror(if($R18=true,if((T$5-$L18)&gt;=1,(1+T$10)/(1+S$10),(1+T$10)),1) * if(or($N18="# per",$N18="% of"),if(T$5&lt;$L18,0,IF(AND(T$5&lt;&gt;1,MOD(T$5-1-$L18+1,$M18)),0,$K18*index(T$53:T$92,match($Q18,$B$53:$B$92,0)))),if(T$5=$L18,$K18,if($N18="% change",if(T$5&lt;$M18,0,offset(S18,,-1*$M18+1))*if(AND(T$5&lt;&gt;1,MOD(T$5-1-$L18+1,$O18)),1,(1+$P18)),if(and($N18="# change",T$5&gt;=$L18),if(T$5&lt;$M18,0,offset(S18,,-1*$M18+1))+if(AND(T$5&lt;&gt;1,MOD(T$5-1-$L18+1,$O18)),0,$P18),if($N18="log change",$K18*IF(T$5&lt;=$O18,1,ROUND((T$5-$L18)/$O18+1,0))^$P18,if($M18=0,0,if(T$5&lt;$M18,0,offset(S18,,-1*$M18+1)))))))),0))</f>
        <v>0</v>
      </c>
      <c r="U18" s="108">
        <f t="shared" si="2"/>
        <v>0</v>
      </c>
      <c r="V18" s="108">
        <f t="shared" si="2"/>
        <v>0</v>
      </c>
      <c r="W18" s="108">
        <f t="shared" si="2"/>
        <v>0</v>
      </c>
      <c r="X18" s="108">
        <f t="shared" si="2"/>
        <v>0</v>
      </c>
      <c r="Y18" s="108">
        <f t="shared" si="2"/>
        <v>0</v>
      </c>
      <c r="Z18" s="108">
        <f t="shared" si="2"/>
        <v>0</v>
      </c>
      <c r="AA18" s="108">
        <f t="shared" si="2"/>
        <v>0</v>
      </c>
      <c r="AB18" s="108">
        <f t="shared" si="2"/>
        <v>0</v>
      </c>
      <c r="AC18" s="108">
        <f t="shared" si="2"/>
        <v>0</v>
      </c>
      <c r="AD18" s="108">
        <f t="shared" si="2"/>
        <v>0</v>
      </c>
      <c r="AE18" s="108">
        <f t="shared" si="2"/>
        <v>0</v>
      </c>
      <c r="AF18" s="108">
        <f t="shared" si="2"/>
        <v>0</v>
      </c>
      <c r="AG18" s="108">
        <f t="shared" si="2"/>
        <v>0</v>
      </c>
      <c r="AH18" s="108">
        <f t="shared" si="2"/>
        <v>0</v>
      </c>
      <c r="AI18" s="108">
        <f t="shared" si="2"/>
        <v>0</v>
      </c>
      <c r="AJ18" s="108">
        <f t="shared" si="2"/>
        <v>0</v>
      </c>
      <c r="AK18" s="108">
        <f t="shared" si="2"/>
        <v>0</v>
      </c>
      <c r="AL18" s="108">
        <f t="shared" si="2"/>
        <v>0</v>
      </c>
      <c r="AM18" s="108">
        <f t="shared" si="2"/>
        <v>0</v>
      </c>
      <c r="AN18" s="108">
        <f t="shared" si="2"/>
        <v>0</v>
      </c>
      <c r="AO18" s="108">
        <f t="shared" si="2"/>
        <v>0</v>
      </c>
      <c r="AP18" s="108">
        <f t="shared" si="2"/>
        <v>0</v>
      </c>
      <c r="AQ18" s="108">
        <f t="shared" si="2"/>
        <v>0</v>
      </c>
      <c r="AR18" s="108">
        <f t="shared" si="2"/>
        <v>0</v>
      </c>
      <c r="AS18" s="108">
        <f t="shared" si="2"/>
        <v>0</v>
      </c>
      <c r="AT18" s="108">
        <f t="shared" si="2"/>
        <v>0</v>
      </c>
      <c r="AU18" s="108">
        <f t="shared" si="2"/>
        <v>0</v>
      </c>
      <c r="AV18" s="108">
        <f t="shared" si="2"/>
        <v>0</v>
      </c>
      <c r="AW18" s="108">
        <f t="shared" si="2"/>
        <v>0</v>
      </c>
      <c r="AX18" s="108">
        <f t="shared" si="2"/>
        <v>0</v>
      </c>
      <c r="AY18" s="108">
        <f t="shared" si="2"/>
        <v>0</v>
      </c>
      <c r="AZ18" s="108">
        <f t="shared" si="2"/>
        <v>0</v>
      </c>
      <c r="BA18" s="108">
        <f t="shared" si="2"/>
        <v>0</v>
      </c>
      <c r="BB18" s="108">
        <f t="shared" si="2"/>
        <v>0</v>
      </c>
      <c r="BC18" s="108">
        <f t="shared" si="2"/>
        <v>0</v>
      </c>
    </row>
    <row r="19">
      <c r="A19" s="1"/>
      <c r="B19" s="104" t="s">
        <v>210</v>
      </c>
      <c r="C19" s="103" t="str">
        <f>'Get Started'!$C$20</f>
        <v>$</v>
      </c>
      <c r="D19" s="104" t="s">
        <v>210</v>
      </c>
      <c r="E19" s="78"/>
      <c r="F19" s="78"/>
      <c r="G19" s="78"/>
      <c r="H19" s="79" t="s">
        <v>193</v>
      </c>
      <c r="I19" s="87">
        <f t="shared" si="3"/>
        <v>4081.147688</v>
      </c>
      <c r="J19" s="88"/>
      <c r="K19" s="104">
        <v>100.0</v>
      </c>
      <c r="L19" s="104">
        <v>1.0</v>
      </c>
      <c r="M19" s="104">
        <v>1.0</v>
      </c>
      <c r="N19" s="105" t="s">
        <v>211</v>
      </c>
      <c r="O19" s="104">
        <v>6.0</v>
      </c>
      <c r="P19" s="106">
        <v>0.05</v>
      </c>
      <c r="Q19" s="105" t="s">
        <v>209</v>
      </c>
      <c r="R19" s="107" t="b">
        <v>0</v>
      </c>
      <c r="T19" s="108">
        <f t="shared" ref="T19:BC19" si="4">if(T$5="","",iferror(if($R19=true,if((T$5-$L19)&gt;=1,(1+T$10)/(1+S$10),(1+T$10)),1) * if(or($N19="# per",$N19="% of"),if(T$5&lt;$L19,0,IF(AND(T$5&lt;&gt;1,MOD(T$5-1-$L19+1,$M19)),0,$K19*index(T$53:T$92,match($Q19,$B$53:$B$92,0)))),if(T$5=$L19,$K19,if($N19="% change",if(T$5&lt;$M19,0,offset(S19,,-1*$M19+1))*if(AND(T$5&lt;&gt;1,MOD(T$5-1-$L19+1,$O19)),1,(1+$P19)),if(and($N19="# change",T$5&gt;=$L19),if(T$5&lt;$M19,0,offset(S19,,-1*$M19+1))+if(AND(T$5&lt;&gt;1,MOD(T$5-1-$L19+1,$O19)),0,$P19),if($N19="log change",$K19*IF(T$5&lt;=$O19,1,ROUND((T$5-$L19)/$O19+1,0))^$P19,if($M19=0,0,if(T$5&lt;$M19,0,offset(S19,,-1*$M19+1)))))))),0))</f>
        <v>100</v>
      </c>
      <c r="U19" s="108">
        <f t="shared" si="4"/>
        <v>100</v>
      </c>
      <c r="V19" s="108">
        <f t="shared" si="4"/>
        <v>100</v>
      </c>
      <c r="W19" s="108">
        <f t="shared" si="4"/>
        <v>100</v>
      </c>
      <c r="X19" s="108">
        <f t="shared" si="4"/>
        <v>100</v>
      </c>
      <c r="Y19" s="108">
        <f t="shared" si="4"/>
        <v>100</v>
      </c>
      <c r="Z19" s="108">
        <f t="shared" si="4"/>
        <v>105</v>
      </c>
      <c r="AA19" s="108">
        <f t="shared" si="4"/>
        <v>105</v>
      </c>
      <c r="AB19" s="108">
        <f t="shared" si="4"/>
        <v>105</v>
      </c>
      <c r="AC19" s="108">
        <f t="shared" si="4"/>
        <v>105</v>
      </c>
      <c r="AD19" s="108">
        <f t="shared" si="4"/>
        <v>105</v>
      </c>
      <c r="AE19" s="108">
        <f t="shared" si="4"/>
        <v>105</v>
      </c>
      <c r="AF19" s="108">
        <f t="shared" si="4"/>
        <v>110.25</v>
      </c>
      <c r="AG19" s="108">
        <f t="shared" si="4"/>
        <v>110.25</v>
      </c>
      <c r="AH19" s="108">
        <f t="shared" si="4"/>
        <v>110.25</v>
      </c>
      <c r="AI19" s="108">
        <f t="shared" si="4"/>
        <v>110.25</v>
      </c>
      <c r="AJ19" s="108">
        <f t="shared" si="4"/>
        <v>110.25</v>
      </c>
      <c r="AK19" s="108">
        <f t="shared" si="4"/>
        <v>110.25</v>
      </c>
      <c r="AL19" s="108">
        <f t="shared" si="4"/>
        <v>115.7625</v>
      </c>
      <c r="AM19" s="108">
        <f t="shared" si="4"/>
        <v>115.7625</v>
      </c>
      <c r="AN19" s="108">
        <f t="shared" si="4"/>
        <v>115.7625</v>
      </c>
      <c r="AO19" s="108">
        <f t="shared" si="4"/>
        <v>115.7625</v>
      </c>
      <c r="AP19" s="108">
        <f t="shared" si="4"/>
        <v>115.7625</v>
      </c>
      <c r="AQ19" s="108">
        <f t="shared" si="4"/>
        <v>115.7625</v>
      </c>
      <c r="AR19" s="108">
        <f t="shared" si="4"/>
        <v>121.550625</v>
      </c>
      <c r="AS19" s="108">
        <f t="shared" si="4"/>
        <v>121.550625</v>
      </c>
      <c r="AT19" s="108">
        <f t="shared" si="4"/>
        <v>121.550625</v>
      </c>
      <c r="AU19" s="108">
        <f t="shared" si="4"/>
        <v>121.550625</v>
      </c>
      <c r="AV19" s="108">
        <f t="shared" si="4"/>
        <v>121.550625</v>
      </c>
      <c r="AW19" s="108">
        <f t="shared" si="4"/>
        <v>121.550625</v>
      </c>
      <c r="AX19" s="108">
        <f t="shared" si="4"/>
        <v>127.6281563</v>
      </c>
      <c r="AY19" s="108">
        <f t="shared" si="4"/>
        <v>127.6281563</v>
      </c>
      <c r="AZ19" s="108">
        <f t="shared" si="4"/>
        <v>127.6281563</v>
      </c>
      <c r="BA19" s="108">
        <f t="shared" si="4"/>
        <v>127.6281563</v>
      </c>
      <c r="BB19" s="108">
        <f t="shared" si="4"/>
        <v>127.6281563</v>
      </c>
      <c r="BC19" s="108">
        <f t="shared" si="4"/>
        <v>127.6281563</v>
      </c>
    </row>
    <row r="20">
      <c r="A20" s="1"/>
      <c r="B20" s="104" t="s">
        <v>159</v>
      </c>
      <c r="C20" s="103" t="str">
        <f>'Get Started'!$C$20</f>
        <v>$</v>
      </c>
      <c r="D20" s="104" t="s">
        <v>212</v>
      </c>
      <c r="E20" s="78"/>
      <c r="F20" s="78"/>
      <c r="G20" s="78"/>
      <c r="H20" s="79" t="s">
        <v>193</v>
      </c>
      <c r="I20" s="87">
        <f t="shared" si="3"/>
        <v>40811.47688</v>
      </c>
      <c r="J20" s="88"/>
      <c r="K20" s="104">
        <v>10.0</v>
      </c>
      <c r="L20" s="104">
        <v>1.0</v>
      </c>
      <c r="M20" s="104">
        <v>1.0</v>
      </c>
      <c r="N20" s="105" t="s">
        <v>213</v>
      </c>
      <c r="O20" s="104">
        <v>0.0</v>
      </c>
      <c r="P20" s="106">
        <v>0.0</v>
      </c>
      <c r="Q20" s="105" t="s">
        <v>210</v>
      </c>
      <c r="R20" s="107" t="b">
        <v>0</v>
      </c>
      <c r="T20" s="108">
        <f t="shared" ref="T20:BC20" si="5">if(T$5="","",iferror(if($R20=true,if((T$5-$L20)&gt;=1,(1+T$10)/(1+S$10),(1+T$10)),1) * if(or($N20="# per",$N20="% of"),if(T$5&lt;$L20,0,IF(AND(T$5&lt;&gt;1,MOD(T$5-1-$L20+1,$M20)),0,$K20*index(T$53:T$92,match($Q20,$B$53:$B$92,0)))),if(T$5=$L20,$K20,if($N20="% change",if(T$5&lt;$M20,0,offset(S20,,-1*$M20+1))*if(AND(T$5&lt;&gt;1,MOD(T$5-1-$L20+1,$O20)),1,(1+$P20)),if(and($N20="# change",T$5&gt;=$L20),if(T$5&lt;$M20,0,offset(S20,,-1*$M20+1))+if(AND(T$5&lt;&gt;1,MOD(T$5-1-$L20+1,$O20)),0,$P20),if($N20="log change",$K20*IF(T$5&lt;=$O20,1,ROUND((T$5-$L20)/$O20+1,0))^$P20,if($M20=0,0,if(T$5&lt;$M20,0,offset(S20,,-1*$M20+1)))))))),0))</f>
        <v>1000</v>
      </c>
      <c r="U20" s="108">
        <f t="shared" si="5"/>
        <v>1000</v>
      </c>
      <c r="V20" s="108">
        <f t="shared" si="5"/>
        <v>1000</v>
      </c>
      <c r="W20" s="108">
        <f t="shared" si="5"/>
        <v>1000</v>
      </c>
      <c r="X20" s="108">
        <f t="shared" si="5"/>
        <v>1000</v>
      </c>
      <c r="Y20" s="108">
        <f t="shared" si="5"/>
        <v>1000</v>
      </c>
      <c r="Z20" s="108">
        <f t="shared" si="5"/>
        <v>1050</v>
      </c>
      <c r="AA20" s="108">
        <f t="shared" si="5"/>
        <v>1050</v>
      </c>
      <c r="AB20" s="108">
        <f t="shared" si="5"/>
        <v>1050</v>
      </c>
      <c r="AC20" s="108">
        <f t="shared" si="5"/>
        <v>1050</v>
      </c>
      <c r="AD20" s="108">
        <f t="shared" si="5"/>
        <v>1050</v>
      </c>
      <c r="AE20" s="108">
        <f t="shared" si="5"/>
        <v>1050</v>
      </c>
      <c r="AF20" s="108">
        <f t="shared" si="5"/>
        <v>1102.5</v>
      </c>
      <c r="AG20" s="108">
        <f t="shared" si="5"/>
        <v>1102.5</v>
      </c>
      <c r="AH20" s="108">
        <f t="shared" si="5"/>
        <v>1102.5</v>
      </c>
      <c r="AI20" s="108">
        <f t="shared" si="5"/>
        <v>1102.5</v>
      </c>
      <c r="AJ20" s="108">
        <f t="shared" si="5"/>
        <v>1102.5</v>
      </c>
      <c r="AK20" s="108">
        <f t="shared" si="5"/>
        <v>1102.5</v>
      </c>
      <c r="AL20" s="108">
        <f t="shared" si="5"/>
        <v>1157.625</v>
      </c>
      <c r="AM20" s="108">
        <f t="shared" si="5"/>
        <v>1157.625</v>
      </c>
      <c r="AN20" s="108">
        <f t="shared" si="5"/>
        <v>1157.625</v>
      </c>
      <c r="AO20" s="108">
        <f t="shared" si="5"/>
        <v>1157.625</v>
      </c>
      <c r="AP20" s="108">
        <f t="shared" si="5"/>
        <v>1157.625</v>
      </c>
      <c r="AQ20" s="108">
        <f t="shared" si="5"/>
        <v>1157.625</v>
      </c>
      <c r="AR20" s="108">
        <f t="shared" si="5"/>
        <v>1215.50625</v>
      </c>
      <c r="AS20" s="108">
        <f t="shared" si="5"/>
        <v>1215.50625</v>
      </c>
      <c r="AT20" s="108">
        <f t="shared" si="5"/>
        <v>1215.50625</v>
      </c>
      <c r="AU20" s="108">
        <f t="shared" si="5"/>
        <v>1215.50625</v>
      </c>
      <c r="AV20" s="108">
        <f t="shared" si="5"/>
        <v>1215.50625</v>
      </c>
      <c r="AW20" s="108">
        <f t="shared" si="5"/>
        <v>1215.50625</v>
      </c>
      <c r="AX20" s="108">
        <f t="shared" si="5"/>
        <v>1276.281563</v>
      </c>
      <c r="AY20" s="108">
        <f t="shared" si="5"/>
        <v>1276.281563</v>
      </c>
      <c r="AZ20" s="108">
        <f t="shared" si="5"/>
        <v>1276.281563</v>
      </c>
      <c r="BA20" s="108">
        <f t="shared" si="5"/>
        <v>1276.281563</v>
      </c>
      <c r="BB20" s="108">
        <f t="shared" si="5"/>
        <v>1276.281563</v>
      </c>
      <c r="BC20" s="108">
        <f t="shared" si="5"/>
        <v>1276.281563</v>
      </c>
    </row>
    <row r="21">
      <c r="A21" s="1"/>
      <c r="B21" s="104" t="str">
        <f t="shared" ref="B21:B24" si="7">D21</f>
        <v>Legal and Accounting</v>
      </c>
      <c r="C21" s="103" t="str">
        <f>'Get Started'!$C$20</f>
        <v>$</v>
      </c>
      <c r="D21" s="104" t="str">
        <f t="shared" ref="D21:D22" si="8">B66</f>
        <v>Legal and Accounting</v>
      </c>
      <c r="E21" s="78"/>
      <c r="F21" s="78"/>
      <c r="G21" s="78"/>
      <c r="H21" s="79" t="s">
        <v>193</v>
      </c>
      <c r="I21" s="87">
        <f t="shared" si="3"/>
        <v>0</v>
      </c>
      <c r="J21" s="93"/>
      <c r="K21" s="104">
        <v>0.0</v>
      </c>
      <c r="L21" s="104">
        <v>0.0</v>
      </c>
      <c r="M21" s="104">
        <v>0.0</v>
      </c>
      <c r="N21" s="105" t="s">
        <v>209</v>
      </c>
      <c r="O21" s="104">
        <v>0.0</v>
      </c>
      <c r="P21" s="106">
        <v>0.0</v>
      </c>
      <c r="Q21" s="105" t="s">
        <v>209</v>
      </c>
      <c r="R21" s="107" t="b">
        <v>0</v>
      </c>
      <c r="T21" s="108">
        <f t="shared" ref="T21:BC21" si="6">if(T$5="","",iferror(if($R21=true,if((T$5-$L21)&gt;=1,(1+T$10)/(1+S$10),(1+T$10)),1) * if(or($N21="# per",$N21="% of"),if(T$5&lt;$L21,0,IF(AND(T$5&lt;&gt;1,MOD(T$5-1-$L21+1,$M21)),0,$K21*index(T$53:T$92,match($Q21,$B$53:$B$92,0)))),if(T$5=$L21,$K21,if($N21="% change",if(T$5&lt;$M21,0,offset(S21,,-1*$M21+1))*if(AND(T$5&lt;&gt;1,MOD(T$5-1-$L21+1,$O21)),1,(1+$P21)),if(and($N21="# change",T$5&gt;=$L21),if(T$5&lt;$M21,0,offset(S21,,-1*$M21+1))+if(AND(T$5&lt;&gt;1,MOD(T$5-1-$L21+1,$O21)),0,$P21),if($N21="log change",$K21*IF(T$5&lt;=$O21,1,ROUND((T$5-$L21)/$O21+1,0))^$P21,if($M21=0,0,if(T$5&lt;$M21,0,offset(S21,,-1*$M21+1)))))))),0))</f>
        <v>0</v>
      </c>
      <c r="U21" s="108">
        <f t="shared" si="6"/>
        <v>0</v>
      </c>
      <c r="V21" s="108">
        <f t="shared" si="6"/>
        <v>0</v>
      </c>
      <c r="W21" s="108">
        <f t="shared" si="6"/>
        <v>0</v>
      </c>
      <c r="X21" s="108">
        <f t="shared" si="6"/>
        <v>0</v>
      </c>
      <c r="Y21" s="108">
        <f t="shared" si="6"/>
        <v>0</v>
      </c>
      <c r="Z21" s="108">
        <f t="shared" si="6"/>
        <v>0</v>
      </c>
      <c r="AA21" s="108">
        <f t="shared" si="6"/>
        <v>0</v>
      </c>
      <c r="AB21" s="108">
        <f t="shared" si="6"/>
        <v>0</v>
      </c>
      <c r="AC21" s="108">
        <f t="shared" si="6"/>
        <v>0</v>
      </c>
      <c r="AD21" s="108">
        <f t="shared" si="6"/>
        <v>0</v>
      </c>
      <c r="AE21" s="108">
        <f t="shared" si="6"/>
        <v>0</v>
      </c>
      <c r="AF21" s="108">
        <f t="shared" si="6"/>
        <v>0</v>
      </c>
      <c r="AG21" s="108">
        <f t="shared" si="6"/>
        <v>0</v>
      </c>
      <c r="AH21" s="108">
        <f t="shared" si="6"/>
        <v>0</v>
      </c>
      <c r="AI21" s="108">
        <f t="shared" si="6"/>
        <v>0</v>
      </c>
      <c r="AJ21" s="108">
        <f t="shared" si="6"/>
        <v>0</v>
      </c>
      <c r="AK21" s="108">
        <f t="shared" si="6"/>
        <v>0</v>
      </c>
      <c r="AL21" s="108">
        <f t="shared" si="6"/>
        <v>0</v>
      </c>
      <c r="AM21" s="108">
        <f t="shared" si="6"/>
        <v>0</v>
      </c>
      <c r="AN21" s="108">
        <f t="shared" si="6"/>
        <v>0</v>
      </c>
      <c r="AO21" s="108">
        <f t="shared" si="6"/>
        <v>0</v>
      </c>
      <c r="AP21" s="108">
        <f t="shared" si="6"/>
        <v>0</v>
      </c>
      <c r="AQ21" s="108">
        <f t="shared" si="6"/>
        <v>0</v>
      </c>
      <c r="AR21" s="108">
        <f t="shared" si="6"/>
        <v>0</v>
      </c>
      <c r="AS21" s="108">
        <f t="shared" si="6"/>
        <v>0</v>
      </c>
      <c r="AT21" s="108">
        <f t="shared" si="6"/>
        <v>0</v>
      </c>
      <c r="AU21" s="108">
        <f t="shared" si="6"/>
        <v>0</v>
      </c>
      <c r="AV21" s="108">
        <f t="shared" si="6"/>
        <v>0</v>
      </c>
      <c r="AW21" s="108">
        <f t="shared" si="6"/>
        <v>0</v>
      </c>
      <c r="AX21" s="108">
        <f t="shared" si="6"/>
        <v>0</v>
      </c>
      <c r="AY21" s="108">
        <f t="shared" si="6"/>
        <v>0</v>
      </c>
      <c r="AZ21" s="108">
        <f t="shared" si="6"/>
        <v>0</v>
      </c>
      <c r="BA21" s="108">
        <f t="shared" si="6"/>
        <v>0</v>
      </c>
      <c r="BB21" s="108">
        <f t="shared" si="6"/>
        <v>0</v>
      </c>
      <c r="BC21" s="108">
        <f t="shared" si="6"/>
        <v>0</v>
      </c>
    </row>
    <row r="22">
      <c r="A22" s="1"/>
      <c r="B22" s="104" t="str">
        <f t="shared" si="7"/>
        <v>Overhead</v>
      </c>
      <c r="C22" s="103" t="str">
        <f>'Get Started'!$C$20</f>
        <v>$</v>
      </c>
      <c r="D22" s="104" t="str">
        <f t="shared" si="8"/>
        <v>Overhead</v>
      </c>
      <c r="E22" s="78"/>
      <c r="F22" s="78"/>
      <c r="G22" s="78"/>
      <c r="H22" s="79" t="s">
        <v>193</v>
      </c>
      <c r="I22" s="87">
        <f t="shared" si="3"/>
        <v>0</v>
      </c>
      <c r="J22" s="93"/>
      <c r="K22" s="104">
        <v>0.0</v>
      </c>
      <c r="L22" s="104">
        <v>0.0</v>
      </c>
      <c r="M22" s="104">
        <v>0.0</v>
      </c>
      <c r="N22" s="105" t="s">
        <v>209</v>
      </c>
      <c r="O22" s="104">
        <v>0.0</v>
      </c>
      <c r="P22" s="106">
        <v>0.0</v>
      </c>
      <c r="Q22" s="105" t="s">
        <v>209</v>
      </c>
      <c r="R22" s="107" t="b">
        <v>0</v>
      </c>
      <c r="T22" s="108">
        <f t="shared" ref="T22:BC22" si="9">if(T$5="","",iferror(if($R22=true,if((T$5-$L22)&gt;=1,(1+T$10)/(1+S$10),(1+T$10)),1) * if(or($N22="# per",$N22="% of"),if(T$5&lt;$L22,0,IF(AND(T$5&lt;&gt;1,MOD(T$5-1-$L22+1,$M22)),0,$K22*index(T$53:T$92,match($Q22,$B$53:$B$92,0)))),if(T$5=$L22,$K22,if($N22="% change",if(T$5&lt;$M22,0,offset(S22,,-1*$M22+1))*if(AND(T$5&lt;&gt;1,MOD(T$5-1-$L22+1,$O22)),1,(1+$P22)),if(and($N22="# change",T$5&gt;=$L22),if(T$5&lt;$M22,0,offset(S22,,-1*$M22+1))+if(AND(T$5&lt;&gt;1,MOD(T$5-1-$L22+1,$O22)),0,$P22),if($N22="log change",$K22*IF(T$5&lt;=$O22,1,ROUND((T$5-$L22)/$O22+1,0))^$P22,if($M22=0,0,if(T$5&lt;$M22,0,offset(S22,,-1*$M22+1)))))))),0))</f>
        <v>0</v>
      </c>
      <c r="U22" s="108">
        <f t="shared" si="9"/>
        <v>0</v>
      </c>
      <c r="V22" s="108">
        <f t="shared" si="9"/>
        <v>0</v>
      </c>
      <c r="W22" s="108">
        <f t="shared" si="9"/>
        <v>0</v>
      </c>
      <c r="X22" s="108">
        <f t="shared" si="9"/>
        <v>0</v>
      </c>
      <c r="Y22" s="108">
        <f t="shared" si="9"/>
        <v>0</v>
      </c>
      <c r="Z22" s="108">
        <f t="shared" si="9"/>
        <v>0</v>
      </c>
      <c r="AA22" s="108">
        <f t="shared" si="9"/>
        <v>0</v>
      </c>
      <c r="AB22" s="108">
        <f t="shared" si="9"/>
        <v>0</v>
      </c>
      <c r="AC22" s="108">
        <f t="shared" si="9"/>
        <v>0</v>
      </c>
      <c r="AD22" s="108">
        <f t="shared" si="9"/>
        <v>0</v>
      </c>
      <c r="AE22" s="108">
        <f t="shared" si="9"/>
        <v>0</v>
      </c>
      <c r="AF22" s="108">
        <f t="shared" si="9"/>
        <v>0</v>
      </c>
      <c r="AG22" s="108">
        <f t="shared" si="9"/>
        <v>0</v>
      </c>
      <c r="AH22" s="108">
        <f t="shared" si="9"/>
        <v>0</v>
      </c>
      <c r="AI22" s="108">
        <f t="shared" si="9"/>
        <v>0</v>
      </c>
      <c r="AJ22" s="108">
        <f t="shared" si="9"/>
        <v>0</v>
      </c>
      <c r="AK22" s="108">
        <f t="shared" si="9"/>
        <v>0</v>
      </c>
      <c r="AL22" s="108">
        <f t="shared" si="9"/>
        <v>0</v>
      </c>
      <c r="AM22" s="108">
        <f t="shared" si="9"/>
        <v>0</v>
      </c>
      <c r="AN22" s="108">
        <f t="shared" si="9"/>
        <v>0</v>
      </c>
      <c r="AO22" s="108">
        <f t="shared" si="9"/>
        <v>0</v>
      </c>
      <c r="AP22" s="108">
        <f t="shared" si="9"/>
        <v>0</v>
      </c>
      <c r="AQ22" s="108">
        <f t="shared" si="9"/>
        <v>0</v>
      </c>
      <c r="AR22" s="108">
        <f t="shared" si="9"/>
        <v>0</v>
      </c>
      <c r="AS22" s="108">
        <f t="shared" si="9"/>
        <v>0</v>
      </c>
      <c r="AT22" s="108">
        <f t="shared" si="9"/>
        <v>0</v>
      </c>
      <c r="AU22" s="108">
        <f t="shared" si="9"/>
        <v>0</v>
      </c>
      <c r="AV22" s="108">
        <f t="shared" si="9"/>
        <v>0</v>
      </c>
      <c r="AW22" s="108">
        <f t="shared" si="9"/>
        <v>0</v>
      </c>
      <c r="AX22" s="108">
        <f t="shared" si="9"/>
        <v>0</v>
      </c>
      <c r="AY22" s="108">
        <f t="shared" si="9"/>
        <v>0</v>
      </c>
      <c r="AZ22" s="108">
        <f t="shared" si="9"/>
        <v>0</v>
      </c>
      <c r="BA22" s="108">
        <f t="shared" si="9"/>
        <v>0</v>
      </c>
      <c r="BB22" s="108">
        <f t="shared" si="9"/>
        <v>0</v>
      </c>
      <c r="BC22" s="108">
        <f t="shared" si="9"/>
        <v>0</v>
      </c>
    </row>
    <row r="23">
      <c r="A23" s="1"/>
      <c r="B23" s="104" t="str">
        <f t="shared" si="7"/>
        <v>Product &amp; Materials</v>
      </c>
      <c r="C23" s="103" t="str">
        <f>'Get Started'!$C$20</f>
        <v>$</v>
      </c>
      <c r="D23" s="104" t="s">
        <v>214</v>
      </c>
      <c r="E23" s="78"/>
      <c r="F23" s="78"/>
      <c r="G23" s="78"/>
      <c r="H23" s="79" t="s">
        <v>193</v>
      </c>
      <c r="I23" s="87">
        <f t="shared" si="3"/>
        <v>0</v>
      </c>
      <c r="J23" s="93"/>
      <c r="K23" s="104">
        <v>0.0</v>
      </c>
      <c r="L23" s="104">
        <v>0.0</v>
      </c>
      <c r="M23" s="104">
        <v>0.0</v>
      </c>
      <c r="N23" s="105" t="s">
        <v>209</v>
      </c>
      <c r="O23" s="104">
        <v>0.0</v>
      </c>
      <c r="P23" s="106">
        <v>0.0</v>
      </c>
      <c r="Q23" s="105" t="s">
        <v>209</v>
      </c>
      <c r="R23" s="109" t="b">
        <v>0</v>
      </c>
      <c r="T23" s="108">
        <f t="shared" ref="T23:BC23" si="10">if(T$5="","",iferror(if($R23=true,if((T$5-$L23)&gt;=1,(1+T$10)/(1+S$10),(1+T$10)),1) * if(or($N23="# per",$N23="% of"),if(T$5&lt;$L23,0,IF(AND(T$5&lt;&gt;1,MOD(T$5-1-$L23+1,$M23)),0,$K23*index(T$53:T$92,match($Q23,$B$53:$B$92,0)))),if(T$5=$L23,$K23,if($N23="% change",if(T$5&lt;$M23,0,offset(S23,,-1*$M23+1))*if(AND(T$5&lt;&gt;1,MOD(T$5-1-$L23+1,$O23)),1,(1+$P23)),if(and($N23="# change",T$5&gt;=$L23),if(T$5&lt;$M23,0,offset(S23,,-1*$M23+1))+if(AND(T$5&lt;&gt;1,MOD(T$5-1-$L23+1,$O23)),0,$P23),if($N23="log change",$K23*IF(T$5&lt;=$O23,1,ROUND((T$5-$L23)/$O23+1,0))^$P23,if($M23=0,0,if(T$5&lt;$M23,0,offset(S23,,-1*$M23+1)))))))),0))</f>
        <v>0</v>
      </c>
      <c r="U23" s="108">
        <f t="shared" si="10"/>
        <v>0</v>
      </c>
      <c r="V23" s="108">
        <f t="shared" si="10"/>
        <v>0</v>
      </c>
      <c r="W23" s="108">
        <f t="shared" si="10"/>
        <v>0</v>
      </c>
      <c r="X23" s="108">
        <f t="shared" si="10"/>
        <v>0</v>
      </c>
      <c r="Y23" s="108">
        <f t="shared" si="10"/>
        <v>0</v>
      </c>
      <c r="Z23" s="108">
        <f t="shared" si="10"/>
        <v>0</v>
      </c>
      <c r="AA23" s="108">
        <f t="shared" si="10"/>
        <v>0</v>
      </c>
      <c r="AB23" s="108">
        <f t="shared" si="10"/>
        <v>0</v>
      </c>
      <c r="AC23" s="108">
        <f t="shared" si="10"/>
        <v>0</v>
      </c>
      <c r="AD23" s="108">
        <f t="shared" si="10"/>
        <v>0</v>
      </c>
      <c r="AE23" s="108">
        <f t="shared" si="10"/>
        <v>0</v>
      </c>
      <c r="AF23" s="108">
        <f t="shared" si="10"/>
        <v>0</v>
      </c>
      <c r="AG23" s="108">
        <f t="shared" si="10"/>
        <v>0</v>
      </c>
      <c r="AH23" s="108">
        <f t="shared" si="10"/>
        <v>0</v>
      </c>
      <c r="AI23" s="108">
        <f t="shared" si="10"/>
        <v>0</v>
      </c>
      <c r="AJ23" s="108">
        <f t="shared" si="10"/>
        <v>0</v>
      </c>
      <c r="AK23" s="108">
        <f t="shared" si="10"/>
        <v>0</v>
      </c>
      <c r="AL23" s="108">
        <f t="shared" si="10"/>
        <v>0</v>
      </c>
      <c r="AM23" s="108">
        <f t="shared" si="10"/>
        <v>0</v>
      </c>
      <c r="AN23" s="108">
        <f t="shared" si="10"/>
        <v>0</v>
      </c>
      <c r="AO23" s="108">
        <f t="shared" si="10"/>
        <v>0</v>
      </c>
      <c r="AP23" s="108">
        <f t="shared" si="10"/>
        <v>0</v>
      </c>
      <c r="AQ23" s="108">
        <f t="shared" si="10"/>
        <v>0</v>
      </c>
      <c r="AR23" s="108">
        <f t="shared" si="10"/>
        <v>0</v>
      </c>
      <c r="AS23" s="108">
        <f t="shared" si="10"/>
        <v>0</v>
      </c>
      <c r="AT23" s="108">
        <f t="shared" si="10"/>
        <v>0</v>
      </c>
      <c r="AU23" s="108">
        <f t="shared" si="10"/>
        <v>0</v>
      </c>
      <c r="AV23" s="108">
        <f t="shared" si="10"/>
        <v>0</v>
      </c>
      <c r="AW23" s="108">
        <f t="shared" si="10"/>
        <v>0</v>
      </c>
      <c r="AX23" s="108">
        <f t="shared" si="10"/>
        <v>0</v>
      </c>
      <c r="AY23" s="108">
        <f t="shared" si="10"/>
        <v>0</v>
      </c>
      <c r="AZ23" s="108">
        <f t="shared" si="10"/>
        <v>0</v>
      </c>
      <c r="BA23" s="108">
        <f t="shared" si="10"/>
        <v>0</v>
      </c>
      <c r="BB23" s="108">
        <f t="shared" si="10"/>
        <v>0</v>
      </c>
      <c r="BC23" s="108">
        <f t="shared" si="10"/>
        <v>0</v>
      </c>
    </row>
    <row r="24">
      <c r="A24" s="1"/>
      <c r="B24" s="104" t="str">
        <f t="shared" si="7"/>
        <v>Capital Expenditures</v>
      </c>
      <c r="C24" s="103" t="str">
        <f>'Get Started'!$C$20</f>
        <v>$</v>
      </c>
      <c r="D24" s="104" t="str">
        <f>B70</f>
        <v>Capital Expenditures</v>
      </c>
      <c r="E24" s="78"/>
      <c r="F24" s="78"/>
      <c r="G24" s="78"/>
      <c r="H24" s="79" t="s">
        <v>193</v>
      </c>
      <c r="I24" s="87">
        <f t="shared" si="3"/>
        <v>0</v>
      </c>
      <c r="J24" s="93"/>
      <c r="K24" s="104">
        <v>0.0</v>
      </c>
      <c r="L24" s="104">
        <v>0.0</v>
      </c>
      <c r="M24" s="104">
        <v>0.0</v>
      </c>
      <c r="N24" s="105" t="s">
        <v>209</v>
      </c>
      <c r="O24" s="104">
        <v>0.0</v>
      </c>
      <c r="P24" s="106">
        <v>0.0</v>
      </c>
      <c r="Q24" s="105" t="s">
        <v>209</v>
      </c>
      <c r="R24" s="109" t="b">
        <v>0</v>
      </c>
      <c r="T24" s="108">
        <f t="shared" ref="T24:BC24" si="11">if(T$5="","",iferror(if($R24=true,if((T$5-$L24)&gt;=1,(1+T$10)/(1+S$10),(1+T$10)),1) * if(or($N24="# per",$N24="% of"),if(T$5&lt;$L24,0,IF(AND(T$5&lt;&gt;1,MOD(T$5-1-$L24+1,$M24)),0,$K24*index(T$53:T$92,match($Q24,$B$53:$B$92,0)))),if(T$5=$L24,$K24,if($N24="% change",if(T$5&lt;$M24,0,offset(S24,,-1*$M24+1))*if(AND(T$5&lt;&gt;1,MOD(T$5-1-$L24+1,$O24)),1,(1+$P24)),if(and($N24="# change",T$5&gt;=$L24),if(T$5&lt;$M24,0,offset(S24,,-1*$M24+1))+if(AND(T$5&lt;&gt;1,MOD(T$5-1-$L24+1,$O24)),0,$P24),if($N24="log change",$K24*IF(T$5&lt;=$O24,1,ROUND((T$5-$L24)/$O24+1,0))^$P24,if($M24=0,0,if(T$5&lt;$M24,0,offset(S24,,-1*$M24+1)))))))),0))</f>
        <v>0</v>
      </c>
      <c r="U24" s="108">
        <f t="shared" si="11"/>
        <v>0</v>
      </c>
      <c r="V24" s="108">
        <f t="shared" si="11"/>
        <v>0</v>
      </c>
      <c r="W24" s="108">
        <f t="shared" si="11"/>
        <v>0</v>
      </c>
      <c r="X24" s="108">
        <f t="shared" si="11"/>
        <v>0</v>
      </c>
      <c r="Y24" s="108">
        <f t="shared" si="11"/>
        <v>0</v>
      </c>
      <c r="Z24" s="108">
        <f t="shared" si="11"/>
        <v>0</v>
      </c>
      <c r="AA24" s="108">
        <f t="shared" si="11"/>
        <v>0</v>
      </c>
      <c r="AB24" s="108">
        <f t="shared" si="11"/>
        <v>0</v>
      </c>
      <c r="AC24" s="108">
        <f t="shared" si="11"/>
        <v>0</v>
      </c>
      <c r="AD24" s="108">
        <f t="shared" si="11"/>
        <v>0</v>
      </c>
      <c r="AE24" s="108">
        <f t="shared" si="11"/>
        <v>0</v>
      </c>
      <c r="AF24" s="108">
        <f t="shared" si="11"/>
        <v>0</v>
      </c>
      <c r="AG24" s="108">
        <f t="shared" si="11"/>
        <v>0</v>
      </c>
      <c r="AH24" s="108">
        <f t="shared" si="11"/>
        <v>0</v>
      </c>
      <c r="AI24" s="108">
        <f t="shared" si="11"/>
        <v>0</v>
      </c>
      <c r="AJ24" s="108">
        <f t="shared" si="11"/>
        <v>0</v>
      </c>
      <c r="AK24" s="108">
        <f t="shared" si="11"/>
        <v>0</v>
      </c>
      <c r="AL24" s="108">
        <f t="shared" si="11"/>
        <v>0</v>
      </c>
      <c r="AM24" s="108">
        <f t="shared" si="11"/>
        <v>0</v>
      </c>
      <c r="AN24" s="108">
        <f t="shared" si="11"/>
        <v>0</v>
      </c>
      <c r="AO24" s="108">
        <f t="shared" si="11"/>
        <v>0</v>
      </c>
      <c r="AP24" s="108">
        <f t="shared" si="11"/>
        <v>0</v>
      </c>
      <c r="AQ24" s="108">
        <f t="shared" si="11"/>
        <v>0</v>
      </c>
      <c r="AR24" s="108">
        <f t="shared" si="11"/>
        <v>0</v>
      </c>
      <c r="AS24" s="108">
        <f t="shared" si="11"/>
        <v>0</v>
      </c>
      <c r="AT24" s="108">
        <f t="shared" si="11"/>
        <v>0</v>
      </c>
      <c r="AU24" s="108">
        <f t="shared" si="11"/>
        <v>0</v>
      </c>
      <c r="AV24" s="108">
        <f t="shared" si="11"/>
        <v>0</v>
      </c>
      <c r="AW24" s="108">
        <f t="shared" si="11"/>
        <v>0</v>
      </c>
      <c r="AX24" s="108">
        <f t="shared" si="11"/>
        <v>0</v>
      </c>
      <c r="AY24" s="108">
        <f t="shared" si="11"/>
        <v>0</v>
      </c>
      <c r="AZ24" s="108">
        <f t="shared" si="11"/>
        <v>0</v>
      </c>
      <c r="BA24" s="108">
        <f t="shared" si="11"/>
        <v>0</v>
      </c>
      <c r="BB24" s="108">
        <f t="shared" si="11"/>
        <v>0</v>
      </c>
      <c r="BC24" s="108">
        <f t="shared" si="11"/>
        <v>0</v>
      </c>
    </row>
    <row r="25">
      <c r="A25" s="1"/>
      <c r="B25" s="104" t="s">
        <v>215</v>
      </c>
      <c r="C25" s="103" t="str">
        <f>'Get Started'!$C$20</f>
        <v>$</v>
      </c>
      <c r="D25" s="104" t="s">
        <v>215</v>
      </c>
      <c r="E25" s="78"/>
      <c r="F25" s="78"/>
      <c r="G25" s="78"/>
      <c r="H25" s="79" t="s">
        <v>193</v>
      </c>
      <c r="I25" s="87">
        <f t="shared" si="3"/>
        <v>0</v>
      </c>
      <c r="J25" s="93"/>
      <c r="K25" s="104">
        <v>0.0</v>
      </c>
      <c r="L25" s="104">
        <v>0.0</v>
      </c>
      <c r="M25" s="104">
        <v>0.0</v>
      </c>
      <c r="N25" s="105" t="s">
        <v>209</v>
      </c>
      <c r="O25" s="104">
        <v>0.0</v>
      </c>
      <c r="P25" s="106">
        <v>0.0</v>
      </c>
      <c r="Q25" s="105" t="s">
        <v>209</v>
      </c>
      <c r="R25" s="107" t="b">
        <v>0</v>
      </c>
      <c r="T25" s="108">
        <f t="shared" ref="T25:BC25" si="12">if(T$5="","",iferror(if($R25=true,if((T$5-$L25)&gt;=1,(1+T$10)/(1+S$10),(1+T$10)),1) * if(or($N25="# per",$N25="% of"),if(T$5&lt;$L25,0,IF(AND(T$5&lt;&gt;1,MOD(T$5-1-$L25+1,$M25)),0,$K25*index(T$53:T$92,match($Q25,$B$53:$B$92,0)))),if(T$5=$L25,$K25,if($N25="% change",if(T$5&lt;$M25,0,offset(S25,,-1*$M25+1))*if(AND(T$5&lt;&gt;1,MOD(T$5-1-$L25+1,$O25)),1,(1+$P25)),if(and($N25="# change",T$5&gt;=$L25),if(T$5&lt;$M25,0,offset(S25,,-1*$M25+1))+if(AND(T$5&lt;&gt;1,MOD(T$5-1-$L25+1,$O25)),0,$P25),if($N25="log change",$K25*IF(T$5&lt;=$O25,1,ROUND((T$5-$L25)/$O25+1,0))^$P25,if($M25=0,0,if(T$5&lt;$M25,0,offset(S25,,-1*$M25+1)))))))),0))</f>
        <v>0</v>
      </c>
      <c r="U25" s="108">
        <f t="shared" si="12"/>
        <v>0</v>
      </c>
      <c r="V25" s="108">
        <f t="shared" si="12"/>
        <v>0</v>
      </c>
      <c r="W25" s="108">
        <f t="shared" si="12"/>
        <v>0</v>
      </c>
      <c r="X25" s="108">
        <f t="shared" si="12"/>
        <v>0</v>
      </c>
      <c r="Y25" s="108">
        <f t="shared" si="12"/>
        <v>0</v>
      </c>
      <c r="Z25" s="108">
        <f t="shared" si="12"/>
        <v>0</v>
      </c>
      <c r="AA25" s="108">
        <f t="shared" si="12"/>
        <v>0</v>
      </c>
      <c r="AB25" s="108">
        <f t="shared" si="12"/>
        <v>0</v>
      </c>
      <c r="AC25" s="108">
        <f t="shared" si="12"/>
        <v>0</v>
      </c>
      <c r="AD25" s="108">
        <f t="shared" si="12"/>
        <v>0</v>
      </c>
      <c r="AE25" s="108">
        <f t="shared" si="12"/>
        <v>0</v>
      </c>
      <c r="AF25" s="108">
        <f t="shared" si="12"/>
        <v>0</v>
      </c>
      <c r="AG25" s="108">
        <f t="shared" si="12"/>
        <v>0</v>
      </c>
      <c r="AH25" s="108">
        <f t="shared" si="12"/>
        <v>0</v>
      </c>
      <c r="AI25" s="108">
        <f t="shared" si="12"/>
        <v>0</v>
      </c>
      <c r="AJ25" s="108">
        <f t="shared" si="12"/>
        <v>0</v>
      </c>
      <c r="AK25" s="108">
        <f t="shared" si="12"/>
        <v>0</v>
      </c>
      <c r="AL25" s="108">
        <f t="shared" si="12"/>
        <v>0</v>
      </c>
      <c r="AM25" s="108">
        <f t="shared" si="12"/>
        <v>0</v>
      </c>
      <c r="AN25" s="108">
        <f t="shared" si="12"/>
        <v>0</v>
      </c>
      <c r="AO25" s="108">
        <f t="shared" si="12"/>
        <v>0</v>
      </c>
      <c r="AP25" s="108">
        <f t="shared" si="12"/>
        <v>0</v>
      </c>
      <c r="AQ25" s="108">
        <f t="shared" si="12"/>
        <v>0</v>
      </c>
      <c r="AR25" s="108">
        <f t="shared" si="12"/>
        <v>0</v>
      </c>
      <c r="AS25" s="108">
        <f t="shared" si="12"/>
        <v>0</v>
      </c>
      <c r="AT25" s="108">
        <f t="shared" si="12"/>
        <v>0</v>
      </c>
      <c r="AU25" s="108">
        <f t="shared" si="12"/>
        <v>0</v>
      </c>
      <c r="AV25" s="108">
        <f t="shared" si="12"/>
        <v>0</v>
      </c>
      <c r="AW25" s="108">
        <f t="shared" si="12"/>
        <v>0</v>
      </c>
      <c r="AX25" s="108">
        <f t="shared" si="12"/>
        <v>0</v>
      </c>
      <c r="AY25" s="108">
        <f t="shared" si="12"/>
        <v>0</v>
      </c>
      <c r="AZ25" s="108">
        <f t="shared" si="12"/>
        <v>0</v>
      </c>
      <c r="BA25" s="108">
        <f t="shared" si="12"/>
        <v>0</v>
      </c>
      <c r="BB25" s="108">
        <f t="shared" si="12"/>
        <v>0</v>
      </c>
      <c r="BC25" s="108">
        <f t="shared" si="12"/>
        <v>0</v>
      </c>
    </row>
    <row r="26">
      <c r="A26" s="1"/>
      <c r="B26" s="104" t="s">
        <v>216</v>
      </c>
      <c r="C26" s="103" t="str">
        <f>'Get Started'!$C$20</f>
        <v>$</v>
      </c>
      <c r="D26" s="104" t="s">
        <v>217</v>
      </c>
      <c r="E26" s="78"/>
      <c r="F26" s="78"/>
      <c r="G26" s="78"/>
      <c r="H26" s="79" t="s">
        <v>193</v>
      </c>
      <c r="I26" s="87">
        <f t="shared" si="3"/>
        <v>0</v>
      </c>
      <c r="J26" s="93"/>
      <c r="K26" s="104">
        <v>0.0</v>
      </c>
      <c r="L26" s="104">
        <v>0.0</v>
      </c>
      <c r="M26" s="104">
        <v>0.0</v>
      </c>
      <c r="N26" s="105" t="s">
        <v>209</v>
      </c>
      <c r="O26" s="104">
        <v>0.0</v>
      </c>
      <c r="P26" s="106">
        <v>0.0</v>
      </c>
      <c r="Q26" s="105" t="s">
        <v>209</v>
      </c>
      <c r="R26" s="109" t="b">
        <v>0</v>
      </c>
      <c r="T26" s="108">
        <f t="shared" ref="T26:BC26" si="13">if(T$5="","",iferror(if($R26=true,if((T$5-$L26)&gt;=1,(1+T$10)/(1+S$10),(1+T$10)),1) * if(or($N26="# per",$N26="% of"),if(T$5&lt;$L26,0,IF(AND(T$5&lt;&gt;1,MOD(T$5-1-$L26+1,$M26)),0,$K26*index(T$53:T$92,match($Q26,$B$53:$B$92,0)))),if(T$5=$L26,$K26,if($N26="% change",if(T$5&lt;$M26,0,offset(S26,,-1*$M26+1))*if(AND(T$5&lt;&gt;1,MOD(T$5-1-$L26+1,$O26)),1,(1+$P26)),if(and($N26="# change",T$5&gt;=$L26),if(T$5&lt;$M26,0,offset(S26,,-1*$M26+1))+if(AND(T$5&lt;&gt;1,MOD(T$5-1-$L26+1,$O26)),0,$P26),if($N26="log change",$K26*IF(T$5&lt;=$O26,1,ROUND((T$5-$L26)/$O26+1,0))^$P26,if($M26=0,0,if(T$5&lt;$M26,0,offset(S26,,-1*$M26+1)))))))),0))</f>
        <v>0</v>
      </c>
      <c r="U26" s="108">
        <f t="shared" si="13"/>
        <v>0</v>
      </c>
      <c r="V26" s="108">
        <f t="shared" si="13"/>
        <v>0</v>
      </c>
      <c r="W26" s="108">
        <f t="shared" si="13"/>
        <v>0</v>
      </c>
      <c r="X26" s="108">
        <f t="shared" si="13"/>
        <v>0</v>
      </c>
      <c r="Y26" s="108">
        <f t="shared" si="13"/>
        <v>0</v>
      </c>
      <c r="Z26" s="108">
        <f t="shared" si="13"/>
        <v>0</v>
      </c>
      <c r="AA26" s="108">
        <f t="shared" si="13"/>
        <v>0</v>
      </c>
      <c r="AB26" s="108">
        <f t="shared" si="13"/>
        <v>0</v>
      </c>
      <c r="AC26" s="108">
        <f t="shared" si="13"/>
        <v>0</v>
      </c>
      <c r="AD26" s="108">
        <f t="shared" si="13"/>
        <v>0</v>
      </c>
      <c r="AE26" s="108">
        <f t="shared" si="13"/>
        <v>0</v>
      </c>
      <c r="AF26" s="108">
        <f t="shared" si="13"/>
        <v>0</v>
      </c>
      <c r="AG26" s="108">
        <f t="shared" si="13"/>
        <v>0</v>
      </c>
      <c r="AH26" s="108">
        <f t="shared" si="13"/>
        <v>0</v>
      </c>
      <c r="AI26" s="108">
        <f t="shared" si="13"/>
        <v>0</v>
      </c>
      <c r="AJ26" s="108">
        <f t="shared" si="13"/>
        <v>0</v>
      </c>
      <c r="AK26" s="108">
        <f t="shared" si="13"/>
        <v>0</v>
      </c>
      <c r="AL26" s="108">
        <f t="shared" si="13"/>
        <v>0</v>
      </c>
      <c r="AM26" s="108">
        <f t="shared" si="13"/>
        <v>0</v>
      </c>
      <c r="AN26" s="108">
        <f t="shared" si="13"/>
        <v>0</v>
      </c>
      <c r="AO26" s="108">
        <f t="shared" si="13"/>
        <v>0</v>
      </c>
      <c r="AP26" s="108">
        <f t="shared" si="13"/>
        <v>0</v>
      </c>
      <c r="AQ26" s="108">
        <f t="shared" si="13"/>
        <v>0</v>
      </c>
      <c r="AR26" s="108">
        <f t="shared" si="13"/>
        <v>0</v>
      </c>
      <c r="AS26" s="108">
        <f t="shared" si="13"/>
        <v>0</v>
      </c>
      <c r="AT26" s="108">
        <f t="shared" si="13"/>
        <v>0</v>
      </c>
      <c r="AU26" s="108">
        <f t="shared" si="13"/>
        <v>0</v>
      </c>
      <c r="AV26" s="108">
        <f t="shared" si="13"/>
        <v>0</v>
      </c>
      <c r="AW26" s="108">
        <f t="shared" si="13"/>
        <v>0</v>
      </c>
      <c r="AX26" s="108">
        <f t="shared" si="13"/>
        <v>0</v>
      </c>
      <c r="AY26" s="108">
        <f t="shared" si="13"/>
        <v>0</v>
      </c>
      <c r="AZ26" s="108">
        <f t="shared" si="13"/>
        <v>0</v>
      </c>
      <c r="BA26" s="108">
        <f t="shared" si="13"/>
        <v>0</v>
      </c>
      <c r="BB26" s="108">
        <f t="shared" si="13"/>
        <v>0</v>
      </c>
      <c r="BC26" s="108">
        <f t="shared" si="13"/>
        <v>0</v>
      </c>
    </row>
    <row r="27">
      <c r="A27" s="1"/>
      <c r="B27" s="104" t="s">
        <v>215</v>
      </c>
      <c r="C27" s="103" t="str">
        <f>'Get Started'!$C$20</f>
        <v>$</v>
      </c>
      <c r="D27" s="104" t="s">
        <v>218</v>
      </c>
      <c r="E27" s="78"/>
      <c r="F27" s="78"/>
      <c r="G27" s="78"/>
      <c r="H27" s="79" t="s">
        <v>193</v>
      </c>
      <c r="I27" s="87">
        <f t="shared" si="3"/>
        <v>500000</v>
      </c>
      <c r="J27" s="93"/>
      <c r="K27" s="104">
        <v>500000.0</v>
      </c>
      <c r="L27" s="104">
        <v>1.0</v>
      </c>
      <c r="M27" s="104">
        <v>0.0</v>
      </c>
      <c r="N27" s="105" t="s">
        <v>209</v>
      </c>
      <c r="O27" s="104">
        <v>0.0</v>
      </c>
      <c r="P27" s="106">
        <v>0.0</v>
      </c>
      <c r="Q27" s="105" t="s">
        <v>209</v>
      </c>
      <c r="R27" s="109" t="b">
        <v>0</v>
      </c>
      <c r="T27" s="108">
        <f t="shared" ref="T27:BC27" si="14">if(T$5="","",iferror(if($R27=true,if((T$5-$L27)&gt;=1,(1+T$10)/(1+S$10),(1+T$10)),1) * if(or($N27="# per",$N27="% of"),if(T$5&lt;$L27,0,IF(AND(T$5&lt;&gt;1,MOD(T$5-1-$L27+1,$M27)),0,$K27*index(T$53:T$92,match($Q27,$B$53:$B$92,0)))),if(T$5=$L27,$K27,if($N27="% change",if(T$5&lt;$M27,0,offset(S27,,-1*$M27+1))*if(AND(T$5&lt;&gt;1,MOD(T$5-1-$L27+1,$O27)),1,(1+$P27)),if(and($N27="# change",T$5&gt;=$L27),if(T$5&lt;$M27,0,offset(S27,,-1*$M27+1))+if(AND(T$5&lt;&gt;1,MOD(T$5-1-$L27+1,$O27)),0,$P27),if($N27="log change",$K27*IF(T$5&lt;=$O27,1,ROUND((T$5-$L27)/$O27+1,0))^$P27,if($M27=0,0,if(T$5&lt;$M27,0,offset(S27,,-1*$M27+1)))))))),0))</f>
        <v>500000</v>
      </c>
      <c r="U27" s="108">
        <f t="shared" si="14"/>
        <v>0</v>
      </c>
      <c r="V27" s="108">
        <f t="shared" si="14"/>
        <v>0</v>
      </c>
      <c r="W27" s="108">
        <f t="shared" si="14"/>
        <v>0</v>
      </c>
      <c r="X27" s="108">
        <f t="shared" si="14"/>
        <v>0</v>
      </c>
      <c r="Y27" s="108">
        <f t="shared" si="14"/>
        <v>0</v>
      </c>
      <c r="Z27" s="108">
        <f t="shared" si="14"/>
        <v>0</v>
      </c>
      <c r="AA27" s="108">
        <f t="shared" si="14"/>
        <v>0</v>
      </c>
      <c r="AB27" s="108">
        <f t="shared" si="14"/>
        <v>0</v>
      </c>
      <c r="AC27" s="108">
        <f t="shared" si="14"/>
        <v>0</v>
      </c>
      <c r="AD27" s="108">
        <f t="shared" si="14"/>
        <v>0</v>
      </c>
      <c r="AE27" s="108">
        <f t="shared" si="14"/>
        <v>0</v>
      </c>
      <c r="AF27" s="108">
        <f t="shared" si="14"/>
        <v>0</v>
      </c>
      <c r="AG27" s="108">
        <f t="shared" si="14"/>
        <v>0</v>
      </c>
      <c r="AH27" s="108">
        <f t="shared" si="14"/>
        <v>0</v>
      </c>
      <c r="AI27" s="108">
        <f t="shared" si="14"/>
        <v>0</v>
      </c>
      <c r="AJ27" s="108">
        <f t="shared" si="14"/>
        <v>0</v>
      </c>
      <c r="AK27" s="108">
        <f t="shared" si="14"/>
        <v>0</v>
      </c>
      <c r="AL27" s="108">
        <f t="shared" si="14"/>
        <v>0</v>
      </c>
      <c r="AM27" s="108">
        <f t="shared" si="14"/>
        <v>0</v>
      </c>
      <c r="AN27" s="108">
        <f t="shared" si="14"/>
        <v>0</v>
      </c>
      <c r="AO27" s="108">
        <f t="shared" si="14"/>
        <v>0</v>
      </c>
      <c r="AP27" s="108">
        <f t="shared" si="14"/>
        <v>0</v>
      </c>
      <c r="AQ27" s="108">
        <f t="shared" si="14"/>
        <v>0</v>
      </c>
      <c r="AR27" s="108">
        <f t="shared" si="14"/>
        <v>0</v>
      </c>
      <c r="AS27" s="108">
        <f t="shared" si="14"/>
        <v>0</v>
      </c>
      <c r="AT27" s="108">
        <f t="shared" si="14"/>
        <v>0</v>
      </c>
      <c r="AU27" s="108">
        <f t="shared" si="14"/>
        <v>0</v>
      </c>
      <c r="AV27" s="108">
        <f t="shared" si="14"/>
        <v>0</v>
      </c>
      <c r="AW27" s="108">
        <f t="shared" si="14"/>
        <v>0</v>
      </c>
      <c r="AX27" s="108">
        <f t="shared" si="14"/>
        <v>0</v>
      </c>
      <c r="AY27" s="108">
        <f t="shared" si="14"/>
        <v>0</v>
      </c>
      <c r="AZ27" s="108">
        <f t="shared" si="14"/>
        <v>0</v>
      </c>
      <c r="BA27" s="108">
        <f t="shared" si="14"/>
        <v>0</v>
      </c>
      <c r="BB27" s="108">
        <f t="shared" si="14"/>
        <v>0</v>
      </c>
      <c r="BC27" s="108">
        <f t="shared" si="14"/>
        <v>0</v>
      </c>
    </row>
    <row r="28">
      <c r="A28" s="1"/>
      <c r="B28" s="108" t="s">
        <v>219</v>
      </c>
      <c r="C28" s="103" t="str">
        <f>'Get Started'!$C$20</f>
        <v>$</v>
      </c>
      <c r="D28" s="104" t="s">
        <v>220</v>
      </c>
      <c r="E28" s="78"/>
      <c r="F28" s="78"/>
      <c r="G28" s="78"/>
      <c r="H28" s="79" t="s">
        <v>193</v>
      </c>
      <c r="I28" s="87">
        <f t="shared" si="3"/>
        <v>0</v>
      </c>
      <c r="J28" s="93"/>
      <c r="K28" s="104">
        <v>0.0</v>
      </c>
      <c r="L28" s="104">
        <v>0.0</v>
      </c>
      <c r="M28" s="104">
        <v>0.0</v>
      </c>
      <c r="N28" s="105" t="s">
        <v>209</v>
      </c>
      <c r="O28" s="104">
        <v>0.0</v>
      </c>
      <c r="P28" s="106">
        <v>0.0</v>
      </c>
      <c r="Q28" s="105" t="s">
        <v>209</v>
      </c>
      <c r="R28" s="109" t="b">
        <v>0</v>
      </c>
      <c r="T28" s="108">
        <f t="shared" ref="T28:BC28" si="15">if(T$5="","",iferror(if($R28=true,if((T$5-$L28)&gt;=1,(1+T$10)/(1+S$10),(1+T$10)),1) * if(or($N28="# per",$N28="% of"),if(T$5&lt;$L28,0,IF(AND(T$5&lt;&gt;1,MOD(T$5-1-$L28+1,$M28)),0,$K28*index(T$53:T$92,match($Q28,$B$53:$B$92,0)))),if(T$5=$L28,$K28,if($N28="% change",if(T$5&lt;$M28,0,offset(S28,,-1*$M28+1))*if(AND(T$5&lt;&gt;1,MOD(T$5-1-$L28+1,$O28)),1,(1+$P28)),if(and($N28="# change",T$5&gt;=$L28),if(T$5&lt;$M28,0,offset(S28,,-1*$M28+1))+if(AND(T$5&lt;&gt;1,MOD(T$5-1-$L28+1,$O28)),0,$P28),if($N28="log change",$K28*IF(T$5&lt;=$O28,1,ROUND((T$5-$L28)/$O28+1,0))^$P28,if($M28=0,0,if(T$5&lt;$M28,0,offset(S28,,-1*$M28+1)))))))),0))</f>
        <v>0</v>
      </c>
      <c r="U28" s="108">
        <f t="shared" si="15"/>
        <v>0</v>
      </c>
      <c r="V28" s="108">
        <f t="shared" si="15"/>
        <v>0</v>
      </c>
      <c r="W28" s="108">
        <f t="shared" si="15"/>
        <v>0</v>
      </c>
      <c r="X28" s="108">
        <f t="shared" si="15"/>
        <v>0</v>
      </c>
      <c r="Y28" s="108">
        <f t="shared" si="15"/>
        <v>0</v>
      </c>
      <c r="Z28" s="108">
        <f t="shared" si="15"/>
        <v>0</v>
      </c>
      <c r="AA28" s="108">
        <f t="shared" si="15"/>
        <v>0</v>
      </c>
      <c r="AB28" s="108">
        <f t="shared" si="15"/>
        <v>0</v>
      </c>
      <c r="AC28" s="108">
        <f t="shared" si="15"/>
        <v>0</v>
      </c>
      <c r="AD28" s="108">
        <f t="shared" si="15"/>
        <v>0</v>
      </c>
      <c r="AE28" s="108">
        <f t="shared" si="15"/>
        <v>0</v>
      </c>
      <c r="AF28" s="108">
        <f t="shared" si="15"/>
        <v>0</v>
      </c>
      <c r="AG28" s="108">
        <f t="shared" si="15"/>
        <v>0</v>
      </c>
      <c r="AH28" s="108">
        <f t="shared" si="15"/>
        <v>0</v>
      </c>
      <c r="AI28" s="108">
        <f t="shared" si="15"/>
        <v>0</v>
      </c>
      <c r="AJ28" s="108">
        <f t="shared" si="15"/>
        <v>0</v>
      </c>
      <c r="AK28" s="108">
        <f t="shared" si="15"/>
        <v>0</v>
      </c>
      <c r="AL28" s="108">
        <f t="shared" si="15"/>
        <v>0</v>
      </c>
      <c r="AM28" s="108">
        <f t="shared" si="15"/>
        <v>0</v>
      </c>
      <c r="AN28" s="108">
        <f t="shared" si="15"/>
        <v>0</v>
      </c>
      <c r="AO28" s="108">
        <f t="shared" si="15"/>
        <v>0</v>
      </c>
      <c r="AP28" s="108">
        <f t="shared" si="15"/>
        <v>0</v>
      </c>
      <c r="AQ28" s="108">
        <f t="shared" si="15"/>
        <v>0</v>
      </c>
      <c r="AR28" s="108">
        <f t="shared" si="15"/>
        <v>0</v>
      </c>
      <c r="AS28" s="108">
        <f t="shared" si="15"/>
        <v>0</v>
      </c>
      <c r="AT28" s="108">
        <f t="shared" si="15"/>
        <v>0</v>
      </c>
      <c r="AU28" s="108">
        <f t="shared" si="15"/>
        <v>0</v>
      </c>
      <c r="AV28" s="108">
        <f t="shared" si="15"/>
        <v>0</v>
      </c>
      <c r="AW28" s="108">
        <f t="shared" si="15"/>
        <v>0</v>
      </c>
      <c r="AX28" s="108">
        <f t="shared" si="15"/>
        <v>0</v>
      </c>
      <c r="AY28" s="108">
        <f t="shared" si="15"/>
        <v>0</v>
      </c>
      <c r="AZ28" s="108">
        <f t="shared" si="15"/>
        <v>0</v>
      </c>
      <c r="BA28" s="108">
        <f t="shared" si="15"/>
        <v>0</v>
      </c>
      <c r="BB28" s="108">
        <f t="shared" si="15"/>
        <v>0</v>
      </c>
      <c r="BC28" s="108">
        <f t="shared" si="15"/>
        <v>0</v>
      </c>
    </row>
    <row r="29">
      <c r="A29" s="1"/>
      <c r="B29" s="108" t="s">
        <v>219</v>
      </c>
      <c r="C29" s="103" t="str">
        <f>'Get Started'!$C$20</f>
        <v>$</v>
      </c>
      <c r="D29" s="104" t="s">
        <v>220</v>
      </c>
      <c r="E29" s="78"/>
      <c r="F29" s="78"/>
      <c r="G29" s="78"/>
      <c r="H29" s="79" t="s">
        <v>193</v>
      </c>
      <c r="I29" s="87">
        <f t="shared" si="3"/>
        <v>0</v>
      </c>
      <c r="J29" s="93"/>
      <c r="K29" s="104">
        <v>0.0</v>
      </c>
      <c r="L29" s="104">
        <v>0.0</v>
      </c>
      <c r="M29" s="104">
        <v>0.0</v>
      </c>
      <c r="N29" s="105" t="s">
        <v>209</v>
      </c>
      <c r="O29" s="104">
        <v>0.0</v>
      </c>
      <c r="P29" s="106">
        <v>0.0</v>
      </c>
      <c r="Q29" s="105" t="s">
        <v>209</v>
      </c>
      <c r="R29" s="109" t="b">
        <v>0</v>
      </c>
      <c r="T29" s="108">
        <f t="shared" ref="T29:BC29" si="16">if(T$5="","",iferror(if($R29=true,if((T$5-$L29)&gt;=1,(1+T$10)/(1+S$10),(1+T$10)),1) * if(or($N29="# per",$N29="% of"),if(T$5&lt;$L29,0,IF(AND(T$5&lt;&gt;1,MOD(T$5-1-$L29+1,$M29)),0,$K29*index(T$53:T$92,match($Q29,$B$53:$B$92,0)))),if(T$5=$L29,$K29,if($N29="% change",if(T$5&lt;$M29,0,offset(S29,,-1*$M29+1))*if(AND(T$5&lt;&gt;1,MOD(T$5-1-$L29+1,$O29)),1,(1+$P29)),if(and($N29="# change",T$5&gt;=$L29),if(T$5&lt;$M29,0,offset(S29,,-1*$M29+1))+if(AND(T$5&lt;&gt;1,MOD(T$5-1-$L29+1,$O29)),0,$P29),if($N29="log change",$K29*IF(T$5&lt;=$O29,1,ROUND((T$5-$L29)/$O29+1,0))^$P29,if($M29=0,0,if(T$5&lt;$M29,0,offset(S29,,-1*$M29+1)))))))),0))</f>
        <v>0</v>
      </c>
      <c r="U29" s="108">
        <f t="shared" si="16"/>
        <v>0</v>
      </c>
      <c r="V29" s="108">
        <f t="shared" si="16"/>
        <v>0</v>
      </c>
      <c r="W29" s="108">
        <f t="shared" si="16"/>
        <v>0</v>
      </c>
      <c r="X29" s="108">
        <f t="shared" si="16"/>
        <v>0</v>
      </c>
      <c r="Y29" s="108">
        <f t="shared" si="16"/>
        <v>0</v>
      </c>
      <c r="Z29" s="108">
        <f t="shared" si="16"/>
        <v>0</v>
      </c>
      <c r="AA29" s="108">
        <f t="shared" si="16"/>
        <v>0</v>
      </c>
      <c r="AB29" s="108">
        <f t="shared" si="16"/>
        <v>0</v>
      </c>
      <c r="AC29" s="108">
        <f t="shared" si="16"/>
        <v>0</v>
      </c>
      <c r="AD29" s="108">
        <f t="shared" si="16"/>
        <v>0</v>
      </c>
      <c r="AE29" s="108">
        <f t="shared" si="16"/>
        <v>0</v>
      </c>
      <c r="AF29" s="108">
        <f t="shared" si="16"/>
        <v>0</v>
      </c>
      <c r="AG29" s="108">
        <f t="shared" si="16"/>
        <v>0</v>
      </c>
      <c r="AH29" s="108">
        <f t="shared" si="16"/>
        <v>0</v>
      </c>
      <c r="AI29" s="108">
        <f t="shared" si="16"/>
        <v>0</v>
      </c>
      <c r="AJ29" s="108">
        <f t="shared" si="16"/>
        <v>0</v>
      </c>
      <c r="AK29" s="108">
        <f t="shared" si="16"/>
        <v>0</v>
      </c>
      <c r="AL29" s="108">
        <f t="shared" si="16"/>
        <v>0</v>
      </c>
      <c r="AM29" s="108">
        <f t="shared" si="16"/>
        <v>0</v>
      </c>
      <c r="AN29" s="108">
        <f t="shared" si="16"/>
        <v>0</v>
      </c>
      <c r="AO29" s="108">
        <f t="shared" si="16"/>
        <v>0</v>
      </c>
      <c r="AP29" s="108">
        <f t="shared" si="16"/>
        <v>0</v>
      </c>
      <c r="AQ29" s="108">
        <f t="shared" si="16"/>
        <v>0</v>
      </c>
      <c r="AR29" s="108">
        <f t="shared" si="16"/>
        <v>0</v>
      </c>
      <c r="AS29" s="108">
        <f t="shared" si="16"/>
        <v>0</v>
      </c>
      <c r="AT29" s="108">
        <f t="shared" si="16"/>
        <v>0</v>
      </c>
      <c r="AU29" s="108">
        <f t="shared" si="16"/>
        <v>0</v>
      </c>
      <c r="AV29" s="108">
        <f t="shared" si="16"/>
        <v>0</v>
      </c>
      <c r="AW29" s="108">
        <f t="shared" si="16"/>
        <v>0</v>
      </c>
      <c r="AX29" s="108">
        <f t="shared" si="16"/>
        <v>0</v>
      </c>
      <c r="AY29" s="108">
        <f t="shared" si="16"/>
        <v>0</v>
      </c>
      <c r="AZ29" s="108">
        <f t="shared" si="16"/>
        <v>0</v>
      </c>
      <c r="BA29" s="108">
        <f t="shared" si="16"/>
        <v>0</v>
      </c>
      <c r="BB29" s="108">
        <f t="shared" si="16"/>
        <v>0</v>
      </c>
      <c r="BC29" s="108">
        <f t="shared" si="16"/>
        <v>0</v>
      </c>
    </row>
    <row r="30">
      <c r="A30" s="1"/>
      <c r="B30" s="108" t="s">
        <v>219</v>
      </c>
      <c r="C30" s="103" t="str">
        <f>'Get Started'!$C$20</f>
        <v>$</v>
      </c>
      <c r="D30" s="104" t="s">
        <v>220</v>
      </c>
      <c r="E30" s="78"/>
      <c r="F30" s="78"/>
      <c r="G30" s="78"/>
      <c r="H30" s="79" t="s">
        <v>193</v>
      </c>
      <c r="I30" s="87">
        <f t="shared" si="3"/>
        <v>0</v>
      </c>
      <c r="J30" s="93"/>
      <c r="K30" s="104">
        <v>0.0</v>
      </c>
      <c r="L30" s="104">
        <v>0.0</v>
      </c>
      <c r="M30" s="104">
        <v>0.0</v>
      </c>
      <c r="N30" s="105" t="s">
        <v>209</v>
      </c>
      <c r="O30" s="104">
        <v>0.0</v>
      </c>
      <c r="P30" s="106">
        <v>0.0</v>
      </c>
      <c r="Q30" s="105" t="s">
        <v>209</v>
      </c>
      <c r="R30" s="109" t="b">
        <v>0</v>
      </c>
      <c r="T30" s="108">
        <f t="shared" ref="T30:BC30" si="17">if(T$5="","",iferror(if($R30=true,if((T$5-$L30)&gt;=1,(1+T$10)/(1+S$10),(1+T$10)),1) * if(or($N30="# per",$N30="% of"),if(T$5&lt;$L30,0,IF(AND(T$5&lt;&gt;1,MOD(T$5-1-$L30+1,$M30)),0,$K30*index(T$53:T$92,match($Q30,$B$53:$B$92,0)))),if(T$5=$L30,$K30,if($N30="% change",if(T$5&lt;$M30,0,offset(S30,,-1*$M30+1))*if(AND(T$5&lt;&gt;1,MOD(T$5-1-$L30+1,$O30)),1,(1+$P30)),if(and($N30="# change",T$5&gt;=$L30),if(T$5&lt;$M30,0,offset(S30,,-1*$M30+1))+if(AND(T$5&lt;&gt;1,MOD(T$5-1-$L30+1,$O30)),0,$P30),if($N30="log change",$K30*IF(T$5&lt;=$O30,1,ROUND((T$5-$L30)/$O30+1,0))^$P30,if($M30=0,0,if(T$5&lt;$M30,0,offset(S30,,-1*$M30+1)))))))),0))</f>
        <v>0</v>
      </c>
      <c r="U30" s="108">
        <f t="shared" si="17"/>
        <v>0</v>
      </c>
      <c r="V30" s="108">
        <f t="shared" si="17"/>
        <v>0</v>
      </c>
      <c r="W30" s="108">
        <f t="shared" si="17"/>
        <v>0</v>
      </c>
      <c r="X30" s="108">
        <f t="shared" si="17"/>
        <v>0</v>
      </c>
      <c r="Y30" s="108">
        <f t="shared" si="17"/>
        <v>0</v>
      </c>
      <c r="Z30" s="108">
        <f t="shared" si="17"/>
        <v>0</v>
      </c>
      <c r="AA30" s="108">
        <f t="shared" si="17"/>
        <v>0</v>
      </c>
      <c r="AB30" s="108">
        <f t="shared" si="17"/>
        <v>0</v>
      </c>
      <c r="AC30" s="108">
        <f t="shared" si="17"/>
        <v>0</v>
      </c>
      <c r="AD30" s="108">
        <f t="shared" si="17"/>
        <v>0</v>
      </c>
      <c r="AE30" s="108">
        <f t="shared" si="17"/>
        <v>0</v>
      </c>
      <c r="AF30" s="108">
        <f t="shared" si="17"/>
        <v>0</v>
      </c>
      <c r="AG30" s="108">
        <f t="shared" si="17"/>
        <v>0</v>
      </c>
      <c r="AH30" s="108">
        <f t="shared" si="17"/>
        <v>0</v>
      </c>
      <c r="AI30" s="108">
        <f t="shared" si="17"/>
        <v>0</v>
      </c>
      <c r="AJ30" s="108">
        <f t="shared" si="17"/>
        <v>0</v>
      </c>
      <c r="AK30" s="108">
        <f t="shared" si="17"/>
        <v>0</v>
      </c>
      <c r="AL30" s="108">
        <f t="shared" si="17"/>
        <v>0</v>
      </c>
      <c r="AM30" s="108">
        <f t="shared" si="17"/>
        <v>0</v>
      </c>
      <c r="AN30" s="108">
        <f t="shared" si="17"/>
        <v>0</v>
      </c>
      <c r="AO30" s="108">
        <f t="shared" si="17"/>
        <v>0</v>
      </c>
      <c r="AP30" s="108">
        <f t="shared" si="17"/>
        <v>0</v>
      </c>
      <c r="AQ30" s="108">
        <f t="shared" si="17"/>
        <v>0</v>
      </c>
      <c r="AR30" s="108">
        <f t="shared" si="17"/>
        <v>0</v>
      </c>
      <c r="AS30" s="108">
        <f t="shared" si="17"/>
        <v>0</v>
      </c>
      <c r="AT30" s="108">
        <f t="shared" si="17"/>
        <v>0</v>
      </c>
      <c r="AU30" s="108">
        <f t="shared" si="17"/>
        <v>0</v>
      </c>
      <c r="AV30" s="108">
        <f t="shared" si="17"/>
        <v>0</v>
      </c>
      <c r="AW30" s="108">
        <f t="shared" si="17"/>
        <v>0</v>
      </c>
      <c r="AX30" s="108">
        <f t="shared" si="17"/>
        <v>0</v>
      </c>
      <c r="AY30" s="108">
        <f t="shared" si="17"/>
        <v>0</v>
      </c>
      <c r="AZ30" s="108">
        <f t="shared" si="17"/>
        <v>0</v>
      </c>
      <c r="BA30" s="108">
        <f t="shared" si="17"/>
        <v>0</v>
      </c>
      <c r="BB30" s="108">
        <f t="shared" si="17"/>
        <v>0</v>
      </c>
      <c r="BC30" s="108">
        <f t="shared" si="17"/>
        <v>0</v>
      </c>
    </row>
    <row r="31">
      <c r="A31" s="1"/>
      <c r="B31" s="108" t="s">
        <v>219</v>
      </c>
      <c r="C31" s="103" t="str">
        <f>'Get Started'!$C$20</f>
        <v>$</v>
      </c>
      <c r="D31" s="104" t="s">
        <v>220</v>
      </c>
      <c r="E31" s="78"/>
      <c r="F31" s="78"/>
      <c r="G31" s="78"/>
      <c r="H31" s="79" t="s">
        <v>193</v>
      </c>
      <c r="I31" s="87">
        <f t="shared" si="3"/>
        <v>0</v>
      </c>
      <c r="J31" s="93"/>
      <c r="K31" s="104">
        <v>0.0</v>
      </c>
      <c r="L31" s="104">
        <v>0.0</v>
      </c>
      <c r="M31" s="104">
        <v>0.0</v>
      </c>
      <c r="N31" s="105" t="s">
        <v>209</v>
      </c>
      <c r="O31" s="104">
        <v>0.0</v>
      </c>
      <c r="P31" s="106">
        <v>0.0</v>
      </c>
      <c r="Q31" s="105" t="s">
        <v>209</v>
      </c>
      <c r="R31" s="109" t="b">
        <v>0</v>
      </c>
      <c r="T31" s="108">
        <f t="shared" ref="T31:BC31" si="18">if(T$5="","",iferror(if($R31=true,if((T$5-$L31)&gt;=1,(1+T$10)/(1+S$10),(1+T$10)),1) * if(or($N31="# per",$N31="% of"),if(T$5&lt;$L31,0,IF(AND(T$5&lt;&gt;1,MOD(T$5-1-$L31+1,$M31)),0,$K31*index(T$53:T$92,match($Q31,$B$53:$B$92,0)))),if(T$5=$L31,$K31,if($N31="% change",if(T$5&lt;$M31,0,offset(S31,,-1*$M31+1))*if(AND(T$5&lt;&gt;1,MOD(T$5-1-$L31+1,$O31)),1,(1+$P31)),if(and($N31="# change",T$5&gt;=$L31),if(T$5&lt;$M31,0,offset(S31,,-1*$M31+1))+if(AND(T$5&lt;&gt;1,MOD(T$5-1-$L31+1,$O31)),0,$P31),if($N31="log change",$K31*IF(T$5&lt;=$O31,1,ROUND((T$5-$L31)/$O31+1,0))^$P31,if($M31=0,0,if(T$5&lt;$M31,0,offset(S31,,-1*$M31+1)))))))),0))</f>
        <v>0</v>
      </c>
      <c r="U31" s="108">
        <f t="shared" si="18"/>
        <v>0</v>
      </c>
      <c r="V31" s="108">
        <f t="shared" si="18"/>
        <v>0</v>
      </c>
      <c r="W31" s="108">
        <f t="shared" si="18"/>
        <v>0</v>
      </c>
      <c r="X31" s="108">
        <f t="shared" si="18"/>
        <v>0</v>
      </c>
      <c r="Y31" s="108">
        <f t="shared" si="18"/>
        <v>0</v>
      </c>
      <c r="Z31" s="108">
        <f t="shared" si="18"/>
        <v>0</v>
      </c>
      <c r="AA31" s="108">
        <f t="shared" si="18"/>
        <v>0</v>
      </c>
      <c r="AB31" s="108">
        <f t="shared" si="18"/>
        <v>0</v>
      </c>
      <c r="AC31" s="108">
        <f t="shared" si="18"/>
        <v>0</v>
      </c>
      <c r="AD31" s="108">
        <f t="shared" si="18"/>
        <v>0</v>
      </c>
      <c r="AE31" s="108">
        <f t="shared" si="18"/>
        <v>0</v>
      </c>
      <c r="AF31" s="108">
        <f t="shared" si="18"/>
        <v>0</v>
      </c>
      <c r="AG31" s="108">
        <f t="shared" si="18"/>
        <v>0</v>
      </c>
      <c r="AH31" s="108">
        <f t="shared" si="18"/>
        <v>0</v>
      </c>
      <c r="AI31" s="108">
        <f t="shared" si="18"/>
        <v>0</v>
      </c>
      <c r="AJ31" s="108">
        <f t="shared" si="18"/>
        <v>0</v>
      </c>
      <c r="AK31" s="108">
        <f t="shared" si="18"/>
        <v>0</v>
      </c>
      <c r="AL31" s="108">
        <f t="shared" si="18"/>
        <v>0</v>
      </c>
      <c r="AM31" s="108">
        <f t="shared" si="18"/>
        <v>0</v>
      </c>
      <c r="AN31" s="108">
        <f t="shared" si="18"/>
        <v>0</v>
      </c>
      <c r="AO31" s="108">
        <f t="shared" si="18"/>
        <v>0</v>
      </c>
      <c r="AP31" s="108">
        <f t="shared" si="18"/>
        <v>0</v>
      </c>
      <c r="AQ31" s="108">
        <f t="shared" si="18"/>
        <v>0</v>
      </c>
      <c r="AR31" s="108">
        <f t="shared" si="18"/>
        <v>0</v>
      </c>
      <c r="AS31" s="108">
        <f t="shared" si="18"/>
        <v>0</v>
      </c>
      <c r="AT31" s="108">
        <f t="shared" si="18"/>
        <v>0</v>
      </c>
      <c r="AU31" s="108">
        <f t="shared" si="18"/>
        <v>0</v>
      </c>
      <c r="AV31" s="108">
        <f t="shared" si="18"/>
        <v>0</v>
      </c>
      <c r="AW31" s="108">
        <f t="shared" si="18"/>
        <v>0</v>
      </c>
      <c r="AX31" s="108">
        <f t="shared" si="18"/>
        <v>0</v>
      </c>
      <c r="AY31" s="108">
        <f t="shared" si="18"/>
        <v>0</v>
      </c>
      <c r="AZ31" s="108">
        <f t="shared" si="18"/>
        <v>0</v>
      </c>
      <c r="BA31" s="108">
        <f t="shared" si="18"/>
        <v>0</v>
      </c>
      <c r="BB31" s="108">
        <f t="shared" si="18"/>
        <v>0</v>
      </c>
      <c r="BC31" s="108">
        <f t="shared" si="18"/>
        <v>0</v>
      </c>
    </row>
    <row r="32">
      <c r="A32" s="1"/>
      <c r="B32" s="108" t="s">
        <v>219</v>
      </c>
      <c r="C32" s="103" t="str">
        <f>'Get Started'!$C$20</f>
        <v>$</v>
      </c>
      <c r="D32" s="104" t="s">
        <v>220</v>
      </c>
      <c r="E32" s="78"/>
      <c r="F32" s="78"/>
      <c r="G32" s="78"/>
      <c r="H32" s="79" t="s">
        <v>193</v>
      </c>
      <c r="I32" s="87">
        <f t="shared" si="3"/>
        <v>0</v>
      </c>
      <c r="J32" s="93"/>
      <c r="K32" s="104">
        <v>0.0</v>
      </c>
      <c r="L32" s="104">
        <v>0.0</v>
      </c>
      <c r="M32" s="104">
        <v>0.0</v>
      </c>
      <c r="N32" s="105" t="s">
        <v>209</v>
      </c>
      <c r="O32" s="104">
        <v>0.0</v>
      </c>
      <c r="P32" s="106">
        <v>0.0</v>
      </c>
      <c r="Q32" s="105" t="s">
        <v>209</v>
      </c>
      <c r="R32" s="109" t="b">
        <v>0</v>
      </c>
      <c r="T32" s="108">
        <f t="shared" ref="T32:BC32" si="19">if(T$5="","",iferror(if($R32=true,if((T$5-$L32)&gt;=1,(1+T$10)/(1+S$10),(1+T$10)),1) * if(or($N32="# per",$N32="% of"),if(T$5&lt;$L32,0,IF(AND(T$5&lt;&gt;1,MOD(T$5-1-$L32+1,$M32)),0,$K32*index(T$53:T$92,match($Q32,$B$53:$B$92,0)))),if(T$5=$L32,$K32,if($N32="% change",if(T$5&lt;$M32,0,offset(S32,,-1*$M32+1))*if(AND(T$5&lt;&gt;1,MOD(T$5-1-$L32+1,$O32)),1,(1+$P32)),if(and($N32="# change",T$5&gt;=$L32),if(T$5&lt;$M32,0,offset(S32,,-1*$M32+1))+if(AND(T$5&lt;&gt;1,MOD(T$5-1-$L32+1,$O32)),0,$P32),if($N32="log change",$K32*IF(T$5&lt;=$O32,1,ROUND((T$5-$L32)/$O32+1,0))^$P32,if($M32=0,0,if(T$5&lt;$M32,0,offset(S32,,-1*$M32+1)))))))),0))</f>
        <v>0</v>
      </c>
      <c r="U32" s="108">
        <f t="shared" si="19"/>
        <v>0</v>
      </c>
      <c r="V32" s="108">
        <f t="shared" si="19"/>
        <v>0</v>
      </c>
      <c r="W32" s="108">
        <f t="shared" si="19"/>
        <v>0</v>
      </c>
      <c r="X32" s="108">
        <f t="shared" si="19"/>
        <v>0</v>
      </c>
      <c r="Y32" s="108">
        <f t="shared" si="19"/>
        <v>0</v>
      </c>
      <c r="Z32" s="108">
        <f t="shared" si="19"/>
        <v>0</v>
      </c>
      <c r="AA32" s="108">
        <f t="shared" si="19"/>
        <v>0</v>
      </c>
      <c r="AB32" s="108">
        <f t="shared" si="19"/>
        <v>0</v>
      </c>
      <c r="AC32" s="108">
        <f t="shared" si="19"/>
        <v>0</v>
      </c>
      <c r="AD32" s="108">
        <f t="shared" si="19"/>
        <v>0</v>
      </c>
      <c r="AE32" s="108">
        <f t="shared" si="19"/>
        <v>0</v>
      </c>
      <c r="AF32" s="108">
        <f t="shared" si="19"/>
        <v>0</v>
      </c>
      <c r="AG32" s="108">
        <f t="shared" si="19"/>
        <v>0</v>
      </c>
      <c r="AH32" s="108">
        <f t="shared" si="19"/>
        <v>0</v>
      </c>
      <c r="AI32" s="108">
        <f t="shared" si="19"/>
        <v>0</v>
      </c>
      <c r="AJ32" s="108">
        <f t="shared" si="19"/>
        <v>0</v>
      </c>
      <c r="AK32" s="108">
        <f t="shared" si="19"/>
        <v>0</v>
      </c>
      <c r="AL32" s="108">
        <f t="shared" si="19"/>
        <v>0</v>
      </c>
      <c r="AM32" s="108">
        <f t="shared" si="19"/>
        <v>0</v>
      </c>
      <c r="AN32" s="108">
        <f t="shared" si="19"/>
        <v>0</v>
      </c>
      <c r="AO32" s="108">
        <f t="shared" si="19"/>
        <v>0</v>
      </c>
      <c r="AP32" s="108">
        <f t="shared" si="19"/>
        <v>0</v>
      </c>
      <c r="AQ32" s="108">
        <f t="shared" si="19"/>
        <v>0</v>
      </c>
      <c r="AR32" s="108">
        <f t="shared" si="19"/>
        <v>0</v>
      </c>
      <c r="AS32" s="108">
        <f t="shared" si="19"/>
        <v>0</v>
      </c>
      <c r="AT32" s="108">
        <f t="shared" si="19"/>
        <v>0</v>
      </c>
      <c r="AU32" s="108">
        <f t="shared" si="19"/>
        <v>0</v>
      </c>
      <c r="AV32" s="108">
        <f t="shared" si="19"/>
        <v>0</v>
      </c>
      <c r="AW32" s="108">
        <f t="shared" si="19"/>
        <v>0</v>
      </c>
      <c r="AX32" s="108">
        <f t="shared" si="19"/>
        <v>0</v>
      </c>
      <c r="AY32" s="108">
        <f t="shared" si="19"/>
        <v>0</v>
      </c>
      <c r="AZ32" s="108">
        <f t="shared" si="19"/>
        <v>0</v>
      </c>
      <c r="BA32" s="108">
        <f t="shared" si="19"/>
        <v>0</v>
      </c>
      <c r="BB32" s="108">
        <f t="shared" si="19"/>
        <v>0</v>
      </c>
      <c r="BC32" s="108">
        <f t="shared" si="19"/>
        <v>0</v>
      </c>
    </row>
    <row r="33">
      <c r="A33" s="1"/>
      <c r="B33" s="108" t="s">
        <v>219</v>
      </c>
      <c r="C33" s="103" t="str">
        <f>'Get Started'!$C$20</f>
        <v>$</v>
      </c>
      <c r="D33" s="104" t="s">
        <v>220</v>
      </c>
      <c r="E33" s="78"/>
      <c r="F33" s="78"/>
      <c r="G33" s="78"/>
      <c r="H33" s="79" t="s">
        <v>193</v>
      </c>
      <c r="I33" s="87">
        <f t="shared" si="3"/>
        <v>0</v>
      </c>
      <c r="J33" s="93"/>
      <c r="K33" s="104">
        <v>0.0</v>
      </c>
      <c r="L33" s="104">
        <v>0.0</v>
      </c>
      <c r="M33" s="104">
        <v>0.0</v>
      </c>
      <c r="N33" s="105" t="s">
        <v>209</v>
      </c>
      <c r="O33" s="104">
        <v>0.0</v>
      </c>
      <c r="P33" s="106">
        <v>0.0</v>
      </c>
      <c r="Q33" s="105" t="s">
        <v>209</v>
      </c>
      <c r="R33" s="109" t="b">
        <v>0</v>
      </c>
      <c r="T33" s="108">
        <f t="shared" ref="T33:BC33" si="20">if(T$5="","",iferror(if($R33=true,if((T$5-$L33)&gt;=1,(1+T$10)/(1+S$10),(1+T$10)),1) * if(or($N33="# per",$N33="% of"),if(T$5&lt;$L33,0,IF(AND(T$5&lt;&gt;1,MOD(T$5-1-$L33+1,$M33)),0,$K33*index(T$53:T$92,match($Q33,$B$53:$B$92,0)))),if(T$5=$L33,$K33,if($N33="% change",if(T$5&lt;$M33,0,offset(S33,,-1*$M33+1))*if(AND(T$5&lt;&gt;1,MOD(T$5-1-$L33+1,$O33)),1,(1+$P33)),if(and($N33="# change",T$5&gt;=$L33),if(T$5&lt;$M33,0,offset(S33,,-1*$M33+1))+if(AND(T$5&lt;&gt;1,MOD(T$5-1-$L33+1,$O33)),0,$P33),if($N33="log change",$K33*IF(T$5&lt;=$O33,1,ROUND((T$5-$L33)/$O33+1,0))^$P33,if($M33=0,0,if(T$5&lt;$M33,0,offset(S33,,-1*$M33+1)))))))),0))</f>
        <v>0</v>
      </c>
      <c r="U33" s="108">
        <f t="shared" si="20"/>
        <v>0</v>
      </c>
      <c r="V33" s="108">
        <f t="shared" si="20"/>
        <v>0</v>
      </c>
      <c r="W33" s="108">
        <f t="shared" si="20"/>
        <v>0</v>
      </c>
      <c r="X33" s="108">
        <f t="shared" si="20"/>
        <v>0</v>
      </c>
      <c r="Y33" s="108">
        <f t="shared" si="20"/>
        <v>0</v>
      </c>
      <c r="Z33" s="108">
        <f t="shared" si="20"/>
        <v>0</v>
      </c>
      <c r="AA33" s="108">
        <f t="shared" si="20"/>
        <v>0</v>
      </c>
      <c r="AB33" s="108">
        <f t="shared" si="20"/>
        <v>0</v>
      </c>
      <c r="AC33" s="108">
        <f t="shared" si="20"/>
        <v>0</v>
      </c>
      <c r="AD33" s="108">
        <f t="shared" si="20"/>
        <v>0</v>
      </c>
      <c r="AE33" s="108">
        <f t="shared" si="20"/>
        <v>0</v>
      </c>
      <c r="AF33" s="108">
        <f t="shared" si="20"/>
        <v>0</v>
      </c>
      <c r="AG33" s="108">
        <f t="shared" si="20"/>
        <v>0</v>
      </c>
      <c r="AH33" s="108">
        <f t="shared" si="20"/>
        <v>0</v>
      </c>
      <c r="AI33" s="108">
        <f t="shared" si="20"/>
        <v>0</v>
      </c>
      <c r="AJ33" s="108">
        <f t="shared" si="20"/>
        <v>0</v>
      </c>
      <c r="AK33" s="108">
        <f t="shared" si="20"/>
        <v>0</v>
      </c>
      <c r="AL33" s="108">
        <f t="shared" si="20"/>
        <v>0</v>
      </c>
      <c r="AM33" s="108">
        <f t="shared" si="20"/>
        <v>0</v>
      </c>
      <c r="AN33" s="108">
        <f t="shared" si="20"/>
        <v>0</v>
      </c>
      <c r="AO33" s="108">
        <f t="shared" si="20"/>
        <v>0</v>
      </c>
      <c r="AP33" s="108">
        <f t="shared" si="20"/>
        <v>0</v>
      </c>
      <c r="AQ33" s="108">
        <f t="shared" si="20"/>
        <v>0</v>
      </c>
      <c r="AR33" s="108">
        <f t="shared" si="20"/>
        <v>0</v>
      </c>
      <c r="AS33" s="108">
        <f t="shared" si="20"/>
        <v>0</v>
      </c>
      <c r="AT33" s="108">
        <f t="shared" si="20"/>
        <v>0</v>
      </c>
      <c r="AU33" s="108">
        <f t="shared" si="20"/>
        <v>0</v>
      </c>
      <c r="AV33" s="108">
        <f t="shared" si="20"/>
        <v>0</v>
      </c>
      <c r="AW33" s="108">
        <f t="shared" si="20"/>
        <v>0</v>
      </c>
      <c r="AX33" s="108">
        <f t="shared" si="20"/>
        <v>0</v>
      </c>
      <c r="AY33" s="108">
        <f t="shared" si="20"/>
        <v>0</v>
      </c>
      <c r="AZ33" s="108">
        <f t="shared" si="20"/>
        <v>0</v>
      </c>
      <c r="BA33" s="108">
        <f t="shared" si="20"/>
        <v>0</v>
      </c>
      <c r="BB33" s="108">
        <f t="shared" si="20"/>
        <v>0</v>
      </c>
      <c r="BC33" s="108">
        <f t="shared" si="20"/>
        <v>0</v>
      </c>
    </row>
    <row r="34">
      <c r="A34" s="1"/>
      <c r="B34" s="108" t="s">
        <v>219</v>
      </c>
      <c r="C34" s="103" t="str">
        <f>'Get Started'!$C$20</f>
        <v>$</v>
      </c>
      <c r="D34" s="104" t="s">
        <v>220</v>
      </c>
      <c r="E34" s="78"/>
      <c r="F34" s="78"/>
      <c r="G34" s="78"/>
      <c r="H34" s="79" t="s">
        <v>193</v>
      </c>
      <c r="I34" s="87">
        <f t="shared" si="3"/>
        <v>0</v>
      </c>
      <c r="J34" s="93"/>
      <c r="K34" s="104">
        <v>0.0</v>
      </c>
      <c r="L34" s="104">
        <v>0.0</v>
      </c>
      <c r="M34" s="104">
        <v>0.0</v>
      </c>
      <c r="N34" s="105" t="s">
        <v>209</v>
      </c>
      <c r="O34" s="104">
        <v>0.0</v>
      </c>
      <c r="P34" s="106">
        <v>0.0</v>
      </c>
      <c r="Q34" s="105" t="s">
        <v>209</v>
      </c>
      <c r="R34" s="109" t="b">
        <v>0</v>
      </c>
      <c r="T34" s="108">
        <f t="shared" ref="T34:BC34" si="21">if(T$5="","",iferror(if($R34=true,if((T$5-$L34)&gt;=1,(1+T$10)/(1+S$10),(1+T$10)),1) * if(or($N34="# per",$N34="% of"),if(T$5&lt;$L34,0,IF(AND(T$5&lt;&gt;1,MOD(T$5-1-$L34+1,$M34)),0,$K34*index(T$53:T$92,match($Q34,$B$53:$B$92,0)))),if(T$5=$L34,$K34,if($N34="% change",if(T$5&lt;$M34,0,offset(S34,,-1*$M34+1))*if(AND(T$5&lt;&gt;1,MOD(T$5-1-$L34+1,$O34)),1,(1+$P34)),if(and($N34="# change",T$5&gt;=$L34),if(T$5&lt;$M34,0,offset(S34,,-1*$M34+1))+if(AND(T$5&lt;&gt;1,MOD(T$5-1-$L34+1,$O34)),0,$P34),if($N34="log change",$K34*IF(T$5&lt;=$O34,1,ROUND((T$5-$L34)/$O34+1,0))^$P34,if($M34=0,0,if(T$5&lt;$M34,0,offset(S34,,-1*$M34+1)))))))),0))</f>
        <v>0</v>
      </c>
      <c r="U34" s="108">
        <f t="shared" si="21"/>
        <v>0</v>
      </c>
      <c r="V34" s="108">
        <f t="shared" si="21"/>
        <v>0</v>
      </c>
      <c r="W34" s="108">
        <f t="shared" si="21"/>
        <v>0</v>
      </c>
      <c r="X34" s="108">
        <f t="shared" si="21"/>
        <v>0</v>
      </c>
      <c r="Y34" s="108">
        <f t="shared" si="21"/>
        <v>0</v>
      </c>
      <c r="Z34" s="108">
        <f t="shared" si="21"/>
        <v>0</v>
      </c>
      <c r="AA34" s="108">
        <f t="shared" si="21"/>
        <v>0</v>
      </c>
      <c r="AB34" s="108">
        <f t="shared" si="21"/>
        <v>0</v>
      </c>
      <c r="AC34" s="108">
        <f t="shared" si="21"/>
        <v>0</v>
      </c>
      <c r="AD34" s="108">
        <f t="shared" si="21"/>
        <v>0</v>
      </c>
      <c r="AE34" s="108">
        <f t="shared" si="21"/>
        <v>0</v>
      </c>
      <c r="AF34" s="108">
        <f t="shared" si="21"/>
        <v>0</v>
      </c>
      <c r="AG34" s="108">
        <f t="shared" si="21"/>
        <v>0</v>
      </c>
      <c r="AH34" s="108">
        <f t="shared" si="21"/>
        <v>0</v>
      </c>
      <c r="AI34" s="108">
        <f t="shared" si="21"/>
        <v>0</v>
      </c>
      <c r="AJ34" s="108">
        <f t="shared" si="21"/>
        <v>0</v>
      </c>
      <c r="AK34" s="108">
        <f t="shared" si="21"/>
        <v>0</v>
      </c>
      <c r="AL34" s="108">
        <f t="shared" si="21"/>
        <v>0</v>
      </c>
      <c r="AM34" s="108">
        <f t="shared" si="21"/>
        <v>0</v>
      </c>
      <c r="AN34" s="108">
        <f t="shared" si="21"/>
        <v>0</v>
      </c>
      <c r="AO34" s="108">
        <f t="shared" si="21"/>
        <v>0</v>
      </c>
      <c r="AP34" s="108">
        <f t="shared" si="21"/>
        <v>0</v>
      </c>
      <c r="AQ34" s="108">
        <f t="shared" si="21"/>
        <v>0</v>
      </c>
      <c r="AR34" s="108">
        <f t="shared" si="21"/>
        <v>0</v>
      </c>
      <c r="AS34" s="108">
        <f t="shared" si="21"/>
        <v>0</v>
      </c>
      <c r="AT34" s="108">
        <f t="shared" si="21"/>
        <v>0</v>
      </c>
      <c r="AU34" s="108">
        <f t="shared" si="21"/>
        <v>0</v>
      </c>
      <c r="AV34" s="108">
        <f t="shared" si="21"/>
        <v>0</v>
      </c>
      <c r="AW34" s="108">
        <f t="shared" si="21"/>
        <v>0</v>
      </c>
      <c r="AX34" s="108">
        <f t="shared" si="21"/>
        <v>0</v>
      </c>
      <c r="AY34" s="108">
        <f t="shared" si="21"/>
        <v>0</v>
      </c>
      <c r="AZ34" s="108">
        <f t="shared" si="21"/>
        <v>0</v>
      </c>
      <c r="BA34" s="108">
        <f t="shared" si="21"/>
        <v>0</v>
      </c>
      <c r="BB34" s="108">
        <f t="shared" si="21"/>
        <v>0</v>
      </c>
      <c r="BC34" s="108">
        <f t="shared" si="21"/>
        <v>0</v>
      </c>
    </row>
    <row r="35">
      <c r="A35" s="1"/>
      <c r="B35" s="108" t="s">
        <v>219</v>
      </c>
      <c r="C35" s="103" t="str">
        <f>'Get Started'!$C$20</f>
        <v>$</v>
      </c>
      <c r="D35" s="104" t="s">
        <v>220</v>
      </c>
      <c r="E35" s="78"/>
      <c r="F35" s="78"/>
      <c r="G35" s="78"/>
      <c r="H35" s="79" t="s">
        <v>193</v>
      </c>
      <c r="I35" s="87">
        <f t="shared" si="3"/>
        <v>0</v>
      </c>
      <c r="J35" s="93"/>
      <c r="K35" s="104">
        <v>0.0</v>
      </c>
      <c r="L35" s="104">
        <v>0.0</v>
      </c>
      <c r="M35" s="104">
        <v>0.0</v>
      </c>
      <c r="N35" s="105" t="s">
        <v>209</v>
      </c>
      <c r="O35" s="104">
        <v>0.0</v>
      </c>
      <c r="P35" s="106">
        <v>0.0</v>
      </c>
      <c r="Q35" s="105" t="s">
        <v>209</v>
      </c>
      <c r="R35" s="109" t="b">
        <v>0</v>
      </c>
      <c r="T35" s="108">
        <f t="shared" ref="T35:BC35" si="22">if(T$5="","",iferror(if($R35=true,if((T$5-$L35)&gt;=1,(1+T$10)/(1+S$10),(1+T$10)),1) * if(or($N35="# per",$N35="% of"),if(T$5&lt;$L35,0,IF(AND(T$5&lt;&gt;1,MOD(T$5-1-$L35+1,$M35)),0,$K35*index(T$53:T$92,match($Q35,$B$53:$B$92,0)))),if(T$5=$L35,$K35,if($N35="% change",if(T$5&lt;$M35,0,offset(S35,,-1*$M35+1))*if(AND(T$5&lt;&gt;1,MOD(T$5-1-$L35+1,$O35)),1,(1+$P35)),if(and($N35="# change",T$5&gt;=$L35),if(T$5&lt;$M35,0,offset(S35,,-1*$M35+1))+if(AND(T$5&lt;&gt;1,MOD(T$5-1-$L35+1,$O35)),0,$P35),if($N35="log change",$K35*IF(T$5&lt;=$O35,1,ROUND((T$5-$L35)/$O35+1,0))^$P35,if($M35=0,0,if(T$5&lt;$M35,0,offset(S35,,-1*$M35+1)))))))),0))</f>
        <v>0</v>
      </c>
      <c r="U35" s="108">
        <f t="shared" si="22"/>
        <v>0</v>
      </c>
      <c r="V35" s="108">
        <f t="shared" si="22"/>
        <v>0</v>
      </c>
      <c r="W35" s="108">
        <f t="shared" si="22"/>
        <v>0</v>
      </c>
      <c r="X35" s="108">
        <f t="shared" si="22"/>
        <v>0</v>
      </c>
      <c r="Y35" s="108">
        <f t="shared" si="22"/>
        <v>0</v>
      </c>
      <c r="Z35" s="108">
        <f t="shared" si="22"/>
        <v>0</v>
      </c>
      <c r="AA35" s="108">
        <f t="shared" si="22"/>
        <v>0</v>
      </c>
      <c r="AB35" s="108">
        <f t="shared" si="22"/>
        <v>0</v>
      </c>
      <c r="AC35" s="108">
        <f t="shared" si="22"/>
        <v>0</v>
      </c>
      <c r="AD35" s="108">
        <f t="shared" si="22"/>
        <v>0</v>
      </c>
      <c r="AE35" s="108">
        <f t="shared" si="22"/>
        <v>0</v>
      </c>
      <c r="AF35" s="108">
        <f t="shared" si="22"/>
        <v>0</v>
      </c>
      <c r="AG35" s="108">
        <f t="shared" si="22"/>
        <v>0</v>
      </c>
      <c r="AH35" s="108">
        <f t="shared" si="22"/>
        <v>0</v>
      </c>
      <c r="AI35" s="108">
        <f t="shared" si="22"/>
        <v>0</v>
      </c>
      <c r="AJ35" s="108">
        <f t="shared" si="22"/>
        <v>0</v>
      </c>
      <c r="AK35" s="108">
        <f t="shared" si="22"/>
        <v>0</v>
      </c>
      <c r="AL35" s="108">
        <f t="shared" si="22"/>
        <v>0</v>
      </c>
      <c r="AM35" s="108">
        <f t="shared" si="22"/>
        <v>0</v>
      </c>
      <c r="AN35" s="108">
        <f t="shared" si="22"/>
        <v>0</v>
      </c>
      <c r="AO35" s="108">
        <f t="shared" si="22"/>
        <v>0</v>
      </c>
      <c r="AP35" s="108">
        <f t="shared" si="22"/>
        <v>0</v>
      </c>
      <c r="AQ35" s="108">
        <f t="shared" si="22"/>
        <v>0</v>
      </c>
      <c r="AR35" s="108">
        <f t="shared" si="22"/>
        <v>0</v>
      </c>
      <c r="AS35" s="108">
        <f t="shared" si="22"/>
        <v>0</v>
      </c>
      <c r="AT35" s="108">
        <f t="shared" si="22"/>
        <v>0</v>
      </c>
      <c r="AU35" s="108">
        <f t="shared" si="22"/>
        <v>0</v>
      </c>
      <c r="AV35" s="108">
        <f t="shared" si="22"/>
        <v>0</v>
      </c>
      <c r="AW35" s="108">
        <f t="shared" si="22"/>
        <v>0</v>
      </c>
      <c r="AX35" s="108">
        <f t="shared" si="22"/>
        <v>0</v>
      </c>
      <c r="AY35" s="108">
        <f t="shared" si="22"/>
        <v>0</v>
      </c>
      <c r="AZ35" s="108">
        <f t="shared" si="22"/>
        <v>0</v>
      </c>
      <c r="BA35" s="108">
        <f t="shared" si="22"/>
        <v>0</v>
      </c>
      <c r="BB35" s="108">
        <f t="shared" si="22"/>
        <v>0</v>
      </c>
      <c r="BC35" s="108">
        <f t="shared" si="22"/>
        <v>0</v>
      </c>
    </row>
    <row r="36">
      <c r="A36" s="1"/>
      <c r="B36" s="108" t="s">
        <v>219</v>
      </c>
      <c r="C36" s="103" t="str">
        <f>'Get Started'!$C$20</f>
        <v>$</v>
      </c>
      <c r="D36" s="104" t="s">
        <v>220</v>
      </c>
      <c r="E36" s="78"/>
      <c r="F36" s="78"/>
      <c r="G36" s="78"/>
      <c r="H36" s="79" t="s">
        <v>193</v>
      </c>
      <c r="I36" s="87">
        <f t="shared" si="3"/>
        <v>0</v>
      </c>
      <c r="J36" s="93"/>
      <c r="K36" s="104">
        <v>0.0</v>
      </c>
      <c r="L36" s="104">
        <v>0.0</v>
      </c>
      <c r="M36" s="104">
        <v>0.0</v>
      </c>
      <c r="N36" s="105" t="s">
        <v>209</v>
      </c>
      <c r="O36" s="104">
        <v>0.0</v>
      </c>
      <c r="P36" s="106">
        <v>0.0</v>
      </c>
      <c r="Q36" s="105" t="s">
        <v>209</v>
      </c>
      <c r="R36" s="109" t="b">
        <v>0</v>
      </c>
      <c r="T36" s="108">
        <f t="shared" ref="T36:BC36" si="23">if(T$5="","",iferror(if($R36=true,if((T$5-$L36)&gt;=1,(1+T$10)/(1+S$10),(1+T$10)),1) * if(or($N36="# per",$N36="% of"),if(T$5&lt;$L36,0,IF(AND(T$5&lt;&gt;1,MOD(T$5-1-$L36+1,$M36)),0,$K36*index(T$53:T$92,match($Q36,$B$53:$B$92,0)))),if(T$5=$L36,$K36,if($N36="% change",if(T$5&lt;$M36,0,offset(S36,,-1*$M36+1))*if(AND(T$5&lt;&gt;1,MOD(T$5-1-$L36+1,$O36)),1,(1+$P36)),if(and($N36="# change",T$5&gt;=$L36),if(T$5&lt;$M36,0,offset(S36,,-1*$M36+1))+if(AND(T$5&lt;&gt;1,MOD(T$5-1-$L36+1,$O36)),0,$P36),if($N36="log change",$K36*IF(T$5&lt;=$O36,1,ROUND((T$5-$L36)/$O36+1,0))^$P36,if($M36=0,0,if(T$5&lt;$M36,0,offset(S36,,-1*$M36+1)))))))),0))</f>
        <v>0</v>
      </c>
      <c r="U36" s="108">
        <f t="shared" si="23"/>
        <v>0</v>
      </c>
      <c r="V36" s="108">
        <f t="shared" si="23"/>
        <v>0</v>
      </c>
      <c r="W36" s="108">
        <f t="shared" si="23"/>
        <v>0</v>
      </c>
      <c r="X36" s="108">
        <f t="shared" si="23"/>
        <v>0</v>
      </c>
      <c r="Y36" s="108">
        <f t="shared" si="23"/>
        <v>0</v>
      </c>
      <c r="Z36" s="108">
        <f t="shared" si="23"/>
        <v>0</v>
      </c>
      <c r="AA36" s="108">
        <f t="shared" si="23"/>
        <v>0</v>
      </c>
      <c r="AB36" s="108">
        <f t="shared" si="23"/>
        <v>0</v>
      </c>
      <c r="AC36" s="108">
        <f t="shared" si="23"/>
        <v>0</v>
      </c>
      <c r="AD36" s="108">
        <f t="shared" si="23"/>
        <v>0</v>
      </c>
      <c r="AE36" s="108">
        <f t="shared" si="23"/>
        <v>0</v>
      </c>
      <c r="AF36" s="108">
        <f t="shared" si="23"/>
        <v>0</v>
      </c>
      <c r="AG36" s="108">
        <f t="shared" si="23"/>
        <v>0</v>
      </c>
      <c r="AH36" s="108">
        <f t="shared" si="23"/>
        <v>0</v>
      </c>
      <c r="AI36" s="108">
        <f t="shared" si="23"/>
        <v>0</v>
      </c>
      <c r="AJ36" s="108">
        <f t="shared" si="23"/>
        <v>0</v>
      </c>
      <c r="AK36" s="108">
        <f t="shared" si="23"/>
        <v>0</v>
      </c>
      <c r="AL36" s="108">
        <f t="shared" si="23"/>
        <v>0</v>
      </c>
      <c r="AM36" s="108">
        <f t="shared" si="23"/>
        <v>0</v>
      </c>
      <c r="AN36" s="108">
        <f t="shared" si="23"/>
        <v>0</v>
      </c>
      <c r="AO36" s="108">
        <f t="shared" si="23"/>
        <v>0</v>
      </c>
      <c r="AP36" s="108">
        <f t="shared" si="23"/>
        <v>0</v>
      </c>
      <c r="AQ36" s="108">
        <f t="shared" si="23"/>
        <v>0</v>
      </c>
      <c r="AR36" s="108">
        <f t="shared" si="23"/>
        <v>0</v>
      </c>
      <c r="AS36" s="108">
        <f t="shared" si="23"/>
        <v>0</v>
      </c>
      <c r="AT36" s="108">
        <f t="shared" si="23"/>
        <v>0</v>
      </c>
      <c r="AU36" s="108">
        <f t="shared" si="23"/>
        <v>0</v>
      </c>
      <c r="AV36" s="108">
        <f t="shared" si="23"/>
        <v>0</v>
      </c>
      <c r="AW36" s="108">
        <f t="shared" si="23"/>
        <v>0</v>
      </c>
      <c r="AX36" s="108">
        <f t="shared" si="23"/>
        <v>0</v>
      </c>
      <c r="AY36" s="108">
        <f t="shared" si="23"/>
        <v>0</v>
      </c>
      <c r="AZ36" s="108">
        <f t="shared" si="23"/>
        <v>0</v>
      </c>
      <c r="BA36" s="108">
        <f t="shared" si="23"/>
        <v>0</v>
      </c>
      <c r="BB36" s="108">
        <f t="shared" si="23"/>
        <v>0</v>
      </c>
      <c r="BC36" s="108">
        <f t="shared" si="23"/>
        <v>0</v>
      </c>
    </row>
    <row r="37">
      <c r="A37" s="1"/>
      <c r="B37" s="108" t="s">
        <v>219</v>
      </c>
      <c r="C37" s="103" t="str">
        <f>'Get Started'!$C$20</f>
        <v>$</v>
      </c>
      <c r="D37" s="104" t="s">
        <v>220</v>
      </c>
      <c r="E37" s="78"/>
      <c r="F37" s="78"/>
      <c r="G37" s="78"/>
      <c r="H37" s="79" t="s">
        <v>193</v>
      </c>
      <c r="I37" s="87">
        <f t="shared" si="3"/>
        <v>0</v>
      </c>
      <c r="J37" s="93"/>
      <c r="K37" s="104">
        <v>0.0</v>
      </c>
      <c r="L37" s="104">
        <v>0.0</v>
      </c>
      <c r="M37" s="104">
        <v>0.0</v>
      </c>
      <c r="N37" s="105" t="s">
        <v>209</v>
      </c>
      <c r="O37" s="104">
        <v>0.0</v>
      </c>
      <c r="P37" s="106">
        <v>0.0</v>
      </c>
      <c r="Q37" s="105" t="s">
        <v>209</v>
      </c>
      <c r="R37" s="109" t="b">
        <v>0</v>
      </c>
      <c r="T37" s="108">
        <f t="shared" ref="T37:BC37" si="24">if(T$5="","",iferror(if($R37=true,if((T$5-$L37)&gt;=1,(1+T$10)/(1+S$10),(1+T$10)),1) * if(or($N37="# per",$N37="% of"),if(T$5&lt;$L37,0,IF(AND(T$5&lt;&gt;1,MOD(T$5-1-$L37+1,$M37)),0,$K37*index(T$53:T$92,match($Q37,$B$53:$B$92,0)))),if(T$5=$L37,$K37,if($N37="% change",if(T$5&lt;$M37,0,offset(S37,,-1*$M37+1))*if(AND(T$5&lt;&gt;1,MOD(T$5-1-$L37+1,$O37)),1,(1+$P37)),if(and($N37="# change",T$5&gt;=$L37),if(T$5&lt;$M37,0,offset(S37,,-1*$M37+1))+if(AND(T$5&lt;&gt;1,MOD(T$5-1-$L37+1,$O37)),0,$P37),if($N37="log change",$K37*IF(T$5&lt;=$O37,1,ROUND((T$5-$L37)/$O37+1,0))^$P37,if($M37=0,0,if(T$5&lt;$M37,0,offset(S37,,-1*$M37+1)))))))),0))</f>
        <v>0</v>
      </c>
      <c r="U37" s="108">
        <f t="shared" si="24"/>
        <v>0</v>
      </c>
      <c r="V37" s="108">
        <f t="shared" si="24"/>
        <v>0</v>
      </c>
      <c r="W37" s="108">
        <f t="shared" si="24"/>
        <v>0</v>
      </c>
      <c r="X37" s="108">
        <f t="shared" si="24"/>
        <v>0</v>
      </c>
      <c r="Y37" s="108">
        <f t="shared" si="24"/>
        <v>0</v>
      </c>
      <c r="Z37" s="108">
        <f t="shared" si="24"/>
        <v>0</v>
      </c>
      <c r="AA37" s="108">
        <f t="shared" si="24"/>
        <v>0</v>
      </c>
      <c r="AB37" s="108">
        <f t="shared" si="24"/>
        <v>0</v>
      </c>
      <c r="AC37" s="108">
        <f t="shared" si="24"/>
        <v>0</v>
      </c>
      <c r="AD37" s="108">
        <f t="shared" si="24"/>
        <v>0</v>
      </c>
      <c r="AE37" s="108">
        <f t="shared" si="24"/>
        <v>0</v>
      </c>
      <c r="AF37" s="108">
        <f t="shared" si="24"/>
        <v>0</v>
      </c>
      <c r="AG37" s="108">
        <f t="shared" si="24"/>
        <v>0</v>
      </c>
      <c r="AH37" s="108">
        <f t="shared" si="24"/>
        <v>0</v>
      </c>
      <c r="AI37" s="108">
        <f t="shared" si="24"/>
        <v>0</v>
      </c>
      <c r="AJ37" s="108">
        <f t="shared" si="24"/>
        <v>0</v>
      </c>
      <c r="AK37" s="108">
        <f t="shared" si="24"/>
        <v>0</v>
      </c>
      <c r="AL37" s="108">
        <f t="shared" si="24"/>
        <v>0</v>
      </c>
      <c r="AM37" s="108">
        <f t="shared" si="24"/>
        <v>0</v>
      </c>
      <c r="AN37" s="108">
        <f t="shared" si="24"/>
        <v>0</v>
      </c>
      <c r="AO37" s="108">
        <f t="shared" si="24"/>
        <v>0</v>
      </c>
      <c r="AP37" s="108">
        <f t="shared" si="24"/>
        <v>0</v>
      </c>
      <c r="AQ37" s="108">
        <f t="shared" si="24"/>
        <v>0</v>
      </c>
      <c r="AR37" s="108">
        <f t="shared" si="24"/>
        <v>0</v>
      </c>
      <c r="AS37" s="108">
        <f t="shared" si="24"/>
        <v>0</v>
      </c>
      <c r="AT37" s="108">
        <f t="shared" si="24"/>
        <v>0</v>
      </c>
      <c r="AU37" s="108">
        <f t="shared" si="24"/>
        <v>0</v>
      </c>
      <c r="AV37" s="108">
        <f t="shared" si="24"/>
        <v>0</v>
      </c>
      <c r="AW37" s="108">
        <f t="shared" si="24"/>
        <v>0</v>
      </c>
      <c r="AX37" s="108">
        <f t="shared" si="24"/>
        <v>0</v>
      </c>
      <c r="AY37" s="108">
        <f t="shared" si="24"/>
        <v>0</v>
      </c>
      <c r="AZ37" s="108">
        <f t="shared" si="24"/>
        <v>0</v>
      </c>
      <c r="BA37" s="108">
        <f t="shared" si="24"/>
        <v>0</v>
      </c>
      <c r="BB37" s="108">
        <f t="shared" si="24"/>
        <v>0</v>
      </c>
      <c r="BC37" s="108">
        <f t="shared" si="24"/>
        <v>0</v>
      </c>
    </row>
    <row r="38">
      <c r="A38" s="1"/>
      <c r="B38" s="108" t="s">
        <v>219</v>
      </c>
      <c r="C38" s="103" t="str">
        <f>'Get Started'!$C$20</f>
        <v>$</v>
      </c>
      <c r="D38" s="104" t="s">
        <v>220</v>
      </c>
      <c r="E38" s="78"/>
      <c r="F38" s="78"/>
      <c r="G38" s="78"/>
      <c r="H38" s="79" t="s">
        <v>193</v>
      </c>
      <c r="I38" s="87">
        <f t="shared" si="3"/>
        <v>0</v>
      </c>
      <c r="J38" s="93"/>
      <c r="K38" s="104">
        <v>0.0</v>
      </c>
      <c r="L38" s="104">
        <v>0.0</v>
      </c>
      <c r="M38" s="104">
        <v>0.0</v>
      </c>
      <c r="N38" s="105" t="s">
        <v>209</v>
      </c>
      <c r="O38" s="104">
        <v>0.0</v>
      </c>
      <c r="P38" s="106">
        <v>0.0</v>
      </c>
      <c r="Q38" s="105" t="s">
        <v>209</v>
      </c>
      <c r="R38" s="109" t="b">
        <v>0</v>
      </c>
      <c r="T38" s="108">
        <f t="shared" ref="T38:BC38" si="25">if(T$5="","",iferror(if($R38=true,if((T$5-$L38)&gt;=1,(1+T$10)/(1+S$10),(1+T$10)),1) * if(or($N38="# per",$N38="% of"),if(T$5&lt;$L38,0,IF(AND(T$5&lt;&gt;1,MOD(T$5-1-$L38+1,$M38)),0,$K38*index(T$53:T$92,match($Q38,$B$53:$B$92,0)))),if(T$5=$L38,$K38,if($N38="% change",if(T$5&lt;$M38,0,offset(S38,,-1*$M38+1))*if(AND(T$5&lt;&gt;1,MOD(T$5-1-$L38+1,$O38)),1,(1+$P38)),if(and($N38="# change",T$5&gt;=$L38),if(T$5&lt;$M38,0,offset(S38,,-1*$M38+1))+if(AND(T$5&lt;&gt;1,MOD(T$5-1-$L38+1,$O38)),0,$P38),if($N38="log change",$K38*IF(T$5&lt;=$O38,1,ROUND((T$5-$L38)/$O38+1,0))^$P38,if($M38=0,0,if(T$5&lt;$M38,0,offset(S38,,-1*$M38+1)))))))),0))</f>
        <v>0</v>
      </c>
      <c r="U38" s="108">
        <f t="shared" si="25"/>
        <v>0</v>
      </c>
      <c r="V38" s="108">
        <f t="shared" si="25"/>
        <v>0</v>
      </c>
      <c r="W38" s="108">
        <f t="shared" si="25"/>
        <v>0</v>
      </c>
      <c r="X38" s="108">
        <f t="shared" si="25"/>
        <v>0</v>
      </c>
      <c r="Y38" s="108">
        <f t="shared" si="25"/>
        <v>0</v>
      </c>
      <c r="Z38" s="108">
        <f t="shared" si="25"/>
        <v>0</v>
      </c>
      <c r="AA38" s="108">
        <f t="shared" si="25"/>
        <v>0</v>
      </c>
      <c r="AB38" s="108">
        <f t="shared" si="25"/>
        <v>0</v>
      </c>
      <c r="AC38" s="108">
        <f t="shared" si="25"/>
        <v>0</v>
      </c>
      <c r="AD38" s="108">
        <f t="shared" si="25"/>
        <v>0</v>
      </c>
      <c r="AE38" s="108">
        <f t="shared" si="25"/>
        <v>0</v>
      </c>
      <c r="AF38" s="108">
        <f t="shared" si="25"/>
        <v>0</v>
      </c>
      <c r="AG38" s="108">
        <f t="shared" si="25"/>
        <v>0</v>
      </c>
      <c r="AH38" s="108">
        <f t="shared" si="25"/>
        <v>0</v>
      </c>
      <c r="AI38" s="108">
        <f t="shared" si="25"/>
        <v>0</v>
      </c>
      <c r="AJ38" s="108">
        <f t="shared" si="25"/>
        <v>0</v>
      </c>
      <c r="AK38" s="108">
        <f t="shared" si="25"/>
        <v>0</v>
      </c>
      <c r="AL38" s="108">
        <f t="shared" si="25"/>
        <v>0</v>
      </c>
      <c r="AM38" s="108">
        <f t="shared" si="25"/>
        <v>0</v>
      </c>
      <c r="AN38" s="108">
        <f t="shared" si="25"/>
        <v>0</v>
      </c>
      <c r="AO38" s="108">
        <f t="shared" si="25"/>
        <v>0</v>
      </c>
      <c r="AP38" s="108">
        <f t="shared" si="25"/>
        <v>0</v>
      </c>
      <c r="AQ38" s="108">
        <f t="shared" si="25"/>
        <v>0</v>
      </c>
      <c r="AR38" s="108">
        <f t="shared" si="25"/>
        <v>0</v>
      </c>
      <c r="AS38" s="108">
        <f t="shared" si="25"/>
        <v>0</v>
      </c>
      <c r="AT38" s="108">
        <f t="shared" si="25"/>
        <v>0</v>
      </c>
      <c r="AU38" s="108">
        <f t="shared" si="25"/>
        <v>0</v>
      </c>
      <c r="AV38" s="108">
        <f t="shared" si="25"/>
        <v>0</v>
      </c>
      <c r="AW38" s="108">
        <f t="shared" si="25"/>
        <v>0</v>
      </c>
      <c r="AX38" s="108">
        <f t="shared" si="25"/>
        <v>0</v>
      </c>
      <c r="AY38" s="108">
        <f t="shared" si="25"/>
        <v>0</v>
      </c>
      <c r="AZ38" s="108">
        <f t="shared" si="25"/>
        <v>0</v>
      </c>
      <c r="BA38" s="108">
        <f t="shared" si="25"/>
        <v>0</v>
      </c>
      <c r="BB38" s="108">
        <f t="shared" si="25"/>
        <v>0</v>
      </c>
      <c r="BC38" s="108">
        <f t="shared" si="25"/>
        <v>0</v>
      </c>
    </row>
    <row r="39">
      <c r="A39" s="1"/>
      <c r="B39" s="108" t="s">
        <v>219</v>
      </c>
      <c r="C39" s="103" t="str">
        <f>'Get Started'!$C$20</f>
        <v>$</v>
      </c>
      <c r="D39" s="104" t="s">
        <v>220</v>
      </c>
      <c r="E39" s="78"/>
      <c r="F39" s="78"/>
      <c r="G39" s="78"/>
      <c r="H39" s="79" t="s">
        <v>193</v>
      </c>
      <c r="I39" s="87">
        <f t="shared" si="3"/>
        <v>0</v>
      </c>
      <c r="J39" s="93"/>
      <c r="K39" s="104">
        <v>0.0</v>
      </c>
      <c r="L39" s="104">
        <v>0.0</v>
      </c>
      <c r="M39" s="104">
        <v>0.0</v>
      </c>
      <c r="N39" s="105" t="s">
        <v>209</v>
      </c>
      <c r="O39" s="104">
        <v>0.0</v>
      </c>
      <c r="P39" s="106">
        <v>0.0</v>
      </c>
      <c r="Q39" s="105" t="s">
        <v>209</v>
      </c>
      <c r="R39" s="109" t="b">
        <v>0</v>
      </c>
      <c r="T39" s="108">
        <f t="shared" ref="T39:BC39" si="26">if(T$5="","",iferror(if($R39=true,if((T$5-$L39)&gt;=1,(1+T$10)/(1+S$10),(1+T$10)),1) * if(or($N39="# per",$N39="% of"),if(T$5&lt;$L39,0,IF(AND(T$5&lt;&gt;1,MOD(T$5-1-$L39+1,$M39)),0,$K39*index(T$53:T$92,match($Q39,$B$53:$B$92,0)))),if(T$5=$L39,$K39,if($N39="% change",if(T$5&lt;$M39,0,offset(S39,,-1*$M39+1))*if(AND(T$5&lt;&gt;1,MOD(T$5-1-$L39+1,$O39)),1,(1+$P39)),if(and($N39="# change",T$5&gt;=$L39),if(T$5&lt;$M39,0,offset(S39,,-1*$M39+1))+if(AND(T$5&lt;&gt;1,MOD(T$5-1-$L39+1,$O39)),0,$P39),if($N39="log change",$K39*IF(T$5&lt;=$O39,1,ROUND((T$5-$L39)/$O39+1,0))^$P39,if($M39=0,0,if(T$5&lt;$M39,0,offset(S39,,-1*$M39+1)))))))),0))</f>
        <v>0</v>
      </c>
      <c r="U39" s="108">
        <f t="shared" si="26"/>
        <v>0</v>
      </c>
      <c r="V39" s="108">
        <f t="shared" si="26"/>
        <v>0</v>
      </c>
      <c r="W39" s="108">
        <f t="shared" si="26"/>
        <v>0</v>
      </c>
      <c r="X39" s="108">
        <f t="shared" si="26"/>
        <v>0</v>
      </c>
      <c r="Y39" s="108">
        <f t="shared" si="26"/>
        <v>0</v>
      </c>
      <c r="Z39" s="108">
        <f t="shared" si="26"/>
        <v>0</v>
      </c>
      <c r="AA39" s="108">
        <f t="shared" si="26"/>
        <v>0</v>
      </c>
      <c r="AB39" s="108">
        <f t="shared" si="26"/>
        <v>0</v>
      </c>
      <c r="AC39" s="108">
        <f t="shared" si="26"/>
        <v>0</v>
      </c>
      <c r="AD39" s="108">
        <f t="shared" si="26"/>
        <v>0</v>
      </c>
      <c r="AE39" s="108">
        <f t="shared" si="26"/>
        <v>0</v>
      </c>
      <c r="AF39" s="108">
        <f t="shared" si="26"/>
        <v>0</v>
      </c>
      <c r="AG39" s="108">
        <f t="shared" si="26"/>
        <v>0</v>
      </c>
      <c r="AH39" s="108">
        <f t="shared" si="26"/>
        <v>0</v>
      </c>
      <c r="AI39" s="108">
        <f t="shared" si="26"/>
        <v>0</v>
      </c>
      <c r="AJ39" s="108">
        <f t="shared" si="26"/>
        <v>0</v>
      </c>
      <c r="AK39" s="108">
        <f t="shared" si="26"/>
        <v>0</v>
      </c>
      <c r="AL39" s="108">
        <f t="shared" si="26"/>
        <v>0</v>
      </c>
      <c r="AM39" s="108">
        <f t="shared" si="26"/>
        <v>0</v>
      </c>
      <c r="AN39" s="108">
        <f t="shared" si="26"/>
        <v>0</v>
      </c>
      <c r="AO39" s="108">
        <f t="shared" si="26"/>
        <v>0</v>
      </c>
      <c r="AP39" s="108">
        <f t="shared" si="26"/>
        <v>0</v>
      </c>
      <c r="AQ39" s="108">
        <f t="shared" si="26"/>
        <v>0</v>
      </c>
      <c r="AR39" s="108">
        <f t="shared" si="26"/>
        <v>0</v>
      </c>
      <c r="AS39" s="108">
        <f t="shared" si="26"/>
        <v>0</v>
      </c>
      <c r="AT39" s="108">
        <f t="shared" si="26"/>
        <v>0</v>
      </c>
      <c r="AU39" s="108">
        <f t="shared" si="26"/>
        <v>0</v>
      </c>
      <c r="AV39" s="108">
        <f t="shared" si="26"/>
        <v>0</v>
      </c>
      <c r="AW39" s="108">
        <f t="shared" si="26"/>
        <v>0</v>
      </c>
      <c r="AX39" s="108">
        <f t="shared" si="26"/>
        <v>0</v>
      </c>
      <c r="AY39" s="108">
        <f t="shared" si="26"/>
        <v>0</v>
      </c>
      <c r="AZ39" s="108">
        <f t="shared" si="26"/>
        <v>0</v>
      </c>
      <c r="BA39" s="108">
        <f t="shared" si="26"/>
        <v>0</v>
      </c>
      <c r="BB39" s="108">
        <f t="shared" si="26"/>
        <v>0</v>
      </c>
      <c r="BC39" s="108">
        <f t="shared" si="26"/>
        <v>0</v>
      </c>
    </row>
    <row r="40">
      <c r="A40" s="1"/>
      <c r="B40" s="108" t="s">
        <v>219</v>
      </c>
      <c r="C40" s="103" t="str">
        <f>'Get Started'!$C$20</f>
        <v>$</v>
      </c>
      <c r="D40" s="104" t="s">
        <v>220</v>
      </c>
      <c r="E40" s="78"/>
      <c r="F40" s="78"/>
      <c r="G40" s="78"/>
      <c r="H40" s="79" t="s">
        <v>193</v>
      </c>
      <c r="I40" s="87">
        <f t="shared" si="3"/>
        <v>0</v>
      </c>
      <c r="J40" s="93"/>
      <c r="K40" s="104">
        <v>0.0</v>
      </c>
      <c r="L40" s="104">
        <v>0.0</v>
      </c>
      <c r="M40" s="104">
        <v>0.0</v>
      </c>
      <c r="N40" s="105" t="s">
        <v>209</v>
      </c>
      <c r="O40" s="104">
        <v>0.0</v>
      </c>
      <c r="P40" s="106">
        <v>0.0</v>
      </c>
      <c r="Q40" s="105" t="s">
        <v>209</v>
      </c>
      <c r="R40" s="109" t="b">
        <v>0</v>
      </c>
      <c r="T40" s="108">
        <f t="shared" ref="T40:BC40" si="27">if(T$5="","",iferror(if($R40=true,if((T$5-$L40)&gt;=1,(1+T$10)/(1+S$10),(1+T$10)),1) * if(or($N40="# per",$N40="% of"),if(T$5&lt;$L40,0,IF(AND(T$5&lt;&gt;1,MOD(T$5-1-$L40+1,$M40)),0,$K40*index(T$53:T$92,match($Q40,$B$53:$B$92,0)))),if(T$5=$L40,$K40,if($N40="% change",if(T$5&lt;$M40,0,offset(S40,,-1*$M40+1))*if(AND(T$5&lt;&gt;1,MOD(T$5-1-$L40+1,$O40)),1,(1+$P40)),if(and($N40="# change",T$5&gt;=$L40),if(T$5&lt;$M40,0,offset(S40,,-1*$M40+1))+if(AND(T$5&lt;&gt;1,MOD(T$5-1-$L40+1,$O40)),0,$P40),if($N40="log change",$K40*IF(T$5&lt;=$O40,1,ROUND((T$5-$L40)/$O40+1,0))^$P40,if($M40=0,0,if(T$5&lt;$M40,0,offset(S40,,-1*$M40+1)))))))),0))</f>
        <v>0</v>
      </c>
      <c r="U40" s="108">
        <f t="shared" si="27"/>
        <v>0</v>
      </c>
      <c r="V40" s="108">
        <f t="shared" si="27"/>
        <v>0</v>
      </c>
      <c r="W40" s="108">
        <f t="shared" si="27"/>
        <v>0</v>
      </c>
      <c r="X40" s="108">
        <f t="shared" si="27"/>
        <v>0</v>
      </c>
      <c r="Y40" s="108">
        <f t="shared" si="27"/>
        <v>0</v>
      </c>
      <c r="Z40" s="108">
        <f t="shared" si="27"/>
        <v>0</v>
      </c>
      <c r="AA40" s="108">
        <f t="shared" si="27"/>
        <v>0</v>
      </c>
      <c r="AB40" s="108">
        <f t="shared" si="27"/>
        <v>0</v>
      </c>
      <c r="AC40" s="108">
        <f t="shared" si="27"/>
        <v>0</v>
      </c>
      <c r="AD40" s="108">
        <f t="shared" si="27"/>
        <v>0</v>
      </c>
      <c r="AE40" s="108">
        <f t="shared" si="27"/>
        <v>0</v>
      </c>
      <c r="AF40" s="108">
        <f t="shared" si="27"/>
        <v>0</v>
      </c>
      <c r="AG40" s="108">
        <f t="shared" si="27"/>
        <v>0</v>
      </c>
      <c r="AH40" s="108">
        <f t="shared" si="27"/>
        <v>0</v>
      </c>
      <c r="AI40" s="108">
        <f t="shared" si="27"/>
        <v>0</v>
      </c>
      <c r="AJ40" s="108">
        <f t="shared" si="27"/>
        <v>0</v>
      </c>
      <c r="AK40" s="108">
        <f t="shared" si="27"/>
        <v>0</v>
      </c>
      <c r="AL40" s="108">
        <f t="shared" si="27"/>
        <v>0</v>
      </c>
      <c r="AM40" s="108">
        <f t="shared" si="27"/>
        <v>0</v>
      </c>
      <c r="AN40" s="108">
        <f t="shared" si="27"/>
        <v>0</v>
      </c>
      <c r="AO40" s="108">
        <f t="shared" si="27"/>
        <v>0</v>
      </c>
      <c r="AP40" s="108">
        <f t="shared" si="27"/>
        <v>0</v>
      </c>
      <c r="AQ40" s="108">
        <f t="shared" si="27"/>
        <v>0</v>
      </c>
      <c r="AR40" s="108">
        <f t="shared" si="27"/>
        <v>0</v>
      </c>
      <c r="AS40" s="108">
        <f t="shared" si="27"/>
        <v>0</v>
      </c>
      <c r="AT40" s="108">
        <f t="shared" si="27"/>
        <v>0</v>
      </c>
      <c r="AU40" s="108">
        <f t="shared" si="27"/>
        <v>0</v>
      </c>
      <c r="AV40" s="108">
        <f t="shared" si="27"/>
        <v>0</v>
      </c>
      <c r="AW40" s="108">
        <f t="shared" si="27"/>
        <v>0</v>
      </c>
      <c r="AX40" s="108">
        <f t="shared" si="27"/>
        <v>0</v>
      </c>
      <c r="AY40" s="108">
        <f t="shared" si="27"/>
        <v>0</v>
      </c>
      <c r="AZ40" s="108">
        <f t="shared" si="27"/>
        <v>0</v>
      </c>
      <c r="BA40" s="108">
        <f t="shared" si="27"/>
        <v>0</v>
      </c>
      <c r="BB40" s="108">
        <f t="shared" si="27"/>
        <v>0</v>
      </c>
      <c r="BC40" s="108">
        <f t="shared" si="27"/>
        <v>0</v>
      </c>
    </row>
    <row r="41">
      <c r="A41" s="1"/>
      <c r="B41" s="108" t="s">
        <v>219</v>
      </c>
      <c r="C41" s="103" t="str">
        <f>'Get Started'!$C$20</f>
        <v>$</v>
      </c>
      <c r="D41" s="104" t="s">
        <v>220</v>
      </c>
      <c r="E41" s="78"/>
      <c r="F41" s="78"/>
      <c r="G41" s="78"/>
      <c r="H41" s="79" t="s">
        <v>193</v>
      </c>
      <c r="I41" s="87">
        <f t="shared" si="3"/>
        <v>0</v>
      </c>
      <c r="J41" s="93"/>
      <c r="K41" s="104">
        <v>0.0</v>
      </c>
      <c r="L41" s="104">
        <v>0.0</v>
      </c>
      <c r="M41" s="104">
        <v>0.0</v>
      </c>
      <c r="N41" s="105" t="s">
        <v>209</v>
      </c>
      <c r="O41" s="104">
        <v>0.0</v>
      </c>
      <c r="P41" s="106">
        <v>0.0</v>
      </c>
      <c r="Q41" s="105" t="s">
        <v>209</v>
      </c>
      <c r="R41" s="109" t="b">
        <v>0</v>
      </c>
      <c r="T41" s="108">
        <f t="shared" ref="T41:BC41" si="28">if(T$5="","",iferror(if($R41=true,if((T$5-$L41)&gt;=1,(1+T$10)/(1+S$10),(1+T$10)),1) * if(or($N41="# per",$N41="% of"),if(T$5&lt;$L41,0,IF(AND(T$5&lt;&gt;1,MOD(T$5-1-$L41+1,$M41)),0,$K41*index(T$53:T$92,match($Q41,$B$53:$B$92,0)))),if(T$5=$L41,$K41,if($N41="% change",if(T$5&lt;$M41,0,offset(S41,,-1*$M41+1))*if(AND(T$5&lt;&gt;1,MOD(T$5-1-$L41+1,$O41)),1,(1+$P41)),if(and($N41="# change",T$5&gt;=$L41),if(T$5&lt;$M41,0,offset(S41,,-1*$M41+1))+if(AND(T$5&lt;&gt;1,MOD(T$5-1-$L41+1,$O41)),0,$P41),if($N41="log change",$K41*IF(T$5&lt;=$O41,1,ROUND((T$5-$L41)/$O41+1,0))^$P41,if($M41=0,0,if(T$5&lt;$M41,0,offset(S41,,-1*$M41+1)))))))),0))</f>
        <v>0</v>
      </c>
      <c r="U41" s="108">
        <f t="shared" si="28"/>
        <v>0</v>
      </c>
      <c r="V41" s="108">
        <f t="shared" si="28"/>
        <v>0</v>
      </c>
      <c r="W41" s="108">
        <f t="shared" si="28"/>
        <v>0</v>
      </c>
      <c r="X41" s="108">
        <f t="shared" si="28"/>
        <v>0</v>
      </c>
      <c r="Y41" s="108">
        <f t="shared" si="28"/>
        <v>0</v>
      </c>
      <c r="Z41" s="108">
        <f t="shared" si="28"/>
        <v>0</v>
      </c>
      <c r="AA41" s="108">
        <f t="shared" si="28"/>
        <v>0</v>
      </c>
      <c r="AB41" s="108">
        <f t="shared" si="28"/>
        <v>0</v>
      </c>
      <c r="AC41" s="108">
        <f t="shared" si="28"/>
        <v>0</v>
      </c>
      <c r="AD41" s="108">
        <f t="shared" si="28"/>
        <v>0</v>
      </c>
      <c r="AE41" s="108">
        <f t="shared" si="28"/>
        <v>0</v>
      </c>
      <c r="AF41" s="108">
        <f t="shared" si="28"/>
        <v>0</v>
      </c>
      <c r="AG41" s="108">
        <f t="shared" si="28"/>
        <v>0</v>
      </c>
      <c r="AH41" s="108">
        <f t="shared" si="28"/>
        <v>0</v>
      </c>
      <c r="AI41" s="108">
        <f t="shared" si="28"/>
        <v>0</v>
      </c>
      <c r="AJ41" s="108">
        <f t="shared" si="28"/>
        <v>0</v>
      </c>
      <c r="AK41" s="108">
        <f t="shared" si="28"/>
        <v>0</v>
      </c>
      <c r="AL41" s="108">
        <f t="shared" si="28"/>
        <v>0</v>
      </c>
      <c r="AM41" s="108">
        <f t="shared" si="28"/>
        <v>0</v>
      </c>
      <c r="AN41" s="108">
        <f t="shared" si="28"/>
        <v>0</v>
      </c>
      <c r="AO41" s="108">
        <f t="shared" si="28"/>
        <v>0</v>
      </c>
      <c r="AP41" s="108">
        <f t="shared" si="28"/>
        <v>0</v>
      </c>
      <c r="AQ41" s="108">
        <f t="shared" si="28"/>
        <v>0</v>
      </c>
      <c r="AR41" s="108">
        <f t="shared" si="28"/>
        <v>0</v>
      </c>
      <c r="AS41" s="108">
        <f t="shared" si="28"/>
        <v>0</v>
      </c>
      <c r="AT41" s="108">
        <f t="shared" si="28"/>
        <v>0</v>
      </c>
      <c r="AU41" s="108">
        <f t="shared" si="28"/>
        <v>0</v>
      </c>
      <c r="AV41" s="108">
        <f t="shared" si="28"/>
        <v>0</v>
      </c>
      <c r="AW41" s="108">
        <f t="shared" si="28"/>
        <v>0</v>
      </c>
      <c r="AX41" s="108">
        <f t="shared" si="28"/>
        <v>0</v>
      </c>
      <c r="AY41" s="108">
        <f t="shared" si="28"/>
        <v>0</v>
      </c>
      <c r="AZ41" s="108">
        <f t="shared" si="28"/>
        <v>0</v>
      </c>
      <c r="BA41" s="108">
        <f t="shared" si="28"/>
        <v>0</v>
      </c>
      <c r="BB41" s="108">
        <f t="shared" si="28"/>
        <v>0</v>
      </c>
      <c r="BC41" s="108">
        <f t="shared" si="28"/>
        <v>0</v>
      </c>
    </row>
    <row r="42">
      <c r="A42" s="1"/>
      <c r="B42" s="108" t="s">
        <v>219</v>
      </c>
      <c r="C42" s="103" t="str">
        <f>'Get Started'!$C$20</f>
        <v>$</v>
      </c>
      <c r="D42" s="104" t="s">
        <v>220</v>
      </c>
      <c r="E42" s="78"/>
      <c r="F42" s="78"/>
      <c r="G42" s="78"/>
      <c r="H42" s="79" t="s">
        <v>193</v>
      </c>
      <c r="I42" s="87">
        <f t="shared" si="3"/>
        <v>0</v>
      </c>
      <c r="J42" s="93"/>
      <c r="K42" s="104">
        <v>0.0</v>
      </c>
      <c r="L42" s="104">
        <v>0.0</v>
      </c>
      <c r="M42" s="104">
        <v>0.0</v>
      </c>
      <c r="N42" s="105" t="s">
        <v>209</v>
      </c>
      <c r="O42" s="104">
        <v>0.0</v>
      </c>
      <c r="P42" s="106">
        <v>0.0</v>
      </c>
      <c r="Q42" s="105" t="s">
        <v>209</v>
      </c>
      <c r="R42" s="109" t="b">
        <v>0</v>
      </c>
      <c r="T42" s="108">
        <f t="shared" ref="T42:BC42" si="29">if(T$5="","",iferror(if($R42=true,if((T$5-$L42)&gt;=1,(1+T$10)/(1+S$10),(1+T$10)),1) * if(or($N42="# per",$N42="% of"),if(T$5&lt;$L42,0,IF(AND(T$5&lt;&gt;1,MOD(T$5-1-$L42+1,$M42)),0,$K42*index(T$53:T$92,match($Q42,$B$53:$B$92,0)))),if(T$5=$L42,$K42,if($N42="% change",if(T$5&lt;$M42,0,offset(S42,,-1*$M42+1))*if(AND(T$5&lt;&gt;1,MOD(T$5-1-$L42+1,$O42)),1,(1+$P42)),if(and($N42="# change",T$5&gt;=$L42),if(T$5&lt;$M42,0,offset(S42,,-1*$M42+1))+if(AND(T$5&lt;&gt;1,MOD(T$5-1-$L42+1,$O42)),0,$P42),if($N42="log change",$K42*IF(T$5&lt;=$O42,1,ROUND((T$5-$L42)/$O42+1,0))^$P42,if($M42=0,0,if(T$5&lt;$M42,0,offset(S42,,-1*$M42+1)))))))),0))</f>
        <v>0</v>
      </c>
      <c r="U42" s="108">
        <f t="shared" si="29"/>
        <v>0</v>
      </c>
      <c r="V42" s="108">
        <f t="shared" si="29"/>
        <v>0</v>
      </c>
      <c r="W42" s="108">
        <f t="shared" si="29"/>
        <v>0</v>
      </c>
      <c r="X42" s="108">
        <f t="shared" si="29"/>
        <v>0</v>
      </c>
      <c r="Y42" s="108">
        <f t="shared" si="29"/>
        <v>0</v>
      </c>
      <c r="Z42" s="108">
        <f t="shared" si="29"/>
        <v>0</v>
      </c>
      <c r="AA42" s="108">
        <f t="shared" si="29"/>
        <v>0</v>
      </c>
      <c r="AB42" s="108">
        <f t="shared" si="29"/>
        <v>0</v>
      </c>
      <c r="AC42" s="108">
        <f t="shared" si="29"/>
        <v>0</v>
      </c>
      <c r="AD42" s="108">
        <f t="shared" si="29"/>
        <v>0</v>
      </c>
      <c r="AE42" s="108">
        <f t="shared" si="29"/>
        <v>0</v>
      </c>
      <c r="AF42" s="108">
        <f t="shared" si="29"/>
        <v>0</v>
      </c>
      <c r="AG42" s="108">
        <f t="shared" si="29"/>
        <v>0</v>
      </c>
      <c r="AH42" s="108">
        <f t="shared" si="29"/>
        <v>0</v>
      </c>
      <c r="AI42" s="108">
        <f t="shared" si="29"/>
        <v>0</v>
      </c>
      <c r="AJ42" s="108">
        <f t="shared" si="29"/>
        <v>0</v>
      </c>
      <c r="AK42" s="108">
        <f t="shared" si="29"/>
        <v>0</v>
      </c>
      <c r="AL42" s="108">
        <f t="shared" si="29"/>
        <v>0</v>
      </c>
      <c r="AM42" s="108">
        <f t="shared" si="29"/>
        <v>0</v>
      </c>
      <c r="AN42" s="108">
        <f t="shared" si="29"/>
        <v>0</v>
      </c>
      <c r="AO42" s="108">
        <f t="shared" si="29"/>
        <v>0</v>
      </c>
      <c r="AP42" s="108">
        <f t="shared" si="29"/>
        <v>0</v>
      </c>
      <c r="AQ42" s="108">
        <f t="shared" si="29"/>
        <v>0</v>
      </c>
      <c r="AR42" s="108">
        <f t="shared" si="29"/>
        <v>0</v>
      </c>
      <c r="AS42" s="108">
        <f t="shared" si="29"/>
        <v>0</v>
      </c>
      <c r="AT42" s="108">
        <f t="shared" si="29"/>
        <v>0</v>
      </c>
      <c r="AU42" s="108">
        <f t="shared" si="29"/>
        <v>0</v>
      </c>
      <c r="AV42" s="108">
        <f t="shared" si="29"/>
        <v>0</v>
      </c>
      <c r="AW42" s="108">
        <f t="shared" si="29"/>
        <v>0</v>
      </c>
      <c r="AX42" s="108">
        <f t="shared" si="29"/>
        <v>0</v>
      </c>
      <c r="AY42" s="108">
        <f t="shared" si="29"/>
        <v>0</v>
      </c>
      <c r="AZ42" s="108">
        <f t="shared" si="29"/>
        <v>0</v>
      </c>
      <c r="BA42" s="108">
        <f t="shared" si="29"/>
        <v>0</v>
      </c>
      <c r="BB42" s="108">
        <f t="shared" si="29"/>
        <v>0</v>
      </c>
      <c r="BC42" s="108">
        <f t="shared" si="29"/>
        <v>0</v>
      </c>
    </row>
    <row r="43">
      <c r="A43" s="1"/>
      <c r="B43" s="108" t="s">
        <v>219</v>
      </c>
      <c r="C43" s="103" t="str">
        <f>'Get Started'!$C$20</f>
        <v>$</v>
      </c>
      <c r="D43" s="104" t="s">
        <v>220</v>
      </c>
      <c r="E43" s="78"/>
      <c r="F43" s="78"/>
      <c r="G43" s="78"/>
      <c r="H43" s="79" t="s">
        <v>193</v>
      </c>
      <c r="I43" s="87">
        <f t="shared" si="3"/>
        <v>0</v>
      </c>
      <c r="J43" s="93"/>
      <c r="K43" s="104">
        <v>0.0</v>
      </c>
      <c r="L43" s="104">
        <v>0.0</v>
      </c>
      <c r="M43" s="104">
        <v>0.0</v>
      </c>
      <c r="N43" s="105" t="s">
        <v>209</v>
      </c>
      <c r="O43" s="104">
        <v>0.0</v>
      </c>
      <c r="P43" s="106">
        <v>0.0</v>
      </c>
      <c r="Q43" s="105" t="s">
        <v>209</v>
      </c>
      <c r="R43" s="109" t="b">
        <v>0</v>
      </c>
      <c r="T43" s="108">
        <f t="shared" ref="T43:BC43" si="30">if(T$5="","",iferror(if($R43=true,if((T$5-$L43)&gt;=1,(1+T$10)/(1+S$10),(1+T$10)),1) * if(or($N43="# per",$N43="% of"),if(T$5&lt;$L43,0,IF(AND(T$5&lt;&gt;1,MOD(T$5-1-$L43+1,$M43)),0,$K43*index(T$53:T$92,match($Q43,$B$53:$B$92,0)))),if(T$5=$L43,$K43,if($N43="% change",if(T$5&lt;$M43,0,offset(S43,,-1*$M43+1))*if(AND(T$5&lt;&gt;1,MOD(T$5-1-$L43+1,$O43)),1,(1+$P43)),if(and($N43="# change",T$5&gt;=$L43),if(T$5&lt;$M43,0,offset(S43,,-1*$M43+1))+if(AND(T$5&lt;&gt;1,MOD(T$5-1-$L43+1,$O43)),0,$P43),if($N43="log change",$K43*IF(T$5&lt;=$O43,1,ROUND((T$5-$L43)/$O43+1,0))^$P43,if($M43=0,0,if(T$5&lt;$M43,0,offset(S43,,-1*$M43+1)))))))),0))</f>
        <v>0</v>
      </c>
      <c r="U43" s="108">
        <f t="shared" si="30"/>
        <v>0</v>
      </c>
      <c r="V43" s="108">
        <f t="shared" si="30"/>
        <v>0</v>
      </c>
      <c r="W43" s="108">
        <f t="shared" si="30"/>
        <v>0</v>
      </c>
      <c r="X43" s="108">
        <f t="shared" si="30"/>
        <v>0</v>
      </c>
      <c r="Y43" s="108">
        <f t="shared" si="30"/>
        <v>0</v>
      </c>
      <c r="Z43" s="108">
        <f t="shared" si="30"/>
        <v>0</v>
      </c>
      <c r="AA43" s="108">
        <f t="shared" si="30"/>
        <v>0</v>
      </c>
      <c r="AB43" s="108">
        <f t="shared" si="30"/>
        <v>0</v>
      </c>
      <c r="AC43" s="108">
        <f t="shared" si="30"/>
        <v>0</v>
      </c>
      <c r="AD43" s="108">
        <f t="shared" si="30"/>
        <v>0</v>
      </c>
      <c r="AE43" s="108">
        <f t="shared" si="30"/>
        <v>0</v>
      </c>
      <c r="AF43" s="108">
        <f t="shared" si="30"/>
        <v>0</v>
      </c>
      <c r="AG43" s="108">
        <f t="shared" si="30"/>
        <v>0</v>
      </c>
      <c r="AH43" s="108">
        <f t="shared" si="30"/>
        <v>0</v>
      </c>
      <c r="AI43" s="108">
        <f t="shared" si="30"/>
        <v>0</v>
      </c>
      <c r="AJ43" s="108">
        <f t="shared" si="30"/>
        <v>0</v>
      </c>
      <c r="AK43" s="108">
        <f t="shared" si="30"/>
        <v>0</v>
      </c>
      <c r="AL43" s="108">
        <f t="shared" si="30"/>
        <v>0</v>
      </c>
      <c r="AM43" s="108">
        <f t="shared" si="30"/>
        <v>0</v>
      </c>
      <c r="AN43" s="108">
        <f t="shared" si="30"/>
        <v>0</v>
      </c>
      <c r="AO43" s="108">
        <f t="shared" si="30"/>
        <v>0</v>
      </c>
      <c r="AP43" s="108">
        <f t="shared" si="30"/>
        <v>0</v>
      </c>
      <c r="AQ43" s="108">
        <f t="shared" si="30"/>
        <v>0</v>
      </c>
      <c r="AR43" s="108">
        <f t="shared" si="30"/>
        <v>0</v>
      </c>
      <c r="AS43" s="108">
        <f t="shared" si="30"/>
        <v>0</v>
      </c>
      <c r="AT43" s="108">
        <f t="shared" si="30"/>
        <v>0</v>
      </c>
      <c r="AU43" s="108">
        <f t="shared" si="30"/>
        <v>0</v>
      </c>
      <c r="AV43" s="108">
        <f t="shared" si="30"/>
        <v>0</v>
      </c>
      <c r="AW43" s="108">
        <f t="shared" si="30"/>
        <v>0</v>
      </c>
      <c r="AX43" s="108">
        <f t="shared" si="30"/>
        <v>0</v>
      </c>
      <c r="AY43" s="108">
        <f t="shared" si="30"/>
        <v>0</v>
      </c>
      <c r="AZ43" s="108">
        <f t="shared" si="30"/>
        <v>0</v>
      </c>
      <c r="BA43" s="108">
        <f t="shared" si="30"/>
        <v>0</v>
      </c>
      <c r="BB43" s="108">
        <f t="shared" si="30"/>
        <v>0</v>
      </c>
      <c r="BC43" s="108">
        <f t="shared" si="30"/>
        <v>0</v>
      </c>
    </row>
    <row r="44">
      <c r="A44" s="1"/>
      <c r="B44" s="108" t="s">
        <v>219</v>
      </c>
      <c r="C44" s="103" t="str">
        <f>'Get Started'!$C$20</f>
        <v>$</v>
      </c>
      <c r="D44" s="104" t="s">
        <v>220</v>
      </c>
      <c r="E44" s="78"/>
      <c r="F44" s="78"/>
      <c r="G44" s="78"/>
      <c r="H44" s="79" t="s">
        <v>193</v>
      </c>
      <c r="I44" s="87">
        <f t="shared" si="3"/>
        <v>0</v>
      </c>
      <c r="J44" s="93"/>
      <c r="K44" s="104">
        <v>0.0</v>
      </c>
      <c r="L44" s="104">
        <v>0.0</v>
      </c>
      <c r="M44" s="104">
        <v>0.0</v>
      </c>
      <c r="N44" s="105" t="s">
        <v>209</v>
      </c>
      <c r="O44" s="104">
        <v>0.0</v>
      </c>
      <c r="P44" s="106">
        <v>0.0</v>
      </c>
      <c r="Q44" s="105" t="s">
        <v>209</v>
      </c>
      <c r="R44" s="109" t="b">
        <v>0</v>
      </c>
      <c r="T44" s="108">
        <f t="shared" ref="T44:BC44" si="31">if(T$5="","",iferror(if($R44=true,if((T$5-$L44)&gt;=1,(1+T$10)/(1+S$10),(1+T$10)),1) * if(or($N44="# per",$N44="% of"),if(T$5&lt;$L44,0,IF(AND(T$5&lt;&gt;1,MOD(T$5-1-$L44+1,$M44)),0,$K44*index(T$53:T$92,match($Q44,$B$53:$B$92,0)))),if(T$5=$L44,$K44,if($N44="% change",if(T$5&lt;$M44,0,offset(S44,,-1*$M44+1))*if(AND(T$5&lt;&gt;1,MOD(T$5-1-$L44+1,$O44)),1,(1+$P44)),if(and($N44="# change",T$5&gt;=$L44),if(T$5&lt;$M44,0,offset(S44,,-1*$M44+1))+if(AND(T$5&lt;&gt;1,MOD(T$5-1-$L44+1,$O44)),0,$P44),if($N44="log change",$K44*IF(T$5&lt;=$O44,1,ROUND((T$5-$L44)/$O44+1,0))^$P44,if($M44=0,0,if(T$5&lt;$M44,0,offset(S44,,-1*$M44+1)))))))),0))</f>
        <v>0</v>
      </c>
      <c r="U44" s="108">
        <f t="shared" si="31"/>
        <v>0</v>
      </c>
      <c r="V44" s="108">
        <f t="shared" si="31"/>
        <v>0</v>
      </c>
      <c r="W44" s="108">
        <f t="shared" si="31"/>
        <v>0</v>
      </c>
      <c r="X44" s="108">
        <f t="shared" si="31"/>
        <v>0</v>
      </c>
      <c r="Y44" s="108">
        <f t="shared" si="31"/>
        <v>0</v>
      </c>
      <c r="Z44" s="108">
        <f t="shared" si="31"/>
        <v>0</v>
      </c>
      <c r="AA44" s="108">
        <f t="shared" si="31"/>
        <v>0</v>
      </c>
      <c r="AB44" s="108">
        <f t="shared" si="31"/>
        <v>0</v>
      </c>
      <c r="AC44" s="108">
        <f t="shared" si="31"/>
        <v>0</v>
      </c>
      <c r="AD44" s="108">
        <f t="shared" si="31"/>
        <v>0</v>
      </c>
      <c r="AE44" s="108">
        <f t="shared" si="31"/>
        <v>0</v>
      </c>
      <c r="AF44" s="108">
        <f t="shared" si="31"/>
        <v>0</v>
      </c>
      <c r="AG44" s="108">
        <f t="shared" si="31"/>
        <v>0</v>
      </c>
      <c r="AH44" s="108">
        <f t="shared" si="31"/>
        <v>0</v>
      </c>
      <c r="AI44" s="108">
        <f t="shared" si="31"/>
        <v>0</v>
      </c>
      <c r="AJ44" s="108">
        <f t="shared" si="31"/>
        <v>0</v>
      </c>
      <c r="AK44" s="108">
        <f t="shared" si="31"/>
        <v>0</v>
      </c>
      <c r="AL44" s="108">
        <f t="shared" si="31"/>
        <v>0</v>
      </c>
      <c r="AM44" s="108">
        <f t="shared" si="31"/>
        <v>0</v>
      </c>
      <c r="AN44" s="108">
        <f t="shared" si="31"/>
        <v>0</v>
      </c>
      <c r="AO44" s="108">
        <f t="shared" si="31"/>
        <v>0</v>
      </c>
      <c r="AP44" s="108">
        <f t="shared" si="31"/>
        <v>0</v>
      </c>
      <c r="AQ44" s="108">
        <f t="shared" si="31"/>
        <v>0</v>
      </c>
      <c r="AR44" s="108">
        <f t="shared" si="31"/>
        <v>0</v>
      </c>
      <c r="AS44" s="108">
        <f t="shared" si="31"/>
        <v>0</v>
      </c>
      <c r="AT44" s="108">
        <f t="shared" si="31"/>
        <v>0</v>
      </c>
      <c r="AU44" s="108">
        <f t="shared" si="31"/>
        <v>0</v>
      </c>
      <c r="AV44" s="108">
        <f t="shared" si="31"/>
        <v>0</v>
      </c>
      <c r="AW44" s="108">
        <f t="shared" si="31"/>
        <v>0</v>
      </c>
      <c r="AX44" s="108">
        <f t="shared" si="31"/>
        <v>0</v>
      </c>
      <c r="AY44" s="108">
        <f t="shared" si="31"/>
        <v>0</v>
      </c>
      <c r="AZ44" s="108">
        <f t="shared" si="31"/>
        <v>0</v>
      </c>
      <c r="BA44" s="108">
        <f t="shared" si="31"/>
        <v>0</v>
      </c>
      <c r="BB44" s="108">
        <f t="shared" si="31"/>
        <v>0</v>
      </c>
      <c r="BC44" s="108">
        <f t="shared" si="31"/>
        <v>0</v>
      </c>
    </row>
    <row r="45">
      <c r="A45" s="1"/>
      <c r="B45" s="108" t="s">
        <v>219</v>
      </c>
      <c r="C45" s="103" t="str">
        <f>'Get Started'!$C$20</f>
        <v>$</v>
      </c>
      <c r="D45" s="104" t="s">
        <v>220</v>
      </c>
      <c r="E45" s="78"/>
      <c r="F45" s="78"/>
      <c r="G45" s="78"/>
      <c r="H45" s="79" t="s">
        <v>193</v>
      </c>
      <c r="I45" s="87">
        <f t="shared" si="3"/>
        <v>0</v>
      </c>
      <c r="J45" s="93"/>
      <c r="K45" s="104">
        <v>0.0</v>
      </c>
      <c r="L45" s="104">
        <v>0.0</v>
      </c>
      <c r="M45" s="104">
        <v>0.0</v>
      </c>
      <c r="N45" s="105" t="s">
        <v>209</v>
      </c>
      <c r="O45" s="104">
        <v>0.0</v>
      </c>
      <c r="P45" s="106">
        <v>0.0</v>
      </c>
      <c r="Q45" s="105" t="s">
        <v>209</v>
      </c>
      <c r="R45" s="109" t="b">
        <v>0</v>
      </c>
      <c r="T45" s="108">
        <f t="shared" ref="T45:BC45" si="32">if(T$5="","",iferror(if($R45=true,if((T$5-$L45)&gt;=1,(1+T$10)/(1+S$10),(1+T$10)),1) * if(or($N45="# per",$N45="% of"),if(T$5&lt;$L45,0,IF(AND(T$5&lt;&gt;1,MOD(T$5-1-$L45+1,$M45)),0,$K45*index(T$53:T$92,match($Q45,$B$53:$B$92,0)))),if(T$5=$L45,$K45,if($N45="% change",if(T$5&lt;$M45,0,offset(S45,,-1*$M45+1))*if(AND(T$5&lt;&gt;1,MOD(T$5-1-$L45+1,$O45)),1,(1+$P45)),if(and($N45="# change",T$5&gt;=$L45),if(T$5&lt;$M45,0,offset(S45,,-1*$M45+1))+if(AND(T$5&lt;&gt;1,MOD(T$5-1-$L45+1,$O45)),0,$P45),if($N45="log change",$K45*IF(T$5&lt;=$O45,1,ROUND((T$5-$L45)/$O45+1,0))^$P45,if($M45=0,0,if(T$5&lt;$M45,0,offset(S45,,-1*$M45+1)))))))),0))</f>
        <v>0</v>
      </c>
      <c r="U45" s="108">
        <f t="shared" si="32"/>
        <v>0</v>
      </c>
      <c r="V45" s="108">
        <f t="shared" si="32"/>
        <v>0</v>
      </c>
      <c r="W45" s="108">
        <f t="shared" si="32"/>
        <v>0</v>
      </c>
      <c r="X45" s="108">
        <f t="shared" si="32"/>
        <v>0</v>
      </c>
      <c r="Y45" s="108">
        <f t="shared" si="32"/>
        <v>0</v>
      </c>
      <c r="Z45" s="108">
        <f t="shared" si="32"/>
        <v>0</v>
      </c>
      <c r="AA45" s="108">
        <f t="shared" si="32"/>
        <v>0</v>
      </c>
      <c r="AB45" s="108">
        <f t="shared" si="32"/>
        <v>0</v>
      </c>
      <c r="AC45" s="108">
        <f t="shared" si="32"/>
        <v>0</v>
      </c>
      <c r="AD45" s="108">
        <f t="shared" si="32"/>
        <v>0</v>
      </c>
      <c r="AE45" s="108">
        <f t="shared" si="32"/>
        <v>0</v>
      </c>
      <c r="AF45" s="108">
        <f t="shared" si="32"/>
        <v>0</v>
      </c>
      <c r="AG45" s="108">
        <f t="shared" si="32"/>
        <v>0</v>
      </c>
      <c r="AH45" s="108">
        <f t="shared" si="32"/>
        <v>0</v>
      </c>
      <c r="AI45" s="108">
        <f t="shared" si="32"/>
        <v>0</v>
      </c>
      <c r="AJ45" s="108">
        <f t="shared" si="32"/>
        <v>0</v>
      </c>
      <c r="AK45" s="108">
        <f t="shared" si="32"/>
        <v>0</v>
      </c>
      <c r="AL45" s="108">
        <f t="shared" si="32"/>
        <v>0</v>
      </c>
      <c r="AM45" s="108">
        <f t="shared" si="32"/>
        <v>0</v>
      </c>
      <c r="AN45" s="108">
        <f t="shared" si="32"/>
        <v>0</v>
      </c>
      <c r="AO45" s="108">
        <f t="shared" si="32"/>
        <v>0</v>
      </c>
      <c r="AP45" s="108">
        <f t="shared" si="32"/>
        <v>0</v>
      </c>
      <c r="AQ45" s="108">
        <f t="shared" si="32"/>
        <v>0</v>
      </c>
      <c r="AR45" s="108">
        <f t="shared" si="32"/>
        <v>0</v>
      </c>
      <c r="AS45" s="108">
        <f t="shared" si="32"/>
        <v>0</v>
      </c>
      <c r="AT45" s="108">
        <f t="shared" si="32"/>
        <v>0</v>
      </c>
      <c r="AU45" s="108">
        <f t="shared" si="32"/>
        <v>0</v>
      </c>
      <c r="AV45" s="108">
        <f t="shared" si="32"/>
        <v>0</v>
      </c>
      <c r="AW45" s="108">
        <f t="shared" si="32"/>
        <v>0</v>
      </c>
      <c r="AX45" s="108">
        <f t="shared" si="32"/>
        <v>0</v>
      </c>
      <c r="AY45" s="108">
        <f t="shared" si="32"/>
        <v>0</v>
      </c>
      <c r="AZ45" s="108">
        <f t="shared" si="32"/>
        <v>0</v>
      </c>
      <c r="BA45" s="108">
        <f t="shared" si="32"/>
        <v>0</v>
      </c>
      <c r="BB45" s="108">
        <f t="shared" si="32"/>
        <v>0</v>
      </c>
      <c r="BC45" s="108">
        <f t="shared" si="32"/>
        <v>0</v>
      </c>
    </row>
    <row r="46">
      <c r="A46" s="1"/>
      <c r="B46" s="108" t="s">
        <v>219</v>
      </c>
      <c r="C46" s="103" t="str">
        <f>'Get Started'!$C$20</f>
        <v>$</v>
      </c>
      <c r="D46" s="104" t="s">
        <v>220</v>
      </c>
      <c r="E46" s="78"/>
      <c r="F46" s="78"/>
      <c r="G46" s="78"/>
      <c r="H46" s="79" t="s">
        <v>193</v>
      </c>
      <c r="I46" s="87">
        <f t="shared" si="3"/>
        <v>0</v>
      </c>
      <c r="J46" s="93"/>
      <c r="K46" s="104">
        <v>0.0</v>
      </c>
      <c r="L46" s="104">
        <v>0.0</v>
      </c>
      <c r="M46" s="104">
        <v>0.0</v>
      </c>
      <c r="N46" s="105" t="s">
        <v>209</v>
      </c>
      <c r="O46" s="104">
        <v>0.0</v>
      </c>
      <c r="P46" s="106">
        <v>0.0</v>
      </c>
      <c r="Q46" s="105" t="s">
        <v>209</v>
      </c>
      <c r="R46" s="109" t="b">
        <v>0</v>
      </c>
      <c r="T46" s="108">
        <f t="shared" ref="T46:BC46" si="33">if(T$5="","",iferror(if($R46=true,if((T$5-$L46)&gt;=1,(1+T$10)/(1+S$10),(1+T$10)),1) * if(or($N46="# per",$N46="% of"),if(T$5&lt;$L46,0,IF(AND(T$5&lt;&gt;1,MOD(T$5-1-$L46+1,$M46)),0,$K46*index(T$53:T$92,match($Q46,$B$53:$B$92,0)))),if(T$5=$L46,$K46,if($N46="% change",if(T$5&lt;$M46,0,offset(S46,,-1*$M46+1))*if(AND(T$5&lt;&gt;1,MOD(T$5-1-$L46+1,$O46)),1,(1+$P46)),if(and($N46="# change",T$5&gt;=$L46),if(T$5&lt;$M46,0,offset(S46,,-1*$M46+1))+if(AND(T$5&lt;&gt;1,MOD(T$5-1-$L46+1,$O46)),0,$P46),if($N46="log change",$K46*IF(T$5&lt;=$O46,1,ROUND((T$5-$L46)/$O46+1,0))^$P46,if($M46=0,0,if(T$5&lt;$M46,0,offset(S46,,-1*$M46+1)))))))),0))</f>
        <v>0</v>
      </c>
      <c r="U46" s="108">
        <f t="shared" si="33"/>
        <v>0</v>
      </c>
      <c r="V46" s="108">
        <f t="shared" si="33"/>
        <v>0</v>
      </c>
      <c r="W46" s="108">
        <f t="shared" si="33"/>
        <v>0</v>
      </c>
      <c r="X46" s="108">
        <f t="shared" si="33"/>
        <v>0</v>
      </c>
      <c r="Y46" s="108">
        <f t="shared" si="33"/>
        <v>0</v>
      </c>
      <c r="Z46" s="108">
        <f t="shared" si="33"/>
        <v>0</v>
      </c>
      <c r="AA46" s="108">
        <f t="shared" si="33"/>
        <v>0</v>
      </c>
      <c r="AB46" s="108">
        <f t="shared" si="33"/>
        <v>0</v>
      </c>
      <c r="AC46" s="108">
        <f t="shared" si="33"/>
        <v>0</v>
      </c>
      <c r="AD46" s="108">
        <f t="shared" si="33"/>
        <v>0</v>
      </c>
      <c r="AE46" s="108">
        <f t="shared" si="33"/>
        <v>0</v>
      </c>
      <c r="AF46" s="108">
        <f t="shared" si="33"/>
        <v>0</v>
      </c>
      <c r="AG46" s="108">
        <f t="shared" si="33"/>
        <v>0</v>
      </c>
      <c r="AH46" s="108">
        <f t="shared" si="33"/>
        <v>0</v>
      </c>
      <c r="AI46" s="108">
        <f t="shared" si="33"/>
        <v>0</v>
      </c>
      <c r="AJ46" s="108">
        <f t="shared" si="33"/>
        <v>0</v>
      </c>
      <c r="AK46" s="108">
        <f t="shared" si="33"/>
        <v>0</v>
      </c>
      <c r="AL46" s="108">
        <f t="shared" si="33"/>
        <v>0</v>
      </c>
      <c r="AM46" s="108">
        <f t="shared" si="33"/>
        <v>0</v>
      </c>
      <c r="AN46" s="108">
        <f t="shared" si="33"/>
        <v>0</v>
      </c>
      <c r="AO46" s="108">
        <f t="shared" si="33"/>
        <v>0</v>
      </c>
      <c r="AP46" s="108">
        <f t="shared" si="33"/>
        <v>0</v>
      </c>
      <c r="AQ46" s="108">
        <f t="shared" si="33"/>
        <v>0</v>
      </c>
      <c r="AR46" s="108">
        <f t="shared" si="33"/>
        <v>0</v>
      </c>
      <c r="AS46" s="108">
        <f t="shared" si="33"/>
        <v>0</v>
      </c>
      <c r="AT46" s="108">
        <f t="shared" si="33"/>
        <v>0</v>
      </c>
      <c r="AU46" s="108">
        <f t="shared" si="33"/>
        <v>0</v>
      </c>
      <c r="AV46" s="108">
        <f t="shared" si="33"/>
        <v>0</v>
      </c>
      <c r="AW46" s="108">
        <f t="shared" si="33"/>
        <v>0</v>
      </c>
      <c r="AX46" s="108">
        <f t="shared" si="33"/>
        <v>0</v>
      </c>
      <c r="AY46" s="108">
        <f t="shared" si="33"/>
        <v>0</v>
      </c>
      <c r="AZ46" s="108">
        <f t="shared" si="33"/>
        <v>0</v>
      </c>
      <c r="BA46" s="108">
        <f t="shared" si="33"/>
        <v>0</v>
      </c>
      <c r="BB46" s="108">
        <f t="shared" si="33"/>
        <v>0</v>
      </c>
      <c r="BC46" s="108">
        <f t="shared" si="33"/>
        <v>0</v>
      </c>
    </row>
    <row r="47">
      <c r="A47" s="1"/>
      <c r="B47" s="110" t="s">
        <v>221</v>
      </c>
      <c r="C47" s="103"/>
      <c r="D47" s="111"/>
      <c r="E47" s="78"/>
      <c r="F47" s="78"/>
      <c r="G47" s="78"/>
      <c r="I47" s="78"/>
      <c r="J47" s="93"/>
      <c r="K47" s="93"/>
      <c r="L47" s="93"/>
      <c r="M47" s="93"/>
      <c r="N47" s="93"/>
      <c r="O47" s="93"/>
      <c r="P47" s="93"/>
      <c r="Q47" s="93"/>
      <c r="R47" s="93"/>
      <c r="S47" s="93"/>
      <c r="T47" s="111"/>
      <c r="U47" s="111"/>
      <c r="V47" s="111"/>
      <c r="W47" s="111"/>
      <c r="X47" s="111"/>
      <c r="Y47" s="11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c r="A48" s="1"/>
      <c r="B48" s="111"/>
      <c r="C48" s="103"/>
      <c r="D48" s="111"/>
      <c r="E48" s="78"/>
      <c r="F48" s="78"/>
      <c r="G48" s="78"/>
      <c r="I48" s="78"/>
      <c r="J48" s="93"/>
      <c r="K48" s="93"/>
      <c r="L48" s="93"/>
      <c r="M48" s="93"/>
      <c r="N48" s="93"/>
      <c r="O48" s="93"/>
      <c r="P48" s="93"/>
      <c r="Q48" s="93"/>
      <c r="R48" s="93"/>
      <c r="S48" s="93"/>
      <c r="T48" s="111"/>
      <c r="U48" s="111"/>
      <c r="V48" s="111"/>
      <c r="W48" s="111"/>
      <c r="X48" s="111"/>
      <c r="Y48" s="11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c r="A49" s="1"/>
      <c r="B49" s="110"/>
      <c r="C49" s="112"/>
      <c r="D49" s="110"/>
      <c r="E49" s="110"/>
      <c r="F49" s="110"/>
      <c r="G49" s="110"/>
      <c r="I49" s="78"/>
      <c r="J49" s="93"/>
      <c r="K49" s="93"/>
      <c r="L49" s="93"/>
      <c r="M49" s="93"/>
      <c r="N49" s="93"/>
      <c r="O49" s="93"/>
      <c r="P49" s="93"/>
      <c r="Q49" s="93"/>
      <c r="R49" s="93"/>
      <c r="S49" s="93"/>
      <c r="U49" s="110"/>
      <c r="V49" s="110"/>
      <c r="W49" s="110"/>
      <c r="X49" s="111"/>
      <c r="Y49" s="11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c r="A50" s="1"/>
      <c r="B50" s="98" t="s">
        <v>222</v>
      </c>
      <c r="C50" s="112"/>
      <c r="D50" s="110"/>
      <c r="E50" s="110"/>
      <c r="F50" s="110"/>
      <c r="G50" s="110"/>
      <c r="I50" s="78"/>
      <c r="J50" s="93"/>
      <c r="K50" s="93"/>
      <c r="L50" s="93"/>
      <c r="M50" s="93"/>
      <c r="N50" s="93"/>
      <c r="O50" s="93"/>
      <c r="P50" s="93"/>
      <c r="Q50" s="93"/>
      <c r="R50" s="93"/>
      <c r="S50" s="93"/>
      <c r="U50" s="110"/>
      <c r="V50" s="110"/>
      <c r="W50" s="110"/>
      <c r="X50" s="111"/>
      <c r="Y50" s="11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c r="A51" s="1"/>
      <c r="B51" s="99" t="s">
        <v>223</v>
      </c>
      <c r="C51" s="113"/>
      <c r="D51" s="114"/>
      <c r="H51" s="115"/>
      <c r="I51" s="78"/>
      <c r="J51" s="93"/>
      <c r="K51" s="114"/>
      <c r="M51" s="93"/>
      <c r="N51" s="93"/>
      <c r="O51" s="93"/>
      <c r="P51" s="93"/>
      <c r="Q51" s="93"/>
      <c r="R51" s="93"/>
      <c r="S51" s="93"/>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row>
    <row r="52">
      <c r="A52" s="1"/>
      <c r="B52" s="116"/>
      <c r="C52" s="113"/>
      <c r="D52" s="114"/>
      <c r="H52" s="115"/>
      <c r="I52" s="78"/>
      <c r="J52" s="93"/>
      <c r="K52" s="114"/>
      <c r="M52" s="93"/>
      <c r="N52" s="93"/>
      <c r="O52" s="93"/>
      <c r="P52" s="93"/>
      <c r="Q52" s="93"/>
      <c r="R52" s="93"/>
      <c r="S52" s="93"/>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row>
    <row r="53">
      <c r="A53" s="1"/>
      <c r="B53" s="104" t="s">
        <v>210</v>
      </c>
      <c r="C53" s="113" t="s">
        <v>102</v>
      </c>
      <c r="D53" s="114" t="s">
        <v>224</v>
      </c>
      <c r="H53" s="79" t="s">
        <v>193</v>
      </c>
      <c r="I53" s="87">
        <f t="shared" ref="I53:I91" si="35">if(H53="sum",sum(T53:BC53),if(H53="final",index(T53:BC53,match(99^99,T53:BC53,1)),if(H53="initial",T53,if(H53="average",average(T53:BC53),0))))</f>
        <v>4081.147688</v>
      </c>
      <c r="J53" s="93"/>
      <c r="K53" s="114" t="s">
        <v>225</v>
      </c>
      <c r="M53" s="93"/>
      <c r="N53" s="93"/>
      <c r="O53" s="93"/>
      <c r="P53" s="93"/>
      <c r="Q53" s="93" t="s">
        <v>226</v>
      </c>
      <c r="R53" s="117" t="b">
        <v>0</v>
      </c>
      <c r="S53" s="93"/>
      <c r="T53" s="111">
        <f t="shared" ref="T53:BC53" si="34">if(T$5="","",abs(SUMIF($D$17:$D$47,$B53,T$17:T$47)))</f>
        <v>100</v>
      </c>
      <c r="U53" s="111">
        <f t="shared" si="34"/>
        <v>100</v>
      </c>
      <c r="V53" s="111">
        <f t="shared" si="34"/>
        <v>100</v>
      </c>
      <c r="W53" s="111">
        <f t="shared" si="34"/>
        <v>100</v>
      </c>
      <c r="X53" s="111">
        <f t="shared" si="34"/>
        <v>100</v>
      </c>
      <c r="Y53" s="111">
        <f t="shared" si="34"/>
        <v>100</v>
      </c>
      <c r="Z53" s="111">
        <f t="shared" si="34"/>
        <v>105</v>
      </c>
      <c r="AA53" s="111">
        <f t="shared" si="34"/>
        <v>105</v>
      </c>
      <c r="AB53" s="111">
        <f t="shared" si="34"/>
        <v>105</v>
      </c>
      <c r="AC53" s="111">
        <f t="shared" si="34"/>
        <v>105</v>
      </c>
      <c r="AD53" s="111">
        <f t="shared" si="34"/>
        <v>105</v>
      </c>
      <c r="AE53" s="111">
        <f t="shared" si="34"/>
        <v>105</v>
      </c>
      <c r="AF53" s="111">
        <f t="shared" si="34"/>
        <v>110.25</v>
      </c>
      <c r="AG53" s="111">
        <f t="shared" si="34"/>
        <v>110.25</v>
      </c>
      <c r="AH53" s="111">
        <f t="shared" si="34"/>
        <v>110.25</v>
      </c>
      <c r="AI53" s="111">
        <f t="shared" si="34"/>
        <v>110.25</v>
      </c>
      <c r="AJ53" s="111">
        <f t="shared" si="34"/>
        <v>110.25</v>
      </c>
      <c r="AK53" s="111">
        <f t="shared" si="34"/>
        <v>110.25</v>
      </c>
      <c r="AL53" s="111">
        <f t="shared" si="34"/>
        <v>115.7625</v>
      </c>
      <c r="AM53" s="111">
        <f t="shared" si="34"/>
        <v>115.7625</v>
      </c>
      <c r="AN53" s="111">
        <f t="shared" si="34"/>
        <v>115.7625</v>
      </c>
      <c r="AO53" s="111">
        <f t="shared" si="34"/>
        <v>115.7625</v>
      </c>
      <c r="AP53" s="111">
        <f t="shared" si="34"/>
        <v>115.7625</v>
      </c>
      <c r="AQ53" s="111">
        <f t="shared" si="34"/>
        <v>115.7625</v>
      </c>
      <c r="AR53" s="111">
        <f t="shared" si="34"/>
        <v>121.550625</v>
      </c>
      <c r="AS53" s="111">
        <f t="shared" si="34"/>
        <v>121.550625</v>
      </c>
      <c r="AT53" s="111">
        <f t="shared" si="34"/>
        <v>121.550625</v>
      </c>
      <c r="AU53" s="111">
        <f t="shared" si="34"/>
        <v>121.550625</v>
      </c>
      <c r="AV53" s="111">
        <f t="shared" si="34"/>
        <v>121.550625</v>
      </c>
      <c r="AW53" s="111">
        <f t="shared" si="34"/>
        <v>121.550625</v>
      </c>
      <c r="AX53" s="111">
        <f t="shared" si="34"/>
        <v>127.6281563</v>
      </c>
      <c r="AY53" s="111">
        <f t="shared" si="34"/>
        <v>127.6281563</v>
      </c>
      <c r="AZ53" s="111">
        <f t="shared" si="34"/>
        <v>127.6281563</v>
      </c>
      <c r="BA53" s="111">
        <f t="shared" si="34"/>
        <v>127.6281563</v>
      </c>
      <c r="BB53" s="111">
        <f t="shared" si="34"/>
        <v>127.6281563</v>
      </c>
      <c r="BC53" s="111">
        <f t="shared" si="34"/>
        <v>127.6281563</v>
      </c>
    </row>
    <row r="54">
      <c r="A54" s="1"/>
      <c r="B54" s="104" t="s">
        <v>227</v>
      </c>
      <c r="C54" s="113" t="s">
        <v>102</v>
      </c>
      <c r="D54" s="114" t="s">
        <v>224</v>
      </c>
      <c r="H54" s="79" t="s">
        <v>193</v>
      </c>
      <c r="I54" s="87">
        <f t="shared" si="35"/>
        <v>0</v>
      </c>
      <c r="J54" s="93"/>
      <c r="K54" s="114" t="s">
        <v>225</v>
      </c>
      <c r="M54" s="93"/>
      <c r="N54" s="93"/>
      <c r="O54" s="93"/>
      <c r="P54" s="93"/>
      <c r="Q54" s="93" t="s">
        <v>226</v>
      </c>
      <c r="R54" s="117" t="b">
        <v>0</v>
      </c>
      <c r="S54" s="93"/>
      <c r="T54" s="111">
        <f t="shared" ref="T54:BC54" si="36">if(T$5="","",abs(SUMIF($D$17:$D$47,$B54,T$17:T$47)))</f>
        <v>0</v>
      </c>
      <c r="U54" s="111">
        <f t="shared" si="36"/>
        <v>0</v>
      </c>
      <c r="V54" s="111">
        <f t="shared" si="36"/>
        <v>0</v>
      </c>
      <c r="W54" s="111">
        <f t="shared" si="36"/>
        <v>0</v>
      </c>
      <c r="X54" s="111">
        <f t="shared" si="36"/>
        <v>0</v>
      </c>
      <c r="Y54" s="111">
        <f t="shared" si="36"/>
        <v>0</v>
      </c>
      <c r="Z54" s="111">
        <f t="shared" si="36"/>
        <v>0</v>
      </c>
      <c r="AA54" s="111">
        <f t="shared" si="36"/>
        <v>0</v>
      </c>
      <c r="AB54" s="111">
        <f t="shared" si="36"/>
        <v>0</v>
      </c>
      <c r="AC54" s="111">
        <f t="shared" si="36"/>
        <v>0</v>
      </c>
      <c r="AD54" s="111">
        <f t="shared" si="36"/>
        <v>0</v>
      </c>
      <c r="AE54" s="111">
        <f t="shared" si="36"/>
        <v>0</v>
      </c>
      <c r="AF54" s="111">
        <f t="shared" si="36"/>
        <v>0</v>
      </c>
      <c r="AG54" s="111">
        <f t="shared" si="36"/>
        <v>0</v>
      </c>
      <c r="AH54" s="111">
        <f t="shared" si="36"/>
        <v>0</v>
      </c>
      <c r="AI54" s="111">
        <f t="shared" si="36"/>
        <v>0</v>
      </c>
      <c r="AJ54" s="111">
        <f t="shared" si="36"/>
        <v>0</v>
      </c>
      <c r="AK54" s="111">
        <f t="shared" si="36"/>
        <v>0</v>
      </c>
      <c r="AL54" s="111">
        <f t="shared" si="36"/>
        <v>0</v>
      </c>
      <c r="AM54" s="111">
        <f t="shared" si="36"/>
        <v>0</v>
      </c>
      <c r="AN54" s="111">
        <f t="shared" si="36"/>
        <v>0</v>
      </c>
      <c r="AO54" s="111">
        <f t="shared" si="36"/>
        <v>0</v>
      </c>
      <c r="AP54" s="111">
        <f t="shared" si="36"/>
        <v>0</v>
      </c>
      <c r="AQ54" s="111">
        <f t="shared" si="36"/>
        <v>0</v>
      </c>
      <c r="AR54" s="111">
        <f t="shared" si="36"/>
        <v>0</v>
      </c>
      <c r="AS54" s="111">
        <f t="shared" si="36"/>
        <v>0</v>
      </c>
      <c r="AT54" s="111">
        <f t="shared" si="36"/>
        <v>0</v>
      </c>
      <c r="AU54" s="111">
        <f t="shared" si="36"/>
        <v>0</v>
      </c>
      <c r="AV54" s="111">
        <f t="shared" si="36"/>
        <v>0</v>
      </c>
      <c r="AW54" s="111">
        <f t="shared" si="36"/>
        <v>0</v>
      </c>
      <c r="AX54" s="111">
        <f t="shared" si="36"/>
        <v>0</v>
      </c>
      <c r="AY54" s="111">
        <f t="shared" si="36"/>
        <v>0</v>
      </c>
      <c r="AZ54" s="111">
        <f t="shared" si="36"/>
        <v>0</v>
      </c>
      <c r="BA54" s="111">
        <f t="shared" si="36"/>
        <v>0</v>
      </c>
      <c r="BB54" s="111">
        <f t="shared" si="36"/>
        <v>0</v>
      </c>
      <c r="BC54" s="111">
        <f t="shared" si="36"/>
        <v>0</v>
      </c>
    </row>
    <row r="55">
      <c r="A55" s="1"/>
      <c r="B55" s="104" t="s">
        <v>227</v>
      </c>
      <c r="C55" s="113" t="s">
        <v>102</v>
      </c>
      <c r="D55" s="114" t="s">
        <v>224</v>
      </c>
      <c r="H55" s="79" t="s">
        <v>193</v>
      </c>
      <c r="I55" s="87">
        <f t="shared" si="35"/>
        <v>0</v>
      </c>
      <c r="J55" s="93"/>
      <c r="K55" s="114" t="s">
        <v>225</v>
      </c>
      <c r="M55" s="93"/>
      <c r="N55" s="93"/>
      <c r="O55" s="93"/>
      <c r="P55" s="93"/>
      <c r="Q55" s="93" t="s">
        <v>226</v>
      </c>
      <c r="R55" s="117" t="b">
        <v>0</v>
      </c>
      <c r="S55" s="93"/>
      <c r="T55" s="111">
        <f t="shared" ref="T55:BC55" si="37">if(T$5="","",abs(SUMIF($D$17:$D$47,$B55,T$17:T$47)))</f>
        <v>0</v>
      </c>
      <c r="U55" s="111">
        <f t="shared" si="37"/>
        <v>0</v>
      </c>
      <c r="V55" s="111">
        <f t="shared" si="37"/>
        <v>0</v>
      </c>
      <c r="W55" s="111">
        <f t="shared" si="37"/>
        <v>0</v>
      </c>
      <c r="X55" s="111">
        <f t="shared" si="37"/>
        <v>0</v>
      </c>
      <c r="Y55" s="111">
        <f t="shared" si="37"/>
        <v>0</v>
      </c>
      <c r="Z55" s="111">
        <f t="shared" si="37"/>
        <v>0</v>
      </c>
      <c r="AA55" s="111">
        <f t="shared" si="37"/>
        <v>0</v>
      </c>
      <c r="AB55" s="111">
        <f t="shared" si="37"/>
        <v>0</v>
      </c>
      <c r="AC55" s="111">
        <f t="shared" si="37"/>
        <v>0</v>
      </c>
      <c r="AD55" s="111">
        <f t="shared" si="37"/>
        <v>0</v>
      </c>
      <c r="AE55" s="111">
        <f t="shared" si="37"/>
        <v>0</v>
      </c>
      <c r="AF55" s="111">
        <f t="shared" si="37"/>
        <v>0</v>
      </c>
      <c r="AG55" s="111">
        <f t="shared" si="37"/>
        <v>0</v>
      </c>
      <c r="AH55" s="111">
        <f t="shared" si="37"/>
        <v>0</v>
      </c>
      <c r="AI55" s="111">
        <f t="shared" si="37"/>
        <v>0</v>
      </c>
      <c r="AJ55" s="111">
        <f t="shared" si="37"/>
        <v>0</v>
      </c>
      <c r="AK55" s="111">
        <f t="shared" si="37"/>
        <v>0</v>
      </c>
      <c r="AL55" s="111">
        <f t="shared" si="37"/>
        <v>0</v>
      </c>
      <c r="AM55" s="111">
        <f t="shared" si="37"/>
        <v>0</v>
      </c>
      <c r="AN55" s="111">
        <f t="shared" si="37"/>
        <v>0</v>
      </c>
      <c r="AO55" s="111">
        <f t="shared" si="37"/>
        <v>0</v>
      </c>
      <c r="AP55" s="111">
        <f t="shared" si="37"/>
        <v>0</v>
      </c>
      <c r="AQ55" s="111">
        <f t="shared" si="37"/>
        <v>0</v>
      </c>
      <c r="AR55" s="111">
        <f t="shared" si="37"/>
        <v>0</v>
      </c>
      <c r="AS55" s="111">
        <f t="shared" si="37"/>
        <v>0</v>
      </c>
      <c r="AT55" s="111">
        <f t="shared" si="37"/>
        <v>0</v>
      </c>
      <c r="AU55" s="111">
        <f t="shared" si="37"/>
        <v>0</v>
      </c>
      <c r="AV55" s="111">
        <f t="shared" si="37"/>
        <v>0</v>
      </c>
      <c r="AW55" s="111">
        <f t="shared" si="37"/>
        <v>0</v>
      </c>
      <c r="AX55" s="111">
        <f t="shared" si="37"/>
        <v>0</v>
      </c>
      <c r="AY55" s="111">
        <f t="shared" si="37"/>
        <v>0</v>
      </c>
      <c r="AZ55" s="111">
        <f t="shared" si="37"/>
        <v>0</v>
      </c>
      <c r="BA55" s="111">
        <f t="shared" si="37"/>
        <v>0</v>
      </c>
      <c r="BB55" s="111">
        <f t="shared" si="37"/>
        <v>0</v>
      </c>
      <c r="BC55" s="111">
        <f t="shared" si="37"/>
        <v>0</v>
      </c>
    </row>
    <row r="56">
      <c r="A56" s="1"/>
      <c r="B56" s="104" t="s">
        <v>227</v>
      </c>
      <c r="C56" s="113" t="s">
        <v>102</v>
      </c>
      <c r="D56" s="114" t="s">
        <v>224</v>
      </c>
      <c r="H56" s="79" t="s">
        <v>193</v>
      </c>
      <c r="I56" s="87">
        <f t="shared" si="35"/>
        <v>0</v>
      </c>
      <c r="J56" s="93"/>
      <c r="K56" s="114" t="s">
        <v>225</v>
      </c>
      <c r="M56" s="93"/>
      <c r="N56" s="93"/>
      <c r="O56" s="93"/>
      <c r="P56" s="93"/>
      <c r="Q56" s="93" t="s">
        <v>226</v>
      </c>
      <c r="R56" s="117" t="b">
        <v>0</v>
      </c>
      <c r="S56" s="93"/>
      <c r="T56" s="111">
        <f t="shared" ref="T56:BC56" si="38">if(T$5="","",abs(SUMIF($D$17:$D$47,$B56,T$17:T$47)))</f>
        <v>0</v>
      </c>
      <c r="U56" s="111">
        <f t="shared" si="38"/>
        <v>0</v>
      </c>
      <c r="V56" s="111">
        <f t="shared" si="38"/>
        <v>0</v>
      </c>
      <c r="W56" s="111">
        <f t="shared" si="38"/>
        <v>0</v>
      </c>
      <c r="X56" s="111">
        <f t="shared" si="38"/>
        <v>0</v>
      </c>
      <c r="Y56" s="111">
        <f t="shared" si="38"/>
        <v>0</v>
      </c>
      <c r="Z56" s="111">
        <f t="shared" si="38"/>
        <v>0</v>
      </c>
      <c r="AA56" s="111">
        <f t="shared" si="38"/>
        <v>0</v>
      </c>
      <c r="AB56" s="111">
        <f t="shared" si="38"/>
        <v>0</v>
      </c>
      <c r="AC56" s="111">
        <f t="shared" si="38"/>
        <v>0</v>
      </c>
      <c r="AD56" s="111">
        <f t="shared" si="38"/>
        <v>0</v>
      </c>
      <c r="AE56" s="111">
        <f t="shared" si="38"/>
        <v>0</v>
      </c>
      <c r="AF56" s="111">
        <f t="shared" si="38"/>
        <v>0</v>
      </c>
      <c r="AG56" s="111">
        <f t="shared" si="38"/>
        <v>0</v>
      </c>
      <c r="AH56" s="111">
        <f t="shared" si="38"/>
        <v>0</v>
      </c>
      <c r="AI56" s="111">
        <f t="shared" si="38"/>
        <v>0</v>
      </c>
      <c r="AJ56" s="111">
        <f t="shared" si="38"/>
        <v>0</v>
      </c>
      <c r="AK56" s="111">
        <f t="shared" si="38"/>
        <v>0</v>
      </c>
      <c r="AL56" s="111">
        <f t="shared" si="38"/>
        <v>0</v>
      </c>
      <c r="AM56" s="111">
        <f t="shared" si="38"/>
        <v>0</v>
      </c>
      <c r="AN56" s="111">
        <f t="shared" si="38"/>
        <v>0</v>
      </c>
      <c r="AO56" s="111">
        <f t="shared" si="38"/>
        <v>0</v>
      </c>
      <c r="AP56" s="111">
        <f t="shared" si="38"/>
        <v>0</v>
      </c>
      <c r="AQ56" s="111">
        <f t="shared" si="38"/>
        <v>0</v>
      </c>
      <c r="AR56" s="111">
        <f t="shared" si="38"/>
        <v>0</v>
      </c>
      <c r="AS56" s="111">
        <f t="shared" si="38"/>
        <v>0</v>
      </c>
      <c r="AT56" s="111">
        <f t="shared" si="38"/>
        <v>0</v>
      </c>
      <c r="AU56" s="111">
        <f t="shared" si="38"/>
        <v>0</v>
      </c>
      <c r="AV56" s="111">
        <f t="shared" si="38"/>
        <v>0</v>
      </c>
      <c r="AW56" s="111">
        <f t="shared" si="38"/>
        <v>0</v>
      </c>
      <c r="AX56" s="111">
        <f t="shared" si="38"/>
        <v>0</v>
      </c>
      <c r="AY56" s="111">
        <f t="shared" si="38"/>
        <v>0</v>
      </c>
      <c r="AZ56" s="111">
        <f t="shared" si="38"/>
        <v>0</v>
      </c>
      <c r="BA56" s="111">
        <f t="shared" si="38"/>
        <v>0</v>
      </c>
      <c r="BB56" s="111">
        <f t="shared" si="38"/>
        <v>0</v>
      </c>
      <c r="BC56" s="111">
        <f t="shared" si="38"/>
        <v>0</v>
      </c>
    </row>
    <row r="57">
      <c r="A57" s="1"/>
      <c r="B57" s="114" t="s">
        <v>228</v>
      </c>
      <c r="C57" s="103" t="str">
        <f>'Get Started'!$C$20</f>
        <v>$</v>
      </c>
      <c r="D57" s="114" t="s">
        <v>228</v>
      </c>
      <c r="H57" s="79" t="s">
        <v>193</v>
      </c>
      <c r="I57" s="87">
        <f t="shared" si="35"/>
        <v>0</v>
      </c>
      <c r="J57" s="93"/>
      <c r="K57" s="114" t="s">
        <v>229</v>
      </c>
      <c r="M57" s="93"/>
      <c r="N57" s="93"/>
      <c r="O57" s="93"/>
      <c r="P57" s="93"/>
      <c r="Q57" s="93"/>
      <c r="R57" s="93"/>
      <c r="S57" s="93"/>
      <c r="T57" s="111">
        <f t="shared" ref="T57:BC57" si="39">if(T$5="","",abs(SUMIF($D$17:$D$47,$B57,T$17:T$47)))</f>
        <v>0</v>
      </c>
      <c r="U57" s="111">
        <f t="shared" si="39"/>
        <v>0</v>
      </c>
      <c r="V57" s="111">
        <f t="shared" si="39"/>
        <v>0</v>
      </c>
      <c r="W57" s="111">
        <f t="shared" si="39"/>
        <v>0</v>
      </c>
      <c r="X57" s="111">
        <f t="shared" si="39"/>
        <v>0</v>
      </c>
      <c r="Y57" s="111">
        <f t="shared" si="39"/>
        <v>0</v>
      </c>
      <c r="Z57" s="111">
        <f t="shared" si="39"/>
        <v>0</v>
      </c>
      <c r="AA57" s="111">
        <f t="shared" si="39"/>
        <v>0</v>
      </c>
      <c r="AB57" s="111">
        <f t="shared" si="39"/>
        <v>0</v>
      </c>
      <c r="AC57" s="111">
        <f t="shared" si="39"/>
        <v>0</v>
      </c>
      <c r="AD57" s="111">
        <f t="shared" si="39"/>
        <v>0</v>
      </c>
      <c r="AE57" s="111">
        <f t="shared" si="39"/>
        <v>0</v>
      </c>
      <c r="AF57" s="111">
        <f t="shared" si="39"/>
        <v>0</v>
      </c>
      <c r="AG57" s="111">
        <f t="shared" si="39"/>
        <v>0</v>
      </c>
      <c r="AH57" s="111">
        <f t="shared" si="39"/>
        <v>0</v>
      </c>
      <c r="AI57" s="111">
        <f t="shared" si="39"/>
        <v>0</v>
      </c>
      <c r="AJ57" s="111">
        <f t="shared" si="39"/>
        <v>0</v>
      </c>
      <c r="AK57" s="111">
        <f t="shared" si="39"/>
        <v>0</v>
      </c>
      <c r="AL57" s="111">
        <f t="shared" si="39"/>
        <v>0</v>
      </c>
      <c r="AM57" s="111">
        <f t="shared" si="39"/>
        <v>0</v>
      </c>
      <c r="AN57" s="111">
        <f t="shared" si="39"/>
        <v>0</v>
      </c>
      <c r="AO57" s="111">
        <f t="shared" si="39"/>
        <v>0</v>
      </c>
      <c r="AP57" s="111">
        <f t="shared" si="39"/>
        <v>0</v>
      </c>
      <c r="AQ57" s="111">
        <f t="shared" si="39"/>
        <v>0</v>
      </c>
      <c r="AR57" s="111">
        <f t="shared" si="39"/>
        <v>0</v>
      </c>
      <c r="AS57" s="111">
        <f t="shared" si="39"/>
        <v>0</v>
      </c>
      <c r="AT57" s="111">
        <f t="shared" si="39"/>
        <v>0</v>
      </c>
      <c r="AU57" s="111">
        <f t="shared" si="39"/>
        <v>0</v>
      </c>
      <c r="AV57" s="111">
        <f t="shared" si="39"/>
        <v>0</v>
      </c>
      <c r="AW57" s="111">
        <f t="shared" si="39"/>
        <v>0</v>
      </c>
      <c r="AX57" s="111">
        <f t="shared" si="39"/>
        <v>0</v>
      </c>
      <c r="AY57" s="111">
        <f t="shared" si="39"/>
        <v>0</v>
      </c>
      <c r="AZ57" s="111">
        <f t="shared" si="39"/>
        <v>0</v>
      </c>
      <c r="BA57" s="111">
        <f t="shared" si="39"/>
        <v>0</v>
      </c>
      <c r="BB57" s="111">
        <f t="shared" si="39"/>
        <v>0</v>
      </c>
      <c r="BC57" s="111">
        <f t="shared" si="39"/>
        <v>0</v>
      </c>
    </row>
    <row r="58">
      <c r="A58" s="1"/>
      <c r="B58" s="114" t="s">
        <v>230</v>
      </c>
      <c r="C58" s="103" t="str">
        <f>'Get Started'!$C$20</f>
        <v>$</v>
      </c>
      <c r="D58" s="114" t="s">
        <v>230</v>
      </c>
      <c r="H58" s="79" t="s">
        <v>193</v>
      </c>
      <c r="I58" s="87">
        <f t="shared" si="35"/>
        <v>0</v>
      </c>
      <c r="J58" s="93"/>
      <c r="K58" s="114" t="s">
        <v>229</v>
      </c>
      <c r="M58" s="93"/>
      <c r="N58" s="93"/>
      <c r="O58" s="93"/>
      <c r="P58" s="93"/>
      <c r="Q58" s="93"/>
      <c r="R58" s="93"/>
      <c r="S58" s="93"/>
      <c r="T58" s="111">
        <f t="shared" ref="T58:BC58" si="40">if(T$5="","",abs(SUMIF($D$17:$D$47,$B58,T$17:T$47)))</f>
        <v>0</v>
      </c>
      <c r="U58" s="111">
        <f t="shared" si="40"/>
        <v>0</v>
      </c>
      <c r="V58" s="111">
        <f t="shared" si="40"/>
        <v>0</v>
      </c>
      <c r="W58" s="111">
        <f t="shared" si="40"/>
        <v>0</v>
      </c>
      <c r="X58" s="111">
        <f t="shared" si="40"/>
        <v>0</v>
      </c>
      <c r="Y58" s="111">
        <f t="shared" si="40"/>
        <v>0</v>
      </c>
      <c r="Z58" s="111">
        <f t="shared" si="40"/>
        <v>0</v>
      </c>
      <c r="AA58" s="111">
        <f t="shared" si="40"/>
        <v>0</v>
      </c>
      <c r="AB58" s="111">
        <f t="shared" si="40"/>
        <v>0</v>
      </c>
      <c r="AC58" s="111">
        <f t="shared" si="40"/>
        <v>0</v>
      </c>
      <c r="AD58" s="111">
        <f t="shared" si="40"/>
        <v>0</v>
      </c>
      <c r="AE58" s="111">
        <f t="shared" si="40"/>
        <v>0</v>
      </c>
      <c r="AF58" s="111">
        <f t="shared" si="40"/>
        <v>0</v>
      </c>
      <c r="AG58" s="111">
        <f t="shared" si="40"/>
        <v>0</v>
      </c>
      <c r="AH58" s="111">
        <f t="shared" si="40"/>
        <v>0</v>
      </c>
      <c r="AI58" s="111">
        <f t="shared" si="40"/>
        <v>0</v>
      </c>
      <c r="AJ58" s="111">
        <f t="shared" si="40"/>
        <v>0</v>
      </c>
      <c r="AK58" s="111">
        <f t="shared" si="40"/>
        <v>0</v>
      </c>
      <c r="AL58" s="111">
        <f t="shared" si="40"/>
        <v>0</v>
      </c>
      <c r="AM58" s="111">
        <f t="shared" si="40"/>
        <v>0</v>
      </c>
      <c r="AN58" s="111">
        <f t="shared" si="40"/>
        <v>0</v>
      </c>
      <c r="AO58" s="111">
        <f t="shared" si="40"/>
        <v>0</v>
      </c>
      <c r="AP58" s="111">
        <f t="shared" si="40"/>
        <v>0</v>
      </c>
      <c r="AQ58" s="111">
        <f t="shared" si="40"/>
        <v>0</v>
      </c>
      <c r="AR58" s="111">
        <f t="shared" si="40"/>
        <v>0</v>
      </c>
      <c r="AS58" s="111">
        <f t="shared" si="40"/>
        <v>0</v>
      </c>
      <c r="AT58" s="111">
        <f t="shared" si="40"/>
        <v>0</v>
      </c>
      <c r="AU58" s="111">
        <f t="shared" si="40"/>
        <v>0</v>
      </c>
      <c r="AV58" s="111">
        <f t="shared" si="40"/>
        <v>0</v>
      </c>
      <c r="AW58" s="111">
        <f t="shared" si="40"/>
        <v>0</v>
      </c>
      <c r="AX58" s="111">
        <f t="shared" si="40"/>
        <v>0</v>
      </c>
      <c r="AY58" s="111">
        <f t="shared" si="40"/>
        <v>0</v>
      </c>
      <c r="AZ58" s="111">
        <f t="shared" si="40"/>
        <v>0</v>
      </c>
      <c r="BA58" s="111">
        <f t="shared" si="40"/>
        <v>0</v>
      </c>
      <c r="BB58" s="111">
        <f t="shared" si="40"/>
        <v>0</v>
      </c>
      <c r="BC58" s="111">
        <f t="shared" si="40"/>
        <v>0</v>
      </c>
    </row>
    <row r="59">
      <c r="A59" s="1"/>
      <c r="B59" s="111" t="s">
        <v>231</v>
      </c>
      <c r="C59" s="103" t="str">
        <f>'Get Started'!$C$20</f>
        <v>$</v>
      </c>
      <c r="D59" s="111" t="str">
        <f t="shared" ref="D59:D60" si="42">B59</f>
        <v>Billings</v>
      </c>
      <c r="H59" s="79" t="s">
        <v>193</v>
      </c>
      <c r="I59" s="87">
        <f t="shared" si="35"/>
        <v>40811.47688</v>
      </c>
      <c r="J59" s="93"/>
      <c r="K59" s="114" t="s">
        <v>232</v>
      </c>
      <c r="M59" s="93"/>
      <c r="N59" s="93"/>
      <c r="O59" s="93"/>
      <c r="P59" s="93"/>
      <c r="Q59" s="93"/>
      <c r="R59" s="93"/>
      <c r="S59" s="93"/>
      <c r="T59" s="111">
        <f t="shared" ref="T59:BC59" si="41">if(T$5="","",sum(T110:T111))</f>
        <v>1000</v>
      </c>
      <c r="U59" s="111">
        <f t="shared" si="41"/>
        <v>1000</v>
      </c>
      <c r="V59" s="111">
        <f t="shared" si="41"/>
        <v>1000</v>
      </c>
      <c r="W59" s="111">
        <f t="shared" si="41"/>
        <v>1000</v>
      </c>
      <c r="X59" s="111">
        <f t="shared" si="41"/>
        <v>1000</v>
      </c>
      <c r="Y59" s="111">
        <f t="shared" si="41"/>
        <v>1000</v>
      </c>
      <c r="Z59" s="111">
        <f t="shared" si="41"/>
        <v>1050</v>
      </c>
      <c r="AA59" s="111">
        <f t="shared" si="41"/>
        <v>1050</v>
      </c>
      <c r="AB59" s="111">
        <f t="shared" si="41"/>
        <v>1050</v>
      </c>
      <c r="AC59" s="111">
        <f t="shared" si="41"/>
        <v>1050</v>
      </c>
      <c r="AD59" s="111">
        <f t="shared" si="41"/>
        <v>1050</v>
      </c>
      <c r="AE59" s="111">
        <f t="shared" si="41"/>
        <v>1050</v>
      </c>
      <c r="AF59" s="111">
        <f t="shared" si="41"/>
        <v>1102.5</v>
      </c>
      <c r="AG59" s="111">
        <f t="shared" si="41"/>
        <v>1102.5</v>
      </c>
      <c r="AH59" s="111">
        <f t="shared" si="41"/>
        <v>1102.5</v>
      </c>
      <c r="AI59" s="111">
        <f t="shared" si="41"/>
        <v>1102.5</v>
      </c>
      <c r="AJ59" s="111">
        <f t="shared" si="41"/>
        <v>1102.5</v>
      </c>
      <c r="AK59" s="111">
        <f t="shared" si="41"/>
        <v>1102.5</v>
      </c>
      <c r="AL59" s="111">
        <f t="shared" si="41"/>
        <v>1157.625</v>
      </c>
      <c r="AM59" s="111">
        <f t="shared" si="41"/>
        <v>1157.625</v>
      </c>
      <c r="AN59" s="111">
        <f t="shared" si="41"/>
        <v>1157.625</v>
      </c>
      <c r="AO59" s="111">
        <f t="shared" si="41"/>
        <v>1157.625</v>
      </c>
      <c r="AP59" s="111">
        <f t="shared" si="41"/>
        <v>1157.625</v>
      </c>
      <c r="AQ59" s="111">
        <f t="shared" si="41"/>
        <v>1157.625</v>
      </c>
      <c r="AR59" s="111">
        <f t="shared" si="41"/>
        <v>1215.50625</v>
      </c>
      <c r="AS59" s="111">
        <f t="shared" si="41"/>
        <v>1215.50625</v>
      </c>
      <c r="AT59" s="111">
        <f t="shared" si="41"/>
        <v>1215.50625</v>
      </c>
      <c r="AU59" s="111">
        <f t="shared" si="41"/>
        <v>1215.50625</v>
      </c>
      <c r="AV59" s="111">
        <f t="shared" si="41"/>
        <v>1215.50625</v>
      </c>
      <c r="AW59" s="111">
        <f t="shared" si="41"/>
        <v>1215.50625</v>
      </c>
      <c r="AX59" s="111">
        <f t="shared" si="41"/>
        <v>1276.281563</v>
      </c>
      <c r="AY59" s="111">
        <f t="shared" si="41"/>
        <v>1276.281563</v>
      </c>
      <c r="AZ59" s="111">
        <f t="shared" si="41"/>
        <v>1276.281563</v>
      </c>
      <c r="BA59" s="111">
        <f t="shared" si="41"/>
        <v>1276.281563</v>
      </c>
      <c r="BB59" s="111">
        <f t="shared" si="41"/>
        <v>1276.281563</v>
      </c>
      <c r="BC59" s="111">
        <f t="shared" si="41"/>
        <v>1276.281563</v>
      </c>
    </row>
    <row r="60">
      <c r="A60" s="1"/>
      <c r="B60" s="114" t="s">
        <v>233</v>
      </c>
      <c r="C60" s="103" t="str">
        <f>'Get Started'!$C$20</f>
        <v>$</v>
      </c>
      <c r="D60" s="111" t="str">
        <f t="shared" si="42"/>
        <v>Cash Collected</v>
      </c>
      <c r="H60" s="79" t="s">
        <v>193</v>
      </c>
      <c r="I60" s="87">
        <f t="shared" si="35"/>
        <v>0</v>
      </c>
      <c r="J60" s="93"/>
      <c r="K60" s="114" t="s">
        <v>234</v>
      </c>
      <c r="M60" s="93"/>
      <c r="N60" s="93"/>
      <c r="O60" s="93"/>
      <c r="P60" s="93"/>
      <c r="Q60" s="93"/>
      <c r="R60" s="93"/>
      <c r="S60" s="93"/>
      <c r="T60" s="111">
        <f t="shared" ref="T60:BC60" si="43">if(T$5="","",abs(SUMIF($D$17:$D$47,$B60,T$17:T$47)))</f>
        <v>0</v>
      </c>
      <c r="U60" s="111">
        <f t="shared" si="43"/>
        <v>0</v>
      </c>
      <c r="V60" s="111">
        <f t="shared" si="43"/>
        <v>0</v>
      </c>
      <c r="W60" s="111">
        <f t="shared" si="43"/>
        <v>0</v>
      </c>
      <c r="X60" s="111">
        <f t="shared" si="43"/>
        <v>0</v>
      </c>
      <c r="Y60" s="111">
        <f t="shared" si="43"/>
        <v>0</v>
      </c>
      <c r="Z60" s="111">
        <f t="shared" si="43"/>
        <v>0</v>
      </c>
      <c r="AA60" s="111">
        <f t="shared" si="43"/>
        <v>0</v>
      </c>
      <c r="AB60" s="111">
        <f t="shared" si="43"/>
        <v>0</v>
      </c>
      <c r="AC60" s="111">
        <f t="shared" si="43"/>
        <v>0</v>
      </c>
      <c r="AD60" s="111">
        <f t="shared" si="43"/>
        <v>0</v>
      </c>
      <c r="AE60" s="111">
        <f t="shared" si="43"/>
        <v>0</v>
      </c>
      <c r="AF60" s="111">
        <f t="shared" si="43"/>
        <v>0</v>
      </c>
      <c r="AG60" s="111">
        <f t="shared" si="43"/>
        <v>0</v>
      </c>
      <c r="AH60" s="111">
        <f t="shared" si="43"/>
        <v>0</v>
      </c>
      <c r="AI60" s="111">
        <f t="shared" si="43"/>
        <v>0</v>
      </c>
      <c r="AJ60" s="111">
        <f t="shared" si="43"/>
        <v>0</v>
      </c>
      <c r="AK60" s="111">
        <f t="shared" si="43"/>
        <v>0</v>
      </c>
      <c r="AL60" s="111">
        <f t="shared" si="43"/>
        <v>0</v>
      </c>
      <c r="AM60" s="111">
        <f t="shared" si="43"/>
        <v>0</v>
      </c>
      <c r="AN60" s="111">
        <f t="shared" si="43"/>
        <v>0</v>
      </c>
      <c r="AO60" s="111">
        <f t="shared" si="43"/>
        <v>0</v>
      </c>
      <c r="AP60" s="111">
        <f t="shared" si="43"/>
        <v>0</v>
      </c>
      <c r="AQ60" s="111">
        <f t="shared" si="43"/>
        <v>0</v>
      </c>
      <c r="AR60" s="111">
        <f t="shared" si="43"/>
        <v>0</v>
      </c>
      <c r="AS60" s="111">
        <f t="shared" si="43"/>
        <v>0</v>
      </c>
      <c r="AT60" s="111">
        <f t="shared" si="43"/>
        <v>0</v>
      </c>
      <c r="AU60" s="111">
        <f t="shared" si="43"/>
        <v>0</v>
      </c>
      <c r="AV60" s="111">
        <f t="shared" si="43"/>
        <v>0</v>
      </c>
      <c r="AW60" s="111">
        <f t="shared" si="43"/>
        <v>0</v>
      </c>
      <c r="AX60" s="111">
        <f t="shared" si="43"/>
        <v>0</v>
      </c>
      <c r="AY60" s="111">
        <f t="shared" si="43"/>
        <v>0</v>
      </c>
      <c r="AZ60" s="111">
        <f t="shared" si="43"/>
        <v>0</v>
      </c>
      <c r="BA60" s="111">
        <f t="shared" si="43"/>
        <v>0</v>
      </c>
      <c r="BB60" s="111">
        <f t="shared" si="43"/>
        <v>0</v>
      </c>
      <c r="BC60" s="111">
        <f t="shared" si="43"/>
        <v>0</v>
      </c>
    </row>
    <row r="61">
      <c r="A61" s="1"/>
      <c r="B61" s="104" t="s">
        <v>208</v>
      </c>
      <c r="C61" s="103" t="str">
        <f>'Get Started'!$C$20</f>
        <v>$</v>
      </c>
      <c r="D61" s="104" t="s">
        <v>159</v>
      </c>
      <c r="H61" s="79" t="s">
        <v>193</v>
      </c>
      <c r="I61" s="87">
        <f t="shared" si="35"/>
        <v>0</v>
      </c>
      <c r="J61" s="93"/>
      <c r="K61" s="114" t="s">
        <v>235</v>
      </c>
      <c r="M61" s="93"/>
      <c r="N61" s="93"/>
      <c r="O61" s="93"/>
      <c r="P61" s="93"/>
      <c r="Q61" s="93"/>
      <c r="R61" s="93"/>
      <c r="S61" s="93"/>
      <c r="T61" s="111">
        <f t="shared" ref="T61:BC61" si="44">if(T$5="","",abs(SUMIF($D$17:$D$47,$B61,T$17:T$47)))</f>
        <v>0</v>
      </c>
      <c r="U61" s="111">
        <f t="shared" si="44"/>
        <v>0</v>
      </c>
      <c r="V61" s="111">
        <f t="shared" si="44"/>
        <v>0</v>
      </c>
      <c r="W61" s="111">
        <f t="shared" si="44"/>
        <v>0</v>
      </c>
      <c r="X61" s="111">
        <f t="shared" si="44"/>
        <v>0</v>
      </c>
      <c r="Y61" s="111">
        <f t="shared" si="44"/>
        <v>0</v>
      </c>
      <c r="Z61" s="111">
        <f t="shared" si="44"/>
        <v>0</v>
      </c>
      <c r="AA61" s="111">
        <f t="shared" si="44"/>
        <v>0</v>
      </c>
      <c r="AB61" s="111">
        <f t="shared" si="44"/>
        <v>0</v>
      </c>
      <c r="AC61" s="111">
        <f t="shared" si="44"/>
        <v>0</v>
      </c>
      <c r="AD61" s="111">
        <f t="shared" si="44"/>
        <v>0</v>
      </c>
      <c r="AE61" s="111">
        <f t="shared" si="44"/>
        <v>0</v>
      </c>
      <c r="AF61" s="111">
        <f t="shared" si="44"/>
        <v>0</v>
      </c>
      <c r="AG61" s="111">
        <f t="shared" si="44"/>
        <v>0</v>
      </c>
      <c r="AH61" s="111">
        <f t="shared" si="44"/>
        <v>0</v>
      </c>
      <c r="AI61" s="111">
        <f t="shared" si="44"/>
        <v>0</v>
      </c>
      <c r="AJ61" s="111">
        <f t="shared" si="44"/>
        <v>0</v>
      </c>
      <c r="AK61" s="111">
        <f t="shared" si="44"/>
        <v>0</v>
      </c>
      <c r="AL61" s="111">
        <f t="shared" si="44"/>
        <v>0</v>
      </c>
      <c r="AM61" s="111">
        <f t="shared" si="44"/>
        <v>0</v>
      </c>
      <c r="AN61" s="111">
        <f t="shared" si="44"/>
        <v>0</v>
      </c>
      <c r="AO61" s="111">
        <f t="shared" si="44"/>
        <v>0</v>
      </c>
      <c r="AP61" s="111">
        <f t="shared" si="44"/>
        <v>0</v>
      </c>
      <c r="AQ61" s="111">
        <f t="shared" si="44"/>
        <v>0</v>
      </c>
      <c r="AR61" s="111">
        <f t="shared" si="44"/>
        <v>0</v>
      </c>
      <c r="AS61" s="111">
        <f t="shared" si="44"/>
        <v>0</v>
      </c>
      <c r="AT61" s="111">
        <f t="shared" si="44"/>
        <v>0</v>
      </c>
      <c r="AU61" s="111">
        <f t="shared" si="44"/>
        <v>0</v>
      </c>
      <c r="AV61" s="111">
        <f t="shared" si="44"/>
        <v>0</v>
      </c>
      <c r="AW61" s="111">
        <f t="shared" si="44"/>
        <v>0</v>
      </c>
      <c r="AX61" s="111">
        <f t="shared" si="44"/>
        <v>0</v>
      </c>
      <c r="AY61" s="111">
        <f t="shared" si="44"/>
        <v>0</v>
      </c>
      <c r="AZ61" s="111">
        <f t="shared" si="44"/>
        <v>0</v>
      </c>
      <c r="BA61" s="111">
        <f t="shared" si="44"/>
        <v>0</v>
      </c>
      <c r="BB61" s="111">
        <f t="shared" si="44"/>
        <v>0</v>
      </c>
      <c r="BC61" s="111">
        <f t="shared" si="44"/>
        <v>0</v>
      </c>
    </row>
    <row r="62">
      <c r="B62" s="104" t="s">
        <v>212</v>
      </c>
      <c r="C62" s="103" t="str">
        <f>'Get Started'!$C$20</f>
        <v>$</v>
      </c>
      <c r="D62" s="104" t="s">
        <v>159</v>
      </c>
      <c r="H62" s="79" t="s">
        <v>193</v>
      </c>
      <c r="I62" s="87">
        <f t="shared" si="35"/>
        <v>40811.47688</v>
      </c>
      <c r="K62" s="114" t="s">
        <v>235</v>
      </c>
      <c r="T62" s="111">
        <f t="shared" ref="T62:BC62" si="45">if(T$5="","",abs(SUMIF($D$17:$D$47,$B62,T$17:T$47)))</f>
        <v>1000</v>
      </c>
      <c r="U62" s="111">
        <f t="shared" si="45"/>
        <v>1000</v>
      </c>
      <c r="V62" s="111">
        <f t="shared" si="45"/>
        <v>1000</v>
      </c>
      <c r="W62" s="111">
        <f t="shared" si="45"/>
        <v>1000</v>
      </c>
      <c r="X62" s="111">
        <f t="shared" si="45"/>
        <v>1000</v>
      </c>
      <c r="Y62" s="111">
        <f t="shared" si="45"/>
        <v>1000</v>
      </c>
      <c r="Z62" s="111">
        <f t="shared" si="45"/>
        <v>1050</v>
      </c>
      <c r="AA62" s="111">
        <f t="shared" si="45"/>
        <v>1050</v>
      </c>
      <c r="AB62" s="111">
        <f t="shared" si="45"/>
        <v>1050</v>
      </c>
      <c r="AC62" s="111">
        <f t="shared" si="45"/>
        <v>1050</v>
      </c>
      <c r="AD62" s="111">
        <f t="shared" si="45"/>
        <v>1050</v>
      </c>
      <c r="AE62" s="111">
        <f t="shared" si="45"/>
        <v>1050</v>
      </c>
      <c r="AF62" s="111">
        <f t="shared" si="45"/>
        <v>1102.5</v>
      </c>
      <c r="AG62" s="111">
        <f t="shared" si="45"/>
        <v>1102.5</v>
      </c>
      <c r="AH62" s="111">
        <f t="shared" si="45"/>
        <v>1102.5</v>
      </c>
      <c r="AI62" s="111">
        <f t="shared" si="45"/>
        <v>1102.5</v>
      </c>
      <c r="AJ62" s="111">
        <f t="shared" si="45"/>
        <v>1102.5</v>
      </c>
      <c r="AK62" s="111">
        <f t="shared" si="45"/>
        <v>1102.5</v>
      </c>
      <c r="AL62" s="111">
        <f t="shared" si="45"/>
        <v>1157.625</v>
      </c>
      <c r="AM62" s="111">
        <f t="shared" si="45"/>
        <v>1157.625</v>
      </c>
      <c r="AN62" s="111">
        <f t="shared" si="45"/>
        <v>1157.625</v>
      </c>
      <c r="AO62" s="111">
        <f t="shared" si="45"/>
        <v>1157.625</v>
      </c>
      <c r="AP62" s="111">
        <f t="shared" si="45"/>
        <v>1157.625</v>
      </c>
      <c r="AQ62" s="111">
        <f t="shared" si="45"/>
        <v>1157.625</v>
      </c>
      <c r="AR62" s="111">
        <f t="shared" si="45"/>
        <v>1215.50625</v>
      </c>
      <c r="AS62" s="111">
        <f t="shared" si="45"/>
        <v>1215.50625</v>
      </c>
      <c r="AT62" s="111">
        <f t="shared" si="45"/>
        <v>1215.50625</v>
      </c>
      <c r="AU62" s="111">
        <f t="shared" si="45"/>
        <v>1215.50625</v>
      </c>
      <c r="AV62" s="111">
        <f t="shared" si="45"/>
        <v>1215.50625</v>
      </c>
      <c r="AW62" s="111">
        <f t="shared" si="45"/>
        <v>1215.50625</v>
      </c>
      <c r="AX62" s="111">
        <f t="shared" si="45"/>
        <v>1276.281563</v>
      </c>
      <c r="AY62" s="111">
        <f t="shared" si="45"/>
        <v>1276.281563</v>
      </c>
      <c r="AZ62" s="111">
        <f t="shared" si="45"/>
        <v>1276.281563</v>
      </c>
      <c r="BA62" s="111">
        <f t="shared" si="45"/>
        <v>1276.281563</v>
      </c>
      <c r="BB62" s="111">
        <f t="shared" si="45"/>
        <v>1276.281563</v>
      </c>
      <c r="BC62" s="111">
        <f t="shared" si="45"/>
        <v>1276.281563</v>
      </c>
    </row>
    <row r="63">
      <c r="A63" s="1"/>
      <c r="B63" s="108" t="s">
        <v>217</v>
      </c>
      <c r="C63" s="103" t="str">
        <f>'Get Started'!$C$20</f>
        <v>$</v>
      </c>
      <c r="D63" s="108" t="s">
        <v>165</v>
      </c>
      <c r="H63" s="79" t="s">
        <v>193</v>
      </c>
      <c r="I63" s="87">
        <f t="shared" si="35"/>
        <v>0</v>
      </c>
      <c r="J63" s="93"/>
      <c r="K63" s="114" t="s">
        <v>236</v>
      </c>
      <c r="M63" s="93"/>
      <c r="N63" s="93"/>
      <c r="O63" s="93"/>
      <c r="P63" s="93"/>
      <c r="Q63" s="93" t="s">
        <v>226</v>
      </c>
      <c r="R63" s="117" t="b">
        <v>0</v>
      </c>
      <c r="S63" s="118" t="str">
        <f t="shared" ref="S63:S71" si="47">B63</f>
        <v>Salaries and Benefits</v>
      </c>
      <c r="T63" s="111">
        <f t="shared" ref="T63:BC63" si="46">if(T$5="","",abs(SUMIF($D$17:$D$47,$B63,T$17:T$47)))</f>
        <v>0</v>
      </c>
      <c r="U63" s="111">
        <f t="shared" si="46"/>
        <v>0</v>
      </c>
      <c r="V63" s="111">
        <f t="shared" si="46"/>
        <v>0</v>
      </c>
      <c r="W63" s="111">
        <f t="shared" si="46"/>
        <v>0</v>
      </c>
      <c r="X63" s="111">
        <f t="shared" si="46"/>
        <v>0</v>
      </c>
      <c r="Y63" s="111">
        <f t="shared" si="46"/>
        <v>0</v>
      </c>
      <c r="Z63" s="111">
        <f t="shared" si="46"/>
        <v>0</v>
      </c>
      <c r="AA63" s="111">
        <f t="shared" si="46"/>
        <v>0</v>
      </c>
      <c r="AB63" s="111">
        <f t="shared" si="46"/>
        <v>0</v>
      </c>
      <c r="AC63" s="111">
        <f t="shared" si="46"/>
        <v>0</v>
      </c>
      <c r="AD63" s="111">
        <f t="shared" si="46"/>
        <v>0</v>
      </c>
      <c r="AE63" s="111">
        <f t="shared" si="46"/>
        <v>0</v>
      </c>
      <c r="AF63" s="111">
        <f t="shared" si="46"/>
        <v>0</v>
      </c>
      <c r="AG63" s="111">
        <f t="shared" si="46"/>
        <v>0</v>
      </c>
      <c r="AH63" s="111">
        <f t="shared" si="46"/>
        <v>0</v>
      </c>
      <c r="AI63" s="111">
        <f t="shared" si="46"/>
        <v>0</v>
      </c>
      <c r="AJ63" s="111">
        <f t="shared" si="46"/>
        <v>0</v>
      </c>
      <c r="AK63" s="111">
        <f t="shared" si="46"/>
        <v>0</v>
      </c>
      <c r="AL63" s="111">
        <f t="shared" si="46"/>
        <v>0</v>
      </c>
      <c r="AM63" s="111">
        <f t="shared" si="46"/>
        <v>0</v>
      </c>
      <c r="AN63" s="111">
        <f t="shared" si="46"/>
        <v>0</v>
      </c>
      <c r="AO63" s="111">
        <f t="shared" si="46"/>
        <v>0</v>
      </c>
      <c r="AP63" s="111">
        <f t="shared" si="46"/>
        <v>0</v>
      </c>
      <c r="AQ63" s="111">
        <f t="shared" si="46"/>
        <v>0</v>
      </c>
      <c r="AR63" s="111">
        <f t="shared" si="46"/>
        <v>0</v>
      </c>
      <c r="AS63" s="111">
        <f t="shared" si="46"/>
        <v>0</v>
      </c>
      <c r="AT63" s="111">
        <f t="shared" si="46"/>
        <v>0</v>
      </c>
      <c r="AU63" s="111">
        <f t="shared" si="46"/>
        <v>0</v>
      </c>
      <c r="AV63" s="111">
        <f t="shared" si="46"/>
        <v>0</v>
      </c>
      <c r="AW63" s="111">
        <f t="shared" si="46"/>
        <v>0</v>
      </c>
      <c r="AX63" s="111">
        <f t="shared" si="46"/>
        <v>0</v>
      </c>
      <c r="AY63" s="111">
        <f t="shared" si="46"/>
        <v>0</v>
      </c>
      <c r="AZ63" s="111">
        <f t="shared" si="46"/>
        <v>0</v>
      </c>
      <c r="BA63" s="111">
        <f t="shared" si="46"/>
        <v>0</v>
      </c>
      <c r="BB63" s="111">
        <f t="shared" si="46"/>
        <v>0</v>
      </c>
      <c r="BC63" s="111">
        <f t="shared" si="46"/>
        <v>0</v>
      </c>
    </row>
    <row r="64">
      <c r="A64" s="1"/>
      <c r="B64" s="108" t="s">
        <v>237</v>
      </c>
      <c r="C64" s="103" t="str">
        <f>'Get Started'!$C$20</f>
        <v>$</v>
      </c>
      <c r="D64" s="108" t="s">
        <v>165</v>
      </c>
      <c r="H64" s="79" t="s">
        <v>193</v>
      </c>
      <c r="I64" s="87">
        <f t="shared" si="35"/>
        <v>0</v>
      </c>
      <c r="J64" s="93"/>
      <c r="K64" s="114" t="s">
        <v>238</v>
      </c>
      <c r="M64" s="93"/>
      <c r="N64" s="93"/>
      <c r="O64" s="93"/>
      <c r="P64" s="93"/>
      <c r="Q64" s="93" t="s">
        <v>226</v>
      </c>
      <c r="R64" s="119" t="b">
        <v>0</v>
      </c>
      <c r="S64" s="118" t="str">
        <f t="shared" si="47"/>
        <v>Advertising &amp; Marketing</v>
      </c>
      <c r="T64" s="111">
        <f t="shared" ref="T64:BC64" si="48">if(T$5="","",abs(SUMIF($D$17:$D$47,$B64,T$17:T$47)))</f>
        <v>0</v>
      </c>
      <c r="U64" s="111">
        <f t="shared" si="48"/>
        <v>0</v>
      </c>
      <c r="V64" s="111">
        <f t="shared" si="48"/>
        <v>0</v>
      </c>
      <c r="W64" s="111">
        <f t="shared" si="48"/>
        <v>0</v>
      </c>
      <c r="X64" s="111">
        <f t="shared" si="48"/>
        <v>0</v>
      </c>
      <c r="Y64" s="111">
        <f t="shared" si="48"/>
        <v>0</v>
      </c>
      <c r="Z64" s="111">
        <f t="shared" si="48"/>
        <v>0</v>
      </c>
      <c r="AA64" s="111">
        <f t="shared" si="48"/>
        <v>0</v>
      </c>
      <c r="AB64" s="111">
        <f t="shared" si="48"/>
        <v>0</v>
      </c>
      <c r="AC64" s="111">
        <f t="shared" si="48"/>
        <v>0</v>
      </c>
      <c r="AD64" s="111">
        <f t="shared" si="48"/>
        <v>0</v>
      </c>
      <c r="AE64" s="111">
        <f t="shared" si="48"/>
        <v>0</v>
      </c>
      <c r="AF64" s="111">
        <f t="shared" si="48"/>
        <v>0</v>
      </c>
      <c r="AG64" s="111">
        <f t="shared" si="48"/>
        <v>0</v>
      </c>
      <c r="AH64" s="111">
        <f t="shared" si="48"/>
        <v>0</v>
      </c>
      <c r="AI64" s="111">
        <f t="shared" si="48"/>
        <v>0</v>
      </c>
      <c r="AJ64" s="111">
        <f t="shared" si="48"/>
        <v>0</v>
      </c>
      <c r="AK64" s="111">
        <f t="shared" si="48"/>
        <v>0</v>
      </c>
      <c r="AL64" s="111">
        <f t="shared" si="48"/>
        <v>0</v>
      </c>
      <c r="AM64" s="111">
        <f t="shared" si="48"/>
        <v>0</v>
      </c>
      <c r="AN64" s="111">
        <f t="shared" si="48"/>
        <v>0</v>
      </c>
      <c r="AO64" s="111">
        <f t="shared" si="48"/>
        <v>0</v>
      </c>
      <c r="AP64" s="111">
        <f t="shared" si="48"/>
        <v>0</v>
      </c>
      <c r="AQ64" s="111">
        <f t="shared" si="48"/>
        <v>0</v>
      </c>
      <c r="AR64" s="111">
        <f t="shared" si="48"/>
        <v>0</v>
      </c>
      <c r="AS64" s="111">
        <f t="shared" si="48"/>
        <v>0</v>
      </c>
      <c r="AT64" s="111">
        <f t="shared" si="48"/>
        <v>0</v>
      </c>
      <c r="AU64" s="111">
        <f t="shared" si="48"/>
        <v>0</v>
      </c>
      <c r="AV64" s="111">
        <f t="shared" si="48"/>
        <v>0</v>
      </c>
      <c r="AW64" s="111">
        <f t="shared" si="48"/>
        <v>0</v>
      </c>
      <c r="AX64" s="111">
        <f t="shared" si="48"/>
        <v>0</v>
      </c>
      <c r="AY64" s="111">
        <f t="shared" si="48"/>
        <v>0</v>
      </c>
      <c r="AZ64" s="111">
        <f t="shared" si="48"/>
        <v>0</v>
      </c>
      <c r="BA64" s="111">
        <f t="shared" si="48"/>
        <v>0</v>
      </c>
      <c r="BB64" s="111">
        <f t="shared" si="48"/>
        <v>0</v>
      </c>
      <c r="BC64" s="111">
        <f t="shared" si="48"/>
        <v>0</v>
      </c>
    </row>
    <row r="65">
      <c r="A65" s="1"/>
      <c r="B65" s="108" t="s">
        <v>239</v>
      </c>
      <c r="C65" s="103" t="str">
        <f>'Get Started'!$C$20</f>
        <v>$</v>
      </c>
      <c r="D65" s="108" t="s">
        <v>165</v>
      </c>
      <c r="H65" s="79" t="s">
        <v>193</v>
      </c>
      <c r="I65" s="87">
        <f t="shared" si="35"/>
        <v>0</v>
      </c>
      <c r="J65" s="93"/>
      <c r="K65" s="114" t="s">
        <v>238</v>
      </c>
      <c r="M65" s="93"/>
      <c r="N65" s="93"/>
      <c r="O65" s="93"/>
      <c r="P65" s="93"/>
      <c r="Q65" s="93" t="s">
        <v>226</v>
      </c>
      <c r="R65" s="117" t="b">
        <v>0</v>
      </c>
      <c r="S65" s="118" t="str">
        <f t="shared" si="47"/>
        <v>Design &amp; Development</v>
      </c>
      <c r="T65" s="111">
        <f t="shared" ref="T65:BC65" si="49">if(T$5="","",abs(SUMIF($D$17:$D$47,$B65,T$17:T$47)))</f>
        <v>0</v>
      </c>
      <c r="U65" s="111">
        <f t="shared" si="49"/>
        <v>0</v>
      </c>
      <c r="V65" s="111">
        <f t="shared" si="49"/>
        <v>0</v>
      </c>
      <c r="W65" s="111">
        <f t="shared" si="49"/>
        <v>0</v>
      </c>
      <c r="X65" s="111">
        <f t="shared" si="49"/>
        <v>0</v>
      </c>
      <c r="Y65" s="111">
        <f t="shared" si="49"/>
        <v>0</v>
      </c>
      <c r="Z65" s="111">
        <f t="shared" si="49"/>
        <v>0</v>
      </c>
      <c r="AA65" s="111">
        <f t="shared" si="49"/>
        <v>0</v>
      </c>
      <c r="AB65" s="111">
        <f t="shared" si="49"/>
        <v>0</v>
      </c>
      <c r="AC65" s="111">
        <f t="shared" si="49"/>
        <v>0</v>
      </c>
      <c r="AD65" s="111">
        <f t="shared" si="49"/>
        <v>0</v>
      </c>
      <c r="AE65" s="111">
        <f t="shared" si="49"/>
        <v>0</v>
      </c>
      <c r="AF65" s="111">
        <f t="shared" si="49"/>
        <v>0</v>
      </c>
      <c r="AG65" s="111">
        <f t="shared" si="49"/>
        <v>0</v>
      </c>
      <c r="AH65" s="111">
        <f t="shared" si="49"/>
        <v>0</v>
      </c>
      <c r="AI65" s="111">
        <f t="shared" si="49"/>
        <v>0</v>
      </c>
      <c r="AJ65" s="111">
        <f t="shared" si="49"/>
        <v>0</v>
      </c>
      <c r="AK65" s="111">
        <f t="shared" si="49"/>
        <v>0</v>
      </c>
      <c r="AL65" s="111">
        <f t="shared" si="49"/>
        <v>0</v>
      </c>
      <c r="AM65" s="111">
        <f t="shared" si="49"/>
        <v>0</v>
      </c>
      <c r="AN65" s="111">
        <f t="shared" si="49"/>
        <v>0</v>
      </c>
      <c r="AO65" s="111">
        <f t="shared" si="49"/>
        <v>0</v>
      </c>
      <c r="AP65" s="111">
        <f t="shared" si="49"/>
        <v>0</v>
      </c>
      <c r="AQ65" s="111">
        <f t="shared" si="49"/>
        <v>0</v>
      </c>
      <c r="AR65" s="111">
        <f t="shared" si="49"/>
        <v>0</v>
      </c>
      <c r="AS65" s="111">
        <f t="shared" si="49"/>
        <v>0</v>
      </c>
      <c r="AT65" s="111">
        <f t="shared" si="49"/>
        <v>0</v>
      </c>
      <c r="AU65" s="111">
        <f t="shared" si="49"/>
        <v>0</v>
      </c>
      <c r="AV65" s="111">
        <f t="shared" si="49"/>
        <v>0</v>
      </c>
      <c r="AW65" s="111">
        <f t="shared" si="49"/>
        <v>0</v>
      </c>
      <c r="AX65" s="111">
        <f t="shared" si="49"/>
        <v>0</v>
      </c>
      <c r="AY65" s="111">
        <f t="shared" si="49"/>
        <v>0</v>
      </c>
      <c r="AZ65" s="111">
        <f t="shared" si="49"/>
        <v>0</v>
      </c>
      <c r="BA65" s="111">
        <f t="shared" si="49"/>
        <v>0</v>
      </c>
      <c r="BB65" s="111">
        <f t="shared" si="49"/>
        <v>0</v>
      </c>
      <c r="BC65" s="111">
        <f t="shared" si="49"/>
        <v>0</v>
      </c>
    </row>
    <row r="66">
      <c r="A66" s="1"/>
      <c r="B66" s="108" t="s">
        <v>240</v>
      </c>
      <c r="C66" s="103" t="str">
        <f>'Get Started'!$C$20</f>
        <v>$</v>
      </c>
      <c r="D66" s="108" t="s">
        <v>165</v>
      </c>
      <c r="H66" s="79" t="s">
        <v>193</v>
      </c>
      <c r="I66" s="87">
        <f t="shared" si="35"/>
        <v>0</v>
      </c>
      <c r="J66" s="93"/>
      <c r="K66" s="114" t="s">
        <v>238</v>
      </c>
      <c r="M66" s="93"/>
      <c r="N66" s="93"/>
      <c r="O66" s="93"/>
      <c r="P66" s="93"/>
      <c r="Q66" s="93" t="s">
        <v>226</v>
      </c>
      <c r="R66" s="117" t="b">
        <v>0</v>
      </c>
      <c r="S66" s="118" t="str">
        <f t="shared" si="47"/>
        <v>Legal and Accounting</v>
      </c>
      <c r="T66" s="111">
        <f t="shared" ref="T66:BC66" si="50">if(T$5="","",abs(SUMIF($D$17:$D$47,$B66,T$17:T$47)))</f>
        <v>0</v>
      </c>
      <c r="U66" s="111">
        <f t="shared" si="50"/>
        <v>0</v>
      </c>
      <c r="V66" s="111">
        <f t="shared" si="50"/>
        <v>0</v>
      </c>
      <c r="W66" s="111">
        <f t="shared" si="50"/>
        <v>0</v>
      </c>
      <c r="X66" s="111">
        <f t="shared" si="50"/>
        <v>0</v>
      </c>
      <c r="Y66" s="111">
        <f t="shared" si="50"/>
        <v>0</v>
      </c>
      <c r="Z66" s="111">
        <f t="shared" si="50"/>
        <v>0</v>
      </c>
      <c r="AA66" s="111">
        <f t="shared" si="50"/>
        <v>0</v>
      </c>
      <c r="AB66" s="111">
        <f t="shared" si="50"/>
        <v>0</v>
      </c>
      <c r="AC66" s="111">
        <f t="shared" si="50"/>
        <v>0</v>
      </c>
      <c r="AD66" s="111">
        <f t="shared" si="50"/>
        <v>0</v>
      </c>
      <c r="AE66" s="111">
        <f t="shared" si="50"/>
        <v>0</v>
      </c>
      <c r="AF66" s="111">
        <f t="shared" si="50"/>
        <v>0</v>
      </c>
      <c r="AG66" s="111">
        <f t="shared" si="50"/>
        <v>0</v>
      </c>
      <c r="AH66" s="111">
        <f t="shared" si="50"/>
        <v>0</v>
      </c>
      <c r="AI66" s="111">
        <f t="shared" si="50"/>
        <v>0</v>
      </c>
      <c r="AJ66" s="111">
        <f t="shared" si="50"/>
        <v>0</v>
      </c>
      <c r="AK66" s="111">
        <f t="shared" si="50"/>
        <v>0</v>
      </c>
      <c r="AL66" s="111">
        <f t="shared" si="50"/>
        <v>0</v>
      </c>
      <c r="AM66" s="111">
        <f t="shared" si="50"/>
        <v>0</v>
      </c>
      <c r="AN66" s="111">
        <f t="shared" si="50"/>
        <v>0</v>
      </c>
      <c r="AO66" s="111">
        <f t="shared" si="50"/>
        <v>0</v>
      </c>
      <c r="AP66" s="111">
        <f t="shared" si="50"/>
        <v>0</v>
      </c>
      <c r="AQ66" s="111">
        <f t="shared" si="50"/>
        <v>0</v>
      </c>
      <c r="AR66" s="111">
        <f t="shared" si="50"/>
        <v>0</v>
      </c>
      <c r="AS66" s="111">
        <f t="shared" si="50"/>
        <v>0</v>
      </c>
      <c r="AT66" s="111">
        <f t="shared" si="50"/>
        <v>0</v>
      </c>
      <c r="AU66" s="111">
        <f t="shared" si="50"/>
        <v>0</v>
      </c>
      <c r="AV66" s="111">
        <f t="shared" si="50"/>
        <v>0</v>
      </c>
      <c r="AW66" s="111">
        <f t="shared" si="50"/>
        <v>0</v>
      </c>
      <c r="AX66" s="111">
        <f t="shared" si="50"/>
        <v>0</v>
      </c>
      <c r="AY66" s="111">
        <f t="shared" si="50"/>
        <v>0</v>
      </c>
      <c r="AZ66" s="111">
        <f t="shared" si="50"/>
        <v>0</v>
      </c>
      <c r="BA66" s="111">
        <f t="shared" si="50"/>
        <v>0</v>
      </c>
      <c r="BB66" s="111">
        <f t="shared" si="50"/>
        <v>0</v>
      </c>
      <c r="BC66" s="111">
        <f t="shared" si="50"/>
        <v>0</v>
      </c>
    </row>
    <row r="67">
      <c r="A67" s="1"/>
      <c r="B67" s="108" t="s">
        <v>220</v>
      </c>
      <c r="C67" s="103" t="str">
        <f>'Get Started'!$C$20</f>
        <v>$</v>
      </c>
      <c r="D67" s="108" t="s">
        <v>165</v>
      </c>
      <c r="H67" s="79" t="s">
        <v>193</v>
      </c>
      <c r="I67" s="87">
        <f t="shared" si="35"/>
        <v>0</v>
      </c>
      <c r="J67" s="93"/>
      <c r="K67" s="114" t="s">
        <v>238</v>
      </c>
      <c r="M67" s="93"/>
      <c r="N67" s="93"/>
      <c r="O67" s="93"/>
      <c r="P67" s="93"/>
      <c r="Q67" s="93" t="s">
        <v>226</v>
      </c>
      <c r="R67" s="117" t="b">
        <v>0</v>
      </c>
      <c r="S67" s="118" t="str">
        <f t="shared" si="47"/>
        <v>Overhead</v>
      </c>
      <c r="T67" s="111">
        <f t="shared" ref="T67:BC67" si="51">if(T$5="","",abs(SUMIF($D$17:$D$47,$B67,T$17:T$47)))</f>
        <v>0</v>
      </c>
      <c r="U67" s="111">
        <f t="shared" si="51"/>
        <v>0</v>
      </c>
      <c r="V67" s="111">
        <f t="shared" si="51"/>
        <v>0</v>
      </c>
      <c r="W67" s="111">
        <f t="shared" si="51"/>
        <v>0</v>
      </c>
      <c r="X67" s="111">
        <f t="shared" si="51"/>
        <v>0</v>
      </c>
      <c r="Y67" s="111">
        <f t="shared" si="51"/>
        <v>0</v>
      </c>
      <c r="Z67" s="111">
        <f t="shared" si="51"/>
        <v>0</v>
      </c>
      <c r="AA67" s="111">
        <f t="shared" si="51"/>
        <v>0</v>
      </c>
      <c r="AB67" s="111">
        <f t="shared" si="51"/>
        <v>0</v>
      </c>
      <c r="AC67" s="111">
        <f t="shared" si="51"/>
        <v>0</v>
      </c>
      <c r="AD67" s="111">
        <f t="shared" si="51"/>
        <v>0</v>
      </c>
      <c r="AE67" s="111">
        <f t="shared" si="51"/>
        <v>0</v>
      </c>
      <c r="AF67" s="111">
        <f t="shared" si="51"/>
        <v>0</v>
      </c>
      <c r="AG67" s="111">
        <f t="shared" si="51"/>
        <v>0</v>
      </c>
      <c r="AH67" s="111">
        <f t="shared" si="51"/>
        <v>0</v>
      </c>
      <c r="AI67" s="111">
        <f t="shared" si="51"/>
        <v>0</v>
      </c>
      <c r="AJ67" s="111">
        <f t="shared" si="51"/>
        <v>0</v>
      </c>
      <c r="AK67" s="111">
        <f t="shared" si="51"/>
        <v>0</v>
      </c>
      <c r="AL67" s="111">
        <f t="shared" si="51"/>
        <v>0</v>
      </c>
      <c r="AM67" s="111">
        <f t="shared" si="51"/>
        <v>0</v>
      </c>
      <c r="AN67" s="111">
        <f t="shared" si="51"/>
        <v>0</v>
      </c>
      <c r="AO67" s="111">
        <f t="shared" si="51"/>
        <v>0</v>
      </c>
      <c r="AP67" s="111">
        <f t="shared" si="51"/>
        <v>0</v>
      </c>
      <c r="AQ67" s="111">
        <f t="shared" si="51"/>
        <v>0</v>
      </c>
      <c r="AR67" s="111">
        <f t="shared" si="51"/>
        <v>0</v>
      </c>
      <c r="AS67" s="111">
        <f t="shared" si="51"/>
        <v>0</v>
      </c>
      <c r="AT67" s="111">
        <f t="shared" si="51"/>
        <v>0</v>
      </c>
      <c r="AU67" s="111">
        <f t="shared" si="51"/>
        <v>0</v>
      </c>
      <c r="AV67" s="111">
        <f t="shared" si="51"/>
        <v>0</v>
      </c>
      <c r="AW67" s="111">
        <f t="shared" si="51"/>
        <v>0</v>
      </c>
      <c r="AX67" s="111">
        <f t="shared" si="51"/>
        <v>0</v>
      </c>
      <c r="AY67" s="111">
        <f t="shared" si="51"/>
        <v>0</v>
      </c>
      <c r="AZ67" s="111">
        <f t="shared" si="51"/>
        <v>0</v>
      </c>
      <c r="BA67" s="111">
        <f t="shared" si="51"/>
        <v>0</v>
      </c>
      <c r="BB67" s="111">
        <f t="shared" si="51"/>
        <v>0</v>
      </c>
      <c r="BC67" s="111">
        <f t="shared" si="51"/>
        <v>0</v>
      </c>
    </row>
    <row r="68">
      <c r="A68" s="1"/>
      <c r="B68" s="108" t="s">
        <v>241</v>
      </c>
      <c r="C68" s="103" t="str">
        <f>'Get Started'!$C$20</f>
        <v>$</v>
      </c>
      <c r="D68" s="104" t="s">
        <v>242</v>
      </c>
      <c r="H68" s="79" t="s">
        <v>193</v>
      </c>
      <c r="I68" s="87">
        <f t="shared" si="35"/>
        <v>0</v>
      </c>
      <c r="J68" s="93"/>
      <c r="K68" s="114" t="s">
        <v>243</v>
      </c>
      <c r="M68" s="93"/>
      <c r="N68" s="93"/>
      <c r="O68" s="93"/>
      <c r="P68" s="93"/>
      <c r="Q68" s="93" t="s">
        <v>244</v>
      </c>
      <c r="R68" s="107" t="b">
        <v>0</v>
      </c>
      <c r="S68" s="118" t="str">
        <f t="shared" si="47"/>
        <v>Cost of Sales</v>
      </c>
      <c r="T68" s="111">
        <f t="shared" ref="T68:BC68" si="52">if(T$5="","",abs(SUMIF($D$17:$D$47,$B68,T$17:T$47)))</f>
        <v>0</v>
      </c>
      <c r="U68" s="111">
        <f t="shared" si="52"/>
        <v>0</v>
      </c>
      <c r="V68" s="111">
        <f t="shared" si="52"/>
        <v>0</v>
      </c>
      <c r="W68" s="111">
        <f t="shared" si="52"/>
        <v>0</v>
      </c>
      <c r="X68" s="111">
        <f t="shared" si="52"/>
        <v>0</v>
      </c>
      <c r="Y68" s="111">
        <f t="shared" si="52"/>
        <v>0</v>
      </c>
      <c r="Z68" s="111">
        <f t="shared" si="52"/>
        <v>0</v>
      </c>
      <c r="AA68" s="111">
        <f t="shared" si="52"/>
        <v>0</v>
      </c>
      <c r="AB68" s="111">
        <f t="shared" si="52"/>
        <v>0</v>
      </c>
      <c r="AC68" s="111">
        <f t="shared" si="52"/>
        <v>0</v>
      </c>
      <c r="AD68" s="111">
        <f t="shared" si="52"/>
        <v>0</v>
      </c>
      <c r="AE68" s="111">
        <f t="shared" si="52"/>
        <v>0</v>
      </c>
      <c r="AF68" s="111">
        <f t="shared" si="52"/>
        <v>0</v>
      </c>
      <c r="AG68" s="111">
        <f t="shared" si="52"/>
        <v>0</v>
      </c>
      <c r="AH68" s="111">
        <f t="shared" si="52"/>
        <v>0</v>
      </c>
      <c r="AI68" s="111">
        <f t="shared" si="52"/>
        <v>0</v>
      </c>
      <c r="AJ68" s="111">
        <f t="shared" si="52"/>
        <v>0</v>
      </c>
      <c r="AK68" s="111">
        <f t="shared" si="52"/>
        <v>0</v>
      </c>
      <c r="AL68" s="111">
        <f t="shared" si="52"/>
        <v>0</v>
      </c>
      <c r="AM68" s="111">
        <f t="shared" si="52"/>
        <v>0</v>
      </c>
      <c r="AN68" s="111">
        <f t="shared" si="52"/>
        <v>0</v>
      </c>
      <c r="AO68" s="111">
        <f t="shared" si="52"/>
        <v>0</v>
      </c>
      <c r="AP68" s="111">
        <f t="shared" si="52"/>
        <v>0</v>
      </c>
      <c r="AQ68" s="111">
        <f t="shared" si="52"/>
        <v>0</v>
      </c>
      <c r="AR68" s="111">
        <f t="shared" si="52"/>
        <v>0</v>
      </c>
      <c r="AS68" s="111">
        <f t="shared" si="52"/>
        <v>0</v>
      </c>
      <c r="AT68" s="111">
        <f t="shared" si="52"/>
        <v>0</v>
      </c>
      <c r="AU68" s="111">
        <f t="shared" si="52"/>
        <v>0</v>
      </c>
      <c r="AV68" s="111">
        <f t="shared" si="52"/>
        <v>0</v>
      </c>
      <c r="AW68" s="111">
        <f t="shared" si="52"/>
        <v>0</v>
      </c>
      <c r="AX68" s="111">
        <f t="shared" si="52"/>
        <v>0</v>
      </c>
      <c r="AY68" s="111">
        <f t="shared" si="52"/>
        <v>0</v>
      </c>
      <c r="AZ68" s="111">
        <f t="shared" si="52"/>
        <v>0</v>
      </c>
      <c r="BA68" s="111">
        <f t="shared" si="52"/>
        <v>0</v>
      </c>
      <c r="BB68" s="111">
        <f t="shared" si="52"/>
        <v>0</v>
      </c>
      <c r="BC68" s="111">
        <f t="shared" si="52"/>
        <v>0</v>
      </c>
    </row>
    <row r="69">
      <c r="A69" s="1"/>
      <c r="B69" s="108" t="s">
        <v>214</v>
      </c>
      <c r="C69" s="103" t="str">
        <f>'Get Started'!$C$20</f>
        <v>$</v>
      </c>
      <c r="D69" s="104" t="str">
        <f>D68</f>
        <v>Cost of Goods Sold</v>
      </c>
      <c r="H69" s="79" t="s">
        <v>193</v>
      </c>
      <c r="I69" s="87">
        <f t="shared" si="35"/>
        <v>0</v>
      </c>
      <c r="J69" s="93"/>
      <c r="K69" s="114" t="s">
        <v>243</v>
      </c>
      <c r="M69" s="93"/>
      <c r="N69" s="93"/>
      <c r="O69" s="93"/>
      <c r="P69" s="93"/>
      <c r="Q69" s="102" t="s">
        <v>244</v>
      </c>
      <c r="R69" s="107" t="b">
        <v>1</v>
      </c>
      <c r="S69" s="118" t="str">
        <f t="shared" si="47"/>
        <v>Product &amp; Materials</v>
      </c>
      <c r="T69" s="111">
        <f t="shared" ref="T69:BC69" si="53">if(T$5="","",abs(SUMIF($D$17:$D$47,$B69,T$17:T$47)))</f>
        <v>0</v>
      </c>
      <c r="U69" s="111">
        <f t="shared" si="53"/>
        <v>0</v>
      </c>
      <c r="V69" s="111">
        <f t="shared" si="53"/>
        <v>0</v>
      </c>
      <c r="W69" s="111">
        <f t="shared" si="53"/>
        <v>0</v>
      </c>
      <c r="X69" s="111">
        <f t="shared" si="53"/>
        <v>0</v>
      </c>
      <c r="Y69" s="111">
        <f t="shared" si="53"/>
        <v>0</v>
      </c>
      <c r="Z69" s="111">
        <f t="shared" si="53"/>
        <v>0</v>
      </c>
      <c r="AA69" s="111">
        <f t="shared" si="53"/>
        <v>0</v>
      </c>
      <c r="AB69" s="111">
        <f t="shared" si="53"/>
        <v>0</v>
      </c>
      <c r="AC69" s="111">
        <f t="shared" si="53"/>
        <v>0</v>
      </c>
      <c r="AD69" s="111">
        <f t="shared" si="53"/>
        <v>0</v>
      </c>
      <c r="AE69" s="111">
        <f t="shared" si="53"/>
        <v>0</v>
      </c>
      <c r="AF69" s="111">
        <f t="shared" si="53"/>
        <v>0</v>
      </c>
      <c r="AG69" s="111">
        <f t="shared" si="53"/>
        <v>0</v>
      </c>
      <c r="AH69" s="111">
        <f t="shared" si="53"/>
        <v>0</v>
      </c>
      <c r="AI69" s="111">
        <f t="shared" si="53"/>
        <v>0</v>
      </c>
      <c r="AJ69" s="111">
        <f t="shared" si="53"/>
        <v>0</v>
      </c>
      <c r="AK69" s="111">
        <f t="shared" si="53"/>
        <v>0</v>
      </c>
      <c r="AL69" s="111">
        <f t="shared" si="53"/>
        <v>0</v>
      </c>
      <c r="AM69" s="111">
        <f t="shared" si="53"/>
        <v>0</v>
      </c>
      <c r="AN69" s="111">
        <f t="shared" si="53"/>
        <v>0</v>
      </c>
      <c r="AO69" s="111">
        <f t="shared" si="53"/>
        <v>0</v>
      </c>
      <c r="AP69" s="111">
        <f t="shared" si="53"/>
        <v>0</v>
      </c>
      <c r="AQ69" s="111">
        <f t="shared" si="53"/>
        <v>0</v>
      </c>
      <c r="AR69" s="111">
        <f t="shared" si="53"/>
        <v>0</v>
      </c>
      <c r="AS69" s="111">
        <f t="shared" si="53"/>
        <v>0</v>
      </c>
      <c r="AT69" s="111">
        <f t="shared" si="53"/>
        <v>0</v>
      </c>
      <c r="AU69" s="111">
        <f t="shared" si="53"/>
        <v>0</v>
      </c>
      <c r="AV69" s="111">
        <f t="shared" si="53"/>
        <v>0</v>
      </c>
      <c r="AW69" s="111">
        <f t="shared" si="53"/>
        <v>0</v>
      </c>
      <c r="AX69" s="111">
        <f t="shared" si="53"/>
        <v>0</v>
      </c>
      <c r="AY69" s="111">
        <f t="shared" si="53"/>
        <v>0</v>
      </c>
      <c r="AZ69" s="111">
        <f t="shared" si="53"/>
        <v>0</v>
      </c>
      <c r="BA69" s="111">
        <f t="shared" si="53"/>
        <v>0</v>
      </c>
      <c r="BB69" s="111">
        <f t="shared" si="53"/>
        <v>0</v>
      </c>
      <c r="BC69" s="111">
        <f t="shared" si="53"/>
        <v>0</v>
      </c>
    </row>
    <row r="70">
      <c r="A70" s="1"/>
      <c r="B70" s="111" t="s">
        <v>245</v>
      </c>
      <c r="C70" s="103" t="str">
        <f>'Get Started'!$C$20</f>
        <v>$</v>
      </c>
      <c r="D70" s="111" t="s">
        <v>246</v>
      </c>
      <c r="H70" s="79" t="s">
        <v>193</v>
      </c>
      <c r="I70" s="87">
        <f t="shared" si="35"/>
        <v>0</v>
      </c>
      <c r="J70" s="93"/>
      <c r="K70" s="114" t="s">
        <v>247</v>
      </c>
      <c r="M70" s="93"/>
      <c r="N70" s="93"/>
      <c r="O70" s="93"/>
      <c r="P70" s="93"/>
      <c r="Q70" s="93"/>
      <c r="R70" s="93"/>
      <c r="S70" s="118" t="str">
        <f t="shared" si="47"/>
        <v>Capital Expenditures</v>
      </c>
      <c r="T70" s="111">
        <f t="shared" ref="T70:BC70" si="54">if(T$5="","",abs(SUMIF($D$17:$D$47,$B70,T$17:T$47)))</f>
        <v>0</v>
      </c>
      <c r="U70" s="111">
        <f t="shared" si="54"/>
        <v>0</v>
      </c>
      <c r="V70" s="111">
        <f t="shared" si="54"/>
        <v>0</v>
      </c>
      <c r="W70" s="111">
        <f t="shared" si="54"/>
        <v>0</v>
      </c>
      <c r="X70" s="111">
        <f t="shared" si="54"/>
        <v>0</v>
      </c>
      <c r="Y70" s="111">
        <f t="shared" si="54"/>
        <v>0</v>
      </c>
      <c r="Z70" s="111">
        <f t="shared" si="54"/>
        <v>0</v>
      </c>
      <c r="AA70" s="111">
        <f t="shared" si="54"/>
        <v>0</v>
      </c>
      <c r="AB70" s="111">
        <f t="shared" si="54"/>
        <v>0</v>
      </c>
      <c r="AC70" s="111">
        <f t="shared" si="54"/>
        <v>0</v>
      </c>
      <c r="AD70" s="111">
        <f t="shared" si="54"/>
        <v>0</v>
      </c>
      <c r="AE70" s="111">
        <f t="shared" si="54"/>
        <v>0</v>
      </c>
      <c r="AF70" s="111">
        <f t="shared" si="54"/>
        <v>0</v>
      </c>
      <c r="AG70" s="111">
        <f t="shared" si="54"/>
        <v>0</v>
      </c>
      <c r="AH70" s="111">
        <f t="shared" si="54"/>
        <v>0</v>
      </c>
      <c r="AI70" s="111">
        <f t="shared" si="54"/>
        <v>0</v>
      </c>
      <c r="AJ70" s="111">
        <f t="shared" si="54"/>
        <v>0</v>
      </c>
      <c r="AK70" s="111">
        <f t="shared" si="54"/>
        <v>0</v>
      </c>
      <c r="AL70" s="111">
        <f t="shared" si="54"/>
        <v>0</v>
      </c>
      <c r="AM70" s="111">
        <f t="shared" si="54"/>
        <v>0</v>
      </c>
      <c r="AN70" s="111">
        <f t="shared" si="54"/>
        <v>0</v>
      </c>
      <c r="AO70" s="111">
        <f t="shared" si="54"/>
        <v>0</v>
      </c>
      <c r="AP70" s="111">
        <f t="shared" si="54"/>
        <v>0</v>
      </c>
      <c r="AQ70" s="111">
        <f t="shared" si="54"/>
        <v>0</v>
      </c>
      <c r="AR70" s="111">
        <f t="shared" si="54"/>
        <v>0</v>
      </c>
      <c r="AS70" s="111">
        <f t="shared" si="54"/>
        <v>0</v>
      </c>
      <c r="AT70" s="111">
        <f t="shared" si="54"/>
        <v>0</v>
      </c>
      <c r="AU70" s="111">
        <f t="shared" si="54"/>
        <v>0</v>
      </c>
      <c r="AV70" s="111">
        <f t="shared" si="54"/>
        <v>0</v>
      </c>
      <c r="AW70" s="111">
        <f t="shared" si="54"/>
        <v>0</v>
      </c>
      <c r="AX70" s="111">
        <f t="shared" si="54"/>
        <v>0</v>
      </c>
      <c r="AY70" s="111">
        <f t="shared" si="54"/>
        <v>0</v>
      </c>
      <c r="AZ70" s="111">
        <f t="shared" si="54"/>
        <v>0</v>
      </c>
      <c r="BA70" s="111">
        <f t="shared" si="54"/>
        <v>0</v>
      </c>
      <c r="BB70" s="111">
        <f t="shared" si="54"/>
        <v>0</v>
      </c>
      <c r="BC70" s="111">
        <f t="shared" si="54"/>
        <v>0</v>
      </c>
    </row>
    <row r="71">
      <c r="A71" s="1"/>
      <c r="B71" s="111" t="str">
        <f>"Purchase (Disposal) of "&amp;D71</f>
        <v>Purchase (Disposal) of Other Assets</v>
      </c>
      <c r="C71" s="103" t="str">
        <f>'Get Started'!$C$20</f>
        <v>$</v>
      </c>
      <c r="D71" s="108" t="s">
        <v>248</v>
      </c>
      <c r="H71" s="79" t="s">
        <v>193</v>
      </c>
      <c r="I71" s="87">
        <f t="shared" si="35"/>
        <v>0</v>
      </c>
      <c r="J71" s="93"/>
      <c r="K71" s="114" t="s">
        <v>249</v>
      </c>
      <c r="M71" s="93"/>
      <c r="N71" s="93"/>
      <c r="O71" s="93"/>
      <c r="P71" s="93"/>
      <c r="Q71" s="93"/>
      <c r="R71" s="93"/>
      <c r="S71" s="118" t="str">
        <f t="shared" si="47"/>
        <v>Purchase (Disposal) of Other Assets</v>
      </c>
      <c r="T71" s="111">
        <f t="shared" ref="T71:BC71" si="55">if(T$5="","",abs(SUMIF($D$17:$D$47,$B71,T$17:T$47)))</f>
        <v>0</v>
      </c>
      <c r="U71" s="111">
        <f t="shared" si="55"/>
        <v>0</v>
      </c>
      <c r="V71" s="111">
        <f t="shared" si="55"/>
        <v>0</v>
      </c>
      <c r="W71" s="111">
        <f t="shared" si="55"/>
        <v>0</v>
      </c>
      <c r="X71" s="111">
        <f t="shared" si="55"/>
        <v>0</v>
      </c>
      <c r="Y71" s="111">
        <f t="shared" si="55"/>
        <v>0</v>
      </c>
      <c r="Z71" s="111">
        <f t="shared" si="55"/>
        <v>0</v>
      </c>
      <c r="AA71" s="111">
        <f t="shared" si="55"/>
        <v>0</v>
      </c>
      <c r="AB71" s="111">
        <f t="shared" si="55"/>
        <v>0</v>
      </c>
      <c r="AC71" s="111">
        <f t="shared" si="55"/>
        <v>0</v>
      </c>
      <c r="AD71" s="111">
        <f t="shared" si="55"/>
        <v>0</v>
      </c>
      <c r="AE71" s="111">
        <f t="shared" si="55"/>
        <v>0</v>
      </c>
      <c r="AF71" s="111">
        <f t="shared" si="55"/>
        <v>0</v>
      </c>
      <c r="AG71" s="111">
        <f t="shared" si="55"/>
        <v>0</v>
      </c>
      <c r="AH71" s="111">
        <f t="shared" si="55"/>
        <v>0</v>
      </c>
      <c r="AI71" s="111">
        <f t="shared" si="55"/>
        <v>0</v>
      </c>
      <c r="AJ71" s="111">
        <f t="shared" si="55"/>
        <v>0</v>
      </c>
      <c r="AK71" s="111">
        <f t="shared" si="55"/>
        <v>0</v>
      </c>
      <c r="AL71" s="111">
        <f t="shared" si="55"/>
        <v>0</v>
      </c>
      <c r="AM71" s="111">
        <f t="shared" si="55"/>
        <v>0</v>
      </c>
      <c r="AN71" s="111">
        <f t="shared" si="55"/>
        <v>0</v>
      </c>
      <c r="AO71" s="111">
        <f t="shared" si="55"/>
        <v>0</v>
      </c>
      <c r="AP71" s="111">
        <f t="shared" si="55"/>
        <v>0</v>
      </c>
      <c r="AQ71" s="111">
        <f t="shared" si="55"/>
        <v>0</v>
      </c>
      <c r="AR71" s="111">
        <f t="shared" si="55"/>
        <v>0</v>
      </c>
      <c r="AS71" s="111">
        <f t="shared" si="55"/>
        <v>0</v>
      </c>
      <c r="AT71" s="111">
        <f t="shared" si="55"/>
        <v>0</v>
      </c>
      <c r="AU71" s="111">
        <f t="shared" si="55"/>
        <v>0</v>
      </c>
      <c r="AV71" s="111">
        <f t="shared" si="55"/>
        <v>0</v>
      </c>
      <c r="AW71" s="111">
        <f t="shared" si="55"/>
        <v>0</v>
      </c>
      <c r="AX71" s="111">
        <f t="shared" si="55"/>
        <v>0</v>
      </c>
      <c r="AY71" s="111">
        <f t="shared" si="55"/>
        <v>0</v>
      </c>
      <c r="AZ71" s="111">
        <f t="shared" si="55"/>
        <v>0</v>
      </c>
      <c r="BA71" s="111">
        <f t="shared" si="55"/>
        <v>0</v>
      </c>
      <c r="BB71" s="111">
        <f t="shared" si="55"/>
        <v>0</v>
      </c>
      <c r="BC71" s="111">
        <f t="shared" si="55"/>
        <v>0</v>
      </c>
    </row>
    <row r="72">
      <c r="A72" s="1"/>
      <c r="B72" s="114" t="s">
        <v>250</v>
      </c>
      <c r="C72" s="103" t="str">
        <f>'Get Started'!$C$20</f>
        <v>$</v>
      </c>
      <c r="D72" s="114" t="s">
        <v>250</v>
      </c>
      <c r="H72" s="79" t="s">
        <v>193</v>
      </c>
      <c r="I72" s="87">
        <f t="shared" si="35"/>
        <v>0</v>
      </c>
      <c r="J72" s="93"/>
      <c r="K72" s="114" t="s">
        <v>251</v>
      </c>
      <c r="M72" s="93"/>
      <c r="N72" s="93"/>
      <c r="O72" s="93"/>
      <c r="P72" s="93"/>
      <c r="Q72" s="93"/>
      <c r="R72" s="93"/>
      <c r="S72" s="93"/>
      <c r="T72" s="111">
        <f t="shared" ref="T72:BC72" si="56">if(T$5="","",abs(SUMIF($D$17:$D$47,$B72,T$17:T$47)))</f>
        <v>0</v>
      </c>
      <c r="U72" s="111">
        <f t="shared" si="56"/>
        <v>0</v>
      </c>
      <c r="V72" s="111">
        <f t="shared" si="56"/>
        <v>0</v>
      </c>
      <c r="W72" s="111">
        <f t="shared" si="56"/>
        <v>0</v>
      </c>
      <c r="X72" s="111">
        <f t="shared" si="56"/>
        <v>0</v>
      </c>
      <c r="Y72" s="111">
        <f t="shared" si="56"/>
        <v>0</v>
      </c>
      <c r="Z72" s="111">
        <f t="shared" si="56"/>
        <v>0</v>
      </c>
      <c r="AA72" s="111">
        <f t="shared" si="56"/>
        <v>0</v>
      </c>
      <c r="AB72" s="111">
        <f t="shared" si="56"/>
        <v>0</v>
      </c>
      <c r="AC72" s="111">
        <f t="shared" si="56"/>
        <v>0</v>
      </c>
      <c r="AD72" s="111">
        <f t="shared" si="56"/>
        <v>0</v>
      </c>
      <c r="AE72" s="111">
        <f t="shared" si="56"/>
        <v>0</v>
      </c>
      <c r="AF72" s="111">
        <f t="shared" si="56"/>
        <v>0</v>
      </c>
      <c r="AG72" s="111">
        <f t="shared" si="56"/>
        <v>0</v>
      </c>
      <c r="AH72" s="111">
        <f t="shared" si="56"/>
        <v>0</v>
      </c>
      <c r="AI72" s="111">
        <f t="shared" si="56"/>
        <v>0</v>
      </c>
      <c r="AJ72" s="111">
        <f t="shared" si="56"/>
        <v>0</v>
      </c>
      <c r="AK72" s="111">
        <f t="shared" si="56"/>
        <v>0</v>
      </c>
      <c r="AL72" s="111">
        <f t="shared" si="56"/>
        <v>0</v>
      </c>
      <c r="AM72" s="111">
        <f t="shared" si="56"/>
        <v>0</v>
      </c>
      <c r="AN72" s="111">
        <f t="shared" si="56"/>
        <v>0</v>
      </c>
      <c r="AO72" s="111">
        <f t="shared" si="56"/>
        <v>0</v>
      </c>
      <c r="AP72" s="111">
        <f t="shared" si="56"/>
        <v>0</v>
      </c>
      <c r="AQ72" s="111">
        <f t="shared" si="56"/>
        <v>0</v>
      </c>
      <c r="AR72" s="111">
        <f t="shared" si="56"/>
        <v>0</v>
      </c>
      <c r="AS72" s="111">
        <f t="shared" si="56"/>
        <v>0</v>
      </c>
      <c r="AT72" s="111">
        <f t="shared" si="56"/>
        <v>0</v>
      </c>
      <c r="AU72" s="111">
        <f t="shared" si="56"/>
        <v>0</v>
      </c>
      <c r="AV72" s="111">
        <f t="shared" si="56"/>
        <v>0</v>
      </c>
      <c r="AW72" s="111">
        <f t="shared" si="56"/>
        <v>0</v>
      </c>
      <c r="AX72" s="111">
        <f t="shared" si="56"/>
        <v>0</v>
      </c>
      <c r="AY72" s="111">
        <f t="shared" si="56"/>
        <v>0</v>
      </c>
      <c r="AZ72" s="111">
        <f t="shared" si="56"/>
        <v>0</v>
      </c>
      <c r="BA72" s="111">
        <f t="shared" si="56"/>
        <v>0</v>
      </c>
      <c r="BB72" s="111">
        <f t="shared" si="56"/>
        <v>0</v>
      </c>
      <c r="BC72" s="111">
        <f t="shared" si="56"/>
        <v>0</v>
      </c>
    </row>
    <row r="73">
      <c r="A73" s="1"/>
      <c r="B73" s="114" t="s">
        <v>252</v>
      </c>
      <c r="C73" s="103" t="str">
        <f>'Get Started'!$C$20</f>
        <v>$</v>
      </c>
      <c r="D73" s="114" t="s">
        <v>252</v>
      </c>
      <c r="H73" s="79" t="s">
        <v>193</v>
      </c>
      <c r="I73" s="87">
        <f t="shared" si="35"/>
        <v>0</v>
      </c>
      <c r="J73" s="93"/>
      <c r="K73" s="114" t="s">
        <v>253</v>
      </c>
      <c r="M73" s="93"/>
      <c r="N73" s="93"/>
      <c r="O73" s="93"/>
      <c r="P73" s="93"/>
      <c r="Q73" s="93"/>
      <c r="R73" s="93"/>
      <c r="S73" s="93"/>
      <c r="T73" s="111">
        <f t="shared" ref="T73:BC73" si="57">if(T$5="","",abs(SUMIF($D$17:$D$47,$B73,T$17:T$47)))</f>
        <v>0</v>
      </c>
      <c r="U73" s="111">
        <f t="shared" si="57"/>
        <v>0</v>
      </c>
      <c r="V73" s="111">
        <f t="shared" si="57"/>
        <v>0</v>
      </c>
      <c r="W73" s="111">
        <f t="shared" si="57"/>
        <v>0</v>
      </c>
      <c r="X73" s="111">
        <f t="shared" si="57"/>
        <v>0</v>
      </c>
      <c r="Y73" s="111">
        <f t="shared" si="57"/>
        <v>0</v>
      </c>
      <c r="Z73" s="111">
        <f t="shared" si="57"/>
        <v>0</v>
      </c>
      <c r="AA73" s="111">
        <f t="shared" si="57"/>
        <v>0</v>
      </c>
      <c r="AB73" s="111">
        <f t="shared" si="57"/>
        <v>0</v>
      </c>
      <c r="AC73" s="111">
        <f t="shared" si="57"/>
        <v>0</v>
      </c>
      <c r="AD73" s="111">
        <f t="shared" si="57"/>
        <v>0</v>
      </c>
      <c r="AE73" s="111">
        <f t="shared" si="57"/>
        <v>0</v>
      </c>
      <c r="AF73" s="111">
        <f t="shared" si="57"/>
        <v>0</v>
      </c>
      <c r="AG73" s="111">
        <f t="shared" si="57"/>
        <v>0</v>
      </c>
      <c r="AH73" s="111">
        <f t="shared" si="57"/>
        <v>0</v>
      </c>
      <c r="AI73" s="111">
        <f t="shared" si="57"/>
        <v>0</v>
      </c>
      <c r="AJ73" s="111">
        <f t="shared" si="57"/>
        <v>0</v>
      </c>
      <c r="AK73" s="111">
        <f t="shared" si="57"/>
        <v>0</v>
      </c>
      <c r="AL73" s="111">
        <f t="shared" si="57"/>
        <v>0</v>
      </c>
      <c r="AM73" s="111">
        <f t="shared" si="57"/>
        <v>0</v>
      </c>
      <c r="AN73" s="111">
        <f t="shared" si="57"/>
        <v>0</v>
      </c>
      <c r="AO73" s="111">
        <f t="shared" si="57"/>
        <v>0</v>
      </c>
      <c r="AP73" s="111">
        <f t="shared" si="57"/>
        <v>0</v>
      </c>
      <c r="AQ73" s="111">
        <f t="shared" si="57"/>
        <v>0</v>
      </c>
      <c r="AR73" s="111">
        <f t="shared" si="57"/>
        <v>0</v>
      </c>
      <c r="AS73" s="111">
        <f t="shared" si="57"/>
        <v>0</v>
      </c>
      <c r="AT73" s="111">
        <f t="shared" si="57"/>
        <v>0</v>
      </c>
      <c r="AU73" s="111">
        <f t="shared" si="57"/>
        <v>0</v>
      </c>
      <c r="AV73" s="111">
        <f t="shared" si="57"/>
        <v>0</v>
      </c>
      <c r="AW73" s="111">
        <f t="shared" si="57"/>
        <v>0</v>
      </c>
      <c r="AX73" s="111">
        <f t="shared" si="57"/>
        <v>0</v>
      </c>
      <c r="AY73" s="111">
        <f t="shared" si="57"/>
        <v>0</v>
      </c>
      <c r="AZ73" s="111">
        <f t="shared" si="57"/>
        <v>0</v>
      </c>
      <c r="BA73" s="111">
        <f t="shared" si="57"/>
        <v>0</v>
      </c>
      <c r="BB73" s="111">
        <f t="shared" si="57"/>
        <v>0</v>
      </c>
      <c r="BC73" s="111">
        <f t="shared" si="57"/>
        <v>0</v>
      </c>
    </row>
    <row r="74">
      <c r="A74" s="1"/>
      <c r="B74" s="111" t="s">
        <v>254</v>
      </c>
      <c r="C74" s="103" t="str">
        <f>'Get Started'!$C$20</f>
        <v>$</v>
      </c>
      <c r="D74" s="111" t="str">
        <f t="shared" ref="D74:D83" si="59">B74</f>
        <v>Depreciation</v>
      </c>
      <c r="H74" s="79" t="s">
        <v>193</v>
      </c>
      <c r="I74" s="87">
        <f t="shared" si="35"/>
        <v>0</v>
      </c>
      <c r="J74" s="93"/>
      <c r="K74" s="114" t="s">
        <v>255</v>
      </c>
      <c r="M74" s="93"/>
      <c r="N74" s="93"/>
      <c r="O74" s="93"/>
      <c r="P74" s="93"/>
      <c r="Q74" s="93"/>
      <c r="R74" s="93"/>
      <c r="S74" s="93"/>
      <c r="T74" s="111">
        <f t="shared" ref="T74:BC74" si="58">if(T$5="","",abs(SUMIF($D$17:$D$47,$B74,T$17:T$47)+T128*-1))</f>
        <v>0</v>
      </c>
      <c r="U74" s="111">
        <f t="shared" si="58"/>
        <v>0</v>
      </c>
      <c r="V74" s="111">
        <f t="shared" si="58"/>
        <v>0</v>
      </c>
      <c r="W74" s="111">
        <f t="shared" si="58"/>
        <v>0</v>
      </c>
      <c r="X74" s="111">
        <f t="shared" si="58"/>
        <v>0</v>
      </c>
      <c r="Y74" s="111">
        <f t="shared" si="58"/>
        <v>0</v>
      </c>
      <c r="Z74" s="111">
        <f t="shared" si="58"/>
        <v>0</v>
      </c>
      <c r="AA74" s="111">
        <f t="shared" si="58"/>
        <v>0</v>
      </c>
      <c r="AB74" s="111">
        <f t="shared" si="58"/>
        <v>0</v>
      </c>
      <c r="AC74" s="111">
        <f t="shared" si="58"/>
        <v>0</v>
      </c>
      <c r="AD74" s="111">
        <f t="shared" si="58"/>
        <v>0</v>
      </c>
      <c r="AE74" s="111">
        <f t="shared" si="58"/>
        <v>0</v>
      </c>
      <c r="AF74" s="111">
        <f t="shared" si="58"/>
        <v>0</v>
      </c>
      <c r="AG74" s="111">
        <f t="shared" si="58"/>
        <v>0</v>
      </c>
      <c r="AH74" s="111">
        <f t="shared" si="58"/>
        <v>0</v>
      </c>
      <c r="AI74" s="111">
        <f t="shared" si="58"/>
        <v>0</v>
      </c>
      <c r="AJ74" s="111">
        <f t="shared" si="58"/>
        <v>0</v>
      </c>
      <c r="AK74" s="111">
        <f t="shared" si="58"/>
        <v>0</v>
      </c>
      <c r="AL74" s="111">
        <f t="shared" si="58"/>
        <v>0</v>
      </c>
      <c r="AM74" s="111">
        <f t="shared" si="58"/>
        <v>0</v>
      </c>
      <c r="AN74" s="111">
        <f t="shared" si="58"/>
        <v>0</v>
      </c>
      <c r="AO74" s="111">
        <f t="shared" si="58"/>
        <v>0</v>
      </c>
      <c r="AP74" s="111">
        <f t="shared" si="58"/>
        <v>0</v>
      </c>
      <c r="AQ74" s="111">
        <f t="shared" si="58"/>
        <v>0</v>
      </c>
      <c r="AR74" s="111">
        <f t="shared" si="58"/>
        <v>0</v>
      </c>
      <c r="AS74" s="111">
        <f t="shared" si="58"/>
        <v>0</v>
      </c>
      <c r="AT74" s="111">
        <f t="shared" si="58"/>
        <v>0</v>
      </c>
      <c r="AU74" s="111">
        <f t="shared" si="58"/>
        <v>0</v>
      </c>
      <c r="AV74" s="111">
        <f t="shared" si="58"/>
        <v>0</v>
      </c>
      <c r="AW74" s="111">
        <f t="shared" si="58"/>
        <v>0</v>
      </c>
      <c r="AX74" s="111">
        <f t="shared" si="58"/>
        <v>0</v>
      </c>
      <c r="AY74" s="111">
        <f t="shared" si="58"/>
        <v>0</v>
      </c>
      <c r="AZ74" s="111">
        <f t="shared" si="58"/>
        <v>0</v>
      </c>
      <c r="BA74" s="111">
        <f t="shared" si="58"/>
        <v>0</v>
      </c>
      <c r="BB74" s="111">
        <f t="shared" si="58"/>
        <v>0</v>
      </c>
      <c r="BC74" s="111">
        <f t="shared" si="58"/>
        <v>0</v>
      </c>
    </row>
    <row r="75">
      <c r="A75" s="1"/>
      <c r="B75" s="111" t="s">
        <v>256</v>
      </c>
      <c r="C75" s="103" t="str">
        <f>'Get Started'!$C$20</f>
        <v>$</v>
      </c>
      <c r="D75" s="111" t="str">
        <f t="shared" si="59"/>
        <v>Amortization</v>
      </c>
      <c r="H75" s="79" t="s">
        <v>193</v>
      </c>
      <c r="I75" s="87">
        <f t="shared" si="35"/>
        <v>0</v>
      </c>
      <c r="J75" s="93"/>
      <c r="K75" s="114" t="s">
        <v>257</v>
      </c>
      <c r="M75" s="93"/>
      <c r="N75" s="93"/>
      <c r="O75" s="93"/>
      <c r="P75" s="93"/>
      <c r="Q75" s="93"/>
      <c r="R75" s="93"/>
      <c r="S75" s="93"/>
      <c r="T75" s="111">
        <f t="shared" ref="T75:BC75" si="60">if(T$5="","",abs(SUMIF($D$17:$D$47,$B75,T$17:T$47)))</f>
        <v>0</v>
      </c>
      <c r="U75" s="111">
        <f t="shared" si="60"/>
        <v>0</v>
      </c>
      <c r="V75" s="111">
        <f t="shared" si="60"/>
        <v>0</v>
      </c>
      <c r="W75" s="111">
        <f t="shared" si="60"/>
        <v>0</v>
      </c>
      <c r="X75" s="111">
        <f t="shared" si="60"/>
        <v>0</v>
      </c>
      <c r="Y75" s="111">
        <f t="shared" si="60"/>
        <v>0</v>
      </c>
      <c r="Z75" s="111">
        <f t="shared" si="60"/>
        <v>0</v>
      </c>
      <c r="AA75" s="111">
        <f t="shared" si="60"/>
        <v>0</v>
      </c>
      <c r="AB75" s="111">
        <f t="shared" si="60"/>
        <v>0</v>
      </c>
      <c r="AC75" s="111">
        <f t="shared" si="60"/>
        <v>0</v>
      </c>
      <c r="AD75" s="111">
        <f t="shared" si="60"/>
        <v>0</v>
      </c>
      <c r="AE75" s="111">
        <f t="shared" si="60"/>
        <v>0</v>
      </c>
      <c r="AF75" s="111">
        <f t="shared" si="60"/>
        <v>0</v>
      </c>
      <c r="AG75" s="111">
        <f t="shared" si="60"/>
        <v>0</v>
      </c>
      <c r="AH75" s="111">
        <f t="shared" si="60"/>
        <v>0</v>
      </c>
      <c r="AI75" s="111">
        <f t="shared" si="60"/>
        <v>0</v>
      </c>
      <c r="AJ75" s="111">
        <f t="shared" si="60"/>
        <v>0</v>
      </c>
      <c r="AK75" s="111">
        <f t="shared" si="60"/>
        <v>0</v>
      </c>
      <c r="AL75" s="111">
        <f t="shared" si="60"/>
        <v>0</v>
      </c>
      <c r="AM75" s="111">
        <f t="shared" si="60"/>
        <v>0</v>
      </c>
      <c r="AN75" s="111">
        <f t="shared" si="60"/>
        <v>0</v>
      </c>
      <c r="AO75" s="111">
        <f t="shared" si="60"/>
        <v>0</v>
      </c>
      <c r="AP75" s="111">
        <f t="shared" si="60"/>
        <v>0</v>
      </c>
      <c r="AQ75" s="111">
        <f t="shared" si="60"/>
        <v>0</v>
      </c>
      <c r="AR75" s="111">
        <f t="shared" si="60"/>
        <v>0</v>
      </c>
      <c r="AS75" s="111">
        <f t="shared" si="60"/>
        <v>0</v>
      </c>
      <c r="AT75" s="111">
        <f t="shared" si="60"/>
        <v>0</v>
      </c>
      <c r="AU75" s="111">
        <f t="shared" si="60"/>
        <v>0</v>
      </c>
      <c r="AV75" s="111">
        <f t="shared" si="60"/>
        <v>0</v>
      </c>
      <c r="AW75" s="111">
        <f t="shared" si="60"/>
        <v>0</v>
      </c>
      <c r="AX75" s="111">
        <f t="shared" si="60"/>
        <v>0</v>
      </c>
      <c r="AY75" s="111">
        <f t="shared" si="60"/>
        <v>0</v>
      </c>
      <c r="AZ75" s="111">
        <f t="shared" si="60"/>
        <v>0</v>
      </c>
      <c r="BA75" s="111">
        <f t="shared" si="60"/>
        <v>0</v>
      </c>
      <c r="BB75" s="111">
        <f t="shared" si="60"/>
        <v>0</v>
      </c>
      <c r="BC75" s="111">
        <f t="shared" si="60"/>
        <v>0</v>
      </c>
    </row>
    <row r="76">
      <c r="A76" s="1"/>
      <c r="B76" s="111" t="s">
        <v>168</v>
      </c>
      <c r="C76" s="103" t="str">
        <f>'Get Started'!$C$20</f>
        <v>$</v>
      </c>
      <c r="D76" s="111" t="str">
        <f t="shared" si="59"/>
        <v>Interest Expense</v>
      </c>
      <c r="H76" s="79" t="s">
        <v>193</v>
      </c>
      <c r="I76" s="87">
        <f t="shared" si="35"/>
        <v>0</v>
      </c>
      <c r="J76" s="93"/>
      <c r="K76" s="114" t="s">
        <v>258</v>
      </c>
      <c r="M76" s="93"/>
      <c r="N76" s="93"/>
      <c r="O76" s="93"/>
      <c r="P76" s="93"/>
      <c r="Q76" s="93"/>
      <c r="R76" s="93"/>
      <c r="S76" s="93"/>
      <c r="T76" s="111">
        <f t="shared" ref="T76:BC76" si="61">if(T$5="","",abs(SUMIF($D$17:$D$47,$B76,T$17:T$47)))</f>
        <v>0</v>
      </c>
      <c r="U76" s="111">
        <f t="shared" si="61"/>
        <v>0</v>
      </c>
      <c r="V76" s="111">
        <f t="shared" si="61"/>
        <v>0</v>
      </c>
      <c r="W76" s="111">
        <f t="shared" si="61"/>
        <v>0</v>
      </c>
      <c r="X76" s="111">
        <f t="shared" si="61"/>
        <v>0</v>
      </c>
      <c r="Y76" s="111">
        <f t="shared" si="61"/>
        <v>0</v>
      </c>
      <c r="Z76" s="111">
        <f t="shared" si="61"/>
        <v>0</v>
      </c>
      <c r="AA76" s="111">
        <f t="shared" si="61"/>
        <v>0</v>
      </c>
      <c r="AB76" s="111">
        <f t="shared" si="61"/>
        <v>0</v>
      </c>
      <c r="AC76" s="111">
        <f t="shared" si="61"/>
        <v>0</v>
      </c>
      <c r="AD76" s="111">
        <f t="shared" si="61"/>
        <v>0</v>
      </c>
      <c r="AE76" s="111">
        <f t="shared" si="61"/>
        <v>0</v>
      </c>
      <c r="AF76" s="111">
        <f t="shared" si="61"/>
        <v>0</v>
      </c>
      <c r="AG76" s="111">
        <f t="shared" si="61"/>
        <v>0</v>
      </c>
      <c r="AH76" s="111">
        <f t="shared" si="61"/>
        <v>0</v>
      </c>
      <c r="AI76" s="111">
        <f t="shared" si="61"/>
        <v>0</v>
      </c>
      <c r="AJ76" s="111">
        <f t="shared" si="61"/>
        <v>0</v>
      </c>
      <c r="AK76" s="111">
        <f t="shared" si="61"/>
        <v>0</v>
      </c>
      <c r="AL76" s="111">
        <f t="shared" si="61"/>
        <v>0</v>
      </c>
      <c r="AM76" s="111">
        <f t="shared" si="61"/>
        <v>0</v>
      </c>
      <c r="AN76" s="111">
        <f t="shared" si="61"/>
        <v>0</v>
      </c>
      <c r="AO76" s="111">
        <f t="shared" si="61"/>
        <v>0</v>
      </c>
      <c r="AP76" s="111">
        <f t="shared" si="61"/>
        <v>0</v>
      </c>
      <c r="AQ76" s="111">
        <f t="shared" si="61"/>
        <v>0</v>
      </c>
      <c r="AR76" s="111">
        <f t="shared" si="61"/>
        <v>0</v>
      </c>
      <c r="AS76" s="111">
        <f t="shared" si="61"/>
        <v>0</v>
      </c>
      <c r="AT76" s="111">
        <f t="shared" si="61"/>
        <v>0</v>
      </c>
      <c r="AU76" s="111">
        <f t="shared" si="61"/>
        <v>0</v>
      </c>
      <c r="AV76" s="111">
        <f t="shared" si="61"/>
        <v>0</v>
      </c>
      <c r="AW76" s="111">
        <f t="shared" si="61"/>
        <v>0</v>
      </c>
      <c r="AX76" s="111">
        <f t="shared" si="61"/>
        <v>0</v>
      </c>
      <c r="AY76" s="111">
        <f t="shared" si="61"/>
        <v>0</v>
      </c>
      <c r="AZ76" s="111">
        <f t="shared" si="61"/>
        <v>0</v>
      </c>
      <c r="BA76" s="111">
        <f t="shared" si="61"/>
        <v>0</v>
      </c>
      <c r="BB76" s="111">
        <f t="shared" si="61"/>
        <v>0</v>
      </c>
      <c r="BC76" s="111">
        <f t="shared" si="61"/>
        <v>0</v>
      </c>
    </row>
    <row r="77">
      <c r="A77" s="1"/>
      <c r="B77" s="111" t="s">
        <v>259</v>
      </c>
      <c r="C77" s="103" t="str">
        <f>'Get Started'!$C$20</f>
        <v>$</v>
      </c>
      <c r="D77" s="111" t="str">
        <f t="shared" si="59"/>
        <v>Other Income</v>
      </c>
      <c r="H77" s="79" t="s">
        <v>193</v>
      </c>
      <c r="I77" s="87">
        <f t="shared" si="35"/>
        <v>0</v>
      </c>
      <c r="J77" s="93"/>
      <c r="K77" s="114" t="s">
        <v>260</v>
      </c>
      <c r="M77" s="93"/>
      <c r="N77" s="93"/>
      <c r="O77" s="93"/>
      <c r="P77" s="93"/>
      <c r="Q77" s="93"/>
      <c r="R77" s="93"/>
      <c r="S77" s="93"/>
      <c r="T77" s="111">
        <f t="shared" ref="T77:BC77" si="62">if(T$5="","",abs(SUMIF($D$17:$D$47,$B77,T$17:T$47)))</f>
        <v>0</v>
      </c>
      <c r="U77" s="111">
        <f t="shared" si="62"/>
        <v>0</v>
      </c>
      <c r="V77" s="111">
        <f t="shared" si="62"/>
        <v>0</v>
      </c>
      <c r="W77" s="111">
        <f t="shared" si="62"/>
        <v>0</v>
      </c>
      <c r="X77" s="111">
        <f t="shared" si="62"/>
        <v>0</v>
      </c>
      <c r="Y77" s="111">
        <f t="shared" si="62"/>
        <v>0</v>
      </c>
      <c r="Z77" s="111">
        <f t="shared" si="62"/>
        <v>0</v>
      </c>
      <c r="AA77" s="111">
        <f t="shared" si="62"/>
        <v>0</v>
      </c>
      <c r="AB77" s="111">
        <f t="shared" si="62"/>
        <v>0</v>
      </c>
      <c r="AC77" s="111">
        <f t="shared" si="62"/>
        <v>0</v>
      </c>
      <c r="AD77" s="111">
        <f t="shared" si="62"/>
        <v>0</v>
      </c>
      <c r="AE77" s="111">
        <f t="shared" si="62"/>
        <v>0</v>
      </c>
      <c r="AF77" s="111">
        <f t="shared" si="62"/>
        <v>0</v>
      </c>
      <c r="AG77" s="111">
        <f t="shared" si="62"/>
        <v>0</v>
      </c>
      <c r="AH77" s="111">
        <f t="shared" si="62"/>
        <v>0</v>
      </c>
      <c r="AI77" s="111">
        <f t="shared" si="62"/>
        <v>0</v>
      </c>
      <c r="AJ77" s="111">
        <f t="shared" si="62"/>
        <v>0</v>
      </c>
      <c r="AK77" s="111">
        <f t="shared" si="62"/>
        <v>0</v>
      </c>
      <c r="AL77" s="111">
        <f t="shared" si="62"/>
        <v>0</v>
      </c>
      <c r="AM77" s="111">
        <f t="shared" si="62"/>
        <v>0</v>
      </c>
      <c r="AN77" s="111">
        <f t="shared" si="62"/>
        <v>0</v>
      </c>
      <c r="AO77" s="111">
        <f t="shared" si="62"/>
        <v>0</v>
      </c>
      <c r="AP77" s="111">
        <f t="shared" si="62"/>
        <v>0</v>
      </c>
      <c r="AQ77" s="111">
        <f t="shared" si="62"/>
        <v>0</v>
      </c>
      <c r="AR77" s="111">
        <f t="shared" si="62"/>
        <v>0</v>
      </c>
      <c r="AS77" s="111">
        <f t="shared" si="62"/>
        <v>0</v>
      </c>
      <c r="AT77" s="111">
        <f t="shared" si="62"/>
        <v>0</v>
      </c>
      <c r="AU77" s="111">
        <f t="shared" si="62"/>
        <v>0</v>
      </c>
      <c r="AV77" s="111">
        <f t="shared" si="62"/>
        <v>0</v>
      </c>
      <c r="AW77" s="111">
        <f t="shared" si="62"/>
        <v>0</v>
      </c>
      <c r="AX77" s="111">
        <f t="shared" si="62"/>
        <v>0</v>
      </c>
      <c r="AY77" s="111">
        <f t="shared" si="62"/>
        <v>0</v>
      </c>
      <c r="AZ77" s="111">
        <f t="shared" si="62"/>
        <v>0</v>
      </c>
      <c r="BA77" s="111">
        <f t="shared" si="62"/>
        <v>0</v>
      </c>
      <c r="BB77" s="111">
        <f t="shared" si="62"/>
        <v>0</v>
      </c>
      <c r="BC77" s="111">
        <f t="shared" si="62"/>
        <v>0</v>
      </c>
    </row>
    <row r="78">
      <c r="A78" s="1"/>
      <c r="B78" s="111" t="s">
        <v>261</v>
      </c>
      <c r="C78" s="103" t="str">
        <f>'Get Started'!$C$20</f>
        <v>$</v>
      </c>
      <c r="D78" s="111" t="str">
        <f t="shared" si="59"/>
        <v>Other Expense</v>
      </c>
      <c r="H78" s="79" t="s">
        <v>193</v>
      </c>
      <c r="I78" s="87">
        <f t="shared" si="35"/>
        <v>0</v>
      </c>
      <c r="J78" s="93"/>
      <c r="K78" s="114" t="s">
        <v>262</v>
      </c>
      <c r="M78" s="93"/>
      <c r="N78" s="93"/>
      <c r="O78" s="93"/>
      <c r="P78" s="93"/>
      <c r="Q78" s="93"/>
      <c r="R78" s="93"/>
      <c r="S78" s="93"/>
      <c r="T78" s="111">
        <f t="shared" ref="T78:BC78" si="63">if(T$5="","",abs(SUMIF($D$17:$D$47,$B78,T$17:T$47)))</f>
        <v>0</v>
      </c>
      <c r="U78" s="111">
        <f t="shared" si="63"/>
        <v>0</v>
      </c>
      <c r="V78" s="111">
        <f t="shared" si="63"/>
        <v>0</v>
      </c>
      <c r="W78" s="111">
        <f t="shared" si="63"/>
        <v>0</v>
      </c>
      <c r="X78" s="111">
        <f t="shared" si="63"/>
        <v>0</v>
      </c>
      <c r="Y78" s="111">
        <f t="shared" si="63"/>
        <v>0</v>
      </c>
      <c r="Z78" s="111">
        <f t="shared" si="63"/>
        <v>0</v>
      </c>
      <c r="AA78" s="111">
        <f t="shared" si="63"/>
        <v>0</v>
      </c>
      <c r="AB78" s="111">
        <f t="shared" si="63"/>
        <v>0</v>
      </c>
      <c r="AC78" s="111">
        <f t="shared" si="63"/>
        <v>0</v>
      </c>
      <c r="AD78" s="111">
        <f t="shared" si="63"/>
        <v>0</v>
      </c>
      <c r="AE78" s="111">
        <f t="shared" si="63"/>
        <v>0</v>
      </c>
      <c r="AF78" s="111">
        <f t="shared" si="63"/>
        <v>0</v>
      </c>
      <c r="AG78" s="111">
        <f t="shared" si="63"/>
        <v>0</v>
      </c>
      <c r="AH78" s="111">
        <f t="shared" si="63"/>
        <v>0</v>
      </c>
      <c r="AI78" s="111">
        <f t="shared" si="63"/>
        <v>0</v>
      </c>
      <c r="AJ78" s="111">
        <f t="shared" si="63"/>
        <v>0</v>
      </c>
      <c r="AK78" s="111">
        <f t="shared" si="63"/>
        <v>0</v>
      </c>
      <c r="AL78" s="111">
        <f t="shared" si="63"/>
        <v>0</v>
      </c>
      <c r="AM78" s="111">
        <f t="shared" si="63"/>
        <v>0</v>
      </c>
      <c r="AN78" s="111">
        <f t="shared" si="63"/>
        <v>0</v>
      </c>
      <c r="AO78" s="111">
        <f t="shared" si="63"/>
        <v>0</v>
      </c>
      <c r="AP78" s="111">
        <f t="shared" si="63"/>
        <v>0</v>
      </c>
      <c r="AQ78" s="111">
        <f t="shared" si="63"/>
        <v>0</v>
      </c>
      <c r="AR78" s="111">
        <f t="shared" si="63"/>
        <v>0</v>
      </c>
      <c r="AS78" s="111">
        <f t="shared" si="63"/>
        <v>0</v>
      </c>
      <c r="AT78" s="111">
        <f t="shared" si="63"/>
        <v>0</v>
      </c>
      <c r="AU78" s="111">
        <f t="shared" si="63"/>
        <v>0</v>
      </c>
      <c r="AV78" s="111">
        <f t="shared" si="63"/>
        <v>0</v>
      </c>
      <c r="AW78" s="111">
        <f t="shared" si="63"/>
        <v>0</v>
      </c>
      <c r="AX78" s="111">
        <f t="shared" si="63"/>
        <v>0</v>
      </c>
      <c r="AY78" s="111">
        <f t="shared" si="63"/>
        <v>0</v>
      </c>
      <c r="AZ78" s="111">
        <f t="shared" si="63"/>
        <v>0</v>
      </c>
      <c r="BA78" s="111">
        <f t="shared" si="63"/>
        <v>0</v>
      </c>
      <c r="BB78" s="111">
        <f t="shared" si="63"/>
        <v>0</v>
      </c>
      <c r="BC78" s="111">
        <f t="shared" si="63"/>
        <v>0</v>
      </c>
    </row>
    <row r="79">
      <c r="A79" s="1"/>
      <c r="B79" s="111" t="s">
        <v>170</v>
      </c>
      <c r="C79" s="103" t="str">
        <f>'Get Started'!$C$20</f>
        <v>$</v>
      </c>
      <c r="D79" s="111" t="str">
        <f t="shared" si="59"/>
        <v>Taxes</v>
      </c>
      <c r="H79" s="79" t="s">
        <v>193</v>
      </c>
      <c r="I79" s="87">
        <f t="shared" si="35"/>
        <v>8570.410144</v>
      </c>
      <c r="J79" s="93"/>
      <c r="K79" s="114" t="s">
        <v>263</v>
      </c>
      <c r="M79" s="93"/>
      <c r="N79" s="93"/>
      <c r="O79" s="93"/>
      <c r="P79" s="93"/>
      <c r="Q79" s="93"/>
      <c r="R79" s="93"/>
      <c r="S79" s="93"/>
      <c r="T79" s="111">
        <f>if(T$5="","",abs(SUMIF($D$17:$D$47,$B79,T$17:T$47))+IF(Statements!S32&lt;0,0,IF(Statements!R37&gt;0,Statements!S32*'Get Started'!$D39,MAX(0,(Statements!S32+Statements!R37)*'Get Started'!$D39))))</f>
        <v>210</v>
      </c>
      <c r="U79" s="111">
        <f>if(U$5="","",abs(SUMIF($D$17:$D$47,$B79,U$17:U$47))+IF(Statements!T32&lt;0,0,IF(Statements!S37&gt;0,Statements!T32*'Get Started'!$D39,MAX(0,(Statements!T32+Statements!S37)*'Get Started'!$D39))))</f>
        <v>210</v>
      </c>
      <c r="V79" s="111">
        <f>if(V$5="","",abs(SUMIF($D$17:$D$47,$B79,V$17:V$47))+IF(Statements!U32&lt;0,0,IF(Statements!T37&gt;0,Statements!U32*'Get Started'!$D39,MAX(0,(Statements!U32+Statements!T37)*'Get Started'!$D39))))</f>
        <v>210</v>
      </c>
      <c r="W79" s="111">
        <f>if(W$5="","",abs(SUMIF($D$17:$D$47,$B79,W$17:W$47))+IF(Statements!V32&lt;0,0,IF(Statements!U37&gt;0,Statements!V32*'Get Started'!$D39,MAX(0,(Statements!V32+Statements!U37)*'Get Started'!$D39))))</f>
        <v>210</v>
      </c>
      <c r="X79" s="111">
        <f>if(X$5="","",abs(SUMIF($D$17:$D$47,$B79,X$17:X$47))+IF(Statements!W32&lt;0,0,IF(Statements!V37&gt;0,Statements!W32*'Get Started'!$D39,MAX(0,(Statements!W32+Statements!V37)*'Get Started'!$D39))))</f>
        <v>210</v>
      </c>
      <c r="Y79" s="111">
        <f>if(Y$5="","",abs(SUMIF($D$17:$D$47,$B79,Y$17:Y$47))+IF(Statements!X32&lt;0,0,IF(Statements!W37&gt;0,Statements!X32*'Get Started'!$D39,MAX(0,(Statements!X32+Statements!W37)*'Get Started'!$D39))))</f>
        <v>210</v>
      </c>
      <c r="Z79" s="111">
        <f>if(Z$5="","",abs(SUMIF($D$17:$D$47,$B79,Z$17:Z$47))+IF(Statements!Y32&lt;0,0,IF(Statements!X37&gt;0,Statements!Y32*'Get Started'!$D39,MAX(0,(Statements!Y32+Statements!X37)*'Get Started'!$D39))))</f>
        <v>220.5</v>
      </c>
      <c r="AA79" s="111">
        <f>if(AA$5="","",abs(SUMIF($D$17:$D$47,$B79,AA$17:AA$47))+IF(Statements!Z32&lt;0,0,IF(Statements!Y37&gt;0,Statements!Z32*'Get Started'!$D39,MAX(0,(Statements!Z32+Statements!Y37)*'Get Started'!$D39))))</f>
        <v>220.5</v>
      </c>
      <c r="AB79" s="111">
        <f>if(AB$5="","",abs(SUMIF($D$17:$D$47,$B79,AB$17:AB$47))+IF(Statements!AA32&lt;0,0,IF(Statements!Z37&gt;0,Statements!AA32*'Get Started'!$D39,MAX(0,(Statements!AA32+Statements!Z37)*'Get Started'!$D39))))</f>
        <v>220.5</v>
      </c>
      <c r="AC79" s="111">
        <f>if(AC$5="","",abs(SUMIF($D$17:$D$47,$B79,AC$17:AC$47))+IF(Statements!AB32&lt;0,0,IF(Statements!AA37&gt;0,Statements!AB32*'Get Started'!$D39,MAX(0,(Statements!AB32+Statements!AA37)*'Get Started'!$D39))))</f>
        <v>220.5</v>
      </c>
      <c r="AD79" s="111">
        <f>if(AD$5="","",abs(SUMIF($D$17:$D$47,$B79,AD$17:AD$47))+IF(Statements!AC32&lt;0,0,IF(Statements!AB37&gt;0,Statements!AC32*'Get Started'!$D39,MAX(0,(Statements!AC32+Statements!AB37)*'Get Started'!$D39))))</f>
        <v>220.5</v>
      </c>
      <c r="AE79" s="111">
        <f>if(AE$5="","",abs(SUMIF($D$17:$D$47,$B79,AE$17:AE$47))+IF(Statements!AD32&lt;0,0,IF(Statements!AC37&gt;0,Statements!AD32*'Get Started'!$D39,MAX(0,(Statements!AD32+Statements!AC37)*'Get Started'!$D39))))</f>
        <v>220.5</v>
      </c>
      <c r="AF79" s="111">
        <f>if(AF$5="","",abs(SUMIF($D$17:$D$47,$B79,AF$17:AF$47))+IF(Statements!AE32&lt;0,0,IF(Statements!AD37&gt;0,Statements!AE32*'Get Started'!$D39,MAX(0,(Statements!AE32+Statements!AD37)*'Get Started'!$D39))))</f>
        <v>231.525</v>
      </c>
      <c r="AG79" s="111">
        <f>if(AG$5="","",abs(SUMIF($D$17:$D$47,$B79,AG$17:AG$47))+IF(Statements!AF32&lt;0,0,IF(Statements!AE37&gt;0,Statements!AF32*'Get Started'!$D39,MAX(0,(Statements!AF32+Statements!AE37)*'Get Started'!$D39))))</f>
        <v>231.525</v>
      </c>
      <c r="AH79" s="111">
        <f>if(AH$5="","",abs(SUMIF($D$17:$D$47,$B79,AH$17:AH$47))+IF(Statements!AG32&lt;0,0,IF(Statements!AF37&gt;0,Statements!AG32*'Get Started'!$D39,MAX(0,(Statements!AG32+Statements!AF37)*'Get Started'!$D39))))</f>
        <v>231.525</v>
      </c>
      <c r="AI79" s="111">
        <f>if(AI$5="","",abs(SUMIF($D$17:$D$47,$B79,AI$17:AI$47))+IF(Statements!AH32&lt;0,0,IF(Statements!AG37&gt;0,Statements!AH32*'Get Started'!$D39,MAX(0,(Statements!AH32+Statements!AG37)*'Get Started'!$D39))))</f>
        <v>231.525</v>
      </c>
      <c r="AJ79" s="111">
        <f>if(AJ$5="","",abs(SUMIF($D$17:$D$47,$B79,AJ$17:AJ$47))+IF(Statements!AI32&lt;0,0,IF(Statements!AH37&gt;0,Statements!AI32*'Get Started'!$D39,MAX(0,(Statements!AI32+Statements!AH37)*'Get Started'!$D39))))</f>
        <v>231.525</v>
      </c>
      <c r="AK79" s="111">
        <f>if(AK$5="","",abs(SUMIF($D$17:$D$47,$B79,AK$17:AK$47))+IF(Statements!AJ32&lt;0,0,IF(Statements!AI37&gt;0,Statements!AJ32*'Get Started'!$D39,MAX(0,(Statements!AJ32+Statements!AI37)*'Get Started'!$D39))))</f>
        <v>231.525</v>
      </c>
      <c r="AL79" s="111">
        <f>if(AL$5="","",abs(SUMIF($D$17:$D$47,$B79,AL$17:AL$47))+IF(Statements!AK32&lt;0,0,IF(Statements!AJ37&gt;0,Statements!AK32*'Get Started'!$D39,MAX(0,(Statements!AK32+Statements!AJ37)*'Get Started'!$D39))))</f>
        <v>243.10125</v>
      </c>
      <c r="AM79" s="111">
        <f>if(AM$5="","",abs(SUMIF($D$17:$D$47,$B79,AM$17:AM$47))+IF(Statements!AL32&lt;0,0,IF(Statements!AK37&gt;0,Statements!AL32*'Get Started'!$D39,MAX(0,(Statements!AL32+Statements!AK37)*'Get Started'!$D39))))</f>
        <v>243.10125</v>
      </c>
      <c r="AN79" s="111">
        <f>if(AN$5="","",abs(SUMIF($D$17:$D$47,$B79,AN$17:AN$47))+IF(Statements!AM32&lt;0,0,IF(Statements!AL37&gt;0,Statements!AM32*'Get Started'!$D39,MAX(0,(Statements!AM32+Statements!AL37)*'Get Started'!$D39))))</f>
        <v>243.10125</v>
      </c>
      <c r="AO79" s="111">
        <f>if(AO$5="","",abs(SUMIF($D$17:$D$47,$B79,AO$17:AO$47))+IF(Statements!AN32&lt;0,0,IF(Statements!AM37&gt;0,Statements!AN32*'Get Started'!$D39,MAX(0,(Statements!AN32+Statements!AM37)*'Get Started'!$D39))))</f>
        <v>243.10125</v>
      </c>
      <c r="AP79" s="111">
        <f>if(AP$5="","",abs(SUMIF($D$17:$D$47,$B79,AP$17:AP$47))+IF(Statements!AO32&lt;0,0,IF(Statements!AN37&gt;0,Statements!AO32*'Get Started'!$D39,MAX(0,(Statements!AO32+Statements!AN37)*'Get Started'!$D39))))</f>
        <v>243.10125</v>
      </c>
      <c r="AQ79" s="111">
        <f>if(AQ$5="","",abs(SUMIF($D$17:$D$47,$B79,AQ$17:AQ$47))+IF(Statements!AP32&lt;0,0,IF(Statements!AO37&gt;0,Statements!AP32*'Get Started'!$D39,MAX(0,(Statements!AP32+Statements!AO37)*'Get Started'!$D39))))</f>
        <v>243.10125</v>
      </c>
      <c r="AR79" s="111">
        <f>if(AR$5="","",abs(SUMIF($D$17:$D$47,$B79,AR$17:AR$47))+IF(Statements!AQ32&lt;0,0,IF(Statements!AP37&gt;0,Statements!AQ32*'Get Started'!$D39,MAX(0,(Statements!AQ32+Statements!AP37)*'Get Started'!$D39))))</f>
        <v>255.2563125</v>
      </c>
      <c r="AS79" s="111">
        <f>if(AS$5="","",abs(SUMIF($D$17:$D$47,$B79,AS$17:AS$47))+IF(Statements!AR32&lt;0,0,IF(Statements!AQ37&gt;0,Statements!AR32*'Get Started'!$D39,MAX(0,(Statements!AR32+Statements!AQ37)*'Get Started'!$D39))))</f>
        <v>255.2563125</v>
      </c>
      <c r="AT79" s="111">
        <f>if(AT$5="","",abs(SUMIF($D$17:$D$47,$B79,AT$17:AT$47))+IF(Statements!AS32&lt;0,0,IF(Statements!AR37&gt;0,Statements!AS32*'Get Started'!$D39,MAX(0,(Statements!AS32+Statements!AR37)*'Get Started'!$D39))))</f>
        <v>255.2563125</v>
      </c>
      <c r="AU79" s="111">
        <f>if(AU$5="","",abs(SUMIF($D$17:$D$47,$B79,AU$17:AU$47))+IF(Statements!AT32&lt;0,0,IF(Statements!AS37&gt;0,Statements!AT32*'Get Started'!$D39,MAX(0,(Statements!AT32+Statements!AS37)*'Get Started'!$D39))))</f>
        <v>255.2563125</v>
      </c>
      <c r="AV79" s="111">
        <f>if(AV$5="","",abs(SUMIF($D$17:$D$47,$B79,AV$17:AV$47))+IF(Statements!AU32&lt;0,0,IF(Statements!AT37&gt;0,Statements!AU32*'Get Started'!$D39,MAX(0,(Statements!AU32+Statements!AT37)*'Get Started'!$D39))))</f>
        <v>255.2563125</v>
      </c>
      <c r="AW79" s="111">
        <f>if(AW$5="","",abs(SUMIF($D$17:$D$47,$B79,AW$17:AW$47))+IF(Statements!AV32&lt;0,0,IF(Statements!AU37&gt;0,Statements!AV32*'Get Started'!$D39,MAX(0,(Statements!AV32+Statements!AU37)*'Get Started'!$D39))))</f>
        <v>255.2563125</v>
      </c>
      <c r="AX79" s="111">
        <f>if(AX$5="","",abs(SUMIF($D$17:$D$47,$B79,AX$17:AX$47))+IF(Statements!AW32&lt;0,0,IF(Statements!AV37&gt;0,Statements!AW32*'Get Started'!$D39,MAX(0,(Statements!AW32+Statements!AV37)*'Get Started'!$D39))))</f>
        <v>268.0191281</v>
      </c>
      <c r="AY79" s="111">
        <f>if(AY$5="","",abs(SUMIF($D$17:$D$47,$B79,AY$17:AY$47))+IF(Statements!AX32&lt;0,0,IF(Statements!AW37&gt;0,Statements!AX32*'Get Started'!$D39,MAX(0,(Statements!AX32+Statements!AW37)*'Get Started'!$D39))))</f>
        <v>268.0191281</v>
      </c>
      <c r="AZ79" s="111">
        <f>if(AZ$5="","",abs(SUMIF($D$17:$D$47,$B79,AZ$17:AZ$47))+IF(Statements!AY32&lt;0,0,IF(Statements!AX37&gt;0,Statements!AY32*'Get Started'!$D39,MAX(0,(Statements!AY32+Statements!AX37)*'Get Started'!$D39))))</f>
        <v>268.0191281</v>
      </c>
      <c r="BA79" s="111">
        <f>if(BA$5="","",abs(SUMIF($D$17:$D$47,$B79,BA$17:BA$47))+IF(Statements!AZ32&lt;0,0,IF(Statements!AY37&gt;0,Statements!AZ32*'Get Started'!$D39,MAX(0,(Statements!AZ32+Statements!AY37)*'Get Started'!$D39))))</f>
        <v>268.0191281</v>
      </c>
      <c r="BB79" s="111">
        <f>if(BB$5="","",abs(SUMIF($D$17:$D$47,$B79,BB$17:BB$47))+IF(Statements!BA32&lt;0,0,IF(Statements!AZ37&gt;0,Statements!BA32*'Get Started'!$D39,MAX(0,(Statements!BA32+Statements!AZ37)*'Get Started'!$D39))))</f>
        <v>268.0191281</v>
      </c>
      <c r="BC79" s="111">
        <f>if(BC$5="","",abs(SUMIF($D$17:$D$47,$B79,BC$17:BC$47))+IF(Statements!BB32&lt;0,0,IF(Statements!BA37&gt;0,Statements!BB32*'Get Started'!$D39,MAX(0,(Statements!BB32+Statements!BA37)*'Get Started'!$D39))))</f>
        <v>268.0191281</v>
      </c>
    </row>
    <row r="80">
      <c r="A80" s="1"/>
      <c r="B80" s="111" t="s">
        <v>215</v>
      </c>
      <c r="C80" s="103" t="str">
        <f>'Get Started'!$C$20</f>
        <v>$</v>
      </c>
      <c r="D80" s="111" t="str">
        <f t="shared" si="59"/>
        <v>Equity Investment</v>
      </c>
      <c r="H80" s="79" t="s">
        <v>193</v>
      </c>
      <c r="I80" s="87">
        <f t="shared" si="35"/>
        <v>0</v>
      </c>
      <c r="J80" s="93"/>
      <c r="K80" s="114" t="s">
        <v>264</v>
      </c>
      <c r="M80" s="93"/>
      <c r="N80" s="93"/>
      <c r="O80" s="93"/>
      <c r="P80" s="93"/>
      <c r="Q80" s="93"/>
      <c r="R80" s="93"/>
      <c r="S80" s="93"/>
      <c r="T80" s="111">
        <f t="shared" ref="T80:BC80" si="64">if(T$5="","",abs(SUMIF($D$17:$D$47,$B80,T$17:T$47)))</f>
        <v>0</v>
      </c>
      <c r="U80" s="111">
        <f t="shared" si="64"/>
        <v>0</v>
      </c>
      <c r="V80" s="111">
        <f t="shared" si="64"/>
        <v>0</v>
      </c>
      <c r="W80" s="111">
        <f t="shared" si="64"/>
        <v>0</v>
      </c>
      <c r="X80" s="111">
        <f t="shared" si="64"/>
        <v>0</v>
      </c>
      <c r="Y80" s="111">
        <f t="shared" si="64"/>
        <v>0</v>
      </c>
      <c r="Z80" s="111">
        <f t="shared" si="64"/>
        <v>0</v>
      </c>
      <c r="AA80" s="111">
        <f t="shared" si="64"/>
        <v>0</v>
      </c>
      <c r="AB80" s="111">
        <f t="shared" si="64"/>
        <v>0</v>
      </c>
      <c r="AC80" s="111">
        <f t="shared" si="64"/>
        <v>0</v>
      </c>
      <c r="AD80" s="111">
        <f t="shared" si="64"/>
        <v>0</v>
      </c>
      <c r="AE80" s="111">
        <f t="shared" si="64"/>
        <v>0</v>
      </c>
      <c r="AF80" s="111">
        <f t="shared" si="64"/>
        <v>0</v>
      </c>
      <c r="AG80" s="111">
        <f t="shared" si="64"/>
        <v>0</v>
      </c>
      <c r="AH80" s="111">
        <f t="shared" si="64"/>
        <v>0</v>
      </c>
      <c r="AI80" s="111">
        <f t="shared" si="64"/>
        <v>0</v>
      </c>
      <c r="AJ80" s="111">
        <f t="shared" si="64"/>
        <v>0</v>
      </c>
      <c r="AK80" s="111">
        <f t="shared" si="64"/>
        <v>0</v>
      </c>
      <c r="AL80" s="111">
        <f t="shared" si="64"/>
        <v>0</v>
      </c>
      <c r="AM80" s="111">
        <f t="shared" si="64"/>
        <v>0</v>
      </c>
      <c r="AN80" s="111">
        <f t="shared" si="64"/>
        <v>0</v>
      </c>
      <c r="AO80" s="111">
        <f t="shared" si="64"/>
        <v>0</v>
      </c>
      <c r="AP80" s="111">
        <f t="shared" si="64"/>
        <v>0</v>
      </c>
      <c r="AQ80" s="111">
        <f t="shared" si="64"/>
        <v>0</v>
      </c>
      <c r="AR80" s="111">
        <f t="shared" si="64"/>
        <v>0</v>
      </c>
      <c r="AS80" s="111">
        <f t="shared" si="64"/>
        <v>0</v>
      </c>
      <c r="AT80" s="111">
        <f t="shared" si="64"/>
        <v>0</v>
      </c>
      <c r="AU80" s="111">
        <f t="shared" si="64"/>
        <v>0</v>
      </c>
      <c r="AV80" s="111">
        <f t="shared" si="64"/>
        <v>0</v>
      </c>
      <c r="AW80" s="111">
        <f t="shared" si="64"/>
        <v>0</v>
      </c>
      <c r="AX80" s="111">
        <f t="shared" si="64"/>
        <v>0</v>
      </c>
      <c r="AY80" s="111">
        <f t="shared" si="64"/>
        <v>0</v>
      </c>
      <c r="AZ80" s="111">
        <f t="shared" si="64"/>
        <v>0</v>
      </c>
      <c r="BA80" s="111">
        <f t="shared" si="64"/>
        <v>0</v>
      </c>
      <c r="BB80" s="111">
        <f t="shared" si="64"/>
        <v>0</v>
      </c>
      <c r="BC80" s="111">
        <f t="shared" si="64"/>
        <v>0</v>
      </c>
    </row>
    <row r="81">
      <c r="A81" s="1"/>
      <c r="B81" s="114" t="s">
        <v>218</v>
      </c>
      <c r="C81" s="103" t="str">
        <f>'Get Started'!$C$20</f>
        <v>$</v>
      </c>
      <c r="D81" s="111" t="str">
        <f t="shared" si="59"/>
        <v>SAFE Investment</v>
      </c>
      <c r="H81" s="79" t="s">
        <v>193</v>
      </c>
      <c r="I81" s="87">
        <f t="shared" si="35"/>
        <v>500000</v>
      </c>
      <c r="J81" s="93"/>
      <c r="K81" s="114" t="s">
        <v>265</v>
      </c>
      <c r="M81" s="93"/>
      <c r="N81" s="93"/>
      <c r="O81" s="93"/>
      <c r="P81" s="93"/>
      <c r="Q81" s="93"/>
      <c r="R81" s="93"/>
      <c r="S81" s="93"/>
      <c r="T81" s="111">
        <f t="shared" ref="T81:T82" si="66">if(T$5="","",SUMIF($D$17:$D$47,$B81,T$17:T$47))</f>
        <v>500000</v>
      </c>
      <c r="U81" s="111">
        <f t="shared" ref="U81:BC81" si="65">if(U$5="","",abs(SUMIF($D$17:$D$47,$B81,U$17:U$47)))</f>
        <v>0</v>
      </c>
      <c r="V81" s="111">
        <f t="shared" si="65"/>
        <v>0</v>
      </c>
      <c r="W81" s="111">
        <f t="shared" si="65"/>
        <v>0</v>
      </c>
      <c r="X81" s="111">
        <f t="shared" si="65"/>
        <v>0</v>
      </c>
      <c r="Y81" s="111">
        <f t="shared" si="65"/>
        <v>0</v>
      </c>
      <c r="Z81" s="111">
        <f t="shared" si="65"/>
        <v>0</v>
      </c>
      <c r="AA81" s="111">
        <f t="shared" si="65"/>
        <v>0</v>
      </c>
      <c r="AB81" s="111">
        <f t="shared" si="65"/>
        <v>0</v>
      </c>
      <c r="AC81" s="111">
        <f t="shared" si="65"/>
        <v>0</v>
      </c>
      <c r="AD81" s="111">
        <f t="shared" si="65"/>
        <v>0</v>
      </c>
      <c r="AE81" s="111">
        <f t="shared" si="65"/>
        <v>0</v>
      </c>
      <c r="AF81" s="111">
        <f t="shared" si="65"/>
        <v>0</v>
      </c>
      <c r="AG81" s="111">
        <f t="shared" si="65"/>
        <v>0</v>
      </c>
      <c r="AH81" s="111">
        <f t="shared" si="65"/>
        <v>0</v>
      </c>
      <c r="AI81" s="111">
        <f t="shared" si="65"/>
        <v>0</v>
      </c>
      <c r="AJ81" s="111">
        <f t="shared" si="65"/>
        <v>0</v>
      </c>
      <c r="AK81" s="111">
        <f t="shared" si="65"/>
        <v>0</v>
      </c>
      <c r="AL81" s="111">
        <f t="shared" si="65"/>
        <v>0</v>
      </c>
      <c r="AM81" s="111">
        <f t="shared" si="65"/>
        <v>0</v>
      </c>
      <c r="AN81" s="111">
        <f t="shared" si="65"/>
        <v>0</v>
      </c>
      <c r="AO81" s="111">
        <f t="shared" si="65"/>
        <v>0</v>
      </c>
      <c r="AP81" s="111">
        <f t="shared" si="65"/>
        <v>0</v>
      </c>
      <c r="AQ81" s="111">
        <f t="shared" si="65"/>
        <v>0</v>
      </c>
      <c r="AR81" s="111">
        <f t="shared" si="65"/>
        <v>0</v>
      </c>
      <c r="AS81" s="111">
        <f t="shared" si="65"/>
        <v>0</v>
      </c>
      <c r="AT81" s="111">
        <f t="shared" si="65"/>
        <v>0</v>
      </c>
      <c r="AU81" s="111">
        <f t="shared" si="65"/>
        <v>0</v>
      </c>
      <c r="AV81" s="111">
        <f t="shared" si="65"/>
        <v>0</v>
      </c>
      <c r="AW81" s="111">
        <f t="shared" si="65"/>
        <v>0</v>
      </c>
      <c r="AX81" s="111">
        <f t="shared" si="65"/>
        <v>0</v>
      </c>
      <c r="AY81" s="111">
        <f t="shared" si="65"/>
        <v>0</v>
      </c>
      <c r="AZ81" s="111">
        <f t="shared" si="65"/>
        <v>0</v>
      </c>
      <c r="BA81" s="111">
        <f t="shared" si="65"/>
        <v>0</v>
      </c>
      <c r="BB81" s="111">
        <f t="shared" si="65"/>
        <v>0</v>
      </c>
      <c r="BC81" s="111">
        <f t="shared" si="65"/>
        <v>0</v>
      </c>
    </row>
    <row r="82">
      <c r="A82" s="1"/>
      <c r="B82" s="114" t="s">
        <v>266</v>
      </c>
      <c r="C82" s="103" t="str">
        <f>'Get Started'!$C$20</f>
        <v>$</v>
      </c>
      <c r="D82" s="111" t="str">
        <f t="shared" si="59"/>
        <v>Convertible Note Investment</v>
      </c>
      <c r="H82" s="79" t="s">
        <v>193</v>
      </c>
      <c r="I82" s="87">
        <f t="shared" si="35"/>
        <v>0</v>
      </c>
      <c r="J82" s="93"/>
      <c r="K82" s="114" t="s">
        <v>267</v>
      </c>
      <c r="M82" s="93"/>
      <c r="N82" s="93"/>
      <c r="O82" s="93"/>
      <c r="P82" s="93"/>
      <c r="Q82" s="93"/>
      <c r="R82" s="93"/>
      <c r="S82" s="93"/>
      <c r="T82" s="111">
        <f t="shared" si="66"/>
        <v>0</v>
      </c>
      <c r="U82" s="111">
        <f t="shared" ref="U82:BC82" si="67">if(U$5="","",SUMIF($D$17:$D$47,$B82,U$17:U$47))</f>
        <v>0</v>
      </c>
      <c r="V82" s="111">
        <f t="shared" si="67"/>
        <v>0</v>
      </c>
      <c r="W82" s="111">
        <f t="shared" si="67"/>
        <v>0</v>
      </c>
      <c r="X82" s="111">
        <f t="shared" si="67"/>
        <v>0</v>
      </c>
      <c r="Y82" s="111">
        <f t="shared" si="67"/>
        <v>0</v>
      </c>
      <c r="Z82" s="111">
        <f t="shared" si="67"/>
        <v>0</v>
      </c>
      <c r="AA82" s="111">
        <f t="shared" si="67"/>
        <v>0</v>
      </c>
      <c r="AB82" s="111">
        <f t="shared" si="67"/>
        <v>0</v>
      </c>
      <c r="AC82" s="111">
        <f t="shared" si="67"/>
        <v>0</v>
      </c>
      <c r="AD82" s="111">
        <f t="shared" si="67"/>
        <v>0</v>
      </c>
      <c r="AE82" s="111">
        <f t="shared" si="67"/>
        <v>0</v>
      </c>
      <c r="AF82" s="111">
        <f t="shared" si="67"/>
        <v>0</v>
      </c>
      <c r="AG82" s="111">
        <f t="shared" si="67"/>
        <v>0</v>
      </c>
      <c r="AH82" s="111">
        <f t="shared" si="67"/>
        <v>0</v>
      </c>
      <c r="AI82" s="111">
        <f t="shared" si="67"/>
        <v>0</v>
      </c>
      <c r="AJ82" s="111">
        <f t="shared" si="67"/>
        <v>0</v>
      </c>
      <c r="AK82" s="111">
        <f t="shared" si="67"/>
        <v>0</v>
      </c>
      <c r="AL82" s="111">
        <f t="shared" si="67"/>
        <v>0</v>
      </c>
      <c r="AM82" s="111">
        <f t="shared" si="67"/>
        <v>0</v>
      </c>
      <c r="AN82" s="111">
        <f t="shared" si="67"/>
        <v>0</v>
      </c>
      <c r="AO82" s="111">
        <f t="shared" si="67"/>
        <v>0</v>
      </c>
      <c r="AP82" s="111">
        <f t="shared" si="67"/>
        <v>0</v>
      </c>
      <c r="AQ82" s="111">
        <f t="shared" si="67"/>
        <v>0</v>
      </c>
      <c r="AR82" s="111">
        <f t="shared" si="67"/>
        <v>0</v>
      </c>
      <c r="AS82" s="111">
        <f t="shared" si="67"/>
        <v>0</v>
      </c>
      <c r="AT82" s="111">
        <f t="shared" si="67"/>
        <v>0</v>
      </c>
      <c r="AU82" s="111">
        <f t="shared" si="67"/>
        <v>0</v>
      </c>
      <c r="AV82" s="111">
        <f t="shared" si="67"/>
        <v>0</v>
      </c>
      <c r="AW82" s="111">
        <f t="shared" si="67"/>
        <v>0</v>
      </c>
      <c r="AX82" s="111">
        <f t="shared" si="67"/>
        <v>0</v>
      </c>
      <c r="AY82" s="111">
        <f t="shared" si="67"/>
        <v>0</v>
      </c>
      <c r="AZ82" s="111">
        <f t="shared" si="67"/>
        <v>0</v>
      </c>
      <c r="BA82" s="111">
        <f t="shared" si="67"/>
        <v>0</v>
      </c>
      <c r="BB82" s="111">
        <f t="shared" si="67"/>
        <v>0</v>
      </c>
      <c r="BC82" s="111">
        <f t="shared" si="67"/>
        <v>0</v>
      </c>
    </row>
    <row r="83">
      <c r="A83" s="1"/>
      <c r="B83" s="111" t="s">
        <v>268</v>
      </c>
      <c r="C83" s="103" t="str">
        <f>'Get Started'!$C$20</f>
        <v>$</v>
      </c>
      <c r="D83" s="111" t="str">
        <f t="shared" si="59"/>
        <v>Debt Financing</v>
      </c>
      <c r="H83" s="79" t="s">
        <v>193</v>
      </c>
      <c r="I83" s="87">
        <f t="shared" si="35"/>
        <v>0</v>
      </c>
      <c r="J83" s="93"/>
      <c r="K83" s="114" t="s">
        <v>269</v>
      </c>
      <c r="M83" s="93"/>
      <c r="N83" s="93"/>
      <c r="O83" s="93"/>
      <c r="P83" s="93"/>
      <c r="Q83" s="93"/>
      <c r="R83" s="93"/>
      <c r="S83" s="93"/>
      <c r="T83" s="111">
        <f t="shared" ref="T83:BC83" si="68">if(T$5="","",abs(SUMIF($D$17:$D$47,$B83,T$17:T$47)))</f>
        <v>0</v>
      </c>
      <c r="U83" s="111">
        <f t="shared" si="68"/>
        <v>0</v>
      </c>
      <c r="V83" s="111">
        <f t="shared" si="68"/>
        <v>0</v>
      </c>
      <c r="W83" s="111">
        <f t="shared" si="68"/>
        <v>0</v>
      </c>
      <c r="X83" s="111">
        <f t="shared" si="68"/>
        <v>0</v>
      </c>
      <c r="Y83" s="111">
        <f t="shared" si="68"/>
        <v>0</v>
      </c>
      <c r="Z83" s="111">
        <f t="shared" si="68"/>
        <v>0</v>
      </c>
      <c r="AA83" s="111">
        <f t="shared" si="68"/>
        <v>0</v>
      </c>
      <c r="AB83" s="111">
        <f t="shared" si="68"/>
        <v>0</v>
      </c>
      <c r="AC83" s="111">
        <f t="shared" si="68"/>
        <v>0</v>
      </c>
      <c r="AD83" s="111">
        <f t="shared" si="68"/>
        <v>0</v>
      </c>
      <c r="AE83" s="111">
        <f t="shared" si="68"/>
        <v>0</v>
      </c>
      <c r="AF83" s="111">
        <f t="shared" si="68"/>
        <v>0</v>
      </c>
      <c r="AG83" s="111">
        <f t="shared" si="68"/>
        <v>0</v>
      </c>
      <c r="AH83" s="111">
        <f t="shared" si="68"/>
        <v>0</v>
      </c>
      <c r="AI83" s="111">
        <f t="shared" si="68"/>
        <v>0</v>
      </c>
      <c r="AJ83" s="111">
        <f t="shared" si="68"/>
        <v>0</v>
      </c>
      <c r="AK83" s="111">
        <f t="shared" si="68"/>
        <v>0</v>
      </c>
      <c r="AL83" s="111">
        <f t="shared" si="68"/>
        <v>0</v>
      </c>
      <c r="AM83" s="111">
        <f t="shared" si="68"/>
        <v>0</v>
      </c>
      <c r="AN83" s="111">
        <f t="shared" si="68"/>
        <v>0</v>
      </c>
      <c r="AO83" s="111">
        <f t="shared" si="68"/>
        <v>0</v>
      </c>
      <c r="AP83" s="111">
        <f t="shared" si="68"/>
        <v>0</v>
      </c>
      <c r="AQ83" s="111">
        <f t="shared" si="68"/>
        <v>0</v>
      </c>
      <c r="AR83" s="111">
        <f t="shared" si="68"/>
        <v>0</v>
      </c>
      <c r="AS83" s="111">
        <f t="shared" si="68"/>
        <v>0</v>
      </c>
      <c r="AT83" s="111">
        <f t="shared" si="68"/>
        <v>0</v>
      </c>
      <c r="AU83" s="111">
        <f t="shared" si="68"/>
        <v>0</v>
      </c>
      <c r="AV83" s="111">
        <f t="shared" si="68"/>
        <v>0</v>
      </c>
      <c r="AW83" s="111">
        <f t="shared" si="68"/>
        <v>0</v>
      </c>
      <c r="AX83" s="111">
        <f t="shared" si="68"/>
        <v>0</v>
      </c>
      <c r="AY83" s="111">
        <f t="shared" si="68"/>
        <v>0</v>
      </c>
      <c r="AZ83" s="111">
        <f t="shared" si="68"/>
        <v>0</v>
      </c>
      <c r="BA83" s="111">
        <f t="shared" si="68"/>
        <v>0</v>
      </c>
      <c r="BB83" s="111">
        <f t="shared" si="68"/>
        <v>0</v>
      </c>
      <c r="BC83" s="111">
        <f t="shared" si="68"/>
        <v>0</v>
      </c>
    </row>
    <row r="84">
      <c r="A84" s="1"/>
      <c r="B84" s="111" t="s">
        <v>270</v>
      </c>
      <c r="C84" s="103" t="str">
        <f>'Get Started'!$C$20</f>
        <v>$</v>
      </c>
      <c r="D84" s="111" t="str">
        <f>D77</f>
        <v>Other Income</v>
      </c>
      <c r="H84" s="79" t="s">
        <v>193</v>
      </c>
      <c r="I84" s="87">
        <f t="shared" si="35"/>
        <v>0</v>
      </c>
      <c r="J84" s="93"/>
      <c r="K84" s="114" t="s">
        <v>271</v>
      </c>
      <c r="M84" s="93"/>
      <c r="N84" s="93"/>
      <c r="O84" s="93"/>
      <c r="P84" s="93"/>
      <c r="Q84" s="93"/>
      <c r="R84" s="93"/>
      <c r="S84" s="93"/>
      <c r="T84" s="111">
        <f t="shared" ref="T84:BC84" si="69">if(T$5="","",abs(SUMIF($D$17:$D$47,$B84,T$17:T$47)))</f>
        <v>0</v>
      </c>
      <c r="U84" s="111">
        <f t="shared" si="69"/>
        <v>0</v>
      </c>
      <c r="V84" s="111">
        <f t="shared" si="69"/>
        <v>0</v>
      </c>
      <c r="W84" s="111">
        <f t="shared" si="69"/>
        <v>0</v>
      </c>
      <c r="X84" s="111">
        <f t="shared" si="69"/>
        <v>0</v>
      </c>
      <c r="Y84" s="111">
        <f t="shared" si="69"/>
        <v>0</v>
      </c>
      <c r="Z84" s="111">
        <f t="shared" si="69"/>
        <v>0</v>
      </c>
      <c r="AA84" s="111">
        <f t="shared" si="69"/>
        <v>0</v>
      </c>
      <c r="AB84" s="111">
        <f t="shared" si="69"/>
        <v>0</v>
      </c>
      <c r="AC84" s="111">
        <f t="shared" si="69"/>
        <v>0</v>
      </c>
      <c r="AD84" s="111">
        <f t="shared" si="69"/>
        <v>0</v>
      </c>
      <c r="AE84" s="111">
        <f t="shared" si="69"/>
        <v>0</v>
      </c>
      <c r="AF84" s="111">
        <f t="shared" si="69"/>
        <v>0</v>
      </c>
      <c r="AG84" s="111">
        <f t="shared" si="69"/>
        <v>0</v>
      </c>
      <c r="AH84" s="111">
        <f t="shared" si="69"/>
        <v>0</v>
      </c>
      <c r="AI84" s="111">
        <f t="shared" si="69"/>
        <v>0</v>
      </c>
      <c r="AJ84" s="111">
        <f t="shared" si="69"/>
        <v>0</v>
      </c>
      <c r="AK84" s="111">
        <f t="shared" si="69"/>
        <v>0</v>
      </c>
      <c r="AL84" s="111">
        <f t="shared" si="69"/>
        <v>0</v>
      </c>
      <c r="AM84" s="111">
        <f t="shared" si="69"/>
        <v>0</v>
      </c>
      <c r="AN84" s="111">
        <f t="shared" si="69"/>
        <v>0</v>
      </c>
      <c r="AO84" s="111">
        <f t="shared" si="69"/>
        <v>0</v>
      </c>
      <c r="AP84" s="111">
        <f t="shared" si="69"/>
        <v>0</v>
      </c>
      <c r="AQ84" s="111">
        <f t="shared" si="69"/>
        <v>0</v>
      </c>
      <c r="AR84" s="111">
        <f t="shared" si="69"/>
        <v>0</v>
      </c>
      <c r="AS84" s="111">
        <f t="shared" si="69"/>
        <v>0</v>
      </c>
      <c r="AT84" s="111">
        <f t="shared" si="69"/>
        <v>0</v>
      </c>
      <c r="AU84" s="111">
        <f t="shared" si="69"/>
        <v>0</v>
      </c>
      <c r="AV84" s="111">
        <f t="shared" si="69"/>
        <v>0</v>
      </c>
      <c r="AW84" s="111">
        <f t="shared" si="69"/>
        <v>0</v>
      </c>
      <c r="AX84" s="111">
        <f t="shared" si="69"/>
        <v>0</v>
      </c>
      <c r="AY84" s="111">
        <f t="shared" si="69"/>
        <v>0</v>
      </c>
      <c r="AZ84" s="111">
        <f t="shared" si="69"/>
        <v>0</v>
      </c>
      <c r="BA84" s="111">
        <f t="shared" si="69"/>
        <v>0</v>
      </c>
      <c r="BB84" s="111">
        <f t="shared" si="69"/>
        <v>0</v>
      </c>
      <c r="BC84" s="111">
        <f t="shared" si="69"/>
        <v>0</v>
      </c>
    </row>
    <row r="85">
      <c r="A85" s="1"/>
      <c r="B85" s="114" t="s">
        <v>272</v>
      </c>
      <c r="C85" s="103" t="str">
        <f>'Get Started'!$C$20</f>
        <v>$</v>
      </c>
      <c r="D85" s="111" t="str">
        <f t="shared" ref="D85:D91" si="71">B85</f>
        <v>Debt Repayment</v>
      </c>
      <c r="H85" s="79" t="s">
        <v>193</v>
      </c>
      <c r="I85" s="87">
        <f t="shared" si="35"/>
        <v>0</v>
      </c>
      <c r="J85" s="93"/>
      <c r="K85" s="114" t="s">
        <v>273</v>
      </c>
      <c r="M85" s="93"/>
      <c r="N85" s="93"/>
      <c r="O85" s="93"/>
      <c r="P85" s="93"/>
      <c r="Q85" s="93"/>
      <c r="R85" s="93"/>
      <c r="S85" s="93"/>
      <c r="T85" s="111">
        <f t="shared" ref="T85:BC85" si="70">if(T$5="","",abs(SUMIF($D$17:$D$47,$B85,T$17:T$47)))</f>
        <v>0</v>
      </c>
      <c r="U85" s="111">
        <f t="shared" si="70"/>
        <v>0</v>
      </c>
      <c r="V85" s="111">
        <f t="shared" si="70"/>
        <v>0</v>
      </c>
      <c r="W85" s="111">
        <f t="shared" si="70"/>
        <v>0</v>
      </c>
      <c r="X85" s="111">
        <f t="shared" si="70"/>
        <v>0</v>
      </c>
      <c r="Y85" s="111">
        <f t="shared" si="70"/>
        <v>0</v>
      </c>
      <c r="Z85" s="111">
        <f t="shared" si="70"/>
        <v>0</v>
      </c>
      <c r="AA85" s="111">
        <f t="shared" si="70"/>
        <v>0</v>
      </c>
      <c r="AB85" s="111">
        <f t="shared" si="70"/>
        <v>0</v>
      </c>
      <c r="AC85" s="111">
        <f t="shared" si="70"/>
        <v>0</v>
      </c>
      <c r="AD85" s="111">
        <f t="shared" si="70"/>
        <v>0</v>
      </c>
      <c r="AE85" s="111">
        <f t="shared" si="70"/>
        <v>0</v>
      </c>
      <c r="AF85" s="111">
        <f t="shared" si="70"/>
        <v>0</v>
      </c>
      <c r="AG85" s="111">
        <f t="shared" si="70"/>
        <v>0</v>
      </c>
      <c r="AH85" s="111">
        <f t="shared" si="70"/>
        <v>0</v>
      </c>
      <c r="AI85" s="111">
        <f t="shared" si="70"/>
        <v>0</v>
      </c>
      <c r="AJ85" s="111">
        <f t="shared" si="70"/>
        <v>0</v>
      </c>
      <c r="AK85" s="111">
        <f t="shared" si="70"/>
        <v>0</v>
      </c>
      <c r="AL85" s="111">
        <f t="shared" si="70"/>
        <v>0</v>
      </c>
      <c r="AM85" s="111">
        <f t="shared" si="70"/>
        <v>0</v>
      </c>
      <c r="AN85" s="111">
        <f t="shared" si="70"/>
        <v>0</v>
      </c>
      <c r="AO85" s="111">
        <f t="shared" si="70"/>
        <v>0</v>
      </c>
      <c r="AP85" s="111">
        <f t="shared" si="70"/>
        <v>0</v>
      </c>
      <c r="AQ85" s="111">
        <f t="shared" si="70"/>
        <v>0</v>
      </c>
      <c r="AR85" s="111">
        <f t="shared" si="70"/>
        <v>0</v>
      </c>
      <c r="AS85" s="111">
        <f t="shared" si="70"/>
        <v>0</v>
      </c>
      <c r="AT85" s="111">
        <f t="shared" si="70"/>
        <v>0</v>
      </c>
      <c r="AU85" s="111">
        <f t="shared" si="70"/>
        <v>0</v>
      </c>
      <c r="AV85" s="111">
        <f t="shared" si="70"/>
        <v>0</v>
      </c>
      <c r="AW85" s="111">
        <f t="shared" si="70"/>
        <v>0</v>
      </c>
      <c r="AX85" s="111">
        <f t="shared" si="70"/>
        <v>0</v>
      </c>
      <c r="AY85" s="111">
        <f t="shared" si="70"/>
        <v>0</v>
      </c>
      <c r="AZ85" s="111">
        <f t="shared" si="70"/>
        <v>0</v>
      </c>
      <c r="BA85" s="111">
        <f t="shared" si="70"/>
        <v>0</v>
      </c>
      <c r="BB85" s="111">
        <f t="shared" si="70"/>
        <v>0</v>
      </c>
      <c r="BC85" s="111">
        <f t="shared" si="70"/>
        <v>0</v>
      </c>
    </row>
    <row r="86">
      <c r="A86" s="1"/>
      <c r="B86" s="114" t="s">
        <v>274</v>
      </c>
      <c r="C86" s="103" t="str">
        <f>'Get Started'!$C$20</f>
        <v>$</v>
      </c>
      <c r="D86" s="111" t="str">
        <f t="shared" si="71"/>
        <v>Accrued Interest</v>
      </c>
      <c r="H86" s="79" t="s">
        <v>193</v>
      </c>
      <c r="I86" s="87">
        <f t="shared" si="35"/>
        <v>0</v>
      </c>
      <c r="J86" s="93"/>
      <c r="K86" s="114" t="s">
        <v>275</v>
      </c>
      <c r="M86" s="93"/>
      <c r="N86" s="93"/>
      <c r="O86" s="93"/>
      <c r="P86" s="93"/>
      <c r="Q86" s="93"/>
      <c r="R86" s="93"/>
      <c r="S86" s="93"/>
      <c r="T86" s="111">
        <f t="shared" ref="T86:BC86" si="72">if(T$5="","",SUMIF($D$17:$D$47,$B86,T$17:T$47))</f>
        <v>0</v>
      </c>
      <c r="U86" s="111">
        <f t="shared" si="72"/>
        <v>0</v>
      </c>
      <c r="V86" s="111">
        <f t="shared" si="72"/>
        <v>0</v>
      </c>
      <c r="W86" s="111">
        <f t="shared" si="72"/>
        <v>0</v>
      </c>
      <c r="X86" s="111">
        <f t="shared" si="72"/>
        <v>0</v>
      </c>
      <c r="Y86" s="111">
        <f t="shared" si="72"/>
        <v>0</v>
      </c>
      <c r="Z86" s="111">
        <f t="shared" si="72"/>
        <v>0</v>
      </c>
      <c r="AA86" s="111">
        <f t="shared" si="72"/>
        <v>0</v>
      </c>
      <c r="AB86" s="111">
        <f t="shared" si="72"/>
        <v>0</v>
      </c>
      <c r="AC86" s="111">
        <f t="shared" si="72"/>
        <v>0</v>
      </c>
      <c r="AD86" s="111">
        <f t="shared" si="72"/>
        <v>0</v>
      </c>
      <c r="AE86" s="111">
        <f t="shared" si="72"/>
        <v>0</v>
      </c>
      <c r="AF86" s="111">
        <f t="shared" si="72"/>
        <v>0</v>
      </c>
      <c r="AG86" s="111">
        <f t="shared" si="72"/>
        <v>0</v>
      </c>
      <c r="AH86" s="111">
        <f t="shared" si="72"/>
        <v>0</v>
      </c>
      <c r="AI86" s="111">
        <f t="shared" si="72"/>
        <v>0</v>
      </c>
      <c r="AJ86" s="111">
        <f t="shared" si="72"/>
        <v>0</v>
      </c>
      <c r="AK86" s="111">
        <f t="shared" si="72"/>
        <v>0</v>
      </c>
      <c r="AL86" s="111">
        <f t="shared" si="72"/>
        <v>0</v>
      </c>
      <c r="AM86" s="111">
        <f t="shared" si="72"/>
        <v>0</v>
      </c>
      <c r="AN86" s="111">
        <f t="shared" si="72"/>
        <v>0</v>
      </c>
      <c r="AO86" s="111">
        <f t="shared" si="72"/>
        <v>0</v>
      </c>
      <c r="AP86" s="111">
        <f t="shared" si="72"/>
        <v>0</v>
      </c>
      <c r="AQ86" s="111">
        <f t="shared" si="72"/>
        <v>0</v>
      </c>
      <c r="AR86" s="111">
        <f t="shared" si="72"/>
        <v>0</v>
      </c>
      <c r="AS86" s="111">
        <f t="shared" si="72"/>
        <v>0</v>
      </c>
      <c r="AT86" s="111">
        <f t="shared" si="72"/>
        <v>0</v>
      </c>
      <c r="AU86" s="111">
        <f t="shared" si="72"/>
        <v>0</v>
      </c>
      <c r="AV86" s="111">
        <f t="shared" si="72"/>
        <v>0</v>
      </c>
      <c r="AW86" s="111">
        <f t="shared" si="72"/>
        <v>0</v>
      </c>
      <c r="AX86" s="111">
        <f t="shared" si="72"/>
        <v>0</v>
      </c>
      <c r="AY86" s="111">
        <f t="shared" si="72"/>
        <v>0</v>
      </c>
      <c r="AZ86" s="111">
        <f t="shared" si="72"/>
        <v>0</v>
      </c>
      <c r="BA86" s="111">
        <f t="shared" si="72"/>
        <v>0</v>
      </c>
      <c r="BB86" s="111">
        <f t="shared" si="72"/>
        <v>0</v>
      </c>
      <c r="BC86" s="111">
        <f t="shared" si="72"/>
        <v>0</v>
      </c>
    </row>
    <row r="87">
      <c r="A87" s="1"/>
      <c r="B87" s="114" t="s">
        <v>276</v>
      </c>
      <c r="C87" s="103" t="str">
        <f>'Get Started'!$C$20</f>
        <v>$</v>
      </c>
      <c r="D87" s="111" t="str">
        <f t="shared" si="71"/>
        <v>Change in Owners Equity</v>
      </c>
      <c r="H87" s="79" t="s">
        <v>193</v>
      </c>
      <c r="I87" s="87">
        <f t="shared" si="35"/>
        <v>0</v>
      </c>
      <c r="J87" s="93"/>
      <c r="K87" s="114" t="s">
        <v>277</v>
      </c>
      <c r="M87" s="93"/>
      <c r="N87" s="93"/>
      <c r="O87" s="93"/>
      <c r="P87" s="93"/>
      <c r="Q87" s="93"/>
      <c r="R87" s="93"/>
      <c r="S87" s="93"/>
      <c r="T87" s="111">
        <f t="shared" ref="T87:BC87" si="73">if(T$5="","",SUMIF($D$17:$D$47,$B87,T$17:T$47))</f>
        <v>0</v>
      </c>
      <c r="U87" s="111">
        <f t="shared" si="73"/>
        <v>0</v>
      </c>
      <c r="V87" s="111">
        <f t="shared" si="73"/>
        <v>0</v>
      </c>
      <c r="W87" s="111">
        <f t="shared" si="73"/>
        <v>0</v>
      </c>
      <c r="X87" s="111">
        <f t="shared" si="73"/>
        <v>0</v>
      </c>
      <c r="Y87" s="111">
        <f t="shared" si="73"/>
        <v>0</v>
      </c>
      <c r="Z87" s="111">
        <f t="shared" si="73"/>
        <v>0</v>
      </c>
      <c r="AA87" s="111">
        <f t="shared" si="73"/>
        <v>0</v>
      </c>
      <c r="AB87" s="111">
        <f t="shared" si="73"/>
        <v>0</v>
      </c>
      <c r="AC87" s="111">
        <f t="shared" si="73"/>
        <v>0</v>
      </c>
      <c r="AD87" s="111">
        <f t="shared" si="73"/>
        <v>0</v>
      </c>
      <c r="AE87" s="111">
        <f t="shared" si="73"/>
        <v>0</v>
      </c>
      <c r="AF87" s="111">
        <f t="shared" si="73"/>
        <v>0</v>
      </c>
      <c r="AG87" s="111">
        <f t="shared" si="73"/>
        <v>0</v>
      </c>
      <c r="AH87" s="111">
        <f t="shared" si="73"/>
        <v>0</v>
      </c>
      <c r="AI87" s="111">
        <f t="shared" si="73"/>
        <v>0</v>
      </c>
      <c r="AJ87" s="111">
        <f t="shared" si="73"/>
        <v>0</v>
      </c>
      <c r="AK87" s="111">
        <f t="shared" si="73"/>
        <v>0</v>
      </c>
      <c r="AL87" s="111">
        <f t="shared" si="73"/>
        <v>0</v>
      </c>
      <c r="AM87" s="111">
        <f t="shared" si="73"/>
        <v>0</v>
      </c>
      <c r="AN87" s="111">
        <f t="shared" si="73"/>
        <v>0</v>
      </c>
      <c r="AO87" s="111">
        <f t="shared" si="73"/>
        <v>0</v>
      </c>
      <c r="AP87" s="111">
        <f t="shared" si="73"/>
        <v>0</v>
      </c>
      <c r="AQ87" s="111">
        <f t="shared" si="73"/>
        <v>0</v>
      </c>
      <c r="AR87" s="111">
        <f t="shared" si="73"/>
        <v>0</v>
      </c>
      <c r="AS87" s="111">
        <f t="shared" si="73"/>
        <v>0</v>
      </c>
      <c r="AT87" s="111">
        <f t="shared" si="73"/>
        <v>0</v>
      </c>
      <c r="AU87" s="111">
        <f t="shared" si="73"/>
        <v>0</v>
      </c>
      <c r="AV87" s="111">
        <f t="shared" si="73"/>
        <v>0</v>
      </c>
      <c r="AW87" s="111">
        <f t="shared" si="73"/>
        <v>0</v>
      </c>
      <c r="AX87" s="111">
        <f t="shared" si="73"/>
        <v>0</v>
      </c>
      <c r="AY87" s="111">
        <f t="shared" si="73"/>
        <v>0</v>
      </c>
      <c r="AZ87" s="111">
        <f t="shared" si="73"/>
        <v>0</v>
      </c>
      <c r="BA87" s="111">
        <f t="shared" si="73"/>
        <v>0</v>
      </c>
      <c r="BB87" s="111">
        <f t="shared" si="73"/>
        <v>0</v>
      </c>
      <c r="BC87" s="111">
        <f t="shared" si="73"/>
        <v>0</v>
      </c>
    </row>
    <row r="88">
      <c r="A88" s="1"/>
      <c r="B88" s="114" t="s">
        <v>278</v>
      </c>
      <c r="C88" s="103" t="str">
        <f>'Get Started'!$C$20</f>
        <v>$</v>
      </c>
      <c r="D88" s="111" t="str">
        <f t="shared" si="71"/>
        <v>Change in Accounts Receivable</v>
      </c>
      <c r="H88" s="79" t="s">
        <v>193</v>
      </c>
      <c r="I88" s="87">
        <f t="shared" si="35"/>
        <v>0</v>
      </c>
      <c r="J88" s="93"/>
      <c r="K88" s="114" t="s">
        <v>279</v>
      </c>
      <c r="M88" s="93"/>
      <c r="N88" s="93"/>
      <c r="O88" s="93"/>
      <c r="P88" s="93"/>
      <c r="Q88" s="93"/>
      <c r="R88" s="93"/>
      <c r="S88" s="93"/>
      <c r="T88" s="111">
        <f t="shared" ref="T88:BC88" si="74">if(T$5="","",SUMIF($D$17:$D$47,$B88,T$17:T$47))</f>
        <v>0</v>
      </c>
      <c r="U88" s="111">
        <f t="shared" si="74"/>
        <v>0</v>
      </c>
      <c r="V88" s="111">
        <f t="shared" si="74"/>
        <v>0</v>
      </c>
      <c r="W88" s="111">
        <f t="shared" si="74"/>
        <v>0</v>
      </c>
      <c r="X88" s="111">
        <f t="shared" si="74"/>
        <v>0</v>
      </c>
      <c r="Y88" s="111">
        <f t="shared" si="74"/>
        <v>0</v>
      </c>
      <c r="Z88" s="111">
        <f t="shared" si="74"/>
        <v>0</v>
      </c>
      <c r="AA88" s="111">
        <f t="shared" si="74"/>
        <v>0</v>
      </c>
      <c r="AB88" s="111">
        <f t="shared" si="74"/>
        <v>0</v>
      </c>
      <c r="AC88" s="111">
        <f t="shared" si="74"/>
        <v>0</v>
      </c>
      <c r="AD88" s="111">
        <f t="shared" si="74"/>
        <v>0</v>
      </c>
      <c r="AE88" s="111">
        <f t="shared" si="74"/>
        <v>0</v>
      </c>
      <c r="AF88" s="111">
        <f t="shared" si="74"/>
        <v>0</v>
      </c>
      <c r="AG88" s="111">
        <f t="shared" si="74"/>
        <v>0</v>
      </c>
      <c r="AH88" s="111">
        <f t="shared" si="74"/>
        <v>0</v>
      </c>
      <c r="AI88" s="111">
        <f t="shared" si="74"/>
        <v>0</v>
      </c>
      <c r="AJ88" s="111">
        <f t="shared" si="74"/>
        <v>0</v>
      </c>
      <c r="AK88" s="111">
        <f t="shared" si="74"/>
        <v>0</v>
      </c>
      <c r="AL88" s="111">
        <f t="shared" si="74"/>
        <v>0</v>
      </c>
      <c r="AM88" s="111">
        <f t="shared" si="74"/>
        <v>0</v>
      </c>
      <c r="AN88" s="111">
        <f t="shared" si="74"/>
        <v>0</v>
      </c>
      <c r="AO88" s="111">
        <f t="shared" si="74"/>
        <v>0</v>
      </c>
      <c r="AP88" s="111">
        <f t="shared" si="74"/>
        <v>0</v>
      </c>
      <c r="AQ88" s="111">
        <f t="shared" si="74"/>
        <v>0</v>
      </c>
      <c r="AR88" s="111">
        <f t="shared" si="74"/>
        <v>0</v>
      </c>
      <c r="AS88" s="111">
        <f t="shared" si="74"/>
        <v>0</v>
      </c>
      <c r="AT88" s="111">
        <f t="shared" si="74"/>
        <v>0</v>
      </c>
      <c r="AU88" s="111">
        <f t="shared" si="74"/>
        <v>0</v>
      </c>
      <c r="AV88" s="111">
        <f t="shared" si="74"/>
        <v>0</v>
      </c>
      <c r="AW88" s="111">
        <f t="shared" si="74"/>
        <v>0</v>
      </c>
      <c r="AX88" s="111">
        <f t="shared" si="74"/>
        <v>0</v>
      </c>
      <c r="AY88" s="111">
        <f t="shared" si="74"/>
        <v>0</v>
      </c>
      <c r="AZ88" s="111">
        <f t="shared" si="74"/>
        <v>0</v>
      </c>
      <c r="BA88" s="111">
        <f t="shared" si="74"/>
        <v>0</v>
      </c>
      <c r="BB88" s="111">
        <f t="shared" si="74"/>
        <v>0</v>
      </c>
      <c r="BC88" s="111">
        <f t="shared" si="74"/>
        <v>0</v>
      </c>
    </row>
    <row r="89">
      <c r="A89" s="1"/>
      <c r="B89" s="114" t="s">
        <v>280</v>
      </c>
      <c r="C89" s="103" t="str">
        <f>'Get Started'!$C$20</f>
        <v>$</v>
      </c>
      <c r="D89" s="111" t="str">
        <f t="shared" si="71"/>
        <v>Change in Current Liabilities</v>
      </c>
      <c r="H89" s="79" t="s">
        <v>193</v>
      </c>
      <c r="I89" s="87">
        <f t="shared" si="35"/>
        <v>0</v>
      </c>
      <c r="J89" s="93"/>
      <c r="K89" s="114" t="s">
        <v>281</v>
      </c>
      <c r="M89" s="93"/>
      <c r="N89" s="93"/>
      <c r="O89" s="93"/>
      <c r="P89" s="93"/>
      <c r="Q89" s="93"/>
      <c r="R89" s="93"/>
      <c r="S89" s="93"/>
      <c r="T89" s="111">
        <f t="shared" ref="T89:BC89" si="75">if(T$5="","",SUMIF($D$17:$D$47,$B89,T$17:T$47))</f>
        <v>0</v>
      </c>
      <c r="U89" s="111">
        <f t="shared" si="75"/>
        <v>0</v>
      </c>
      <c r="V89" s="111">
        <f t="shared" si="75"/>
        <v>0</v>
      </c>
      <c r="W89" s="111">
        <f t="shared" si="75"/>
        <v>0</v>
      </c>
      <c r="X89" s="111">
        <f t="shared" si="75"/>
        <v>0</v>
      </c>
      <c r="Y89" s="111">
        <f t="shared" si="75"/>
        <v>0</v>
      </c>
      <c r="Z89" s="111">
        <f t="shared" si="75"/>
        <v>0</v>
      </c>
      <c r="AA89" s="111">
        <f t="shared" si="75"/>
        <v>0</v>
      </c>
      <c r="AB89" s="111">
        <f t="shared" si="75"/>
        <v>0</v>
      </c>
      <c r="AC89" s="111">
        <f t="shared" si="75"/>
        <v>0</v>
      </c>
      <c r="AD89" s="111">
        <f t="shared" si="75"/>
        <v>0</v>
      </c>
      <c r="AE89" s="111">
        <f t="shared" si="75"/>
        <v>0</v>
      </c>
      <c r="AF89" s="111">
        <f t="shared" si="75"/>
        <v>0</v>
      </c>
      <c r="AG89" s="111">
        <f t="shared" si="75"/>
        <v>0</v>
      </c>
      <c r="AH89" s="111">
        <f t="shared" si="75"/>
        <v>0</v>
      </c>
      <c r="AI89" s="111">
        <f t="shared" si="75"/>
        <v>0</v>
      </c>
      <c r="AJ89" s="111">
        <f t="shared" si="75"/>
        <v>0</v>
      </c>
      <c r="AK89" s="111">
        <f t="shared" si="75"/>
        <v>0</v>
      </c>
      <c r="AL89" s="111">
        <f t="shared" si="75"/>
        <v>0</v>
      </c>
      <c r="AM89" s="111">
        <f t="shared" si="75"/>
        <v>0</v>
      </c>
      <c r="AN89" s="111">
        <f t="shared" si="75"/>
        <v>0</v>
      </c>
      <c r="AO89" s="111">
        <f t="shared" si="75"/>
        <v>0</v>
      </c>
      <c r="AP89" s="111">
        <f t="shared" si="75"/>
        <v>0</v>
      </c>
      <c r="AQ89" s="111">
        <f t="shared" si="75"/>
        <v>0</v>
      </c>
      <c r="AR89" s="111">
        <f t="shared" si="75"/>
        <v>0</v>
      </c>
      <c r="AS89" s="111">
        <f t="shared" si="75"/>
        <v>0</v>
      </c>
      <c r="AT89" s="111">
        <f t="shared" si="75"/>
        <v>0</v>
      </c>
      <c r="AU89" s="111">
        <f t="shared" si="75"/>
        <v>0</v>
      </c>
      <c r="AV89" s="111">
        <f t="shared" si="75"/>
        <v>0</v>
      </c>
      <c r="AW89" s="111">
        <f t="shared" si="75"/>
        <v>0</v>
      </c>
      <c r="AX89" s="111">
        <f t="shared" si="75"/>
        <v>0</v>
      </c>
      <c r="AY89" s="111">
        <f t="shared" si="75"/>
        <v>0</v>
      </c>
      <c r="AZ89" s="111">
        <f t="shared" si="75"/>
        <v>0</v>
      </c>
      <c r="BA89" s="111">
        <f t="shared" si="75"/>
        <v>0</v>
      </c>
      <c r="BB89" s="111">
        <f t="shared" si="75"/>
        <v>0</v>
      </c>
      <c r="BC89" s="111">
        <f t="shared" si="75"/>
        <v>0</v>
      </c>
    </row>
    <row r="90">
      <c r="A90" s="1"/>
      <c r="B90" s="114" t="s">
        <v>282</v>
      </c>
      <c r="C90" s="103" t="str">
        <f>'Get Started'!$C$20</f>
        <v>$</v>
      </c>
      <c r="D90" s="111" t="str">
        <f t="shared" si="71"/>
        <v>Change in Noncurrent Liabilties</v>
      </c>
      <c r="H90" s="79" t="s">
        <v>193</v>
      </c>
      <c r="I90" s="87">
        <f t="shared" si="35"/>
        <v>0</v>
      </c>
      <c r="J90" s="93"/>
      <c r="K90" s="114" t="s">
        <v>283</v>
      </c>
      <c r="M90" s="93"/>
      <c r="N90" s="93"/>
      <c r="O90" s="93"/>
      <c r="P90" s="93"/>
      <c r="Q90" s="93"/>
      <c r="R90" s="93"/>
      <c r="S90" s="93"/>
      <c r="T90" s="111">
        <f t="shared" ref="T90:BC90" si="76">if(T$5="","",SUMIF($D$17:$D$47,$B90,T$17:T$47))</f>
        <v>0</v>
      </c>
      <c r="U90" s="111">
        <f t="shared" si="76"/>
        <v>0</v>
      </c>
      <c r="V90" s="111">
        <f t="shared" si="76"/>
        <v>0</v>
      </c>
      <c r="W90" s="111">
        <f t="shared" si="76"/>
        <v>0</v>
      </c>
      <c r="X90" s="111">
        <f t="shared" si="76"/>
        <v>0</v>
      </c>
      <c r="Y90" s="111">
        <f t="shared" si="76"/>
        <v>0</v>
      </c>
      <c r="Z90" s="111">
        <f t="shared" si="76"/>
        <v>0</v>
      </c>
      <c r="AA90" s="111">
        <f t="shared" si="76"/>
        <v>0</v>
      </c>
      <c r="AB90" s="111">
        <f t="shared" si="76"/>
        <v>0</v>
      </c>
      <c r="AC90" s="111">
        <f t="shared" si="76"/>
        <v>0</v>
      </c>
      <c r="AD90" s="111">
        <f t="shared" si="76"/>
        <v>0</v>
      </c>
      <c r="AE90" s="111">
        <f t="shared" si="76"/>
        <v>0</v>
      </c>
      <c r="AF90" s="111">
        <f t="shared" si="76"/>
        <v>0</v>
      </c>
      <c r="AG90" s="111">
        <f t="shared" si="76"/>
        <v>0</v>
      </c>
      <c r="AH90" s="111">
        <f t="shared" si="76"/>
        <v>0</v>
      </c>
      <c r="AI90" s="111">
        <f t="shared" si="76"/>
        <v>0</v>
      </c>
      <c r="AJ90" s="111">
        <f t="shared" si="76"/>
        <v>0</v>
      </c>
      <c r="AK90" s="111">
        <f t="shared" si="76"/>
        <v>0</v>
      </c>
      <c r="AL90" s="111">
        <f t="shared" si="76"/>
        <v>0</v>
      </c>
      <c r="AM90" s="111">
        <f t="shared" si="76"/>
        <v>0</v>
      </c>
      <c r="AN90" s="111">
        <f t="shared" si="76"/>
        <v>0</v>
      </c>
      <c r="AO90" s="111">
        <f t="shared" si="76"/>
        <v>0</v>
      </c>
      <c r="AP90" s="111">
        <f t="shared" si="76"/>
        <v>0</v>
      </c>
      <c r="AQ90" s="111">
        <f t="shared" si="76"/>
        <v>0</v>
      </c>
      <c r="AR90" s="111">
        <f t="shared" si="76"/>
        <v>0</v>
      </c>
      <c r="AS90" s="111">
        <f t="shared" si="76"/>
        <v>0</v>
      </c>
      <c r="AT90" s="111">
        <f t="shared" si="76"/>
        <v>0</v>
      </c>
      <c r="AU90" s="111">
        <f t="shared" si="76"/>
        <v>0</v>
      </c>
      <c r="AV90" s="111">
        <f t="shared" si="76"/>
        <v>0</v>
      </c>
      <c r="AW90" s="111">
        <f t="shared" si="76"/>
        <v>0</v>
      </c>
      <c r="AX90" s="111">
        <f t="shared" si="76"/>
        <v>0</v>
      </c>
      <c r="AY90" s="111">
        <f t="shared" si="76"/>
        <v>0</v>
      </c>
      <c r="AZ90" s="111">
        <f t="shared" si="76"/>
        <v>0</v>
      </c>
      <c r="BA90" s="111">
        <f t="shared" si="76"/>
        <v>0</v>
      </c>
      <c r="BB90" s="111">
        <f t="shared" si="76"/>
        <v>0</v>
      </c>
      <c r="BC90" s="111">
        <f t="shared" si="76"/>
        <v>0</v>
      </c>
    </row>
    <row r="91">
      <c r="A91" s="1"/>
      <c r="B91" s="114" t="s">
        <v>284</v>
      </c>
      <c r="C91" s="103" t="str">
        <f>'Get Started'!$C$20</f>
        <v>$</v>
      </c>
      <c r="D91" s="111" t="str">
        <f t="shared" si="71"/>
        <v>Change in Working Capital Loan Facility</v>
      </c>
      <c r="H91" s="79" t="s">
        <v>193</v>
      </c>
      <c r="I91" s="87">
        <f t="shared" si="35"/>
        <v>0</v>
      </c>
      <c r="J91" s="93"/>
      <c r="K91" s="114" t="s">
        <v>285</v>
      </c>
      <c r="M91" s="93"/>
      <c r="N91" s="93"/>
      <c r="O91" s="93"/>
      <c r="P91" s="93"/>
      <c r="Q91" s="93"/>
      <c r="R91" s="93"/>
      <c r="S91" s="93"/>
      <c r="T91" s="111">
        <f t="shared" ref="T91:BC91" si="77">if(T$5="","",SUMIF($D$17:$D$47,$B91,T$17:T$47))</f>
        <v>0</v>
      </c>
      <c r="U91" s="111">
        <f t="shared" si="77"/>
        <v>0</v>
      </c>
      <c r="V91" s="111">
        <f t="shared" si="77"/>
        <v>0</v>
      </c>
      <c r="W91" s="111">
        <f t="shared" si="77"/>
        <v>0</v>
      </c>
      <c r="X91" s="111">
        <f t="shared" si="77"/>
        <v>0</v>
      </c>
      <c r="Y91" s="111">
        <f t="shared" si="77"/>
        <v>0</v>
      </c>
      <c r="Z91" s="111">
        <f t="shared" si="77"/>
        <v>0</v>
      </c>
      <c r="AA91" s="111">
        <f t="shared" si="77"/>
        <v>0</v>
      </c>
      <c r="AB91" s="111">
        <f t="shared" si="77"/>
        <v>0</v>
      </c>
      <c r="AC91" s="111">
        <f t="shared" si="77"/>
        <v>0</v>
      </c>
      <c r="AD91" s="111">
        <f t="shared" si="77"/>
        <v>0</v>
      </c>
      <c r="AE91" s="111">
        <f t="shared" si="77"/>
        <v>0</v>
      </c>
      <c r="AF91" s="111">
        <f t="shared" si="77"/>
        <v>0</v>
      </c>
      <c r="AG91" s="111">
        <f t="shared" si="77"/>
        <v>0</v>
      </c>
      <c r="AH91" s="111">
        <f t="shared" si="77"/>
        <v>0</v>
      </c>
      <c r="AI91" s="111">
        <f t="shared" si="77"/>
        <v>0</v>
      </c>
      <c r="AJ91" s="111">
        <f t="shared" si="77"/>
        <v>0</v>
      </c>
      <c r="AK91" s="111">
        <f t="shared" si="77"/>
        <v>0</v>
      </c>
      <c r="AL91" s="111">
        <f t="shared" si="77"/>
        <v>0</v>
      </c>
      <c r="AM91" s="111">
        <f t="shared" si="77"/>
        <v>0</v>
      </c>
      <c r="AN91" s="111">
        <f t="shared" si="77"/>
        <v>0</v>
      </c>
      <c r="AO91" s="111">
        <f t="shared" si="77"/>
        <v>0</v>
      </c>
      <c r="AP91" s="111">
        <f t="shared" si="77"/>
        <v>0</v>
      </c>
      <c r="AQ91" s="111">
        <f t="shared" si="77"/>
        <v>0</v>
      </c>
      <c r="AR91" s="111">
        <f t="shared" si="77"/>
        <v>0</v>
      </c>
      <c r="AS91" s="111">
        <f t="shared" si="77"/>
        <v>0</v>
      </c>
      <c r="AT91" s="111">
        <f t="shared" si="77"/>
        <v>0</v>
      </c>
      <c r="AU91" s="111">
        <f t="shared" si="77"/>
        <v>0</v>
      </c>
      <c r="AV91" s="111">
        <f t="shared" si="77"/>
        <v>0</v>
      </c>
      <c r="AW91" s="111">
        <f t="shared" si="77"/>
        <v>0</v>
      </c>
      <c r="AX91" s="111">
        <f t="shared" si="77"/>
        <v>0</v>
      </c>
      <c r="AY91" s="111">
        <f t="shared" si="77"/>
        <v>0</v>
      </c>
      <c r="AZ91" s="111">
        <f t="shared" si="77"/>
        <v>0</v>
      </c>
      <c r="BA91" s="111">
        <f t="shared" si="77"/>
        <v>0</v>
      </c>
      <c r="BB91" s="111">
        <f t="shared" si="77"/>
        <v>0</v>
      </c>
      <c r="BC91" s="111">
        <f t="shared" si="77"/>
        <v>0</v>
      </c>
    </row>
    <row r="92">
      <c r="A92" s="1"/>
      <c r="B92" s="114" t="s">
        <v>209</v>
      </c>
      <c r="C92" s="113" t="s">
        <v>102</v>
      </c>
      <c r="D92" s="111" t="s">
        <v>286</v>
      </c>
      <c r="E92" s="78"/>
      <c r="F92" s="78"/>
      <c r="G92" s="78"/>
      <c r="H92" s="111"/>
      <c r="I92" s="78"/>
      <c r="J92" s="93"/>
      <c r="K92" s="93"/>
      <c r="L92" s="93"/>
      <c r="M92" s="93"/>
      <c r="N92" s="93"/>
      <c r="O92" s="93"/>
      <c r="P92" s="93"/>
      <c r="Q92" s="93"/>
      <c r="R92" s="93"/>
      <c r="S92" s="93"/>
      <c r="T92" s="111"/>
      <c r="U92" s="111"/>
      <c r="V92" s="111"/>
      <c r="W92" s="111"/>
      <c r="X92" s="111"/>
      <c r="Y92" s="11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row>
    <row r="93">
      <c r="A93" s="1"/>
      <c r="B93" s="111"/>
      <c r="C93" s="103"/>
      <c r="D93" s="78"/>
      <c r="E93" s="78"/>
      <c r="F93" s="78"/>
      <c r="G93" s="78"/>
      <c r="H93" s="111"/>
      <c r="I93" s="78"/>
      <c r="J93" s="93"/>
      <c r="K93" s="93"/>
      <c r="L93" s="93"/>
      <c r="M93" s="93"/>
      <c r="N93" s="93"/>
      <c r="O93" s="93"/>
      <c r="P93" s="93"/>
      <c r="Q93" s="93"/>
      <c r="R93" s="93"/>
      <c r="S93" s="93"/>
      <c r="T93" s="111"/>
      <c r="U93" s="111"/>
      <c r="V93" s="111"/>
      <c r="W93" s="111"/>
      <c r="X93" s="111"/>
      <c r="Y93" s="11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row>
    <row r="94">
      <c r="A94" s="1"/>
      <c r="B94" s="1"/>
      <c r="C94" s="30"/>
      <c r="D94" s="78"/>
      <c r="E94" s="78"/>
      <c r="F94" s="78"/>
      <c r="G94" s="78"/>
      <c r="H94" s="1"/>
      <c r="I94" s="78"/>
      <c r="J94" s="93"/>
      <c r="K94" s="93"/>
      <c r="L94" s="93"/>
      <c r="M94" s="93"/>
      <c r="N94" s="93"/>
      <c r="O94" s="93"/>
      <c r="P94" s="93"/>
      <c r="Q94" s="93"/>
      <c r="R94" s="93"/>
      <c r="S94" s="93"/>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row>
    <row r="95">
      <c r="A95" s="1"/>
      <c r="B95" s="98" t="s">
        <v>287</v>
      </c>
      <c r="C95" s="30"/>
      <c r="D95" s="78"/>
      <c r="E95" s="78"/>
      <c r="F95" s="78"/>
      <c r="G95" s="78"/>
      <c r="H95" s="1"/>
      <c r="I95" s="78"/>
      <c r="J95" s="93"/>
      <c r="K95" s="93"/>
      <c r="L95" s="93"/>
      <c r="M95" s="93"/>
      <c r="N95" s="93"/>
      <c r="O95" s="93"/>
      <c r="P95" s="93"/>
      <c r="Q95" s="93"/>
      <c r="R95" s="93"/>
      <c r="S95" s="93"/>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row>
    <row r="96">
      <c r="A96" s="1"/>
      <c r="B96" s="99" t="s">
        <v>223</v>
      </c>
      <c r="C96" s="30"/>
      <c r="D96" s="78"/>
      <c r="E96" s="78"/>
      <c r="F96" s="78"/>
      <c r="G96" s="78"/>
      <c r="H96" s="1"/>
      <c r="I96" s="78"/>
      <c r="J96" s="93"/>
      <c r="K96" s="93"/>
      <c r="L96" s="93"/>
      <c r="M96" s="93"/>
      <c r="N96" s="93"/>
      <c r="O96" s="93"/>
      <c r="P96" s="93"/>
      <c r="Q96" s="93"/>
      <c r="R96" s="93"/>
      <c r="S96" s="93"/>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row>
    <row r="97">
      <c r="A97" s="1"/>
      <c r="B97" s="1"/>
      <c r="C97" s="30"/>
      <c r="D97" s="78"/>
      <c r="E97" s="78"/>
      <c r="F97" s="78"/>
      <c r="G97" s="78"/>
      <c r="H97" s="1"/>
      <c r="I97" s="78"/>
      <c r="J97" s="93"/>
      <c r="K97" s="114" t="s">
        <v>288</v>
      </c>
      <c r="L97" s="93"/>
      <c r="M97" s="93"/>
      <c r="N97" s="93"/>
      <c r="O97" s="93"/>
      <c r="P97" s="93"/>
      <c r="Q97" s="93"/>
      <c r="R97" s="93"/>
      <c r="S97" s="93"/>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row>
    <row r="98">
      <c r="A98" s="1"/>
      <c r="B98" s="104" t="s">
        <v>159</v>
      </c>
      <c r="C98" s="103" t="str">
        <f>'Get Started'!$C$20</f>
        <v>$</v>
      </c>
      <c r="D98" s="114"/>
      <c r="E98" s="78"/>
      <c r="F98" s="78"/>
      <c r="G98" s="78"/>
      <c r="H98" s="79" t="s">
        <v>193</v>
      </c>
      <c r="I98" s="87">
        <f t="shared" ref="I98:I100" si="78">if(H98="sum",sum(T98:BC98),if(H98="final",index(T98:BC98,match(99^99,T98:BC98,1)),if(H98="initial",T98,if(H98="average",average(T98:BC98),0))))</f>
        <v>40811.47688</v>
      </c>
      <c r="J98" s="93"/>
      <c r="K98" s="114" t="s">
        <v>289</v>
      </c>
      <c r="L98" s="93"/>
      <c r="M98" s="93"/>
      <c r="N98" s="93"/>
      <c r="O98" s="93"/>
      <c r="P98" s="93"/>
      <c r="Q98" s="93"/>
      <c r="R98" s="93"/>
      <c r="S98" s="93"/>
      <c r="T98" s="120">
        <f>if(T$5="","",-1*sum(Forecast!T112:T114))</f>
        <v>1000</v>
      </c>
      <c r="U98" s="120">
        <f>if(U$5="","",-1*sum(Forecast!U112:U114))</f>
        <v>1000</v>
      </c>
      <c r="V98" s="120">
        <f>if(V$5="","",-1*sum(Forecast!V112:V114))</f>
        <v>1000</v>
      </c>
      <c r="W98" s="120">
        <f>if(W$5="","",-1*sum(Forecast!W112:W114))</f>
        <v>1000</v>
      </c>
      <c r="X98" s="120">
        <f>if(X$5="","",-1*sum(Forecast!X112:X114))</f>
        <v>1000</v>
      </c>
      <c r="Y98" s="120">
        <f>if(Y$5="","",-1*sum(Forecast!Y112:Y114))</f>
        <v>1000</v>
      </c>
      <c r="Z98" s="120">
        <f>if(Z$5="","",-1*sum(Forecast!Z112:Z114))</f>
        <v>1050</v>
      </c>
      <c r="AA98" s="120">
        <f>if(AA$5="","",-1*sum(Forecast!AA112:AA114))</f>
        <v>1050</v>
      </c>
      <c r="AB98" s="120">
        <f>if(AB$5="","",-1*sum(Forecast!AB112:AB114))</f>
        <v>1050</v>
      </c>
      <c r="AC98" s="120">
        <f>if(AC$5="","",-1*sum(Forecast!AC112:AC114))</f>
        <v>1050</v>
      </c>
      <c r="AD98" s="120">
        <f>if(AD$5="","",-1*sum(Forecast!AD112:AD114))</f>
        <v>1050</v>
      </c>
      <c r="AE98" s="120">
        <f>if(AE$5="","",-1*sum(Forecast!AE112:AE114))</f>
        <v>1050</v>
      </c>
      <c r="AF98" s="120">
        <f>if(AF$5="","",-1*sum(Forecast!AF112:AF114))</f>
        <v>1102.5</v>
      </c>
      <c r="AG98" s="120">
        <f>if(AG$5="","",-1*sum(Forecast!AG112:AG114))</f>
        <v>1102.5</v>
      </c>
      <c r="AH98" s="120">
        <f>if(AH$5="","",-1*sum(Forecast!AH112:AH114))</f>
        <v>1102.5</v>
      </c>
      <c r="AI98" s="120">
        <f>if(AI$5="","",-1*sum(Forecast!AI112:AI114))</f>
        <v>1102.5</v>
      </c>
      <c r="AJ98" s="120">
        <f>if(AJ$5="","",-1*sum(Forecast!AJ112:AJ114))</f>
        <v>1102.5</v>
      </c>
      <c r="AK98" s="120">
        <f>if(AK$5="","",-1*sum(Forecast!AK112:AK114))</f>
        <v>1102.5</v>
      </c>
      <c r="AL98" s="120">
        <f>if(AL$5="","",-1*sum(Forecast!AL112:AL114))</f>
        <v>1157.625</v>
      </c>
      <c r="AM98" s="120">
        <f>if(AM$5="","",-1*sum(Forecast!AM112:AM114))</f>
        <v>1157.625</v>
      </c>
      <c r="AN98" s="120">
        <f>if(AN$5="","",-1*sum(Forecast!AN112:AN114))</f>
        <v>1157.625</v>
      </c>
      <c r="AO98" s="120">
        <f>if(AO$5="","",-1*sum(Forecast!AO112:AO114))</f>
        <v>1157.625</v>
      </c>
      <c r="AP98" s="120">
        <f>if(AP$5="","",-1*sum(Forecast!AP112:AP114))</f>
        <v>1157.625</v>
      </c>
      <c r="AQ98" s="120">
        <f>if(AQ$5="","",-1*sum(Forecast!AQ112:AQ114))</f>
        <v>1157.625</v>
      </c>
      <c r="AR98" s="120">
        <f>if(AR$5="","",-1*sum(Forecast!AR112:AR114))</f>
        <v>1215.50625</v>
      </c>
      <c r="AS98" s="120">
        <f>if(AS$5="","",-1*sum(Forecast!AS112:AS114))</f>
        <v>1215.50625</v>
      </c>
      <c r="AT98" s="120">
        <f>if(AT$5="","",-1*sum(Forecast!AT112:AT114))</f>
        <v>1215.50625</v>
      </c>
      <c r="AU98" s="120">
        <f>if(AU$5="","",-1*sum(Forecast!AU112:AU114))</f>
        <v>1215.50625</v>
      </c>
      <c r="AV98" s="120">
        <f>if(AV$5="","",-1*sum(Forecast!AV112:AV114))</f>
        <v>1215.50625</v>
      </c>
      <c r="AW98" s="120">
        <f>if(AW$5="","",-1*sum(Forecast!AW112:AW114))</f>
        <v>1215.50625</v>
      </c>
      <c r="AX98" s="120">
        <f>if(AX$5="","",-1*sum(Forecast!AX112:AX114))</f>
        <v>1276.281563</v>
      </c>
      <c r="AY98" s="120">
        <f>if(AY$5="","",-1*sum(Forecast!AY112:AY114))</f>
        <v>1276.281563</v>
      </c>
      <c r="AZ98" s="120">
        <f>if(AZ$5="","",-1*sum(Forecast!AZ112:AZ114))</f>
        <v>1276.281563</v>
      </c>
      <c r="BA98" s="120">
        <f>if(BA$5="","",-1*sum(Forecast!BA112:BA114))</f>
        <v>1276.281563</v>
      </c>
      <c r="BB98" s="120">
        <f>if(BB$5="","",-1*sum(Forecast!BB112:BB114))</f>
        <v>1276.281563</v>
      </c>
      <c r="BC98" s="120">
        <f>if(BC$5="","",-1*sum(Forecast!BC112:BC114))</f>
        <v>1276.281563</v>
      </c>
    </row>
    <row r="99">
      <c r="A99" s="1"/>
      <c r="B99" s="104" t="s">
        <v>242</v>
      </c>
      <c r="C99" s="103" t="str">
        <f>'Get Started'!$C$20</f>
        <v>$</v>
      </c>
      <c r="D99" s="114"/>
      <c r="E99" s="78"/>
      <c r="F99" s="78"/>
      <c r="G99" s="78"/>
      <c r="H99" s="79" t="s">
        <v>193</v>
      </c>
      <c r="I99" s="87">
        <f t="shared" si="78"/>
        <v>0</v>
      </c>
      <c r="J99" s="93"/>
      <c r="K99" s="114" t="s">
        <v>289</v>
      </c>
      <c r="L99" s="93"/>
      <c r="M99" s="93"/>
      <c r="N99" s="93"/>
      <c r="O99" s="93"/>
      <c r="P99" s="93"/>
      <c r="Q99" s="93"/>
      <c r="R99" s="93"/>
      <c r="S99" s="93"/>
      <c r="T99" s="120">
        <f>if(T$5="","",sumifs(Forecast!T$53:T$92,Forecast!$D$53:$D$92,$B99))</f>
        <v>0</v>
      </c>
      <c r="U99" s="120">
        <f>if(U$5="","",sumifs(Forecast!U$53:U$92,Forecast!$D$53:$D$92,$B99))</f>
        <v>0</v>
      </c>
      <c r="V99" s="120">
        <f>if(V$5="","",sumifs(Forecast!V$53:V$92,Forecast!$D$53:$D$92,$B99))</f>
        <v>0</v>
      </c>
      <c r="W99" s="120">
        <f>if(W$5="","",sumifs(Forecast!W$53:W$92,Forecast!$D$53:$D$92,$B99))</f>
        <v>0</v>
      </c>
      <c r="X99" s="120">
        <f>if(X$5="","",sumifs(Forecast!X$53:X$92,Forecast!$D$53:$D$92,$B99))</f>
        <v>0</v>
      </c>
      <c r="Y99" s="120">
        <f>if(Y$5="","",sumifs(Forecast!Y$53:Y$92,Forecast!$D$53:$D$92,$B99))</f>
        <v>0</v>
      </c>
      <c r="Z99" s="120">
        <f>if(Z$5="","",sumifs(Forecast!Z$53:Z$92,Forecast!$D$53:$D$92,$B99))</f>
        <v>0</v>
      </c>
      <c r="AA99" s="120">
        <f>if(AA$5="","",sumifs(Forecast!AA$53:AA$92,Forecast!$D$53:$D$92,$B99))</f>
        <v>0</v>
      </c>
      <c r="AB99" s="120">
        <f>if(AB$5="","",sumifs(Forecast!AB$53:AB$92,Forecast!$D$53:$D$92,$B99))</f>
        <v>0</v>
      </c>
      <c r="AC99" s="120">
        <f>if(AC$5="","",sumifs(Forecast!AC$53:AC$92,Forecast!$D$53:$D$92,$B99))</f>
        <v>0</v>
      </c>
      <c r="AD99" s="120">
        <f>if(AD$5="","",sumifs(Forecast!AD$53:AD$92,Forecast!$D$53:$D$92,$B99))</f>
        <v>0</v>
      </c>
      <c r="AE99" s="120">
        <f>if(AE$5="","",sumifs(Forecast!AE$53:AE$92,Forecast!$D$53:$D$92,$B99))</f>
        <v>0</v>
      </c>
      <c r="AF99" s="120">
        <f>if(AF$5="","",sumifs(Forecast!AF$53:AF$92,Forecast!$D$53:$D$92,$B99))</f>
        <v>0</v>
      </c>
      <c r="AG99" s="120">
        <f>if(AG$5="","",sumifs(Forecast!AG$53:AG$92,Forecast!$D$53:$D$92,$B99))</f>
        <v>0</v>
      </c>
      <c r="AH99" s="120">
        <f>if(AH$5="","",sumifs(Forecast!AH$53:AH$92,Forecast!$D$53:$D$92,$B99))</f>
        <v>0</v>
      </c>
      <c r="AI99" s="120">
        <f>if(AI$5="","",sumifs(Forecast!AI$53:AI$92,Forecast!$D$53:$D$92,$B99))</f>
        <v>0</v>
      </c>
      <c r="AJ99" s="120">
        <f>if(AJ$5="","",sumifs(Forecast!AJ$53:AJ$92,Forecast!$D$53:$D$92,$B99))</f>
        <v>0</v>
      </c>
      <c r="AK99" s="120">
        <f>if(AK$5="","",sumifs(Forecast!AK$53:AK$92,Forecast!$D$53:$D$92,$B99))</f>
        <v>0</v>
      </c>
      <c r="AL99" s="120">
        <f>if(AL$5="","",sumifs(Forecast!AL$53:AL$92,Forecast!$D$53:$D$92,$B99))</f>
        <v>0</v>
      </c>
      <c r="AM99" s="120">
        <f>if(AM$5="","",sumifs(Forecast!AM$53:AM$92,Forecast!$D$53:$D$92,$B99))</f>
        <v>0</v>
      </c>
      <c r="AN99" s="120">
        <f>if(AN$5="","",sumifs(Forecast!AN$53:AN$92,Forecast!$D$53:$D$92,$B99))</f>
        <v>0</v>
      </c>
      <c r="AO99" s="120">
        <f>if(AO$5="","",sumifs(Forecast!AO$53:AO$92,Forecast!$D$53:$D$92,$B99))</f>
        <v>0</v>
      </c>
      <c r="AP99" s="120">
        <f>if(AP$5="","",sumifs(Forecast!AP$53:AP$92,Forecast!$D$53:$D$92,$B99))</f>
        <v>0</v>
      </c>
      <c r="AQ99" s="120">
        <f>if(AQ$5="","",sumifs(Forecast!AQ$53:AQ$92,Forecast!$D$53:$D$92,$B99))</f>
        <v>0</v>
      </c>
      <c r="AR99" s="120">
        <f>if(AR$5="","",sumifs(Forecast!AR$53:AR$92,Forecast!$D$53:$D$92,$B99))</f>
        <v>0</v>
      </c>
      <c r="AS99" s="120">
        <f>if(AS$5="","",sumifs(Forecast!AS$53:AS$92,Forecast!$D$53:$D$92,$B99))</f>
        <v>0</v>
      </c>
      <c r="AT99" s="120">
        <f>if(AT$5="","",sumifs(Forecast!AT$53:AT$92,Forecast!$D$53:$D$92,$B99))</f>
        <v>0</v>
      </c>
      <c r="AU99" s="120">
        <f>if(AU$5="","",sumifs(Forecast!AU$53:AU$92,Forecast!$D$53:$D$92,$B99))</f>
        <v>0</v>
      </c>
      <c r="AV99" s="120">
        <f>if(AV$5="","",sumifs(Forecast!AV$53:AV$92,Forecast!$D$53:$D$92,$B99))</f>
        <v>0</v>
      </c>
      <c r="AW99" s="120">
        <f>if(AW$5="","",sumifs(Forecast!AW$53:AW$92,Forecast!$D$53:$D$92,$B99))</f>
        <v>0</v>
      </c>
      <c r="AX99" s="120">
        <f>if(AX$5="","",sumifs(Forecast!AX$53:AX$92,Forecast!$D$53:$D$92,$B99))</f>
        <v>0</v>
      </c>
      <c r="AY99" s="120">
        <f>if(AY$5="","",sumifs(Forecast!AY$53:AY$92,Forecast!$D$53:$D$92,$B99))</f>
        <v>0</v>
      </c>
      <c r="AZ99" s="120">
        <f>if(AZ$5="","",sumifs(Forecast!AZ$53:AZ$92,Forecast!$D$53:$D$92,$B99))</f>
        <v>0</v>
      </c>
      <c r="BA99" s="120">
        <f>if(BA$5="","",sumifs(Forecast!BA$53:BA$92,Forecast!$D$53:$D$92,$B99))</f>
        <v>0</v>
      </c>
      <c r="BB99" s="120">
        <f>if(BB$5="","",sumifs(Forecast!BB$53:BB$92,Forecast!$D$53:$D$92,$B99))</f>
        <v>0</v>
      </c>
      <c r="BC99" s="120">
        <f>if(BC$5="","",sumifs(Forecast!BC$53:BC$92,Forecast!$D$53:$D$92,$B99))</f>
        <v>0</v>
      </c>
    </row>
    <row r="100">
      <c r="A100" s="1"/>
      <c r="B100" s="104" t="s">
        <v>165</v>
      </c>
      <c r="C100" s="103" t="str">
        <f>'Get Started'!$C$20</f>
        <v>$</v>
      </c>
      <c r="D100" s="114"/>
      <c r="E100" s="78"/>
      <c r="F100" s="78"/>
      <c r="G100" s="78"/>
      <c r="H100" s="79" t="s">
        <v>193</v>
      </c>
      <c r="I100" s="87">
        <f t="shared" si="78"/>
        <v>0</v>
      </c>
      <c r="J100" s="93"/>
      <c r="K100" s="114" t="s">
        <v>289</v>
      </c>
      <c r="L100" s="93"/>
      <c r="M100" s="93"/>
      <c r="N100" s="93"/>
      <c r="O100" s="93"/>
      <c r="P100" s="93"/>
      <c r="Q100" s="93"/>
      <c r="R100" s="93"/>
      <c r="S100" s="93"/>
      <c r="T100" s="120">
        <f>if(T$5="","",sumifs(Forecast!T$53:T$92,Forecast!$D$53:$D$92,$B100))</f>
        <v>0</v>
      </c>
      <c r="U100" s="120">
        <f>if(U$5="","",sumifs(Forecast!U$53:U$92,Forecast!$D$53:$D$92,$B100))</f>
        <v>0</v>
      </c>
      <c r="V100" s="120">
        <f>if(V$5="","",sumifs(Forecast!V$53:V$92,Forecast!$D$53:$D$92,$B100))</f>
        <v>0</v>
      </c>
      <c r="W100" s="120">
        <f>if(W$5="","",sumifs(Forecast!W$53:W$92,Forecast!$D$53:$D$92,$B100))</f>
        <v>0</v>
      </c>
      <c r="X100" s="120">
        <f>if(X$5="","",sumifs(Forecast!X$53:X$92,Forecast!$D$53:$D$92,$B100))</f>
        <v>0</v>
      </c>
      <c r="Y100" s="120">
        <f>if(Y$5="","",sumifs(Forecast!Y$53:Y$92,Forecast!$D$53:$D$92,$B100))</f>
        <v>0</v>
      </c>
      <c r="Z100" s="120">
        <f>if(Z$5="","",sumifs(Forecast!Z$53:Z$92,Forecast!$D$53:$D$92,$B100))</f>
        <v>0</v>
      </c>
      <c r="AA100" s="120">
        <f>if(AA$5="","",sumifs(Forecast!AA$53:AA$92,Forecast!$D$53:$D$92,$B100))</f>
        <v>0</v>
      </c>
      <c r="AB100" s="120">
        <f>if(AB$5="","",sumifs(Forecast!AB$53:AB$92,Forecast!$D$53:$D$92,$B100))</f>
        <v>0</v>
      </c>
      <c r="AC100" s="120">
        <f>if(AC$5="","",sumifs(Forecast!AC$53:AC$92,Forecast!$D$53:$D$92,$B100))</f>
        <v>0</v>
      </c>
      <c r="AD100" s="120">
        <f>if(AD$5="","",sumifs(Forecast!AD$53:AD$92,Forecast!$D$53:$D$92,$B100))</f>
        <v>0</v>
      </c>
      <c r="AE100" s="120">
        <f>if(AE$5="","",sumifs(Forecast!AE$53:AE$92,Forecast!$D$53:$D$92,$B100))</f>
        <v>0</v>
      </c>
      <c r="AF100" s="120">
        <f>if(AF$5="","",sumifs(Forecast!AF$53:AF$92,Forecast!$D$53:$D$92,$B100))</f>
        <v>0</v>
      </c>
      <c r="AG100" s="120">
        <f>if(AG$5="","",sumifs(Forecast!AG$53:AG$92,Forecast!$D$53:$D$92,$B100))</f>
        <v>0</v>
      </c>
      <c r="AH100" s="120">
        <f>if(AH$5="","",sumifs(Forecast!AH$53:AH$92,Forecast!$D$53:$D$92,$B100))</f>
        <v>0</v>
      </c>
      <c r="AI100" s="120">
        <f>if(AI$5="","",sumifs(Forecast!AI$53:AI$92,Forecast!$D$53:$D$92,$B100))</f>
        <v>0</v>
      </c>
      <c r="AJ100" s="120">
        <f>if(AJ$5="","",sumifs(Forecast!AJ$53:AJ$92,Forecast!$D$53:$D$92,$B100))</f>
        <v>0</v>
      </c>
      <c r="AK100" s="120">
        <f>if(AK$5="","",sumifs(Forecast!AK$53:AK$92,Forecast!$D$53:$D$92,$B100))</f>
        <v>0</v>
      </c>
      <c r="AL100" s="120">
        <f>if(AL$5="","",sumifs(Forecast!AL$53:AL$92,Forecast!$D$53:$D$92,$B100))</f>
        <v>0</v>
      </c>
      <c r="AM100" s="120">
        <f>if(AM$5="","",sumifs(Forecast!AM$53:AM$92,Forecast!$D$53:$D$92,$B100))</f>
        <v>0</v>
      </c>
      <c r="AN100" s="120">
        <f>if(AN$5="","",sumifs(Forecast!AN$53:AN$92,Forecast!$D$53:$D$92,$B100))</f>
        <v>0</v>
      </c>
      <c r="AO100" s="120">
        <f>if(AO$5="","",sumifs(Forecast!AO$53:AO$92,Forecast!$D$53:$D$92,$B100))</f>
        <v>0</v>
      </c>
      <c r="AP100" s="120">
        <f>if(AP$5="","",sumifs(Forecast!AP$53:AP$92,Forecast!$D$53:$D$92,$B100))</f>
        <v>0</v>
      </c>
      <c r="AQ100" s="120">
        <f>if(AQ$5="","",sumifs(Forecast!AQ$53:AQ$92,Forecast!$D$53:$D$92,$B100))</f>
        <v>0</v>
      </c>
      <c r="AR100" s="120">
        <f>if(AR$5="","",sumifs(Forecast!AR$53:AR$92,Forecast!$D$53:$D$92,$B100))</f>
        <v>0</v>
      </c>
      <c r="AS100" s="120">
        <f>if(AS$5="","",sumifs(Forecast!AS$53:AS$92,Forecast!$D$53:$D$92,$B100))</f>
        <v>0</v>
      </c>
      <c r="AT100" s="120">
        <f>if(AT$5="","",sumifs(Forecast!AT$53:AT$92,Forecast!$D$53:$D$92,$B100))</f>
        <v>0</v>
      </c>
      <c r="AU100" s="120">
        <f>if(AU$5="","",sumifs(Forecast!AU$53:AU$92,Forecast!$D$53:$D$92,$B100))</f>
        <v>0</v>
      </c>
      <c r="AV100" s="120">
        <f>if(AV$5="","",sumifs(Forecast!AV$53:AV$92,Forecast!$D$53:$D$92,$B100))</f>
        <v>0</v>
      </c>
      <c r="AW100" s="120">
        <f>if(AW$5="","",sumifs(Forecast!AW$53:AW$92,Forecast!$D$53:$D$92,$B100))</f>
        <v>0</v>
      </c>
      <c r="AX100" s="120">
        <f>if(AX$5="","",sumifs(Forecast!AX$53:AX$92,Forecast!$D$53:$D$92,$B100))</f>
        <v>0</v>
      </c>
      <c r="AY100" s="120">
        <f>if(AY$5="","",sumifs(Forecast!AY$53:AY$92,Forecast!$D$53:$D$92,$B100))</f>
        <v>0</v>
      </c>
      <c r="AZ100" s="120">
        <f>if(AZ$5="","",sumifs(Forecast!AZ$53:AZ$92,Forecast!$D$53:$D$92,$B100))</f>
        <v>0</v>
      </c>
      <c r="BA100" s="120">
        <f>if(BA$5="","",sumifs(Forecast!BA$53:BA$92,Forecast!$D$53:$D$92,$B100))</f>
        <v>0</v>
      </c>
      <c r="BB100" s="120">
        <f>if(BB$5="","",sumifs(Forecast!BB$53:BB$92,Forecast!$D$53:$D$92,$B100))</f>
        <v>0</v>
      </c>
      <c r="BC100" s="120">
        <f>if(BC$5="","",sumifs(Forecast!BC$53:BC$92,Forecast!$D$53:$D$92,$B100))</f>
        <v>0</v>
      </c>
    </row>
    <row r="101">
      <c r="A101" s="1"/>
      <c r="B101" s="121"/>
      <c r="C101" s="30"/>
      <c r="E101" s="78"/>
      <c r="F101" s="78"/>
      <c r="G101" s="78"/>
      <c r="H101" s="1"/>
      <c r="I101" s="78"/>
      <c r="J101" s="93"/>
      <c r="K101" s="79"/>
      <c r="L101" s="93"/>
      <c r="M101" s="93"/>
      <c r="N101" s="93"/>
      <c r="O101" s="93"/>
      <c r="P101" s="93"/>
      <c r="Q101" s="93"/>
      <c r="R101" s="93"/>
      <c r="S101" s="93"/>
      <c r="T101" s="120"/>
      <c r="U101" s="120"/>
      <c r="V101" s="120"/>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row>
    <row r="102">
      <c r="A102" s="1"/>
      <c r="B102" s="122" t="s">
        <v>290</v>
      </c>
      <c r="C102" s="30"/>
      <c r="E102" s="78"/>
      <c r="F102" s="78"/>
      <c r="G102" s="78"/>
      <c r="H102" s="1"/>
      <c r="I102" s="78"/>
      <c r="J102" s="93"/>
      <c r="K102" s="79"/>
      <c r="L102" s="93"/>
      <c r="M102" s="93"/>
      <c r="N102" s="93"/>
      <c r="O102" s="93"/>
      <c r="P102" s="93"/>
      <c r="Q102" s="93"/>
      <c r="R102" s="93"/>
      <c r="S102" s="93"/>
      <c r="T102" s="120"/>
      <c r="U102" s="120"/>
      <c r="V102" s="120"/>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row>
    <row r="103">
      <c r="A103" s="1"/>
      <c r="B103" s="76" t="s">
        <v>291</v>
      </c>
      <c r="C103" s="103" t="str">
        <f>'Get Started'!$C$20</f>
        <v>$</v>
      </c>
      <c r="E103" s="78"/>
      <c r="F103" s="78"/>
      <c r="G103" s="78"/>
      <c r="H103" s="79" t="s">
        <v>193</v>
      </c>
      <c r="I103" s="87">
        <f t="shared" ref="I103:I105" si="79">if(H103="sum",sum(T103:BC103),if(H103="final",index(T103:BC103,match(99^99,T103:BC103,1)),if(H103="initial",T103,if(H103="average",average(T103:BC103),0))))</f>
        <v>32777.10499</v>
      </c>
      <c r="J103" s="93"/>
      <c r="K103" s="79" t="s">
        <v>292</v>
      </c>
      <c r="L103" s="93"/>
      <c r="M103" s="93"/>
      <c r="N103" s="93"/>
      <c r="O103" s="93"/>
      <c r="P103" s="93"/>
      <c r="Q103" s="93"/>
      <c r="R103" s="93"/>
      <c r="S103" s="93"/>
      <c r="T103" s="120">
        <f>if(T$5="","",Statements!S98+Statements!S103+Statements!S111)</f>
        <v>790</v>
      </c>
      <c r="U103" s="120">
        <f>if(U$5="","",Statements!T98+Statements!T103+Statements!T111)</f>
        <v>1000</v>
      </c>
      <c r="V103" s="120">
        <f>if(V$5="","",Statements!U98+Statements!U103+Statements!U111)</f>
        <v>1000</v>
      </c>
      <c r="W103" s="120">
        <f>if(W$5="","",Statements!V98+Statements!V103+Statements!V111)</f>
        <v>370</v>
      </c>
      <c r="X103" s="120">
        <f>if(X$5="","",Statements!W98+Statements!W103+Statements!W111)</f>
        <v>1000</v>
      </c>
      <c r="Y103" s="120">
        <f>if(Y$5="","",Statements!X98+Statements!X103+Statements!X111)</f>
        <v>1000</v>
      </c>
      <c r="Z103" s="120">
        <f>if(Z$5="","",Statements!Y98+Statements!Y103+Statements!Y111)</f>
        <v>409.5</v>
      </c>
      <c r="AA103" s="120">
        <f>if(AA$5="","",Statements!Z98+Statements!Z103+Statements!Z111)</f>
        <v>1050</v>
      </c>
      <c r="AB103" s="120">
        <f>if(AB$5="","",Statements!AA98+Statements!AA103+Statements!AA111)</f>
        <v>1050</v>
      </c>
      <c r="AC103" s="120">
        <f>if(AC$5="","",Statements!AB98+Statements!AB103+Statements!AB111)</f>
        <v>388.5</v>
      </c>
      <c r="AD103" s="120">
        <f>if(AD$5="","",Statements!AC98+Statements!AC103+Statements!AC111)</f>
        <v>1050</v>
      </c>
      <c r="AE103" s="120">
        <f>if(AE$5="","",Statements!AD98+Statements!AD103+Statements!AD111)</f>
        <v>1050</v>
      </c>
      <c r="AF103" s="120">
        <f>if(AF$5="","",Statements!AE98+Statements!AE103+Statements!AE111)</f>
        <v>429.975</v>
      </c>
      <c r="AG103" s="120">
        <f>if(AG$5="","",Statements!AF98+Statements!AF103+Statements!AF111)</f>
        <v>1102.5</v>
      </c>
      <c r="AH103" s="120">
        <f>if(AH$5="","",Statements!AG98+Statements!AG103+Statements!AG111)</f>
        <v>1102.5</v>
      </c>
      <c r="AI103" s="120">
        <f>if(AI$5="","",Statements!AH98+Statements!AH103+Statements!AH111)</f>
        <v>407.925</v>
      </c>
      <c r="AJ103" s="120">
        <f>if(AJ$5="","",Statements!AI98+Statements!AI103+Statements!AI111)</f>
        <v>1102.5</v>
      </c>
      <c r="AK103" s="120">
        <f>if(AK$5="","",Statements!AJ98+Statements!AJ103+Statements!AJ111)</f>
        <v>1102.5</v>
      </c>
      <c r="AL103" s="120">
        <f>if(AL$5="","",Statements!AK98+Statements!AK103+Statements!AK111)</f>
        <v>451.47375</v>
      </c>
      <c r="AM103" s="120">
        <f>if(AM$5="","",Statements!AL98+Statements!AL103+Statements!AL111)</f>
        <v>1157.625</v>
      </c>
      <c r="AN103" s="120">
        <f>if(AN$5="","",Statements!AM98+Statements!AM103+Statements!AM111)</f>
        <v>1157.625</v>
      </c>
      <c r="AO103" s="120">
        <f>if(AO$5="","",Statements!AN98+Statements!AN103+Statements!AN111)</f>
        <v>428.32125</v>
      </c>
      <c r="AP103" s="120">
        <f>if(AP$5="","",Statements!AO98+Statements!AO103+Statements!AO111)</f>
        <v>1157.625</v>
      </c>
      <c r="AQ103" s="120">
        <f>if(AQ$5="","",Statements!AP98+Statements!AP103+Statements!AP111)</f>
        <v>1157.625</v>
      </c>
      <c r="AR103" s="120">
        <f>if(AR$5="","",Statements!AQ98+Statements!AQ103+Statements!AQ111)</f>
        <v>474.0474375</v>
      </c>
      <c r="AS103" s="120">
        <f>if(AS$5="","",Statements!AR98+Statements!AR103+Statements!AR111)</f>
        <v>1215.50625</v>
      </c>
      <c r="AT103" s="120">
        <f>if(AT$5="","",Statements!AS98+Statements!AS103+Statements!AS111)</f>
        <v>1215.50625</v>
      </c>
      <c r="AU103" s="120">
        <f>if(AU$5="","",Statements!AT98+Statements!AT103+Statements!AT111)</f>
        <v>449.7373125</v>
      </c>
      <c r="AV103" s="120">
        <f>if(AV$5="","",Statements!AU98+Statements!AU103+Statements!AU111)</f>
        <v>1215.50625</v>
      </c>
      <c r="AW103" s="120">
        <f>if(AW$5="","",Statements!AV98+Statements!AV103+Statements!AV111)</f>
        <v>1215.50625</v>
      </c>
      <c r="AX103" s="120">
        <f>if(AX$5="","",Statements!AW98+Statements!AW103+Statements!AW111)</f>
        <v>497.7498094</v>
      </c>
      <c r="AY103" s="120">
        <f>if(AY$5="","",Statements!AX98+Statements!AX103+Statements!AX111)</f>
        <v>1276.281563</v>
      </c>
      <c r="AZ103" s="120">
        <f>if(AZ$5="","",Statements!AY98+Statements!AY103+Statements!AY111)</f>
        <v>1276.281563</v>
      </c>
      <c r="BA103" s="120">
        <f>if(BA$5="","",Statements!AZ98+Statements!AZ103+Statements!AZ111)</f>
        <v>472.2241781</v>
      </c>
      <c r="BB103" s="120">
        <f>if(BB$5="","",Statements!BA98+Statements!BA103+Statements!BA111)</f>
        <v>1276.281563</v>
      </c>
      <c r="BC103" s="120">
        <f>if(BC$5="","",Statements!BB98+Statements!BB103+Statements!BB111)</f>
        <v>1276.281563</v>
      </c>
    </row>
    <row r="104">
      <c r="A104" s="1"/>
      <c r="B104" s="76" t="s">
        <v>293</v>
      </c>
      <c r="C104" s="103" t="str">
        <f>'Get Started'!$C$20</f>
        <v>$</v>
      </c>
      <c r="E104" s="78"/>
      <c r="F104" s="78"/>
      <c r="G104" s="78"/>
      <c r="H104" s="79" t="s">
        <v>193</v>
      </c>
      <c r="I104" s="87">
        <f t="shared" si="79"/>
        <v>0</v>
      </c>
      <c r="J104" s="93"/>
      <c r="K104" s="79"/>
      <c r="L104" s="93"/>
      <c r="M104" s="93"/>
      <c r="N104" s="93"/>
      <c r="O104" s="93"/>
      <c r="P104" s="93"/>
      <c r="Q104" s="93"/>
      <c r="R104" s="93"/>
      <c r="S104" s="118" t="str">
        <f t="shared" ref="S104:S105" si="81">B104</f>
        <v>Net Burn (net negative)</v>
      </c>
      <c r="T104" s="120" t="str">
        <f t="shared" ref="T104:BC104" si="80">IF(T103&lt;0,T103,"")</f>
        <v/>
      </c>
      <c r="U104" s="120" t="str">
        <f t="shared" si="80"/>
        <v/>
      </c>
      <c r="V104" s="120" t="str">
        <f t="shared" si="80"/>
        <v/>
      </c>
      <c r="W104" s="120" t="str">
        <f t="shared" si="80"/>
        <v/>
      </c>
      <c r="X104" s="120" t="str">
        <f t="shared" si="80"/>
        <v/>
      </c>
      <c r="Y104" s="120" t="str">
        <f t="shared" si="80"/>
        <v/>
      </c>
      <c r="Z104" s="120" t="str">
        <f t="shared" si="80"/>
        <v/>
      </c>
      <c r="AA104" s="120" t="str">
        <f t="shared" si="80"/>
        <v/>
      </c>
      <c r="AB104" s="120" t="str">
        <f t="shared" si="80"/>
        <v/>
      </c>
      <c r="AC104" s="120" t="str">
        <f t="shared" si="80"/>
        <v/>
      </c>
      <c r="AD104" s="120" t="str">
        <f t="shared" si="80"/>
        <v/>
      </c>
      <c r="AE104" s="120" t="str">
        <f t="shared" si="80"/>
        <v/>
      </c>
      <c r="AF104" s="120" t="str">
        <f t="shared" si="80"/>
        <v/>
      </c>
      <c r="AG104" s="120" t="str">
        <f t="shared" si="80"/>
        <v/>
      </c>
      <c r="AH104" s="120" t="str">
        <f t="shared" si="80"/>
        <v/>
      </c>
      <c r="AI104" s="120" t="str">
        <f t="shared" si="80"/>
        <v/>
      </c>
      <c r="AJ104" s="120" t="str">
        <f t="shared" si="80"/>
        <v/>
      </c>
      <c r="AK104" s="120" t="str">
        <f t="shared" si="80"/>
        <v/>
      </c>
      <c r="AL104" s="120" t="str">
        <f t="shared" si="80"/>
        <v/>
      </c>
      <c r="AM104" s="120" t="str">
        <f t="shared" si="80"/>
        <v/>
      </c>
      <c r="AN104" s="120" t="str">
        <f t="shared" si="80"/>
        <v/>
      </c>
      <c r="AO104" s="120" t="str">
        <f t="shared" si="80"/>
        <v/>
      </c>
      <c r="AP104" s="120" t="str">
        <f t="shared" si="80"/>
        <v/>
      </c>
      <c r="AQ104" s="120" t="str">
        <f t="shared" si="80"/>
        <v/>
      </c>
      <c r="AR104" s="120" t="str">
        <f t="shared" si="80"/>
        <v/>
      </c>
      <c r="AS104" s="120" t="str">
        <f t="shared" si="80"/>
        <v/>
      </c>
      <c r="AT104" s="120" t="str">
        <f t="shared" si="80"/>
        <v/>
      </c>
      <c r="AU104" s="120" t="str">
        <f t="shared" si="80"/>
        <v/>
      </c>
      <c r="AV104" s="120" t="str">
        <f t="shared" si="80"/>
        <v/>
      </c>
      <c r="AW104" s="120" t="str">
        <f t="shared" si="80"/>
        <v/>
      </c>
      <c r="AX104" s="120" t="str">
        <f t="shared" si="80"/>
        <v/>
      </c>
      <c r="AY104" s="120" t="str">
        <f t="shared" si="80"/>
        <v/>
      </c>
      <c r="AZ104" s="120" t="str">
        <f t="shared" si="80"/>
        <v/>
      </c>
      <c r="BA104" s="120" t="str">
        <f t="shared" si="80"/>
        <v/>
      </c>
      <c r="BB104" s="120" t="str">
        <f t="shared" si="80"/>
        <v/>
      </c>
      <c r="BC104" s="120" t="str">
        <f t="shared" si="80"/>
        <v/>
      </c>
    </row>
    <row r="105">
      <c r="A105" s="1"/>
      <c r="B105" s="76" t="s">
        <v>294</v>
      </c>
      <c r="C105" s="103" t="str">
        <f>'Get Started'!$C$20</f>
        <v>$</v>
      </c>
      <c r="E105" s="78"/>
      <c r="F105" s="78"/>
      <c r="G105" s="78"/>
      <c r="H105" s="79" t="s">
        <v>193</v>
      </c>
      <c r="I105" s="87">
        <f t="shared" si="79"/>
        <v>32777.10499</v>
      </c>
      <c r="J105" s="93"/>
      <c r="K105" s="79"/>
      <c r="L105" s="93"/>
      <c r="M105" s="93"/>
      <c r="N105" s="93"/>
      <c r="O105" s="93"/>
      <c r="P105" s="93"/>
      <c r="Q105" s="93"/>
      <c r="R105" s="93"/>
      <c r="S105" s="118" t="str">
        <f t="shared" si="81"/>
        <v>Net Burn (net positive)</v>
      </c>
      <c r="T105" s="120">
        <f t="shared" ref="T105:BC105" si="82">IF(T103&lt;0,"",T103)</f>
        <v>790</v>
      </c>
      <c r="U105" s="120">
        <f t="shared" si="82"/>
        <v>1000</v>
      </c>
      <c r="V105" s="120">
        <f t="shared" si="82"/>
        <v>1000</v>
      </c>
      <c r="W105" s="120">
        <f t="shared" si="82"/>
        <v>370</v>
      </c>
      <c r="X105" s="120">
        <f t="shared" si="82"/>
        <v>1000</v>
      </c>
      <c r="Y105" s="120">
        <f t="shared" si="82"/>
        <v>1000</v>
      </c>
      <c r="Z105" s="120">
        <f t="shared" si="82"/>
        <v>409.5</v>
      </c>
      <c r="AA105" s="120">
        <f t="shared" si="82"/>
        <v>1050</v>
      </c>
      <c r="AB105" s="120">
        <f t="shared" si="82"/>
        <v>1050</v>
      </c>
      <c r="AC105" s="120">
        <f t="shared" si="82"/>
        <v>388.5</v>
      </c>
      <c r="AD105" s="120">
        <f t="shared" si="82"/>
        <v>1050</v>
      </c>
      <c r="AE105" s="120">
        <f t="shared" si="82"/>
        <v>1050</v>
      </c>
      <c r="AF105" s="120">
        <f t="shared" si="82"/>
        <v>429.975</v>
      </c>
      <c r="AG105" s="120">
        <f t="shared" si="82"/>
        <v>1102.5</v>
      </c>
      <c r="AH105" s="120">
        <f t="shared" si="82"/>
        <v>1102.5</v>
      </c>
      <c r="AI105" s="120">
        <f t="shared" si="82"/>
        <v>407.925</v>
      </c>
      <c r="AJ105" s="120">
        <f t="shared" si="82"/>
        <v>1102.5</v>
      </c>
      <c r="AK105" s="120">
        <f t="shared" si="82"/>
        <v>1102.5</v>
      </c>
      <c r="AL105" s="120">
        <f t="shared" si="82"/>
        <v>451.47375</v>
      </c>
      <c r="AM105" s="120">
        <f t="shared" si="82"/>
        <v>1157.625</v>
      </c>
      <c r="AN105" s="120">
        <f t="shared" si="82"/>
        <v>1157.625</v>
      </c>
      <c r="AO105" s="120">
        <f t="shared" si="82"/>
        <v>428.32125</v>
      </c>
      <c r="AP105" s="120">
        <f t="shared" si="82"/>
        <v>1157.625</v>
      </c>
      <c r="AQ105" s="120">
        <f t="shared" si="82"/>
        <v>1157.625</v>
      </c>
      <c r="AR105" s="120">
        <f t="shared" si="82"/>
        <v>474.0474375</v>
      </c>
      <c r="AS105" s="120">
        <f t="shared" si="82"/>
        <v>1215.50625</v>
      </c>
      <c r="AT105" s="120">
        <f t="shared" si="82"/>
        <v>1215.50625</v>
      </c>
      <c r="AU105" s="120">
        <f t="shared" si="82"/>
        <v>449.7373125</v>
      </c>
      <c r="AV105" s="120">
        <f t="shared" si="82"/>
        <v>1215.50625</v>
      </c>
      <c r="AW105" s="120">
        <f t="shared" si="82"/>
        <v>1215.50625</v>
      </c>
      <c r="AX105" s="120">
        <f t="shared" si="82"/>
        <v>497.7498094</v>
      </c>
      <c r="AY105" s="120">
        <f t="shared" si="82"/>
        <v>1276.281563</v>
      </c>
      <c r="AZ105" s="120">
        <f t="shared" si="82"/>
        <v>1276.281563</v>
      </c>
      <c r="BA105" s="120">
        <f t="shared" si="82"/>
        <v>472.2241781</v>
      </c>
      <c r="BB105" s="120">
        <f t="shared" si="82"/>
        <v>1276.281563</v>
      </c>
      <c r="BC105" s="120">
        <f t="shared" si="82"/>
        <v>1276.281563</v>
      </c>
    </row>
    <row r="106">
      <c r="A106" s="1"/>
      <c r="B106" s="76"/>
      <c r="C106" s="30"/>
      <c r="E106" s="78"/>
      <c r="F106" s="78"/>
      <c r="G106" s="78"/>
      <c r="H106" s="1"/>
      <c r="I106" s="78"/>
      <c r="J106" s="93"/>
      <c r="K106" s="79"/>
      <c r="L106" s="93"/>
      <c r="M106" s="93"/>
      <c r="N106" s="93"/>
      <c r="O106" s="93"/>
      <c r="P106" s="93"/>
      <c r="Q106" s="93"/>
      <c r="R106" s="93"/>
      <c r="S106" s="93"/>
      <c r="T106" s="120"/>
      <c r="U106" s="120"/>
      <c r="V106" s="120"/>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row>
    <row r="107" outlineLevel="1">
      <c r="A107" s="1"/>
      <c r="B107" s="122" t="s">
        <v>295</v>
      </c>
      <c r="C107" s="30"/>
      <c r="E107" s="78"/>
      <c r="F107" s="78"/>
      <c r="G107" s="78"/>
      <c r="H107" s="1"/>
      <c r="I107" s="78"/>
      <c r="J107" s="93"/>
      <c r="K107" s="79" t="s">
        <v>296</v>
      </c>
      <c r="L107" s="93"/>
      <c r="M107" s="93"/>
      <c r="N107" s="93"/>
      <c r="O107" s="93"/>
      <c r="P107" s="93"/>
      <c r="Q107" s="93"/>
      <c r="R107" s="93"/>
      <c r="S107" s="93"/>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row>
    <row r="108" outlineLevel="1">
      <c r="A108" s="1"/>
      <c r="B108" s="76" t="s">
        <v>297</v>
      </c>
      <c r="C108" s="30"/>
      <c r="E108" s="78"/>
      <c r="F108" s="78"/>
      <c r="G108" s="78"/>
      <c r="H108" s="1"/>
      <c r="I108" s="78"/>
      <c r="J108" s="93"/>
      <c r="K108" s="78"/>
      <c r="L108" s="93"/>
      <c r="M108" s="93"/>
      <c r="N108" s="93"/>
      <c r="O108" s="93"/>
      <c r="P108" s="93"/>
      <c r="Q108" s="93"/>
      <c r="R108" s="93"/>
      <c r="S108" s="93"/>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row>
    <row r="109" outlineLevel="1">
      <c r="A109" s="1"/>
      <c r="B109" s="76" t="s">
        <v>298</v>
      </c>
      <c r="C109" s="103" t="str">
        <f>'Get Started'!$C$20</f>
        <v>$</v>
      </c>
      <c r="E109" s="78"/>
      <c r="F109" s="78"/>
      <c r="G109" s="78"/>
      <c r="H109" s="79" t="s">
        <v>193</v>
      </c>
      <c r="I109" s="87">
        <f t="shared" ref="I109:I115" si="84">if(H109="sum",sum(T109:BC109),if(H109="final",index(T109:BC109,match(99^99,T109:BC109,1)),if(H109="initial",T109,if(H109="average",average(T109:BC109),0))))</f>
        <v>0</v>
      </c>
      <c r="J109" s="93"/>
      <c r="K109" s="79" t="s">
        <v>299</v>
      </c>
      <c r="L109" s="93"/>
      <c r="M109" s="93"/>
      <c r="N109" s="93"/>
      <c r="O109" s="93"/>
      <c r="P109" s="93"/>
      <c r="Q109" s="93"/>
      <c r="R109" s="93"/>
      <c r="S109" s="93"/>
      <c r="T109" s="120">
        <f t="shared" ref="T109:BC109" si="83">if(T$5="","",S115)</f>
        <v>0</v>
      </c>
      <c r="U109" s="120">
        <f t="shared" si="83"/>
        <v>0</v>
      </c>
      <c r="V109" s="120">
        <f t="shared" si="83"/>
        <v>0</v>
      </c>
      <c r="W109" s="120">
        <f t="shared" si="83"/>
        <v>0</v>
      </c>
      <c r="X109" s="120">
        <f t="shared" si="83"/>
        <v>0</v>
      </c>
      <c r="Y109" s="120">
        <f t="shared" si="83"/>
        <v>0</v>
      </c>
      <c r="Z109" s="120">
        <f t="shared" si="83"/>
        <v>0</v>
      </c>
      <c r="AA109" s="120">
        <f t="shared" si="83"/>
        <v>0</v>
      </c>
      <c r="AB109" s="120">
        <f t="shared" si="83"/>
        <v>0</v>
      </c>
      <c r="AC109" s="120">
        <f t="shared" si="83"/>
        <v>0</v>
      </c>
      <c r="AD109" s="120">
        <f t="shared" si="83"/>
        <v>0</v>
      </c>
      <c r="AE109" s="120">
        <f t="shared" si="83"/>
        <v>0</v>
      </c>
      <c r="AF109" s="120">
        <f t="shared" si="83"/>
        <v>0</v>
      </c>
      <c r="AG109" s="120">
        <f t="shared" si="83"/>
        <v>0</v>
      </c>
      <c r="AH109" s="120">
        <f t="shared" si="83"/>
        <v>0</v>
      </c>
      <c r="AI109" s="120">
        <f t="shared" si="83"/>
        <v>0</v>
      </c>
      <c r="AJ109" s="120">
        <f t="shared" si="83"/>
        <v>0</v>
      </c>
      <c r="AK109" s="120">
        <f t="shared" si="83"/>
        <v>0</v>
      </c>
      <c r="AL109" s="120">
        <f t="shared" si="83"/>
        <v>0</v>
      </c>
      <c r="AM109" s="120">
        <f t="shared" si="83"/>
        <v>0</v>
      </c>
      <c r="AN109" s="120">
        <f t="shared" si="83"/>
        <v>0</v>
      </c>
      <c r="AO109" s="120">
        <f t="shared" si="83"/>
        <v>0</v>
      </c>
      <c r="AP109" s="120">
        <f t="shared" si="83"/>
        <v>0</v>
      </c>
      <c r="AQ109" s="120">
        <f t="shared" si="83"/>
        <v>0</v>
      </c>
      <c r="AR109" s="120">
        <f t="shared" si="83"/>
        <v>0</v>
      </c>
      <c r="AS109" s="120">
        <f t="shared" si="83"/>
        <v>0</v>
      </c>
      <c r="AT109" s="120">
        <f t="shared" si="83"/>
        <v>0</v>
      </c>
      <c r="AU109" s="120">
        <f t="shared" si="83"/>
        <v>0</v>
      </c>
      <c r="AV109" s="120">
        <f t="shared" si="83"/>
        <v>0</v>
      </c>
      <c r="AW109" s="120">
        <f t="shared" si="83"/>
        <v>0</v>
      </c>
      <c r="AX109" s="120">
        <f t="shared" si="83"/>
        <v>0</v>
      </c>
      <c r="AY109" s="120">
        <f t="shared" si="83"/>
        <v>0</v>
      </c>
      <c r="AZ109" s="120">
        <f t="shared" si="83"/>
        <v>0</v>
      </c>
      <c r="BA109" s="120">
        <f t="shared" si="83"/>
        <v>0</v>
      </c>
      <c r="BB109" s="120">
        <f t="shared" si="83"/>
        <v>0</v>
      </c>
      <c r="BC109" s="120">
        <f t="shared" si="83"/>
        <v>0</v>
      </c>
    </row>
    <row r="110" outlineLevel="1">
      <c r="A110" s="1"/>
      <c r="B110" s="76" t="s">
        <v>231</v>
      </c>
      <c r="C110" s="103" t="str">
        <f>'Get Started'!$C$20</f>
        <v>$</v>
      </c>
      <c r="E110" s="78"/>
      <c r="F110" s="78"/>
      <c r="G110" s="78"/>
      <c r="H110" s="79" t="s">
        <v>193</v>
      </c>
      <c r="I110" s="87">
        <f t="shared" si="84"/>
        <v>0</v>
      </c>
      <c r="J110" s="93"/>
      <c r="K110" s="79" t="s">
        <v>300</v>
      </c>
      <c r="L110" s="93"/>
      <c r="M110" s="93"/>
      <c r="N110" s="93"/>
      <c r="O110" s="93"/>
      <c r="P110" s="93"/>
      <c r="Q110" s="93"/>
      <c r="R110" s="93"/>
      <c r="S110" s="93"/>
      <c r="T110" s="111">
        <f t="shared" ref="T110:BC110" si="85">if(T$5="","",abs(SUMIF($D$17:$D$47,$B59,T$17:T$47)))</f>
        <v>0</v>
      </c>
      <c r="U110" s="111">
        <f t="shared" si="85"/>
        <v>0</v>
      </c>
      <c r="V110" s="111">
        <f t="shared" si="85"/>
        <v>0</v>
      </c>
      <c r="W110" s="111">
        <f t="shared" si="85"/>
        <v>0</v>
      </c>
      <c r="X110" s="111">
        <f t="shared" si="85"/>
        <v>0</v>
      </c>
      <c r="Y110" s="111">
        <f t="shared" si="85"/>
        <v>0</v>
      </c>
      <c r="Z110" s="111">
        <f t="shared" si="85"/>
        <v>0</v>
      </c>
      <c r="AA110" s="111">
        <f t="shared" si="85"/>
        <v>0</v>
      </c>
      <c r="AB110" s="111">
        <f t="shared" si="85"/>
        <v>0</v>
      </c>
      <c r="AC110" s="111">
        <f t="shared" si="85"/>
        <v>0</v>
      </c>
      <c r="AD110" s="111">
        <f t="shared" si="85"/>
        <v>0</v>
      </c>
      <c r="AE110" s="111">
        <f t="shared" si="85"/>
        <v>0</v>
      </c>
      <c r="AF110" s="111">
        <f t="shared" si="85"/>
        <v>0</v>
      </c>
      <c r="AG110" s="111">
        <f t="shared" si="85"/>
        <v>0</v>
      </c>
      <c r="AH110" s="111">
        <f t="shared" si="85"/>
        <v>0</v>
      </c>
      <c r="AI110" s="111">
        <f t="shared" si="85"/>
        <v>0</v>
      </c>
      <c r="AJ110" s="111">
        <f t="shared" si="85"/>
        <v>0</v>
      </c>
      <c r="AK110" s="111">
        <f t="shared" si="85"/>
        <v>0</v>
      </c>
      <c r="AL110" s="111">
        <f t="shared" si="85"/>
        <v>0</v>
      </c>
      <c r="AM110" s="111">
        <f t="shared" si="85"/>
        <v>0</v>
      </c>
      <c r="AN110" s="111">
        <f t="shared" si="85"/>
        <v>0</v>
      </c>
      <c r="AO110" s="111">
        <f t="shared" si="85"/>
        <v>0</v>
      </c>
      <c r="AP110" s="111">
        <f t="shared" si="85"/>
        <v>0</v>
      </c>
      <c r="AQ110" s="111">
        <f t="shared" si="85"/>
        <v>0</v>
      </c>
      <c r="AR110" s="111">
        <f t="shared" si="85"/>
        <v>0</v>
      </c>
      <c r="AS110" s="111">
        <f t="shared" si="85"/>
        <v>0</v>
      </c>
      <c r="AT110" s="111">
        <f t="shared" si="85"/>
        <v>0</v>
      </c>
      <c r="AU110" s="111">
        <f t="shared" si="85"/>
        <v>0</v>
      </c>
      <c r="AV110" s="111">
        <f t="shared" si="85"/>
        <v>0</v>
      </c>
      <c r="AW110" s="111">
        <f t="shared" si="85"/>
        <v>0</v>
      </c>
      <c r="AX110" s="111">
        <f t="shared" si="85"/>
        <v>0</v>
      </c>
      <c r="AY110" s="111">
        <f t="shared" si="85"/>
        <v>0</v>
      </c>
      <c r="AZ110" s="111">
        <f t="shared" si="85"/>
        <v>0</v>
      </c>
      <c r="BA110" s="111">
        <f t="shared" si="85"/>
        <v>0</v>
      </c>
      <c r="BB110" s="111">
        <f t="shared" si="85"/>
        <v>0</v>
      </c>
      <c r="BC110" s="111">
        <f t="shared" si="85"/>
        <v>0</v>
      </c>
    </row>
    <row r="111" outlineLevel="1">
      <c r="A111" s="1"/>
      <c r="B111" s="76" t="s">
        <v>231</v>
      </c>
      <c r="C111" s="103" t="str">
        <f>'Get Started'!$C$20</f>
        <v>$</v>
      </c>
      <c r="E111" s="78"/>
      <c r="F111" s="78"/>
      <c r="G111" s="78"/>
      <c r="H111" s="79" t="s">
        <v>193</v>
      </c>
      <c r="I111" s="87">
        <f t="shared" si="84"/>
        <v>40811.47688</v>
      </c>
      <c r="J111" s="93"/>
      <c r="K111" s="79" t="s">
        <v>301</v>
      </c>
      <c r="L111" s="93"/>
      <c r="M111" s="93"/>
      <c r="N111" s="93"/>
      <c r="O111" s="93"/>
      <c r="P111" s="93"/>
      <c r="Q111" s="93"/>
      <c r="R111" s="93"/>
      <c r="S111" s="93"/>
      <c r="T111" s="111">
        <f>if(T$5="","",IF('Get Started'!$D23="no",0,IF(SUM($S110:T110)=0,-1*T112,0)))</f>
        <v>1000</v>
      </c>
      <c r="U111" s="111">
        <f>if(U$5="","",IF('Get Started'!$D23="no",0,IF(SUM($S110:U110)=0,-1*U112,0)))</f>
        <v>1000</v>
      </c>
      <c r="V111" s="111">
        <f>if(V$5="","",IF('Get Started'!$D23="no",0,IF(SUM($S110:V110)=0,-1*V112,0)))</f>
        <v>1000</v>
      </c>
      <c r="W111" s="111">
        <f>if(W$5="","",IF('Get Started'!$D23="no",0,IF(SUM($S110:W110)=0,-1*W112,0)))</f>
        <v>1000</v>
      </c>
      <c r="X111" s="111">
        <f>if(X$5="","",IF('Get Started'!$D23="no",0,IF(SUM($S110:X110)=0,-1*X112,0)))</f>
        <v>1000</v>
      </c>
      <c r="Y111" s="111">
        <f>if(Y$5="","",IF('Get Started'!$D23="no",0,IF(SUM($S110:Y110)=0,-1*Y112,0)))</f>
        <v>1000</v>
      </c>
      <c r="Z111" s="111">
        <f>if(Z$5="","",IF('Get Started'!$D23="no",0,IF(SUM($S110:Z110)=0,-1*Z112,0)))</f>
        <v>1050</v>
      </c>
      <c r="AA111" s="111">
        <f>if(AA$5="","",IF('Get Started'!$D23="no",0,IF(SUM($S110:AA110)=0,-1*AA112,0)))</f>
        <v>1050</v>
      </c>
      <c r="AB111" s="111">
        <f>if(AB$5="","",IF('Get Started'!$D23="no",0,IF(SUM($S110:AB110)=0,-1*AB112,0)))</f>
        <v>1050</v>
      </c>
      <c r="AC111" s="111">
        <f>if(AC$5="","",IF('Get Started'!$D23="no",0,IF(SUM($S110:AC110)=0,-1*AC112,0)))</f>
        <v>1050</v>
      </c>
      <c r="AD111" s="111">
        <f>if(AD$5="","",IF('Get Started'!$D23="no",0,IF(SUM($S110:AD110)=0,-1*AD112,0)))</f>
        <v>1050</v>
      </c>
      <c r="AE111" s="111">
        <f>if(AE$5="","",IF('Get Started'!$D23="no",0,IF(SUM($S110:AE110)=0,-1*AE112,0)))</f>
        <v>1050</v>
      </c>
      <c r="AF111" s="111">
        <f>if(AF$5="","",IF('Get Started'!$D23="no",0,IF(SUM($S110:AF110)=0,-1*AF112,0)))</f>
        <v>1102.5</v>
      </c>
      <c r="AG111" s="111">
        <f>if(AG$5="","",IF('Get Started'!$D23="no",0,IF(SUM($S110:AG110)=0,-1*AG112,0)))</f>
        <v>1102.5</v>
      </c>
      <c r="AH111" s="111">
        <f>if(AH$5="","",IF('Get Started'!$D23="no",0,IF(SUM($S110:AH110)=0,-1*AH112,0)))</f>
        <v>1102.5</v>
      </c>
      <c r="AI111" s="111">
        <f>if(AI$5="","",IF('Get Started'!$D23="no",0,IF(SUM($S110:AI110)=0,-1*AI112,0)))</f>
        <v>1102.5</v>
      </c>
      <c r="AJ111" s="111">
        <f>if(AJ$5="","",IF('Get Started'!$D23="no",0,IF(SUM($S110:AJ110)=0,-1*AJ112,0)))</f>
        <v>1102.5</v>
      </c>
      <c r="AK111" s="111">
        <f>if(AK$5="","",IF('Get Started'!$D23="no",0,IF(SUM($S110:AK110)=0,-1*AK112,0)))</f>
        <v>1102.5</v>
      </c>
      <c r="AL111" s="111">
        <f>if(AL$5="","",IF('Get Started'!$D23="no",0,IF(SUM($S110:AL110)=0,-1*AL112,0)))</f>
        <v>1157.625</v>
      </c>
      <c r="AM111" s="111">
        <f>if(AM$5="","",IF('Get Started'!$D23="no",0,IF(SUM($S110:AM110)=0,-1*AM112,0)))</f>
        <v>1157.625</v>
      </c>
      <c r="AN111" s="111">
        <f>if(AN$5="","",IF('Get Started'!$D23="no",0,IF(SUM($S110:AN110)=0,-1*AN112,0)))</f>
        <v>1157.625</v>
      </c>
      <c r="AO111" s="111">
        <f>if(AO$5="","",IF('Get Started'!$D23="no",0,IF(SUM($S110:AO110)=0,-1*AO112,0)))</f>
        <v>1157.625</v>
      </c>
      <c r="AP111" s="111">
        <f>if(AP$5="","",IF('Get Started'!$D23="no",0,IF(SUM($S110:AP110)=0,-1*AP112,0)))</f>
        <v>1157.625</v>
      </c>
      <c r="AQ111" s="111">
        <f>if(AQ$5="","",IF('Get Started'!$D23="no",0,IF(SUM($S110:AQ110)=0,-1*AQ112,0)))</f>
        <v>1157.625</v>
      </c>
      <c r="AR111" s="111">
        <f>if(AR$5="","",IF('Get Started'!$D23="no",0,IF(SUM($S110:AR110)=0,-1*AR112,0)))</f>
        <v>1215.50625</v>
      </c>
      <c r="AS111" s="111">
        <f>if(AS$5="","",IF('Get Started'!$D23="no",0,IF(SUM($S110:AS110)=0,-1*AS112,0)))</f>
        <v>1215.50625</v>
      </c>
      <c r="AT111" s="111">
        <f>if(AT$5="","",IF('Get Started'!$D23="no",0,IF(SUM($S110:AT110)=0,-1*AT112,0)))</f>
        <v>1215.50625</v>
      </c>
      <c r="AU111" s="111">
        <f>if(AU$5="","",IF('Get Started'!$D23="no",0,IF(SUM($S110:AU110)=0,-1*AU112,0)))</f>
        <v>1215.50625</v>
      </c>
      <c r="AV111" s="111">
        <f>if(AV$5="","",IF('Get Started'!$D23="no",0,IF(SUM($S110:AV110)=0,-1*AV112,0)))</f>
        <v>1215.50625</v>
      </c>
      <c r="AW111" s="111">
        <f>if(AW$5="","",IF('Get Started'!$D23="no",0,IF(SUM($S110:AW110)=0,-1*AW112,0)))</f>
        <v>1215.50625</v>
      </c>
      <c r="AX111" s="111">
        <f>if(AX$5="","",IF('Get Started'!$D23="no",0,IF(SUM($S110:AX110)=0,-1*AX112,0)))</f>
        <v>1276.281563</v>
      </c>
      <c r="AY111" s="111">
        <f>if(AY$5="","",IF('Get Started'!$D23="no",0,IF(SUM($S110:AY110)=0,-1*AY112,0)))</f>
        <v>1276.281563</v>
      </c>
      <c r="AZ111" s="111">
        <f>if(AZ$5="","",IF('Get Started'!$D23="no",0,IF(SUM($S110:AZ110)=0,-1*AZ112,0)))</f>
        <v>1276.281563</v>
      </c>
      <c r="BA111" s="111">
        <f>if(BA$5="","",IF('Get Started'!$D23="no",0,IF(SUM($S110:BA110)=0,-1*BA112,0)))</f>
        <v>1276.281563</v>
      </c>
      <c r="BB111" s="111">
        <f>if(BB$5="","",IF('Get Started'!$D23="no",0,IF(SUM($S110:BB110)=0,-1*BB112,0)))</f>
        <v>1276.281563</v>
      </c>
      <c r="BC111" s="111">
        <f>if(BC$5="","",IF('Get Started'!$D23="no",0,IF(SUM($S110:BC110)=0,-1*BC112,0)))</f>
        <v>1276.281563</v>
      </c>
    </row>
    <row r="112" outlineLevel="1">
      <c r="A112" s="1"/>
      <c r="B112" s="76" t="s">
        <v>302</v>
      </c>
      <c r="C112" s="103" t="str">
        <f>'Get Started'!$C$20</f>
        <v>$</v>
      </c>
      <c r="E112" s="78"/>
      <c r="F112" s="78"/>
      <c r="G112" s="78"/>
      <c r="H112" s="79" t="s">
        <v>193</v>
      </c>
      <c r="I112" s="87">
        <f t="shared" si="84"/>
        <v>-40811.47688</v>
      </c>
      <c r="J112" s="93"/>
      <c r="K112" s="79" t="s">
        <v>300</v>
      </c>
      <c r="L112" s="93"/>
      <c r="M112" s="93"/>
      <c r="N112" s="93"/>
      <c r="O112" s="93"/>
      <c r="P112" s="93"/>
      <c r="Q112" s="93"/>
      <c r="R112" s="93"/>
      <c r="S112" s="93"/>
      <c r="T112" s="111">
        <f t="shared" ref="T112:BC112" si="86">if(T$5="","",-1*abs(SUMIF($D$60:$D$86,$B98,T$60:T$86)))</f>
        <v>-1000</v>
      </c>
      <c r="U112" s="111">
        <f t="shared" si="86"/>
        <v>-1000</v>
      </c>
      <c r="V112" s="111">
        <f t="shared" si="86"/>
        <v>-1000</v>
      </c>
      <c r="W112" s="111">
        <f t="shared" si="86"/>
        <v>-1000</v>
      </c>
      <c r="X112" s="111">
        <f t="shared" si="86"/>
        <v>-1000</v>
      </c>
      <c r="Y112" s="111">
        <f t="shared" si="86"/>
        <v>-1000</v>
      </c>
      <c r="Z112" s="111">
        <f t="shared" si="86"/>
        <v>-1050</v>
      </c>
      <c r="AA112" s="111">
        <f t="shared" si="86"/>
        <v>-1050</v>
      </c>
      <c r="AB112" s="111">
        <f t="shared" si="86"/>
        <v>-1050</v>
      </c>
      <c r="AC112" s="111">
        <f t="shared" si="86"/>
        <v>-1050</v>
      </c>
      <c r="AD112" s="111">
        <f t="shared" si="86"/>
        <v>-1050</v>
      </c>
      <c r="AE112" s="111">
        <f t="shared" si="86"/>
        <v>-1050</v>
      </c>
      <c r="AF112" s="111">
        <f t="shared" si="86"/>
        <v>-1102.5</v>
      </c>
      <c r="AG112" s="111">
        <f t="shared" si="86"/>
        <v>-1102.5</v>
      </c>
      <c r="AH112" s="111">
        <f t="shared" si="86"/>
        <v>-1102.5</v>
      </c>
      <c r="AI112" s="111">
        <f t="shared" si="86"/>
        <v>-1102.5</v>
      </c>
      <c r="AJ112" s="111">
        <f t="shared" si="86"/>
        <v>-1102.5</v>
      </c>
      <c r="AK112" s="111">
        <f t="shared" si="86"/>
        <v>-1102.5</v>
      </c>
      <c r="AL112" s="111">
        <f t="shared" si="86"/>
        <v>-1157.625</v>
      </c>
      <c r="AM112" s="111">
        <f t="shared" si="86"/>
        <v>-1157.625</v>
      </c>
      <c r="AN112" s="111">
        <f t="shared" si="86"/>
        <v>-1157.625</v>
      </c>
      <c r="AO112" s="111">
        <f t="shared" si="86"/>
        <v>-1157.625</v>
      </c>
      <c r="AP112" s="111">
        <f t="shared" si="86"/>
        <v>-1157.625</v>
      </c>
      <c r="AQ112" s="111">
        <f t="shared" si="86"/>
        <v>-1157.625</v>
      </c>
      <c r="AR112" s="111">
        <f t="shared" si="86"/>
        <v>-1215.50625</v>
      </c>
      <c r="AS112" s="111">
        <f t="shared" si="86"/>
        <v>-1215.50625</v>
      </c>
      <c r="AT112" s="111">
        <f t="shared" si="86"/>
        <v>-1215.50625</v>
      </c>
      <c r="AU112" s="111">
        <f t="shared" si="86"/>
        <v>-1215.50625</v>
      </c>
      <c r="AV112" s="111">
        <f t="shared" si="86"/>
        <v>-1215.50625</v>
      </c>
      <c r="AW112" s="111">
        <f t="shared" si="86"/>
        <v>-1215.50625</v>
      </c>
      <c r="AX112" s="111">
        <f t="shared" si="86"/>
        <v>-1276.281563</v>
      </c>
      <c r="AY112" s="111">
        <f t="shared" si="86"/>
        <v>-1276.281563</v>
      </c>
      <c r="AZ112" s="111">
        <f t="shared" si="86"/>
        <v>-1276.281563</v>
      </c>
      <c r="BA112" s="111">
        <f t="shared" si="86"/>
        <v>-1276.281563</v>
      </c>
      <c r="BB112" s="111">
        <f t="shared" si="86"/>
        <v>-1276.281563</v>
      </c>
      <c r="BC112" s="111">
        <f t="shared" si="86"/>
        <v>-1276.281563</v>
      </c>
    </row>
    <row r="113" outlineLevel="1">
      <c r="A113" s="1"/>
      <c r="B113" s="76" t="s">
        <v>302</v>
      </c>
      <c r="C113" s="103" t="str">
        <f>'Get Started'!$C$20</f>
        <v>$</v>
      </c>
      <c r="E113" s="78"/>
      <c r="F113" s="78"/>
      <c r="G113" s="78"/>
      <c r="H113" s="79" t="s">
        <v>193</v>
      </c>
      <c r="I113" s="87">
        <f t="shared" si="84"/>
        <v>0</v>
      </c>
      <c r="J113" s="93"/>
      <c r="K113" s="79" t="s">
        <v>303</v>
      </c>
      <c r="L113" s="93"/>
      <c r="M113" s="93"/>
      <c r="N113" s="93"/>
      <c r="O113" s="93"/>
      <c r="P113" s="93"/>
      <c r="Q113" s="93"/>
      <c r="R113" s="93"/>
      <c r="S113" s="93"/>
      <c r="T113" s="111">
        <f>if(T$5="","",IF('Get Started'!$D23="no",0,IF(T5&lt;=MAX(1,'Get Started'!$D24),$T109/MAX(1,'Get Started'!$D24)*-1,0)))</f>
        <v>0</v>
      </c>
      <c r="U113" s="111">
        <f>if(U$5="","",IF('Get Started'!$D23="no",0,IF(U5&lt;=MAX(1,'Get Started'!$D24),$T109/MAX(1,'Get Started'!$D24)*-1,0)))</f>
        <v>0</v>
      </c>
      <c r="V113" s="111">
        <f>if(V$5="","",IF('Get Started'!$D23="no",0,IF(V5&lt;=MAX(1,'Get Started'!$D24),$T109/MAX(1,'Get Started'!$D24)*-1,0)))</f>
        <v>0</v>
      </c>
      <c r="W113" s="111">
        <f>if(W$5="","",IF('Get Started'!$D23="no",0,IF(W5&lt;=MAX(1,'Get Started'!$D24),$T109/MAX(1,'Get Started'!$D24)*-1,0)))</f>
        <v>0</v>
      </c>
      <c r="X113" s="111">
        <f>if(X$5="","",IF('Get Started'!$D23="no",0,IF(X5&lt;=MAX(1,'Get Started'!$D24),$T109/MAX(1,'Get Started'!$D24)*-1,0)))</f>
        <v>0</v>
      </c>
      <c r="Y113" s="111">
        <f>if(Y$5="","",IF('Get Started'!$D23="no",0,IF(Y5&lt;=MAX(1,'Get Started'!$D24),$T109/MAX(1,'Get Started'!$D24)*-1,0)))</f>
        <v>0</v>
      </c>
      <c r="Z113" s="111">
        <f>if(Z$5="","",IF('Get Started'!$D23="no",0,IF(Z5&lt;=MAX(1,'Get Started'!$D24),$T109/MAX(1,'Get Started'!$D24)*-1,0)))</f>
        <v>0</v>
      </c>
      <c r="AA113" s="111">
        <f>if(AA$5="","",IF('Get Started'!$D23="no",0,IF(AA5&lt;=MAX(1,'Get Started'!$D24),$T109/MAX(1,'Get Started'!$D24)*-1,0)))</f>
        <v>0</v>
      </c>
      <c r="AB113" s="111">
        <f>if(AB$5="","",IF('Get Started'!$D23="no",0,IF(AB5&lt;=MAX(1,'Get Started'!$D24),$T109/MAX(1,'Get Started'!$D24)*-1,0)))</f>
        <v>0</v>
      </c>
      <c r="AC113" s="111">
        <f>if(AC$5="","",IF('Get Started'!$D23="no",0,IF(AC5&lt;=MAX(1,'Get Started'!$D24),$T109/MAX(1,'Get Started'!$D24)*-1,0)))</f>
        <v>0</v>
      </c>
      <c r="AD113" s="111">
        <f>if(AD$5="","",IF('Get Started'!$D23="no",0,IF(AD5&lt;=MAX(1,'Get Started'!$D24),$T109/MAX(1,'Get Started'!$D24)*-1,0)))</f>
        <v>0</v>
      </c>
      <c r="AE113" s="111">
        <f>if(AE$5="","",IF('Get Started'!$D23="no",0,IF(AE5&lt;=MAX(1,'Get Started'!$D24),$T109/MAX(1,'Get Started'!$D24)*-1,0)))</f>
        <v>0</v>
      </c>
      <c r="AF113" s="111">
        <f>if(AF$5="","",IF('Get Started'!$D23="no",0,IF(AF5&lt;=MAX(1,'Get Started'!$D24),$T109/MAX(1,'Get Started'!$D24)*-1,0)))</f>
        <v>0</v>
      </c>
      <c r="AG113" s="111">
        <f>if(AG$5="","",IF('Get Started'!$D23="no",0,IF(AG5&lt;=MAX(1,'Get Started'!$D24),$T109/MAX(1,'Get Started'!$D24)*-1,0)))</f>
        <v>0</v>
      </c>
      <c r="AH113" s="111">
        <f>if(AH$5="","",IF('Get Started'!$D23="no",0,IF(AH5&lt;=MAX(1,'Get Started'!$D24),$T109/MAX(1,'Get Started'!$D24)*-1,0)))</f>
        <v>0</v>
      </c>
      <c r="AI113" s="111">
        <f>if(AI$5="","",IF('Get Started'!$D23="no",0,IF(AI5&lt;=MAX(1,'Get Started'!$D24),$T109/MAX(1,'Get Started'!$D24)*-1,0)))</f>
        <v>0</v>
      </c>
      <c r="AJ113" s="111">
        <f>if(AJ$5="","",IF('Get Started'!$D23="no",0,IF(AJ5&lt;=MAX(1,'Get Started'!$D24),$T109/MAX(1,'Get Started'!$D24)*-1,0)))</f>
        <v>0</v>
      </c>
      <c r="AK113" s="111">
        <f>if(AK$5="","",IF('Get Started'!$D23="no",0,IF(AK5&lt;=MAX(1,'Get Started'!$D24),$T109/MAX(1,'Get Started'!$D24)*-1,0)))</f>
        <v>0</v>
      </c>
      <c r="AL113" s="111">
        <f>if(AL$5="","",IF('Get Started'!$D23="no",0,IF(AL5&lt;=MAX(1,'Get Started'!$D24),$T109/MAX(1,'Get Started'!$D24)*-1,0)))</f>
        <v>0</v>
      </c>
      <c r="AM113" s="111">
        <f>if(AM$5="","",IF('Get Started'!$D23="no",0,IF(AM5&lt;=MAX(1,'Get Started'!$D24),$T109/MAX(1,'Get Started'!$D24)*-1,0)))</f>
        <v>0</v>
      </c>
      <c r="AN113" s="111">
        <f>if(AN$5="","",IF('Get Started'!$D23="no",0,IF(AN5&lt;=MAX(1,'Get Started'!$D24),$T109/MAX(1,'Get Started'!$D24)*-1,0)))</f>
        <v>0</v>
      </c>
      <c r="AO113" s="111">
        <f>if(AO$5="","",IF('Get Started'!$D23="no",0,IF(AO5&lt;=MAX(1,'Get Started'!$D24),$T109/MAX(1,'Get Started'!$D24)*-1,0)))</f>
        <v>0</v>
      </c>
      <c r="AP113" s="111">
        <f>if(AP$5="","",IF('Get Started'!$D23="no",0,IF(AP5&lt;=MAX(1,'Get Started'!$D24),$T109/MAX(1,'Get Started'!$D24)*-1,0)))</f>
        <v>0</v>
      </c>
      <c r="AQ113" s="111">
        <f>if(AQ$5="","",IF('Get Started'!$D23="no",0,IF(AQ5&lt;=MAX(1,'Get Started'!$D24),$T109/MAX(1,'Get Started'!$D24)*-1,0)))</f>
        <v>0</v>
      </c>
      <c r="AR113" s="111">
        <f>if(AR$5="","",IF('Get Started'!$D23="no",0,IF(AR5&lt;=MAX(1,'Get Started'!$D24),$T109/MAX(1,'Get Started'!$D24)*-1,0)))</f>
        <v>0</v>
      </c>
      <c r="AS113" s="111">
        <f>if(AS$5="","",IF('Get Started'!$D23="no",0,IF(AS5&lt;=MAX(1,'Get Started'!$D24),$T109/MAX(1,'Get Started'!$D24)*-1,0)))</f>
        <v>0</v>
      </c>
      <c r="AT113" s="111">
        <f>if(AT$5="","",IF('Get Started'!$D23="no",0,IF(AT5&lt;=MAX(1,'Get Started'!$D24),$T109/MAX(1,'Get Started'!$D24)*-1,0)))</f>
        <v>0</v>
      </c>
      <c r="AU113" s="111">
        <f>if(AU$5="","",IF('Get Started'!$D23="no",0,IF(AU5&lt;=MAX(1,'Get Started'!$D24),$T109/MAX(1,'Get Started'!$D24)*-1,0)))</f>
        <v>0</v>
      </c>
      <c r="AV113" s="111">
        <f>if(AV$5="","",IF('Get Started'!$D23="no",0,IF(AV5&lt;=MAX(1,'Get Started'!$D24),$T109/MAX(1,'Get Started'!$D24)*-1,0)))</f>
        <v>0</v>
      </c>
      <c r="AW113" s="111">
        <f>if(AW$5="","",IF('Get Started'!$D23="no",0,IF(AW5&lt;=MAX(1,'Get Started'!$D24),$T109/MAX(1,'Get Started'!$D24)*-1,0)))</f>
        <v>0</v>
      </c>
      <c r="AX113" s="111">
        <f>if(AX$5="","",IF('Get Started'!$D23="no",0,IF(AX5&lt;=MAX(1,'Get Started'!$D24),$T109/MAX(1,'Get Started'!$D24)*-1,0)))</f>
        <v>0</v>
      </c>
      <c r="AY113" s="111">
        <f>if(AY$5="","",IF('Get Started'!$D23="no",0,IF(AY5&lt;=MAX(1,'Get Started'!$D24),$T109/MAX(1,'Get Started'!$D24)*-1,0)))</f>
        <v>0</v>
      </c>
      <c r="AZ113" s="111">
        <f>if(AZ$5="","",IF('Get Started'!$D23="no",0,IF(AZ5&lt;=MAX(1,'Get Started'!$D24),$T109/MAX(1,'Get Started'!$D24)*-1,0)))</f>
        <v>0</v>
      </c>
      <c r="BA113" s="111">
        <f>if(BA$5="","",IF('Get Started'!$D23="no",0,IF(BA5&lt;=MAX(1,'Get Started'!$D24),$T109/MAX(1,'Get Started'!$D24)*-1,0)))</f>
        <v>0</v>
      </c>
      <c r="BB113" s="111">
        <f>if(BB$5="","",IF('Get Started'!$D23="no",0,IF(BB5&lt;=MAX(1,'Get Started'!$D24),$T109/MAX(1,'Get Started'!$D24)*-1,0)))</f>
        <v>0</v>
      </c>
      <c r="BC113" s="111">
        <f>if(BC$5="","",IF('Get Started'!$D23="no",0,IF(BC5&lt;=MAX(1,'Get Started'!$D24),$T109/MAX(1,'Get Started'!$D24)*-1,0)))</f>
        <v>0</v>
      </c>
    </row>
    <row r="114" outlineLevel="1">
      <c r="A114" s="1"/>
      <c r="B114" s="76" t="s">
        <v>302</v>
      </c>
      <c r="C114" s="103" t="str">
        <f>'Get Started'!$C$20</f>
        <v>$</v>
      </c>
      <c r="E114" s="78"/>
      <c r="F114" s="78"/>
      <c r="G114" s="78"/>
      <c r="H114" s="79" t="s">
        <v>193</v>
      </c>
      <c r="I114" s="87">
        <f t="shared" si="84"/>
        <v>0</v>
      </c>
      <c r="J114" s="93"/>
      <c r="K114" s="79" t="s">
        <v>304</v>
      </c>
      <c r="L114" s="93"/>
      <c r="M114" s="93"/>
      <c r="N114" s="93"/>
      <c r="O114" s="93"/>
      <c r="P114" s="93"/>
      <c r="Q114" s="93"/>
      <c r="R114" s="93"/>
      <c r="S114" s="93"/>
      <c r="T114" s="111">
        <f>if(T$5="","",IF('Get Started'!$D23="no",0,IF(SUM($S112:T112)=0,IFERROR(-1*SUMIF($T$5:T5,"&gt;="&amp;T11,$T$110:T110)/MAX('Get Started'!$D$24,1),0),0)))</f>
        <v>0</v>
      </c>
      <c r="U114" s="111">
        <f>if(U$5="","",IF('Get Started'!$D23="no",0,IF(SUM($S112:U112)=0,IFERROR(-1*SUMIF($T$5:U5,"&gt;="&amp;U11,$T$110:U110)/MAX('Get Started'!$D$24,1),0),0)))</f>
        <v>0</v>
      </c>
      <c r="V114" s="111">
        <f>if(V$5="","",IF('Get Started'!$D23="no",0,IF(SUM($S112:V112)=0,IFERROR(-1*SUMIF($T$5:V5,"&gt;="&amp;V11,$T$110:V110)/MAX('Get Started'!$D$24,1),0),0)))</f>
        <v>0</v>
      </c>
      <c r="W114" s="111">
        <f>if(W$5="","",IF('Get Started'!$D23="no",0,IF(SUM($S112:W112)=0,IFERROR(-1*SUMIF($T$5:W5,"&gt;="&amp;W11,$T$110:W110)/MAX('Get Started'!$D$24,1),0),0)))</f>
        <v>0</v>
      </c>
      <c r="X114" s="111">
        <f>if(X$5="","",IF('Get Started'!$D23="no",0,IF(SUM($S112:X112)=0,IFERROR(-1*SUMIF($T$5:X5,"&gt;="&amp;X11,$T$110:X110)/MAX('Get Started'!$D$24,1),0),0)))</f>
        <v>0</v>
      </c>
      <c r="Y114" s="111">
        <f>if(Y$5="","",IF('Get Started'!$D23="no",0,IF(SUM($S112:Y112)=0,IFERROR(-1*SUMIF($T$5:Y5,"&gt;="&amp;Y11,$T$110:Y110)/MAX('Get Started'!$D$24,1),0),0)))</f>
        <v>0</v>
      </c>
      <c r="Z114" s="111">
        <f>if(Z$5="","",IF('Get Started'!$D23="no",0,IF(SUM($S112:Z112)=0,IFERROR(-1*SUMIF($T$5:Z5,"&gt;="&amp;Z11,$T$110:Z110)/MAX('Get Started'!$D$24,1),0),0)))</f>
        <v>0</v>
      </c>
      <c r="AA114" s="111">
        <f>if(AA$5="","",IF('Get Started'!$D23="no",0,IF(SUM($S112:AA112)=0,IFERROR(-1*SUMIF($T$5:AA5,"&gt;="&amp;AA11,$T$110:AA110)/MAX('Get Started'!$D$24,1),0),0)))</f>
        <v>0</v>
      </c>
      <c r="AB114" s="111">
        <f>if(AB$5="","",IF('Get Started'!$D23="no",0,IF(SUM($S112:AB112)=0,IFERROR(-1*SUMIF($T$5:AB5,"&gt;="&amp;AB11,$T$110:AB110)/MAX('Get Started'!$D$24,1),0),0)))</f>
        <v>0</v>
      </c>
      <c r="AC114" s="111">
        <f>if(AC$5="","",IF('Get Started'!$D23="no",0,IF(SUM($S112:AC112)=0,IFERROR(-1*SUMIF($T$5:AC5,"&gt;="&amp;AC11,$T$110:AC110)/MAX('Get Started'!$D$24,1),0),0)))</f>
        <v>0</v>
      </c>
      <c r="AD114" s="111">
        <f>if(AD$5="","",IF('Get Started'!$D23="no",0,IF(SUM($S112:AD112)=0,IFERROR(-1*SUMIF($T$5:AD5,"&gt;="&amp;AD11,$T$110:AD110)/MAX('Get Started'!$D$24,1),0),0)))</f>
        <v>0</v>
      </c>
      <c r="AE114" s="111">
        <f>if(AE$5="","",IF('Get Started'!$D23="no",0,IF(SUM($S112:AE112)=0,IFERROR(-1*SUMIF($T$5:AE5,"&gt;="&amp;AE11,$T$110:AE110)/MAX('Get Started'!$D$24,1),0),0)))</f>
        <v>0</v>
      </c>
      <c r="AF114" s="111">
        <f>if(AF$5="","",IF('Get Started'!$D23="no",0,IF(SUM($S112:AF112)=0,IFERROR(-1*SUMIF($T$5:AF5,"&gt;="&amp;AF11,$T$110:AF110)/MAX('Get Started'!$D$24,1),0),0)))</f>
        <v>0</v>
      </c>
      <c r="AG114" s="111">
        <f>if(AG$5="","",IF('Get Started'!$D23="no",0,IF(SUM($S112:AG112)=0,IFERROR(-1*SUMIF($T$5:AG5,"&gt;="&amp;AG11,$T$110:AG110)/MAX('Get Started'!$D$24,1),0),0)))</f>
        <v>0</v>
      </c>
      <c r="AH114" s="111">
        <f>if(AH$5="","",IF('Get Started'!$D23="no",0,IF(SUM($S112:AH112)=0,IFERROR(-1*SUMIF($T$5:AH5,"&gt;="&amp;AH11,$T$110:AH110)/MAX('Get Started'!$D$24,1),0),0)))</f>
        <v>0</v>
      </c>
      <c r="AI114" s="111">
        <f>if(AI$5="","",IF('Get Started'!$D23="no",0,IF(SUM($S112:AI112)=0,IFERROR(-1*SUMIF($T$5:AI5,"&gt;="&amp;AI11,$T$110:AI110)/MAX('Get Started'!$D$24,1),0),0)))</f>
        <v>0</v>
      </c>
      <c r="AJ114" s="111">
        <f>if(AJ$5="","",IF('Get Started'!$D23="no",0,IF(SUM($S112:AJ112)=0,IFERROR(-1*SUMIF($T$5:AJ5,"&gt;="&amp;AJ11,$T$110:AJ110)/MAX('Get Started'!$D$24,1),0),0)))</f>
        <v>0</v>
      </c>
      <c r="AK114" s="111">
        <f>if(AK$5="","",IF('Get Started'!$D23="no",0,IF(SUM($S112:AK112)=0,IFERROR(-1*SUMIF($T$5:AK5,"&gt;="&amp;AK11,$T$110:AK110)/MAX('Get Started'!$D$24,1),0),0)))</f>
        <v>0</v>
      </c>
      <c r="AL114" s="111">
        <f>if(AL$5="","",IF('Get Started'!$D23="no",0,IF(SUM($S112:AL112)=0,IFERROR(-1*SUMIF($T$5:AL5,"&gt;="&amp;AL11,$T$110:AL110)/MAX('Get Started'!$D$24,1),0),0)))</f>
        <v>0</v>
      </c>
      <c r="AM114" s="111">
        <f>if(AM$5="","",IF('Get Started'!$D23="no",0,IF(SUM($S112:AM112)=0,IFERROR(-1*SUMIF($T$5:AM5,"&gt;="&amp;AM11,$T$110:AM110)/MAX('Get Started'!$D$24,1),0),0)))</f>
        <v>0</v>
      </c>
      <c r="AN114" s="111">
        <f>if(AN$5="","",IF('Get Started'!$D23="no",0,IF(SUM($S112:AN112)=0,IFERROR(-1*SUMIF($T$5:AN5,"&gt;="&amp;AN11,$T$110:AN110)/MAX('Get Started'!$D$24,1),0),0)))</f>
        <v>0</v>
      </c>
      <c r="AO114" s="111">
        <f>if(AO$5="","",IF('Get Started'!$D23="no",0,IF(SUM($S112:AO112)=0,IFERROR(-1*SUMIF($T$5:AO5,"&gt;="&amp;AO11,$T$110:AO110)/MAX('Get Started'!$D$24,1),0),0)))</f>
        <v>0</v>
      </c>
      <c r="AP114" s="111">
        <f>if(AP$5="","",IF('Get Started'!$D23="no",0,IF(SUM($S112:AP112)=0,IFERROR(-1*SUMIF($T$5:AP5,"&gt;="&amp;AP11,$T$110:AP110)/MAX('Get Started'!$D$24,1),0),0)))</f>
        <v>0</v>
      </c>
      <c r="AQ114" s="111">
        <f>if(AQ$5="","",IF('Get Started'!$D23="no",0,IF(SUM($S112:AQ112)=0,IFERROR(-1*SUMIF($T$5:AQ5,"&gt;="&amp;AQ11,$T$110:AQ110)/MAX('Get Started'!$D$24,1),0),0)))</f>
        <v>0</v>
      </c>
      <c r="AR114" s="111">
        <f>if(AR$5="","",IF('Get Started'!$D23="no",0,IF(SUM($S112:AR112)=0,IFERROR(-1*SUMIF($T$5:AR5,"&gt;="&amp;AR11,$T$110:AR110)/MAX('Get Started'!$D$24,1),0),0)))</f>
        <v>0</v>
      </c>
      <c r="AS114" s="111">
        <f>if(AS$5="","",IF('Get Started'!$D23="no",0,IF(SUM($S112:AS112)=0,IFERROR(-1*SUMIF($T$5:AS5,"&gt;="&amp;AS11,$T$110:AS110)/MAX('Get Started'!$D$24,1),0),0)))</f>
        <v>0</v>
      </c>
      <c r="AT114" s="111">
        <f>if(AT$5="","",IF('Get Started'!$D23="no",0,IF(SUM($S112:AT112)=0,IFERROR(-1*SUMIF($T$5:AT5,"&gt;="&amp;AT11,$T$110:AT110)/MAX('Get Started'!$D$24,1),0),0)))</f>
        <v>0</v>
      </c>
      <c r="AU114" s="111">
        <f>if(AU$5="","",IF('Get Started'!$D23="no",0,IF(SUM($S112:AU112)=0,IFERROR(-1*SUMIF($T$5:AU5,"&gt;="&amp;AU11,$T$110:AU110)/MAX('Get Started'!$D$24,1),0),0)))</f>
        <v>0</v>
      </c>
      <c r="AV114" s="111">
        <f>if(AV$5="","",IF('Get Started'!$D23="no",0,IF(SUM($S112:AV112)=0,IFERROR(-1*SUMIF($T$5:AV5,"&gt;="&amp;AV11,$T$110:AV110)/MAX('Get Started'!$D$24,1),0),0)))</f>
        <v>0</v>
      </c>
      <c r="AW114" s="111">
        <f>if(AW$5="","",IF('Get Started'!$D23="no",0,IF(SUM($S112:AW112)=0,IFERROR(-1*SUMIF($T$5:AW5,"&gt;="&amp;AW11,$T$110:AW110)/MAX('Get Started'!$D$24,1),0),0)))</f>
        <v>0</v>
      </c>
      <c r="AX114" s="111">
        <f>if(AX$5="","",IF('Get Started'!$D23="no",0,IF(SUM($S112:AX112)=0,IFERROR(-1*SUMIF($T$5:AX5,"&gt;="&amp;AX11,$T$110:AX110)/MAX('Get Started'!$D$24,1),0),0)))</f>
        <v>0</v>
      </c>
      <c r="AY114" s="111">
        <f>if(AY$5="","",IF('Get Started'!$D23="no",0,IF(SUM($S112:AY112)=0,IFERROR(-1*SUMIF($T$5:AY5,"&gt;="&amp;AY11,$T$110:AY110)/MAX('Get Started'!$D$24,1),0),0)))</f>
        <v>0</v>
      </c>
      <c r="AZ114" s="111">
        <f>if(AZ$5="","",IF('Get Started'!$D23="no",0,IF(SUM($S112:AZ112)=0,IFERROR(-1*SUMIF($T$5:AZ5,"&gt;="&amp;AZ11,$T$110:AZ110)/MAX('Get Started'!$D$24,1),0),0)))</f>
        <v>0</v>
      </c>
      <c r="BA114" s="111">
        <f>if(BA$5="","",IF('Get Started'!$D23="no",0,IF(SUM($S112:BA112)=0,IFERROR(-1*SUMIF($T$5:BA5,"&gt;="&amp;BA11,$T$110:BA110)/MAX('Get Started'!$D$24,1),0),0)))</f>
        <v>0</v>
      </c>
      <c r="BB114" s="111">
        <f>if(BB$5="","",IF('Get Started'!$D23="no",0,IF(SUM($S112:BB112)=0,IFERROR(-1*SUMIF($T$5:BB5,"&gt;="&amp;BB11,$T$110:BB110)/MAX('Get Started'!$D$24,1),0),0)))</f>
        <v>0</v>
      </c>
      <c r="BC114" s="111">
        <f>if(BC$5="","",IF('Get Started'!$D23="no",0,IF(SUM($S112:BC112)=0,IFERROR(-1*SUMIF($T$5:BC5,"&gt;="&amp;BC11,$T$110:BC110)/MAX('Get Started'!$D$24,1),0),0)))</f>
        <v>0</v>
      </c>
    </row>
    <row r="115" outlineLevel="1">
      <c r="A115" s="1"/>
      <c r="B115" s="76" t="s">
        <v>305</v>
      </c>
      <c r="C115" s="103" t="str">
        <f>'Get Started'!$C$20</f>
        <v>$</v>
      </c>
      <c r="E115" s="78"/>
      <c r="F115" s="78"/>
      <c r="G115" s="78"/>
      <c r="H115" s="79" t="s">
        <v>193</v>
      </c>
      <c r="I115" s="87">
        <f t="shared" si="84"/>
        <v>0</v>
      </c>
      <c r="J115" s="93"/>
      <c r="K115" s="79" t="s">
        <v>306</v>
      </c>
      <c r="L115" s="93"/>
      <c r="M115" s="93"/>
      <c r="N115" s="93"/>
      <c r="O115" s="93"/>
      <c r="P115" s="93"/>
      <c r="Q115" s="93"/>
      <c r="R115" s="93"/>
      <c r="S115" s="93">
        <f>Statements!R62</f>
        <v>0</v>
      </c>
      <c r="T115" s="120">
        <f t="shared" ref="T115:BC115" si="87">if(T$5="","",sum(T109:T114))</f>
        <v>0</v>
      </c>
      <c r="U115" s="120">
        <f t="shared" si="87"/>
        <v>0</v>
      </c>
      <c r="V115" s="120">
        <f t="shared" si="87"/>
        <v>0</v>
      </c>
      <c r="W115" s="120">
        <f t="shared" si="87"/>
        <v>0</v>
      </c>
      <c r="X115" s="120">
        <f t="shared" si="87"/>
        <v>0</v>
      </c>
      <c r="Y115" s="120">
        <f t="shared" si="87"/>
        <v>0</v>
      </c>
      <c r="Z115" s="120">
        <f t="shared" si="87"/>
        <v>0</v>
      </c>
      <c r="AA115" s="120">
        <f t="shared" si="87"/>
        <v>0</v>
      </c>
      <c r="AB115" s="120">
        <f t="shared" si="87"/>
        <v>0</v>
      </c>
      <c r="AC115" s="120">
        <f t="shared" si="87"/>
        <v>0</v>
      </c>
      <c r="AD115" s="120">
        <f t="shared" si="87"/>
        <v>0</v>
      </c>
      <c r="AE115" s="120">
        <f t="shared" si="87"/>
        <v>0</v>
      </c>
      <c r="AF115" s="120">
        <f t="shared" si="87"/>
        <v>0</v>
      </c>
      <c r="AG115" s="120">
        <f t="shared" si="87"/>
        <v>0</v>
      </c>
      <c r="AH115" s="120">
        <f t="shared" si="87"/>
        <v>0</v>
      </c>
      <c r="AI115" s="120">
        <f t="shared" si="87"/>
        <v>0</v>
      </c>
      <c r="AJ115" s="120">
        <f t="shared" si="87"/>
        <v>0</v>
      </c>
      <c r="AK115" s="120">
        <f t="shared" si="87"/>
        <v>0</v>
      </c>
      <c r="AL115" s="120">
        <f t="shared" si="87"/>
        <v>0</v>
      </c>
      <c r="AM115" s="120">
        <f t="shared" si="87"/>
        <v>0</v>
      </c>
      <c r="AN115" s="120">
        <f t="shared" si="87"/>
        <v>0</v>
      </c>
      <c r="AO115" s="120">
        <f t="shared" si="87"/>
        <v>0</v>
      </c>
      <c r="AP115" s="120">
        <f t="shared" si="87"/>
        <v>0</v>
      </c>
      <c r="AQ115" s="120">
        <f t="shared" si="87"/>
        <v>0</v>
      </c>
      <c r="AR115" s="120">
        <f t="shared" si="87"/>
        <v>0</v>
      </c>
      <c r="AS115" s="120">
        <f t="shared" si="87"/>
        <v>0</v>
      </c>
      <c r="AT115" s="120">
        <f t="shared" si="87"/>
        <v>0</v>
      </c>
      <c r="AU115" s="120">
        <f t="shared" si="87"/>
        <v>0</v>
      </c>
      <c r="AV115" s="120">
        <f t="shared" si="87"/>
        <v>0</v>
      </c>
      <c r="AW115" s="120">
        <f t="shared" si="87"/>
        <v>0</v>
      </c>
      <c r="AX115" s="120">
        <f t="shared" si="87"/>
        <v>0</v>
      </c>
      <c r="AY115" s="120">
        <f t="shared" si="87"/>
        <v>0</v>
      </c>
      <c r="AZ115" s="120">
        <f t="shared" si="87"/>
        <v>0</v>
      </c>
      <c r="BA115" s="120">
        <f t="shared" si="87"/>
        <v>0</v>
      </c>
      <c r="BB115" s="120">
        <f t="shared" si="87"/>
        <v>0</v>
      </c>
      <c r="BC115" s="120">
        <f t="shared" si="87"/>
        <v>0</v>
      </c>
    </row>
    <row r="116" outlineLevel="1">
      <c r="A116" s="1"/>
      <c r="B116" s="76"/>
      <c r="C116" s="30"/>
      <c r="E116" s="78"/>
      <c r="F116" s="78"/>
      <c r="G116" s="78"/>
      <c r="H116" s="1"/>
      <c r="I116" s="78"/>
      <c r="J116" s="93"/>
      <c r="K116" s="78"/>
      <c r="L116" s="93"/>
      <c r="M116" s="93"/>
      <c r="N116" s="93"/>
      <c r="O116" s="93"/>
      <c r="P116" s="93"/>
      <c r="Q116" s="93"/>
      <c r="R116" s="93"/>
      <c r="S116" s="93"/>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row>
    <row r="117" outlineLevel="1">
      <c r="A117" s="1"/>
      <c r="B117" s="122" t="s">
        <v>307</v>
      </c>
      <c r="C117" s="30"/>
      <c r="E117" s="78"/>
      <c r="F117" s="78"/>
      <c r="G117" s="78"/>
      <c r="H117" s="1"/>
      <c r="I117" s="78"/>
      <c r="J117" s="93"/>
      <c r="K117" s="78"/>
      <c r="L117" s="93"/>
      <c r="M117" s="93"/>
      <c r="N117" s="93"/>
      <c r="O117" s="93"/>
      <c r="P117" s="93"/>
      <c r="Q117" s="93"/>
      <c r="R117" s="93"/>
      <c r="S117" s="93"/>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row>
    <row r="118" outlineLevel="1">
      <c r="A118" s="1"/>
      <c r="B118" s="76" t="s">
        <v>308</v>
      </c>
      <c r="C118" s="103" t="str">
        <f>'Get Started'!$C$20</f>
        <v>$</v>
      </c>
      <c r="E118" s="78"/>
      <c r="F118" s="78"/>
      <c r="G118" s="78"/>
      <c r="H118" s="79" t="s">
        <v>196</v>
      </c>
      <c r="I118" s="87">
        <f t="shared" ref="I118:I123" si="89">if(H118="sum",sum(T118:BC118),if(H118="final",index(T118:BC118,match(99^99,T118:BC118,1)),if(H118="initial",T118,if(H118="average",average(T118:BC118),0))))</f>
        <v>0</v>
      </c>
      <c r="J118" s="93"/>
      <c r="K118" s="79" t="s">
        <v>309</v>
      </c>
      <c r="L118" s="93"/>
      <c r="M118" s="93"/>
      <c r="N118" s="93"/>
      <c r="O118" s="93"/>
      <c r="P118" s="93"/>
      <c r="Q118" s="93"/>
      <c r="R118" s="93"/>
      <c r="S118" s="93"/>
      <c r="T118" s="120">
        <f t="shared" ref="T118:BC118" si="88">if(T$5="","",S123)</f>
        <v>0</v>
      </c>
      <c r="U118" s="120">
        <f t="shared" si="88"/>
        <v>0</v>
      </c>
      <c r="V118" s="120">
        <f t="shared" si="88"/>
        <v>0</v>
      </c>
      <c r="W118" s="120">
        <f t="shared" si="88"/>
        <v>0</v>
      </c>
      <c r="X118" s="120">
        <f t="shared" si="88"/>
        <v>0</v>
      </c>
      <c r="Y118" s="120">
        <f t="shared" si="88"/>
        <v>0</v>
      </c>
      <c r="Z118" s="120">
        <f t="shared" si="88"/>
        <v>0</v>
      </c>
      <c r="AA118" s="120">
        <f t="shared" si="88"/>
        <v>0</v>
      </c>
      <c r="AB118" s="120">
        <f t="shared" si="88"/>
        <v>0</v>
      </c>
      <c r="AC118" s="120">
        <f t="shared" si="88"/>
        <v>0</v>
      </c>
      <c r="AD118" s="120">
        <f t="shared" si="88"/>
        <v>0</v>
      </c>
      <c r="AE118" s="120">
        <f t="shared" si="88"/>
        <v>0</v>
      </c>
      <c r="AF118" s="120">
        <f t="shared" si="88"/>
        <v>0</v>
      </c>
      <c r="AG118" s="120">
        <f t="shared" si="88"/>
        <v>0</v>
      </c>
      <c r="AH118" s="120">
        <f t="shared" si="88"/>
        <v>0</v>
      </c>
      <c r="AI118" s="120">
        <f t="shared" si="88"/>
        <v>0</v>
      </c>
      <c r="AJ118" s="120">
        <f t="shared" si="88"/>
        <v>0</v>
      </c>
      <c r="AK118" s="120">
        <f t="shared" si="88"/>
        <v>0</v>
      </c>
      <c r="AL118" s="120">
        <f t="shared" si="88"/>
        <v>0</v>
      </c>
      <c r="AM118" s="120">
        <f t="shared" si="88"/>
        <v>0</v>
      </c>
      <c r="AN118" s="120">
        <f t="shared" si="88"/>
        <v>0</v>
      </c>
      <c r="AO118" s="120">
        <f t="shared" si="88"/>
        <v>0</v>
      </c>
      <c r="AP118" s="120">
        <f t="shared" si="88"/>
        <v>0</v>
      </c>
      <c r="AQ118" s="120">
        <f t="shared" si="88"/>
        <v>0</v>
      </c>
      <c r="AR118" s="120">
        <f t="shared" si="88"/>
        <v>0</v>
      </c>
      <c r="AS118" s="120">
        <f t="shared" si="88"/>
        <v>0</v>
      </c>
      <c r="AT118" s="120">
        <f t="shared" si="88"/>
        <v>0</v>
      </c>
      <c r="AU118" s="120">
        <f t="shared" si="88"/>
        <v>0</v>
      </c>
      <c r="AV118" s="120">
        <f t="shared" si="88"/>
        <v>0</v>
      </c>
      <c r="AW118" s="120">
        <f t="shared" si="88"/>
        <v>0</v>
      </c>
      <c r="AX118" s="120">
        <f t="shared" si="88"/>
        <v>0</v>
      </c>
      <c r="AY118" s="120">
        <f t="shared" si="88"/>
        <v>0</v>
      </c>
      <c r="AZ118" s="120">
        <f t="shared" si="88"/>
        <v>0</v>
      </c>
      <c r="BA118" s="120">
        <f t="shared" si="88"/>
        <v>0</v>
      </c>
      <c r="BB118" s="120">
        <f t="shared" si="88"/>
        <v>0</v>
      </c>
      <c r="BC118" s="120">
        <f t="shared" si="88"/>
        <v>0</v>
      </c>
    </row>
    <row r="119" outlineLevel="1">
      <c r="A119" s="1"/>
      <c r="B119" s="76" t="s">
        <v>310</v>
      </c>
      <c r="C119" s="103" t="str">
        <f>'Get Started'!$C$20</f>
        <v>$</v>
      </c>
      <c r="E119" s="78"/>
      <c r="F119" s="78"/>
      <c r="G119" s="78"/>
      <c r="H119" s="79" t="s">
        <v>193</v>
      </c>
      <c r="I119" s="87">
        <f t="shared" si="89"/>
        <v>40811.47688</v>
      </c>
      <c r="J119" s="93"/>
      <c r="K119" s="79" t="s">
        <v>311</v>
      </c>
      <c r="L119" s="93"/>
      <c r="M119" s="93"/>
      <c r="N119" s="93"/>
      <c r="O119" s="93"/>
      <c r="P119" s="93"/>
      <c r="Q119" s="93"/>
      <c r="R119" s="93"/>
      <c r="S119" s="93"/>
      <c r="T119" s="120">
        <f>if(T$5="","",sum(Forecast!T110:T111))</f>
        <v>1000</v>
      </c>
      <c r="U119" s="120">
        <f>if(U$5="","",sum(Forecast!U110:U111))</f>
        <v>1000</v>
      </c>
      <c r="V119" s="120">
        <f>if(V$5="","",sum(Forecast!V110:V111))</f>
        <v>1000</v>
      </c>
      <c r="W119" s="120">
        <f>if(W$5="","",sum(Forecast!W110:W111))</f>
        <v>1000</v>
      </c>
      <c r="X119" s="120">
        <f>if(X$5="","",sum(Forecast!X110:X111))</f>
        <v>1000</v>
      </c>
      <c r="Y119" s="120">
        <f>if(Y$5="","",sum(Forecast!Y110:Y111))</f>
        <v>1000</v>
      </c>
      <c r="Z119" s="120">
        <f>if(Z$5="","",sum(Forecast!Z110:Z111))</f>
        <v>1050</v>
      </c>
      <c r="AA119" s="120">
        <f>if(AA$5="","",sum(Forecast!AA110:AA111))</f>
        <v>1050</v>
      </c>
      <c r="AB119" s="120">
        <f>if(AB$5="","",sum(Forecast!AB110:AB111))</f>
        <v>1050</v>
      </c>
      <c r="AC119" s="120">
        <f>if(AC$5="","",sum(Forecast!AC110:AC111))</f>
        <v>1050</v>
      </c>
      <c r="AD119" s="120">
        <f>if(AD$5="","",sum(Forecast!AD110:AD111))</f>
        <v>1050</v>
      </c>
      <c r="AE119" s="120">
        <f>if(AE$5="","",sum(Forecast!AE110:AE111))</f>
        <v>1050</v>
      </c>
      <c r="AF119" s="120">
        <f>if(AF$5="","",sum(Forecast!AF110:AF111))</f>
        <v>1102.5</v>
      </c>
      <c r="AG119" s="120">
        <f>if(AG$5="","",sum(Forecast!AG110:AG111))</f>
        <v>1102.5</v>
      </c>
      <c r="AH119" s="120">
        <f>if(AH$5="","",sum(Forecast!AH110:AH111))</f>
        <v>1102.5</v>
      </c>
      <c r="AI119" s="120">
        <f>if(AI$5="","",sum(Forecast!AI110:AI111))</f>
        <v>1102.5</v>
      </c>
      <c r="AJ119" s="120">
        <f>if(AJ$5="","",sum(Forecast!AJ110:AJ111))</f>
        <v>1102.5</v>
      </c>
      <c r="AK119" s="120">
        <f>if(AK$5="","",sum(Forecast!AK110:AK111))</f>
        <v>1102.5</v>
      </c>
      <c r="AL119" s="120">
        <f>if(AL$5="","",sum(Forecast!AL110:AL111))</f>
        <v>1157.625</v>
      </c>
      <c r="AM119" s="120">
        <f>if(AM$5="","",sum(Forecast!AM110:AM111))</f>
        <v>1157.625</v>
      </c>
      <c r="AN119" s="120">
        <f>if(AN$5="","",sum(Forecast!AN110:AN111))</f>
        <v>1157.625</v>
      </c>
      <c r="AO119" s="120">
        <f>if(AO$5="","",sum(Forecast!AO110:AO111))</f>
        <v>1157.625</v>
      </c>
      <c r="AP119" s="120">
        <f>if(AP$5="","",sum(Forecast!AP110:AP111))</f>
        <v>1157.625</v>
      </c>
      <c r="AQ119" s="120">
        <f>if(AQ$5="","",sum(Forecast!AQ110:AQ111))</f>
        <v>1157.625</v>
      </c>
      <c r="AR119" s="120">
        <f>if(AR$5="","",sum(Forecast!AR110:AR111))</f>
        <v>1215.50625</v>
      </c>
      <c r="AS119" s="120">
        <f>if(AS$5="","",sum(Forecast!AS110:AS111))</f>
        <v>1215.50625</v>
      </c>
      <c r="AT119" s="120">
        <f>if(AT$5="","",sum(Forecast!AT110:AT111))</f>
        <v>1215.50625</v>
      </c>
      <c r="AU119" s="120">
        <f>if(AU$5="","",sum(Forecast!AU110:AU111))</f>
        <v>1215.50625</v>
      </c>
      <c r="AV119" s="120">
        <f>if(AV$5="","",sum(Forecast!AV110:AV111))</f>
        <v>1215.50625</v>
      </c>
      <c r="AW119" s="120">
        <f>if(AW$5="","",sum(Forecast!AW110:AW111))</f>
        <v>1215.50625</v>
      </c>
      <c r="AX119" s="120">
        <f>if(AX$5="","",sum(Forecast!AX110:AX111))</f>
        <v>1276.281563</v>
      </c>
      <c r="AY119" s="120">
        <f>if(AY$5="","",sum(Forecast!AY110:AY111))</f>
        <v>1276.281563</v>
      </c>
      <c r="AZ119" s="120">
        <f>if(AZ$5="","",sum(Forecast!AZ110:AZ111))</f>
        <v>1276.281563</v>
      </c>
      <c r="BA119" s="120">
        <f>if(BA$5="","",sum(Forecast!BA110:BA111))</f>
        <v>1276.281563</v>
      </c>
      <c r="BB119" s="120">
        <f>if(BB$5="","",sum(Forecast!BB110:BB111))</f>
        <v>1276.281563</v>
      </c>
      <c r="BC119" s="120">
        <f>if(BC$5="","",sum(Forecast!BC110:BC111))</f>
        <v>1276.281563</v>
      </c>
    </row>
    <row r="120" outlineLevel="1">
      <c r="A120" s="1"/>
      <c r="B120" s="76" t="s">
        <v>312</v>
      </c>
      <c r="C120" s="103" t="str">
        <f>'Get Started'!$C$20</f>
        <v>$</v>
      </c>
      <c r="E120" s="78"/>
      <c r="F120" s="78"/>
      <c r="G120" s="78"/>
      <c r="H120" s="79" t="s">
        <v>193</v>
      </c>
      <c r="I120" s="87">
        <f t="shared" si="89"/>
        <v>0</v>
      </c>
      <c r="J120" s="93"/>
      <c r="K120" s="79" t="s">
        <v>300</v>
      </c>
      <c r="L120" s="93"/>
      <c r="M120" s="93"/>
      <c r="N120" s="93"/>
      <c r="O120" s="93"/>
      <c r="P120" s="93"/>
      <c r="Q120" s="93"/>
      <c r="R120" s="93"/>
      <c r="S120" s="93"/>
      <c r="T120" s="67">
        <f t="shared" ref="T120:BC120" si="90">if(T$5="","",abs(T60)*-1)</f>
        <v>0</v>
      </c>
      <c r="U120" s="67">
        <f t="shared" si="90"/>
        <v>0</v>
      </c>
      <c r="V120" s="67">
        <f t="shared" si="90"/>
        <v>0</v>
      </c>
      <c r="W120" s="67">
        <f t="shared" si="90"/>
        <v>0</v>
      </c>
      <c r="X120" s="67">
        <f t="shared" si="90"/>
        <v>0</v>
      </c>
      <c r="Y120" s="67">
        <f t="shared" si="90"/>
        <v>0</v>
      </c>
      <c r="Z120" s="67">
        <f t="shared" si="90"/>
        <v>0</v>
      </c>
      <c r="AA120" s="67">
        <f t="shared" si="90"/>
        <v>0</v>
      </c>
      <c r="AB120" s="67">
        <f t="shared" si="90"/>
        <v>0</v>
      </c>
      <c r="AC120" s="67">
        <f t="shared" si="90"/>
        <v>0</v>
      </c>
      <c r="AD120" s="67">
        <f t="shared" si="90"/>
        <v>0</v>
      </c>
      <c r="AE120" s="67">
        <f t="shared" si="90"/>
        <v>0</v>
      </c>
      <c r="AF120" s="67">
        <f t="shared" si="90"/>
        <v>0</v>
      </c>
      <c r="AG120" s="67">
        <f t="shared" si="90"/>
        <v>0</v>
      </c>
      <c r="AH120" s="67">
        <f t="shared" si="90"/>
        <v>0</v>
      </c>
      <c r="AI120" s="67">
        <f t="shared" si="90"/>
        <v>0</v>
      </c>
      <c r="AJ120" s="67">
        <f t="shared" si="90"/>
        <v>0</v>
      </c>
      <c r="AK120" s="67">
        <f t="shared" si="90"/>
        <v>0</v>
      </c>
      <c r="AL120" s="67">
        <f t="shared" si="90"/>
        <v>0</v>
      </c>
      <c r="AM120" s="67">
        <f t="shared" si="90"/>
        <v>0</v>
      </c>
      <c r="AN120" s="67">
        <f t="shared" si="90"/>
        <v>0</v>
      </c>
      <c r="AO120" s="67">
        <f t="shared" si="90"/>
        <v>0</v>
      </c>
      <c r="AP120" s="67">
        <f t="shared" si="90"/>
        <v>0</v>
      </c>
      <c r="AQ120" s="67">
        <f t="shared" si="90"/>
        <v>0</v>
      </c>
      <c r="AR120" s="67">
        <f t="shared" si="90"/>
        <v>0</v>
      </c>
      <c r="AS120" s="67">
        <f t="shared" si="90"/>
        <v>0</v>
      </c>
      <c r="AT120" s="67">
        <f t="shared" si="90"/>
        <v>0</v>
      </c>
      <c r="AU120" s="67">
        <f t="shared" si="90"/>
        <v>0</v>
      </c>
      <c r="AV120" s="67">
        <f t="shared" si="90"/>
        <v>0</v>
      </c>
      <c r="AW120" s="67">
        <f t="shared" si="90"/>
        <v>0</v>
      </c>
      <c r="AX120" s="67">
        <f t="shared" si="90"/>
        <v>0</v>
      </c>
      <c r="AY120" s="67">
        <f t="shared" si="90"/>
        <v>0</v>
      </c>
      <c r="AZ120" s="67">
        <f t="shared" si="90"/>
        <v>0</v>
      </c>
      <c r="BA120" s="67">
        <f t="shared" si="90"/>
        <v>0</v>
      </c>
      <c r="BB120" s="67">
        <f t="shared" si="90"/>
        <v>0</v>
      </c>
      <c r="BC120" s="67">
        <f t="shared" si="90"/>
        <v>0</v>
      </c>
    </row>
    <row r="121" outlineLevel="1">
      <c r="A121" s="1"/>
      <c r="B121" s="76" t="s">
        <v>312</v>
      </c>
      <c r="C121" s="103" t="str">
        <f>'Get Started'!$C$20</f>
        <v>$</v>
      </c>
      <c r="E121" s="78"/>
      <c r="F121" s="78"/>
      <c r="G121" s="78"/>
      <c r="H121" s="79" t="s">
        <v>193</v>
      </c>
      <c r="I121" s="87">
        <f t="shared" si="89"/>
        <v>-40811.47688</v>
      </c>
      <c r="J121" s="93"/>
      <c r="K121" s="79" t="s">
        <v>313</v>
      </c>
      <c r="L121" s="93"/>
      <c r="M121" s="93"/>
      <c r="N121" s="93"/>
      <c r="O121" s="93"/>
      <c r="P121" s="93"/>
      <c r="Q121" s="93"/>
      <c r="R121" s="93"/>
      <c r="S121" s="93"/>
      <c r="T121" s="120">
        <f t="array" ref="T121">if(T$5="","",IF('Get Started'!$D27="no",0,IF(T120=0,IF(ROUNDDOWN('Get Started'!$D$28/(365/12),0)&gt;=T5,0,-1*INDEX($T$119:$BC$119,MATCH(T5-ROUNDDOWN('Get Started'!$D$28/(365/12),0),$T$5:$BC$5,0))),0)))</f>
        <v>-1000</v>
      </c>
      <c r="U121" s="120">
        <f t="array" ref="U121">if(U$5="","",IF('Get Started'!$D27="no",0,IF(U120=0,IF(ROUNDDOWN('Get Started'!$D$28/(365/12),0)&gt;=U5,0,-1*INDEX($T$119:$BC$119,MATCH(U5-ROUNDDOWN('Get Started'!$D$28/(365/12),0),$T$5:$BC$5,0))),0)))</f>
        <v>-1000</v>
      </c>
      <c r="V121" s="67">
        <f t="array" ref="V121">if(V$5="","",IF('Get Started'!$D27="no",0,IF(V120=0,IF(ROUNDDOWN('Get Started'!$D$28/(365/12),0)&gt;=V5,0,-1*INDEX($T$119:$BC$119,MATCH(V5-ROUNDDOWN('Get Started'!$D$28/(365/12),0),$T$5:$BC$5,0))),0)))</f>
        <v>-1000</v>
      </c>
      <c r="W121" s="67">
        <f t="array" ref="W121">if(W$5="","",IF('Get Started'!$D27="no",0,IF(W120=0,IF(ROUNDDOWN('Get Started'!$D$28/(365/12),0)&gt;=W5,0,-1*INDEX($T$119:$BC$119,MATCH(W5-ROUNDDOWN('Get Started'!$D$28/(365/12),0),$T$5:$BC$5,0))),0)))</f>
        <v>-1000</v>
      </c>
      <c r="X121" s="67">
        <f t="array" ref="X121">if(X$5="","",IF('Get Started'!$D27="no",0,IF(X120=0,IF(ROUNDDOWN('Get Started'!$D$28/(365/12),0)&gt;=X5,0,-1*INDEX($T$119:$BC$119,MATCH(X5-ROUNDDOWN('Get Started'!$D$28/(365/12),0),$T$5:$BC$5,0))),0)))</f>
        <v>-1000</v>
      </c>
      <c r="Y121" s="67">
        <f t="array" ref="Y121">if(Y$5="","",IF('Get Started'!$D27="no",0,IF(Y120=0,IF(ROUNDDOWN('Get Started'!$D$28/(365/12),0)&gt;=Y5,0,-1*INDEX($T$119:$BC$119,MATCH(Y5-ROUNDDOWN('Get Started'!$D$28/(365/12),0),$T$5:$BC$5,0))),0)))</f>
        <v>-1000</v>
      </c>
      <c r="Z121" s="67">
        <f t="array" ref="Z121">if(Z$5="","",IF('Get Started'!$D27="no",0,IF(Z120=0,IF(ROUNDDOWN('Get Started'!$D$28/(365/12),0)&gt;=Z5,0,-1*INDEX($T$119:$BC$119,MATCH(Z5-ROUNDDOWN('Get Started'!$D$28/(365/12),0),$T$5:$BC$5,0))),0)))</f>
        <v>-1050</v>
      </c>
      <c r="AA121" s="67">
        <f t="array" ref="AA121">if(AA$5="","",IF('Get Started'!$D27="no",0,IF(AA120=0,IF(ROUNDDOWN('Get Started'!$D$28/(365/12),0)&gt;=AA5,0,-1*INDEX($T$119:$BC$119,MATCH(AA5-ROUNDDOWN('Get Started'!$D$28/(365/12),0),$T$5:$BC$5,0))),0)))</f>
        <v>-1050</v>
      </c>
      <c r="AB121" s="67">
        <f t="array" ref="AB121">if(AB$5="","",IF('Get Started'!$D27="no",0,IF(AB120=0,IF(ROUNDDOWN('Get Started'!$D$28/(365/12),0)&gt;=AB5,0,-1*INDEX($T$119:$BC$119,MATCH(AB5-ROUNDDOWN('Get Started'!$D$28/(365/12),0),$T$5:$BC$5,0))),0)))</f>
        <v>-1050</v>
      </c>
      <c r="AC121" s="67">
        <f t="array" ref="AC121">if(AC$5="","",IF('Get Started'!$D27="no",0,IF(AC120=0,IF(ROUNDDOWN('Get Started'!$D$28/(365/12),0)&gt;=AC5,0,-1*INDEX($T$119:$BC$119,MATCH(AC5-ROUNDDOWN('Get Started'!$D$28/(365/12),0),$T$5:$BC$5,0))),0)))</f>
        <v>-1050</v>
      </c>
      <c r="AD121" s="67">
        <f t="array" ref="AD121">if(AD$5="","",IF('Get Started'!$D27="no",0,IF(AD120=0,IF(ROUNDDOWN('Get Started'!$D$28/(365/12),0)&gt;=AD5,0,-1*INDEX($T$119:$BC$119,MATCH(AD5-ROUNDDOWN('Get Started'!$D$28/(365/12),0),$T$5:$BC$5,0))),0)))</f>
        <v>-1050</v>
      </c>
      <c r="AE121" s="67">
        <f t="array" ref="AE121">if(AE$5="","",IF('Get Started'!$D27="no",0,IF(AE120=0,IF(ROUNDDOWN('Get Started'!$D$28/(365/12),0)&gt;=AE5,0,-1*INDEX($T$119:$BC$119,MATCH(AE5-ROUNDDOWN('Get Started'!$D$28/(365/12),0),$T$5:$BC$5,0))),0)))</f>
        <v>-1050</v>
      </c>
      <c r="AF121" s="67">
        <f t="array" ref="AF121">if(AF$5="","",IF('Get Started'!$D27="no",0,IF(AF120=0,IF(ROUNDDOWN('Get Started'!$D$28/(365/12),0)&gt;=AF5,0,-1*INDEX($T$119:$BC$119,MATCH(AF5-ROUNDDOWN('Get Started'!$D$28/(365/12),0),$T$5:$BC$5,0))),0)))</f>
        <v>-1102.5</v>
      </c>
      <c r="AG121" s="67">
        <f t="array" ref="AG121">if(AG$5="","",IF('Get Started'!$D27="no",0,IF(AG120=0,IF(ROUNDDOWN('Get Started'!$D$28/(365/12),0)&gt;=AG5,0,-1*INDEX($T$119:$BC$119,MATCH(AG5-ROUNDDOWN('Get Started'!$D$28/(365/12),0),$T$5:$BC$5,0))),0)))</f>
        <v>-1102.5</v>
      </c>
      <c r="AH121" s="67">
        <f t="array" ref="AH121">if(AH$5="","",IF('Get Started'!$D27="no",0,IF(AH120=0,IF(ROUNDDOWN('Get Started'!$D$28/(365/12),0)&gt;=AH5,0,-1*INDEX($T$119:$BC$119,MATCH(AH5-ROUNDDOWN('Get Started'!$D$28/(365/12),0),$T$5:$BC$5,0))),0)))</f>
        <v>-1102.5</v>
      </c>
      <c r="AI121" s="67">
        <f t="array" ref="AI121">if(AI$5="","",IF('Get Started'!$D27="no",0,IF(AI120=0,IF(ROUNDDOWN('Get Started'!$D$28/(365/12),0)&gt;=AI5,0,-1*INDEX($T$119:$BC$119,MATCH(AI5-ROUNDDOWN('Get Started'!$D$28/(365/12),0),$T$5:$BC$5,0))),0)))</f>
        <v>-1102.5</v>
      </c>
      <c r="AJ121" s="67">
        <f t="array" ref="AJ121">if(AJ$5="","",IF('Get Started'!$D27="no",0,IF(AJ120=0,IF(ROUNDDOWN('Get Started'!$D$28/(365/12),0)&gt;=AJ5,0,-1*INDEX($T$119:$BC$119,MATCH(AJ5-ROUNDDOWN('Get Started'!$D$28/(365/12),0),$T$5:$BC$5,0))),0)))</f>
        <v>-1102.5</v>
      </c>
      <c r="AK121" s="67">
        <f t="array" ref="AK121">if(AK$5="","",IF('Get Started'!$D27="no",0,IF(AK120=0,IF(ROUNDDOWN('Get Started'!$D$28/(365/12),0)&gt;=AK5,0,-1*INDEX($T$119:$BC$119,MATCH(AK5-ROUNDDOWN('Get Started'!$D$28/(365/12),0),$T$5:$BC$5,0))),0)))</f>
        <v>-1102.5</v>
      </c>
      <c r="AL121" s="67">
        <f t="array" ref="AL121">if(AL$5="","",IF('Get Started'!$D27="no",0,IF(AL120=0,IF(ROUNDDOWN('Get Started'!$D$28/(365/12),0)&gt;=AL5,0,-1*INDEX($T$119:$BC$119,MATCH(AL5-ROUNDDOWN('Get Started'!$D$28/(365/12),0),$T$5:$BC$5,0))),0)))</f>
        <v>-1157.625</v>
      </c>
      <c r="AM121" s="67">
        <f t="array" ref="AM121">if(AM$5="","",IF('Get Started'!$D27="no",0,IF(AM120=0,IF(ROUNDDOWN('Get Started'!$D$28/(365/12),0)&gt;=AM5,0,-1*INDEX($T$119:$BC$119,MATCH(AM5-ROUNDDOWN('Get Started'!$D$28/(365/12),0),$T$5:$BC$5,0))),0)))</f>
        <v>-1157.625</v>
      </c>
      <c r="AN121" s="67">
        <f t="array" ref="AN121">if(AN$5="","",IF('Get Started'!$D27="no",0,IF(AN120=0,IF(ROUNDDOWN('Get Started'!$D$28/(365/12),0)&gt;=AN5,0,-1*INDEX($T$119:$BC$119,MATCH(AN5-ROUNDDOWN('Get Started'!$D$28/(365/12),0),$T$5:$BC$5,0))),0)))</f>
        <v>-1157.625</v>
      </c>
      <c r="AO121" s="67">
        <f t="array" ref="AO121">if(AO$5="","",IF('Get Started'!$D27="no",0,IF(AO120=0,IF(ROUNDDOWN('Get Started'!$D$28/(365/12),0)&gt;=AO5,0,-1*INDEX($T$119:$BC$119,MATCH(AO5-ROUNDDOWN('Get Started'!$D$28/(365/12),0),$T$5:$BC$5,0))),0)))</f>
        <v>-1157.625</v>
      </c>
      <c r="AP121" s="67">
        <f t="array" ref="AP121">if(AP$5="","",IF('Get Started'!$D27="no",0,IF(AP120=0,IF(ROUNDDOWN('Get Started'!$D$28/(365/12),0)&gt;=AP5,0,-1*INDEX($T$119:$BC$119,MATCH(AP5-ROUNDDOWN('Get Started'!$D$28/(365/12),0),$T$5:$BC$5,0))),0)))</f>
        <v>-1157.625</v>
      </c>
      <c r="AQ121" s="67">
        <f t="array" ref="AQ121">if(AQ$5="","",IF('Get Started'!$D27="no",0,IF(AQ120=0,IF(ROUNDDOWN('Get Started'!$D$28/(365/12),0)&gt;=AQ5,0,-1*INDEX($T$119:$BC$119,MATCH(AQ5-ROUNDDOWN('Get Started'!$D$28/(365/12),0),$T$5:$BC$5,0))),0)))</f>
        <v>-1157.625</v>
      </c>
      <c r="AR121" s="67">
        <f t="array" ref="AR121">if(AR$5="","",IF('Get Started'!$D27="no",0,IF(AR120=0,IF(ROUNDDOWN('Get Started'!$D$28/(365/12),0)&gt;=AR5,0,-1*INDEX($T$119:$BC$119,MATCH(AR5-ROUNDDOWN('Get Started'!$D$28/(365/12),0),$T$5:$BC$5,0))),0)))</f>
        <v>-1215.50625</v>
      </c>
      <c r="AS121" s="67">
        <f t="array" ref="AS121">if(AS$5="","",IF('Get Started'!$D27="no",0,IF(AS120=0,IF(ROUNDDOWN('Get Started'!$D$28/(365/12),0)&gt;=AS5,0,-1*INDEX($T$119:$BC$119,MATCH(AS5-ROUNDDOWN('Get Started'!$D$28/(365/12),0),$T$5:$BC$5,0))),0)))</f>
        <v>-1215.50625</v>
      </c>
      <c r="AT121" s="67">
        <f t="array" ref="AT121">if(AT$5="","",IF('Get Started'!$D27="no",0,IF(AT120=0,IF(ROUNDDOWN('Get Started'!$D$28/(365/12),0)&gt;=AT5,0,-1*INDEX($T$119:$BC$119,MATCH(AT5-ROUNDDOWN('Get Started'!$D$28/(365/12),0),$T$5:$BC$5,0))),0)))</f>
        <v>-1215.50625</v>
      </c>
      <c r="AU121" s="67">
        <f t="array" ref="AU121">if(AU$5="","",IF('Get Started'!$D27="no",0,IF(AU120=0,IF(ROUNDDOWN('Get Started'!$D$28/(365/12),0)&gt;=AU5,0,-1*INDEX($T$119:$BC$119,MATCH(AU5-ROUNDDOWN('Get Started'!$D$28/(365/12),0),$T$5:$BC$5,0))),0)))</f>
        <v>-1215.50625</v>
      </c>
      <c r="AV121" s="67">
        <f t="array" ref="AV121">if(AV$5="","",IF('Get Started'!$D27="no",0,IF(AV120=0,IF(ROUNDDOWN('Get Started'!$D$28/(365/12),0)&gt;=AV5,0,-1*INDEX($T$119:$BC$119,MATCH(AV5-ROUNDDOWN('Get Started'!$D$28/(365/12),0),$T$5:$BC$5,0))),0)))</f>
        <v>-1215.50625</v>
      </c>
      <c r="AW121" s="67">
        <f t="array" ref="AW121">if(AW$5="","",IF('Get Started'!$D27="no",0,IF(AW120=0,IF(ROUNDDOWN('Get Started'!$D$28/(365/12),0)&gt;=AW5,0,-1*INDEX($T$119:$BC$119,MATCH(AW5-ROUNDDOWN('Get Started'!$D$28/(365/12),0),$T$5:$BC$5,0))),0)))</f>
        <v>-1215.50625</v>
      </c>
      <c r="AX121" s="67">
        <f t="array" ref="AX121">if(AX$5="","",IF('Get Started'!$D27="no",0,IF(AX120=0,IF(ROUNDDOWN('Get Started'!$D$28/(365/12),0)&gt;=AX5,0,-1*INDEX($T$119:$BC$119,MATCH(AX5-ROUNDDOWN('Get Started'!$D$28/(365/12),0),$T$5:$BC$5,0))),0)))</f>
        <v>-1276.281563</v>
      </c>
      <c r="AY121" s="67">
        <f t="array" ref="AY121">if(AY$5="","",IF('Get Started'!$D27="no",0,IF(AY120=0,IF(ROUNDDOWN('Get Started'!$D$28/(365/12),0)&gt;=AY5,0,-1*INDEX($T$119:$BC$119,MATCH(AY5-ROUNDDOWN('Get Started'!$D$28/(365/12),0),$T$5:$BC$5,0))),0)))</f>
        <v>-1276.281563</v>
      </c>
      <c r="AZ121" s="67">
        <f t="array" ref="AZ121">if(AZ$5="","",IF('Get Started'!$D27="no",0,IF(AZ120=0,IF(ROUNDDOWN('Get Started'!$D$28/(365/12),0)&gt;=AZ5,0,-1*INDEX($T$119:$BC$119,MATCH(AZ5-ROUNDDOWN('Get Started'!$D$28/(365/12),0),$T$5:$BC$5,0))),0)))</f>
        <v>-1276.281563</v>
      </c>
      <c r="BA121" s="67">
        <f t="array" ref="BA121">if(BA$5="","",IF('Get Started'!$D27="no",0,IF(BA120=0,IF(ROUNDDOWN('Get Started'!$D$28/(365/12),0)&gt;=BA5,0,-1*INDEX($T$119:$BC$119,MATCH(BA5-ROUNDDOWN('Get Started'!$D$28/(365/12),0),$T$5:$BC$5,0))),0)))</f>
        <v>-1276.281563</v>
      </c>
      <c r="BB121" s="67">
        <f t="array" ref="BB121">if(BB$5="","",IF('Get Started'!$D27="no",0,IF(BB120=0,IF(ROUNDDOWN('Get Started'!$D$28/(365/12),0)&gt;=BB5,0,-1*INDEX($T$119:$BC$119,MATCH(BB5-ROUNDDOWN('Get Started'!$D$28/(365/12),0),$T$5:$BC$5,0))),0)))</f>
        <v>-1276.281563</v>
      </c>
      <c r="BC121" s="67">
        <f t="array" ref="BC121">if(BC$5="","",IF('Get Started'!$D27="no",0,IF(BC120=0,IF(ROUNDDOWN('Get Started'!$D$28/(365/12),0)&gt;=BC5,0,-1*INDEX($T$119:$BC$119,MATCH(BC5-ROUNDDOWN('Get Started'!$D$28/(365/12),0),$T$5:$BC$5,0))),0)))</f>
        <v>-1276.281563</v>
      </c>
    </row>
    <row r="122" outlineLevel="1">
      <c r="A122" s="1"/>
      <c r="B122" s="76" t="s">
        <v>278</v>
      </c>
      <c r="C122" s="103" t="str">
        <f>'Get Started'!$C$20</f>
        <v>$</v>
      </c>
      <c r="E122" s="78"/>
      <c r="F122" s="78"/>
      <c r="G122" s="78"/>
      <c r="H122" s="79" t="s">
        <v>193</v>
      </c>
      <c r="I122" s="87">
        <f t="shared" si="89"/>
        <v>0</v>
      </c>
      <c r="J122" s="93"/>
      <c r="K122" s="79" t="s">
        <v>314</v>
      </c>
      <c r="L122" s="93"/>
      <c r="M122" s="93"/>
      <c r="N122" s="93"/>
      <c r="O122" s="93"/>
      <c r="P122" s="93"/>
      <c r="Q122" s="93"/>
      <c r="R122" s="93"/>
      <c r="S122" s="93"/>
      <c r="T122" s="120">
        <f t="shared" ref="T122:BC122" si="91">if(T$5="","",T88)</f>
        <v>0</v>
      </c>
      <c r="U122" s="120">
        <f t="shared" si="91"/>
        <v>0</v>
      </c>
      <c r="V122" s="120">
        <f t="shared" si="91"/>
        <v>0</v>
      </c>
      <c r="W122" s="120">
        <f t="shared" si="91"/>
        <v>0</v>
      </c>
      <c r="X122" s="120">
        <f t="shared" si="91"/>
        <v>0</v>
      </c>
      <c r="Y122" s="120">
        <f t="shared" si="91"/>
        <v>0</v>
      </c>
      <c r="Z122" s="120">
        <f t="shared" si="91"/>
        <v>0</v>
      </c>
      <c r="AA122" s="120">
        <f t="shared" si="91"/>
        <v>0</v>
      </c>
      <c r="AB122" s="120">
        <f t="shared" si="91"/>
        <v>0</v>
      </c>
      <c r="AC122" s="120">
        <f t="shared" si="91"/>
        <v>0</v>
      </c>
      <c r="AD122" s="120">
        <f t="shared" si="91"/>
        <v>0</v>
      </c>
      <c r="AE122" s="120">
        <f t="shared" si="91"/>
        <v>0</v>
      </c>
      <c r="AF122" s="120">
        <f t="shared" si="91"/>
        <v>0</v>
      </c>
      <c r="AG122" s="120">
        <f t="shared" si="91"/>
        <v>0</v>
      </c>
      <c r="AH122" s="120">
        <f t="shared" si="91"/>
        <v>0</v>
      </c>
      <c r="AI122" s="120">
        <f t="shared" si="91"/>
        <v>0</v>
      </c>
      <c r="AJ122" s="120">
        <f t="shared" si="91"/>
        <v>0</v>
      </c>
      <c r="AK122" s="120">
        <f t="shared" si="91"/>
        <v>0</v>
      </c>
      <c r="AL122" s="120">
        <f t="shared" si="91"/>
        <v>0</v>
      </c>
      <c r="AM122" s="120">
        <f t="shared" si="91"/>
        <v>0</v>
      </c>
      <c r="AN122" s="120">
        <f t="shared" si="91"/>
        <v>0</v>
      </c>
      <c r="AO122" s="120">
        <f t="shared" si="91"/>
        <v>0</v>
      </c>
      <c r="AP122" s="120">
        <f t="shared" si="91"/>
        <v>0</v>
      </c>
      <c r="AQ122" s="120">
        <f t="shared" si="91"/>
        <v>0</v>
      </c>
      <c r="AR122" s="120">
        <f t="shared" si="91"/>
        <v>0</v>
      </c>
      <c r="AS122" s="120">
        <f t="shared" si="91"/>
        <v>0</v>
      </c>
      <c r="AT122" s="120">
        <f t="shared" si="91"/>
        <v>0</v>
      </c>
      <c r="AU122" s="120">
        <f t="shared" si="91"/>
        <v>0</v>
      </c>
      <c r="AV122" s="120">
        <f t="shared" si="91"/>
        <v>0</v>
      </c>
      <c r="AW122" s="120">
        <f t="shared" si="91"/>
        <v>0</v>
      </c>
      <c r="AX122" s="120">
        <f t="shared" si="91"/>
        <v>0</v>
      </c>
      <c r="AY122" s="120">
        <f t="shared" si="91"/>
        <v>0</v>
      </c>
      <c r="AZ122" s="120">
        <f t="shared" si="91"/>
        <v>0</v>
      </c>
      <c r="BA122" s="120">
        <f t="shared" si="91"/>
        <v>0</v>
      </c>
      <c r="BB122" s="120">
        <f t="shared" si="91"/>
        <v>0</v>
      </c>
      <c r="BC122" s="120">
        <f t="shared" si="91"/>
        <v>0</v>
      </c>
    </row>
    <row r="123" outlineLevel="1">
      <c r="A123" s="1"/>
      <c r="B123" s="76" t="s">
        <v>315</v>
      </c>
      <c r="C123" s="103" t="str">
        <f>'Get Started'!$C$20</f>
        <v>$</v>
      </c>
      <c r="E123" s="78"/>
      <c r="F123" s="78"/>
      <c r="G123" s="78"/>
      <c r="H123" s="79" t="s">
        <v>183</v>
      </c>
      <c r="I123" s="87">
        <f t="shared" si="89"/>
        <v>0</v>
      </c>
      <c r="J123" s="93"/>
      <c r="K123" s="79" t="s">
        <v>316</v>
      </c>
      <c r="L123" s="93"/>
      <c r="M123" s="93"/>
      <c r="N123" s="93"/>
      <c r="O123" s="93"/>
      <c r="P123" s="93"/>
      <c r="Q123" s="93"/>
      <c r="R123" s="93"/>
      <c r="S123" s="93">
        <f>Statements!R45</f>
        <v>0</v>
      </c>
      <c r="T123" s="120">
        <f t="shared" ref="T123:BC123" si="92">if(T$5="","",if(T122&lt;&gt;0,T118+T122,sum(T118:T121)))</f>
        <v>0</v>
      </c>
      <c r="U123" s="120">
        <f t="shared" si="92"/>
        <v>0</v>
      </c>
      <c r="V123" s="120">
        <f t="shared" si="92"/>
        <v>0</v>
      </c>
      <c r="W123" s="120">
        <f t="shared" si="92"/>
        <v>0</v>
      </c>
      <c r="X123" s="120">
        <f t="shared" si="92"/>
        <v>0</v>
      </c>
      <c r="Y123" s="120">
        <f t="shared" si="92"/>
        <v>0</v>
      </c>
      <c r="Z123" s="120">
        <f t="shared" si="92"/>
        <v>0</v>
      </c>
      <c r="AA123" s="120">
        <f t="shared" si="92"/>
        <v>0</v>
      </c>
      <c r="AB123" s="120">
        <f t="shared" si="92"/>
        <v>0</v>
      </c>
      <c r="AC123" s="120">
        <f t="shared" si="92"/>
        <v>0</v>
      </c>
      <c r="AD123" s="120">
        <f t="shared" si="92"/>
        <v>0</v>
      </c>
      <c r="AE123" s="120">
        <f t="shared" si="92"/>
        <v>0</v>
      </c>
      <c r="AF123" s="120">
        <f t="shared" si="92"/>
        <v>0</v>
      </c>
      <c r="AG123" s="120">
        <f t="shared" si="92"/>
        <v>0</v>
      </c>
      <c r="AH123" s="120">
        <f t="shared" si="92"/>
        <v>0</v>
      </c>
      <c r="AI123" s="120">
        <f t="shared" si="92"/>
        <v>0</v>
      </c>
      <c r="AJ123" s="120">
        <f t="shared" si="92"/>
        <v>0</v>
      </c>
      <c r="AK123" s="120">
        <f t="shared" si="92"/>
        <v>0</v>
      </c>
      <c r="AL123" s="120">
        <f t="shared" si="92"/>
        <v>0</v>
      </c>
      <c r="AM123" s="120">
        <f t="shared" si="92"/>
        <v>0</v>
      </c>
      <c r="AN123" s="120">
        <f t="shared" si="92"/>
        <v>0</v>
      </c>
      <c r="AO123" s="120">
        <f t="shared" si="92"/>
        <v>0</v>
      </c>
      <c r="AP123" s="120">
        <f t="shared" si="92"/>
        <v>0</v>
      </c>
      <c r="AQ123" s="120">
        <f t="shared" si="92"/>
        <v>0</v>
      </c>
      <c r="AR123" s="120">
        <f t="shared" si="92"/>
        <v>0</v>
      </c>
      <c r="AS123" s="120">
        <f t="shared" si="92"/>
        <v>0</v>
      </c>
      <c r="AT123" s="120">
        <f t="shared" si="92"/>
        <v>0</v>
      </c>
      <c r="AU123" s="120">
        <f t="shared" si="92"/>
        <v>0</v>
      </c>
      <c r="AV123" s="120">
        <f t="shared" si="92"/>
        <v>0</v>
      </c>
      <c r="AW123" s="120">
        <f t="shared" si="92"/>
        <v>0</v>
      </c>
      <c r="AX123" s="120">
        <f t="shared" si="92"/>
        <v>0</v>
      </c>
      <c r="AY123" s="120">
        <f t="shared" si="92"/>
        <v>0</v>
      </c>
      <c r="AZ123" s="120">
        <f t="shared" si="92"/>
        <v>0</v>
      </c>
      <c r="BA123" s="120">
        <f t="shared" si="92"/>
        <v>0</v>
      </c>
      <c r="BB123" s="120">
        <f t="shared" si="92"/>
        <v>0</v>
      </c>
      <c r="BC123" s="120">
        <f t="shared" si="92"/>
        <v>0</v>
      </c>
    </row>
    <row r="124" outlineLevel="1">
      <c r="A124" s="1"/>
      <c r="B124" s="76"/>
      <c r="C124" s="30"/>
      <c r="E124" s="78"/>
      <c r="F124" s="78"/>
      <c r="G124" s="78"/>
      <c r="H124" s="1"/>
      <c r="I124" s="78"/>
      <c r="J124" s="93"/>
      <c r="K124" s="78"/>
      <c r="L124" s="93"/>
      <c r="M124" s="93"/>
      <c r="N124" s="93"/>
      <c r="O124" s="93"/>
      <c r="P124" s="93"/>
      <c r="Q124" s="93"/>
      <c r="R124" s="93"/>
      <c r="S124" s="93"/>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row>
    <row r="125" outlineLevel="1">
      <c r="A125" s="1"/>
      <c r="B125" s="122" t="s">
        <v>115</v>
      </c>
      <c r="C125" s="30"/>
      <c r="E125" s="78"/>
      <c r="F125" s="78"/>
      <c r="G125" s="78"/>
      <c r="H125" s="1"/>
      <c r="I125" s="78"/>
      <c r="J125" s="93"/>
      <c r="K125" s="79" t="s">
        <v>317</v>
      </c>
      <c r="L125" s="93"/>
      <c r="M125" s="93"/>
      <c r="N125" s="93"/>
      <c r="O125" s="93"/>
      <c r="P125" s="93"/>
      <c r="Q125" s="93"/>
      <c r="R125" s="93"/>
      <c r="S125" s="93"/>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row>
    <row r="126" outlineLevel="1">
      <c r="A126" s="1"/>
      <c r="B126" s="76" t="s">
        <v>318</v>
      </c>
      <c r="C126" s="103" t="str">
        <f>'Get Started'!$C$20</f>
        <v>$</v>
      </c>
      <c r="E126" s="78"/>
      <c r="F126" s="78"/>
      <c r="G126" s="78"/>
      <c r="H126" s="79" t="s">
        <v>193</v>
      </c>
      <c r="I126" s="87">
        <f t="shared" ref="I126:I130" si="94">if(H126="sum",sum(T126:BC126),if(H126="final",index(T126:BC126,match(99^99,T126:BC126,1)),if(H126="initial",T126,if(H126="average",average(T126:BC126),0))))</f>
        <v>0</v>
      </c>
      <c r="J126" s="93"/>
      <c r="K126" s="79" t="s">
        <v>319</v>
      </c>
      <c r="L126" s="93"/>
      <c r="M126" s="93"/>
      <c r="N126" s="93"/>
      <c r="O126" s="93"/>
      <c r="P126" s="93"/>
      <c r="Q126" s="93"/>
      <c r="R126" s="93"/>
      <c r="S126" s="67"/>
      <c r="T126" s="67">
        <f t="shared" ref="T126:BC126" si="93">if(T$5="","",S130)</f>
        <v>0</v>
      </c>
      <c r="U126" s="67">
        <f t="shared" si="93"/>
        <v>0</v>
      </c>
      <c r="V126" s="67">
        <f t="shared" si="93"/>
        <v>0</v>
      </c>
      <c r="W126" s="67">
        <f t="shared" si="93"/>
        <v>0</v>
      </c>
      <c r="X126" s="67">
        <f t="shared" si="93"/>
        <v>0</v>
      </c>
      <c r="Y126" s="67">
        <f t="shared" si="93"/>
        <v>0</v>
      </c>
      <c r="Z126" s="67">
        <f t="shared" si="93"/>
        <v>0</v>
      </c>
      <c r="AA126" s="67">
        <f t="shared" si="93"/>
        <v>0</v>
      </c>
      <c r="AB126" s="67">
        <f t="shared" si="93"/>
        <v>0</v>
      </c>
      <c r="AC126" s="67">
        <f t="shared" si="93"/>
        <v>0</v>
      </c>
      <c r="AD126" s="67">
        <f t="shared" si="93"/>
        <v>0</v>
      </c>
      <c r="AE126" s="67">
        <f t="shared" si="93"/>
        <v>0</v>
      </c>
      <c r="AF126" s="67">
        <f t="shared" si="93"/>
        <v>0</v>
      </c>
      <c r="AG126" s="67">
        <f t="shared" si="93"/>
        <v>0</v>
      </c>
      <c r="AH126" s="67">
        <f t="shared" si="93"/>
        <v>0</v>
      </c>
      <c r="AI126" s="67">
        <f t="shared" si="93"/>
        <v>0</v>
      </c>
      <c r="AJ126" s="67">
        <f t="shared" si="93"/>
        <v>0</v>
      </c>
      <c r="AK126" s="67">
        <f t="shared" si="93"/>
        <v>0</v>
      </c>
      <c r="AL126" s="67">
        <f t="shared" si="93"/>
        <v>0</v>
      </c>
      <c r="AM126" s="67">
        <f t="shared" si="93"/>
        <v>0</v>
      </c>
      <c r="AN126" s="67">
        <f t="shared" si="93"/>
        <v>0</v>
      </c>
      <c r="AO126" s="67">
        <f t="shared" si="93"/>
        <v>0</v>
      </c>
      <c r="AP126" s="67">
        <f t="shared" si="93"/>
        <v>0</v>
      </c>
      <c r="AQ126" s="67">
        <f t="shared" si="93"/>
        <v>0</v>
      </c>
      <c r="AR126" s="67">
        <f t="shared" si="93"/>
        <v>0</v>
      </c>
      <c r="AS126" s="67">
        <f t="shared" si="93"/>
        <v>0</v>
      </c>
      <c r="AT126" s="67">
        <f t="shared" si="93"/>
        <v>0</v>
      </c>
      <c r="AU126" s="67">
        <f t="shared" si="93"/>
        <v>0</v>
      </c>
      <c r="AV126" s="67">
        <f t="shared" si="93"/>
        <v>0</v>
      </c>
      <c r="AW126" s="67">
        <f t="shared" si="93"/>
        <v>0</v>
      </c>
      <c r="AX126" s="67">
        <f t="shared" si="93"/>
        <v>0</v>
      </c>
      <c r="AY126" s="67">
        <f t="shared" si="93"/>
        <v>0</v>
      </c>
      <c r="AZ126" s="67">
        <f t="shared" si="93"/>
        <v>0</v>
      </c>
      <c r="BA126" s="67">
        <f t="shared" si="93"/>
        <v>0</v>
      </c>
      <c r="BB126" s="67">
        <f t="shared" si="93"/>
        <v>0</v>
      </c>
      <c r="BC126" s="67">
        <f t="shared" si="93"/>
        <v>0</v>
      </c>
    </row>
    <row r="127" outlineLevel="1">
      <c r="A127" s="1"/>
      <c r="B127" s="76" t="s">
        <v>320</v>
      </c>
      <c r="C127" s="103" t="str">
        <f>'Get Started'!$C$20</f>
        <v>$</v>
      </c>
      <c r="E127" s="78"/>
      <c r="F127" s="78"/>
      <c r="G127" s="78"/>
      <c r="H127" s="79" t="s">
        <v>193</v>
      </c>
      <c r="I127" s="87">
        <f t="shared" si="94"/>
        <v>0</v>
      </c>
      <c r="J127" s="93"/>
      <c r="K127" s="79" t="s">
        <v>321</v>
      </c>
      <c r="L127" s="93"/>
      <c r="M127" s="93"/>
      <c r="N127" s="93"/>
      <c r="O127" s="93"/>
      <c r="P127" s="93"/>
      <c r="Q127" s="93"/>
      <c r="R127" s="93"/>
      <c r="S127" s="67"/>
      <c r="T127" s="67">
        <f t="shared" ref="T127:BC127" si="95">if(T$5="","",T70)</f>
        <v>0</v>
      </c>
      <c r="U127" s="67">
        <f t="shared" si="95"/>
        <v>0</v>
      </c>
      <c r="V127" s="67">
        <f t="shared" si="95"/>
        <v>0</v>
      </c>
      <c r="W127" s="67">
        <f t="shared" si="95"/>
        <v>0</v>
      </c>
      <c r="X127" s="67">
        <f t="shared" si="95"/>
        <v>0</v>
      </c>
      <c r="Y127" s="67">
        <f t="shared" si="95"/>
        <v>0</v>
      </c>
      <c r="Z127" s="67">
        <f t="shared" si="95"/>
        <v>0</v>
      </c>
      <c r="AA127" s="67">
        <f t="shared" si="95"/>
        <v>0</v>
      </c>
      <c r="AB127" s="67">
        <f t="shared" si="95"/>
        <v>0</v>
      </c>
      <c r="AC127" s="67">
        <f t="shared" si="95"/>
        <v>0</v>
      </c>
      <c r="AD127" s="67">
        <f t="shared" si="95"/>
        <v>0</v>
      </c>
      <c r="AE127" s="67">
        <f t="shared" si="95"/>
        <v>0</v>
      </c>
      <c r="AF127" s="67">
        <f t="shared" si="95"/>
        <v>0</v>
      </c>
      <c r="AG127" s="67">
        <f t="shared" si="95"/>
        <v>0</v>
      </c>
      <c r="AH127" s="67">
        <f t="shared" si="95"/>
        <v>0</v>
      </c>
      <c r="AI127" s="67">
        <f t="shared" si="95"/>
        <v>0</v>
      </c>
      <c r="AJ127" s="67">
        <f t="shared" si="95"/>
        <v>0</v>
      </c>
      <c r="AK127" s="67">
        <f t="shared" si="95"/>
        <v>0</v>
      </c>
      <c r="AL127" s="67">
        <f t="shared" si="95"/>
        <v>0</v>
      </c>
      <c r="AM127" s="67">
        <f t="shared" si="95"/>
        <v>0</v>
      </c>
      <c r="AN127" s="67">
        <f t="shared" si="95"/>
        <v>0</v>
      </c>
      <c r="AO127" s="67">
        <f t="shared" si="95"/>
        <v>0</v>
      </c>
      <c r="AP127" s="67">
        <f t="shared" si="95"/>
        <v>0</v>
      </c>
      <c r="AQ127" s="67">
        <f t="shared" si="95"/>
        <v>0</v>
      </c>
      <c r="AR127" s="67">
        <f t="shared" si="95"/>
        <v>0</v>
      </c>
      <c r="AS127" s="67">
        <f t="shared" si="95"/>
        <v>0</v>
      </c>
      <c r="AT127" s="67">
        <f t="shared" si="95"/>
        <v>0</v>
      </c>
      <c r="AU127" s="67">
        <f t="shared" si="95"/>
        <v>0</v>
      </c>
      <c r="AV127" s="67">
        <f t="shared" si="95"/>
        <v>0</v>
      </c>
      <c r="AW127" s="67">
        <f t="shared" si="95"/>
        <v>0</v>
      </c>
      <c r="AX127" s="67">
        <f t="shared" si="95"/>
        <v>0</v>
      </c>
      <c r="AY127" s="67">
        <f t="shared" si="95"/>
        <v>0</v>
      </c>
      <c r="AZ127" s="67">
        <f t="shared" si="95"/>
        <v>0</v>
      </c>
      <c r="BA127" s="67">
        <f t="shared" si="95"/>
        <v>0</v>
      </c>
      <c r="BB127" s="67">
        <f t="shared" si="95"/>
        <v>0</v>
      </c>
      <c r="BC127" s="67">
        <f t="shared" si="95"/>
        <v>0</v>
      </c>
    </row>
    <row r="128" outlineLevel="1">
      <c r="A128" s="1"/>
      <c r="B128" s="76" t="s">
        <v>254</v>
      </c>
      <c r="C128" s="103" t="str">
        <f>'Get Started'!$C$20</f>
        <v>$</v>
      </c>
      <c r="E128" s="78"/>
      <c r="F128" s="78"/>
      <c r="G128" s="78"/>
      <c r="H128" s="79" t="s">
        <v>193</v>
      </c>
      <c r="I128" s="87">
        <f t="shared" si="94"/>
        <v>0</v>
      </c>
      <c r="J128" s="93"/>
      <c r="K128" s="79" t="s">
        <v>322</v>
      </c>
      <c r="L128" s="93"/>
      <c r="M128" s="93"/>
      <c r="N128" s="93"/>
      <c r="O128" s="93"/>
      <c r="P128" s="93"/>
      <c r="Q128" s="93"/>
      <c r="R128" s="93"/>
      <c r="S128" s="67"/>
      <c r="T128" s="67">
        <f>if(T$5="","",IFERROR(T135/'Get Started'!$D36*-1,0))</f>
        <v>0</v>
      </c>
      <c r="U128" s="67">
        <f>if(U$5="","",IFERROR(U135/'Get Started'!$D36*-1,0))</f>
        <v>0</v>
      </c>
      <c r="V128" s="67">
        <f>if(V$5="","",IFERROR(V135/'Get Started'!$D36*-1,0))</f>
        <v>0</v>
      </c>
      <c r="W128" s="67">
        <f>if(W$5="","",IFERROR(W135/'Get Started'!$D36*-1,0))</f>
        <v>0</v>
      </c>
      <c r="X128" s="67">
        <f>if(X$5="","",IFERROR(X135/'Get Started'!$D36*-1,0))</f>
        <v>0</v>
      </c>
      <c r="Y128" s="67">
        <f>if(Y$5="","",IFERROR(Y135/'Get Started'!$D36*-1,0))</f>
        <v>0</v>
      </c>
      <c r="Z128" s="67">
        <f>if(Z$5="","",IFERROR(Z135/'Get Started'!$D36*-1,0))</f>
        <v>0</v>
      </c>
      <c r="AA128" s="67">
        <f>if(AA$5="","",IFERROR(AA135/'Get Started'!$D36*-1,0))</f>
        <v>0</v>
      </c>
      <c r="AB128" s="67">
        <f>if(AB$5="","",IFERROR(AB135/'Get Started'!$D36*-1,0))</f>
        <v>0</v>
      </c>
      <c r="AC128" s="67">
        <f>if(AC$5="","",IFERROR(AC135/'Get Started'!$D36*-1,0))</f>
        <v>0</v>
      </c>
      <c r="AD128" s="67">
        <f>if(AD$5="","",IFERROR(AD135/'Get Started'!$D36*-1,0))</f>
        <v>0</v>
      </c>
      <c r="AE128" s="67">
        <f>if(AE$5="","",IFERROR(AE135/'Get Started'!$D36*-1,0))</f>
        <v>0</v>
      </c>
      <c r="AF128" s="67">
        <f>if(AF$5="","",IFERROR(AF135/'Get Started'!$D36*-1,0))</f>
        <v>0</v>
      </c>
      <c r="AG128" s="67">
        <f>if(AG$5="","",IFERROR(AG135/'Get Started'!$D36*-1,0))</f>
        <v>0</v>
      </c>
      <c r="AH128" s="67">
        <f>if(AH$5="","",IFERROR(AH135/'Get Started'!$D36*-1,0))</f>
        <v>0</v>
      </c>
      <c r="AI128" s="67">
        <f>if(AI$5="","",IFERROR(AI135/'Get Started'!$D36*-1,0))</f>
        <v>0</v>
      </c>
      <c r="AJ128" s="67">
        <f>if(AJ$5="","",IFERROR(AJ135/'Get Started'!$D36*-1,0))</f>
        <v>0</v>
      </c>
      <c r="AK128" s="67">
        <f>if(AK$5="","",IFERROR(AK135/'Get Started'!$D36*-1,0))</f>
        <v>0</v>
      </c>
      <c r="AL128" s="67">
        <f>if(AL$5="","",IFERROR(AL135/'Get Started'!$D36*-1,0))</f>
        <v>0</v>
      </c>
      <c r="AM128" s="67">
        <f>if(AM$5="","",IFERROR(AM135/'Get Started'!$D36*-1,0))</f>
        <v>0</v>
      </c>
      <c r="AN128" s="67">
        <f>if(AN$5="","",IFERROR(AN135/'Get Started'!$D36*-1,0))</f>
        <v>0</v>
      </c>
      <c r="AO128" s="67">
        <f>if(AO$5="","",IFERROR(AO135/'Get Started'!$D36*-1,0))</f>
        <v>0</v>
      </c>
      <c r="AP128" s="67">
        <f>if(AP$5="","",IFERROR(AP135/'Get Started'!$D36*-1,0))</f>
        <v>0</v>
      </c>
      <c r="AQ128" s="67">
        <f>if(AQ$5="","",IFERROR(AQ135/'Get Started'!$D36*-1,0))</f>
        <v>0</v>
      </c>
      <c r="AR128" s="67">
        <f>if(AR$5="","",IFERROR(AR135/'Get Started'!$D36*-1,0))</f>
        <v>0</v>
      </c>
      <c r="AS128" s="67">
        <f>if(AS$5="","",IFERROR(AS135/'Get Started'!$D36*-1,0))</f>
        <v>0</v>
      </c>
      <c r="AT128" s="67">
        <f>if(AT$5="","",IFERROR(AT135/'Get Started'!$D36*-1,0))</f>
        <v>0</v>
      </c>
      <c r="AU128" s="67">
        <f>if(AU$5="","",IFERROR(AU135/'Get Started'!$D36*-1,0))</f>
        <v>0</v>
      </c>
      <c r="AV128" s="67">
        <f>if(AV$5="","",IFERROR(AV135/'Get Started'!$D36*-1,0))</f>
        <v>0</v>
      </c>
      <c r="AW128" s="67">
        <f>if(AW$5="","",IFERROR(AW135/'Get Started'!$D36*-1,0))</f>
        <v>0</v>
      </c>
      <c r="AX128" s="67">
        <f>if(AX$5="","",IFERROR(AX135/'Get Started'!$D36*-1,0))</f>
        <v>0</v>
      </c>
      <c r="AY128" s="67">
        <f>if(AY$5="","",IFERROR(AY135/'Get Started'!$D36*-1,0))</f>
        <v>0</v>
      </c>
      <c r="AZ128" s="67">
        <f>if(AZ$5="","",IFERROR(AZ135/'Get Started'!$D36*-1,0))</f>
        <v>0</v>
      </c>
      <c r="BA128" s="67">
        <f>if(BA$5="","",IFERROR(BA135/'Get Started'!$D36*-1,0))</f>
        <v>0</v>
      </c>
      <c r="BB128" s="67">
        <f>if(BB$5="","",IFERROR(BB135/'Get Started'!$D36*-1,0))</f>
        <v>0</v>
      </c>
      <c r="BC128" s="67">
        <f>if(BC$5="","",IFERROR(BC135/'Get Started'!$D36*-1,0))</f>
        <v>0</v>
      </c>
    </row>
    <row r="129" outlineLevel="1">
      <c r="A129" s="1"/>
      <c r="B129" s="76" t="s">
        <v>254</v>
      </c>
      <c r="C129" s="103" t="str">
        <f>'Get Started'!$C$20</f>
        <v>$</v>
      </c>
      <c r="E129" s="78"/>
      <c r="F129" s="78"/>
      <c r="G129" s="78"/>
      <c r="H129" s="79" t="s">
        <v>193</v>
      </c>
      <c r="I129" s="87">
        <f t="shared" si="94"/>
        <v>0</v>
      </c>
      <c r="J129" s="93"/>
      <c r="K129" s="79" t="s">
        <v>323</v>
      </c>
      <c r="L129" s="93"/>
      <c r="M129" s="93"/>
      <c r="N129" s="93"/>
      <c r="O129" s="93"/>
      <c r="P129" s="93"/>
      <c r="Q129" s="93"/>
      <c r="R129" s="93"/>
      <c r="S129" s="67"/>
      <c r="T129" s="67">
        <f t="shared" ref="T129:BC129" si="96">if(T$5="","",-1*abs(SUMIF($D$17:$D$47,$B74,T$17:T$47)))</f>
        <v>0</v>
      </c>
      <c r="U129" s="67">
        <f t="shared" si="96"/>
        <v>0</v>
      </c>
      <c r="V129" s="67">
        <f t="shared" si="96"/>
        <v>0</v>
      </c>
      <c r="W129" s="67">
        <f t="shared" si="96"/>
        <v>0</v>
      </c>
      <c r="X129" s="67">
        <f t="shared" si="96"/>
        <v>0</v>
      </c>
      <c r="Y129" s="67">
        <f t="shared" si="96"/>
        <v>0</v>
      </c>
      <c r="Z129" s="67">
        <f t="shared" si="96"/>
        <v>0</v>
      </c>
      <c r="AA129" s="67">
        <f t="shared" si="96"/>
        <v>0</v>
      </c>
      <c r="AB129" s="67">
        <f t="shared" si="96"/>
        <v>0</v>
      </c>
      <c r="AC129" s="67">
        <f t="shared" si="96"/>
        <v>0</v>
      </c>
      <c r="AD129" s="67">
        <f t="shared" si="96"/>
        <v>0</v>
      </c>
      <c r="AE129" s="67">
        <f t="shared" si="96"/>
        <v>0</v>
      </c>
      <c r="AF129" s="67">
        <f t="shared" si="96"/>
        <v>0</v>
      </c>
      <c r="AG129" s="67">
        <f t="shared" si="96"/>
        <v>0</v>
      </c>
      <c r="AH129" s="67">
        <f t="shared" si="96"/>
        <v>0</v>
      </c>
      <c r="AI129" s="67">
        <f t="shared" si="96"/>
        <v>0</v>
      </c>
      <c r="AJ129" s="67">
        <f t="shared" si="96"/>
        <v>0</v>
      </c>
      <c r="AK129" s="67">
        <f t="shared" si="96"/>
        <v>0</v>
      </c>
      <c r="AL129" s="67">
        <f t="shared" si="96"/>
        <v>0</v>
      </c>
      <c r="AM129" s="67">
        <f t="shared" si="96"/>
        <v>0</v>
      </c>
      <c r="AN129" s="67">
        <f t="shared" si="96"/>
        <v>0</v>
      </c>
      <c r="AO129" s="67">
        <f t="shared" si="96"/>
        <v>0</v>
      </c>
      <c r="AP129" s="67">
        <f t="shared" si="96"/>
        <v>0</v>
      </c>
      <c r="AQ129" s="67">
        <f t="shared" si="96"/>
        <v>0</v>
      </c>
      <c r="AR129" s="67">
        <f t="shared" si="96"/>
        <v>0</v>
      </c>
      <c r="AS129" s="67">
        <f t="shared" si="96"/>
        <v>0</v>
      </c>
      <c r="AT129" s="67">
        <f t="shared" si="96"/>
        <v>0</v>
      </c>
      <c r="AU129" s="67">
        <f t="shared" si="96"/>
        <v>0</v>
      </c>
      <c r="AV129" s="67">
        <f t="shared" si="96"/>
        <v>0</v>
      </c>
      <c r="AW129" s="67">
        <f t="shared" si="96"/>
        <v>0</v>
      </c>
      <c r="AX129" s="67">
        <f t="shared" si="96"/>
        <v>0</v>
      </c>
      <c r="AY129" s="67">
        <f t="shared" si="96"/>
        <v>0</v>
      </c>
      <c r="AZ129" s="67">
        <f t="shared" si="96"/>
        <v>0</v>
      </c>
      <c r="BA129" s="67">
        <f t="shared" si="96"/>
        <v>0</v>
      </c>
      <c r="BB129" s="67">
        <f t="shared" si="96"/>
        <v>0</v>
      </c>
      <c r="BC129" s="67">
        <f t="shared" si="96"/>
        <v>0</v>
      </c>
    </row>
    <row r="130" outlineLevel="1">
      <c r="A130" s="1"/>
      <c r="B130" s="76" t="s">
        <v>324</v>
      </c>
      <c r="C130" s="103" t="str">
        <f>'Get Started'!$C$20</f>
        <v>$</v>
      </c>
      <c r="E130" s="78"/>
      <c r="F130" s="78"/>
      <c r="G130" s="78"/>
      <c r="H130" s="79" t="s">
        <v>193</v>
      </c>
      <c r="I130" s="87">
        <f t="shared" si="94"/>
        <v>0</v>
      </c>
      <c r="J130" s="93"/>
      <c r="K130" s="79" t="s">
        <v>325</v>
      </c>
      <c r="L130" s="93"/>
      <c r="M130" s="93"/>
      <c r="N130" s="93"/>
      <c r="O130" s="93"/>
      <c r="P130" s="93"/>
      <c r="Q130" s="93"/>
      <c r="R130" s="93"/>
      <c r="S130" s="67">
        <f>Statements!R51+Statements!R52</f>
        <v>0</v>
      </c>
      <c r="T130" s="67">
        <f t="shared" ref="T130:BC130" si="97">if(T$5="","",SUM(T126:T129))</f>
        <v>0</v>
      </c>
      <c r="U130" s="67">
        <f t="shared" si="97"/>
        <v>0</v>
      </c>
      <c r="V130" s="67">
        <f t="shared" si="97"/>
        <v>0</v>
      </c>
      <c r="W130" s="67">
        <f t="shared" si="97"/>
        <v>0</v>
      </c>
      <c r="X130" s="67">
        <f t="shared" si="97"/>
        <v>0</v>
      </c>
      <c r="Y130" s="67">
        <f t="shared" si="97"/>
        <v>0</v>
      </c>
      <c r="Z130" s="67">
        <f t="shared" si="97"/>
        <v>0</v>
      </c>
      <c r="AA130" s="67">
        <f t="shared" si="97"/>
        <v>0</v>
      </c>
      <c r="AB130" s="67">
        <f t="shared" si="97"/>
        <v>0</v>
      </c>
      <c r="AC130" s="67">
        <f t="shared" si="97"/>
        <v>0</v>
      </c>
      <c r="AD130" s="67">
        <f t="shared" si="97"/>
        <v>0</v>
      </c>
      <c r="AE130" s="67">
        <f t="shared" si="97"/>
        <v>0</v>
      </c>
      <c r="AF130" s="67">
        <f t="shared" si="97"/>
        <v>0</v>
      </c>
      <c r="AG130" s="67">
        <f t="shared" si="97"/>
        <v>0</v>
      </c>
      <c r="AH130" s="67">
        <f t="shared" si="97"/>
        <v>0</v>
      </c>
      <c r="AI130" s="67">
        <f t="shared" si="97"/>
        <v>0</v>
      </c>
      <c r="AJ130" s="67">
        <f t="shared" si="97"/>
        <v>0</v>
      </c>
      <c r="AK130" s="67">
        <f t="shared" si="97"/>
        <v>0</v>
      </c>
      <c r="AL130" s="67">
        <f t="shared" si="97"/>
        <v>0</v>
      </c>
      <c r="AM130" s="67">
        <f t="shared" si="97"/>
        <v>0</v>
      </c>
      <c r="AN130" s="67">
        <f t="shared" si="97"/>
        <v>0</v>
      </c>
      <c r="AO130" s="67">
        <f t="shared" si="97"/>
        <v>0</v>
      </c>
      <c r="AP130" s="67">
        <f t="shared" si="97"/>
        <v>0</v>
      </c>
      <c r="AQ130" s="67">
        <f t="shared" si="97"/>
        <v>0</v>
      </c>
      <c r="AR130" s="67">
        <f t="shared" si="97"/>
        <v>0</v>
      </c>
      <c r="AS130" s="67">
        <f t="shared" si="97"/>
        <v>0</v>
      </c>
      <c r="AT130" s="67">
        <f t="shared" si="97"/>
        <v>0</v>
      </c>
      <c r="AU130" s="67">
        <f t="shared" si="97"/>
        <v>0</v>
      </c>
      <c r="AV130" s="67">
        <f t="shared" si="97"/>
        <v>0</v>
      </c>
      <c r="AW130" s="67">
        <f t="shared" si="97"/>
        <v>0</v>
      </c>
      <c r="AX130" s="67">
        <f t="shared" si="97"/>
        <v>0</v>
      </c>
      <c r="AY130" s="67">
        <f t="shared" si="97"/>
        <v>0</v>
      </c>
      <c r="AZ130" s="67">
        <f t="shared" si="97"/>
        <v>0</v>
      </c>
      <c r="BA130" s="67">
        <f t="shared" si="97"/>
        <v>0</v>
      </c>
      <c r="BB130" s="67">
        <f t="shared" si="97"/>
        <v>0</v>
      </c>
      <c r="BC130" s="67">
        <f t="shared" si="97"/>
        <v>0</v>
      </c>
    </row>
    <row r="131" outlineLevel="1">
      <c r="A131" s="1"/>
      <c r="B131" s="76"/>
      <c r="C131" s="30"/>
      <c r="E131" s="78"/>
      <c r="F131" s="78"/>
      <c r="G131" s="78"/>
      <c r="H131" s="1"/>
      <c r="I131" s="78"/>
      <c r="J131" s="93"/>
      <c r="K131" s="78"/>
      <c r="L131" s="93"/>
      <c r="M131" s="93"/>
      <c r="N131" s="93"/>
      <c r="O131" s="93"/>
      <c r="P131" s="93"/>
      <c r="Q131" s="93"/>
      <c r="R131" s="93"/>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row>
    <row r="132" outlineLevel="1">
      <c r="A132" s="1"/>
      <c r="B132" s="76" t="s">
        <v>326</v>
      </c>
      <c r="C132" s="103" t="str">
        <f>'Get Started'!$C$20</f>
        <v>$</v>
      </c>
      <c r="E132" s="78"/>
      <c r="F132" s="78"/>
      <c r="G132" s="78"/>
      <c r="H132" s="79" t="s">
        <v>193</v>
      </c>
      <c r="I132" s="87">
        <f t="shared" ref="I132:I135" si="99">if(H132="sum",sum(T132:BC132),if(H132="final",index(T132:BC132,match(99^99,T132:BC132,1)),if(H132="initial",T132,if(H132="average",average(T132:BC132),0))))</f>
        <v>0</v>
      </c>
      <c r="J132" s="93"/>
      <c r="K132" s="79" t="s">
        <v>327</v>
      </c>
      <c r="L132" s="93"/>
      <c r="M132" s="93"/>
      <c r="N132" s="93"/>
      <c r="O132" s="93"/>
      <c r="P132" s="93"/>
      <c r="Q132" s="93"/>
      <c r="R132" s="93"/>
      <c r="S132" s="67">
        <f>Statements!R51</f>
        <v>0</v>
      </c>
      <c r="T132" s="67">
        <f t="shared" ref="T132:BC132" si="98">if(T$5="","",S132+T127)</f>
        <v>0</v>
      </c>
      <c r="U132" s="67">
        <f t="shared" si="98"/>
        <v>0</v>
      </c>
      <c r="V132" s="67">
        <f t="shared" si="98"/>
        <v>0</v>
      </c>
      <c r="W132" s="67">
        <f t="shared" si="98"/>
        <v>0</v>
      </c>
      <c r="X132" s="67">
        <f t="shared" si="98"/>
        <v>0</v>
      </c>
      <c r="Y132" s="67">
        <f t="shared" si="98"/>
        <v>0</v>
      </c>
      <c r="Z132" s="67">
        <f t="shared" si="98"/>
        <v>0</v>
      </c>
      <c r="AA132" s="67">
        <f t="shared" si="98"/>
        <v>0</v>
      </c>
      <c r="AB132" s="67">
        <f t="shared" si="98"/>
        <v>0</v>
      </c>
      <c r="AC132" s="67">
        <f t="shared" si="98"/>
        <v>0</v>
      </c>
      <c r="AD132" s="67">
        <f t="shared" si="98"/>
        <v>0</v>
      </c>
      <c r="AE132" s="67">
        <f t="shared" si="98"/>
        <v>0</v>
      </c>
      <c r="AF132" s="67">
        <f t="shared" si="98"/>
        <v>0</v>
      </c>
      <c r="AG132" s="67">
        <f t="shared" si="98"/>
        <v>0</v>
      </c>
      <c r="AH132" s="67">
        <f t="shared" si="98"/>
        <v>0</v>
      </c>
      <c r="AI132" s="67">
        <f t="shared" si="98"/>
        <v>0</v>
      </c>
      <c r="AJ132" s="67">
        <f t="shared" si="98"/>
        <v>0</v>
      </c>
      <c r="AK132" s="67">
        <f t="shared" si="98"/>
        <v>0</v>
      </c>
      <c r="AL132" s="67">
        <f t="shared" si="98"/>
        <v>0</v>
      </c>
      <c r="AM132" s="67">
        <f t="shared" si="98"/>
        <v>0</v>
      </c>
      <c r="AN132" s="67">
        <f t="shared" si="98"/>
        <v>0</v>
      </c>
      <c r="AO132" s="67">
        <f t="shared" si="98"/>
        <v>0</v>
      </c>
      <c r="AP132" s="67">
        <f t="shared" si="98"/>
        <v>0</v>
      </c>
      <c r="AQ132" s="67">
        <f t="shared" si="98"/>
        <v>0</v>
      </c>
      <c r="AR132" s="67">
        <f t="shared" si="98"/>
        <v>0</v>
      </c>
      <c r="AS132" s="67">
        <f t="shared" si="98"/>
        <v>0</v>
      </c>
      <c r="AT132" s="67">
        <f t="shared" si="98"/>
        <v>0</v>
      </c>
      <c r="AU132" s="67">
        <f t="shared" si="98"/>
        <v>0</v>
      </c>
      <c r="AV132" s="67">
        <f t="shared" si="98"/>
        <v>0</v>
      </c>
      <c r="AW132" s="67">
        <f t="shared" si="98"/>
        <v>0</v>
      </c>
      <c r="AX132" s="67">
        <f t="shared" si="98"/>
        <v>0</v>
      </c>
      <c r="AY132" s="67">
        <f t="shared" si="98"/>
        <v>0</v>
      </c>
      <c r="AZ132" s="67">
        <f t="shared" si="98"/>
        <v>0</v>
      </c>
      <c r="BA132" s="67">
        <f t="shared" si="98"/>
        <v>0</v>
      </c>
      <c r="BB132" s="67">
        <f t="shared" si="98"/>
        <v>0</v>
      </c>
      <c r="BC132" s="67">
        <f t="shared" si="98"/>
        <v>0</v>
      </c>
    </row>
    <row r="133" outlineLevel="1">
      <c r="A133" s="1"/>
      <c r="B133" s="76" t="s">
        <v>328</v>
      </c>
      <c r="C133" s="103" t="str">
        <f>'Get Started'!$C$20</f>
        <v>$</v>
      </c>
      <c r="E133" s="78"/>
      <c r="F133" s="78"/>
      <c r="G133" s="78"/>
      <c r="H133" s="79" t="s">
        <v>193</v>
      </c>
      <c r="I133" s="87">
        <f t="shared" si="99"/>
        <v>0</v>
      </c>
      <c r="J133" s="93"/>
      <c r="K133" s="79" t="s">
        <v>329</v>
      </c>
      <c r="L133" s="93"/>
      <c r="M133" s="93"/>
      <c r="N133" s="93"/>
      <c r="O133" s="93"/>
      <c r="P133" s="93"/>
      <c r="Q133" s="93"/>
      <c r="R133" s="93"/>
      <c r="S133" s="67">
        <f>ABS(Statements!R52)*-1</f>
        <v>0</v>
      </c>
      <c r="T133" s="67">
        <f t="shared" ref="T133:BC133" si="100">if(T$5="","",SUM(T128,T129)*-1+S133)</f>
        <v>0</v>
      </c>
      <c r="U133" s="67">
        <f t="shared" si="100"/>
        <v>0</v>
      </c>
      <c r="V133" s="67">
        <f t="shared" si="100"/>
        <v>0</v>
      </c>
      <c r="W133" s="67">
        <f t="shared" si="100"/>
        <v>0</v>
      </c>
      <c r="X133" s="67">
        <f t="shared" si="100"/>
        <v>0</v>
      </c>
      <c r="Y133" s="67">
        <f t="shared" si="100"/>
        <v>0</v>
      </c>
      <c r="Z133" s="67">
        <f t="shared" si="100"/>
        <v>0</v>
      </c>
      <c r="AA133" s="67">
        <f t="shared" si="100"/>
        <v>0</v>
      </c>
      <c r="AB133" s="67">
        <f t="shared" si="100"/>
        <v>0</v>
      </c>
      <c r="AC133" s="67">
        <f t="shared" si="100"/>
        <v>0</v>
      </c>
      <c r="AD133" s="67">
        <f t="shared" si="100"/>
        <v>0</v>
      </c>
      <c r="AE133" s="67">
        <f t="shared" si="100"/>
        <v>0</v>
      </c>
      <c r="AF133" s="67">
        <f t="shared" si="100"/>
        <v>0</v>
      </c>
      <c r="AG133" s="67">
        <f t="shared" si="100"/>
        <v>0</v>
      </c>
      <c r="AH133" s="67">
        <f t="shared" si="100"/>
        <v>0</v>
      </c>
      <c r="AI133" s="67">
        <f t="shared" si="100"/>
        <v>0</v>
      </c>
      <c r="AJ133" s="67">
        <f t="shared" si="100"/>
        <v>0</v>
      </c>
      <c r="AK133" s="67">
        <f t="shared" si="100"/>
        <v>0</v>
      </c>
      <c r="AL133" s="67">
        <f t="shared" si="100"/>
        <v>0</v>
      </c>
      <c r="AM133" s="67">
        <f t="shared" si="100"/>
        <v>0</v>
      </c>
      <c r="AN133" s="67">
        <f t="shared" si="100"/>
        <v>0</v>
      </c>
      <c r="AO133" s="67">
        <f t="shared" si="100"/>
        <v>0</v>
      </c>
      <c r="AP133" s="67">
        <f t="shared" si="100"/>
        <v>0</v>
      </c>
      <c r="AQ133" s="67">
        <f t="shared" si="100"/>
        <v>0</v>
      </c>
      <c r="AR133" s="67">
        <f t="shared" si="100"/>
        <v>0</v>
      </c>
      <c r="AS133" s="67">
        <f t="shared" si="100"/>
        <v>0</v>
      </c>
      <c r="AT133" s="67">
        <f t="shared" si="100"/>
        <v>0</v>
      </c>
      <c r="AU133" s="67">
        <f t="shared" si="100"/>
        <v>0</v>
      </c>
      <c r="AV133" s="67">
        <f t="shared" si="100"/>
        <v>0</v>
      </c>
      <c r="AW133" s="67">
        <f t="shared" si="100"/>
        <v>0</v>
      </c>
      <c r="AX133" s="67">
        <f t="shared" si="100"/>
        <v>0</v>
      </c>
      <c r="AY133" s="67">
        <f t="shared" si="100"/>
        <v>0</v>
      </c>
      <c r="AZ133" s="67">
        <f t="shared" si="100"/>
        <v>0</v>
      </c>
      <c r="BA133" s="67">
        <f t="shared" si="100"/>
        <v>0</v>
      </c>
      <c r="BB133" s="67">
        <f t="shared" si="100"/>
        <v>0</v>
      </c>
      <c r="BC133" s="67">
        <f t="shared" si="100"/>
        <v>0</v>
      </c>
    </row>
    <row r="134" outlineLevel="1">
      <c r="A134" s="1"/>
      <c r="B134" s="76" t="s">
        <v>330</v>
      </c>
      <c r="C134" s="103" t="str">
        <f>'Get Started'!$C$20</f>
        <v>$</v>
      </c>
      <c r="E134" s="78"/>
      <c r="F134" s="78"/>
      <c r="G134" s="78"/>
      <c r="H134" s="79" t="s">
        <v>193</v>
      </c>
      <c r="I134" s="87">
        <f t="shared" si="99"/>
        <v>0</v>
      </c>
      <c r="J134" s="93"/>
      <c r="K134" s="79" t="s">
        <v>331</v>
      </c>
      <c r="L134" s="93"/>
      <c r="M134" s="93"/>
      <c r="N134" s="93"/>
      <c r="O134" s="93"/>
      <c r="P134" s="93"/>
      <c r="Q134" s="93"/>
      <c r="R134" s="93"/>
      <c r="S134" s="67"/>
      <c r="T134" s="67">
        <f t="array" ref="T134">if(T$5="","",IF(T5&gt;='Get Started'!$D36,IFERROR(INDEX($S127:$BC127,0,MATCH(T8-'Get Started'!$D36,S8:$T8,0)),0),0))</f>
        <v>0</v>
      </c>
      <c r="U134" s="67">
        <f t="array" ref="U134">if(U$5="","",IF(U5&gt;='Get Started'!$D36,IFERROR(INDEX($S127:$BC127,0,MATCH(U8-'Get Started'!$D36,T8:$T8,0)),0),0))</f>
        <v>0</v>
      </c>
      <c r="V134" s="67">
        <f t="array" ref="V134">if(V$5="","",IF(V5&gt;='Get Started'!$D36,IFERROR(INDEX($S127:$BC127,0,MATCH(V8-'Get Started'!$D36,$T8:U8,0)),0),0))</f>
        <v>0</v>
      </c>
      <c r="W134" s="67">
        <f t="array" ref="W134">if(W$5="","",IF(W5&gt;='Get Started'!$D36,IFERROR(INDEX($S127:$BC127,0,MATCH(W8-'Get Started'!$D36,$T8:V8,0)),0),0))</f>
        <v>0</v>
      </c>
      <c r="X134" s="67">
        <f t="array" ref="X134">if(X$5="","",IF(X5&gt;='Get Started'!$D36,IFERROR(INDEX($S127:$BC127,0,MATCH(X8-'Get Started'!$D36,$T8:W8,0)),0),0))</f>
        <v>0</v>
      </c>
      <c r="Y134" s="67">
        <f t="array" ref="Y134">if(Y$5="","",IF(Y5&gt;='Get Started'!$D36,IFERROR(INDEX($S127:$BC127,0,MATCH(Y8-'Get Started'!$D36,$T8:X8,0)),0),0))</f>
        <v>0</v>
      </c>
      <c r="Z134" s="67">
        <f t="array" ref="Z134">if(Z$5="","",IF(Z5&gt;='Get Started'!$D36,IFERROR(INDEX($S127:$BC127,0,MATCH(Z8-'Get Started'!$D36,$T8:Y8,0)),0),0))</f>
        <v>0</v>
      </c>
      <c r="AA134" s="67">
        <f t="array" ref="AA134">if(AA$5="","",IF(AA5&gt;='Get Started'!$D36,IFERROR(INDEX($S127:$BC127,0,MATCH(AA8-'Get Started'!$D36,$T8:Z8,0)),0),0))</f>
        <v>0</v>
      </c>
      <c r="AB134" s="67">
        <f t="array" ref="AB134">if(AB$5="","",IF(AB5&gt;='Get Started'!$D36,IFERROR(INDEX($S127:$BC127,0,MATCH(AB8-'Get Started'!$D36,$T8:AA8,0)),0),0))</f>
        <v>0</v>
      </c>
      <c r="AC134" s="67">
        <f t="array" ref="AC134">if(AC$5="","",IF(AC5&gt;='Get Started'!$D36,IFERROR(INDEX($S127:$BC127,0,MATCH(AC8-'Get Started'!$D36,$T8:AB8,0)),0),0))</f>
        <v>0</v>
      </c>
      <c r="AD134" s="67">
        <f t="array" ref="AD134">if(AD$5="","",IF(AD5&gt;='Get Started'!$D36,IFERROR(INDEX($S127:$BC127,0,MATCH(AD8-'Get Started'!$D36,$T8:AC8,0)),0),0))</f>
        <v>0</v>
      </c>
      <c r="AE134" s="67">
        <f t="array" ref="AE134">if(AE$5="","",IF(AE5&gt;='Get Started'!$D36,IFERROR(INDEX($S127:$BC127,0,MATCH(AE8-'Get Started'!$D36,$T8:AD8,0)),0),0))</f>
        <v>0</v>
      </c>
      <c r="AF134" s="67">
        <f t="array" ref="AF134">if(AF$5="","",IF(AF5&gt;='Get Started'!$D36,IFERROR(INDEX($S127:$BC127,0,MATCH(AF8-'Get Started'!$D36,$T8:AE8,0)),0),0))</f>
        <v>0</v>
      </c>
      <c r="AG134" s="67">
        <f t="array" ref="AG134">if(AG$5="","",IF(AG5&gt;='Get Started'!$D36,IFERROR(INDEX($S127:$BC127,0,MATCH(AG8-'Get Started'!$D36,$T8:AF8,0)),0),0))</f>
        <v>0</v>
      </c>
      <c r="AH134" s="67">
        <f t="array" ref="AH134">if(AH$5="","",IF(AH5&gt;='Get Started'!$D36,IFERROR(INDEX($S127:$BC127,0,MATCH(AH8-'Get Started'!$D36,$T8:AG8,0)),0),0))</f>
        <v>0</v>
      </c>
      <c r="AI134" s="67">
        <f t="array" ref="AI134">if(AI$5="","",IF(AI5&gt;='Get Started'!$D36,IFERROR(INDEX($S127:$BC127,0,MATCH(AI8-'Get Started'!$D36,$T8:AH8,0)),0),0))</f>
        <v>0</v>
      </c>
      <c r="AJ134" s="67">
        <f t="array" ref="AJ134">if(AJ$5="","",IF(AJ5&gt;='Get Started'!$D36,IFERROR(INDEX($S127:$BC127,0,MATCH(AJ8-'Get Started'!$D36,$T8:AI8,0)),0),0))</f>
        <v>0</v>
      </c>
      <c r="AK134" s="67">
        <f t="array" ref="AK134">if(AK$5="","",IF(AK5&gt;='Get Started'!$D36,IFERROR(INDEX($S127:$BC127,0,MATCH(AK8-'Get Started'!$D36,$T8:AJ8,0)),0),0))</f>
        <v>0</v>
      </c>
      <c r="AL134" s="67">
        <f t="array" ref="AL134">if(AL$5="","",IF(AL5&gt;='Get Started'!$D36,IFERROR(INDEX($S127:$BC127,0,MATCH(AL8-'Get Started'!$D36,$T8:AK8,0)),0),0))</f>
        <v>0</v>
      </c>
      <c r="AM134" s="67">
        <f t="array" ref="AM134">if(AM$5="","",IF(AM5&gt;='Get Started'!$D36,IFERROR(INDEX($S127:$BC127,0,MATCH(AM8-'Get Started'!$D36,$T8:AL8,0)),0),0))</f>
        <v>0</v>
      </c>
      <c r="AN134" s="67">
        <f t="array" ref="AN134">if(AN$5="","",IF(AN5&gt;='Get Started'!$D36,IFERROR(INDEX($S127:$BC127,0,MATCH(AN8-'Get Started'!$D36,$T8:AM8,0)),0),0))</f>
        <v>0</v>
      </c>
      <c r="AO134" s="67">
        <f t="array" ref="AO134">if(AO$5="","",IF(AO5&gt;='Get Started'!$D36,IFERROR(INDEX($S127:$BC127,0,MATCH(AO8-'Get Started'!$D36,$T8:AN8,0)),0),0))</f>
        <v>0</v>
      </c>
      <c r="AP134" s="67">
        <f t="array" ref="AP134">if(AP$5="","",IF(AP5&gt;='Get Started'!$D36,IFERROR(INDEX($S127:$BC127,0,MATCH(AP8-'Get Started'!$D36,$T8:AO8,0)),0),0))</f>
        <v>0</v>
      </c>
      <c r="AQ134" s="67">
        <f t="array" ref="AQ134">if(AQ$5="","",IF(AQ5&gt;='Get Started'!$D36,IFERROR(INDEX($S127:$BC127,0,MATCH(AQ8-'Get Started'!$D36,$T8:AP8,0)),0),0))</f>
        <v>0</v>
      </c>
      <c r="AR134" s="67">
        <f t="array" ref="AR134">if(AR$5="","",IF(AR5&gt;='Get Started'!$D36,IFERROR(INDEX($S127:$BC127,0,MATCH(AR8-'Get Started'!$D36,$T8:AQ8,0)),0),0))</f>
        <v>0</v>
      </c>
      <c r="AS134" s="67">
        <f t="array" ref="AS134">if(AS$5="","",IF(AS5&gt;='Get Started'!$D36,IFERROR(INDEX($S127:$BC127,0,MATCH(AS8-'Get Started'!$D36,$T8:AR8,0)),0),0))</f>
        <v>0</v>
      </c>
      <c r="AT134" s="67">
        <f t="array" ref="AT134">if(AT$5="","",IF(AT5&gt;='Get Started'!$D36,IFERROR(INDEX($S127:$BC127,0,MATCH(AT8-'Get Started'!$D36,$T8:AS8,0)),0),0))</f>
        <v>0</v>
      </c>
      <c r="AU134" s="67">
        <f t="array" ref="AU134">if(AU$5="","",IF(AU5&gt;='Get Started'!$D36,IFERROR(INDEX($S127:$BC127,0,MATCH(AU8-'Get Started'!$D36,$T8:AT8,0)),0),0))</f>
        <v>0</v>
      </c>
      <c r="AV134" s="67">
        <f t="array" ref="AV134">if(AV$5="","",IF(AV5&gt;='Get Started'!$D36,IFERROR(INDEX($S127:$BC127,0,MATCH(AV8-'Get Started'!$D36,$T8:AU8,0)),0),0))</f>
        <v>0</v>
      </c>
      <c r="AW134" s="67">
        <f t="array" ref="AW134">if(AW$5="","",IF(AW5&gt;='Get Started'!$D36,IFERROR(INDEX($S127:$BC127,0,MATCH(AW8-'Get Started'!$D36,$T8:AV8,0)),0),0))</f>
        <v>0</v>
      </c>
      <c r="AX134" s="67">
        <f t="array" ref="AX134">if(AX$5="","",IF(AX5&gt;='Get Started'!$D36,IFERROR(INDEX($S127:$BC127,0,MATCH(AX8-'Get Started'!$D36,$T8:AW8,0)),0),0))</f>
        <v>0</v>
      </c>
      <c r="AY134" s="67">
        <f t="array" ref="AY134">if(AY$5="","",IF(AY5&gt;='Get Started'!$D36,IFERROR(INDEX($S127:$BC127,0,MATCH(AY8-'Get Started'!$D36,$T8:AX8,0)),0),0))</f>
        <v>0</v>
      </c>
      <c r="AZ134" s="67">
        <f t="array" ref="AZ134">if(AZ$5="","",IF(AZ5&gt;='Get Started'!$D36,IFERROR(INDEX($S127:$BC127,0,MATCH(AZ8-'Get Started'!$D36,$T8:AY8,0)),0),0))</f>
        <v>0</v>
      </c>
      <c r="BA134" s="67">
        <f t="array" ref="BA134">if(BA$5="","",IF(BA5&gt;='Get Started'!$D36,IFERROR(INDEX($S127:$BC127,0,MATCH(BA8-'Get Started'!$D36,$T8:AZ8,0)),0),0))</f>
        <v>0</v>
      </c>
      <c r="BB134" s="67">
        <f t="array" ref="BB134">if(BB$5="","",IF(BB5&gt;='Get Started'!$D36,IFERROR(INDEX($S127:$BC127,0,MATCH(BB8-'Get Started'!$D36,$T8:BA8,0)),0),0))</f>
        <v>0</v>
      </c>
      <c r="BC134" s="67">
        <f t="array" ref="BC134">if(BC$5="","",IF(BC5&gt;='Get Started'!$D36,IFERROR(INDEX($S127:$BC127,0,MATCH(BC8-'Get Started'!$D36,$T8:BB8,0)),0),0))</f>
        <v>0</v>
      </c>
    </row>
    <row r="135" outlineLevel="1">
      <c r="A135" s="1"/>
      <c r="B135" s="76" t="s">
        <v>332</v>
      </c>
      <c r="C135" s="103" t="str">
        <f>'Get Started'!$C$20</f>
        <v>$</v>
      </c>
      <c r="E135" s="78"/>
      <c r="F135" s="78"/>
      <c r="G135" s="78"/>
      <c r="H135" s="79" t="s">
        <v>193</v>
      </c>
      <c r="I135" s="87">
        <f t="shared" si="99"/>
        <v>0</v>
      </c>
      <c r="J135" s="93"/>
      <c r="K135" s="79" t="s">
        <v>333</v>
      </c>
      <c r="L135" s="93"/>
      <c r="M135" s="93"/>
      <c r="N135" s="93"/>
      <c r="O135" s="93"/>
      <c r="P135" s="93"/>
      <c r="Q135" s="93"/>
      <c r="R135" s="93"/>
      <c r="S135" s="67">
        <f>S132-abs(S133)</f>
        <v>0</v>
      </c>
      <c r="T135" s="67">
        <f t="shared" ref="T135:BC135" si="101">if(T$5="","",S135+T127-T134)</f>
        <v>0</v>
      </c>
      <c r="U135" s="67">
        <f t="shared" si="101"/>
        <v>0</v>
      </c>
      <c r="V135" s="67">
        <f t="shared" si="101"/>
        <v>0</v>
      </c>
      <c r="W135" s="67">
        <f t="shared" si="101"/>
        <v>0</v>
      </c>
      <c r="X135" s="67">
        <f t="shared" si="101"/>
        <v>0</v>
      </c>
      <c r="Y135" s="67">
        <f t="shared" si="101"/>
        <v>0</v>
      </c>
      <c r="Z135" s="67">
        <f t="shared" si="101"/>
        <v>0</v>
      </c>
      <c r="AA135" s="67">
        <f t="shared" si="101"/>
        <v>0</v>
      </c>
      <c r="AB135" s="67">
        <f t="shared" si="101"/>
        <v>0</v>
      </c>
      <c r="AC135" s="67">
        <f t="shared" si="101"/>
        <v>0</v>
      </c>
      <c r="AD135" s="67">
        <f t="shared" si="101"/>
        <v>0</v>
      </c>
      <c r="AE135" s="67">
        <f t="shared" si="101"/>
        <v>0</v>
      </c>
      <c r="AF135" s="67">
        <f t="shared" si="101"/>
        <v>0</v>
      </c>
      <c r="AG135" s="67">
        <f t="shared" si="101"/>
        <v>0</v>
      </c>
      <c r="AH135" s="67">
        <f t="shared" si="101"/>
        <v>0</v>
      </c>
      <c r="AI135" s="67">
        <f t="shared" si="101"/>
        <v>0</v>
      </c>
      <c r="AJ135" s="67">
        <f t="shared" si="101"/>
        <v>0</v>
      </c>
      <c r="AK135" s="67">
        <f t="shared" si="101"/>
        <v>0</v>
      </c>
      <c r="AL135" s="67">
        <f t="shared" si="101"/>
        <v>0</v>
      </c>
      <c r="AM135" s="67">
        <f t="shared" si="101"/>
        <v>0</v>
      </c>
      <c r="AN135" s="67">
        <f t="shared" si="101"/>
        <v>0</v>
      </c>
      <c r="AO135" s="67">
        <f t="shared" si="101"/>
        <v>0</v>
      </c>
      <c r="AP135" s="67">
        <f t="shared" si="101"/>
        <v>0</v>
      </c>
      <c r="AQ135" s="67">
        <f t="shared" si="101"/>
        <v>0</v>
      </c>
      <c r="AR135" s="67">
        <f t="shared" si="101"/>
        <v>0</v>
      </c>
      <c r="AS135" s="67">
        <f t="shared" si="101"/>
        <v>0</v>
      </c>
      <c r="AT135" s="67">
        <f t="shared" si="101"/>
        <v>0</v>
      </c>
      <c r="AU135" s="67">
        <f t="shared" si="101"/>
        <v>0</v>
      </c>
      <c r="AV135" s="67">
        <f t="shared" si="101"/>
        <v>0</v>
      </c>
      <c r="AW135" s="67">
        <f t="shared" si="101"/>
        <v>0</v>
      </c>
      <c r="AX135" s="67">
        <f t="shared" si="101"/>
        <v>0</v>
      </c>
      <c r="AY135" s="67">
        <f t="shared" si="101"/>
        <v>0</v>
      </c>
      <c r="AZ135" s="67">
        <f t="shared" si="101"/>
        <v>0</v>
      </c>
      <c r="BA135" s="67">
        <f t="shared" si="101"/>
        <v>0</v>
      </c>
      <c r="BB135" s="67">
        <f t="shared" si="101"/>
        <v>0</v>
      </c>
      <c r="BC135" s="67">
        <f t="shared" si="101"/>
        <v>0</v>
      </c>
    </row>
    <row r="136" outlineLevel="1">
      <c r="A136" s="1"/>
      <c r="B136" s="76"/>
      <c r="C136" s="30"/>
      <c r="E136" s="78"/>
      <c r="F136" s="78"/>
      <c r="G136" s="78"/>
      <c r="H136" s="1"/>
      <c r="I136" s="78"/>
      <c r="J136" s="93"/>
      <c r="K136" s="78"/>
      <c r="L136" s="93"/>
      <c r="M136" s="93"/>
      <c r="N136" s="93"/>
      <c r="O136" s="93"/>
      <c r="P136" s="93"/>
      <c r="Q136" s="93"/>
      <c r="R136" s="93"/>
      <c r="S136" s="93"/>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row>
    <row r="137" outlineLevel="1">
      <c r="A137" s="1"/>
      <c r="B137" s="122" t="s">
        <v>334</v>
      </c>
      <c r="C137" s="30"/>
      <c r="E137" s="78"/>
      <c r="F137" s="78"/>
      <c r="G137" s="78"/>
      <c r="H137" s="1"/>
      <c r="I137" s="78"/>
      <c r="J137" s="93"/>
      <c r="K137" s="79" t="s">
        <v>335</v>
      </c>
      <c r="L137" s="93"/>
      <c r="M137" s="93"/>
      <c r="N137" s="93"/>
      <c r="O137" s="93"/>
      <c r="P137" s="93"/>
      <c r="Q137" s="93"/>
      <c r="R137" s="93"/>
      <c r="S137" s="93"/>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row>
    <row r="138" outlineLevel="1">
      <c r="A138" s="1"/>
      <c r="B138" s="76" t="s">
        <v>336</v>
      </c>
      <c r="C138" s="103" t="str">
        <f>'Get Started'!$C$20</f>
        <v>$</v>
      </c>
      <c r="E138" s="78"/>
      <c r="F138" s="78"/>
      <c r="G138" s="78"/>
      <c r="H138" s="79" t="s">
        <v>193</v>
      </c>
      <c r="I138" s="87">
        <f t="shared" ref="I138:I142" si="103">if(H138="sum",sum(T138:BC138),if(H138="final",index(T138:BC138,match(99^99,T138:BC138,1)),if(H138="initial",T138,if(H138="average",average(T138:BC138),0))))</f>
        <v>8034.371888</v>
      </c>
      <c r="J138" s="93"/>
      <c r="K138" s="79" t="s">
        <v>337</v>
      </c>
      <c r="L138" s="93"/>
      <c r="M138" s="93"/>
      <c r="N138" s="93"/>
      <c r="O138" s="93"/>
      <c r="P138" s="93"/>
      <c r="Q138" s="93"/>
      <c r="R138" s="93"/>
      <c r="S138" s="93"/>
      <c r="T138" s="120">
        <f t="shared" ref="T138:BC138" si="102">if(T$5="","",S142)</f>
        <v>0</v>
      </c>
      <c r="U138" s="120">
        <f t="shared" si="102"/>
        <v>0</v>
      </c>
      <c r="V138" s="120">
        <f t="shared" si="102"/>
        <v>210</v>
      </c>
      <c r="W138" s="120">
        <f t="shared" si="102"/>
        <v>420</v>
      </c>
      <c r="X138" s="120">
        <f t="shared" si="102"/>
        <v>0</v>
      </c>
      <c r="Y138" s="120">
        <f t="shared" si="102"/>
        <v>210</v>
      </c>
      <c r="Z138" s="120">
        <f t="shared" si="102"/>
        <v>420</v>
      </c>
      <c r="AA138" s="120">
        <f t="shared" si="102"/>
        <v>0</v>
      </c>
      <c r="AB138" s="120">
        <f t="shared" si="102"/>
        <v>220.5</v>
      </c>
      <c r="AC138" s="120">
        <f t="shared" si="102"/>
        <v>441</v>
      </c>
      <c r="AD138" s="120">
        <f t="shared" si="102"/>
        <v>0</v>
      </c>
      <c r="AE138" s="120">
        <f t="shared" si="102"/>
        <v>220.5</v>
      </c>
      <c r="AF138" s="120">
        <f t="shared" si="102"/>
        <v>441</v>
      </c>
      <c r="AG138" s="120">
        <f t="shared" si="102"/>
        <v>0</v>
      </c>
      <c r="AH138" s="120">
        <f t="shared" si="102"/>
        <v>231.525</v>
      </c>
      <c r="AI138" s="120">
        <f t="shared" si="102"/>
        <v>463.05</v>
      </c>
      <c r="AJ138" s="120">
        <f t="shared" si="102"/>
        <v>0</v>
      </c>
      <c r="AK138" s="120">
        <f t="shared" si="102"/>
        <v>231.525</v>
      </c>
      <c r="AL138" s="120">
        <f t="shared" si="102"/>
        <v>463.05</v>
      </c>
      <c r="AM138" s="120">
        <f t="shared" si="102"/>
        <v>0</v>
      </c>
      <c r="AN138" s="120">
        <f t="shared" si="102"/>
        <v>243.10125</v>
      </c>
      <c r="AO138" s="120">
        <f t="shared" si="102"/>
        <v>486.2025</v>
      </c>
      <c r="AP138" s="120">
        <f t="shared" si="102"/>
        <v>0</v>
      </c>
      <c r="AQ138" s="120">
        <f t="shared" si="102"/>
        <v>243.10125</v>
      </c>
      <c r="AR138" s="120">
        <f t="shared" si="102"/>
        <v>486.2025</v>
      </c>
      <c r="AS138" s="120">
        <f t="shared" si="102"/>
        <v>0</v>
      </c>
      <c r="AT138" s="120">
        <f t="shared" si="102"/>
        <v>255.2563125</v>
      </c>
      <c r="AU138" s="120">
        <f t="shared" si="102"/>
        <v>510.512625</v>
      </c>
      <c r="AV138" s="120">
        <f t="shared" si="102"/>
        <v>0</v>
      </c>
      <c r="AW138" s="120">
        <f t="shared" si="102"/>
        <v>255.2563125</v>
      </c>
      <c r="AX138" s="120">
        <f t="shared" si="102"/>
        <v>510.512625</v>
      </c>
      <c r="AY138" s="120">
        <f t="shared" si="102"/>
        <v>0</v>
      </c>
      <c r="AZ138" s="120">
        <f t="shared" si="102"/>
        <v>268.0191281</v>
      </c>
      <c r="BA138" s="120">
        <f t="shared" si="102"/>
        <v>536.0382563</v>
      </c>
      <c r="BB138" s="120">
        <f t="shared" si="102"/>
        <v>0</v>
      </c>
      <c r="BC138" s="120">
        <f t="shared" si="102"/>
        <v>268.0191281</v>
      </c>
    </row>
    <row r="139" outlineLevel="1">
      <c r="A139" s="1"/>
      <c r="B139" s="76" t="s">
        <v>338</v>
      </c>
      <c r="C139" s="103" t="str">
        <f>'Get Started'!$C$20</f>
        <v>$</v>
      </c>
      <c r="E139" s="78"/>
      <c r="F139" s="78"/>
      <c r="G139" s="78"/>
      <c r="H139" s="79" t="s">
        <v>193</v>
      </c>
      <c r="I139" s="87">
        <f t="shared" si="103"/>
        <v>8570.410144</v>
      </c>
      <c r="J139" s="93"/>
      <c r="K139" s="79" t="s">
        <v>339</v>
      </c>
      <c r="L139" s="93"/>
      <c r="M139" s="93"/>
      <c r="N139" s="93"/>
      <c r="O139" s="93"/>
      <c r="P139" s="93"/>
      <c r="Q139" s="93"/>
      <c r="R139" s="93"/>
      <c r="S139" s="93"/>
      <c r="T139" s="67">
        <f>if(T$5="","",Statements!S34)</f>
        <v>210</v>
      </c>
      <c r="U139" s="67">
        <f>if(U$5="","",Statements!T34)</f>
        <v>210</v>
      </c>
      <c r="V139" s="67">
        <f>if(V$5="","",Statements!U34)</f>
        <v>210</v>
      </c>
      <c r="W139" s="67">
        <f>if(W$5="","",Statements!V34)</f>
        <v>210</v>
      </c>
      <c r="X139" s="67">
        <f>if(X$5="","",Statements!W34)</f>
        <v>210</v>
      </c>
      <c r="Y139" s="67">
        <f>if(Y$5="","",Statements!X34)</f>
        <v>210</v>
      </c>
      <c r="Z139" s="67">
        <f>if(Z$5="","",Statements!Y34)</f>
        <v>220.5</v>
      </c>
      <c r="AA139" s="67">
        <f>if(AA$5="","",Statements!Z34)</f>
        <v>220.5</v>
      </c>
      <c r="AB139" s="67">
        <f>if(AB$5="","",Statements!AA34)</f>
        <v>220.5</v>
      </c>
      <c r="AC139" s="67">
        <f>if(AC$5="","",Statements!AB34)</f>
        <v>220.5</v>
      </c>
      <c r="AD139" s="67">
        <f>if(AD$5="","",Statements!AC34)</f>
        <v>220.5</v>
      </c>
      <c r="AE139" s="67">
        <f>if(AE$5="","",Statements!AD34)</f>
        <v>220.5</v>
      </c>
      <c r="AF139" s="67">
        <f>if(AF$5="","",Statements!AE34)</f>
        <v>231.525</v>
      </c>
      <c r="AG139" s="67">
        <f>if(AG$5="","",Statements!AF34)</f>
        <v>231.525</v>
      </c>
      <c r="AH139" s="67">
        <f>if(AH$5="","",Statements!AG34)</f>
        <v>231.525</v>
      </c>
      <c r="AI139" s="67">
        <f>if(AI$5="","",Statements!AH34)</f>
        <v>231.525</v>
      </c>
      <c r="AJ139" s="67">
        <f>if(AJ$5="","",Statements!AI34)</f>
        <v>231.525</v>
      </c>
      <c r="AK139" s="67">
        <f>if(AK$5="","",Statements!AJ34)</f>
        <v>231.525</v>
      </c>
      <c r="AL139" s="67">
        <f>if(AL$5="","",Statements!AK34)</f>
        <v>243.10125</v>
      </c>
      <c r="AM139" s="67">
        <f>if(AM$5="","",Statements!AL34)</f>
        <v>243.10125</v>
      </c>
      <c r="AN139" s="67">
        <f>if(AN$5="","",Statements!AM34)</f>
        <v>243.10125</v>
      </c>
      <c r="AO139" s="67">
        <f>if(AO$5="","",Statements!AN34)</f>
        <v>243.10125</v>
      </c>
      <c r="AP139" s="67">
        <f>if(AP$5="","",Statements!AO34)</f>
        <v>243.10125</v>
      </c>
      <c r="AQ139" s="67">
        <f>if(AQ$5="","",Statements!AP34)</f>
        <v>243.10125</v>
      </c>
      <c r="AR139" s="67">
        <f>if(AR$5="","",Statements!AQ34)</f>
        <v>255.2563125</v>
      </c>
      <c r="AS139" s="67">
        <f>if(AS$5="","",Statements!AR34)</f>
        <v>255.2563125</v>
      </c>
      <c r="AT139" s="67">
        <f>if(AT$5="","",Statements!AS34)</f>
        <v>255.2563125</v>
      </c>
      <c r="AU139" s="67">
        <f>if(AU$5="","",Statements!AT34)</f>
        <v>255.2563125</v>
      </c>
      <c r="AV139" s="67">
        <f>if(AV$5="","",Statements!AU34)</f>
        <v>255.2563125</v>
      </c>
      <c r="AW139" s="67">
        <f>if(AW$5="","",Statements!AV34)</f>
        <v>255.2563125</v>
      </c>
      <c r="AX139" s="67">
        <f>if(AX$5="","",Statements!AW34)</f>
        <v>268.0191281</v>
      </c>
      <c r="AY139" s="67">
        <f>if(AY$5="","",Statements!AX34)</f>
        <v>268.0191281</v>
      </c>
      <c r="AZ139" s="67">
        <f>if(AZ$5="","",Statements!AY34)</f>
        <v>268.0191281</v>
      </c>
      <c r="BA139" s="67">
        <f>if(BA$5="","",Statements!AZ34)</f>
        <v>268.0191281</v>
      </c>
      <c r="BB139" s="67">
        <f>if(BB$5="","",Statements!BA34)</f>
        <v>268.0191281</v>
      </c>
      <c r="BC139" s="67">
        <f>if(BC$5="","",Statements!BB34)</f>
        <v>268.0191281</v>
      </c>
    </row>
    <row r="140" outlineLevel="1">
      <c r="A140" s="1"/>
      <c r="B140" s="76" t="s">
        <v>340</v>
      </c>
      <c r="C140" s="103" t="str">
        <f>'Get Started'!$C$20</f>
        <v>$</v>
      </c>
      <c r="E140" s="78"/>
      <c r="F140" s="78"/>
      <c r="G140" s="78"/>
      <c r="H140" s="79" t="s">
        <v>193</v>
      </c>
      <c r="I140" s="87">
        <f t="shared" si="103"/>
        <v>0</v>
      </c>
      <c r="J140" s="93"/>
      <c r="K140" s="79" t="s">
        <v>341</v>
      </c>
      <c r="L140" s="93"/>
      <c r="M140" s="93"/>
      <c r="N140" s="93"/>
      <c r="O140" s="93"/>
      <c r="P140" s="93"/>
      <c r="Q140" s="93"/>
      <c r="R140" s="93"/>
      <c r="S140" s="9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3"/>
      <c r="AZ140" s="123"/>
      <c r="BA140" s="123"/>
      <c r="BB140" s="123"/>
      <c r="BC140" s="123"/>
    </row>
    <row r="141" outlineLevel="1">
      <c r="A141" s="1"/>
      <c r="B141" s="76" t="s">
        <v>342</v>
      </c>
      <c r="C141" s="103" t="str">
        <f>'Get Started'!$C$20</f>
        <v>$</v>
      </c>
      <c r="E141" s="78"/>
      <c r="F141" s="78"/>
      <c r="G141" s="78"/>
      <c r="H141" s="79" t="s">
        <v>193</v>
      </c>
      <c r="I141" s="87">
        <f t="shared" si="103"/>
        <v>-8034.371888</v>
      </c>
      <c r="J141" s="93"/>
      <c r="K141" s="79" t="s">
        <v>343</v>
      </c>
      <c r="L141" s="93"/>
      <c r="M141" s="93"/>
      <c r="N141" s="93"/>
      <c r="O141" s="93"/>
      <c r="P141" s="93"/>
      <c r="Q141" s="93"/>
      <c r="R141" s="93"/>
      <c r="S141" s="93"/>
      <c r="T141" s="67">
        <f>if(T$5="","",IF('Get Started'!$D10="monthly",IF('Get Started'!$D40="monthly",1,IF('Get Started'!$D40="annual",IF(T9=1,1,0),IF('Get Started'!$D40="quarterly",IF(OR(T9=4,T9=7,T9=10,T9=1),1,0))))*-1*SUM(T138:T140),IF('Get Started'!$D10="quarterly",-1*SUM(S138:S140),-1*SUM(T138:T140))))</f>
        <v>-210</v>
      </c>
      <c r="U141" s="67">
        <f>if(U$5="","",IF('Get Started'!$D10="monthly",IF('Get Started'!$D40="monthly",1,IF('Get Started'!$D40="annual",IF(U9=1,1,0),IF('Get Started'!$D40="quarterly",IF(OR(U9=4,U9=7,U9=10,U9=1),1,0))))*-1*SUM(U138:U140),IF('Get Started'!$D10="quarterly",-1*SUM(T138:T140),-1*SUM(U138:U140))))</f>
        <v>0</v>
      </c>
      <c r="V141" s="67">
        <f>if(V$5="","",IF('Get Started'!$D10="monthly",IF('Get Started'!$D40="monthly",1,IF('Get Started'!$D40="annual",IF(V9=1,1,0),IF('Get Started'!$D40="quarterly",IF(OR(V9=4,V9=7,V9=10,V9=1),1,0))))*-1*SUM(V138:V140),IF('Get Started'!$D10="quarterly",-1*SUM(U138:U140),-1*SUM(V138:V140))))</f>
        <v>0</v>
      </c>
      <c r="W141" s="67">
        <f>if(W$5="","",IF('Get Started'!$D10="monthly",IF('Get Started'!$D40="monthly",1,IF('Get Started'!$D40="annual",IF(W9=1,1,0),IF('Get Started'!$D40="quarterly",IF(OR(W9=4,W9=7,W9=10,W9=1),1,0))))*-1*SUM(W138:W140),IF('Get Started'!$D10="quarterly",-1*SUM(V138:V140),-1*SUM(W138:W140))))</f>
        <v>-630</v>
      </c>
      <c r="X141" s="67">
        <f>if(X$5="","",IF('Get Started'!$D10="monthly",IF('Get Started'!$D40="monthly",1,IF('Get Started'!$D40="annual",IF(X9=1,1,0),IF('Get Started'!$D40="quarterly",IF(OR(X9=4,X9=7,X9=10,X9=1),1,0))))*-1*SUM(X138:X140),IF('Get Started'!$D10="quarterly",-1*SUM(W138:W140),-1*SUM(X138:X140))))</f>
        <v>0</v>
      </c>
      <c r="Y141" s="67">
        <f>if(Y$5="","",IF('Get Started'!$D10="monthly",IF('Get Started'!$D40="monthly",1,IF('Get Started'!$D40="annual",IF(Y9=1,1,0),IF('Get Started'!$D40="quarterly",IF(OR(Y9=4,Y9=7,Y9=10,Y9=1),1,0))))*-1*SUM(Y138:Y140),IF('Get Started'!$D10="quarterly",-1*SUM(X138:X140),-1*SUM(Y138:Y140))))</f>
        <v>0</v>
      </c>
      <c r="Z141" s="67">
        <f>if(Z$5="","",IF('Get Started'!$D10="monthly",IF('Get Started'!$D40="monthly",1,IF('Get Started'!$D40="annual",IF(Z9=1,1,0),IF('Get Started'!$D40="quarterly",IF(OR(Z9=4,Z9=7,Z9=10,Z9=1),1,0))))*-1*SUM(Z138:Z140),IF('Get Started'!$D10="quarterly",-1*SUM(Y138:Y140),-1*SUM(Z138:Z140))))</f>
        <v>-640.5</v>
      </c>
      <c r="AA141" s="67">
        <f>if(AA$5="","",IF('Get Started'!$D10="monthly",IF('Get Started'!$D40="monthly",1,IF('Get Started'!$D40="annual",IF(AA9=1,1,0),IF('Get Started'!$D40="quarterly",IF(OR(AA9=4,AA9=7,AA9=10,AA9=1),1,0))))*-1*SUM(AA138:AA140),IF('Get Started'!$D10="quarterly",-1*SUM(Z138:Z140),-1*SUM(AA138:AA140))))</f>
        <v>0</v>
      </c>
      <c r="AB141" s="67">
        <f>if(AB$5="","",IF('Get Started'!$D10="monthly",IF('Get Started'!$D40="monthly",1,IF('Get Started'!$D40="annual",IF(AB9=1,1,0),IF('Get Started'!$D40="quarterly",IF(OR(AB9=4,AB9=7,AB9=10,AB9=1),1,0))))*-1*SUM(AB138:AB140),IF('Get Started'!$D10="quarterly",-1*SUM(AA138:AA140),-1*SUM(AB138:AB140))))</f>
        <v>0</v>
      </c>
      <c r="AC141" s="67">
        <f>if(AC$5="","",IF('Get Started'!$D10="monthly",IF('Get Started'!$D40="monthly",1,IF('Get Started'!$D40="annual",IF(AC9=1,1,0),IF('Get Started'!$D40="quarterly",IF(OR(AC9=4,AC9=7,AC9=10,AC9=1),1,0))))*-1*SUM(AC138:AC140),IF('Get Started'!$D10="quarterly",-1*SUM(AB138:AB140),-1*SUM(AC138:AC140))))</f>
        <v>-661.5</v>
      </c>
      <c r="AD141" s="67">
        <f>if(AD$5="","",IF('Get Started'!$D10="monthly",IF('Get Started'!$D40="monthly",1,IF('Get Started'!$D40="annual",IF(AD9=1,1,0),IF('Get Started'!$D40="quarterly",IF(OR(AD9=4,AD9=7,AD9=10,AD9=1),1,0))))*-1*SUM(AD138:AD140),IF('Get Started'!$D10="quarterly",-1*SUM(AC138:AC140),-1*SUM(AD138:AD140))))</f>
        <v>0</v>
      </c>
      <c r="AE141" s="67">
        <f>if(AE$5="","",IF('Get Started'!$D10="monthly",IF('Get Started'!$D40="monthly",1,IF('Get Started'!$D40="annual",IF(AE9=1,1,0),IF('Get Started'!$D40="quarterly",IF(OR(AE9=4,AE9=7,AE9=10,AE9=1),1,0))))*-1*SUM(AE138:AE140),IF('Get Started'!$D10="quarterly",-1*SUM(AD138:AD140),-1*SUM(AE138:AE140))))</f>
        <v>0</v>
      </c>
      <c r="AF141" s="67">
        <f>if(AF$5="","",IF('Get Started'!$D10="monthly",IF('Get Started'!$D40="monthly",1,IF('Get Started'!$D40="annual",IF(AF9=1,1,0),IF('Get Started'!$D40="quarterly",IF(OR(AF9=4,AF9=7,AF9=10,AF9=1),1,0))))*-1*SUM(AF138:AF140),IF('Get Started'!$D10="quarterly",-1*SUM(AE138:AE140),-1*SUM(AF138:AF140))))</f>
        <v>-672.525</v>
      </c>
      <c r="AG141" s="67">
        <f>if(AG$5="","",IF('Get Started'!$D10="monthly",IF('Get Started'!$D40="monthly",1,IF('Get Started'!$D40="annual",IF(AG9=1,1,0),IF('Get Started'!$D40="quarterly",IF(OR(AG9=4,AG9=7,AG9=10,AG9=1),1,0))))*-1*SUM(AG138:AG140),IF('Get Started'!$D10="quarterly",-1*SUM(AF138:AF140),-1*SUM(AG138:AG140))))</f>
        <v>0</v>
      </c>
      <c r="AH141" s="67">
        <f>if(AH$5="","",IF('Get Started'!$D10="monthly",IF('Get Started'!$D40="monthly",1,IF('Get Started'!$D40="annual",IF(AH9=1,1,0),IF('Get Started'!$D40="quarterly",IF(OR(AH9=4,AH9=7,AH9=10,AH9=1),1,0))))*-1*SUM(AH138:AH140),IF('Get Started'!$D10="quarterly",-1*SUM(AG138:AG140),-1*SUM(AH138:AH140))))</f>
        <v>0</v>
      </c>
      <c r="AI141" s="67">
        <f>if(AI$5="","",IF('Get Started'!$D10="monthly",IF('Get Started'!$D40="monthly",1,IF('Get Started'!$D40="annual",IF(AI9=1,1,0),IF('Get Started'!$D40="quarterly",IF(OR(AI9=4,AI9=7,AI9=10,AI9=1),1,0))))*-1*SUM(AI138:AI140),IF('Get Started'!$D10="quarterly",-1*SUM(AH138:AH140),-1*SUM(AI138:AI140))))</f>
        <v>-694.575</v>
      </c>
      <c r="AJ141" s="67">
        <f>if(AJ$5="","",IF('Get Started'!$D10="monthly",IF('Get Started'!$D40="monthly",1,IF('Get Started'!$D40="annual",IF(AJ9=1,1,0),IF('Get Started'!$D40="quarterly",IF(OR(AJ9=4,AJ9=7,AJ9=10,AJ9=1),1,0))))*-1*SUM(AJ138:AJ140),IF('Get Started'!$D10="quarterly",-1*SUM(AI138:AI140),-1*SUM(AJ138:AJ140))))</f>
        <v>0</v>
      </c>
      <c r="AK141" s="67">
        <f>if(AK$5="","",IF('Get Started'!$D10="monthly",IF('Get Started'!$D40="monthly",1,IF('Get Started'!$D40="annual",IF(AK9=1,1,0),IF('Get Started'!$D40="quarterly",IF(OR(AK9=4,AK9=7,AK9=10,AK9=1),1,0))))*-1*SUM(AK138:AK140),IF('Get Started'!$D10="quarterly",-1*SUM(AJ138:AJ140),-1*SUM(AK138:AK140))))</f>
        <v>0</v>
      </c>
      <c r="AL141" s="67">
        <f>if(AL$5="","",IF('Get Started'!$D10="monthly",IF('Get Started'!$D40="monthly",1,IF('Get Started'!$D40="annual",IF(AL9=1,1,0),IF('Get Started'!$D40="quarterly",IF(OR(AL9=4,AL9=7,AL9=10,AL9=1),1,0))))*-1*SUM(AL138:AL140),IF('Get Started'!$D10="quarterly",-1*SUM(AK138:AK140),-1*SUM(AL138:AL140))))</f>
        <v>-706.15125</v>
      </c>
      <c r="AM141" s="67">
        <f>if(AM$5="","",IF('Get Started'!$D10="monthly",IF('Get Started'!$D40="monthly",1,IF('Get Started'!$D40="annual",IF(AM9=1,1,0),IF('Get Started'!$D40="quarterly",IF(OR(AM9=4,AM9=7,AM9=10,AM9=1),1,0))))*-1*SUM(AM138:AM140),IF('Get Started'!$D10="quarterly",-1*SUM(AL138:AL140),-1*SUM(AM138:AM140))))</f>
        <v>0</v>
      </c>
      <c r="AN141" s="67">
        <f>if(AN$5="","",IF('Get Started'!$D10="monthly",IF('Get Started'!$D40="monthly",1,IF('Get Started'!$D40="annual",IF(AN9=1,1,0),IF('Get Started'!$D40="quarterly",IF(OR(AN9=4,AN9=7,AN9=10,AN9=1),1,0))))*-1*SUM(AN138:AN140),IF('Get Started'!$D10="quarterly",-1*SUM(AM138:AM140),-1*SUM(AN138:AN140))))</f>
        <v>0</v>
      </c>
      <c r="AO141" s="67">
        <f>if(AO$5="","",IF('Get Started'!$D10="monthly",IF('Get Started'!$D40="monthly",1,IF('Get Started'!$D40="annual",IF(AO9=1,1,0),IF('Get Started'!$D40="quarterly",IF(OR(AO9=4,AO9=7,AO9=10,AO9=1),1,0))))*-1*SUM(AO138:AO140),IF('Get Started'!$D10="quarterly",-1*SUM(AN138:AN140),-1*SUM(AO138:AO140))))</f>
        <v>-729.30375</v>
      </c>
      <c r="AP141" s="67">
        <f>if(AP$5="","",IF('Get Started'!$D10="monthly",IF('Get Started'!$D40="monthly",1,IF('Get Started'!$D40="annual",IF(AP9=1,1,0),IF('Get Started'!$D40="quarterly",IF(OR(AP9=4,AP9=7,AP9=10,AP9=1),1,0))))*-1*SUM(AP138:AP140),IF('Get Started'!$D10="quarterly",-1*SUM(AO138:AO140),-1*SUM(AP138:AP140))))</f>
        <v>0</v>
      </c>
      <c r="AQ141" s="67">
        <f>if(AQ$5="","",IF('Get Started'!$D10="monthly",IF('Get Started'!$D40="monthly",1,IF('Get Started'!$D40="annual",IF(AQ9=1,1,0),IF('Get Started'!$D40="quarterly",IF(OR(AQ9=4,AQ9=7,AQ9=10,AQ9=1),1,0))))*-1*SUM(AQ138:AQ140),IF('Get Started'!$D10="quarterly",-1*SUM(AP138:AP140),-1*SUM(AQ138:AQ140))))</f>
        <v>0</v>
      </c>
      <c r="AR141" s="67">
        <f>if(AR$5="","",IF('Get Started'!$D10="monthly",IF('Get Started'!$D40="monthly",1,IF('Get Started'!$D40="annual",IF(AR9=1,1,0),IF('Get Started'!$D40="quarterly",IF(OR(AR9=4,AR9=7,AR9=10,AR9=1),1,0))))*-1*SUM(AR138:AR140),IF('Get Started'!$D10="quarterly",-1*SUM(AQ138:AQ140),-1*SUM(AR138:AR140))))</f>
        <v>-741.4588125</v>
      </c>
      <c r="AS141" s="67">
        <f>if(AS$5="","",IF('Get Started'!$D10="monthly",IF('Get Started'!$D40="monthly",1,IF('Get Started'!$D40="annual",IF(AS9=1,1,0),IF('Get Started'!$D40="quarterly",IF(OR(AS9=4,AS9=7,AS9=10,AS9=1),1,0))))*-1*SUM(AS138:AS140),IF('Get Started'!$D10="quarterly",-1*SUM(AR138:AR140),-1*SUM(AS138:AS140))))</f>
        <v>0</v>
      </c>
      <c r="AT141" s="67">
        <f>if(AT$5="","",IF('Get Started'!$D10="monthly",IF('Get Started'!$D40="monthly",1,IF('Get Started'!$D40="annual",IF(AT9=1,1,0),IF('Get Started'!$D40="quarterly",IF(OR(AT9=4,AT9=7,AT9=10,AT9=1),1,0))))*-1*SUM(AT138:AT140),IF('Get Started'!$D10="quarterly",-1*SUM(AS138:AS140),-1*SUM(AT138:AT140))))</f>
        <v>0</v>
      </c>
      <c r="AU141" s="67">
        <f>if(AU$5="","",IF('Get Started'!$D10="monthly",IF('Get Started'!$D40="monthly",1,IF('Get Started'!$D40="annual",IF(AU9=1,1,0),IF('Get Started'!$D40="quarterly",IF(OR(AU9=4,AU9=7,AU9=10,AU9=1),1,0))))*-1*SUM(AU138:AU140),IF('Get Started'!$D10="quarterly",-1*SUM(AT138:AT140),-1*SUM(AU138:AU140))))</f>
        <v>-765.7689375</v>
      </c>
      <c r="AV141" s="67">
        <f>if(AV$5="","",IF('Get Started'!$D10="monthly",IF('Get Started'!$D40="monthly",1,IF('Get Started'!$D40="annual",IF(AV9=1,1,0),IF('Get Started'!$D40="quarterly",IF(OR(AV9=4,AV9=7,AV9=10,AV9=1),1,0))))*-1*SUM(AV138:AV140),IF('Get Started'!$D10="quarterly",-1*SUM(AU138:AU140),-1*SUM(AV138:AV140))))</f>
        <v>0</v>
      </c>
      <c r="AW141" s="67">
        <f>if(AW$5="","",IF('Get Started'!$D10="monthly",IF('Get Started'!$D40="monthly",1,IF('Get Started'!$D40="annual",IF(AW9=1,1,0),IF('Get Started'!$D40="quarterly",IF(OR(AW9=4,AW9=7,AW9=10,AW9=1),1,0))))*-1*SUM(AW138:AW140),IF('Get Started'!$D10="quarterly",-1*SUM(AV138:AV140),-1*SUM(AW138:AW140))))</f>
        <v>0</v>
      </c>
      <c r="AX141" s="67">
        <f>if(AX$5="","",IF('Get Started'!$D10="monthly",IF('Get Started'!$D40="monthly",1,IF('Get Started'!$D40="annual",IF(AX9=1,1,0),IF('Get Started'!$D40="quarterly",IF(OR(AX9=4,AX9=7,AX9=10,AX9=1),1,0))))*-1*SUM(AX138:AX140),IF('Get Started'!$D10="quarterly",-1*SUM(AW138:AW140),-1*SUM(AX138:AX140))))</f>
        <v>-778.5317531</v>
      </c>
      <c r="AY141" s="67">
        <f>if(AY$5="","",IF('Get Started'!$D10="monthly",IF('Get Started'!$D40="monthly",1,IF('Get Started'!$D40="annual",IF(AY9=1,1,0),IF('Get Started'!$D40="quarterly",IF(OR(AY9=4,AY9=7,AY9=10,AY9=1),1,0))))*-1*SUM(AY138:AY140),IF('Get Started'!$D10="quarterly",-1*SUM(AX138:AX140),-1*SUM(AY138:AY140))))</f>
        <v>0</v>
      </c>
      <c r="AZ141" s="67">
        <f>if(AZ$5="","",IF('Get Started'!$D10="monthly",IF('Get Started'!$D40="monthly",1,IF('Get Started'!$D40="annual",IF(AZ9=1,1,0),IF('Get Started'!$D40="quarterly",IF(OR(AZ9=4,AZ9=7,AZ9=10,AZ9=1),1,0))))*-1*SUM(AZ138:AZ140),IF('Get Started'!$D10="quarterly",-1*SUM(AY138:AY140),-1*SUM(AZ138:AZ140))))</f>
        <v>0</v>
      </c>
      <c r="BA141" s="67">
        <f>if(BA$5="","",IF('Get Started'!$D10="monthly",IF('Get Started'!$D40="monthly",1,IF('Get Started'!$D40="annual",IF(BA9=1,1,0),IF('Get Started'!$D40="quarterly",IF(OR(BA9=4,BA9=7,BA9=10,BA9=1),1,0))))*-1*SUM(BA138:BA140),IF('Get Started'!$D10="quarterly",-1*SUM(AZ138:AZ140),-1*SUM(BA138:BA140))))</f>
        <v>-804.0573844</v>
      </c>
      <c r="BB141" s="67">
        <f>if(BB$5="","",IF('Get Started'!$D10="monthly",IF('Get Started'!$D40="monthly",1,IF('Get Started'!$D40="annual",IF(BB9=1,1,0),IF('Get Started'!$D40="quarterly",IF(OR(BB9=4,BB9=7,BB9=10,BB9=1),1,0))))*-1*SUM(BB138:BB140),IF('Get Started'!$D10="quarterly",-1*SUM(BA138:BA140),-1*SUM(BB138:BB140))))</f>
        <v>0</v>
      </c>
      <c r="BC141" s="67">
        <f>if(BC$5="","",IF('Get Started'!$D10="monthly",IF('Get Started'!$D40="monthly",1,IF('Get Started'!$D40="annual",IF(BC9=1,1,0),IF('Get Started'!$D40="quarterly",IF(OR(BC9=4,BC9=7,BC9=10,BC9=1),1,0))))*-1*SUM(BC138:BC140),IF('Get Started'!$D10="quarterly",-1*SUM(BB138:BB140),-1*SUM(BC138:BC140))))</f>
        <v>0</v>
      </c>
    </row>
    <row r="142" outlineLevel="1">
      <c r="A142" s="1"/>
      <c r="B142" s="76" t="s">
        <v>344</v>
      </c>
      <c r="C142" s="103" t="str">
        <f>'Get Started'!$C$20</f>
        <v>$</v>
      </c>
      <c r="E142" s="78"/>
      <c r="F142" s="78"/>
      <c r="G142" s="78"/>
      <c r="H142" s="79" t="s">
        <v>193</v>
      </c>
      <c r="I142" s="87">
        <f t="shared" si="103"/>
        <v>8570.410144</v>
      </c>
      <c r="J142" s="93"/>
      <c r="K142" s="79" t="s">
        <v>345</v>
      </c>
      <c r="L142" s="93"/>
      <c r="M142" s="93"/>
      <c r="N142" s="93"/>
      <c r="O142" s="93"/>
      <c r="P142" s="93"/>
      <c r="Q142" s="93"/>
      <c r="R142" s="93"/>
      <c r="S142" s="93">
        <f>Statements!R65</f>
        <v>0</v>
      </c>
      <c r="T142" s="120">
        <f t="shared" ref="T142:BC142" si="104">if(T$5="","",sum(T138:T141))</f>
        <v>0</v>
      </c>
      <c r="U142" s="120">
        <f t="shared" si="104"/>
        <v>210</v>
      </c>
      <c r="V142" s="120">
        <f t="shared" si="104"/>
        <v>420</v>
      </c>
      <c r="W142" s="120">
        <f t="shared" si="104"/>
        <v>0</v>
      </c>
      <c r="X142" s="120">
        <f t="shared" si="104"/>
        <v>210</v>
      </c>
      <c r="Y142" s="120">
        <f t="shared" si="104"/>
        <v>420</v>
      </c>
      <c r="Z142" s="120">
        <f t="shared" si="104"/>
        <v>0</v>
      </c>
      <c r="AA142" s="120">
        <f t="shared" si="104"/>
        <v>220.5</v>
      </c>
      <c r="AB142" s="120">
        <f t="shared" si="104"/>
        <v>441</v>
      </c>
      <c r="AC142" s="120">
        <f t="shared" si="104"/>
        <v>0</v>
      </c>
      <c r="AD142" s="120">
        <f t="shared" si="104"/>
        <v>220.5</v>
      </c>
      <c r="AE142" s="120">
        <f t="shared" si="104"/>
        <v>441</v>
      </c>
      <c r="AF142" s="120">
        <f t="shared" si="104"/>
        <v>0</v>
      </c>
      <c r="AG142" s="120">
        <f t="shared" si="104"/>
        <v>231.525</v>
      </c>
      <c r="AH142" s="120">
        <f t="shared" si="104"/>
        <v>463.05</v>
      </c>
      <c r="AI142" s="120">
        <f t="shared" si="104"/>
        <v>0</v>
      </c>
      <c r="AJ142" s="120">
        <f t="shared" si="104"/>
        <v>231.525</v>
      </c>
      <c r="AK142" s="120">
        <f t="shared" si="104"/>
        <v>463.05</v>
      </c>
      <c r="AL142" s="120">
        <f t="shared" si="104"/>
        <v>0</v>
      </c>
      <c r="AM142" s="120">
        <f t="shared" si="104"/>
        <v>243.10125</v>
      </c>
      <c r="AN142" s="120">
        <f t="shared" si="104"/>
        <v>486.2025</v>
      </c>
      <c r="AO142" s="120">
        <f t="shared" si="104"/>
        <v>0</v>
      </c>
      <c r="AP142" s="120">
        <f t="shared" si="104"/>
        <v>243.10125</v>
      </c>
      <c r="AQ142" s="120">
        <f t="shared" si="104"/>
        <v>486.2025</v>
      </c>
      <c r="AR142" s="120">
        <f t="shared" si="104"/>
        <v>0</v>
      </c>
      <c r="AS142" s="120">
        <f t="shared" si="104"/>
        <v>255.2563125</v>
      </c>
      <c r="AT142" s="120">
        <f t="shared" si="104"/>
        <v>510.512625</v>
      </c>
      <c r="AU142" s="120">
        <f t="shared" si="104"/>
        <v>0</v>
      </c>
      <c r="AV142" s="120">
        <f t="shared" si="104"/>
        <v>255.2563125</v>
      </c>
      <c r="AW142" s="120">
        <f t="shared" si="104"/>
        <v>510.512625</v>
      </c>
      <c r="AX142" s="120">
        <f t="shared" si="104"/>
        <v>0</v>
      </c>
      <c r="AY142" s="120">
        <f t="shared" si="104"/>
        <v>268.0191281</v>
      </c>
      <c r="AZ142" s="120">
        <f t="shared" si="104"/>
        <v>536.0382563</v>
      </c>
      <c r="BA142" s="120">
        <f t="shared" si="104"/>
        <v>0</v>
      </c>
      <c r="BB142" s="120">
        <f t="shared" si="104"/>
        <v>268.0191281</v>
      </c>
      <c r="BC142" s="120">
        <f t="shared" si="104"/>
        <v>536.0382563</v>
      </c>
    </row>
    <row r="143" outlineLevel="1">
      <c r="A143" s="1"/>
      <c r="B143" s="76"/>
      <c r="C143" s="30"/>
      <c r="E143" s="78"/>
      <c r="F143" s="78"/>
      <c r="G143" s="78"/>
      <c r="H143" s="1"/>
      <c r="I143" s="78"/>
      <c r="J143" s="93"/>
      <c r="K143" s="78"/>
      <c r="L143" s="93"/>
      <c r="M143" s="93"/>
      <c r="N143" s="93"/>
      <c r="O143" s="93"/>
      <c r="P143" s="93"/>
      <c r="Q143" s="93"/>
      <c r="R143" s="93"/>
      <c r="S143" s="93"/>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row>
    <row r="144" outlineLevel="1">
      <c r="A144" s="1"/>
      <c r="B144" s="122" t="s">
        <v>346</v>
      </c>
      <c r="C144" s="30"/>
      <c r="E144" s="78"/>
      <c r="F144" s="78"/>
      <c r="G144" s="78"/>
      <c r="H144" s="1"/>
      <c r="I144" s="78"/>
      <c r="J144" s="93"/>
      <c r="K144" s="79" t="s">
        <v>347</v>
      </c>
      <c r="L144" s="93"/>
      <c r="M144" s="93"/>
      <c r="N144" s="93"/>
      <c r="O144" s="93"/>
      <c r="P144" s="93"/>
      <c r="Q144" s="93"/>
      <c r="R144" s="93"/>
      <c r="S144" s="93"/>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row>
    <row r="145" outlineLevel="1">
      <c r="A145" s="1"/>
      <c r="B145" s="76" t="s">
        <v>348</v>
      </c>
      <c r="C145" s="103" t="str">
        <f>'Get Started'!$C$20</f>
        <v>$</v>
      </c>
      <c r="E145" s="78"/>
      <c r="F145" s="78"/>
      <c r="G145" s="78"/>
      <c r="H145" s="79" t="s">
        <v>193</v>
      </c>
      <c r="I145" s="87">
        <f t="shared" ref="I145:I149" si="106">if(H145="sum",sum(T145:BC145),if(H145="final",index(T145:BC145,match(99^99,T145:BC145,1)),if(H145="initial",T145,if(H145="average",average(T145:BC145),0))))</f>
        <v>0</v>
      </c>
      <c r="J145" s="93"/>
      <c r="K145" s="79" t="s">
        <v>349</v>
      </c>
      <c r="L145" s="93"/>
      <c r="M145" s="93"/>
      <c r="N145" s="93"/>
      <c r="O145" s="93"/>
      <c r="P145" s="93"/>
      <c r="Q145" s="93"/>
      <c r="R145" s="93"/>
      <c r="S145" s="93"/>
      <c r="T145" s="120">
        <f t="shared" ref="T145:BC145" si="105">if(T$5="","",S149)</f>
        <v>0</v>
      </c>
      <c r="U145" s="120">
        <f t="shared" si="105"/>
        <v>0</v>
      </c>
      <c r="V145" s="120">
        <f t="shared" si="105"/>
        <v>0</v>
      </c>
      <c r="W145" s="120">
        <f t="shared" si="105"/>
        <v>0</v>
      </c>
      <c r="X145" s="120">
        <f t="shared" si="105"/>
        <v>0</v>
      </c>
      <c r="Y145" s="120">
        <f t="shared" si="105"/>
        <v>0</v>
      </c>
      <c r="Z145" s="120">
        <f t="shared" si="105"/>
        <v>0</v>
      </c>
      <c r="AA145" s="120">
        <f t="shared" si="105"/>
        <v>0</v>
      </c>
      <c r="AB145" s="120">
        <f t="shared" si="105"/>
        <v>0</v>
      </c>
      <c r="AC145" s="120">
        <f t="shared" si="105"/>
        <v>0</v>
      </c>
      <c r="AD145" s="120">
        <f t="shared" si="105"/>
        <v>0</v>
      </c>
      <c r="AE145" s="120">
        <f t="shared" si="105"/>
        <v>0</v>
      </c>
      <c r="AF145" s="120">
        <f t="shared" si="105"/>
        <v>0</v>
      </c>
      <c r="AG145" s="120">
        <f t="shared" si="105"/>
        <v>0</v>
      </c>
      <c r="AH145" s="120">
        <f t="shared" si="105"/>
        <v>0</v>
      </c>
      <c r="AI145" s="120">
        <f t="shared" si="105"/>
        <v>0</v>
      </c>
      <c r="AJ145" s="120">
        <f t="shared" si="105"/>
        <v>0</v>
      </c>
      <c r="AK145" s="120">
        <f t="shared" si="105"/>
        <v>0</v>
      </c>
      <c r="AL145" s="120">
        <f t="shared" si="105"/>
        <v>0</v>
      </c>
      <c r="AM145" s="120">
        <f t="shared" si="105"/>
        <v>0</v>
      </c>
      <c r="AN145" s="120">
        <f t="shared" si="105"/>
        <v>0</v>
      </c>
      <c r="AO145" s="120">
        <f t="shared" si="105"/>
        <v>0</v>
      </c>
      <c r="AP145" s="120">
        <f t="shared" si="105"/>
        <v>0</v>
      </c>
      <c r="AQ145" s="120">
        <f t="shared" si="105"/>
        <v>0</v>
      </c>
      <c r="AR145" s="120">
        <f t="shared" si="105"/>
        <v>0</v>
      </c>
      <c r="AS145" s="120">
        <f t="shared" si="105"/>
        <v>0</v>
      </c>
      <c r="AT145" s="120">
        <f t="shared" si="105"/>
        <v>0</v>
      </c>
      <c r="AU145" s="120">
        <f t="shared" si="105"/>
        <v>0</v>
      </c>
      <c r="AV145" s="120">
        <f t="shared" si="105"/>
        <v>0</v>
      </c>
      <c r="AW145" s="120">
        <f t="shared" si="105"/>
        <v>0</v>
      </c>
      <c r="AX145" s="120">
        <f t="shared" si="105"/>
        <v>0</v>
      </c>
      <c r="AY145" s="120">
        <f t="shared" si="105"/>
        <v>0</v>
      </c>
      <c r="AZ145" s="120">
        <f t="shared" si="105"/>
        <v>0</v>
      </c>
      <c r="BA145" s="120">
        <f t="shared" si="105"/>
        <v>0</v>
      </c>
      <c r="BB145" s="120">
        <f t="shared" si="105"/>
        <v>0</v>
      </c>
      <c r="BC145" s="120">
        <f t="shared" si="105"/>
        <v>0</v>
      </c>
    </row>
    <row r="146" outlineLevel="1">
      <c r="A146" s="1"/>
      <c r="B146" s="76" t="s">
        <v>350</v>
      </c>
      <c r="C146" s="103" t="str">
        <f>'Get Started'!$C$20</f>
        <v>$</v>
      </c>
      <c r="E146" s="78"/>
      <c r="F146" s="78"/>
      <c r="G146" s="78"/>
      <c r="H146" s="79" t="s">
        <v>193</v>
      </c>
      <c r="I146" s="87">
        <f t="shared" si="106"/>
        <v>0</v>
      </c>
      <c r="J146" s="93"/>
      <c r="K146" s="79" t="s">
        <v>351</v>
      </c>
      <c r="L146" s="93"/>
      <c r="M146" s="93"/>
      <c r="N146" s="93"/>
      <c r="O146" s="93"/>
      <c r="P146" s="93"/>
      <c r="Q146" s="93"/>
      <c r="R146" s="93"/>
      <c r="S146" s="93"/>
      <c r="T146" s="120">
        <f>if(T$5="","",sum(Forecast!T112:T114)*'Get Started'!$D41)</f>
        <v>0</v>
      </c>
      <c r="U146" s="120">
        <f>if(U$5="","",sum(Forecast!U112:U114)*'Get Started'!$D41)</f>
        <v>0</v>
      </c>
      <c r="V146" s="120">
        <f>if(V$5="","",sum(Forecast!V112:V114)*'Get Started'!$D41)</f>
        <v>0</v>
      </c>
      <c r="W146" s="120">
        <f>if(W$5="","",sum(Forecast!W112:W114)*'Get Started'!$D41)</f>
        <v>0</v>
      </c>
      <c r="X146" s="120">
        <f>if(X$5="","",sum(Forecast!X112:X114)*'Get Started'!$D41)</f>
        <v>0</v>
      </c>
      <c r="Y146" s="120">
        <f>if(Y$5="","",sum(Forecast!Y112:Y114)*'Get Started'!$D41)</f>
        <v>0</v>
      </c>
      <c r="Z146" s="120">
        <f>if(Z$5="","",sum(Forecast!Z112:Z114)*'Get Started'!$D41)</f>
        <v>0</v>
      </c>
      <c r="AA146" s="120">
        <f>if(AA$5="","",sum(Forecast!AA112:AA114)*'Get Started'!$D41)</f>
        <v>0</v>
      </c>
      <c r="AB146" s="120">
        <f>if(AB$5="","",sum(Forecast!AB112:AB114)*'Get Started'!$D41)</f>
        <v>0</v>
      </c>
      <c r="AC146" s="120">
        <f>if(AC$5="","",sum(Forecast!AC112:AC114)*'Get Started'!$D41)</f>
        <v>0</v>
      </c>
      <c r="AD146" s="120">
        <f>if(AD$5="","",sum(Forecast!AD112:AD114)*'Get Started'!$D41)</f>
        <v>0</v>
      </c>
      <c r="AE146" s="120">
        <f>if(AE$5="","",sum(Forecast!AE112:AE114)*'Get Started'!$D41)</f>
        <v>0</v>
      </c>
      <c r="AF146" s="120">
        <f>if(AF$5="","",sum(Forecast!AF112:AF114)*'Get Started'!$D41)</f>
        <v>0</v>
      </c>
      <c r="AG146" s="120">
        <f>if(AG$5="","",sum(Forecast!AG112:AG114)*'Get Started'!$D41)</f>
        <v>0</v>
      </c>
      <c r="AH146" s="120">
        <f>if(AH$5="","",sum(Forecast!AH112:AH114)*'Get Started'!$D41)</f>
        <v>0</v>
      </c>
      <c r="AI146" s="120">
        <f>if(AI$5="","",sum(Forecast!AI112:AI114)*'Get Started'!$D41)</f>
        <v>0</v>
      </c>
      <c r="AJ146" s="120">
        <f>if(AJ$5="","",sum(Forecast!AJ112:AJ114)*'Get Started'!$D41)</f>
        <v>0</v>
      </c>
      <c r="AK146" s="120">
        <f>if(AK$5="","",sum(Forecast!AK112:AK114)*'Get Started'!$D41)</f>
        <v>0</v>
      </c>
      <c r="AL146" s="120">
        <f>if(AL$5="","",sum(Forecast!AL112:AL114)*'Get Started'!$D41)</f>
        <v>0</v>
      </c>
      <c r="AM146" s="120">
        <f>if(AM$5="","",sum(Forecast!AM112:AM114)*'Get Started'!$D41)</f>
        <v>0</v>
      </c>
      <c r="AN146" s="120">
        <f>if(AN$5="","",sum(Forecast!AN112:AN114)*'Get Started'!$D41)</f>
        <v>0</v>
      </c>
      <c r="AO146" s="120">
        <f>if(AO$5="","",sum(Forecast!AO112:AO114)*'Get Started'!$D41)</f>
        <v>0</v>
      </c>
      <c r="AP146" s="120">
        <f>if(AP$5="","",sum(Forecast!AP112:AP114)*'Get Started'!$D41)</f>
        <v>0</v>
      </c>
      <c r="AQ146" s="120">
        <f>if(AQ$5="","",sum(Forecast!AQ112:AQ114)*'Get Started'!$D41)</f>
        <v>0</v>
      </c>
      <c r="AR146" s="120">
        <f>if(AR$5="","",sum(Forecast!AR112:AR114)*'Get Started'!$D41)</f>
        <v>0</v>
      </c>
      <c r="AS146" s="120">
        <f>if(AS$5="","",sum(Forecast!AS112:AS114)*'Get Started'!$D41)</f>
        <v>0</v>
      </c>
      <c r="AT146" s="120">
        <f>if(AT$5="","",sum(Forecast!AT112:AT114)*'Get Started'!$D41)</f>
        <v>0</v>
      </c>
      <c r="AU146" s="120">
        <f>if(AU$5="","",sum(Forecast!AU112:AU114)*'Get Started'!$D41)</f>
        <v>0</v>
      </c>
      <c r="AV146" s="120">
        <f>if(AV$5="","",sum(Forecast!AV112:AV114)*'Get Started'!$D41)</f>
        <v>0</v>
      </c>
      <c r="AW146" s="120">
        <f>if(AW$5="","",sum(Forecast!AW112:AW114)*'Get Started'!$D41)</f>
        <v>0</v>
      </c>
      <c r="AX146" s="120">
        <f>if(AX$5="","",sum(Forecast!AX112:AX114)*'Get Started'!$D41)</f>
        <v>0</v>
      </c>
      <c r="AY146" s="120">
        <f>if(AY$5="","",sum(Forecast!AY112:AY114)*'Get Started'!$D41)</f>
        <v>0</v>
      </c>
      <c r="AZ146" s="120">
        <f>if(AZ$5="","",sum(Forecast!AZ112:AZ114)*'Get Started'!$D41)</f>
        <v>0</v>
      </c>
      <c r="BA146" s="120">
        <f>if(BA$5="","",sum(Forecast!BA112:BA114)*'Get Started'!$D41)</f>
        <v>0</v>
      </c>
      <c r="BB146" s="120">
        <f>if(BB$5="","",sum(Forecast!BB112:BB114)*'Get Started'!$D41)</f>
        <v>0</v>
      </c>
      <c r="BC146" s="120">
        <f>if(BC$5="","",sum(Forecast!BC112:BC114)*'Get Started'!$D41)</f>
        <v>0</v>
      </c>
    </row>
    <row r="147" outlineLevel="1">
      <c r="A147" s="1"/>
      <c r="B147" s="76" t="s">
        <v>352</v>
      </c>
      <c r="C147" s="103" t="str">
        <f>'Get Started'!$C$20</f>
        <v>$</v>
      </c>
      <c r="E147" s="78"/>
      <c r="F147" s="78"/>
      <c r="G147" s="78"/>
      <c r="H147" s="79" t="s">
        <v>193</v>
      </c>
      <c r="I147" s="87">
        <f t="shared" si="106"/>
        <v>0</v>
      </c>
      <c r="J147" s="93"/>
      <c r="K147" s="79" t="s">
        <v>353</v>
      </c>
      <c r="L147" s="93"/>
      <c r="M147" s="93"/>
      <c r="N147" s="93"/>
      <c r="O147" s="93"/>
      <c r="P147" s="93"/>
      <c r="Q147" s="93"/>
      <c r="R147" s="93"/>
      <c r="S147" s="93"/>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row>
    <row r="148" outlineLevel="1">
      <c r="A148" s="1"/>
      <c r="B148" s="76" t="s">
        <v>354</v>
      </c>
      <c r="C148" s="103" t="str">
        <f>'Get Started'!$C$20</f>
        <v>$</v>
      </c>
      <c r="E148" s="78"/>
      <c r="F148" s="78"/>
      <c r="G148" s="78"/>
      <c r="H148" s="79" t="s">
        <v>193</v>
      </c>
      <c r="I148" s="87">
        <f t="shared" si="106"/>
        <v>0</v>
      </c>
      <c r="J148" s="93"/>
      <c r="K148" s="79" t="s">
        <v>355</v>
      </c>
      <c r="L148" s="93"/>
      <c r="M148" s="93"/>
      <c r="N148" s="93"/>
      <c r="O148" s="93"/>
      <c r="P148" s="93"/>
      <c r="Q148" s="93"/>
      <c r="R148" s="93"/>
      <c r="S148" s="93"/>
      <c r="T148" s="120">
        <f>if(T$5="","",IF('Get Started'!$D10="monthly",IF('Get Started'!$D42="monthly",1,IF('Get Started'!$D42="annual",IF(T9=1,1,0),IF('Get Started'!$D42="quarterly",IF(OR(T9=4,T9=7,T9=10,T9=1),1,0))))*-1*SUM(T145:T147),IF('Get Started'!$D10="quarterly",-1*SUM(S145:S148),-1*SUM(T145:T147))))</f>
        <v>0</v>
      </c>
      <c r="U148" s="120">
        <f>if(U$5="","",IF('Get Started'!$D10="monthly",IF('Get Started'!$D42="monthly",1,IF('Get Started'!$D42="annual",IF(U9=1,1,0),IF('Get Started'!$D42="quarterly",IF(OR(U9=4,U9=7,U9=10,U9=1),1,0))))*-1*SUM(U145:U147),IF('Get Started'!$D10="quarterly",-1*SUM(T145:T148),-1*SUM(U145:U147))))</f>
        <v>0</v>
      </c>
      <c r="V148" s="120">
        <f>if(V$5="","",IF('Get Started'!$D10="monthly",IF('Get Started'!$D42="monthly",1,IF('Get Started'!$D42="annual",IF(V9=1,1,0),IF('Get Started'!$D42="quarterly",IF(OR(V9=4,V9=7,V9=10,V9=1),1,0))))*-1*SUM(V145:V147),IF('Get Started'!$D10="quarterly",-1*SUM(U145:U148),-1*SUM(V145:V147))))</f>
        <v>0</v>
      </c>
      <c r="W148" s="120">
        <f>if(W$5="","",IF('Get Started'!$D10="monthly",IF('Get Started'!$D42="monthly",1,IF('Get Started'!$D42="annual",IF(W9=1,1,0),IF('Get Started'!$D42="quarterly",IF(OR(W9=4,W9=7,W9=10,W9=1),1,0))))*-1*SUM(W145:W147),IF('Get Started'!$D10="quarterly",-1*SUM(V145:V148),-1*SUM(W145:W147))))</f>
        <v>0</v>
      </c>
      <c r="X148" s="120">
        <f>if(X$5="","",IF('Get Started'!$D10="monthly",IF('Get Started'!$D42="monthly",1,IF('Get Started'!$D42="annual",IF(X9=1,1,0),IF('Get Started'!$D42="quarterly",IF(OR(X9=4,X9=7,X9=10,X9=1),1,0))))*-1*SUM(X145:X147),IF('Get Started'!$D10="quarterly",-1*SUM(W145:W148),-1*SUM(X145:X147))))</f>
        <v>0</v>
      </c>
      <c r="Y148" s="120">
        <f>if(Y$5="","",IF('Get Started'!$D10="monthly",IF('Get Started'!$D42="monthly",1,IF('Get Started'!$D42="annual",IF(Y9=1,1,0),IF('Get Started'!$D42="quarterly",IF(OR(Y9=4,Y9=7,Y9=10,Y9=1),1,0))))*-1*SUM(Y145:Y147),IF('Get Started'!$D10="quarterly",-1*SUM(X145:X148),-1*SUM(Y145:Y147))))</f>
        <v>0</v>
      </c>
      <c r="Z148" s="120">
        <f>if(Z$5="","",IF('Get Started'!$D10="monthly",IF('Get Started'!$D42="monthly",1,IF('Get Started'!$D42="annual",IF(Z9=1,1,0),IF('Get Started'!$D42="quarterly",IF(OR(Z9=4,Z9=7,Z9=10,Z9=1),1,0))))*-1*SUM(Z145:Z147),IF('Get Started'!$D10="quarterly",-1*SUM(Y145:Y148),-1*SUM(Z145:Z147))))</f>
        <v>0</v>
      </c>
      <c r="AA148" s="120">
        <f>if(AA$5="","",IF('Get Started'!$D10="monthly",IF('Get Started'!$D42="monthly",1,IF('Get Started'!$D42="annual",IF(AA9=1,1,0),IF('Get Started'!$D42="quarterly",IF(OR(AA9=4,AA9=7,AA9=10,AA9=1),1,0))))*-1*SUM(AA145:AA147),IF('Get Started'!$D10="quarterly",-1*SUM(Z145:Z148),-1*SUM(AA145:AA147))))</f>
        <v>0</v>
      </c>
      <c r="AB148" s="120">
        <f>if(AB$5="","",IF('Get Started'!$D10="monthly",IF('Get Started'!$D42="monthly",1,IF('Get Started'!$D42="annual",IF(AB9=1,1,0),IF('Get Started'!$D42="quarterly",IF(OR(AB9=4,AB9=7,AB9=10,AB9=1),1,0))))*-1*SUM(AB145:AB147),IF('Get Started'!$D10="quarterly",-1*SUM(AA145:AA148),-1*SUM(AB145:AB147))))</f>
        <v>0</v>
      </c>
      <c r="AC148" s="120">
        <f>if(AC$5="","",IF('Get Started'!$D10="monthly",IF('Get Started'!$D42="monthly",1,IF('Get Started'!$D42="annual",IF(AC9=1,1,0),IF('Get Started'!$D42="quarterly",IF(OR(AC9=4,AC9=7,AC9=10,AC9=1),1,0))))*-1*SUM(AC145:AC147),IF('Get Started'!$D10="quarterly",-1*SUM(AB145:AB148),-1*SUM(AC145:AC147))))</f>
        <v>0</v>
      </c>
      <c r="AD148" s="120">
        <f>if(AD$5="","",IF('Get Started'!$D10="monthly",IF('Get Started'!$D42="monthly",1,IF('Get Started'!$D42="annual",IF(AD9=1,1,0),IF('Get Started'!$D42="quarterly",IF(OR(AD9=4,AD9=7,AD9=10,AD9=1),1,0))))*-1*SUM(AD145:AD147),IF('Get Started'!$D10="quarterly",-1*SUM(AC145:AC148),-1*SUM(AD145:AD147))))</f>
        <v>0</v>
      </c>
      <c r="AE148" s="120">
        <f>if(AE$5="","",IF('Get Started'!$D10="monthly",IF('Get Started'!$D42="monthly",1,IF('Get Started'!$D42="annual",IF(AE9=1,1,0),IF('Get Started'!$D42="quarterly",IF(OR(AE9=4,AE9=7,AE9=10,AE9=1),1,0))))*-1*SUM(AE145:AE147),IF('Get Started'!$D10="quarterly",-1*SUM(AD145:AD148),-1*SUM(AE145:AE147))))</f>
        <v>0</v>
      </c>
      <c r="AF148" s="120">
        <f>if(AF$5="","",IF('Get Started'!$D10="monthly",IF('Get Started'!$D42="monthly",1,IF('Get Started'!$D42="annual",IF(AF9=1,1,0),IF('Get Started'!$D42="quarterly",IF(OR(AF9=4,AF9=7,AF9=10,AF9=1),1,0))))*-1*SUM(AF145:AF147),IF('Get Started'!$D10="quarterly",-1*SUM(AE145:AE148),-1*SUM(AF145:AF147))))</f>
        <v>0</v>
      </c>
      <c r="AG148" s="120">
        <f>if(AG$5="","",IF('Get Started'!$D10="monthly",IF('Get Started'!$D42="monthly",1,IF('Get Started'!$D42="annual",IF(AG9=1,1,0),IF('Get Started'!$D42="quarterly",IF(OR(AG9=4,AG9=7,AG9=10,AG9=1),1,0))))*-1*SUM(AG145:AG147),IF('Get Started'!$D10="quarterly",-1*SUM(AF145:AF148),-1*SUM(AG145:AG147))))</f>
        <v>0</v>
      </c>
      <c r="AH148" s="120">
        <f>if(AH$5="","",IF('Get Started'!$D10="monthly",IF('Get Started'!$D42="monthly",1,IF('Get Started'!$D42="annual",IF(AH9=1,1,0),IF('Get Started'!$D42="quarterly",IF(OR(AH9=4,AH9=7,AH9=10,AH9=1),1,0))))*-1*SUM(AH145:AH147),IF('Get Started'!$D10="quarterly",-1*SUM(AG145:AG148),-1*SUM(AH145:AH147))))</f>
        <v>0</v>
      </c>
      <c r="AI148" s="120">
        <f>if(AI$5="","",IF('Get Started'!$D10="monthly",IF('Get Started'!$D42="monthly",1,IF('Get Started'!$D42="annual",IF(AI9=1,1,0),IF('Get Started'!$D42="quarterly",IF(OR(AI9=4,AI9=7,AI9=10,AI9=1),1,0))))*-1*SUM(AI145:AI147),IF('Get Started'!$D10="quarterly",-1*SUM(AH145:AH148),-1*SUM(AI145:AI147))))</f>
        <v>0</v>
      </c>
      <c r="AJ148" s="120">
        <f>if(AJ$5="","",IF('Get Started'!$D10="monthly",IF('Get Started'!$D42="monthly",1,IF('Get Started'!$D42="annual",IF(AJ9=1,1,0),IF('Get Started'!$D42="quarterly",IF(OR(AJ9=4,AJ9=7,AJ9=10,AJ9=1),1,0))))*-1*SUM(AJ145:AJ147),IF('Get Started'!$D10="quarterly",-1*SUM(AI145:AI148),-1*SUM(AJ145:AJ147))))</f>
        <v>0</v>
      </c>
      <c r="AK148" s="120">
        <f>if(AK$5="","",IF('Get Started'!$D10="monthly",IF('Get Started'!$D42="monthly",1,IF('Get Started'!$D42="annual",IF(AK9=1,1,0),IF('Get Started'!$D42="quarterly",IF(OR(AK9=4,AK9=7,AK9=10,AK9=1),1,0))))*-1*SUM(AK145:AK147),IF('Get Started'!$D10="quarterly",-1*SUM(AJ145:AJ148),-1*SUM(AK145:AK147))))</f>
        <v>0</v>
      </c>
      <c r="AL148" s="120">
        <f>if(AL$5="","",IF('Get Started'!$D10="monthly",IF('Get Started'!$D42="monthly",1,IF('Get Started'!$D42="annual",IF(AL9=1,1,0),IF('Get Started'!$D42="quarterly",IF(OR(AL9=4,AL9=7,AL9=10,AL9=1),1,0))))*-1*SUM(AL145:AL147),IF('Get Started'!$D10="quarterly",-1*SUM(AK145:AK148),-1*SUM(AL145:AL147))))</f>
        <v>0</v>
      </c>
      <c r="AM148" s="120">
        <f>if(AM$5="","",IF('Get Started'!$D10="monthly",IF('Get Started'!$D42="monthly",1,IF('Get Started'!$D42="annual",IF(AM9=1,1,0),IF('Get Started'!$D42="quarterly",IF(OR(AM9=4,AM9=7,AM9=10,AM9=1),1,0))))*-1*SUM(AM145:AM147),IF('Get Started'!$D10="quarterly",-1*SUM(AL145:AL148),-1*SUM(AM145:AM147))))</f>
        <v>0</v>
      </c>
      <c r="AN148" s="120">
        <f>if(AN$5="","",IF('Get Started'!$D10="monthly",IF('Get Started'!$D42="monthly",1,IF('Get Started'!$D42="annual",IF(AN9=1,1,0),IF('Get Started'!$D42="quarterly",IF(OR(AN9=4,AN9=7,AN9=10,AN9=1),1,0))))*-1*SUM(AN145:AN147),IF('Get Started'!$D10="quarterly",-1*SUM(AM145:AM148),-1*SUM(AN145:AN147))))</f>
        <v>0</v>
      </c>
      <c r="AO148" s="120">
        <f>if(AO$5="","",IF('Get Started'!$D10="monthly",IF('Get Started'!$D42="monthly",1,IF('Get Started'!$D42="annual",IF(AO9=1,1,0),IF('Get Started'!$D42="quarterly",IF(OR(AO9=4,AO9=7,AO9=10,AO9=1),1,0))))*-1*SUM(AO145:AO147),IF('Get Started'!$D10="quarterly",-1*SUM(AN145:AN148),-1*SUM(AO145:AO147))))</f>
        <v>0</v>
      </c>
      <c r="AP148" s="120">
        <f>if(AP$5="","",IF('Get Started'!$D10="monthly",IF('Get Started'!$D42="monthly",1,IF('Get Started'!$D42="annual",IF(AP9=1,1,0),IF('Get Started'!$D42="quarterly",IF(OR(AP9=4,AP9=7,AP9=10,AP9=1),1,0))))*-1*SUM(AP145:AP147),IF('Get Started'!$D10="quarterly",-1*SUM(AO145:AO148),-1*SUM(AP145:AP147))))</f>
        <v>0</v>
      </c>
      <c r="AQ148" s="120">
        <f>if(AQ$5="","",IF('Get Started'!$D10="monthly",IF('Get Started'!$D42="monthly",1,IF('Get Started'!$D42="annual",IF(AQ9=1,1,0),IF('Get Started'!$D42="quarterly",IF(OR(AQ9=4,AQ9=7,AQ9=10,AQ9=1),1,0))))*-1*SUM(AQ145:AQ147),IF('Get Started'!$D10="quarterly",-1*SUM(AP145:AP148),-1*SUM(AQ145:AQ147))))</f>
        <v>0</v>
      </c>
      <c r="AR148" s="120">
        <f>if(AR$5="","",IF('Get Started'!$D10="monthly",IF('Get Started'!$D42="monthly",1,IF('Get Started'!$D42="annual",IF(AR9=1,1,0),IF('Get Started'!$D42="quarterly",IF(OR(AR9=4,AR9=7,AR9=10,AR9=1),1,0))))*-1*SUM(AR145:AR147),IF('Get Started'!$D10="quarterly",-1*SUM(AQ145:AQ148),-1*SUM(AR145:AR147))))</f>
        <v>0</v>
      </c>
      <c r="AS148" s="120">
        <f>if(AS$5="","",IF('Get Started'!$D10="monthly",IF('Get Started'!$D42="monthly",1,IF('Get Started'!$D42="annual",IF(AS9=1,1,0),IF('Get Started'!$D42="quarterly",IF(OR(AS9=4,AS9=7,AS9=10,AS9=1),1,0))))*-1*SUM(AS145:AS147),IF('Get Started'!$D10="quarterly",-1*SUM(AR145:AR148),-1*SUM(AS145:AS147))))</f>
        <v>0</v>
      </c>
      <c r="AT148" s="120">
        <f>if(AT$5="","",IF('Get Started'!$D10="monthly",IF('Get Started'!$D42="monthly",1,IF('Get Started'!$D42="annual",IF(AT9=1,1,0),IF('Get Started'!$D42="quarterly",IF(OR(AT9=4,AT9=7,AT9=10,AT9=1),1,0))))*-1*SUM(AT145:AT147),IF('Get Started'!$D10="quarterly",-1*SUM(AS145:AS148),-1*SUM(AT145:AT147))))</f>
        <v>0</v>
      </c>
      <c r="AU148" s="120">
        <f>if(AU$5="","",IF('Get Started'!$D10="monthly",IF('Get Started'!$D42="monthly",1,IF('Get Started'!$D42="annual",IF(AU9=1,1,0),IF('Get Started'!$D42="quarterly",IF(OR(AU9=4,AU9=7,AU9=10,AU9=1),1,0))))*-1*SUM(AU145:AU147),IF('Get Started'!$D10="quarterly",-1*SUM(AT145:AT148),-1*SUM(AU145:AU147))))</f>
        <v>0</v>
      </c>
      <c r="AV148" s="120">
        <f>if(AV$5="","",IF('Get Started'!$D10="monthly",IF('Get Started'!$D42="monthly",1,IF('Get Started'!$D42="annual",IF(AV9=1,1,0),IF('Get Started'!$D42="quarterly",IF(OR(AV9=4,AV9=7,AV9=10,AV9=1),1,0))))*-1*SUM(AV145:AV147),IF('Get Started'!$D10="quarterly",-1*SUM(AU145:AU148),-1*SUM(AV145:AV147))))</f>
        <v>0</v>
      </c>
      <c r="AW148" s="120">
        <f>if(AW$5="","",IF('Get Started'!$D10="monthly",IF('Get Started'!$D42="monthly",1,IF('Get Started'!$D42="annual",IF(AW9=1,1,0),IF('Get Started'!$D42="quarterly",IF(OR(AW9=4,AW9=7,AW9=10,AW9=1),1,0))))*-1*SUM(AW145:AW147),IF('Get Started'!$D10="quarterly",-1*SUM(AV145:AV148),-1*SUM(AW145:AW147))))</f>
        <v>0</v>
      </c>
      <c r="AX148" s="120">
        <f>if(AX$5="","",IF('Get Started'!$D10="monthly",IF('Get Started'!$D42="monthly",1,IF('Get Started'!$D42="annual",IF(AX9=1,1,0),IF('Get Started'!$D42="quarterly",IF(OR(AX9=4,AX9=7,AX9=10,AX9=1),1,0))))*-1*SUM(AX145:AX147),IF('Get Started'!$D10="quarterly",-1*SUM(AW145:AW148),-1*SUM(AX145:AX147))))</f>
        <v>0</v>
      </c>
      <c r="AY148" s="120">
        <f>if(AY$5="","",IF('Get Started'!$D10="monthly",IF('Get Started'!$D42="monthly",1,IF('Get Started'!$D42="annual",IF(AY9=1,1,0),IF('Get Started'!$D42="quarterly",IF(OR(AY9=4,AY9=7,AY9=10,AY9=1),1,0))))*-1*SUM(AY145:AY147),IF('Get Started'!$D10="quarterly",-1*SUM(AX145:AX148),-1*SUM(AY145:AY147))))</f>
        <v>0</v>
      </c>
      <c r="AZ148" s="120">
        <f>if(AZ$5="","",IF('Get Started'!$D10="monthly",IF('Get Started'!$D42="monthly",1,IF('Get Started'!$D42="annual",IF(AZ9=1,1,0),IF('Get Started'!$D42="quarterly",IF(OR(AZ9=4,AZ9=7,AZ9=10,AZ9=1),1,0))))*-1*SUM(AZ145:AZ147),IF('Get Started'!$D10="quarterly",-1*SUM(AY145:AY148),-1*SUM(AZ145:AZ147))))</f>
        <v>0</v>
      </c>
      <c r="BA148" s="120">
        <f>if(BA$5="","",IF('Get Started'!$D10="monthly",IF('Get Started'!$D42="monthly",1,IF('Get Started'!$D42="annual",IF(BA9=1,1,0),IF('Get Started'!$D42="quarterly",IF(OR(BA9=4,BA9=7,BA9=10,BA9=1),1,0))))*-1*SUM(BA145:BA147),IF('Get Started'!$D10="quarterly",-1*SUM(AZ145:AZ148),-1*SUM(BA145:BA147))))</f>
        <v>0</v>
      </c>
      <c r="BB148" s="120">
        <f>if(BB$5="","",IF('Get Started'!$D10="monthly",IF('Get Started'!$D42="monthly",1,IF('Get Started'!$D42="annual",IF(BB9=1,1,0),IF('Get Started'!$D42="quarterly",IF(OR(BB9=4,BB9=7,BB9=10,BB9=1),1,0))))*-1*SUM(BB145:BB147),IF('Get Started'!$D10="quarterly",-1*SUM(BA145:BA148),-1*SUM(BB145:BB147))))</f>
        <v>0</v>
      </c>
      <c r="BC148" s="120">
        <f>if(BC$5="","",IF('Get Started'!$D10="monthly",IF('Get Started'!$D42="monthly",1,IF('Get Started'!$D42="annual",IF(BC9=1,1,0),IF('Get Started'!$D42="quarterly",IF(OR(BC9=4,BC9=7,BC9=10,BC9=1),1,0))))*-1*SUM(BC145:BC147),IF('Get Started'!$D10="quarterly",-1*SUM(BB145:BB148),-1*SUM(BC145:BC147))))</f>
        <v>0</v>
      </c>
    </row>
    <row r="149" outlineLevel="1">
      <c r="A149" s="1"/>
      <c r="B149" s="76" t="s">
        <v>356</v>
      </c>
      <c r="C149" s="103" t="str">
        <f>'Get Started'!$C$20</f>
        <v>$</v>
      </c>
      <c r="E149" s="78"/>
      <c r="F149" s="78"/>
      <c r="G149" s="78"/>
      <c r="H149" s="79" t="s">
        <v>193</v>
      </c>
      <c r="I149" s="87">
        <f t="shared" si="106"/>
        <v>0</v>
      </c>
      <c r="J149" s="93"/>
      <c r="K149" s="79" t="s">
        <v>357</v>
      </c>
      <c r="L149" s="93"/>
      <c r="M149" s="93"/>
      <c r="N149" s="93"/>
      <c r="O149" s="93"/>
      <c r="P149" s="93"/>
      <c r="Q149" s="93"/>
      <c r="R149" s="93"/>
      <c r="S149" s="93">
        <f>Statements!R66</f>
        <v>0</v>
      </c>
      <c r="T149" s="120">
        <f t="shared" ref="T149:BC149" si="107">if(T$5="","",sum(T145:T148))</f>
        <v>0</v>
      </c>
      <c r="U149" s="120">
        <f t="shared" si="107"/>
        <v>0</v>
      </c>
      <c r="V149" s="120">
        <f t="shared" si="107"/>
        <v>0</v>
      </c>
      <c r="W149" s="120">
        <f t="shared" si="107"/>
        <v>0</v>
      </c>
      <c r="X149" s="120">
        <f t="shared" si="107"/>
        <v>0</v>
      </c>
      <c r="Y149" s="120">
        <f t="shared" si="107"/>
        <v>0</v>
      </c>
      <c r="Z149" s="120">
        <f t="shared" si="107"/>
        <v>0</v>
      </c>
      <c r="AA149" s="120">
        <f t="shared" si="107"/>
        <v>0</v>
      </c>
      <c r="AB149" s="120">
        <f t="shared" si="107"/>
        <v>0</v>
      </c>
      <c r="AC149" s="120">
        <f t="shared" si="107"/>
        <v>0</v>
      </c>
      <c r="AD149" s="120">
        <f t="shared" si="107"/>
        <v>0</v>
      </c>
      <c r="AE149" s="120">
        <f t="shared" si="107"/>
        <v>0</v>
      </c>
      <c r="AF149" s="120">
        <f t="shared" si="107"/>
        <v>0</v>
      </c>
      <c r="AG149" s="120">
        <f t="shared" si="107"/>
        <v>0</v>
      </c>
      <c r="AH149" s="120">
        <f t="shared" si="107"/>
        <v>0</v>
      </c>
      <c r="AI149" s="120">
        <f t="shared" si="107"/>
        <v>0</v>
      </c>
      <c r="AJ149" s="120">
        <f t="shared" si="107"/>
        <v>0</v>
      </c>
      <c r="AK149" s="120">
        <f t="shared" si="107"/>
        <v>0</v>
      </c>
      <c r="AL149" s="120">
        <f t="shared" si="107"/>
        <v>0</v>
      </c>
      <c r="AM149" s="120">
        <f t="shared" si="107"/>
        <v>0</v>
      </c>
      <c r="AN149" s="120">
        <f t="shared" si="107"/>
        <v>0</v>
      </c>
      <c r="AO149" s="120">
        <f t="shared" si="107"/>
        <v>0</v>
      </c>
      <c r="AP149" s="120">
        <f t="shared" si="107"/>
        <v>0</v>
      </c>
      <c r="AQ149" s="120">
        <f t="shared" si="107"/>
        <v>0</v>
      </c>
      <c r="AR149" s="120">
        <f t="shared" si="107"/>
        <v>0</v>
      </c>
      <c r="AS149" s="120">
        <f t="shared" si="107"/>
        <v>0</v>
      </c>
      <c r="AT149" s="120">
        <f t="shared" si="107"/>
        <v>0</v>
      </c>
      <c r="AU149" s="120">
        <f t="shared" si="107"/>
        <v>0</v>
      </c>
      <c r="AV149" s="120">
        <f t="shared" si="107"/>
        <v>0</v>
      </c>
      <c r="AW149" s="120">
        <f t="shared" si="107"/>
        <v>0</v>
      </c>
      <c r="AX149" s="120">
        <f t="shared" si="107"/>
        <v>0</v>
      </c>
      <c r="AY149" s="120">
        <f t="shared" si="107"/>
        <v>0</v>
      </c>
      <c r="AZ149" s="120">
        <f t="shared" si="107"/>
        <v>0</v>
      </c>
      <c r="BA149" s="120">
        <f t="shared" si="107"/>
        <v>0</v>
      </c>
      <c r="BB149" s="120">
        <f t="shared" si="107"/>
        <v>0</v>
      </c>
      <c r="BC149" s="120">
        <f t="shared" si="107"/>
        <v>0</v>
      </c>
    </row>
    <row r="150" outlineLevel="1">
      <c r="A150" s="1"/>
      <c r="B150" s="76"/>
      <c r="C150" s="30"/>
      <c r="D150" s="78"/>
      <c r="E150" s="78"/>
      <c r="F150" s="78"/>
      <c r="G150" s="78"/>
      <c r="H150" s="1"/>
      <c r="I150" s="78"/>
      <c r="J150" s="93"/>
      <c r="K150" s="79"/>
      <c r="L150" s="79"/>
      <c r="M150" s="93"/>
      <c r="N150" s="93"/>
      <c r="O150" s="93"/>
      <c r="P150" s="93"/>
      <c r="Q150" s="93"/>
      <c r="R150" s="93"/>
      <c r="S150" s="93"/>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row>
    <row r="151" outlineLevel="1">
      <c r="A151" s="1"/>
      <c r="B151" s="122" t="s">
        <v>125</v>
      </c>
      <c r="C151" s="30"/>
      <c r="D151" s="78"/>
      <c r="E151" s="78"/>
      <c r="F151" s="78"/>
      <c r="G151" s="78"/>
      <c r="H151" s="1"/>
      <c r="I151" s="78"/>
      <c r="J151" s="93"/>
      <c r="K151" s="79" t="s">
        <v>358</v>
      </c>
      <c r="L151" s="79"/>
      <c r="M151" s="93"/>
      <c r="N151" s="93"/>
      <c r="Q151" s="102" t="s">
        <v>359</v>
      </c>
      <c r="R151" s="107" t="b">
        <v>1</v>
      </c>
      <c r="S151" s="93"/>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row>
    <row r="152" outlineLevel="1">
      <c r="A152" s="1"/>
      <c r="B152" s="76" t="s">
        <v>360</v>
      </c>
      <c r="C152" s="103" t="str">
        <f>'Get Started'!$C$20</f>
        <v>$</v>
      </c>
      <c r="D152" s="78"/>
      <c r="E152" s="78"/>
      <c r="F152" s="78"/>
      <c r="G152" s="78"/>
      <c r="H152" s="79" t="s">
        <v>196</v>
      </c>
      <c r="I152" s="87">
        <f t="array" ref="I152">if(H152="sum",sum(T152:BC152),if(H152="final",index(T152:BC152,match(99^99,T152:BC152,1)),if(H152="initial",T152,if(H152="average",average(T152:BC152),0))))</f>
        <v>0</v>
      </c>
      <c r="J152" s="93"/>
      <c r="K152" s="79" t="s">
        <v>361</v>
      </c>
      <c r="L152" s="79"/>
      <c r="M152" s="93"/>
      <c r="N152" s="93"/>
      <c r="O152" s="93"/>
      <c r="P152" s="93"/>
      <c r="Q152" s="93"/>
      <c r="R152" s="93"/>
      <c r="S152" s="93"/>
      <c r="T152" s="67">
        <f>Statements!R46</f>
        <v>0</v>
      </c>
      <c r="U152" s="67">
        <f t="shared" ref="U152:BC152" si="108">if(U$5="","",T163)</f>
        <v>0</v>
      </c>
      <c r="V152" s="67">
        <f t="shared" si="108"/>
        <v>0</v>
      </c>
      <c r="W152" s="67">
        <f t="shared" si="108"/>
        <v>0</v>
      </c>
      <c r="X152" s="67">
        <f t="shared" si="108"/>
        <v>0</v>
      </c>
      <c r="Y152" s="67">
        <f t="shared" si="108"/>
        <v>0</v>
      </c>
      <c r="Z152" s="67">
        <f t="shared" si="108"/>
        <v>0</v>
      </c>
      <c r="AA152" s="67">
        <f t="shared" si="108"/>
        <v>0</v>
      </c>
      <c r="AB152" s="67">
        <f t="shared" si="108"/>
        <v>0</v>
      </c>
      <c r="AC152" s="67">
        <f t="shared" si="108"/>
        <v>0</v>
      </c>
      <c r="AD152" s="67">
        <f t="shared" si="108"/>
        <v>0</v>
      </c>
      <c r="AE152" s="67">
        <f t="shared" si="108"/>
        <v>0</v>
      </c>
      <c r="AF152" s="67">
        <f t="shared" si="108"/>
        <v>0</v>
      </c>
      <c r="AG152" s="67">
        <f t="shared" si="108"/>
        <v>0</v>
      </c>
      <c r="AH152" s="67">
        <f t="shared" si="108"/>
        <v>0</v>
      </c>
      <c r="AI152" s="67">
        <f t="shared" si="108"/>
        <v>0</v>
      </c>
      <c r="AJ152" s="67">
        <f t="shared" si="108"/>
        <v>0</v>
      </c>
      <c r="AK152" s="67">
        <f t="shared" si="108"/>
        <v>0</v>
      </c>
      <c r="AL152" s="67">
        <f t="shared" si="108"/>
        <v>0</v>
      </c>
      <c r="AM152" s="67">
        <f t="shared" si="108"/>
        <v>0</v>
      </c>
      <c r="AN152" s="67">
        <f t="shared" si="108"/>
        <v>0</v>
      </c>
      <c r="AO152" s="67">
        <f t="shared" si="108"/>
        <v>0</v>
      </c>
      <c r="AP152" s="67">
        <f t="shared" si="108"/>
        <v>0</v>
      </c>
      <c r="AQ152" s="67">
        <f t="shared" si="108"/>
        <v>0</v>
      </c>
      <c r="AR152" s="67">
        <f t="shared" si="108"/>
        <v>0</v>
      </c>
      <c r="AS152" s="67">
        <f t="shared" si="108"/>
        <v>0</v>
      </c>
      <c r="AT152" s="67">
        <f t="shared" si="108"/>
        <v>0</v>
      </c>
      <c r="AU152" s="67">
        <f t="shared" si="108"/>
        <v>0</v>
      </c>
      <c r="AV152" s="67">
        <f t="shared" si="108"/>
        <v>0</v>
      </c>
      <c r="AW152" s="67">
        <f t="shared" si="108"/>
        <v>0</v>
      </c>
      <c r="AX152" s="67">
        <f t="shared" si="108"/>
        <v>0</v>
      </c>
      <c r="AY152" s="67">
        <f t="shared" si="108"/>
        <v>0</v>
      </c>
      <c r="AZ152" s="67">
        <f t="shared" si="108"/>
        <v>0</v>
      </c>
      <c r="BA152" s="67">
        <f t="shared" si="108"/>
        <v>0</v>
      </c>
      <c r="BB152" s="67">
        <f t="shared" si="108"/>
        <v>0</v>
      </c>
      <c r="BC152" s="67">
        <f t="shared" si="108"/>
        <v>0</v>
      </c>
    </row>
    <row r="153" outlineLevel="1">
      <c r="A153" s="1"/>
      <c r="B153" s="76"/>
      <c r="C153" s="30"/>
      <c r="D153" s="78"/>
      <c r="E153" s="78"/>
      <c r="F153" s="78"/>
      <c r="G153" s="78"/>
      <c r="H153" s="1"/>
      <c r="I153" s="78"/>
      <c r="J153" s="93"/>
      <c r="K153" s="79"/>
      <c r="L153" s="79"/>
      <c r="M153" s="93"/>
      <c r="N153" s="93"/>
      <c r="O153" s="93"/>
      <c r="P153" s="93"/>
      <c r="Q153" s="93"/>
      <c r="R153" s="93"/>
      <c r="S153" s="93"/>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row>
    <row r="154" outlineLevel="1">
      <c r="A154" s="1"/>
      <c r="B154" s="76" t="s">
        <v>362</v>
      </c>
      <c r="C154" s="103" t="str">
        <f>'Get Started'!$C$20</f>
        <v>$</v>
      </c>
      <c r="D154" s="78"/>
      <c r="E154" s="78"/>
      <c r="F154" s="78"/>
      <c r="G154" s="78"/>
      <c r="H154" s="79" t="s">
        <v>193</v>
      </c>
      <c r="I154" s="87">
        <f t="shared" ref="I154:I159" si="110">if(H154="sum",sum(T154:BC154),if(H154="final",index(T154:BC154,match(99^99,T154:BC154,1)),if(H154="initial",T154,if(H154="average",average(T154:BC154),0))))</f>
        <v>0</v>
      </c>
      <c r="J154" s="93"/>
      <c r="K154" s="79" t="s">
        <v>250</v>
      </c>
      <c r="L154" s="79" t="s">
        <v>363</v>
      </c>
      <c r="M154" s="93"/>
      <c r="N154" s="93"/>
      <c r="O154" s="93"/>
      <c r="P154" s="93"/>
      <c r="Q154" s="93"/>
      <c r="R154" s="93"/>
      <c r="S154" s="93"/>
      <c r="T154" s="67">
        <f>if(T$5="","",abs(T72))</f>
        <v>0</v>
      </c>
      <c r="U154" s="67">
        <f t="shared" ref="U154:BC154" si="109">abs(U72)</f>
        <v>0</v>
      </c>
      <c r="V154" s="67">
        <f t="shared" si="109"/>
        <v>0</v>
      </c>
      <c r="W154" s="67">
        <f t="shared" si="109"/>
        <v>0</v>
      </c>
      <c r="X154" s="67">
        <f t="shared" si="109"/>
        <v>0</v>
      </c>
      <c r="Y154" s="67">
        <f t="shared" si="109"/>
        <v>0</v>
      </c>
      <c r="Z154" s="67">
        <f t="shared" si="109"/>
        <v>0</v>
      </c>
      <c r="AA154" s="67">
        <f t="shared" si="109"/>
        <v>0</v>
      </c>
      <c r="AB154" s="67">
        <f t="shared" si="109"/>
        <v>0</v>
      </c>
      <c r="AC154" s="67">
        <f t="shared" si="109"/>
        <v>0</v>
      </c>
      <c r="AD154" s="67">
        <f t="shared" si="109"/>
        <v>0</v>
      </c>
      <c r="AE154" s="67">
        <f t="shared" si="109"/>
        <v>0</v>
      </c>
      <c r="AF154" s="67">
        <f t="shared" si="109"/>
        <v>0</v>
      </c>
      <c r="AG154" s="67">
        <f t="shared" si="109"/>
        <v>0</v>
      </c>
      <c r="AH154" s="67">
        <f t="shared" si="109"/>
        <v>0</v>
      </c>
      <c r="AI154" s="67">
        <f t="shared" si="109"/>
        <v>0</v>
      </c>
      <c r="AJ154" s="67">
        <f t="shared" si="109"/>
        <v>0</v>
      </c>
      <c r="AK154" s="67">
        <f t="shared" si="109"/>
        <v>0</v>
      </c>
      <c r="AL154" s="67">
        <f t="shared" si="109"/>
        <v>0</v>
      </c>
      <c r="AM154" s="67">
        <f t="shared" si="109"/>
        <v>0</v>
      </c>
      <c r="AN154" s="67">
        <f t="shared" si="109"/>
        <v>0</v>
      </c>
      <c r="AO154" s="67">
        <f t="shared" si="109"/>
        <v>0</v>
      </c>
      <c r="AP154" s="67">
        <f t="shared" si="109"/>
        <v>0</v>
      </c>
      <c r="AQ154" s="67">
        <f t="shared" si="109"/>
        <v>0</v>
      </c>
      <c r="AR154" s="67">
        <f t="shared" si="109"/>
        <v>0</v>
      </c>
      <c r="AS154" s="67">
        <f t="shared" si="109"/>
        <v>0</v>
      </c>
      <c r="AT154" s="67">
        <f t="shared" si="109"/>
        <v>0</v>
      </c>
      <c r="AU154" s="67">
        <f t="shared" si="109"/>
        <v>0</v>
      </c>
      <c r="AV154" s="67">
        <f t="shared" si="109"/>
        <v>0</v>
      </c>
      <c r="AW154" s="67">
        <f t="shared" si="109"/>
        <v>0</v>
      </c>
      <c r="AX154" s="67">
        <f t="shared" si="109"/>
        <v>0</v>
      </c>
      <c r="AY154" s="67">
        <f t="shared" si="109"/>
        <v>0</v>
      </c>
      <c r="AZ154" s="67">
        <f t="shared" si="109"/>
        <v>0</v>
      </c>
      <c r="BA154" s="67">
        <f t="shared" si="109"/>
        <v>0</v>
      </c>
      <c r="BB154" s="67">
        <f t="shared" si="109"/>
        <v>0</v>
      </c>
      <c r="BC154" s="67">
        <f t="shared" si="109"/>
        <v>0</v>
      </c>
    </row>
    <row r="155" outlineLevel="1">
      <c r="A155" s="1"/>
      <c r="B155" s="76" t="s">
        <v>364</v>
      </c>
      <c r="C155" s="103" t="str">
        <f>'Get Started'!$C$20</f>
        <v>$</v>
      </c>
      <c r="D155" s="78"/>
      <c r="E155" s="78"/>
      <c r="F155" s="78"/>
      <c r="G155" s="78"/>
      <c r="H155" s="79" t="s">
        <v>193</v>
      </c>
      <c r="I155" s="87">
        <f t="shared" si="110"/>
        <v>0</v>
      </c>
      <c r="J155" s="93"/>
      <c r="K155" s="79" t="s">
        <v>365</v>
      </c>
      <c r="L155" s="79"/>
      <c r="M155" s="93"/>
      <c r="N155" s="93"/>
      <c r="O155" s="93"/>
      <c r="P155" s="93"/>
      <c r="Q155" s="93"/>
      <c r="R155" s="93"/>
      <c r="S155" s="93"/>
      <c r="T155" s="67">
        <f>IF(MAX(0,-1*OFFSET(T161,0,MIN('Get Started'!$D11-T5,'Get Started'!$D45))-T154)&lt;if($R151=true,OFFSET(T173,0,MIN('Get Started'!$D11-T5,'Get Started'!$D45)),T152),0,MAX(0,-1*OFFSET(T161,0,MIN('Get Started'!$D11-T5,'Get Started'!$D45))-T154))</f>
        <v>0</v>
      </c>
      <c r="U155" s="67">
        <f>IF(MAX(0,-1*OFFSET(U161,0,MIN('Get Started'!$D11-U5,'Get Started'!$D45))-U154)&lt;if($R151=true,OFFSET(U173,0,MIN('Get Started'!$D11-U5,'Get Started'!$D45)),U152),0,MAX(0,-1*OFFSET(U161,0,MIN('Get Started'!$D11-U5,'Get Started'!$D45))-U154))</f>
        <v>0</v>
      </c>
      <c r="V155" s="67">
        <f>IF(MAX(0,-1*OFFSET(V161,0,MIN('Get Started'!$D11-V5,'Get Started'!$D45))-V154)&lt;if($R151=true,OFFSET(V173,0,MIN('Get Started'!$D11-V5,'Get Started'!$D45)),V152),0,MAX(0,-1*OFFSET(V161,0,MIN('Get Started'!$D11-V5,'Get Started'!$D45))-V154))</f>
        <v>0</v>
      </c>
      <c r="W155" s="67">
        <f>IF(MAX(0,-1*OFFSET(W161,0,MIN('Get Started'!$D11-W5,'Get Started'!$D45))-W154)&lt;if($R151=true,OFFSET(W173,0,MIN('Get Started'!$D11-W5,'Get Started'!$D45)),W152),0,MAX(0,-1*OFFSET(W161,0,MIN('Get Started'!$D11-W5,'Get Started'!$D45))-W154))</f>
        <v>0</v>
      </c>
      <c r="X155" s="67">
        <f>IF(MAX(0,-1*OFFSET(X161,0,MIN('Get Started'!$D11-X5,'Get Started'!$D45))-X154)&lt;if($R151=true,OFFSET(X173,0,MIN('Get Started'!$D11-X5,'Get Started'!$D45)),X152),0,MAX(0,-1*OFFSET(X161,0,MIN('Get Started'!$D11-X5,'Get Started'!$D45))-X154))</f>
        <v>0</v>
      </c>
      <c r="Y155" s="67">
        <f>IF(MAX(0,-1*OFFSET(Y161,0,MIN('Get Started'!$D11-Y5,'Get Started'!$D45))-Y154)&lt;if($R151=true,OFFSET(Y173,0,MIN('Get Started'!$D11-Y5,'Get Started'!$D45)),Y152),0,MAX(0,-1*OFFSET(Y161,0,MIN('Get Started'!$D11-Y5,'Get Started'!$D45))-Y154))</f>
        <v>0</v>
      </c>
      <c r="Z155" s="67">
        <f>IF(MAX(0,-1*OFFSET(Z161,0,MIN('Get Started'!$D11-Z5,'Get Started'!$D45))-Z154)&lt;if($R151=true,OFFSET(Z173,0,MIN('Get Started'!$D11-Z5,'Get Started'!$D45)),Z152),0,MAX(0,-1*OFFSET(Z161,0,MIN('Get Started'!$D11-Z5,'Get Started'!$D45))-Z154))</f>
        <v>0</v>
      </c>
      <c r="AA155" s="67">
        <f>IF(MAX(0,-1*OFFSET(AA161,0,MIN('Get Started'!$D11-AA5,'Get Started'!$D45))-AA154)&lt;if($R151=true,OFFSET(AA173,0,MIN('Get Started'!$D11-AA5,'Get Started'!$D45)),AA152),0,MAX(0,-1*OFFSET(AA161,0,MIN('Get Started'!$D11-AA5,'Get Started'!$D45))-AA154))</f>
        <v>0</v>
      </c>
      <c r="AB155" s="67">
        <f>IF(MAX(0,-1*OFFSET(AB161,0,MIN('Get Started'!$D11-AB5,'Get Started'!$D45))-AB154)&lt;if($R151=true,OFFSET(AB173,0,MIN('Get Started'!$D11-AB5,'Get Started'!$D45)),AB152),0,MAX(0,-1*OFFSET(AB161,0,MIN('Get Started'!$D11-AB5,'Get Started'!$D45))-AB154))</f>
        <v>0</v>
      </c>
      <c r="AC155" s="67">
        <f>IF(MAX(0,-1*OFFSET(AC161,0,MIN('Get Started'!$D11-AC5,'Get Started'!$D45))-AC154)&lt;if($R151=true,OFFSET(AC173,0,MIN('Get Started'!$D11-AC5,'Get Started'!$D45)),AC152),0,MAX(0,-1*OFFSET(AC161,0,MIN('Get Started'!$D11-AC5,'Get Started'!$D45))-AC154))</f>
        <v>0</v>
      </c>
      <c r="AD155" s="67">
        <f>IF(MAX(0,-1*OFFSET(AD161,0,MIN('Get Started'!$D11-AD5,'Get Started'!$D45))-AD154)&lt;if($R151=true,OFFSET(AD173,0,MIN('Get Started'!$D11-AD5,'Get Started'!$D45)),AD152),0,MAX(0,-1*OFFSET(AD161,0,MIN('Get Started'!$D11-AD5,'Get Started'!$D45))-AD154))</f>
        <v>0</v>
      </c>
      <c r="AE155" s="67">
        <f>IF(MAX(0,-1*OFFSET(AE161,0,MIN('Get Started'!$D11-AE5,'Get Started'!$D45))-AE154)&lt;if($R151=true,OFFSET(AE173,0,MIN('Get Started'!$D11-AE5,'Get Started'!$D45)),AE152),0,MAX(0,-1*OFFSET(AE161,0,MIN('Get Started'!$D11-AE5,'Get Started'!$D45))-AE154))</f>
        <v>0</v>
      </c>
      <c r="AF155" s="67">
        <f>IF(MAX(0,-1*OFFSET(AF161,0,MIN('Get Started'!$D11-AF5,'Get Started'!$D45))-AF154)&lt;if($R151=true,OFFSET(AF173,0,MIN('Get Started'!$D11-AF5,'Get Started'!$D45)),AF152),0,MAX(0,-1*OFFSET(AF161,0,MIN('Get Started'!$D11-AF5,'Get Started'!$D45))-AF154))</f>
        <v>0</v>
      </c>
      <c r="AG155" s="67">
        <f>IF(MAX(0,-1*OFFSET(AG161,0,MIN('Get Started'!$D11-AG5,'Get Started'!$D45))-AG154)&lt;if($R151=true,OFFSET(AG173,0,MIN('Get Started'!$D11-AG5,'Get Started'!$D45)),AG152),0,MAX(0,-1*OFFSET(AG161,0,MIN('Get Started'!$D11-AG5,'Get Started'!$D45))-AG154))</f>
        <v>0</v>
      </c>
      <c r="AH155" s="67">
        <f>IF(MAX(0,-1*OFFSET(AH161,0,MIN('Get Started'!$D11-AH5,'Get Started'!$D45))-AH154)&lt;if($R151=true,OFFSET(AH173,0,MIN('Get Started'!$D11-AH5,'Get Started'!$D45)),AH152),0,MAX(0,-1*OFFSET(AH161,0,MIN('Get Started'!$D11-AH5,'Get Started'!$D45))-AH154))</f>
        <v>0</v>
      </c>
      <c r="AI155" s="67">
        <f>IF(MAX(0,-1*OFFSET(AI161,0,MIN('Get Started'!$D11-AI5,'Get Started'!$D45))-AI154)&lt;if($R151=true,OFFSET(AI173,0,MIN('Get Started'!$D11-AI5,'Get Started'!$D45)),AI152),0,MAX(0,-1*OFFSET(AI161,0,MIN('Get Started'!$D11-AI5,'Get Started'!$D45))-AI154))</f>
        <v>0</v>
      </c>
      <c r="AJ155" s="67">
        <f>IF(MAX(0,-1*OFFSET(AJ161,0,MIN('Get Started'!$D11-AJ5,'Get Started'!$D45))-AJ154)&lt;if($R151=true,OFFSET(AJ173,0,MIN('Get Started'!$D11-AJ5,'Get Started'!$D45)),AJ152),0,MAX(0,-1*OFFSET(AJ161,0,MIN('Get Started'!$D11-AJ5,'Get Started'!$D45))-AJ154))</f>
        <v>0</v>
      </c>
      <c r="AK155" s="67">
        <f>IF(MAX(0,-1*OFFSET(AK161,0,MIN('Get Started'!$D11-AK5,'Get Started'!$D45))-AK154)&lt;if($R151=true,OFFSET(AK173,0,MIN('Get Started'!$D11-AK5,'Get Started'!$D45)),AK152),0,MAX(0,-1*OFFSET(AK161,0,MIN('Get Started'!$D11-AK5,'Get Started'!$D45))-AK154))</f>
        <v>0</v>
      </c>
      <c r="AL155" s="67">
        <f>IF(MAX(0,-1*OFFSET(AL161,0,MIN('Get Started'!$D11-AL5,'Get Started'!$D45))-AL154)&lt;if($R151=true,OFFSET(AL173,0,MIN('Get Started'!$D11-AL5,'Get Started'!$D45)),AL152),0,MAX(0,-1*OFFSET(AL161,0,MIN('Get Started'!$D11-AL5,'Get Started'!$D45))-AL154))</f>
        <v>0</v>
      </c>
      <c r="AM155" s="67">
        <f>IF(MAX(0,-1*OFFSET(AM161,0,MIN('Get Started'!$D11-AM5,'Get Started'!$D45))-AM154)&lt;if($R151=true,OFFSET(AM173,0,MIN('Get Started'!$D11-AM5,'Get Started'!$D45)),AM152),0,MAX(0,-1*OFFSET(AM161,0,MIN('Get Started'!$D11-AM5,'Get Started'!$D45))-AM154))</f>
        <v>0</v>
      </c>
      <c r="AN155" s="67">
        <f>IF(MAX(0,-1*OFFSET(AN161,0,MIN('Get Started'!$D11-AN5,'Get Started'!$D45))-AN154)&lt;if($R151=true,OFFSET(AN173,0,MIN('Get Started'!$D11-AN5,'Get Started'!$D45)),AN152),0,MAX(0,-1*OFFSET(AN161,0,MIN('Get Started'!$D11-AN5,'Get Started'!$D45))-AN154))</f>
        <v>0</v>
      </c>
      <c r="AO155" s="67">
        <f>IF(MAX(0,-1*OFFSET(AO161,0,MIN('Get Started'!$D11-AO5,'Get Started'!$D45))-AO154)&lt;if($R151=true,OFFSET(AO173,0,MIN('Get Started'!$D11-AO5,'Get Started'!$D45)),AO152),0,MAX(0,-1*OFFSET(AO161,0,MIN('Get Started'!$D11-AO5,'Get Started'!$D45))-AO154))</f>
        <v>0</v>
      </c>
      <c r="AP155" s="67">
        <f>IF(MAX(0,-1*OFFSET(AP161,0,MIN('Get Started'!$D11-AP5,'Get Started'!$D45))-AP154)&lt;if($R151=true,OFFSET(AP173,0,MIN('Get Started'!$D11-AP5,'Get Started'!$D45)),AP152),0,MAX(0,-1*OFFSET(AP161,0,MIN('Get Started'!$D11-AP5,'Get Started'!$D45))-AP154))</f>
        <v>0</v>
      </c>
      <c r="AQ155" s="67">
        <f>IF(MAX(0,-1*OFFSET(AQ161,0,MIN('Get Started'!$D11-AQ5,'Get Started'!$D45))-AQ154)&lt;if($R151=true,OFFSET(AQ173,0,MIN('Get Started'!$D11-AQ5,'Get Started'!$D45)),AQ152),0,MAX(0,-1*OFFSET(AQ161,0,MIN('Get Started'!$D11-AQ5,'Get Started'!$D45))-AQ154))</f>
        <v>0</v>
      </c>
      <c r="AR155" s="67">
        <f>IF(MAX(0,-1*OFFSET(AR161,0,MIN('Get Started'!$D11-AR5,'Get Started'!$D45))-AR154)&lt;if($R151=true,OFFSET(AR173,0,MIN('Get Started'!$D11-AR5,'Get Started'!$D45)),AR152),0,MAX(0,-1*OFFSET(AR161,0,MIN('Get Started'!$D11-AR5,'Get Started'!$D45))-AR154))</f>
        <v>0</v>
      </c>
      <c r="AS155" s="67">
        <f>IF(MAX(0,-1*OFFSET(AS161,0,MIN('Get Started'!$D11-AS5,'Get Started'!$D45))-AS154)&lt;if($R151=true,OFFSET(AS173,0,MIN('Get Started'!$D11-AS5,'Get Started'!$D45)),AS152),0,MAX(0,-1*OFFSET(AS161,0,MIN('Get Started'!$D11-AS5,'Get Started'!$D45))-AS154))</f>
        <v>0</v>
      </c>
      <c r="AT155" s="67">
        <f>IF(MAX(0,-1*OFFSET(AT161,0,MIN('Get Started'!$D11-AT5,'Get Started'!$D45))-AT154)&lt;if($R151=true,AT173,AT152),0,MAX(0,-1*OFFSET(AT161,0,MIN('Get Started'!$D11-AT5,'Get Started'!$D45))-AT154))</f>
        <v>0</v>
      </c>
      <c r="AU155" s="67">
        <f>IF(MAX(0,-1*OFFSET(AU161,0,MIN('Get Started'!$D11-AU5,'Get Started'!$D45))-AU154)&lt;if($R151=true,AU173,AU152),0,MAX(0,-1*OFFSET(AU161,0,MIN('Get Started'!$D11-AU5,'Get Started'!$D45))-AU154))</f>
        <v>0</v>
      </c>
      <c r="AV155" s="67">
        <f>IF(MAX(0,-1*OFFSET(AV161,0,MIN('Get Started'!$D11-AV5,'Get Started'!$D45))-AV154)&lt;if($R151=true,AV173,AV152),0,MAX(0,-1*OFFSET(AV161,0,MIN('Get Started'!$D11-AV5,'Get Started'!$D45))-AV154))</f>
        <v>0</v>
      </c>
      <c r="AW155" s="67">
        <f>IF(MAX(0,-1*OFFSET(AW161,0,MIN('Get Started'!$D11-AW5,'Get Started'!$D45))-AW154)&lt;if($R151=true,AW173,AW152),0,MAX(0,-1*OFFSET(AW161,0,MIN('Get Started'!$D11-AW5,'Get Started'!$D45))-AW154))</f>
        <v>0</v>
      </c>
      <c r="AX155" s="67">
        <f>IF(MAX(0,-1*OFFSET(AX161,0,MIN('Get Started'!$D11-AX5,'Get Started'!$D45))-AX154)&lt;if($R151=true,AX173,AX152),0,MAX(0,-1*OFFSET(AX161,0,MIN('Get Started'!$D11-AX5,'Get Started'!$D45))-AX154))</f>
        <v>0</v>
      </c>
      <c r="AY155" s="67">
        <f>IF(MAX(0,-1*OFFSET(AY161,0,MIN('Get Started'!$D11-AY5,'Get Started'!$D45))-AY154)&lt;if($R151=true,AY173,AY152),0,MAX(0,-1*OFFSET(AY161,0,MIN('Get Started'!$D11-AY5,'Get Started'!$D45))-AY154))</f>
        <v>0</v>
      </c>
      <c r="AZ155" s="67">
        <f>IF(MAX(0,-1*OFFSET(AZ161,0,MIN('Get Started'!$D11-AZ5,'Get Started'!$D45))-AZ154)&lt;if($R151=true,AZ173,AZ152),0,MAX(0,-1*OFFSET(AZ161,0,MIN('Get Started'!$D11-AZ5,'Get Started'!$D45))-AZ154))</f>
        <v>0</v>
      </c>
      <c r="BA155" s="67">
        <f>IF(MAX(0,-1*OFFSET(BA161,0,MIN('Get Started'!$D11-BA5,'Get Started'!$D45))-BA154)&lt;if($R151=true,BA173,BA152),0,MAX(0,-1*OFFSET(BA161,0,MIN('Get Started'!$D11-BA5,'Get Started'!$D45))-BA154))</f>
        <v>0</v>
      </c>
      <c r="BB155" s="67">
        <f>IF(MAX(0,-1*OFFSET(BB161,0,MIN('Get Started'!$D11-BB5,'Get Started'!$D45))-BB154)&lt;if($R151=true,BB173,BB152),0,MAX(0,-1*OFFSET(BB161,0,MIN('Get Started'!$D11-BB5,'Get Started'!$D45))-BB154))</f>
        <v>0</v>
      </c>
      <c r="BC155" s="67">
        <f>IF(MAX(0,-1*OFFSET(BC161,0,MIN('Get Started'!$D11-BC5,'Get Started'!$D45))-BC154)&lt;if($R151=true,BC173,BC152),0,MAX(0,-1*OFFSET(BC161,0,MIN('Get Started'!$D11-BC5,'Get Started'!$D45))-BC154))</f>
        <v>0</v>
      </c>
    </row>
    <row r="156" outlineLevel="1">
      <c r="A156" s="1"/>
      <c r="B156" s="76" t="s">
        <v>366</v>
      </c>
      <c r="C156" s="103" t="str">
        <f>'Get Started'!$C$20</f>
        <v>$</v>
      </c>
      <c r="D156" s="78"/>
      <c r="E156" s="78"/>
      <c r="F156" s="78"/>
      <c r="G156" s="78"/>
      <c r="H156" s="79" t="s">
        <v>193</v>
      </c>
      <c r="I156" s="87">
        <f t="shared" si="110"/>
        <v>0</v>
      </c>
      <c r="J156" s="93"/>
      <c r="K156" s="79" t="s">
        <v>367</v>
      </c>
      <c r="L156" s="79"/>
      <c r="M156" s="93"/>
      <c r="N156" s="93"/>
      <c r="O156" s="93"/>
      <c r="P156" s="93"/>
      <c r="Q156" s="93"/>
      <c r="R156" s="93"/>
      <c r="S156" s="93"/>
      <c r="T156" s="67">
        <f>MAX(0,OFFSET(T161,0,MIN('Get Started'!$D$11-T5,'Get Started'!$D$45))*'Get Started'!$D46-SUM(T152,T154:T155,-1*abs(T161)))</f>
        <v>0</v>
      </c>
      <c r="U156" s="67">
        <f>MAX(0,OFFSET(U161,0,MIN('Get Started'!$D$11-U5,'Get Started'!$D$45))*'Get Started'!$D46-SUM(U152,U154:U155,-1*abs(U161)))</f>
        <v>0</v>
      </c>
      <c r="V156" s="67">
        <f>MAX(0,OFFSET(V161,0,MIN('Get Started'!$D$11-V5,'Get Started'!$D$45))*'Get Started'!$D46-SUM(V152,V154:V155,-1*abs(V161)))</f>
        <v>0</v>
      </c>
      <c r="W156" s="67">
        <f>MAX(0,OFFSET(W161,0,MIN('Get Started'!$D$11-W5,'Get Started'!$D$45))*'Get Started'!$D46-SUM(W152,W154:W155,-1*abs(W161)))</f>
        <v>0</v>
      </c>
      <c r="X156" s="67">
        <f>MAX(0,OFFSET(X161,0,MIN('Get Started'!$D$11-X5,'Get Started'!$D$45))*'Get Started'!$D46-SUM(X152,X154:X155,-1*abs(X161)))</f>
        <v>0</v>
      </c>
      <c r="Y156" s="67">
        <f>MAX(0,OFFSET(Y161,0,MIN('Get Started'!$D$11-Y5,'Get Started'!$D$45))*'Get Started'!$D46-SUM(Y152,Y154:Y155,-1*abs(Y161)))</f>
        <v>0</v>
      </c>
      <c r="Z156" s="67">
        <f>MAX(0,OFFSET(Z161,0,MIN('Get Started'!$D$11-Z5,'Get Started'!$D$45))*'Get Started'!$D46-SUM(Z152,Z154:Z155,-1*abs(Z161)))</f>
        <v>0</v>
      </c>
      <c r="AA156" s="67">
        <f>MAX(0,OFFSET(AA161,0,MIN('Get Started'!$D$11-AA5,'Get Started'!$D$45))*'Get Started'!$D46-SUM(AA152,AA154:AA155,-1*abs(AA161)))</f>
        <v>0</v>
      </c>
      <c r="AB156" s="67">
        <f>MAX(0,OFFSET(AB161,0,MIN('Get Started'!$D$11-AB5,'Get Started'!$D$45))*'Get Started'!$D46-SUM(AB152,AB154:AB155,-1*abs(AB161)))</f>
        <v>0</v>
      </c>
      <c r="AC156" s="67">
        <f>MAX(0,OFFSET(AC161,0,MIN('Get Started'!$D$11-AC5,'Get Started'!$D$45))*'Get Started'!$D46-SUM(AC152,AC154:AC155,-1*abs(AC161)))</f>
        <v>0</v>
      </c>
      <c r="AD156" s="67">
        <f>MAX(0,OFFSET(AD161,0,MIN('Get Started'!$D$11-AD5,'Get Started'!$D$45))*'Get Started'!$D46-SUM(AD152,AD154:AD155,-1*abs(AD161)))</f>
        <v>0</v>
      </c>
      <c r="AE156" s="67">
        <f>MAX(0,OFFSET(AE161,0,MIN('Get Started'!$D$11-AE5,'Get Started'!$D$45))*'Get Started'!$D46-SUM(AE152,AE154:AE155,-1*abs(AE161)))</f>
        <v>0</v>
      </c>
      <c r="AF156" s="67">
        <f>MAX(0,OFFSET(AF161,0,MIN('Get Started'!$D$11-AF5,'Get Started'!$D$45))*'Get Started'!$D46-SUM(AF152,AF154:AF155,-1*abs(AF161)))</f>
        <v>0</v>
      </c>
      <c r="AG156" s="67">
        <f>MAX(0,OFFSET(AG161,0,MIN('Get Started'!$D$11-AG5,'Get Started'!$D$45))*'Get Started'!$D46-SUM(AG152,AG154:AG155,-1*abs(AG161)))</f>
        <v>0</v>
      </c>
      <c r="AH156" s="67">
        <f>MAX(0,OFFSET(AH161,0,MIN('Get Started'!$D$11-AH5,'Get Started'!$D$45))*'Get Started'!$D46-SUM(AH152,AH154:AH155,-1*abs(AH161)))</f>
        <v>0</v>
      </c>
      <c r="AI156" s="67">
        <f>MAX(0,OFFSET(AI161,0,MIN('Get Started'!$D$11-AI5,'Get Started'!$D$45))*'Get Started'!$D46-SUM(AI152,AI154:AI155,-1*abs(AI161)))</f>
        <v>0</v>
      </c>
      <c r="AJ156" s="67">
        <f>MAX(0,OFFSET(AJ161,0,MIN('Get Started'!$D$11-AJ5,'Get Started'!$D$45))*'Get Started'!$D46-SUM(AJ152,AJ154:AJ155,-1*abs(AJ161)))</f>
        <v>0</v>
      </c>
      <c r="AK156" s="67">
        <f>MAX(0,OFFSET(AK161,0,MIN('Get Started'!$D$11-AK5,'Get Started'!$D$45))*'Get Started'!$D46-SUM(AK152,AK154:AK155,-1*abs(AK161)))</f>
        <v>0</v>
      </c>
      <c r="AL156" s="67">
        <f>MAX(0,OFFSET(AL161,0,MIN('Get Started'!$D$11-AL5,'Get Started'!$D$45))*'Get Started'!$D46-SUM(AL152,AL154:AL155,-1*abs(AL161)))</f>
        <v>0</v>
      </c>
      <c r="AM156" s="67">
        <f>MAX(0,OFFSET(AM161,0,MIN('Get Started'!$D$11-AM5,'Get Started'!$D$45))*'Get Started'!$D46-SUM(AM152,AM154:AM155,-1*abs(AM161)))</f>
        <v>0</v>
      </c>
      <c r="AN156" s="67">
        <f>MAX(0,OFFSET(AN161,0,MIN('Get Started'!$D$11-AN5,'Get Started'!$D$45))*'Get Started'!$D46-SUM(AN152,AN154:AN155,-1*abs(AN161)))</f>
        <v>0</v>
      </c>
      <c r="AO156" s="67">
        <f>MAX(0,OFFSET(AO161,0,MIN('Get Started'!$D$11-AO5,'Get Started'!$D$45))*'Get Started'!$D46-SUM(AO152,AO154:AO155,-1*abs(AO161)))</f>
        <v>0</v>
      </c>
      <c r="AP156" s="67">
        <f>MAX(0,OFFSET(AP161,0,MIN('Get Started'!$D$11-AP5,'Get Started'!$D$45))*'Get Started'!$D46-SUM(AP152,AP154:AP155,-1*abs(AP161)))</f>
        <v>0</v>
      </c>
      <c r="AQ156" s="67">
        <f>MAX(0,OFFSET(AQ161,0,MIN('Get Started'!$D$11-AQ5,'Get Started'!$D$45))*'Get Started'!$D46-SUM(AQ152,AQ154:AQ155,-1*abs(AQ161)))</f>
        <v>0</v>
      </c>
      <c r="AR156" s="67">
        <f>MAX(0,OFFSET(AR161,0,MIN('Get Started'!$D$11-AR5,'Get Started'!$D$45))*'Get Started'!$D46-SUM(AR152,AR154:AR155,-1*abs(AR161)))</f>
        <v>0</v>
      </c>
      <c r="AS156" s="67">
        <f>MAX(0,OFFSET(AS161,0,MIN('Get Started'!$D$11-AS5,'Get Started'!$D$45))*'Get Started'!$D46-SUM(AS152,AS154:AS155,-1*abs(AS161)))</f>
        <v>0</v>
      </c>
      <c r="AT156" s="67">
        <f>MAX(0,OFFSET(AT161,0,MIN('Get Started'!$D$11-AT5,'Get Started'!$D$45))*'Get Started'!$D46-SUM(AT152,AT154:AT155,-1*abs(AT161)))</f>
        <v>0</v>
      </c>
      <c r="AU156" s="67">
        <f>MAX(0,OFFSET(AU161,0,MIN('Get Started'!$D$11-AU5,'Get Started'!$D$45))*'Get Started'!$D46-SUM(AU152,AU154:AU155,-1*abs(AU161)))</f>
        <v>0</v>
      </c>
      <c r="AV156" s="67">
        <f>MAX(0,OFFSET(AV161,0,MIN('Get Started'!$D$11-AV5,'Get Started'!$D$45))*'Get Started'!$D46-SUM(AV152,AV154:AV155,-1*abs(AV161)))</f>
        <v>0</v>
      </c>
      <c r="AW156" s="67">
        <f>MAX(0,OFFSET(AW161,0,MIN('Get Started'!$D$11-AW5,'Get Started'!$D$45))*'Get Started'!$D46-SUM(AW152,AW154:AW155,-1*abs(AW161)))</f>
        <v>0</v>
      </c>
      <c r="AX156" s="67">
        <f>MAX(0,OFFSET(AX161,0,MIN('Get Started'!$D$11-AX5,'Get Started'!$D$45))*'Get Started'!$D46-SUM(AX152,AX154:AX155,-1*abs(AX161)))</f>
        <v>0</v>
      </c>
      <c r="AY156" s="67">
        <f>MAX(0,OFFSET(AY161,0,MIN('Get Started'!$D$11-AY5,'Get Started'!$D$45))*'Get Started'!$D46-SUM(AY152,AY154:AY155,-1*abs(AY161)))</f>
        <v>0</v>
      </c>
      <c r="AZ156" s="67">
        <f>MAX(0,OFFSET(AZ161,0,MIN('Get Started'!$D$11-AZ5,'Get Started'!$D$45))*'Get Started'!$D46-SUM(AZ152,AZ154:AZ155,-1*abs(AZ161)))</f>
        <v>0</v>
      </c>
      <c r="BA156" s="67">
        <f>MAX(0,OFFSET(BA161,0,MIN('Get Started'!$D$11-BA5,'Get Started'!$D$45))*'Get Started'!$D46-SUM(BA152,BA154:BA155,-1*abs(BA161)))</f>
        <v>0</v>
      </c>
      <c r="BB156" s="67">
        <f>MAX(0,OFFSET(BB161,0,MIN('Get Started'!$D$11-BB5,'Get Started'!$D$45))*'Get Started'!$D46-SUM(BB152,BB154:BB155,-1*abs(BB161)))</f>
        <v>0</v>
      </c>
      <c r="BC156" s="67">
        <f>MAX(0,OFFSET(BC161,0,MIN('Get Started'!$D$11-BC5,'Get Started'!$D$45))*'Get Started'!$D46-SUM(BC152,BC154:BC155,-1*abs(BC161)))</f>
        <v>0</v>
      </c>
    </row>
    <row r="157" outlineLevel="1">
      <c r="A157" s="1"/>
      <c r="B157" s="76" t="s">
        <v>368</v>
      </c>
      <c r="C157" s="103" t="str">
        <f>'Get Started'!$C$20</f>
        <v>$</v>
      </c>
      <c r="D157" s="78"/>
      <c r="E157" s="78"/>
      <c r="F157" s="78"/>
      <c r="G157" s="78"/>
      <c r="H157" s="79" t="s">
        <v>193</v>
      </c>
      <c r="I157" s="87">
        <f t="shared" si="110"/>
        <v>0</v>
      </c>
      <c r="J157" s="93"/>
      <c r="K157" s="79" t="s">
        <v>369</v>
      </c>
      <c r="L157" s="79"/>
      <c r="M157" s="93"/>
      <c r="N157" s="93"/>
      <c r="O157" s="93"/>
      <c r="P157" s="93"/>
      <c r="Q157" s="93"/>
      <c r="R157" s="93"/>
      <c r="S157" s="93"/>
      <c r="T157" s="67">
        <f>if(T$5="","",IF(SUM(T154:T155)=0,0,MAX(0,'Get Started'!$D$47-SUM(T154:T156))))</f>
        <v>0</v>
      </c>
      <c r="U157" s="67">
        <f>IF(SUM(U154:U155)=0,0,MAX(0,'Get Started'!$D$47-SUM(U154:U156)))</f>
        <v>0</v>
      </c>
      <c r="V157" s="67">
        <f>IF(SUM(V154:V155)=0,0,MAX(0,'Get Started'!$D$47-SUM(V154:V156)))</f>
        <v>0</v>
      </c>
      <c r="W157" s="67">
        <f>IF(SUM(W154:W155)=0,0,MAX(0,'Get Started'!$D$47-SUM(W154:W156)))</f>
        <v>0</v>
      </c>
      <c r="X157" s="67">
        <f>IF(SUM(X154:X155)=0,0,MAX(0,'Get Started'!$D$47-SUM(X154:X156)))</f>
        <v>0</v>
      </c>
      <c r="Y157" s="67">
        <f>IF(SUM(Y154:Y155)=0,0,MAX(0,'Get Started'!$D$47-SUM(Y154:Y156)))</f>
        <v>0</v>
      </c>
      <c r="Z157" s="67">
        <f>IF(SUM(Z154:Z155)=0,0,MAX(0,'Get Started'!$D$47-SUM(Z154:Z156)))</f>
        <v>0</v>
      </c>
      <c r="AA157" s="67">
        <f>IF(SUM(AA154:AA155)=0,0,MAX(0,'Get Started'!$D$47-SUM(AA154:AA156)))</f>
        <v>0</v>
      </c>
      <c r="AB157" s="67">
        <f>IF(SUM(AB154:AB155)=0,0,MAX(0,'Get Started'!$D$47-SUM(AB154:AB156)))</f>
        <v>0</v>
      </c>
      <c r="AC157" s="67">
        <f>IF(SUM(AC154:AC155)=0,0,MAX(0,'Get Started'!$D$47-SUM(AC154:AC156)))</f>
        <v>0</v>
      </c>
      <c r="AD157" s="67">
        <f>IF(SUM(AD154:AD155)=0,0,MAX(0,'Get Started'!$D$47-SUM(AD154:AD156)))</f>
        <v>0</v>
      </c>
      <c r="AE157" s="67">
        <f>IF(SUM(AE154:AE155)=0,0,MAX(0,'Get Started'!$D$47-SUM(AE154:AE156)))</f>
        <v>0</v>
      </c>
      <c r="AF157" s="67">
        <f>IF(SUM(AF154:AF155)=0,0,MAX(0,'Get Started'!$D$47-SUM(AF154:AF156)))</f>
        <v>0</v>
      </c>
      <c r="AG157" s="67">
        <f>IF(SUM(AG154:AG155)=0,0,MAX(0,'Get Started'!$D$47-SUM(AG154:AG156)))</f>
        <v>0</v>
      </c>
      <c r="AH157" s="67">
        <f>IF(SUM(AH154:AH155)=0,0,MAX(0,'Get Started'!$D$47-SUM(AH154:AH156)))</f>
        <v>0</v>
      </c>
      <c r="AI157" s="67">
        <f>IF(SUM(AI154:AI155)=0,0,MAX(0,'Get Started'!$D$47-SUM(AI154:AI156)))</f>
        <v>0</v>
      </c>
      <c r="AJ157" s="67">
        <f>IF(SUM(AJ154:AJ155)=0,0,MAX(0,'Get Started'!$D$47-SUM(AJ154:AJ156)))</f>
        <v>0</v>
      </c>
      <c r="AK157" s="67">
        <f>IF(SUM(AK154:AK155)=0,0,MAX(0,'Get Started'!$D$47-SUM(AK154:AK156)))</f>
        <v>0</v>
      </c>
      <c r="AL157" s="67">
        <f>IF(SUM(AL154:AL155)=0,0,MAX(0,'Get Started'!$D$47-SUM(AL154:AL156)))</f>
        <v>0</v>
      </c>
      <c r="AM157" s="67">
        <f>IF(SUM(AM154:AM155)=0,0,MAX(0,'Get Started'!$D$47-SUM(AM154:AM156)))</f>
        <v>0</v>
      </c>
      <c r="AN157" s="67">
        <f>IF(SUM(AN154:AN155)=0,0,MAX(0,'Get Started'!$D$47-SUM(AN154:AN156)))</f>
        <v>0</v>
      </c>
      <c r="AO157" s="67">
        <f>IF(SUM(AO154:AO155)=0,0,MAX(0,'Get Started'!$D$47-SUM(AO154:AO156)))</f>
        <v>0</v>
      </c>
      <c r="AP157" s="67">
        <f>IF(SUM(AP154:AP155)=0,0,MAX(0,'Get Started'!$D$47-SUM(AP154:AP156)))</f>
        <v>0</v>
      </c>
      <c r="AQ157" s="67">
        <f>IF(SUM(AQ154:AQ155)=0,0,MAX(0,'Get Started'!$D$47-SUM(AQ154:AQ156)))</f>
        <v>0</v>
      </c>
      <c r="AR157" s="67">
        <f>IF(SUM(AR154:AR155)=0,0,MAX(0,'Get Started'!$D$47-SUM(AR154:AR156)))</f>
        <v>0</v>
      </c>
      <c r="AS157" s="67">
        <f>IF(SUM(AS154:AS155)=0,0,MAX(0,'Get Started'!$D$47-SUM(AS154:AS156)))</f>
        <v>0</v>
      </c>
      <c r="AT157" s="67">
        <f>IF(SUM(AT154:AT155)=0,0,MAX(0,'Get Started'!$D$47-SUM(AT154:AT156)))</f>
        <v>0</v>
      </c>
      <c r="AU157" s="67">
        <f>IF(SUM(AU154:AU155)=0,0,MAX(0,'Get Started'!$D$47-SUM(AU154:AU156)))</f>
        <v>0</v>
      </c>
      <c r="AV157" s="67">
        <f>IF(SUM(AV154:AV155)=0,0,MAX(0,'Get Started'!$D$47-SUM(AV154:AV156)))</f>
        <v>0</v>
      </c>
      <c r="AW157" s="67">
        <f>IF(SUM(AW154:AW155)=0,0,MAX(0,'Get Started'!$D$47-SUM(AW154:AW156)))</f>
        <v>0</v>
      </c>
      <c r="AX157" s="67">
        <f>IF(SUM(AX154:AX155)=0,0,MAX(0,'Get Started'!$D$47-SUM(AX154:AX156)))</f>
        <v>0</v>
      </c>
      <c r="AY157" s="67">
        <f>IF(SUM(AY154:AY155)=0,0,MAX(0,'Get Started'!$D$47-SUM(AY154:AY156)))</f>
        <v>0</v>
      </c>
      <c r="AZ157" s="67">
        <f>IF(SUM(AZ154:AZ155)=0,0,MAX(0,'Get Started'!$D$47-SUM(AZ154:AZ156)))</f>
        <v>0</v>
      </c>
      <c r="BA157" s="67">
        <f>IF(SUM(BA154:BA155)=0,0,MAX(0,'Get Started'!$D$47-SUM(BA154:BA156)))</f>
        <v>0</v>
      </c>
      <c r="BB157" s="67">
        <f>IF(SUM(BB154:BB155)=0,0,MAX(0,'Get Started'!$D$47-SUM(BB154:BB156)))</f>
        <v>0</v>
      </c>
      <c r="BC157" s="67">
        <f>IF(SUM(BC154:BC155)=0,0,MAX(0,'Get Started'!$D$47-SUM(BC154:BC156)))</f>
        <v>0</v>
      </c>
    </row>
    <row r="158" outlineLevel="1">
      <c r="A158" s="1"/>
      <c r="B158" s="76" t="s">
        <v>370</v>
      </c>
      <c r="C158" s="103" t="str">
        <f>'Get Started'!$C$20</f>
        <v>$</v>
      </c>
      <c r="D158" s="78"/>
      <c r="E158" s="78"/>
      <c r="F158" s="78"/>
      <c r="G158" s="78"/>
      <c r="H158" s="79" t="s">
        <v>193</v>
      </c>
      <c r="I158" s="87">
        <f t="shared" si="110"/>
        <v>0</v>
      </c>
      <c r="J158" s="93"/>
      <c r="K158" s="79" t="s">
        <v>371</v>
      </c>
      <c r="L158" s="79"/>
      <c r="M158" s="93"/>
      <c r="N158" s="93"/>
      <c r="O158" s="93"/>
      <c r="P158" s="93"/>
      <c r="Q158" s="93"/>
      <c r="R158" s="93"/>
      <c r="S158" s="93"/>
      <c r="T158" s="123"/>
      <c r="U158" s="123"/>
      <c r="V158" s="123"/>
      <c r="W158" s="123"/>
      <c r="X158" s="123"/>
      <c r="Y158" s="123"/>
      <c r="Z158" s="123"/>
      <c r="AA158" s="123"/>
      <c r="AB158" s="123"/>
      <c r="AC158" s="123"/>
      <c r="AD158" s="123"/>
      <c r="AE158" s="123"/>
      <c r="AF158" s="123"/>
      <c r="AG158" s="123"/>
      <c r="AH158" s="123"/>
      <c r="AI158" s="123"/>
      <c r="AJ158" s="123"/>
      <c r="AK158" s="123"/>
      <c r="AL158" s="123"/>
      <c r="AM158" s="123"/>
      <c r="AN158" s="123"/>
      <c r="AO158" s="123"/>
      <c r="AP158" s="123"/>
      <c r="AQ158" s="123"/>
      <c r="AR158" s="123"/>
      <c r="AS158" s="123"/>
      <c r="AT158" s="123"/>
      <c r="AU158" s="123"/>
      <c r="AV158" s="123"/>
      <c r="AW158" s="123"/>
      <c r="AX158" s="123"/>
      <c r="AY158" s="123"/>
      <c r="AZ158" s="123"/>
      <c r="BA158" s="123"/>
      <c r="BB158" s="123"/>
      <c r="BC158" s="123"/>
    </row>
    <row r="159" outlineLevel="1">
      <c r="A159" s="1"/>
      <c r="B159" s="76" t="s">
        <v>372</v>
      </c>
      <c r="C159" s="103" t="str">
        <f>'Get Started'!$C$20</f>
        <v>$</v>
      </c>
      <c r="D159" s="78"/>
      <c r="E159" s="78"/>
      <c r="F159" s="78"/>
      <c r="G159" s="78"/>
      <c r="H159" s="79" t="s">
        <v>193</v>
      </c>
      <c r="I159" s="87">
        <f t="shared" si="110"/>
        <v>0</v>
      </c>
      <c r="J159" s="93"/>
      <c r="K159" s="79" t="s">
        <v>373</v>
      </c>
      <c r="L159" s="79"/>
      <c r="M159" s="93"/>
      <c r="N159" s="93"/>
      <c r="O159" s="93"/>
      <c r="P159" s="93"/>
      <c r="Q159" s="93"/>
      <c r="R159" s="93"/>
      <c r="S159" s="93"/>
      <c r="T159" s="67">
        <f>if(T$5="","",if(or(T158&lt;&gt;0,isblank(T158)),sum(T154:T157),T158))</f>
        <v>0</v>
      </c>
      <c r="U159" s="67">
        <f t="shared" ref="U159:BC159" si="111">if(or(U158&lt;&gt;0,isblank(U158)),sum(U154:U157),U158)</f>
        <v>0</v>
      </c>
      <c r="V159" s="67">
        <f t="shared" si="111"/>
        <v>0</v>
      </c>
      <c r="W159" s="67">
        <f t="shared" si="111"/>
        <v>0</v>
      </c>
      <c r="X159" s="67">
        <f t="shared" si="111"/>
        <v>0</v>
      </c>
      <c r="Y159" s="67">
        <f t="shared" si="111"/>
        <v>0</v>
      </c>
      <c r="Z159" s="67">
        <f t="shared" si="111"/>
        <v>0</v>
      </c>
      <c r="AA159" s="67">
        <f t="shared" si="111"/>
        <v>0</v>
      </c>
      <c r="AB159" s="67">
        <f t="shared" si="111"/>
        <v>0</v>
      </c>
      <c r="AC159" s="67">
        <f t="shared" si="111"/>
        <v>0</v>
      </c>
      <c r="AD159" s="67">
        <f t="shared" si="111"/>
        <v>0</v>
      </c>
      <c r="AE159" s="67">
        <f t="shared" si="111"/>
        <v>0</v>
      </c>
      <c r="AF159" s="67">
        <f t="shared" si="111"/>
        <v>0</v>
      </c>
      <c r="AG159" s="67">
        <f t="shared" si="111"/>
        <v>0</v>
      </c>
      <c r="AH159" s="67">
        <f t="shared" si="111"/>
        <v>0</v>
      </c>
      <c r="AI159" s="67">
        <f t="shared" si="111"/>
        <v>0</v>
      </c>
      <c r="AJ159" s="67">
        <f t="shared" si="111"/>
        <v>0</v>
      </c>
      <c r="AK159" s="67">
        <f t="shared" si="111"/>
        <v>0</v>
      </c>
      <c r="AL159" s="67">
        <f t="shared" si="111"/>
        <v>0</v>
      </c>
      <c r="AM159" s="67">
        <f t="shared" si="111"/>
        <v>0</v>
      </c>
      <c r="AN159" s="67">
        <f t="shared" si="111"/>
        <v>0</v>
      </c>
      <c r="AO159" s="67">
        <f t="shared" si="111"/>
        <v>0</v>
      </c>
      <c r="AP159" s="67">
        <f t="shared" si="111"/>
        <v>0</v>
      </c>
      <c r="AQ159" s="67">
        <f t="shared" si="111"/>
        <v>0</v>
      </c>
      <c r="AR159" s="67">
        <f t="shared" si="111"/>
        <v>0</v>
      </c>
      <c r="AS159" s="67">
        <f t="shared" si="111"/>
        <v>0</v>
      </c>
      <c r="AT159" s="67">
        <f t="shared" si="111"/>
        <v>0</v>
      </c>
      <c r="AU159" s="67">
        <f t="shared" si="111"/>
        <v>0</v>
      </c>
      <c r="AV159" s="67">
        <f t="shared" si="111"/>
        <v>0</v>
      </c>
      <c r="AW159" s="67">
        <f t="shared" si="111"/>
        <v>0</v>
      </c>
      <c r="AX159" s="67">
        <f t="shared" si="111"/>
        <v>0</v>
      </c>
      <c r="AY159" s="67">
        <f t="shared" si="111"/>
        <v>0</v>
      </c>
      <c r="AZ159" s="67">
        <f t="shared" si="111"/>
        <v>0</v>
      </c>
      <c r="BA159" s="67">
        <f t="shared" si="111"/>
        <v>0</v>
      </c>
      <c r="BB159" s="67">
        <f t="shared" si="111"/>
        <v>0</v>
      </c>
      <c r="BC159" s="67">
        <f t="shared" si="111"/>
        <v>0</v>
      </c>
    </row>
    <row r="160" outlineLevel="1">
      <c r="A160" s="1"/>
      <c r="B160" s="76"/>
      <c r="C160" s="30"/>
      <c r="D160" s="78"/>
      <c r="E160" s="78"/>
      <c r="F160" s="78"/>
      <c r="G160" s="78"/>
      <c r="H160" s="1"/>
      <c r="I160" s="78"/>
      <c r="J160" s="93"/>
      <c r="K160" s="79"/>
      <c r="L160" s="79"/>
      <c r="M160" s="93"/>
      <c r="N160" s="93"/>
      <c r="O160" s="93"/>
      <c r="P160" s="93"/>
      <c r="Q160" s="93"/>
      <c r="R160" s="93"/>
      <c r="S160" s="93"/>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row>
    <row r="161" outlineLevel="1">
      <c r="A161" s="1"/>
      <c r="B161" s="76" t="str">
        <f>B99</f>
        <v>Cost of Goods Sold</v>
      </c>
      <c r="C161" s="103" t="str">
        <f>'Get Started'!$C$20</f>
        <v>$</v>
      </c>
      <c r="D161" s="78"/>
      <c r="E161" s="78"/>
      <c r="F161" s="78"/>
      <c r="G161" s="78"/>
      <c r="H161" s="79" t="s">
        <v>193</v>
      </c>
      <c r="I161" s="87">
        <f t="shared" ref="I161:I163" si="113">if(H161="sum",sum(T161:BC161),if(H161="final",index(T161:BC161,match(99^99,T161:BC161,1)),if(H161="initial",T161,if(H161="average",average(T161:BC161),0))))</f>
        <v>0</v>
      </c>
      <c r="J161" s="93"/>
      <c r="K161" s="79" t="s">
        <v>374</v>
      </c>
      <c r="L161" s="79"/>
      <c r="M161" s="93"/>
      <c r="N161" s="93"/>
      <c r="O161" s="93"/>
      <c r="P161" s="93"/>
      <c r="Q161" s="93"/>
      <c r="R161" s="93"/>
      <c r="S161" s="93"/>
      <c r="T161" s="67">
        <f t="shared" ref="T161:BC161" si="112">if(T$5="","",-1*abs(sumifs(T53:T92,$D53:$D92,$B99,$R53:$R92,true)))</f>
        <v>0</v>
      </c>
      <c r="U161" s="67">
        <f t="shared" si="112"/>
        <v>0</v>
      </c>
      <c r="V161" s="67">
        <f t="shared" si="112"/>
        <v>0</v>
      </c>
      <c r="W161" s="67">
        <f t="shared" si="112"/>
        <v>0</v>
      </c>
      <c r="X161" s="67">
        <f t="shared" si="112"/>
        <v>0</v>
      </c>
      <c r="Y161" s="67">
        <f t="shared" si="112"/>
        <v>0</v>
      </c>
      <c r="Z161" s="67">
        <f t="shared" si="112"/>
        <v>0</v>
      </c>
      <c r="AA161" s="67">
        <f t="shared" si="112"/>
        <v>0</v>
      </c>
      <c r="AB161" s="67">
        <f t="shared" si="112"/>
        <v>0</v>
      </c>
      <c r="AC161" s="67">
        <f t="shared" si="112"/>
        <v>0</v>
      </c>
      <c r="AD161" s="67">
        <f t="shared" si="112"/>
        <v>0</v>
      </c>
      <c r="AE161" s="67">
        <f t="shared" si="112"/>
        <v>0</v>
      </c>
      <c r="AF161" s="67">
        <f t="shared" si="112"/>
        <v>0</v>
      </c>
      <c r="AG161" s="67">
        <f t="shared" si="112"/>
        <v>0</v>
      </c>
      <c r="AH161" s="67">
        <f t="shared" si="112"/>
        <v>0</v>
      </c>
      <c r="AI161" s="67">
        <f t="shared" si="112"/>
        <v>0</v>
      </c>
      <c r="AJ161" s="67">
        <f t="shared" si="112"/>
        <v>0</v>
      </c>
      <c r="AK161" s="67">
        <f t="shared" si="112"/>
        <v>0</v>
      </c>
      <c r="AL161" s="67">
        <f t="shared" si="112"/>
        <v>0</v>
      </c>
      <c r="AM161" s="67">
        <f t="shared" si="112"/>
        <v>0</v>
      </c>
      <c r="AN161" s="67">
        <f t="shared" si="112"/>
        <v>0</v>
      </c>
      <c r="AO161" s="67">
        <f t="shared" si="112"/>
        <v>0</v>
      </c>
      <c r="AP161" s="67">
        <f t="shared" si="112"/>
        <v>0</v>
      </c>
      <c r="AQ161" s="67">
        <f t="shared" si="112"/>
        <v>0</v>
      </c>
      <c r="AR161" s="67">
        <f t="shared" si="112"/>
        <v>0</v>
      </c>
      <c r="AS161" s="67">
        <f t="shared" si="112"/>
        <v>0</v>
      </c>
      <c r="AT161" s="67">
        <f t="shared" si="112"/>
        <v>0</v>
      </c>
      <c r="AU161" s="67">
        <f t="shared" si="112"/>
        <v>0</v>
      </c>
      <c r="AV161" s="67">
        <f t="shared" si="112"/>
        <v>0</v>
      </c>
      <c r="AW161" s="67">
        <f t="shared" si="112"/>
        <v>0</v>
      </c>
      <c r="AX161" s="67">
        <f t="shared" si="112"/>
        <v>0</v>
      </c>
      <c r="AY161" s="67">
        <f t="shared" si="112"/>
        <v>0</v>
      </c>
      <c r="AZ161" s="67">
        <f t="shared" si="112"/>
        <v>0</v>
      </c>
      <c r="BA161" s="67">
        <f t="shared" si="112"/>
        <v>0</v>
      </c>
      <c r="BB161" s="67">
        <f t="shared" si="112"/>
        <v>0</v>
      </c>
      <c r="BC161" s="67">
        <f t="shared" si="112"/>
        <v>0</v>
      </c>
    </row>
    <row r="162" outlineLevel="1">
      <c r="A162" s="1"/>
      <c r="B162" s="76" t="s">
        <v>375</v>
      </c>
      <c r="C162" s="103" t="str">
        <f>'Get Started'!$C$20</f>
        <v>$</v>
      </c>
      <c r="D162" s="78"/>
      <c r="E162" s="78"/>
      <c r="F162" s="78"/>
      <c r="G162" s="78"/>
      <c r="H162" s="79" t="s">
        <v>193</v>
      </c>
      <c r="I162" s="87">
        <f t="shared" si="113"/>
        <v>0</v>
      </c>
      <c r="J162" s="93"/>
      <c r="K162" s="79" t="s">
        <v>376</v>
      </c>
      <c r="L162" s="79"/>
      <c r="M162" s="93"/>
      <c r="N162" s="93"/>
      <c r="O162" s="93"/>
      <c r="P162" s="93"/>
      <c r="Q162" s="93"/>
      <c r="R162" s="93"/>
      <c r="S162" s="93"/>
      <c r="T162" s="67">
        <f>if(T$5="","",abs(T73)*-1)</f>
        <v>0</v>
      </c>
      <c r="U162" s="67">
        <f t="shared" ref="U162:BC162" si="114">abs(U73)*-1</f>
        <v>0</v>
      </c>
      <c r="V162" s="67">
        <f t="shared" si="114"/>
        <v>0</v>
      </c>
      <c r="W162" s="67">
        <f t="shared" si="114"/>
        <v>0</v>
      </c>
      <c r="X162" s="67">
        <f t="shared" si="114"/>
        <v>0</v>
      </c>
      <c r="Y162" s="67">
        <f t="shared" si="114"/>
        <v>0</v>
      </c>
      <c r="Z162" s="67">
        <f t="shared" si="114"/>
        <v>0</v>
      </c>
      <c r="AA162" s="67">
        <f t="shared" si="114"/>
        <v>0</v>
      </c>
      <c r="AB162" s="67">
        <f t="shared" si="114"/>
        <v>0</v>
      </c>
      <c r="AC162" s="67">
        <f t="shared" si="114"/>
        <v>0</v>
      </c>
      <c r="AD162" s="67">
        <f t="shared" si="114"/>
        <v>0</v>
      </c>
      <c r="AE162" s="67">
        <f t="shared" si="114"/>
        <v>0</v>
      </c>
      <c r="AF162" s="67">
        <f t="shared" si="114"/>
        <v>0</v>
      </c>
      <c r="AG162" s="67">
        <f t="shared" si="114"/>
        <v>0</v>
      </c>
      <c r="AH162" s="67">
        <f t="shared" si="114"/>
        <v>0</v>
      </c>
      <c r="AI162" s="67">
        <f t="shared" si="114"/>
        <v>0</v>
      </c>
      <c r="AJ162" s="67">
        <f t="shared" si="114"/>
        <v>0</v>
      </c>
      <c r="AK162" s="67">
        <f t="shared" si="114"/>
        <v>0</v>
      </c>
      <c r="AL162" s="67">
        <f t="shared" si="114"/>
        <v>0</v>
      </c>
      <c r="AM162" s="67">
        <f t="shared" si="114"/>
        <v>0</v>
      </c>
      <c r="AN162" s="67">
        <f t="shared" si="114"/>
        <v>0</v>
      </c>
      <c r="AO162" s="67">
        <f t="shared" si="114"/>
        <v>0</v>
      </c>
      <c r="AP162" s="67">
        <f t="shared" si="114"/>
        <v>0</v>
      </c>
      <c r="AQ162" s="67">
        <f t="shared" si="114"/>
        <v>0</v>
      </c>
      <c r="AR162" s="67">
        <f t="shared" si="114"/>
        <v>0</v>
      </c>
      <c r="AS162" s="67">
        <f t="shared" si="114"/>
        <v>0</v>
      </c>
      <c r="AT162" s="67">
        <f t="shared" si="114"/>
        <v>0</v>
      </c>
      <c r="AU162" s="67">
        <f t="shared" si="114"/>
        <v>0</v>
      </c>
      <c r="AV162" s="67">
        <f t="shared" si="114"/>
        <v>0</v>
      </c>
      <c r="AW162" s="67">
        <f t="shared" si="114"/>
        <v>0</v>
      </c>
      <c r="AX162" s="67">
        <f t="shared" si="114"/>
        <v>0</v>
      </c>
      <c r="AY162" s="67">
        <f t="shared" si="114"/>
        <v>0</v>
      </c>
      <c r="AZ162" s="67">
        <f t="shared" si="114"/>
        <v>0</v>
      </c>
      <c r="BA162" s="67">
        <f t="shared" si="114"/>
        <v>0</v>
      </c>
      <c r="BB162" s="67">
        <f t="shared" si="114"/>
        <v>0</v>
      </c>
      <c r="BC162" s="67">
        <f t="shared" si="114"/>
        <v>0</v>
      </c>
    </row>
    <row r="163" outlineLevel="1">
      <c r="A163" s="1"/>
      <c r="B163" s="76" t="s">
        <v>377</v>
      </c>
      <c r="C163" s="103" t="str">
        <f>'Get Started'!$C$20</f>
        <v>$</v>
      </c>
      <c r="D163" s="78"/>
      <c r="E163" s="78"/>
      <c r="F163" s="78"/>
      <c r="G163" s="78"/>
      <c r="H163" s="79" t="s">
        <v>183</v>
      </c>
      <c r="I163" s="87">
        <f t="shared" si="113"/>
        <v>0</v>
      </c>
      <c r="J163" s="93"/>
      <c r="K163" s="79" t="s">
        <v>378</v>
      </c>
      <c r="L163" s="79"/>
      <c r="M163" s="93"/>
      <c r="N163" s="93"/>
      <c r="O163" s="93"/>
      <c r="P163" s="93"/>
      <c r="Q163" s="93"/>
      <c r="R163" s="93"/>
      <c r="S163" s="93"/>
      <c r="T163" s="67">
        <f>if(T$5="","",sum(T152,T159,T161,T162))</f>
        <v>0</v>
      </c>
      <c r="U163" s="67">
        <f t="shared" ref="U163:BC163" si="115">sum(U152,U159,U161,U162)</f>
        <v>0</v>
      </c>
      <c r="V163" s="67">
        <f t="shared" si="115"/>
        <v>0</v>
      </c>
      <c r="W163" s="67">
        <f t="shared" si="115"/>
        <v>0</v>
      </c>
      <c r="X163" s="67">
        <f t="shared" si="115"/>
        <v>0</v>
      </c>
      <c r="Y163" s="67">
        <f t="shared" si="115"/>
        <v>0</v>
      </c>
      <c r="Z163" s="67">
        <f t="shared" si="115"/>
        <v>0</v>
      </c>
      <c r="AA163" s="67">
        <f t="shared" si="115"/>
        <v>0</v>
      </c>
      <c r="AB163" s="67">
        <f t="shared" si="115"/>
        <v>0</v>
      </c>
      <c r="AC163" s="67">
        <f t="shared" si="115"/>
        <v>0</v>
      </c>
      <c r="AD163" s="67">
        <f t="shared" si="115"/>
        <v>0</v>
      </c>
      <c r="AE163" s="67">
        <f t="shared" si="115"/>
        <v>0</v>
      </c>
      <c r="AF163" s="67">
        <f t="shared" si="115"/>
        <v>0</v>
      </c>
      <c r="AG163" s="67">
        <f t="shared" si="115"/>
        <v>0</v>
      </c>
      <c r="AH163" s="67">
        <f t="shared" si="115"/>
        <v>0</v>
      </c>
      <c r="AI163" s="67">
        <f t="shared" si="115"/>
        <v>0</v>
      </c>
      <c r="AJ163" s="67">
        <f t="shared" si="115"/>
        <v>0</v>
      </c>
      <c r="AK163" s="67">
        <f t="shared" si="115"/>
        <v>0</v>
      </c>
      <c r="AL163" s="67">
        <f t="shared" si="115"/>
        <v>0</v>
      </c>
      <c r="AM163" s="67">
        <f t="shared" si="115"/>
        <v>0</v>
      </c>
      <c r="AN163" s="67">
        <f t="shared" si="115"/>
        <v>0</v>
      </c>
      <c r="AO163" s="67">
        <f t="shared" si="115"/>
        <v>0</v>
      </c>
      <c r="AP163" s="67">
        <f t="shared" si="115"/>
        <v>0</v>
      </c>
      <c r="AQ163" s="67">
        <f t="shared" si="115"/>
        <v>0</v>
      </c>
      <c r="AR163" s="67">
        <f t="shared" si="115"/>
        <v>0</v>
      </c>
      <c r="AS163" s="67">
        <f t="shared" si="115"/>
        <v>0</v>
      </c>
      <c r="AT163" s="67">
        <f t="shared" si="115"/>
        <v>0</v>
      </c>
      <c r="AU163" s="67">
        <f t="shared" si="115"/>
        <v>0</v>
      </c>
      <c r="AV163" s="67">
        <f t="shared" si="115"/>
        <v>0</v>
      </c>
      <c r="AW163" s="67">
        <f t="shared" si="115"/>
        <v>0</v>
      </c>
      <c r="AX163" s="67">
        <f t="shared" si="115"/>
        <v>0</v>
      </c>
      <c r="AY163" s="67">
        <f t="shared" si="115"/>
        <v>0</v>
      </c>
      <c r="AZ163" s="67">
        <f t="shared" si="115"/>
        <v>0</v>
      </c>
      <c r="BA163" s="67">
        <f t="shared" si="115"/>
        <v>0</v>
      </c>
      <c r="BB163" s="67">
        <f t="shared" si="115"/>
        <v>0</v>
      </c>
      <c r="BC163" s="67">
        <f t="shared" si="115"/>
        <v>0</v>
      </c>
    </row>
    <row r="164" outlineLevel="1">
      <c r="A164" s="1"/>
      <c r="B164" s="76"/>
      <c r="C164" s="30"/>
      <c r="D164" s="78"/>
      <c r="E164" s="78"/>
      <c r="F164" s="78"/>
      <c r="G164" s="78"/>
      <c r="H164" s="1"/>
      <c r="I164" s="78"/>
      <c r="J164" s="93"/>
      <c r="K164" s="79"/>
      <c r="L164" s="79"/>
      <c r="M164" s="93"/>
      <c r="N164" s="93"/>
      <c r="O164" s="93"/>
      <c r="P164" s="93"/>
      <c r="Q164" s="93"/>
      <c r="R164" s="93"/>
      <c r="S164" s="93"/>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row>
    <row r="165" outlineLevel="1">
      <c r="A165" s="1"/>
      <c r="B165" s="76" t="s">
        <v>379</v>
      </c>
      <c r="C165" s="30"/>
      <c r="D165" s="78"/>
      <c r="E165" s="78"/>
      <c r="F165" s="78"/>
      <c r="G165" s="78"/>
      <c r="H165" s="79" t="s">
        <v>196</v>
      </c>
      <c r="I165" s="87">
        <f t="array" ref="I165">if(H165="sum",sum(T165:BC165),if(H165="final",index(T165:BC165,match(99^99,T165:BC165,1)),if(H165="initial",T165,if(H165="average",average(T165:BC165),0))))</f>
        <v>0</v>
      </c>
      <c r="J165" s="93"/>
      <c r="K165" s="79" t="s">
        <v>380</v>
      </c>
      <c r="L165" s="79"/>
      <c r="M165" s="93"/>
      <c r="N165" s="93"/>
      <c r="O165" s="93"/>
      <c r="P165" s="93"/>
      <c r="Q165" s="93"/>
      <c r="R165" s="93"/>
      <c r="S165" s="93"/>
      <c r="T165" s="67">
        <f>Statements!R61</f>
        <v>0</v>
      </c>
      <c r="U165" s="67">
        <f t="shared" ref="U165:BC165" si="116">T170</f>
        <v>0</v>
      </c>
      <c r="V165" s="67">
        <f t="shared" si="116"/>
        <v>0</v>
      </c>
      <c r="W165" s="67">
        <f t="shared" si="116"/>
        <v>0</v>
      </c>
      <c r="X165" s="67">
        <f t="shared" si="116"/>
        <v>0</v>
      </c>
      <c r="Y165" s="67">
        <f t="shared" si="116"/>
        <v>0</v>
      </c>
      <c r="Z165" s="67">
        <f t="shared" si="116"/>
        <v>0</v>
      </c>
      <c r="AA165" s="67">
        <f t="shared" si="116"/>
        <v>0</v>
      </c>
      <c r="AB165" s="67">
        <f t="shared" si="116"/>
        <v>0</v>
      </c>
      <c r="AC165" s="67">
        <f t="shared" si="116"/>
        <v>0</v>
      </c>
      <c r="AD165" s="67">
        <f t="shared" si="116"/>
        <v>0</v>
      </c>
      <c r="AE165" s="67">
        <f t="shared" si="116"/>
        <v>0</v>
      </c>
      <c r="AF165" s="67">
        <f t="shared" si="116"/>
        <v>0</v>
      </c>
      <c r="AG165" s="67">
        <f t="shared" si="116"/>
        <v>0</v>
      </c>
      <c r="AH165" s="67">
        <f t="shared" si="116"/>
        <v>0</v>
      </c>
      <c r="AI165" s="67">
        <f t="shared" si="116"/>
        <v>0</v>
      </c>
      <c r="AJ165" s="67">
        <f t="shared" si="116"/>
        <v>0</v>
      </c>
      <c r="AK165" s="67">
        <f t="shared" si="116"/>
        <v>0</v>
      </c>
      <c r="AL165" s="67">
        <f t="shared" si="116"/>
        <v>0</v>
      </c>
      <c r="AM165" s="67">
        <f t="shared" si="116"/>
        <v>0</v>
      </c>
      <c r="AN165" s="67">
        <f t="shared" si="116"/>
        <v>0</v>
      </c>
      <c r="AO165" s="67">
        <f t="shared" si="116"/>
        <v>0</v>
      </c>
      <c r="AP165" s="67">
        <f t="shared" si="116"/>
        <v>0</v>
      </c>
      <c r="AQ165" s="67">
        <f t="shared" si="116"/>
        <v>0</v>
      </c>
      <c r="AR165" s="67">
        <f t="shared" si="116"/>
        <v>0</v>
      </c>
      <c r="AS165" s="67">
        <f t="shared" si="116"/>
        <v>0</v>
      </c>
      <c r="AT165" s="67">
        <f t="shared" si="116"/>
        <v>0</v>
      </c>
      <c r="AU165" s="67">
        <f t="shared" si="116"/>
        <v>0</v>
      </c>
      <c r="AV165" s="67">
        <f t="shared" si="116"/>
        <v>0</v>
      </c>
      <c r="AW165" s="67">
        <f t="shared" si="116"/>
        <v>0</v>
      </c>
      <c r="AX165" s="67">
        <f t="shared" si="116"/>
        <v>0</v>
      </c>
      <c r="AY165" s="67">
        <f t="shared" si="116"/>
        <v>0</v>
      </c>
      <c r="AZ165" s="67">
        <f t="shared" si="116"/>
        <v>0</v>
      </c>
      <c r="BA165" s="67">
        <f t="shared" si="116"/>
        <v>0</v>
      </c>
      <c r="BB165" s="67">
        <f t="shared" si="116"/>
        <v>0</v>
      </c>
      <c r="BC165" s="67">
        <f t="shared" si="116"/>
        <v>0</v>
      </c>
    </row>
    <row r="166" outlineLevel="1">
      <c r="A166" s="1"/>
      <c r="B166" s="76" t="s">
        <v>381</v>
      </c>
      <c r="C166" s="103" t="str">
        <f>'Get Started'!$C$20</f>
        <v>$</v>
      </c>
      <c r="D166" s="78"/>
      <c r="E166" s="78"/>
      <c r="F166" s="78"/>
      <c r="G166" s="78"/>
      <c r="H166" s="79" t="s">
        <v>193</v>
      </c>
      <c r="I166" s="87">
        <f t="array" ref="I166">if(H166="sum",sum(T166:BC166),if(H166="final",index(T166:BC166,match(99^99,T166:BC166,1)),if(H166="initial",T165,if(H166="average",average(T166:BC166),0))))</f>
        <v>0</v>
      </c>
      <c r="J166" s="93"/>
      <c r="K166" s="79" t="s">
        <v>382</v>
      </c>
      <c r="L166" s="79"/>
      <c r="M166" s="93"/>
      <c r="N166" s="93"/>
      <c r="O166" s="93"/>
      <c r="P166" s="93"/>
      <c r="Q166" s="93"/>
      <c r="R166" s="93"/>
      <c r="S166" s="93"/>
      <c r="T166" s="67">
        <f t="shared" ref="T166:BC166" si="117">T159</f>
        <v>0</v>
      </c>
      <c r="U166" s="67">
        <f t="shared" si="117"/>
        <v>0</v>
      </c>
      <c r="V166" s="67">
        <f t="shared" si="117"/>
        <v>0</v>
      </c>
      <c r="W166" s="67">
        <f t="shared" si="117"/>
        <v>0</v>
      </c>
      <c r="X166" s="67">
        <f t="shared" si="117"/>
        <v>0</v>
      </c>
      <c r="Y166" s="67">
        <f t="shared" si="117"/>
        <v>0</v>
      </c>
      <c r="Z166" s="67">
        <f t="shared" si="117"/>
        <v>0</v>
      </c>
      <c r="AA166" s="67">
        <f t="shared" si="117"/>
        <v>0</v>
      </c>
      <c r="AB166" s="67">
        <f t="shared" si="117"/>
        <v>0</v>
      </c>
      <c r="AC166" s="67">
        <f t="shared" si="117"/>
        <v>0</v>
      </c>
      <c r="AD166" s="67">
        <f t="shared" si="117"/>
        <v>0</v>
      </c>
      <c r="AE166" s="67">
        <f t="shared" si="117"/>
        <v>0</v>
      </c>
      <c r="AF166" s="67">
        <f t="shared" si="117"/>
        <v>0</v>
      </c>
      <c r="AG166" s="67">
        <f t="shared" si="117"/>
        <v>0</v>
      </c>
      <c r="AH166" s="67">
        <f t="shared" si="117"/>
        <v>0</v>
      </c>
      <c r="AI166" s="67">
        <f t="shared" si="117"/>
        <v>0</v>
      </c>
      <c r="AJ166" s="67">
        <f t="shared" si="117"/>
        <v>0</v>
      </c>
      <c r="AK166" s="67">
        <f t="shared" si="117"/>
        <v>0</v>
      </c>
      <c r="AL166" s="67">
        <f t="shared" si="117"/>
        <v>0</v>
      </c>
      <c r="AM166" s="67">
        <f t="shared" si="117"/>
        <v>0</v>
      </c>
      <c r="AN166" s="67">
        <f t="shared" si="117"/>
        <v>0</v>
      </c>
      <c r="AO166" s="67">
        <f t="shared" si="117"/>
        <v>0</v>
      </c>
      <c r="AP166" s="67">
        <f t="shared" si="117"/>
        <v>0</v>
      </c>
      <c r="AQ166" s="67">
        <f t="shared" si="117"/>
        <v>0</v>
      </c>
      <c r="AR166" s="67">
        <f t="shared" si="117"/>
        <v>0</v>
      </c>
      <c r="AS166" s="67">
        <f t="shared" si="117"/>
        <v>0</v>
      </c>
      <c r="AT166" s="67">
        <f t="shared" si="117"/>
        <v>0</v>
      </c>
      <c r="AU166" s="67">
        <f t="shared" si="117"/>
        <v>0</v>
      </c>
      <c r="AV166" s="67">
        <f t="shared" si="117"/>
        <v>0</v>
      </c>
      <c r="AW166" s="67">
        <f t="shared" si="117"/>
        <v>0</v>
      </c>
      <c r="AX166" s="67">
        <f t="shared" si="117"/>
        <v>0</v>
      </c>
      <c r="AY166" s="67">
        <f t="shared" si="117"/>
        <v>0</v>
      </c>
      <c r="AZ166" s="67">
        <f t="shared" si="117"/>
        <v>0</v>
      </c>
      <c r="BA166" s="67">
        <f t="shared" si="117"/>
        <v>0</v>
      </c>
      <c r="BB166" s="67">
        <f t="shared" si="117"/>
        <v>0</v>
      </c>
      <c r="BC166" s="67">
        <f t="shared" si="117"/>
        <v>0</v>
      </c>
    </row>
    <row r="167" outlineLevel="1">
      <c r="A167" s="1"/>
      <c r="B167" s="76" t="s">
        <v>383</v>
      </c>
      <c r="C167" s="103" t="str">
        <f>'Get Started'!$C$20</f>
        <v>$</v>
      </c>
      <c r="D167" s="78"/>
      <c r="E167" s="78"/>
      <c r="F167" s="78"/>
      <c r="G167" s="78"/>
      <c r="H167" s="79" t="s">
        <v>193</v>
      </c>
      <c r="I167" s="87">
        <f t="shared" ref="I167:I170" si="118">if(H167="sum",sum(T167:BC167),if(H167="final",index(T167:BC167,match(99^99,T167:BC167,1)),if(H167="initial",T167,if(H167="average",average(T167:BC167),0))))</f>
        <v>0</v>
      </c>
      <c r="J167" s="93"/>
      <c r="K167" s="79" t="s">
        <v>384</v>
      </c>
      <c r="L167" s="79"/>
      <c r="M167" s="93"/>
      <c r="N167" s="93"/>
      <c r="O167" s="93"/>
      <c r="P167" s="93"/>
      <c r="Q167" s="93"/>
      <c r="R167" s="93"/>
      <c r="S167" s="93"/>
      <c r="T167" s="67">
        <f>T166*-1*'Get Started'!$D48</f>
        <v>0</v>
      </c>
      <c r="U167" s="67">
        <f>U166*-1*'Get Started'!$D48</f>
        <v>0</v>
      </c>
      <c r="V167" s="67">
        <f>V166*-1*'Get Started'!$D48</f>
        <v>0</v>
      </c>
      <c r="W167" s="67">
        <f>W166*-1*'Get Started'!$D48</f>
        <v>0</v>
      </c>
      <c r="X167" s="67">
        <f>X166*-1*'Get Started'!$D48</f>
        <v>0</v>
      </c>
      <c r="Y167" s="67">
        <f>Y166*-1*'Get Started'!$D48</f>
        <v>0</v>
      </c>
      <c r="Z167" s="67">
        <f>Z166*-1*'Get Started'!$D48</f>
        <v>0</v>
      </c>
      <c r="AA167" s="67">
        <f>AA166*-1*'Get Started'!$D48</f>
        <v>0</v>
      </c>
      <c r="AB167" s="67">
        <f>AB166*-1*'Get Started'!$D48</f>
        <v>0</v>
      </c>
      <c r="AC167" s="67">
        <f>AC166*-1*'Get Started'!$D48</f>
        <v>0</v>
      </c>
      <c r="AD167" s="67">
        <f>AD166*-1*'Get Started'!$D48</f>
        <v>0</v>
      </c>
      <c r="AE167" s="67">
        <f>AE166*-1*'Get Started'!$D48</f>
        <v>0</v>
      </c>
      <c r="AF167" s="67">
        <f>AF166*-1*'Get Started'!$D48</f>
        <v>0</v>
      </c>
      <c r="AG167" s="67">
        <f>AG166*-1*'Get Started'!$D48</f>
        <v>0</v>
      </c>
      <c r="AH167" s="67">
        <f>AH166*-1*'Get Started'!$D48</f>
        <v>0</v>
      </c>
      <c r="AI167" s="67">
        <f>AI166*-1*'Get Started'!$D48</f>
        <v>0</v>
      </c>
      <c r="AJ167" s="67">
        <f>AJ166*-1*'Get Started'!$D48</f>
        <v>0</v>
      </c>
      <c r="AK167" s="67">
        <f>AK166*-1*'Get Started'!$D48</f>
        <v>0</v>
      </c>
      <c r="AL167" s="67">
        <f>AL166*-1*'Get Started'!$D48</f>
        <v>0</v>
      </c>
      <c r="AM167" s="67">
        <f>AM166*-1*'Get Started'!$D48</f>
        <v>0</v>
      </c>
      <c r="AN167" s="67">
        <f>AN166*-1*'Get Started'!$D48</f>
        <v>0</v>
      </c>
      <c r="AO167" s="67">
        <f>AO166*-1*'Get Started'!$D48</f>
        <v>0</v>
      </c>
      <c r="AP167" s="67">
        <f>AP166*-1*'Get Started'!$D48</f>
        <v>0</v>
      </c>
      <c r="AQ167" s="67">
        <f>AQ166*-1*'Get Started'!$D48</f>
        <v>0</v>
      </c>
      <c r="AR167" s="67">
        <f>AR166*-1*'Get Started'!$D48</f>
        <v>0</v>
      </c>
      <c r="AS167" s="67">
        <f>AS166*-1*'Get Started'!$D48</f>
        <v>0</v>
      </c>
      <c r="AT167" s="67">
        <f>AT166*-1*'Get Started'!$D48</f>
        <v>0</v>
      </c>
      <c r="AU167" s="67">
        <f>AU166*-1*'Get Started'!$D48</f>
        <v>0</v>
      </c>
      <c r="AV167" s="67">
        <f>AV166*-1*'Get Started'!$D48</f>
        <v>0</v>
      </c>
      <c r="AW167" s="67">
        <f>AW166*-1*'Get Started'!$D48</f>
        <v>0</v>
      </c>
      <c r="AX167" s="67">
        <f>AX166*-1*'Get Started'!$D48</f>
        <v>0</v>
      </c>
      <c r="AY167" s="67">
        <f>AY166*-1*'Get Started'!$D48</f>
        <v>0</v>
      </c>
      <c r="AZ167" s="67">
        <f>AZ166*-1*'Get Started'!$D48</f>
        <v>0</v>
      </c>
      <c r="BA167" s="67">
        <f>BA166*-1*'Get Started'!$D48</f>
        <v>0</v>
      </c>
      <c r="BB167" s="67">
        <f>BB166*-1*'Get Started'!$D48</f>
        <v>0</v>
      </c>
      <c r="BC167" s="67">
        <f>BC166*-1*'Get Started'!$D48</f>
        <v>0</v>
      </c>
    </row>
    <row r="168" outlineLevel="1">
      <c r="A168" s="1"/>
      <c r="B168" s="76" t="str">
        <f>if('Get Started'!D49=0,"Not applicable","Paid "&amp;'Get Started'!D49&amp;" Days after Purchase")</f>
        <v>Not applicable</v>
      </c>
      <c r="C168" s="103" t="str">
        <f>'Get Started'!$C$20</f>
        <v>$</v>
      </c>
      <c r="D168" s="78"/>
      <c r="E168" s="78"/>
      <c r="F168" s="78"/>
      <c r="G168" s="78"/>
      <c r="H168" s="79" t="s">
        <v>193</v>
      </c>
      <c r="I168" s="87">
        <f t="shared" si="118"/>
        <v>0</v>
      </c>
      <c r="J168" s="93"/>
      <c r="K168" s="79" t="s">
        <v>385</v>
      </c>
      <c r="L168" s="79"/>
      <c r="M168" s="93"/>
      <c r="N168" s="93"/>
      <c r="O168" s="93"/>
      <c r="P168" s="93"/>
      <c r="Q168" s="93"/>
      <c r="R168" s="93"/>
      <c r="S168" s="93"/>
      <c r="T168" s="67">
        <f>-1*MAX(0,1-'Get Started'!$D48)*IF(ROUNDUP('Get Started'!$D$49*if('Get Started'!$D10="annual",12,if('Get Started'!$D10="quarterly",4,1))/(365/12),0)&gt;=T5,0,OFFSET(T166,0,-ROUNDUP('Get Started'!$D$49/(365/12),0)))</f>
        <v>0</v>
      </c>
      <c r="U168" s="67">
        <f>-1*MAX(0,1-'Get Started'!$D48)*IF(ROUNDUP('Get Started'!$D$49*if('Get Started'!$D10="annual",12,if('Get Started'!$D10="quarterly",4,1))/(365/12),0)&gt;=U5,0,OFFSET(U166,0,-ROUNDUP('Get Started'!$D$49/(365/12),0)))</f>
        <v>0</v>
      </c>
      <c r="V168" s="67">
        <f>-1*MAX(0,1-'Get Started'!$D48)*IF(ROUNDUP('Get Started'!$D$49*if('Get Started'!$D10="annual",12,if('Get Started'!$D10="quarterly",4,1))/(365/12),0)&gt;=V5,0,OFFSET(V166,0,-ROUNDUP('Get Started'!$D$49/(365/12),0)))</f>
        <v>0</v>
      </c>
      <c r="W168" s="67">
        <f>-1*MAX(0,1-'Get Started'!$D48)*IF(ROUNDUP('Get Started'!$D$49*if('Get Started'!$D10="annual",12,if('Get Started'!$D10="quarterly",4,1))/(365/12),0)&gt;=W5,0,OFFSET(W166,0,-ROUNDUP('Get Started'!$D$49/(365/12),0)))</f>
        <v>0</v>
      </c>
      <c r="X168" s="67">
        <f>-1*MAX(0,1-'Get Started'!$D48)*IF(ROUNDUP('Get Started'!$D$49*if('Get Started'!$D10="annual",12,if('Get Started'!$D10="quarterly",4,1))/(365/12),0)&gt;=X5,0,OFFSET(X166,0,-ROUNDUP('Get Started'!$D$49/(365/12),0)))</f>
        <v>0</v>
      </c>
      <c r="Y168" s="67">
        <f>-1*MAX(0,1-'Get Started'!$D48)*IF(ROUNDUP('Get Started'!$D$49*if('Get Started'!$D10="annual",12,if('Get Started'!$D10="quarterly",4,1))/(365/12),0)&gt;=Y5,0,OFFSET(Y166,0,-ROUNDUP('Get Started'!$D$49/(365/12),0)))</f>
        <v>0</v>
      </c>
      <c r="Z168" s="67">
        <f>-1*MAX(0,1-'Get Started'!$D48)*IF(ROUNDUP('Get Started'!$D$49*if('Get Started'!$D10="annual",12,if('Get Started'!$D10="quarterly",4,1))/(365/12),0)&gt;=Z5,0,OFFSET(Z166,0,-ROUNDUP('Get Started'!$D$49/(365/12),0)))</f>
        <v>0</v>
      </c>
      <c r="AA168" s="67">
        <f>-1*MAX(0,1-'Get Started'!$D48)*IF(ROUNDUP('Get Started'!$D$49*if('Get Started'!$D10="annual",12,if('Get Started'!$D10="quarterly",4,1))/(365/12),0)&gt;=AA5,0,OFFSET(AA166,0,-ROUNDUP('Get Started'!$D$49/(365/12),0)))</f>
        <v>0</v>
      </c>
      <c r="AB168" s="67">
        <f>-1*MAX(0,1-'Get Started'!$D48)*IF(ROUNDUP('Get Started'!$D$49*if('Get Started'!$D10="annual",12,if('Get Started'!$D10="quarterly",4,1))/(365/12),0)&gt;=AB5,0,OFFSET(AB166,0,-ROUNDUP('Get Started'!$D$49/(365/12),0)))</f>
        <v>0</v>
      </c>
      <c r="AC168" s="67">
        <f>-1*MAX(0,1-'Get Started'!$D48)*IF(ROUNDUP('Get Started'!$D$49*if('Get Started'!$D10="annual",12,if('Get Started'!$D10="quarterly",4,1))/(365/12),0)&gt;=AC5,0,OFFSET(AC166,0,-ROUNDUP('Get Started'!$D$49/(365/12),0)))</f>
        <v>0</v>
      </c>
      <c r="AD168" s="67">
        <f>-1*MAX(0,1-'Get Started'!$D48)*IF(ROUNDUP('Get Started'!$D$49*if('Get Started'!$D10="annual",12,if('Get Started'!$D10="quarterly",4,1))/(365/12),0)&gt;=AD5,0,OFFSET(AD166,0,-ROUNDUP('Get Started'!$D$49/(365/12),0)))</f>
        <v>0</v>
      </c>
      <c r="AE168" s="67">
        <f>-1*MAX(0,1-'Get Started'!$D48)*IF(ROUNDUP('Get Started'!$D$49*if('Get Started'!$D10="annual",12,if('Get Started'!$D10="quarterly",4,1))/(365/12),0)&gt;=AE5,0,OFFSET(AE166,0,-ROUNDUP('Get Started'!$D$49/(365/12),0)))</f>
        <v>0</v>
      </c>
      <c r="AF168" s="67">
        <f>-1*MAX(0,1-'Get Started'!$D48)*IF(ROUNDUP('Get Started'!$D$49*if('Get Started'!$D10="annual",12,if('Get Started'!$D10="quarterly",4,1))/(365/12),0)&gt;=AF5,0,OFFSET(AF166,0,-ROUNDUP('Get Started'!$D$49/(365/12),0)))</f>
        <v>0</v>
      </c>
      <c r="AG168" s="67">
        <f>-1*MAX(0,1-'Get Started'!$D48)*IF(ROUNDUP('Get Started'!$D$49*if('Get Started'!$D10="annual",12,if('Get Started'!$D10="quarterly",4,1))/(365/12),0)&gt;=AG5,0,OFFSET(AG166,0,-ROUNDUP('Get Started'!$D$49/(365/12),0)))</f>
        <v>0</v>
      </c>
      <c r="AH168" s="67">
        <f>-1*MAX(0,1-'Get Started'!$D48)*IF(ROUNDUP('Get Started'!$D$49*if('Get Started'!$D10="annual",12,if('Get Started'!$D10="quarterly",4,1))/(365/12),0)&gt;=AH5,0,OFFSET(AH166,0,-ROUNDUP('Get Started'!$D$49/(365/12),0)))</f>
        <v>0</v>
      </c>
      <c r="AI168" s="67">
        <f>-1*MAX(0,1-'Get Started'!$D48)*IF(ROUNDUP('Get Started'!$D$49*if('Get Started'!$D10="annual",12,if('Get Started'!$D10="quarterly",4,1))/(365/12),0)&gt;=AI5,0,OFFSET(AI166,0,-ROUNDUP('Get Started'!$D$49/(365/12),0)))</f>
        <v>0</v>
      </c>
      <c r="AJ168" s="67">
        <f>-1*MAX(0,1-'Get Started'!$D48)*IF(ROUNDUP('Get Started'!$D$49*if('Get Started'!$D10="annual",12,if('Get Started'!$D10="quarterly",4,1))/(365/12),0)&gt;=AJ5,0,OFFSET(AJ166,0,-ROUNDUP('Get Started'!$D$49/(365/12),0)))</f>
        <v>0</v>
      </c>
      <c r="AK168" s="67">
        <f>-1*MAX(0,1-'Get Started'!$D48)*IF(ROUNDUP('Get Started'!$D$49*if('Get Started'!$D10="annual",12,if('Get Started'!$D10="quarterly",4,1))/(365/12),0)&gt;=AK5,0,OFFSET(AK166,0,-ROUNDUP('Get Started'!$D$49/(365/12),0)))</f>
        <v>0</v>
      </c>
      <c r="AL168" s="67">
        <f>-1*MAX(0,1-'Get Started'!$D48)*IF(ROUNDUP('Get Started'!$D$49*if('Get Started'!$D10="annual",12,if('Get Started'!$D10="quarterly",4,1))/(365/12),0)&gt;=AL5,0,OFFSET(AL166,0,-ROUNDUP('Get Started'!$D$49/(365/12),0)))</f>
        <v>0</v>
      </c>
      <c r="AM168" s="67">
        <f>-1*MAX(0,1-'Get Started'!$D48)*IF(ROUNDUP('Get Started'!$D$49*if('Get Started'!$D10="annual",12,if('Get Started'!$D10="quarterly",4,1))/(365/12),0)&gt;=AM5,0,OFFSET(AM166,0,-ROUNDUP('Get Started'!$D$49/(365/12),0)))</f>
        <v>0</v>
      </c>
      <c r="AN168" s="67">
        <f>-1*MAX(0,1-'Get Started'!$D48)*IF(ROUNDUP('Get Started'!$D$49*if('Get Started'!$D10="annual",12,if('Get Started'!$D10="quarterly",4,1))/(365/12),0)&gt;=AN5,0,OFFSET(AN166,0,-ROUNDUP('Get Started'!$D$49/(365/12),0)))</f>
        <v>0</v>
      </c>
      <c r="AO168" s="67">
        <f>-1*MAX(0,1-'Get Started'!$D48)*IF(ROUNDUP('Get Started'!$D$49*if('Get Started'!$D10="annual",12,if('Get Started'!$D10="quarterly",4,1))/(365/12),0)&gt;=AO5,0,OFFSET(AO166,0,-ROUNDUP('Get Started'!$D$49/(365/12),0)))</f>
        <v>0</v>
      </c>
      <c r="AP168" s="67">
        <f>-1*MAX(0,1-'Get Started'!$D48)*IF(ROUNDUP('Get Started'!$D$49*if('Get Started'!$D10="annual",12,if('Get Started'!$D10="quarterly",4,1))/(365/12),0)&gt;=AP5,0,OFFSET(AP166,0,-ROUNDUP('Get Started'!$D$49/(365/12),0)))</f>
        <v>0</v>
      </c>
      <c r="AQ168" s="67">
        <f>-1*MAX(0,1-'Get Started'!$D48)*IF(ROUNDUP('Get Started'!$D$49*if('Get Started'!$D10="annual",12,if('Get Started'!$D10="quarterly",4,1))/(365/12),0)&gt;=AQ5,0,OFFSET(AQ166,0,-ROUNDUP('Get Started'!$D$49/(365/12),0)))</f>
        <v>0</v>
      </c>
      <c r="AR168" s="67">
        <f>-1*MAX(0,1-'Get Started'!$D48)*IF(ROUNDUP('Get Started'!$D$49*if('Get Started'!$D10="annual",12,if('Get Started'!$D10="quarterly",4,1))/(365/12),0)&gt;=AR5,0,OFFSET(AR166,0,-ROUNDUP('Get Started'!$D$49/(365/12),0)))</f>
        <v>0</v>
      </c>
      <c r="AS168" s="67">
        <f>-1*MAX(0,1-'Get Started'!$D48)*IF(ROUNDUP('Get Started'!$D$49*if('Get Started'!$D10="annual",12,if('Get Started'!$D10="quarterly",4,1))/(365/12),0)&gt;=AS5,0,OFFSET(AS166,0,-ROUNDUP('Get Started'!$D$49/(365/12),0)))</f>
        <v>0</v>
      </c>
      <c r="AT168" s="67">
        <f>-1*MAX(0,1-'Get Started'!$D48)*IF(ROUNDUP('Get Started'!$D$49*if('Get Started'!$D10="annual",12,if('Get Started'!$D10="quarterly",4,1))/(365/12),0)&gt;=AT5,0,OFFSET(AT166,0,-ROUNDUP('Get Started'!$D$49/(365/12),0)))</f>
        <v>0</v>
      </c>
      <c r="AU168" s="67">
        <f>-1*MAX(0,1-'Get Started'!$D48)*IF(ROUNDUP('Get Started'!$D$49*if('Get Started'!$D10="annual",12,if('Get Started'!$D10="quarterly",4,1))/(365/12),0)&gt;=AU5,0,OFFSET(AU166,0,-ROUNDUP('Get Started'!$D$49/(365/12),0)))</f>
        <v>0</v>
      </c>
      <c r="AV168" s="67">
        <f>-1*MAX(0,1-'Get Started'!$D48)*IF(ROUNDUP('Get Started'!$D$49*if('Get Started'!$D10="annual",12,if('Get Started'!$D10="quarterly",4,1))/(365/12),0)&gt;=AV5,0,OFFSET(AV166,0,-ROUNDUP('Get Started'!$D$49/(365/12),0)))</f>
        <v>0</v>
      </c>
      <c r="AW168" s="67">
        <f>-1*MAX(0,1-'Get Started'!$D48)*IF(ROUNDUP('Get Started'!$D$49*if('Get Started'!$D10="annual",12,if('Get Started'!$D10="quarterly",4,1))/(365/12),0)&gt;=AW5,0,OFFSET(AW166,0,-ROUNDUP('Get Started'!$D$49/(365/12),0)))</f>
        <v>0</v>
      </c>
      <c r="AX168" s="67">
        <f>-1*MAX(0,1-'Get Started'!$D48)*IF(ROUNDUP('Get Started'!$D$49*if('Get Started'!$D10="annual",12,if('Get Started'!$D10="quarterly",4,1))/(365/12),0)&gt;=AX5,0,OFFSET(AX166,0,-ROUNDUP('Get Started'!$D$49/(365/12),0)))</f>
        <v>0</v>
      </c>
      <c r="AY168" s="67">
        <f>-1*MAX(0,1-'Get Started'!$D48)*IF(ROUNDUP('Get Started'!$D$49*if('Get Started'!$D10="annual",12,if('Get Started'!$D10="quarterly",4,1))/(365/12),0)&gt;=AY5,0,OFFSET(AY166,0,-ROUNDUP('Get Started'!$D$49/(365/12),0)))</f>
        <v>0</v>
      </c>
      <c r="AZ168" s="67">
        <f>-1*MAX(0,1-'Get Started'!$D48)*IF(ROUNDUP('Get Started'!$D$49*if('Get Started'!$D10="annual",12,if('Get Started'!$D10="quarterly",4,1))/(365/12),0)&gt;=AZ5,0,OFFSET(AZ166,0,-ROUNDUP('Get Started'!$D$49/(365/12),0)))</f>
        <v>0</v>
      </c>
      <c r="BA168" s="67">
        <f>-1*MAX(0,1-'Get Started'!$D48)*IF(ROUNDUP('Get Started'!$D$49*if('Get Started'!$D10="annual",12,if('Get Started'!$D10="quarterly",4,1))/(365/12),0)&gt;=BA5,0,OFFSET(BA166,0,-ROUNDUP('Get Started'!$D$49/(365/12),0)))</f>
        <v>0</v>
      </c>
      <c r="BB168" s="67">
        <f>-1*MAX(0,1-'Get Started'!$D48)*IF(ROUNDUP('Get Started'!$D$49*if('Get Started'!$D10="annual",12,if('Get Started'!$D10="quarterly",4,1))/(365/12),0)&gt;=BB5,0,OFFSET(BB166,0,-ROUNDUP('Get Started'!$D$49/(365/12),0)))</f>
        <v>0</v>
      </c>
      <c r="BC168" s="67">
        <f>-1*MAX(0,1-'Get Started'!$D48)*IF(ROUNDUP('Get Started'!$D$49*if('Get Started'!$D10="annual",12,if('Get Started'!$D10="quarterly",4,1))/(365/12),0)&gt;=BC5,0,OFFSET(BC166,0,-ROUNDUP('Get Started'!$D$49/(365/12),0)))</f>
        <v>0</v>
      </c>
    </row>
    <row r="169" outlineLevel="1">
      <c r="A169" s="1"/>
      <c r="B169" s="76" t="s">
        <v>386</v>
      </c>
      <c r="C169" s="103" t="str">
        <f>'Get Started'!$C$20</f>
        <v>$</v>
      </c>
      <c r="D169" s="78"/>
      <c r="E169" s="78"/>
      <c r="F169" s="78"/>
      <c r="G169" s="78"/>
      <c r="H169" s="79" t="s">
        <v>193</v>
      </c>
      <c r="I169" s="87">
        <f t="shared" si="118"/>
        <v>0</v>
      </c>
      <c r="J169" s="93"/>
      <c r="K169" s="79" t="s">
        <v>387</v>
      </c>
      <c r="L169" s="79"/>
      <c r="M169" s="93"/>
      <c r="N169" s="93"/>
      <c r="O169" s="93"/>
      <c r="P169" s="93"/>
      <c r="Q169" s="93"/>
      <c r="R169" s="93"/>
      <c r="S169" s="93"/>
      <c r="T169" s="123"/>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3"/>
      <c r="AZ169" s="123"/>
      <c r="BA169" s="123"/>
      <c r="BB169" s="123"/>
      <c r="BC169" s="123"/>
    </row>
    <row r="170" outlineLevel="1">
      <c r="A170" s="1"/>
      <c r="B170" s="76" t="s">
        <v>388</v>
      </c>
      <c r="C170" s="103" t="str">
        <f>'Get Started'!$C$20</f>
        <v>$</v>
      </c>
      <c r="D170" s="78"/>
      <c r="E170" s="78"/>
      <c r="F170" s="78"/>
      <c r="G170" s="78"/>
      <c r="H170" s="79" t="s">
        <v>183</v>
      </c>
      <c r="I170" s="87">
        <f t="shared" si="118"/>
        <v>0</v>
      </c>
      <c r="J170" s="93"/>
      <c r="K170" s="79" t="s">
        <v>389</v>
      </c>
      <c r="L170" s="79"/>
      <c r="M170" s="93"/>
      <c r="N170" s="93"/>
      <c r="O170" s="93"/>
      <c r="P170" s="93"/>
      <c r="Q170" s="93"/>
      <c r="R170" s="93"/>
      <c r="S170" s="93"/>
      <c r="T170" s="76">
        <f t="shared" ref="T170:BC170" si="119">if(T$5="","",if(or(T169&lt;&gt;0,isblank(T169)),T169+T165,sum(T165:T168)))</f>
        <v>0</v>
      </c>
      <c r="U170" s="76">
        <f t="shared" si="119"/>
        <v>0</v>
      </c>
      <c r="V170" s="76">
        <f t="shared" si="119"/>
        <v>0</v>
      </c>
      <c r="W170" s="76">
        <f t="shared" si="119"/>
        <v>0</v>
      </c>
      <c r="X170" s="76">
        <f t="shared" si="119"/>
        <v>0</v>
      </c>
      <c r="Y170" s="76">
        <f t="shared" si="119"/>
        <v>0</v>
      </c>
      <c r="Z170" s="76">
        <f t="shared" si="119"/>
        <v>0</v>
      </c>
      <c r="AA170" s="76">
        <f t="shared" si="119"/>
        <v>0</v>
      </c>
      <c r="AB170" s="76">
        <f t="shared" si="119"/>
        <v>0</v>
      </c>
      <c r="AC170" s="76">
        <f t="shared" si="119"/>
        <v>0</v>
      </c>
      <c r="AD170" s="76">
        <f t="shared" si="119"/>
        <v>0</v>
      </c>
      <c r="AE170" s="76">
        <f t="shared" si="119"/>
        <v>0</v>
      </c>
      <c r="AF170" s="76">
        <f t="shared" si="119"/>
        <v>0</v>
      </c>
      <c r="AG170" s="76">
        <f t="shared" si="119"/>
        <v>0</v>
      </c>
      <c r="AH170" s="76">
        <f t="shared" si="119"/>
        <v>0</v>
      </c>
      <c r="AI170" s="76">
        <f t="shared" si="119"/>
        <v>0</v>
      </c>
      <c r="AJ170" s="76">
        <f t="shared" si="119"/>
        <v>0</v>
      </c>
      <c r="AK170" s="76">
        <f t="shared" si="119"/>
        <v>0</v>
      </c>
      <c r="AL170" s="76">
        <f t="shared" si="119"/>
        <v>0</v>
      </c>
      <c r="AM170" s="76">
        <f t="shared" si="119"/>
        <v>0</v>
      </c>
      <c r="AN170" s="76">
        <f t="shared" si="119"/>
        <v>0</v>
      </c>
      <c r="AO170" s="76">
        <f t="shared" si="119"/>
        <v>0</v>
      </c>
      <c r="AP170" s="76">
        <f t="shared" si="119"/>
        <v>0</v>
      </c>
      <c r="AQ170" s="76">
        <f t="shared" si="119"/>
        <v>0</v>
      </c>
      <c r="AR170" s="76">
        <f t="shared" si="119"/>
        <v>0</v>
      </c>
      <c r="AS170" s="76">
        <f t="shared" si="119"/>
        <v>0</v>
      </c>
      <c r="AT170" s="76">
        <f t="shared" si="119"/>
        <v>0</v>
      </c>
      <c r="AU170" s="76">
        <f t="shared" si="119"/>
        <v>0</v>
      </c>
      <c r="AV170" s="76">
        <f t="shared" si="119"/>
        <v>0</v>
      </c>
      <c r="AW170" s="76">
        <f t="shared" si="119"/>
        <v>0</v>
      </c>
      <c r="AX170" s="76">
        <f t="shared" si="119"/>
        <v>0</v>
      </c>
      <c r="AY170" s="76">
        <f t="shared" si="119"/>
        <v>0</v>
      </c>
      <c r="AZ170" s="76">
        <f t="shared" si="119"/>
        <v>0</v>
      </c>
      <c r="BA170" s="76">
        <f t="shared" si="119"/>
        <v>0</v>
      </c>
      <c r="BB170" s="76">
        <f t="shared" si="119"/>
        <v>0</v>
      </c>
      <c r="BC170" s="76">
        <f t="shared" si="119"/>
        <v>0</v>
      </c>
    </row>
    <row r="171">
      <c r="A171" s="1"/>
      <c r="B171" s="22"/>
      <c r="C171" s="30"/>
      <c r="D171" s="78"/>
      <c r="E171" s="78"/>
      <c r="F171" s="78"/>
      <c r="G171" s="78"/>
      <c r="H171" s="1"/>
      <c r="I171" s="78"/>
      <c r="J171" s="93"/>
      <c r="K171" s="79"/>
      <c r="L171" s="79"/>
      <c r="M171" s="93"/>
      <c r="N171" s="93"/>
      <c r="O171" s="93"/>
      <c r="P171" s="93"/>
      <c r="Q171" s="93"/>
      <c r="R171" s="93"/>
      <c r="S171" s="93"/>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row>
    <row r="172">
      <c r="A172" s="1"/>
      <c r="B172" s="121" t="s">
        <v>390</v>
      </c>
      <c r="C172" s="30"/>
      <c r="D172" s="78"/>
      <c r="E172" s="78"/>
      <c r="F172" s="78"/>
      <c r="G172" s="78"/>
      <c r="H172" s="1"/>
      <c r="I172" s="78"/>
      <c r="J172" s="93"/>
      <c r="K172" s="79" t="s">
        <v>391</v>
      </c>
      <c r="L172" s="79"/>
      <c r="M172" s="93"/>
      <c r="N172" s="93"/>
      <c r="O172" s="93"/>
      <c r="P172" s="93"/>
      <c r="Q172" s="93"/>
      <c r="R172" s="93"/>
      <c r="S172" s="93"/>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row>
    <row r="173">
      <c r="A173" s="1"/>
      <c r="B173" s="22" t="str">
        <f>"Finished "&amp;B152</f>
        <v>Finished Inventory Value, Beginning of Period</v>
      </c>
      <c r="C173" s="103" t="str">
        <f>'Get Started'!$C$20</f>
        <v>$</v>
      </c>
      <c r="D173" s="78"/>
      <c r="E173" s="78"/>
      <c r="F173" s="78"/>
      <c r="G173" s="78"/>
      <c r="H173" s="79" t="s">
        <v>196</v>
      </c>
      <c r="I173" s="87" t="str">
        <f t="array" ref="I173">if(H173="sum",sum(T173:BC173),if(H173="final",index(T173:BC173,match(99^99,T173:BC173,1)),if(H173="initial",T172,if(H173="average",average(T173:BC173),0))))</f>
        <v/>
      </c>
      <c r="J173" s="93"/>
      <c r="K173" s="79"/>
      <c r="L173" s="79"/>
      <c r="M173" s="93"/>
      <c r="N173" s="93"/>
      <c r="O173" s="93"/>
      <c r="P173" s="93"/>
      <c r="Q173" s="93"/>
      <c r="R173" s="93"/>
      <c r="S173" s="93"/>
      <c r="T173" s="123">
        <f>T152</f>
        <v>0</v>
      </c>
      <c r="U173" s="67">
        <f t="shared" ref="U173:BC173" si="120">if(U$5="","",T177)</f>
        <v>0</v>
      </c>
      <c r="V173" s="67">
        <f t="shared" si="120"/>
        <v>0</v>
      </c>
      <c r="W173" s="67">
        <f t="shared" si="120"/>
        <v>0</v>
      </c>
      <c r="X173" s="67">
        <f t="shared" si="120"/>
        <v>0</v>
      </c>
      <c r="Y173" s="67">
        <f t="shared" si="120"/>
        <v>0</v>
      </c>
      <c r="Z173" s="67">
        <f t="shared" si="120"/>
        <v>0</v>
      </c>
      <c r="AA173" s="67">
        <f t="shared" si="120"/>
        <v>0</v>
      </c>
      <c r="AB173" s="67">
        <f t="shared" si="120"/>
        <v>0</v>
      </c>
      <c r="AC173" s="67">
        <f t="shared" si="120"/>
        <v>0</v>
      </c>
      <c r="AD173" s="67">
        <f t="shared" si="120"/>
        <v>0</v>
      </c>
      <c r="AE173" s="67">
        <f t="shared" si="120"/>
        <v>0</v>
      </c>
      <c r="AF173" s="67">
        <f t="shared" si="120"/>
        <v>0</v>
      </c>
      <c r="AG173" s="67">
        <f t="shared" si="120"/>
        <v>0</v>
      </c>
      <c r="AH173" s="67">
        <f t="shared" si="120"/>
        <v>0</v>
      </c>
      <c r="AI173" s="67">
        <f t="shared" si="120"/>
        <v>0</v>
      </c>
      <c r="AJ173" s="67">
        <f t="shared" si="120"/>
        <v>0</v>
      </c>
      <c r="AK173" s="67">
        <f t="shared" si="120"/>
        <v>0</v>
      </c>
      <c r="AL173" s="67">
        <f t="shared" si="120"/>
        <v>0</v>
      </c>
      <c r="AM173" s="67">
        <f t="shared" si="120"/>
        <v>0</v>
      </c>
      <c r="AN173" s="67">
        <f t="shared" si="120"/>
        <v>0</v>
      </c>
      <c r="AO173" s="67">
        <f t="shared" si="120"/>
        <v>0</v>
      </c>
      <c r="AP173" s="67">
        <f t="shared" si="120"/>
        <v>0</v>
      </c>
      <c r="AQ173" s="67">
        <f t="shared" si="120"/>
        <v>0</v>
      </c>
      <c r="AR173" s="67">
        <f t="shared" si="120"/>
        <v>0</v>
      </c>
      <c r="AS173" s="67">
        <f t="shared" si="120"/>
        <v>0</v>
      </c>
      <c r="AT173" s="67">
        <f t="shared" si="120"/>
        <v>0</v>
      </c>
      <c r="AU173" s="67">
        <f t="shared" si="120"/>
        <v>0</v>
      </c>
      <c r="AV173" s="67">
        <f t="shared" si="120"/>
        <v>0</v>
      </c>
      <c r="AW173" s="67">
        <f t="shared" si="120"/>
        <v>0</v>
      </c>
      <c r="AX173" s="67">
        <f t="shared" si="120"/>
        <v>0</v>
      </c>
      <c r="AY173" s="67">
        <f t="shared" si="120"/>
        <v>0</v>
      </c>
      <c r="AZ173" s="67">
        <f t="shared" si="120"/>
        <v>0</v>
      </c>
      <c r="BA173" s="67">
        <f t="shared" si="120"/>
        <v>0</v>
      </c>
      <c r="BB173" s="67">
        <f t="shared" si="120"/>
        <v>0</v>
      </c>
      <c r="BC173" s="67">
        <f t="shared" si="120"/>
        <v>0</v>
      </c>
    </row>
    <row r="174">
      <c r="A174" s="1"/>
      <c r="B174" s="22" t="s">
        <v>392</v>
      </c>
      <c r="C174" s="103" t="str">
        <f>'Get Started'!$C$20</f>
        <v>$</v>
      </c>
      <c r="D174" s="78"/>
      <c r="E174" s="78"/>
      <c r="F174" s="78"/>
      <c r="G174" s="78"/>
      <c r="H174" s="79" t="s">
        <v>193</v>
      </c>
      <c r="I174" s="87">
        <f t="shared" ref="I174:I177" si="121">if(H174="sum",sum(T174:BC174),if(H174="final",index(T174:BC174,match(99^99,T174:BC174,1)),if(H174="initial",T174,if(H174="average",average(T174:BC174),0))))</f>
        <v>0</v>
      </c>
      <c r="J174" s="93"/>
      <c r="K174" s="79" t="s">
        <v>393</v>
      </c>
      <c r="L174" s="79"/>
      <c r="M174" s="93"/>
      <c r="N174" s="93"/>
      <c r="O174" s="93"/>
      <c r="P174" s="93"/>
      <c r="Q174" s="93"/>
      <c r="R174" s="93"/>
      <c r="S174" s="93"/>
      <c r="T174" s="67">
        <f>if(T5&lt;'Get Started'!$D45,0,offset(T159,,'Get Started'!$D45*-1))</f>
        <v>0</v>
      </c>
      <c r="U174" s="67">
        <f>if(U5&lt;'Get Started'!$D45,0,offset(U159,,'Get Started'!$D45*-1))</f>
        <v>0</v>
      </c>
      <c r="V174" s="67">
        <f>if(V5&lt;'Get Started'!$D45,0,offset(V159,,'Get Started'!$D45*-1))</f>
        <v>0</v>
      </c>
      <c r="W174" s="67">
        <f>if(W5&lt;'Get Started'!$D45,0,offset(W159,,'Get Started'!$D45*-1))</f>
        <v>0</v>
      </c>
      <c r="X174" s="67">
        <f>if(X5&lt;'Get Started'!$D45,0,offset(X159,,'Get Started'!$D45*-1))</f>
        <v>0</v>
      </c>
      <c r="Y174" s="67">
        <f>if(Y5&lt;'Get Started'!$D45,0,offset(Y159,,'Get Started'!$D45*-1))</f>
        <v>0</v>
      </c>
      <c r="Z174" s="67">
        <f>if(Z5&lt;'Get Started'!$D45,0,offset(Z159,,'Get Started'!$D45*-1))</f>
        <v>0</v>
      </c>
      <c r="AA174" s="67">
        <f>if(AA5&lt;'Get Started'!$D45,0,offset(AA159,,'Get Started'!$D45*-1))</f>
        <v>0</v>
      </c>
      <c r="AB174" s="67">
        <f>if(AB5&lt;'Get Started'!$D45,0,offset(AB159,,'Get Started'!$D45*-1))</f>
        <v>0</v>
      </c>
      <c r="AC174" s="67">
        <f>if(AC5&lt;'Get Started'!$D45,0,offset(AC159,,'Get Started'!$D45*-1))</f>
        <v>0</v>
      </c>
      <c r="AD174" s="67">
        <f>if(AD5&lt;'Get Started'!$D45,0,offset(AD159,,'Get Started'!$D45*-1))</f>
        <v>0</v>
      </c>
      <c r="AE174" s="67">
        <f>if(AE5&lt;'Get Started'!$D45,0,offset(AE159,,'Get Started'!$D45*-1))</f>
        <v>0</v>
      </c>
      <c r="AF174" s="67">
        <f>if(AF5&lt;'Get Started'!$D45,0,offset(AF159,,'Get Started'!$D45*-1))</f>
        <v>0</v>
      </c>
      <c r="AG174" s="67">
        <f>if(AG5&lt;'Get Started'!$D45,0,offset(AG159,,'Get Started'!$D45*-1))</f>
        <v>0</v>
      </c>
      <c r="AH174" s="67">
        <f>if(AH5&lt;'Get Started'!$D45,0,offset(AH159,,'Get Started'!$D45*-1))</f>
        <v>0</v>
      </c>
      <c r="AI174" s="67">
        <f>if(AI5&lt;'Get Started'!$D45,0,offset(AI159,,'Get Started'!$D45*-1))</f>
        <v>0</v>
      </c>
      <c r="AJ174" s="67">
        <f>if(AJ5&lt;'Get Started'!$D45,0,offset(AJ159,,'Get Started'!$D45*-1))</f>
        <v>0</v>
      </c>
      <c r="AK174" s="67">
        <f>if(AK5&lt;'Get Started'!$D45,0,offset(AK159,,'Get Started'!$D45*-1))</f>
        <v>0</v>
      </c>
      <c r="AL174" s="67">
        <f>if(AL5&lt;'Get Started'!$D45,0,offset(AL159,,'Get Started'!$D45*-1))</f>
        <v>0</v>
      </c>
      <c r="AM174" s="67">
        <f>if(AM5&lt;'Get Started'!$D45,0,offset(AM159,,'Get Started'!$D45*-1))</f>
        <v>0</v>
      </c>
      <c r="AN174" s="67">
        <f>if(AN5&lt;'Get Started'!$D45,0,offset(AN159,,'Get Started'!$D45*-1))</f>
        <v>0</v>
      </c>
      <c r="AO174" s="67">
        <f>if(AO5&lt;'Get Started'!$D45,0,offset(AO159,,'Get Started'!$D45*-1))</f>
        <v>0</v>
      </c>
      <c r="AP174" s="67">
        <f>if(AP5&lt;'Get Started'!$D45,0,offset(AP159,,'Get Started'!$D45*-1))</f>
        <v>0</v>
      </c>
      <c r="AQ174" s="67">
        <f>if(AQ5&lt;'Get Started'!$D45,0,offset(AQ159,,'Get Started'!$D45*-1))</f>
        <v>0</v>
      </c>
      <c r="AR174" s="67">
        <f>if(AR5&lt;'Get Started'!$D45,0,offset(AR159,,'Get Started'!$D45*-1))</f>
        <v>0</v>
      </c>
      <c r="AS174" s="67">
        <f>if(AS5&lt;'Get Started'!$D45,0,offset(AS159,,'Get Started'!$D45*-1))</f>
        <v>0</v>
      </c>
      <c r="AT174" s="67">
        <f>if(AT5&lt;'Get Started'!$D45,0,offset(AT159,,'Get Started'!$D45*-1))</f>
        <v>0</v>
      </c>
      <c r="AU174" s="67">
        <f>if(AU5&lt;'Get Started'!$D45,0,offset(AU159,,'Get Started'!$D45*-1))</f>
        <v>0</v>
      </c>
      <c r="AV174" s="67">
        <f>if(AV5&lt;'Get Started'!$D45,0,offset(AV159,,'Get Started'!$D45*-1))</f>
        <v>0</v>
      </c>
      <c r="AW174" s="67">
        <f>if(AW5&lt;'Get Started'!$D45,0,offset(AW159,,'Get Started'!$D45*-1))</f>
        <v>0</v>
      </c>
      <c r="AX174" s="67">
        <f>if(AX5&lt;'Get Started'!$D45,0,offset(AX159,,'Get Started'!$D45*-1))</f>
        <v>0</v>
      </c>
      <c r="AY174" s="67">
        <f>if(AY5&lt;'Get Started'!$D45,0,offset(AY159,,'Get Started'!$D45*-1))</f>
        <v>0</v>
      </c>
      <c r="AZ174" s="67">
        <f>if(AZ5&lt;'Get Started'!$D45,0,offset(AZ159,,'Get Started'!$D45*-1))</f>
        <v>0</v>
      </c>
      <c r="BA174" s="67">
        <f>if(BA5&lt;'Get Started'!$D45,0,offset(BA159,,'Get Started'!$D45*-1))</f>
        <v>0</v>
      </c>
      <c r="BB174" s="67">
        <f>if(BB5&lt;'Get Started'!$D45,0,offset(BB159,,'Get Started'!$D45*-1))</f>
        <v>0</v>
      </c>
      <c r="BC174" s="67">
        <f>if(BC5&lt;'Get Started'!$D45,0,offset(BC159,,'Get Started'!$D45*-1))</f>
        <v>0</v>
      </c>
    </row>
    <row r="175">
      <c r="A175" s="1"/>
      <c r="B175" s="22" t="str">
        <f>"Manual input, "&amp;B174</f>
        <v>Manual input, Additions to Finished Inventory</v>
      </c>
      <c r="C175" s="103" t="str">
        <f>'Get Started'!$C$20</f>
        <v>$</v>
      </c>
      <c r="D175" s="78"/>
      <c r="E175" s="78"/>
      <c r="F175" s="78"/>
      <c r="G175" s="78"/>
      <c r="H175" s="79" t="s">
        <v>193</v>
      </c>
      <c r="I175" s="87">
        <f t="shared" si="121"/>
        <v>0</v>
      </c>
      <c r="J175" s="93"/>
      <c r="K175" s="79" t="s">
        <v>394</v>
      </c>
      <c r="L175" s="79"/>
      <c r="M175" s="93"/>
      <c r="N175" s="93"/>
      <c r="O175" s="93"/>
      <c r="P175" s="93"/>
      <c r="Q175" s="93"/>
      <c r="R175" s="93"/>
      <c r="S175" s="93"/>
      <c r="T175" s="123"/>
      <c r="U175" s="123"/>
      <c r="V175" s="123"/>
      <c r="W175" s="123"/>
      <c r="X175" s="123"/>
      <c r="Y175" s="123"/>
      <c r="Z175" s="123"/>
      <c r="AA175" s="123"/>
      <c r="AB175" s="123"/>
      <c r="AC175" s="123"/>
      <c r="AD175" s="123"/>
      <c r="AE175" s="123"/>
      <c r="AF175" s="123"/>
      <c r="AG175" s="123"/>
      <c r="AH175" s="123"/>
      <c r="AI175" s="123"/>
      <c r="AJ175" s="123"/>
      <c r="AK175" s="123"/>
      <c r="AL175" s="123"/>
      <c r="AM175" s="123"/>
      <c r="AN175" s="123"/>
      <c r="AO175" s="123"/>
      <c r="AP175" s="123"/>
      <c r="AQ175" s="123"/>
      <c r="AR175" s="123"/>
      <c r="AS175" s="123"/>
      <c r="AT175" s="123"/>
      <c r="AU175" s="123"/>
      <c r="AV175" s="123"/>
      <c r="AW175" s="123"/>
      <c r="AX175" s="123"/>
      <c r="AY175" s="123"/>
      <c r="AZ175" s="123"/>
      <c r="BA175" s="123"/>
      <c r="BB175" s="123"/>
      <c r="BC175" s="123"/>
    </row>
    <row r="176">
      <c r="A176" s="1"/>
      <c r="B176" s="22" t="s">
        <v>395</v>
      </c>
      <c r="C176" s="103" t="str">
        <f>'Get Started'!$C$20</f>
        <v>$</v>
      </c>
      <c r="D176" s="78"/>
      <c r="E176" s="78"/>
      <c r="F176" s="78"/>
      <c r="G176" s="78"/>
      <c r="H176" s="79" t="s">
        <v>193</v>
      </c>
      <c r="I176" s="87">
        <f t="shared" si="121"/>
        <v>0</v>
      </c>
      <c r="J176" s="93"/>
      <c r="K176" s="79" t="s">
        <v>396</v>
      </c>
      <c r="L176" s="79"/>
      <c r="M176" s="93"/>
      <c r="N176" s="93"/>
      <c r="O176" s="93"/>
      <c r="P176" s="93"/>
      <c r="Q176" s="93"/>
      <c r="R176" s="93"/>
      <c r="S176" s="93"/>
      <c r="T176" s="67">
        <f t="shared" ref="T176:BC176" si="122">if(T$5="","",T161+T162)</f>
        <v>0</v>
      </c>
      <c r="U176" s="67">
        <f t="shared" si="122"/>
        <v>0</v>
      </c>
      <c r="V176" s="67">
        <f t="shared" si="122"/>
        <v>0</v>
      </c>
      <c r="W176" s="67">
        <f t="shared" si="122"/>
        <v>0</v>
      </c>
      <c r="X176" s="67">
        <f t="shared" si="122"/>
        <v>0</v>
      </c>
      <c r="Y176" s="67">
        <f t="shared" si="122"/>
        <v>0</v>
      </c>
      <c r="Z176" s="67">
        <f t="shared" si="122"/>
        <v>0</v>
      </c>
      <c r="AA176" s="67">
        <f t="shared" si="122"/>
        <v>0</v>
      </c>
      <c r="AB176" s="67">
        <f t="shared" si="122"/>
        <v>0</v>
      </c>
      <c r="AC176" s="67">
        <f t="shared" si="122"/>
        <v>0</v>
      </c>
      <c r="AD176" s="67">
        <f t="shared" si="122"/>
        <v>0</v>
      </c>
      <c r="AE176" s="67">
        <f t="shared" si="122"/>
        <v>0</v>
      </c>
      <c r="AF176" s="67">
        <f t="shared" si="122"/>
        <v>0</v>
      </c>
      <c r="AG176" s="67">
        <f t="shared" si="122"/>
        <v>0</v>
      </c>
      <c r="AH176" s="67">
        <f t="shared" si="122"/>
        <v>0</v>
      </c>
      <c r="AI176" s="67">
        <f t="shared" si="122"/>
        <v>0</v>
      </c>
      <c r="AJ176" s="67">
        <f t="shared" si="122"/>
        <v>0</v>
      </c>
      <c r="AK176" s="67">
        <f t="shared" si="122"/>
        <v>0</v>
      </c>
      <c r="AL176" s="67">
        <f t="shared" si="122"/>
        <v>0</v>
      </c>
      <c r="AM176" s="67">
        <f t="shared" si="122"/>
        <v>0</v>
      </c>
      <c r="AN176" s="67">
        <f t="shared" si="122"/>
        <v>0</v>
      </c>
      <c r="AO176" s="67">
        <f t="shared" si="122"/>
        <v>0</v>
      </c>
      <c r="AP176" s="67">
        <f t="shared" si="122"/>
        <v>0</v>
      </c>
      <c r="AQ176" s="67">
        <f t="shared" si="122"/>
        <v>0</v>
      </c>
      <c r="AR176" s="67">
        <f t="shared" si="122"/>
        <v>0</v>
      </c>
      <c r="AS176" s="67">
        <f t="shared" si="122"/>
        <v>0</v>
      </c>
      <c r="AT176" s="67">
        <f t="shared" si="122"/>
        <v>0</v>
      </c>
      <c r="AU176" s="67">
        <f t="shared" si="122"/>
        <v>0</v>
      </c>
      <c r="AV176" s="67">
        <f t="shared" si="122"/>
        <v>0</v>
      </c>
      <c r="AW176" s="67">
        <f t="shared" si="122"/>
        <v>0</v>
      </c>
      <c r="AX176" s="67">
        <f t="shared" si="122"/>
        <v>0</v>
      </c>
      <c r="AY176" s="67">
        <f t="shared" si="122"/>
        <v>0</v>
      </c>
      <c r="AZ176" s="67">
        <f t="shared" si="122"/>
        <v>0</v>
      </c>
      <c r="BA176" s="67">
        <f t="shared" si="122"/>
        <v>0</v>
      </c>
      <c r="BB176" s="67">
        <f t="shared" si="122"/>
        <v>0</v>
      </c>
      <c r="BC176" s="67">
        <f t="shared" si="122"/>
        <v>0</v>
      </c>
    </row>
    <row r="177">
      <c r="A177" s="1"/>
      <c r="B177" s="22" t="str">
        <f>"Finished "&amp;B163</f>
        <v>Finished Inventory Value, End of Period</v>
      </c>
      <c r="C177" s="103" t="str">
        <f>'Get Started'!$C$20</f>
        <v>$</v>
      </c>
      <c r="D177" s="78"/>
      <c r="E177" s="78"/>
      <c r="F177" s="78"/>
      <c r="G177" s="78"/>
      <c r="H177" s="79" t="s">
        <v>183</v>
      </c>
      <c r="I177" s="87">
        <f t="shared" si="121"/>
        <v>0</v>
      </c>
      <c r="J177" s="93"/>
      <c r="K177" s="79" t="s">
        <v>397</v>
      </c>
      <c r="L177" s="79"/>
      <c r="M177" s="93"/>
      <c r="N177" s="93"/>
      <c r="O177" s="93"/>
      <c r="P177" s="93"/>
      <c r="Q177" s="93"/>
      <c r="R177" s="93"/>
      <c r="S177" s="93"/>
      <c r="T177" s="67">
        <f t="shared" ref="T177:BC177" si="123">if(T$5="","",sum(T173:T176))</f>
        <v>0</v>
      </c>
      <c r="U177" s="67">
        <f t="shared" si="123"/>
        <v>0</v>
      </c>
      <c r="V177" s="67">
        <f t="shared" si="123"/>
        <v>0</v>
      </c>
      <c r="W177" s="67">
        <f t="shared" si="123"/>
        <v>0</v>
      </c>
      <c r="X177" s="67">
        <f t="shared" si="123"/>
        <v>0</v>
      </c>
      <c r="Y177" s="67">
        <f t="shared" si="123"/>
        <v>0</v>
      </c>
      <c r="Z177" s="67">
        <f t="shared" si="123"/>
        <v>0</v>
      </c>
      <c r="AA177" s="67">
        <f t="shared" si="123"/>
        <v>0</v>
      </c>
      <c r="AB177" s="67">
        <f t="shared" si="123"/>
        <v>0</v>
      </c>
      <c r="AC177" s="67">
        <f t="shared" si="123"/>
        <v>0</v>
      </c>
      <c r="AD177" s="67">
        <f t="shared" si="123"/>
        <v>0</v>
      </c>
      <c r="AE177" s="67">
        <f t="shared" si="123"/>
        <v>0</v>
      </c>
      <c r="AF177" s="67">
        <f t="shared" si="123"/>
        <v>0</v>
      </c>
      <c r="AG177" s="67">
        <f t="shared" si="123"/>
        <v>0</v>
      </c>
      <c r="AH177" s="67">
        <f t="shared" si="123"/>
        <v>0</v>
      </c>
      <c r="AI177" s="67">
        <f t="shared" si="123"/>
        <v>0</v>
      </c>
      <c r="AJ177" s="67">
        <f t="shared" si="123"/>
        <v>0</v>
      </c>
      <c r="AK177" s="67">
        <f t="shared" si="123"/>
        <v>0</v>
      </c>
      <c r="AL177" s="67">
        <f t="shared" si="123"/>
        <v>0</v>
      </c>
      <c r="AM177" s="67">
        <f t="shared" si="123"/>
        <v>0</v>
      </c>
      <c r="AN177" s="67">
        <f t="shared" si="123"/>
        <v>0</v>
      </c>
      <c r="AO177" s="67">
        <f t="shared" si="123"/>
        <v>0</v>
      </c>
      <c r="AP177" s="67">
        <f t="shared" si="123"/>
        <v>0</v>
      </c>
      <c r="AQ177" s="67">
        <f t="shared" si="123"/>
        <v>0</v>
      </c>
      <c r="AR177" s="67">
        <f t="shared" si="123"/>
        <v>0</v>
      </c>
      <c r="AS177" s="67">
        <f t="shared" si="123"/>
        <v>0</v>
      </c>
      <c r="AT177" s="67">
        <f t="shared" si="123"/>
        <v>0</v>
      </c>
      <c r="AU177" s="67">
        <f t="shared" si="123"/>
        <v>0</v>
      </c>
      <c r="AV177" s="67">
        <f t="shared" si="123"/>
        <v>0</v>
      </c>
      <c r="AW177" s="67">
        <f t="shared" si="123"/>
        <v>0</v>
      </c>
      <c r="AX177" s="67">
        <f t="shared" si="123"/>
        <v>0</v>
      </c>
      <c r="AY177" s="67">
        <f t="shared" si="123"/>
        <v>0</v>
      </c>
      <c r="AZ177" s="67">
        <f t="shared" si="123"/>
        <v>0</v>
      </c>
      <c r="BA177" s="67">
        <f t="shared" si="123"/>
        <v>0</v>
      </c>
      <c r="BB177" s="67">
        <f t="shared" si="123"/>
        <v>0</v>
      </c>
      <c r="BC177" s="67">
        <f t="shared" si="123"/>
        <v>0</v>
      </c>
    </row>
    <row r="178">
      <c r="A178" s="1"/>
      <c r="B178" s="22"/>
      <c r="C178" s="30"/>
      <c r="D178" s="78"/>
      <c r="E178" s="78"/>
      <c r="F178" s="78"/>
      <c r="G178" s="78"/>
      <c r="H178" s="1"/>
      <c r="I178" s="78"/>
      <c r="J178" s="93"/>
      <c r="K178" s="79"/>
      <c r="L178" s="79"/>
      <c r="M178" s="93"/>
      <c r="N178" s="93"/>
      <c r="O178" s="93"/>
      <c r="P178" s="93"/>
      <c r="Q178" s="93"/>
      <c r="R178" s="93"/>
      <c r="S178" s="93"/>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row>
  </sheetData>
  <dataValidations>
    <dataValidation type="list" allowBlank="1" showErrorMessage="1" sqref="D18:D46 Q18:Q46">
      <formula1>$B$53:$B$92</formula1>
    </dataValidation>
    <dataValidation type="list" allowBlank="1" showErrorMessage="1" sqref="N18:N46">
      <formula1>"...,% change,# change,log change,% of,# per"</formula1>
    </dataValidation>
    <dataValidation type="list" allowBlank="1" showErrorMessage="1" sqref="H5:H11 H18:H46 H53:H91 H98:H100 H103:H105 H109:H115 H118:H123 H126:H130 H132:H135 H138:H142 H145:H149 H152 H154:H159 H161:H163 H165:H170 H173:H177">
      <formula1>"initial,sum,average,final"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4.0"/>
    <col customWidth="1" min="2" max="2" width="17.2"/>
    <col customWidth="1" min="4" max="4" width="7.1"/>
  </cols>
  <sheetData>
    <row r="1">
      <c r="A1" s="1"/>
      <c r="B1" s="1"/>
      <c r="C1" s="1"/>
      <c r="D1" s="1"/>
      <c r="E1" s="1"/>
      <c r="F1" s="1"/>
      <c r="G1" s="1"/>
      <c r="H1" s="1"/>
      <c r="I1" s="1"/>
      <c r="J1" s="1"/>
      <c r="K1" s="1"/>
      <c r="L1" s="1"/>
    </row>
    <row r="2">
      <c r="A2" s="1"/>
      <c r="B2" s="2" t="s">
        <v>398</v>
      </c>
      <c r="C2" s="1"/>
      <c r="D2" s="1"/>
      <c r="E2" s="1"/>
      <c r="F2" s="1"/>
      <c r="G2" s="1"/>
      <c r="H2" s="1"/>
      <c r="I2" s="1"/>
      <c r="J2" s="1"/>
      <c r="K2" s="1"/>
      <c r="L2" s="1"/>
    </row>
    <row r="3">
      <c r="A3" s="1"/>
      <c r="B3" s="3" t="s">
        <v>399</v>
      </c>
      <c r="C3" s="1"/>
      <c r="D3" s="1"/>
      <c r="E3" s="1"/>
      <c r="F3" s="1"/>
      <c r="G3" s="1"/>
      <c r="H3" s="1"/>
      <c r="I3" s="1"/>
      <c r="J3" s="1"/>
      <c r="K3" s="1"/>
      <c r="L3" s="1"/>
    </row>
    <row r="4">
      <c r="A4" s="1"/>
      <c r="B4" s="1"/>
      <c r="C4" s="1"/>
      <c r="D4" s="1"/>
      <c r="E4" s="1"/>
      <c r="F4" s="1"/>
      <c r="G4" s="1"/>
      <c r="H4" s="1"/>
      <c r="I4" s="1"/>
      <c r="J4" s="1"/>
      <c r="K4" s="1"/>
      <c r="L4" s="1"/>
    </row>
    <row r="5">
      <c r="A5" s="1"/>
      <c r="B5" s="125" t="s">
        <v>400</v>
      </c>
      <c r="C5" s="126">
        <v>1.0</v>
      </c>
      <c r="D5" s="1"/>
      <c r="E5" s="1"/>
      <c r="F5" s="1"/>
      <c r="G5" s="1"/>
      <c r="H5" s="1"/>
      <c r="I5" s="1"/>
      <c r="J5" s="1"/>
      <c r="K5" s="1"/>
      <c r="L5" s="1"/>
    </row>
    <row r="6">
      <c r="A6" s="1"/>
      <c r="B6" s="125" t="s">
        <v>401</v>
      </c>
      <c r="C6" s="127">
        <v>18.0</v>
      </c>
      <c r="D6" s="1"/>
      <c r="E6" s="1"/>
      <c r="F6" s="1"/>
      <c r="G6" s="1"/>
      <c r="H6" s="1"/>
      <c r="I6" s="1"/>
      <c r="J6" s="1"/>
      <c r="K6" s="1"/>
      <c r="L6" s="1"/>
    </row>
    <row r="7">
      <c r="A7" s="1"/>
      <c r="B7" s="125"/>
      <c r="D7" s="1"/>
      <c r="E7" s="1"/>
      <c r="F7" s="1"/>
      <c r="G7" s="1"/>
      <c r="H7" s="1"/>
      <c r="I7" s="1"/>
      <c r="J7" s="1"/>
      <c r="K7" s="1"/>
      <c r="L7" s="1"/>
    </row>
    <row r="8">
      <c r="A8" s="1"/>
      <c r="B8" s="128" t="s">
        <v>402</v>
      </c>
      <c r="C8" s="1"/>
      <c r="D8" s="1"/>
      <c r="E8" s="1"/>
      <c r="F8" s="1"/>
      <c r="G8" s="1"/>
      <c r="H8" s="1"/>
      <c r="I8" s="1"/>
      <c r="J8" s="1"/>
      <c r="K8" s="1"/>
      <c r="L8" s="1"/>
    </row>
    <row r="9">
      <c r="A9" s="1"/>
      <c r="B9" s="125" t="s">
        <v>403</v>
      </c>
      <c r="C9" s="129">
        <f>sumproduct(Forecast!T80:BC83*(Forecast!T$5:BC$5&gt;=C$5)*(Forecast!T$5:BC$5&lt;C$6))</f>
        <v>500000</v>
      </c>
      <c r="D9" s="60">
        <f t="shared" ref="D9:D11" si="1">iferror(C9/C$11,0)</f>
        <v>0.9656004828</v>
      </c>
      <c r="E9" s="1"/>
      <c r="F9" s="1"/>
      <c r="G9" s="1"/>
      <c r="H9" s="1"/>
      <c r="I9" s="1"/>
      <c r="J9" s="1"/>
      <c r="K9" s="1"/>
      <c r="L9" s="1"/>
    </row>
    <row r="10">
      <c r="A10" s="1"/>
      <c r="B10" s="125" t="s">
        <v>159</v>
      </c>
      <c r="C10" s="130">
        <f>sumifs(Forecast!T98:BC98,Forecast!T$5:BC$5,"&gt;="&amp;C$5,Forecast!T$5:BC$5,"&lt;"&amp;C$6)</f>
        <v>17812.5</v>
      </c>
      <c r="D10" s="60">
        <f t="shared" si="1"/>
        <v>0.0343995172</v>
      </c>
      <c r="E10" s="1"/>
      <c r="F10" s="1"/>
      <c r="G10" s="1"/>
      <c r="H10" s="1"/>
      <c r="I10" s="1"/>
      <c r="J10" s="1"/>
      <c r="K10" s="1"/>
      <c r="L10" s="1"/>
    </row>
    <row r="11">
      <c r="A11" s="1"/>
      <c r="B11" s="125" t="s">
        <v>404</v>
      </c>
      <c r="C11" s="131">
        <f>C9+C10</f>
        <v>517812.5</v>
      </c>
      <c r="D11" s="60">
        <f t="shared" si="1"/>
        <v>1</v>
      </c>
      <c r="E11" s="1"/>
      <c r="F11" s="1"/>
      <c r="G11" s="1"/>
      <c r="H11" s="1"/>
      <c r="I11" s="1"/>
      <c r="J11" s="1"/>
      <c r="K11" s="1"/>
      <c r="L11" s="1"/>
    </row>
    <row r="12">
      <c r="A12" s="1"/>
      <c r="B12" s="125"/>
      <c r="C12" s="1"/>
      <c r="D12" s="1"/>
      <c r="E12" s="1"/>
      <c r="F12" s="1"/>
      <c r="G12" s="1"/>
      <c r="H12" s="1"/>
      <c r="I12" s="1"/>
      <c r="J12" s="1"/>
      <c r="K12" s="1"/>
      <c r="L12" s="1"/>
    </row>
    <row r="13">
      <c r="A13" s="1"/>
      <c r="B13" s="125"/>
      <c r="C13" s="1"/>
      <c r="D13" s="1"/>
      <c r="E13" s="1"/>
      <c r="F13" s="1"/>
      <c r="G13" s="1"/>
      <c r="H13" s="1"/>
      <c r="I13" s="1"/>
      <c r="J13" s="1"/>
      <c r="K13" s="1"/>
      <c r="L13" s="1"/>
    </row>
    <row r="14">
      <c r="A14" s="1"/>
      <c r="B14" s="128" t="s">
        <v>405</v>
      </c>
      <c r="C14" s="1"/>
      <c r="D14" s="1"/>
      <c r="E14" s="1"/>
      <c r="F14" s="1"/>
      <c r="G14" s="1"/>
      <c r="H14" s="1"/>
      <c r="I14" s="1"/>
      <c r="J14" s="1"/>
      <c r="K14" s="1"/>
      <c r="L14" s="1"/>
    </row>
    <row r="15">
      <c r="A15" s="1"/>
      <c r="B15" s="125" t="str">
        <f>Forecast!B63</f>
        <v>Salaries and Benefits</v>
      </c>
      <c r="C15" s="129">
        <f>sumifs(Forecast!T63:BC63,Forecast!T$5:BC$5,"&gt;="&amp;C$5,Forecast!T$5:BC$5,"&lt;"&amp;C$6)</f>
        <v>0</v>
      </c>
      <c r="D15" s="60">
        <f t="shared" ref="D15:D24" si="2">iferror(C15/C$24,0)</f>
        <v>0</v>
      </c>
      <c r="E15" s="1"/>
      <c r="F15" s="1"/>
      <c r="G15" s="1"/>
      <c r="H15" s="1"/>
      <c r="I15" s="1"/>
      <c r="J15" s="1"/>
      <c r="K15" s="1"/>
      <c r="L15" s="1"/>
    </row>
    <row r="16">
      <c r="A16" s="1"/>
      <c r="B16" s="125" t="str">
        <f>Forecast!B64</f>
        <v>Advertising &amp; Marketing</v>
      </c>
      <c r="C16" s="129">
        <f>sumifs(Forecast!T64:BC64,Forecast!T$5:BC$5,"&gt;="&amp;C$5,Forecast!T$5:BC$5,"&lt;"&amp;C$6)</f>
        <v>0</v>
      </c>
      <c r="D16" s="60">
        <f t="shared" si="2"/>
        <v>0</v>
      </c>
      <c r="E16" s="1"/>
      <c r="F16" s="1"/>
      <c r="G16" s="1"/>
      <c r="H16" s="1"/>
      <c r="I16" s="1"/>
      <c r="J16" s="1"/>
      <c r="K16" s="1"/>
      <c r="L16" s="1"/>
    </row>
    <row r="17">
      <c r="A17" s="1"/>
      <c r="B17" s="125" t="str">
        <f>Forecast!B65</f>
        <v>Design &amp; Development</v>
      </c>
      <c r="C17" s="129">
        <f>sumifs(Forecast!T65:BC65,Forecast!T$5:BC$5,"&gt;="&amp;C$5,Forecast!T$5:BC$5,"&lt;"&amp;C$6)</f>
        <v>0</v>
      </c>
      <c r="D17" s="60">
        <f t="shared" si="2"/>
        <v>0</v>
      </c>
      <c r="E17" s="1"/>
      <c r="F17" s="1"/>
      <c r="G17" s="1"/>
      <c r="H17" s="1"/>
      <c r="I17" s="1"/>
      <c r="J17" s="1"/>
      <c r="K17" s="1"/>
      <c r="L17" s="1"/>
    </row>
    <row r="18">
      <c r="A18" s="1"/>
      <c r="B18" s="125" t="str">
        <f>Forecast!B66</f>
        <v>Legal and Accounting</v>
      </c>
      <c r="C18" s="129">
        <f>sumifs(Forecast!T66:BC66,Forecast!T$5:BC$5,"&gt;="&amp;C$5,Forecast!T$5:BC$5,"&lt;"&amp;C$6)</f>
        <v>0</v>
      </c>
      <c r="D18" s="60">
        <f t="shared" si="2"/>
        <v>0</v>
      </c>
      <c r="E18" s="1"/>
      <c r="F18" s="1"/>
      <c r="G18" s="1"/>
      <c r="H18" s="1"/>
      <c r="I18" s="1"/>
      <c r="J18" s="1"/>
      <c r="K18" s="1"/>
      <c r="L18" s="1"/>
    </row>
    <row r="19">
      <c r="A19" s="1"/>
      <c r="B19" s="125" t="str">
        <f>Forecast!B67</f>
        <v>Overhead</v>
      </c>
      <c r="C19" s="129">
        <f>sumifs(Forecast!T67:BC67,Forecast!T$5:BC$5,"&gt;="&amp;C$5,Forecast!T$5:BC$5,"&lt;"&amp;C$6)</f>
        <v>0</v>
      </c>
      <c r="D19" s="60">
        <f t="shared" si="2"/>
        <v>0</v>
      </c>
      <c r="E19" s="1"/>
      <c r="F19" s="1"/>
      <c r="G19" s="1"/>
      <c r="H19" s="1"/>
      <c r="I19" s="1"/>
      <c r="J19" s="1"/>
      <c r="K19" s="1"/>
      <c r="L19" s="1"/>
    </row>
    <row r="20">
      <c r="A20" s="1"/>
      <c r="B20" s="125" t="str">
        <f>Forecast!B68</f>
        <v>Cost of Sales</v>
      </c>
      <c r="C20" s="129">
        <f>sumifs(Forecast!T68:BC68,Forecast!T$5:BC$5,"&gt;="&amp;C$5,Forecast!T$5:BC$5,"&lt;"&amp;C$6)</f>
        <v>0</v>
      </c>
      <c r="D20" s="60">
        <f t="shared" si="2"/>
        <v>0</v>
      </c>
      <c r="E20" s="1"/>
      <c r="F20" s="1"/>
      <c r="G20" s="1"/>
      <c r="H20" s="1"/>
      <c r="I20" s="1"/>
      <c r="J20" s="1"/>
      <c r="K20" s="1"/>
      <c r="L20" s="1"/>
    </row>
    <row r="21">
      <c r="A21" s="1"/>
      <c r="B21" s="125" t="str">
        <f>Forecast!B69</f>
        <v>Product &amp; Materials</v>
      </c>
      <c r="C21" s="129">
        <f>sumifs(Forecast!T69:BC69,Forecast!T$5:BC$5,"&gt;="&amp;C$5,Forecast!T$5:BC$5,"&lt;"&amp;C$6)</f>
        <v>0</v>
      </c>
      <c r="D21" s="60">
        <f t="shared" si="2"/>
        <v>0</v>
      </c>
      <c r="E21" s="1"/>
      <c r="F21" s="1"/>
      <c r="G21" s="1"/>
      <c r="H21" s="1"/>
      <c r="I21" s="1"/>
      <c r="J21" s="1"/>
      <c r="K21" s="1"/>
      <c r="L21" s="1"/>
    </row>
    <row r="22">
      <c r="A22" s="1"/>
      <c r="B22" s="125" t="str">
        <f>Forecast!B70</f>
        <v>Capital Expenditures</v>
      </c>
      <c r="C22" s="130">
        <f>sumifs(Forecast!T70:BC70,Forecast!T$5:BC$5,"&gt;="&amp;C$5,Forecast!T$5:BC$5,"&lt;"&amp;C$6)</f>
        <v>0</v>
      </c>
      <c r="D22" s="60">
        <f t="shared" si="2"/>
        <v>0</v>
      </c>
      <c r="E22" s="1"/>
      <c r="F22" s="1"/>
      <c r="G22" s="1"/>
      <c r="H22" s="1"/>
      <c r="I22" s="1"/>
      <c r="J22" s="1"/>
      <c r="K22" s="1"/>
      <c r="L22" s="1"/>
    </row>
    <row r="23">
      <c r="A23" s="1"/>
      <c r="B23" s="125" t="s">
        <v>406</v>
      </c>
      <c r="C23" s="132">
        <f>C11-sum(C15:C22)</f>
        <v>517812.5</v>
      </c>
      <c r="D23" s="60">
        <f t="shared" si="2"/>
        <v>1</v>
      </c>
      <c r="E23" s="1"/>
      <c r="F23" s="1"/>
      <c r="G23" s="1"/>
      <c r="H23" s="1"/>
      <c r="I23" s="1"/>
      <c r="J23" s="1"/>
      <c r="K23" s="1"/>
      <c r="L23" s="1"/>
    </row>
    <row r="24">
      <c r="A24" s="1"/>
      <c r="B24" s="125" t="s">
        <v>407</v>
      </c>
      <c r="C24" s="131">
        <f>sum(C15:C23)</f>
        <v>517812.5</v>
      </c>
      <c r="D24" s="60">
        <f t="shared" si="2"/>
        <v>1</v>
      </c>
      <c r="E24" s="1"/>
      <c r="F24" s="1"/>
      <c r="G24" s="1"/>
      <c r="H24" s="1"/>
      <c r="I24" s="1"/>
      <c r="J24" s="1"/>
      <c r="K24" s="1"/>
      <c r="L24" s="1"/>
    </row>
    <row r="25">
      <c r="A25" s="1"/>
      <c r="B25" s="76"/>
      <c r="D25" s="1"/>
      <c r="E25" s="1"/>
      <c r="F25" s="1"/>
      <c r="G25" s="1"/>
      <c r="H25" s="1"/>
      <c r="I25" s="1"/>
      <c r="J25" s="1"/>
      <c r="K25" s="1"/>
      <c r="L25" s="1"/>
    </row>
    <row r="26">
      <c r="A26" s="1"/>
      <c r="B26" s="1"/>
      <c r="D26" s="1"/>
      <c r="E26" s="1"/>
      <c r="F26" s="1"/>
      <c r="G26" s="1"/>
      <c r="H26" s="1"/>
      <c r="I26" s="1"/>
      <c r="J26" s="1"/>
      <c r="K26" s="1"/>
      <c r="L26" s="1"/>
    </row>
    <row r="27">
      <c r="A27" s="1"/>
      <c r="B27" s="22" t="s">
        <v>408</v>
      </c>
      <c r="D27" s="1"/>
      <c r="E27" s="1"/>
      <c r="F27" s="1"/>
      <c r="G27" s="1"/>
      <c r="H27" s="1"/>
      <c r="I27" s="1"/>
      <c r="J27" s="1"/>
      <c r="K27" s="1"/>
      <c r="L27" s="1"/>
    </row>
    <row r="28">
      <c r="A28" s="1"/>
      <c r="B28" s="133" t="s">
        <v>409</v>
      </c>
      <c r="D28" s="1"/>
      <c r="E28" s="1"/>
      <c r="F28" s="1"/>
      <c r="G28" s="1"/>
      <c r="H28" s="1"/>
      <c r="I28" s="1"/>
      <c r="J28" s="1"/>
      <c r="K28" s="1"/>
      <c r="L28" s="1"/>
    </row>
    <row r="29">
      <c r="A29" s="1"/>
      <c r="B29" s="134"/>
      <c r="D29" s="1"/>
      <c r="E29" s="1"/>
      <c r="F29" s="1"/>
      <c r="G29" s="1"/>
      <c r="H29" s="1"/>
      <c r="I29" s="1"/>
      <c r="J29" s="1"/>
      <c r="K29" s="1"/>
      <c r="L29"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4.6"/>
    <col customWidth="1" min="2" max="2" width="22.3"/>
    <col customWidth="1" min="3" max="3" width="4.4"/>
    <col customWidth="1" min="4" max="6" width="2.2"/>
    <col customWidth="1" min="7" max="7" width="8.0"/>
    <col customWidth="1" min="8" max="8" width="7.0"/>
    <col customWidth="1" min="9" max="9" width="5.0"/>
    <col customWidth="1" min="10" max="17" width="2.1"/>
    <col customWidth="1" min="18" max="18" width="7.7"/>
  </cols>
  <sheetData>
    <row r="1">
      <c r="A1" s="1"/>
      <c r="B1" s="1"/>
      <c r="C1" s="30"/>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c r="A2" s="1"/>
      <c r="B2" s="63" t="s">
        <v>41</v>
      </c>
      <c r="C2" s="77"/>
      <c r="D2" s="78"/>
      <c r="E2" s="78"/>
      <c r="F2" s="78"/>
      <c r="G2" s="78"/>
      <c r="H2" s="78"/>
      <c r="I2" s="78"/>
      <c r="J2" s="78"/>
      <c r="K2" s="78"/>
      <c r="L2" s="78"/>
      <c r="M2" s="78"/>
      <c r="N2" s="78"/>
      <c r="O2" s="78"/>
      <c r="P2" s="78"/>
      <c r="Q2" s="78"/>
      <c r="R2" s="79"/>
      <c r="S2" s="78"/>
      <c r="T2" s="78"/>
      <c r="U2" s="78"/>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c r="A3" s="1"/>
      <c r="B3" s="78"/>
      <c r="C3" s="77"/>
      <c r="D3" s="78"/>
      <c r="E3" s="78"/>
      <c r="F3" s="78"/>
      <c r="G3" s="78"/>
      <c r="H3" s="78"/>
      <c r="I3" s="78"/>
      <c r="J3" s="78"/>
      <c r="K3" s="78"/>
      <c r="L3" s="78"/>
      <c r="M3" s="78"/>
      <c r="N3" s="78"/>
      <c r="O3" s="78"/>
      <c r="P3" s="78"/>
      <c r="Q3" s="78"/>
      <c r="R3" s="78"/>
      <c r="S3" s="78"/>
      <c r="T3" s="78"/>
      <c r="U3" s="78"/>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c r="A4" s="1"/>
      <c r="B4" s="79" t="str">
        <f>Forecast!B4</f>
        <v>Month </v>
      </c>
      <c r="C4" s="78"/>
      <c r="D4" s="78"/>
      <c r="E4" s="78"/>
      <c r="F4" s="78"/>
      <c r="G4" s="78"/>
      <c r="H4" s="87"/>
      <c r="I4" s="88"/>
      <c r="J4" s="88"/>
      <c r="K4" s="88"/>
      <c r="L4" s="88"/>
      <c r="M4" s="88"/>
      <c r="N4" s="88"/>
      <c r="O4" s="88"/>
      <c r="P4" s="88"/>
      <c r="Q4" s="88"/>
      <c r="R4" s="135" t="str">
        <f>Forecast!S4</f>
        <v>Month 0</v>
      </c>
      <c r="S4" s="135" t="str">
        <f>Forecast!T4</f>
        <v>Month 1</v>
      </c>
      <c r="T4" s="135" t="str">
        <f>Forecast!U4</f>
        <v>Month 2</v>
      </c>
      <c r="U4" s="135" t="str">
        <f>Forecast!V4</f>
        <v>Month 3</v>
      </c>
      <c r="V4" s="135" t="str">
        <f>Forecast!W4</f>
        <v>Month 4</v>
      </c>
      <c r="W4" s="135" t="str">
        <f>Forecast!X4</f>
        <v>Month 5</v>
      </c>
      <c r="X4" s="135" t="str">
        <f>Forecast!Y4</f>
        <v>Month 6</v>
      </c>
      <c r="Y4" s="135" t="str">
        <f>Forecast!Z4</f>
        <v>Month 7</v>
      </c>
      <c r="Z4" s="135" t="str">
        <f>Forecast!AA4</f>
        <v>Month 8</v>
      </c>
      <c r="AA4" s="135" t="str">
        <f>Forecast!AB4</f>
        <v>Month 9</v>
      </c>
      <c r="AB4" s="135" t="str">
        <f>Forecast!AC4</f>
        <v>Month 10</v>
      </c>
      <c r="AC4" s="135" t="str">
        <f>Forecast!AD4</f>
        <v>Month 11</v>
      </c>
      <c r="AD4" s="135" t="str">
        <f>Forecast!AE4</f>
        <v>Month 12</v>
      </c>
      <c r="AE4" s="135" t="str">
        <f>Forecast!AF4</f>
        <v>Month 13</v>
      </c>
      <c r="AF4" s="135" t="str">
        <f>Forecast!AG4</f>
        <v>Month 14</v>
      </c>
      <c r="AG4" s="135" t="str">
        <f>Forecast!AH4</f>
        <v>Month 15</v>
      </c>
      <c r="AH4" s="135" t="str">
        <f>Forecast!AI4</f>
        <v>Month 16</v>
      </c>
      <c r="AI4" s="135" t="str">
        <f>Forecast!AJ4</f>
        <v>Month 17</v>
      </c>
      <c r="AJ4" s="135" t="str">
        <f>Forecast!AK4</f>
        <v>Month 18</v>
      </c>
      <c r="AK4" s="135" t="str">
        <f>Forecast!AL4</f>
        <v>Month 19</v>
      </c>
      <c r="AL4" s="135" t="str">
        <f>Forecast!AM4</f>
        <v>Month 20</v>
      </c>
      <c r="AM4" s="135" t="str">
        <f>Forecast!AN4</f>
        <v>Month 21</v>
      </c>
      <c r="AN4" s="135" t="str">
        <f>Forecast!AO4</f>
        <v>Month 22</v>
      </c>
      <c r="AO4" s="135" t="str">
        <f>Forecast!AP4</f>
        <v>Month 23</v>
      </c>
      <c r="AP4" s="135" t="str">
        <f>Forecast!AQ4</f>
        <v>Month 24</v>
      </c>
      <c r="AQ4" s="135" t="str">
        <f>Forecast!AR4</f>
        <v>Month 25</v>
      </c>
      <c r="AR4" s="135" t="str">
        <f>Forecast!AS4</f>
        <v>Month 26</v>
      </c>
      <c r="AS4" s="135" t="str">
        <f>Forecast!AT4</f>
        <v>Month 27</v>
      </c>
      <c r="AT4" s="135" t="str">
        <f>Forecast!AU4</f>
        <v>Month 28</v>
      </c>
      <c r="AU4" s="135" t="str">
        <f>Forecast!AV4</f>
        <v>Month 29</v>
      </c>
      <c r="AV4" s="135" t="str">
        <f>Forecast!AW4</f>
        <v>Month 30</v>
      </c>
      <c r="AW4" s="135" t="str">
        <f>Forecast!AX4</f>
        <v>Month 31</v>
      </c>
      <c r="AX4" s="135" t="str">
        <f>Forecast!AY4</f>
        <v>Month 32</v>
      </c>
      <c r="AY4" s="135" t="str">
        <f>Forecast!AZ4</f>
        <v>Month 33</v>
      </c>
      <c r="AZ4" s="135" t="str">
        <f>Forecast!BA4</f>
        <v>Month 34</v>
      </c>
      <c r="BA4" s="135" t="str">
        <f>Forecast!BB4</f>
        <v>Month 35</v>
      </c>
      <c r="BB4" s="135" t="str">
        <f>Forecast!BC4</f>
        <v>Month 36</v>
      </c>
    </row>
    <row r="5">
      <c r="A5" s="1"/>
      <c r="B5" s="136" t="str">
        <f>Forecast!B5</f>
        <v>Period in model</v>
      </c>
      <c r="C5" s="137" t="s">
        <v>102</v>
      </c>
      <c r="D5" s="138"/>
      <c r="E5" s="138"/>
      <c r="F5" s="138"/>
      <c r="G5" s="136" t="s">
        <v>183</v>
      </c>
      <c r="H5" s="139">
        <f t="shared" ref="H5:H7" si="1">if(G5="sum",sum(S5:BB5),if(G5="final",index(S5:BB5,match(99^99,S5:BB5,1)),if(G5="initial",S5,if(G5="average",average(S5:BB5),0))))</f>
        <v>36</v>
      </c>
      <c r="I5" s="140"/>
      <c r="J5" s="140"/>
      <c r="K5" s="140"/>
      <c r="L5" s="140"/>
      <c r="M5" s="140"/>
      <c r="N5" s="140"/>
      <c r="O5" s="140"/>
      <c r="P5" s="140"/>
      <c r="Q5" s="140"/>
      <c r="R5" s="139">
        <f>Forecast!S5</f>
        <v>0</v>
      </c>
      <c r="S5" s="139">
        <f>Forecast!T5</f>
        <v>1</v>
      </c>
      <c r="T5" s="139">
        <f>Forecast!U5</f>
        <v>2</v>
      </c>
      <c r="U5" s="139">
        <f>Forecast!V5</f>
        <v>3</v>
      </c>
      <c r="V5" s="139">
        <f>Forecast!W5</f>
        <v>4</v>
      </c>
      <c r="W5" s="139">
        <f>Forecast!X5</f>
        <v>5</v>
      </c>
      <c r="X5" s="139">
        <f>Forecast!Y5</f>
        <v>6</v>
      </c>
      <c r="Y5" s="139">
        <f>Forecast!Z5</f>
        <v>7</v>
      </c>
      <c r="Z5" s="139">
        <f>Forecast!AA5</f>
        <v>8</v>
      </c>
      <c r="AA5" s="139">
        <f>Forecast!AB5</f>
        <v>9</v>
      </c>
      <c r="AB5" s="139">
        <f>Forecast!AC5</f>
        <v>10</v>
      </c>
      <c r="AC5" s="139">
        <f>Forecast!AD5</f>
        <v>11</v>
      </c>
      <c r="AD5" s="139">
        <f>Forecast!AE5</f>
        <v>12</v>
      </c>
      <c r="AE5" s="139">
        <f>Forecast!AF5</f>
        <v>13</v>
      </c>
      <c r="AF5" s="139">
        <f>Forecast!AG5</f>
        <v>14</v>
      </c>
      <c r="AG5" s="139">
        <f>Forecast!AH5</f>
        <v>15</v>
      </c>
      <c r="AH5" s="139">
        <f>Forecast!AI5</f>
        <v>16</v>
      </c>
      <c r="AI5" s="139">
        <f>Forecast!AJ5</f>
        <v>17</v>
      </c>
      <c r="AJ5" s="139">
        <f>Forecast!AK5</f>
        <v>18</v>
      </c>
      <c r="AK5" s="139">
        <f>Forecast!AL5</f>
        <v>19</v>
      </c>
      <c r="AL5" s="139">
        <f>Forecast!AM5</f>
        <v>20</v>
      </c>
      <c r="AM5" s="139">
        <f>Forecast!AN5</f>
        <v>21</v>
      </c>
      <c r="AN5" s="139">
        <f>Forecast!AO5</f>
        <v>22</v>
      </c>
      <c r="AO5" s="139">
        <f>Forecast!AP5</f>
        <v>23</v>
      </c>
      <c r="AP5" s="139">
        <f>Forecast!AQ5</f>
        <v>24</v>
      </c>
      <c r="AQ5" s="139">
        <f>Forecast!AR5</f>
        <v>25</v>
      </c>
      <c r="AR5" s="139">
        <f>Forecast!AS5</f>
        <v>26</v>
      </c>
      <c r="AS5" s="139">
        <f>Forecast!AT5</f>
        <v>27</v>
      </c>
      <c r="AT5" s="139">
        <f>Forecast!AU5</f>
        <v>28</v>
      </c>
      <c r="AU5" s="139">
        <f>Forecast!AV5</f>
        <v>29</v>
      </c>
      <c r="AV5" s="139">
        <f>Forecast!AW5</f>
        <v>30</v>
      </c>
      <c r="AW5" s="139">
        <f>Forecast!AX5</f>
        <v>31</v>
      </c>
      <c r="AX5" s="139">
        <f>Forecast!AY5</f>
        <v>32</v>
      </c>
      <c r="AY5" s="139">
        <f>Forecast!AZ5</f>
        <v>33</v>
      </c>
      <c r="AZ5" s="139">
        <f>Forecast!BA5</f>
        <v>34</v>
      </c>
      <c r="BA5" s="139">
        <f>Forecast!BB5</f>
        <v>35</v>
      </c>
      <c r="BB5" s="139">
        <f>Forecast!BC5</f>
        <v>36</v>
      </c>
    </row>
    <row r="6">
      <c r="A6" s="1"/>
      <c r="B6" s="78" t="str">
        <f>Forecast!B6</f>
        <v>Date at end of period</v>
      </c>
      <c r="C6" s="86" t="s">
        <v>120</v>
      </c>
      <c r="D6" s="78"/>
      <c r="E6" s="78"/>
      <c r="F6" s="78"/>
      <c r="G6" s="79" t="s">
        <v>183</v>
      </c>
      <c r="H6" s="90">
        <f t="shared" si="1"/>
        <v>46022</v>
      </c>
      <c r="I6" s="88"/>
      <c r="J6" s="88"/>
      <c r="K6" s="88"/>
      <c r="L6" s="88"/>
      <c r="M6" s="88"/>
      <c r="N6" s="88"/>
      <c r="O6" s="88"/>
      <c r="P6" s="88"/>
      <c r="Q6" s="88"/>
      <c r="R6" s="90">
        <f>Forecast!S6</f>
        <v>44926</v>
      </c>
      <c r="S6" s="90">
        <f>Forecast!T6</f>
        <v>44957</v>
      </c>
      <c r="T6" s="90">
        <f>Forecast!U6</f>
        <v>44985</v>
      </c>
      <c r="U6" s="90">
        <f>Forecast!V6</f>
        <v>45016</v>
      </c>
      <c r="V6" s="90">
        <f>Forecast!W6</f>
        <v>45046</v>
      </c>
      <c r="W6" s="90">
        <f>Forecast!X6</f>
        <v>45077</v>
      </c>
      <c r="X6" s="90">
        <f>Forecast!Y6</f>
        <v>45107</v>
      </c>
      <c r="Y6" s="90">
        <f>Forecast!Z6</f>
        <v>45138</v>
      </c>
      <c r="Z6" s="90">
        <f>Forecast!AA6</f>
        <v>45169</v>
      </c>
      <c r="AA6" s="90">
        <f>Forecast!AB6</f>
        <v>45199</v>
      </c>
      <c r="AB6" s="90">
        <f>Forecast!AC6</f>
        <v>45230</v>
      </c>
      <c r="AC6" s="90">
        <f>Forecast!AD6</f>
        <v>45260</v>
      </c>
      <c r="AD6" s="90">
        <f>Forecast!AE6</f>
        <v>45291</v>
      </c>
      <c r="AE6" s="90">
        <f>Forecast!AF6</f>
        <v>45322</v>
      </c>
      <c r="AF6" s="90">
        <f>Forecast!AG6</f>
        <v>45351</v>
      </c>
      <c r="AG6" s="90">
        <f>Forecast!AH6</f>
        <v>45382</v>
      </c>
      <c r="AH6" s="90">
        <f>Forecast!AI6</f>
        <v>45412</v>
      </c>
      <c r="AI6" s="90">
        <f>Forecast!AJ6</f>
        <v>45443</v>
      </c>
      <c r="AJ6" s="90">
        <f>Forecast!AK6</f>
        <v>45473</v>
      </c>
      <c r="AK6" s="90">
        <f>Forecast!AL6</f>
        <v>45504</v>
      </c>
      <c r="AL6" s="90">
        <f>Forecast!AM6</f>
        <v>45535</v>
      </c>
      <c r="AM6" s="90">
        <f>Forecast!AN6</f>
        <v>45565</v>
      </c>
      <c r="AN6" s="90">
        <f>Forecast!AO6</f>
        <v>45596</v>
      </c>
      <c r="AO6" s="90">
        <f>Forecast!AP6</f>
        <v>45626</v>
      </c>
      <c r="AP6" s="90">
        <f>Forecast!AQ6</f>
        <v>45657</v>
      </c>
      <c r="AQ6" s="90">
        <f>Forecast!AR6</f>
        <v>45688</v>
      </c>
      <c r="AR6" s="90">
        <f>Forecast!AS6</f>
        <v>45716</v>
      </c>
      <c r="AS6" s="90">
        <f>Forecast!AT6</f>
        <v>45747</v>
      </c>
      <c r="AT6" s="90">
        <f>Forecast!AU6</f>
        <v>45777</v>
      </c>
      <c r="AU6" s="90">
        <f>Forecast!AV6</f>
        <v>45808</v>
      </c>
      <c r="AV6" s="90">
        <f>Forecast!AW6</f>
        <v>45838</v>
      </c>
      <c r="AW6" s="90">
        <f>Forecast!AX6</f>
        <v>45869</v>
      </c>
      <c r="AX6" s="90">
        <f>Forecast!AY6</f>
        <v>45900</v>
      </c>
      <c r="AY6" s="90">
        <f>Forecast!AZ6</f>
        <v>45930</v>
      </c>
      <c r="AZ6" s="90">
        <f>Forecast!BA6</f>
        <v>45961</v>
      </c>
      <c r="BA6" s="90">
        <f>Forecast!BB6</f>
        <v>45991</v>
      </c>
      <c r="BB6" s="90">
        <f>Forecast!BC6</f>
        <v>46022</v>
      </c>
    </row>
    <row r="7">
      <c r="A7" s="1"/>
      <c r="B7" s="78" t="str">
        <f>Forecast!B7</f>
        <v>Fiscal Year</v>
      </c>
      <c r="C7" s="86" t="s">
        <v>102</v>
      </c>
      <c r="D7" s="79"/>
      <c r="E7" s="78"/>
      <c r="F7" s="78"/>
      <c r="G7" s="79" t="s">
        <v>183</v>
      </c>
      <c r="H7" s="87">
        <f t="shared" si="1"/>
        <v>3</v>
      </c>
      <c r="I7" s="89"/>
      <c r="J7" s="88"/>
      <c r="K7" s="88"/>
      <c r="L7" s="88"/>
      <c r="M7" s="88"/>
      <c r="N7" s="88"/>
      <c r="O7" s="88"/>
      <c r="P7" s="88"/>
      <c r="Q7" s="88"/>
      <c r="R7" s="88"/>
      <c r="S7" s="141">
        <f>Forecast!T7</f>
        <v>1</v>
      </c>
      <c r="T7" s="141">
        <f>Forecast!U7</f>
        <v>1</v>
      </c>
      <c r="U7" s="141">
        <f>Forecast!V7</f>
        <v>1</v>
      </c>
      <c r="V7" s="141">
        <f>Forecast!W7</f>
        <v>1</v>
      </c>
      <c r="W7" s="141">
        <f>Forecast!X7</f>
        <v>1</v>
      </c>
      <c r="X7" s="141">
        <f>Forecast!Y7</f>
        <v>1</v>
      </c>
      <c r="Y7" s="141">
        <f>Forecast!Z7</f>
        <v>1</v>
      </c>
      <c r="Z7" s="141">
        <f>Forecast!AA7</f>
        <v>1</v>
      </c>
      <c r="AA7" s="141">
        <f>Forecast!AB7</f>
        <v>1</v>
      </c>
      <c r="AB7" s="141">
        <f>Forecast!AC7</f>
        <v>1</v>
      </c>
      <c r="AC7" s="141">
        <f>Forecast!AD7</f>
        <v>1</v>
      </c>
      <c r="AD7" s="141">
        <f>Forecast!AE7</f>
        <v>1</v>
      </c>
      <c r="AE7" s="141">
        <f>Forecast!AF7</f>
        <v>2</v>
      </c>
      <c r="AF7" s="141">
        <f>Forecast!AG7</f>
        <v>2</v>
      </c>
      <c r="AG7" s="141">
        <f>Forecast!AH7</f>
        <v>2</v>
      </c>
      <c r="AH7" s="141">
        <f>Forecast!AI7</f>
        <v>2</v>
      </c>
      <c r="AI7" s="141">
        <f>Forecast!AJ7</f>
        <v>2</v>
      </c>
      <c r="AJ7" s="141">
        <f>Forecast!AK7</f>
        <v>2</v>
      </c>
      <c r="AK7" s="141">
        <f>Forecast!AL7</f>
        <v>2</v>
      </c>
      <c r="AL7" s="141">
        <f>Forecast!AM7</f>
        <v>2</v>
      </c>
      <c r="AM7" s="141">
        <f>Forecast!AN7</f>
        <v>2</v>
      </c>
      <c r="AN7" s="141">
        <f>Forecast!AO7</f>
        <v>2</v>
      </c>
      <c r="AO7" s="141">
        <f>Forecast!AP7</f>
        <v>2</v>
      </c>
      <c r="AP7" s="141">
        <f>Forecast!AQ7</f>
        <v>2</v>
      </c>
      <c r="AQ7" s="141">
        <f>Forecast!AR7</f>
        <v>3</v>
      </c>
      <c r="AR7" s="141">
        <f>Forecast!AS7</f>
        <v>3</v>
      </c>
      <c r="AS7" s="141">
        <f>Forecast!AT7</f>
        <v>3</v>
      </c>
      <c r="AT7" s="141">
        <f>Forecast!AU7</f>
        <v>3</v>
      </c>
      <c r="AU7" s="141">
        <f>Forecast!AV7</f>
        <v>3</v>
      </c>
      <c r="AV7" s="141">
        <f>Forecast!AW7</f>
        <v>3</v>
      </c>
      <c r="AW7" s="141">
        <f>Forecast!AX7</f>
        <v>3</v>
      </c>
      <c r="AX7" s="141">
        <f>Forecast!AY7</f>
        <v>3</v>
      </c>
      <c r="AY7" s="141">
        <f>Forecast!AZ7</f>
        <v>3</v>
      </c>
      <c r="AZ7" s="141">
        <f>Forecast!BA7</f>
        <v>3</v>
      </c>
      <c r="BA7" s="141">
        <f>Forecast!BB7</f>
        <v>3</v>
      </c>
      <c r="BB7" s="141">
        <f>Forecast!BC7</f>
        <v>3</v>
      </c>
    </row>
    <row r="8">
      <c r="A8" s="1"/>
      <c r="B8" s="142"/>
      <c r="C8" s="77"/>
      <c r="D8" s="78"/>
      <c r="E8" s="78"/>
      <c r="F8" s="78"/>
      <c r="G8" s="78"/>
      <c r="H8" s="78"/>
      <c r="I8" s="88"/>
      <c r="J8" s="93"/>
      <c r="K8" s="93"/>
      <c r="L8" s="93"/>
      <c r="M8" s="93"/>
      <c r="N8" s="93"/>
      <c r="O8" s="93"/>
      <c r="P8" s="93"/>
      <c r="Q8" s="93"/>
      <c r="R8" s="93"/>
      <c r="S8" s="93"/>
      <c r="T8" s="93"/>
      <c r="U8" s="93"/>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row>
    <row r="9">
      <c r="A9" s="1"/>
      <c r="B9" s="143"/>
      <c r="C9" s="30"/>
      <c r="D9" s="78"/>
      <c r="E9" s="78"/>
      <c r="F9" s="78"/>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row>
    <row r="10">
      <c r="A10" s="1"/>
      <c r="B10" s="143" t="s">
        <v>410</v>
      </c>
      <c r="C10" s="30"/>
      <c r="D10" s="78"/>
      <c r="E10" s="78"/>
      <c r="F10" s="78"/>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row>
    <row r="11">
      <c r="A11" s="1"/>
      <c r="B11" s="1"/>
      <c r="C11" s="30"/>
      <c r="D11" s="78"/>
      <c r="E11" s="78"/>
      <c r="F11" s="78"/>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row>
    <row r="12">
      <c r="A12" s="1"/>
      <c r="B12" s="67" t="str">
        <f>Forecast!B98</f>
        <v>Revenues</v>
      </c>
      <c r="C12" s="144" t="str">
        <f>'Get Started'!$C$20</f>
        <v>$</v>
      </c>
      <c r="E12" s="78"/>
      <c r="F12" s="78"/>
      <c r="G12" s="79" t="s">
        <v>193</v>
      </c>
      <c r="H12" s="87">
        <f t="shared" ref="H12:H13" si="2">if(G12="sum",sum(S12:BB12),if(G12="final",index(S12:BB12,match(99^99,S12:BB12,1)),if(G12="initial",S12,if(G12="average",average(S12:BB12),0))))</f>
        <v>40811.47688</v>
      </c>
      <c r="I12" s="1"/>
      <c r="J12" s="78" t="s">
        <v>411</v>
      </c>
      <c r="K12" s="1"/>
      <c r="L12" s="1"/>
      <c r="M12" s="1"/>
      <c r="N12" s="1"/>
      <c r="O12" s="1"/>
      <c r="P12" s="1"/>
      <c r="Q12" s="1"/>
      <c r="R12" s="145" t="str">
        <f>B12</f>
        <v>Revenues</v>
      </c>
      <c r="S12" s="67">
        <f>if(S$5="","",Forecast!T98)</f>
        <v>1000</v>
      </c>
      <c r="T12" s="67">
        <f>if(T$5="","",Forecast!U98)</f>
        <v>1000</v>
      </c>
      <c r="U12" s="67">
        <f>if(U$5="","",Forecast!V98)</f>
        <v>1000</v>
      </c>
      <c r="V12" s="67">
        <f>if(V$5="","",Forecast!W98)</f>
        <v>1000</v>
      </c>
      <c r="W12" s="67">
        <f>if(W$5="","",Forecast!X98)</f>
        <v>1000</v>
      </c>
      <c r="X12" s="67">
        <f>if(X$5="","",Forecast!Y98)</f>
        <v>1000</v>
      </c>
      <c r="Y12" s="67">
        <f>if(Y$5="","",Forecast!Z98)</f>
        <v>1050</v>
      </c>
      <c r="Z12" s="67">
        <f>if(Z$5="","",Forecast!AA98)</f>
        <v>1050</v>
      </c>
      <c r="AA12" s="67">
        <f>if(AA$5="","",Forecast!AB98)</f>
        <v>1050</v>
      </c>
      <c r="AB12" s="67">
        <f>if(AB$5="","",Forecast!AC98)</f>
        <v>1050</v>
      </c>
      <c r="AC12" s="67">
        <f>if(AC$5="","",Forecast!AD98)</f>
        <v>1050</v>
      </c>
      <c r="AD12" s="67">
        <f>if(AD$5="","",Forecast!AE98)</f>
        <v>1050</v>
      </c>
      <c r="AE12" s="67">
        <f>if(AE$5="","",Forecast!AF98)</f>
        <v>1102.5</v>
      </c>
      <c r="AF12" s="67">
        <f>if(AF$5="","",Forecast!AG98)</f>
        <v>1102.5</v>
      </c>
      <c r="AG12" s="67">
        <f>if(AG$5="","",Forecast!AH98)</f>
        <v>1102.5</v>
      </c>
      <c r="AH12" s="67">
        <f>if(AH$5="","",Forecast!AI98)</f>
        <v>1102.5</v>
      </c>
      <c r="AI12" s="67">
        <f>if(AI$5="","",Forecast!AJ98)</f>
        <v>1102.5</v>
      </c>
      <c r="AJ12" s="67">
        <f>if(AJ$5="","",Forecast!AK98)</f>
        <v>1102.5</v>
      </c>
      <c r="AK12" s="67">
        <f>if(AK$5="","",Forecast!AL98)</f>
        <v>1157.625</v>
      </c>
      <c r="AL12" s="67">
        <f>if(AL$5="","",Forecast!AM98)</f>
        <v>1157.625</v>
      </c>
      <c r="AM12" s="67">
        <f>if(AM$5="","",Forecast!AN98)</f>
        <v>1157.625</v>
      </c>
      <c r="AN12" s="67">
        <f>if(AN$5="","",Forecast!AO98)</f>
        <v>1157.625</v>
      </c>
      <c r="AO12" s="67">
        <f>if(AO$5="","",Forecast!AP98)</f>
        <v>1157.625</v>
      </c>
      <c r="AP12" s="67">
        <f>if(AP$5="","",Forecast!AQ98)</f>
        <v>1157.625</v>
      </c>
      <c r="AQ12" s="67">
        <f>if(AQ$5="","",Forecast!AR98)</f>
        <v>1215.50625</v>
      </c>
      <c r="AR12" s="67">
        <f>if(AR$5="","",Forecast!AS98)</f>
        <v>1215.50625</v>
      </c>
      <c r="AS12" s="67">
        <f>if(AS$5="","",Forecast!AT98)</f>
        <v>1215.50625</v>
      </c>
      <c r="AT12" s="67">
        <f>if(AT$5="","",Forecast!AU98)</f>
        <v>1215.50625</v>
      </c>
      <c r="AU12" s="67">
        <f>if(AU$5="","",Forecast!AV98)</f>
        <v>1215.50625</v>
      </c>
      <c r="AV12" s="67">
        <f>if(AV$5="","",Forecast!AW98)</f>
        <v>1215.50625</v>
      </c>
      <c r="AW12" s="67">
        <f>if(AW$5="","",Forecast!AX98)</f>
        <v>1276.281563</v>
      </c>
      <c r="AX12" s="67">
        <f>if(AX$5="","",Forecast!AY98)</f>
        <v>1276.281563</v>
      </c>
      <c r="AY12" s="67">
        <f>if(AY$5="","",Forecast!AZ98)</f>
        <v>1276.281563</v>
      </c>
      <c r="AZ12" s="67">
        <f>if(AZ$5="","",Forecast!BA98)</f>
        <v>1276.281563</v>
      </c>
      <c r="BA12" s="67">
        <f>if(BA$5="","",Forecast!BB98)</f>
        <v>1276.281563</v>
      </c>
      <c r="BB12" s="67">
        <f>if(BB$5="","",Forecast!BC98)</f>
        <v>1276.281563</v>
      </c>
    </row>
    <row r="13">
      <c r="A13" s="1"/>
      <c r="B13" s="1" t="s">
        <v>412</v>
      </c>
      <c r="C13" s="30" t="s">
        <v>112</v>
      </c>
      <c r="E13" s="78"/>
      <c r="F13" s="78"/>
      <c r="G13" s="79" t="s">
        <v>413</v>
      </c>
      <c r="H13" s="146">
        <f t="shared" si="2"/>
        <v>0.006944444444</v>
      </c>
      <c r="I13" s="1"/>
      <c r="J13" s="78" t="s">
        <v>414</v>
      </c>
      <c r="K13" s="1"/>
      <c r="L13" s="1"/>
      <c r="M13" s="1"/>
      <c r="N13" s="1"/>
      <c r="O13" s="1"/>
      <c r="P13" s="1"/>
      <c r="Q13" s="1"/>
      <c r="R13" s="45"/>
      <c r="S13" s="60">
        <f t="shared" ref="S13:BB13" si="3">if(S$5="","",IFERROR(S12/R12-1,0))</f>
        <v>0</v>
      </c>
      <c r="T13" s="60">
        <f t="shared" si="3"/>
        <v>0</v>
      </c>
      <c r="U13" s="60">
        <f t="shared" si="3"/>
        <v>0</v>
      </c>
      <c r="V13" s="60">
        <f t="shared" si="3"/>
        <v>0</v>
      </c>
      <c r="W13" s="60">
        <f t="shared" si="3"/>
        <v>0</v>
      </c>
      <c r="X13" s="60">
        <f t="shared" si="3"/>
        <v>0</v>
      </c>
      <c r="Y13" s="60">
        <f t="shared" si="3"/>
        <v>0.05</v>
      </c>
      <c r="Z13" s="60">
        <f t="shared" si="3"/>
        <v>0</v>
      </c>
      <c r="AA13" s="60">
        <f t="shared" si="3"/>
        <v>0</v>
      </c>
      <c r="AB13" s="60">
        <f t="shared" si="3"/>
        <v>0</v>
      </c>
      <c r="AC13" s="60">
        <f t="shared" si="3"/>
        <v>0</v>
      </c>
      <c r="AD13" s="60">
        <f t="shared" si="3"/>
        <v>0</v>
      </c>
      <c r="AE13" s="60">
        <f t="shared" si="3"/>
        <v>0.05</v>
      </c>
      <c r="AF13" s="60">
        <f t="shared" si="3"/>
        <v>0</v>
      </c>
      <c r="AG13" s="60">
        <f t="shared" si="3"/>
        <v>0</v>
      </c>
      <c r="AH13" s="60">
        <f t="shared" si="3"/>
        <v>0</v>
      </c>
      <c r="AI13" s="60">
        <f t="shared" si="3"/>
        <v>0</v>
      </c>
      <c r="AJ13" s="60">
        <f t="shared" si="3"/>
        <v>0</v>
      </c>
      <c r="AK13" s="60">
        <f t="shared" si="3"/>
        <v>0.05</v>
      </c>
      <c r="AL13" s="60">
        <f t="shared" si="3"/>
        <v>0</v>
      </c>
      <c r="AM13" s="60">
        <f t="shared" si="3"/>
        <v>0</v>
      </c>
      <c r="AN13" s="60">
        <f t="shared" si="3"/>
        <v>0</v>
      </c>
      <c r="AO13" s="60">
        <f t="shared" si="3"/>
        <v>0</v>
      </c>
      <c r="AP13" s="60">
        <f t="shared" si="3"/>
        <v>0</v>
      </c>
      <c r="AQ13" s="60">
        <f t="shared" si="3"/>
        <v>0.05</v>
      </c>
      <c r="AR13" s="60">
        <f t="shared" si="3"/>
        <v>0</v>
      </c>
      <c r="AS13" s="60">
        <f t="shared" si="3"/>
        <v>0</v>
      </c>
      <c r="AT13" s="60">
        <f t="shared" si="3"/>
        <v>0</v>
      </c>
      <c r="AU13" s="60">
        <f t="shared" si="3"/>
        <v>0</v>
      </c>
      <c r="AV13" s="60">
        <f t="shared" si="3"/>
        <v>0</v>
      </c>
      <c r="AW13" s="60">
        <f t="shared" si="3"/>
        <v>0.05</v>
      </c>
      <c r="AX13" s="60">
        <f t="shared" si="3"/>
        <v>0</v>
      </c>
      <c r="AY13" s="60">
        <f t="shared" si="3"/>
        <v>0</v>
      </c>
      <c r="AZ13" s="60">
        <f t="shared" si="3"/>
        <v>0</v>
      </c>
      <c r="BA13" s="60">
        <f t="shared" si="3"/>
        <v>0</v>
      </c>
      <c r="BB13" s="60">
        <f t="shared" si="3"/>
        <v>0</v>
      </c>
    </row>
    <row r="14">
      <c r="A14" s="1"/>
      <c r="B14" s="1"/>
      <c r="C14" s="30"/>
      <c r="E14" s="1"/>
      <c r="F14" s="1"/>
      <c r="G14" s="1"/>
      <c r="H14" s="1"/>
      <c r="I14" s="1"/>
      <c r="J14" s="1"/>
      <c r="K14" s="1"/>
      <c r="L14" s="1"/>
      <c r="M14" s="1"/>
      <c r="N14" s="1"/>
      <c r="O14" s="1"/>
      <c r="P14" s="1"/>
      <c r="Q14" s="1"/>
      <c r="R14" s="45"/>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row>
    <row r="15">
      <c r="A15" s="1"/>
      <c r="B15" s="67" t="str">
        <f>Forecast!B99</f>
        <v>Cost of Goods Sold</v>
      </c>
      <c r="C15" s="144" t="str">
        <f>'Get Started'!$C$20</f>
        <v>$</v>
      </c>
      <c r="E15" s="1"/>
      <c r="F15" s="1"/>
      <c r="G15" s="79" t="s">
        <v>193</v>
      </c>
      <c r="H15" s="87">
        <f t="array" ref="H15">if(G15="sum",sum(S15:BB15),if(G15="final",index(S15:BB15,match(99^99,S15:BB15,1)),if(G15="initial",S15,if(G15="average",average(S15:BB15),0))))</f>
        <v>0</v>
      </c>
      <c r="I15" s="1"/>
      <c r="J15" s="1" t="s">
        <v>415</v>
      </c>
      <c r="K15" s="1"/>
      <c r="L15" s="1"/>
      <c r="M15" s="1"/>
      <c r="N15" s="1"/>
      <c r="O15" s="1"/>
      <c r="P15" s="1"/>
      <c r="Q15" s="1"/>
      <c r="R15" s="145" t="str">
        <f>B15</f>
        <v>Cost of Goods Sold</v>
      </c>
      <c r="S15" s="67">
        <f>if(S$5="","",Forecast!T99)</f>
        <v>0</v>
      </c>
      <c r="T15" s="67">
        <f>if(T$5="","",Forecast!U99)</f>
        <v>0</v>
      </c>
      <c r="U15" s="67">
        <f>if(U$5="","",Forecast!V99)</f>
        <v>0</v>
      </c>
      <c r="V15" s="67">
        <f>if(V$5="","",Forecast!W99)</f>
        <v>0</v>
      </c>
      <c r="W15" s="67">
        <f>if(W$5="","",Forecast!X99)</f>
        <v>0</v>
      </c>
      <c r="X15" s="67">
        <f>if(X$5="","",Forecast!Y99)</f>
        <v>0</v>
      </c>
      <c r="Y15" s="67">
        <f>if(Y$5="","",Forecast!Z99)</f>
        <v>0</v>
      </c>
      <c r="Z15" s="67">
        <f>if(Z$5="","",Forecast!AA99)</f>
        <v>0</v>
      </c>
      <c r="AA15" s="67">
        <f>if(AA$5="","",Forecast!AB99)</f>
        <v>0</v>
      </c>
      <c r="AB15" s="67">
        <f>if(AB$5="","",Forecast!AC99)</f>
        <v>0</v>
      </c>
      <c r="AC15" s="67">
        <f>if(AC$5="","",Forecast!AD99)</f>
        <v>0</v>
      </c>
      <c r="AD15" s="67">
        <f>if(AD$5="","",Forecast!AE99)</f>
        <v>0</v>
      </c>
      <c r="AE15" s="67">
        <f>if(AE$5="","",Forecast!AF99)</f>
        <v>0</v>
      </c>
      <c r="AF15" s="67">
        <f>if(AF$5="","",Forecast!AG99)</f>
        <v>0</v>
      </c>
      <c r="AG15" s="67">
        <f>if(AG$5="","",Forecast!AH99)</f>
        <v>0</v>
      </c>
      <c r="AH15" s="67">
        <f>if(AH$5="","",Forecast!AI99)</f>
        <v>0</v>
      </c>
      <c r="AI15" s="67">
        <f>if(AI$5="","",Forecast!AJ99)</f>
        <v>0</v>
      </c>
      <c r="AJ15" s="67">
        <f>if(AJ$5="","",Forecast!AK99)</f>
        <v>0</v>
      </c>
      <c r="AK15" s="67">
        <f>if(AK$5="","",Forecast!AL99)</f>
        <v>0</v>
      </c>
      <c r="AL15" s="67">
        <f>if(AL$5="","",Forecast!AM99)</f>
        <v>0</v>
      </c>
      <c r="AM15" s="67">
        <f>if(AM$5="","",Forecast!AN99)</f>
        <v>0</v>
      </c>
      <c r="AN15" s="67">
        <f>if(AN$5="","",Forecast!AO99)</f>
        <v>0</v>
      </c>
      <c r="AO15" s="67">
        <f>if(AO$5="","",Forecast!AP99)</f>
        <v>0</v>
      </c>
      <c r="AP15" s="67">
        <f>if(AP$5="","",Forecast!AQ99)</f>
        <v>0</v>
      </c>
      <c r="AQ15" s="67">
        <f>if(AQ$5="","",Forecast!AR99)</f>
        <v>0</v>
      </c>
      <c r="AR15" s="67">
        <f>if(AR$5="","",Forecast!AS99)</f>
        <v>0</v>
      </c>
      <c r="AS15" s="67">
        <f>if(AS$5="","",Forecast!AT99)</f>
        <v>0</v>
      </c>
      <c r="AT15" s="67">
        <f>if(AT$5="","",Forecast!AU99)</f>
        <v>0</v>
      </c>
      <c r="AU15" s="67">
        <f>if(AU$5="","",Forecast!AV99)</f>
        <v>0</v>
      </c>
      <c r="AV15" s="67">
        <f>if(AV$5="","",Forecast!AW99)</f>
        <v>0</v>
      </c>
      <c r="AW15" s="67">
        <f>if(AW$5="","",Forecast!AX99)</f>
        <v>0</v>
      </c>
      <c r="AX15" s="67">
        <f>if(AX$5="","",Forecast!AY99)</f>
        <v>0</v>
      </c>
      <c r="AY15" s="67">
        <f>if(AY$5="","",Forecast!AZ99)</f>
        <v>0</v>
      </c>
      <c r="AZ15" s="67">
        <f>if(AZ$5="","",Forecast!BA99)</f>
        <v>0</v>
      </c>
      <c r="BA15" s="67">
        <f>if(BA$5="","",Forecast!BB99)</f>
        <v>0</v>
      </c>
      <c r="BB15" s="67">
        <f>if(BB$5="","",Forecast!BC99)</f>
        <v>0</v>
      </c>
    </row>
    <row r="16">
      <c r="A16" s="1"/>
      <c r="B16" s="1"/>
      <c r="C16" s="30"/>
      <c r="E16" s="1"/>
      <c r="F16" s="1"/>
      <c r="G16" s="1"/>
      <c r="H16" s="1"/>
      <c r="I16" s="1"/>
      <c r="J16" s="1"/>
      <c r="K16" s="1"/>
      <c r="L16" s="1"/>
      <c r="M16" s="1"/>
      <c r="N16" s="1"/>
      <c r="O16" s="1"/>
      <c r="P16" s="1"/>
      <c r="Q16" s="1"/>
      <c r="R16" s="45"/>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row>
    <row r="17">
      <c r="A17" s="1"/>
      <c r="B17" s="1" t="s">
        <v>163</v>
      </c>
      <c r="C17" s="144" t="str">
        <f>'Get Started'!$C$20</f>
        <v>$</v>
      </c>
      <c r="E17" s="1"/>
      <c r="F17" s="1"/>
      <c r="G17" s="79" t="s">
        <v>193</v>
      </c>
      <c r="H17" s="87">
        <f t="array" ref="H17">if(G17="sum",sum(S17:BB17),if(G17="final",index(S17:BB17,match(99^99,S17:BB17,1)),if(G17="initial",S17,if(G17="average",average(S17:BB17),0))))</f>
        <v>40811.47688</v>
      </c>
      <c r="I17" s="1"/>
      <c r="J17" s="1" t="s">
        <v>416</v>
      </c>
      <c r="K17" s="1"/>
      <c r="L17" s="1"/>
      <c r="M17" s="1"/>
      <c r="N17" s="1"/>
      <c r="O17" s="1"/>
      <c r="P17" s="1"/>
      <c r="Q17" s="1"/>
      <c r="R17" s="67"/>
      <c r="S17" s="70">
        <f t="shared" ref="S17:BB17" si="4">if(S$5="","",S12-S15)</f>
        <v>1000</v>
      </c>
      <c r="T17" s="147">
        <f t="shared" si="4"/>
        <v>1000</v>
      </c>
      <c r="U17" s="70">
        <f t="shared" si="4"/>
        <v>1000</v>
      </c>
      <c r="V17" s="70">
        <f t="shared" si="4"/>
        <v>1000</v>
      </c>
      <c r="W17" s="70">
        <f t="shared" si="4"/>
        <v>1000</v>
      </c>
      <c r="X17" s="70">
        <f t="shared" si="4"/>
        <v>1000</v>
      </c>
      <c r="Y17" s="70">
        <f t="shared" si="4"/>
        <v>1050</v>
      </c>
      <c r="Z17" s="70">
        <f t="shared" si="4"/>
        <v>1050</v>
      </c>
      <c r="AA17" s="70">
        <f t="shared" si="4"/>
        <v>1050</v>
      </c>
      <c r="AB17" s="70">
        <f t="shared" si="4"/>
        <v>1050</v>
      </c>
      <c r="AC17" s="70">
        <f t="shared" si="4"/>
        <v>1050</v>
      </c>
      <c r="AD17" s="70">
        <f t="shared" si="4"/>
        <v>1050</v>
      </c>
      <c r="AE17" s="70">
        <f t="shared" si="4"/>
        <v>1102.5</v>
      </c>
      <c r="AF17" s="70">
        <f t="shared" si="4"/>
        <v>1102.5</v>
      </c>
      <c r="AG17" s="70">
        <f t="shared" si="4"/>
        <v>1102.5</v>
      </c>
      <c r="AH17" s="70">
        <f t="shared" si="4"/>
        <v>1102.5</v>
      </c>
      <c r="AI17" s="70">
        <f t="shared" si="4"/>
        <v>1102.5</v>
      </c>
      <c r="AJ17" s="70">
        <f t="shared" si="4"/>
        <v>1102.5</v>
      </c>
      <c r="AK17" s="70">
        <f t="shared" si="4"/>
        <v>1157.625</v>
      </c>
      <c r="AL17" s="70">
        <f t="shared" si="4"/>
        <v>1157.625</v>
      </c>
      <c r="AM17" s="70">
        <f t="shared" si="4"/>
        <v>1157.625</v>
      </c>
      <c r="AN17" s="70">
        <f t="shared" si="4"/>
        <v>1157.625</v>
      </c>
      <c r="AO17" s="70">
        <f t="shared" si="4"/>
        <v>1157.625</v>
      </c>
      <c r="AP17" s="70">
        <f t="shared" si="4"/>
        <v>1157.625</v>
      </c>
      <c r="AQ17" s="70">
        <f t="shared" si="4"/>
        <v>1215.50625</v>
      </c>
      <c r="AR17" s="70">
        <f t="shared" si="4"/>
        <v>1215.50625</v>
      </c>
      <c r="AS17" s="70">
        <f t="shared" si="4"/>
        <v>1215.50625</v>
      </c>
      <c r="AT17" s="70">
        <f t="shared" si="4"/>
        <v>1215.50625</v>
      </c>
      <c r="AU17" s="70">
        <f t="shared" si="4"/>
        <v>1215.50625</v>
      </c>
      <c r="AV17" s="70">
        <f t="shared" si="4"/>
        <v>1215.50625</v>
      </c>
      <c r="AW17" s="70">
        <f t="shared" si="4"/>
        <v>1276.281563</v>
      </c>
      <c r="AX17" s="70">
        <f t="shared" si="4"/>
        <v>1276.281563</v>
      </c>
      <c r="AY17" s="70">
        <f t="shared" si="4"/>
        <v>1276.281563</v>
      </c>
      <c r="AZ17" s="70">
        <f t="shared" si="4"/>
        <v>1276.281563</v>
      </c>
      <c r="BA17" s="70">
        <f t="shared" si="4"/>
        <v>1276.281563</v>
      </c>
      <c r="BB17" s="70">
        <f t="shared" si="4"/>
        <v>1276.281563</v>
      </c>
    </row>
    <row r="18">
      <c r="A18" s="1"/>
      <c r="B18" s="1" t="s">
        <v>417</v>
      </c>
      <c r="C18" s="30" t="s">
        <v>112</v>
      </c>
      <c r="E18" s="1"/>
      <c r="F18" s="1"/>
      <c r="G18" s="79" t="s">
        <v>413</v>
      </c>
      <c r="H18" s="60">
        <f>IFERROR(H17/H$12,0)</f>
        <v>1</v>
      </c>
      <c r="I18" s="1"/>
      <c r="J18" s="1" t="s">
        <v>418</v>
      </c>
      <c r="K18" s="1"/>
      <c r="L18" s="1"/>
      <c r="M18" s="1"/>
      <c r="N18" s="1"/>
      <c r="O18" s="1"/>
      <c r="P18" s="1"/>
      <c r="Q18" s="1"/>
      <c r="R18" s="45"/>
      <c r="S18" s="60">
        <f t="shared" ref="S18:BB18" si="5">if(S$5="","",IFERROR(S17/S$12,0))</f>
        <v>1</v>
      </c>
      <c r="T18" s="60">
        <f t="shared" si="5"/>
        <v>1</v>
      </c>
      <c r="U18" s="60">
        <f t="shared" si="5"/>
        <v>1</v>
      </c>
      <c r="V18" s="60">
        <f t="shared" si="5"/>
        <v>1</v>
      </c>
      <c r="W18" s="60">
        <f t="shared" si="5"/>
        <v>1</v>
      </c>
      <c r="X18" s="60">
        <f t="shared" si="5"/>
        <v>1</v>
      </c>
      <c r="Y18" s="60">
        <f t="shared" si="5"/>
        <v>1</v>
      </c>
      <c r="Z18" s="60">
        <f t="shared" si="5"/>
        <v>1</v>
      </c>
      <c r="AA18" s="60">
        <f t="shared" si="5"/>
        <v>1</v>
      </c>
      <c r="AB18" s="60">
        <f t="shared" si="5"/>
        <v>1</v>
      </c>
      <c r="AC18" s="60">
        <f t="shared" si="5"/>
        <v>1</v>
      </c>
      <c r="AD18" s="60">
        <f t="shared" si="5"/>
        <v>1</v>
      </c>
      <c r="AE18" s="60">
        <f t="shared" si="5"/>
        <v>1</v>
      </c>
      <c r="AF18" s="60">
        <f t="shared" si="5"/>
        <v>1</v>
      </c>
      <c r="AG18" s="60">
        <f t="shared" si="5"/>
        <v>1</v>
      </c>
      <c r="AH18" s="60">
        <f t="shared" si="5"/>
        <v>1</v>
      </c>
      <c r="AI18" s="60">
        <f t="shared" si="5"/>
        <v>1</v>
      </c>
      <c r="AJ18" s="60">
        <f t="shared" si="5"/>
        <v>1</v>
      </c>
      <c r="AK18" s="60">
        <f t="shared" si="5"/>
        <v>1</v>
      </c>
      <c r="AL18" s="60">
        <f t="shared" si="5"/>
        <v>1</v>
      </c>
      <c r="AM18" s="60">
        <f t="shared" si="5"/>
        <v>1</v>
      </c>
      <c r="AN18" s="60">
        <f t="shared" si="5"/>
        <v>1</v>
      </c>
      <c r="AO18" s="60">
        <f t="shared" si="5"/>
        <v>1</v>
      </c>
      <c r="AP18" s="60">
        <f t="shared" si="5"/>
        <v>1</v>
      </c>
      <c r="AQ18" s="60">
        <f t="shared" si="5"/>
        <v>1</v>
      </c>
      <c r="AR18" s="60">
        <f t="shared" si="5"/>
        <v>1</v>
      </c>
      <c r="AS18" s="60">
        <f t="shared" si="5"/>
        <v>1</v>
      </c>
      <c r="AT18" s="60">
        <f t="shared" si="5"/>
        <v>1</v>
      </c>
      <c r="AU18" s="60">
        <f t="shared" si="5"/>
        <v>1</v>
      </c>
      <c r="AV18" s="60">
        <f t="shared" si="5"/>
        <v>1</v>
      </c>
      <c r="AW18" s="60">
        <f t="shared" si="5"/>
        <v>1</v>
      </c>
      <c r="AX18" s="60">
        <f t="shared" si="5"/>
        <v>1</v>
      </c>
      <c r="AY18" s="60">
        <f t="shared" si="5"/>
        <v>1</v>
      </c>
      <c r="AZ18" s="60">
        <f t="shared" si="5"/>
        <v>1</v>
      </c>
      <c r="BA18" s="60">
        <f t="shared" si="5"/>
        <v>1</v>
      </c>
      <c r="BB18" s="60">
        <f t="shared" si="5"/>
        <v>1</v>
      </c>
    </row>
    <row r="19">
      <c r="A19" s="1"/>
      <c r="B19" s="1"/>
      <c r="C19" s="30"/>
      <c r="E19" s="1"/>
      <c r="F19" s="1"/>
      <c r="G19" s="1"/>
      <c r="H19" s="1"/>
      <c r="I19" s="1"/>
      <c r="J19" s="1"/>
      <c r="K19" s="1"/>
      <c r="L19" s="1"/>
      <c r="M19" s="1"/>
      <c r="N19" s="1"/>
      <c r="O19" s="1"/>
      <c r="P19" s="1"/>
      <c r="Q19" s="1"/>
      <c r="R19" s="45"/>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row>
    <row r="20">
      <c r="A20" s="1"/>
      <c r="B20" s="67" t="str">
        <f>Forecast!B100</f>
        <v>SG&amp;A</v>
      </c>
      <c r="C20" s="144" t="str">
        <f>'Get Started'!$C$20</f>
        <v>$</v>
      </c>
      <c r="E20" s="1"/>
      <c r="F20" s="1"/>
      <c r="G20" s="79" t="s">
        <v>193</v>
      </c>
      <c r="H20" s="87">
        <f t="array" ref="H20">if(G20="sum",sum(S20:BB20),if(G20="final",index(S20:BB20,match(99^99,S20:BB20,1)),if(G20="initial",S20,if(G20="average",average(S20:BB20),0))))</f>
        <v>0</v>
      </c>
      <c r="I20" s="1"/>
      <c r="J20" s="1" t="s">
        <v>419</v>
      </c>
      <c r="K20" s="1"/>
      <c r="L20" s="1"/>
      <c r="M20" s="1"/>
      <c r="N20" s="1"/>
      <c r="O20" s="1"/>
      <c r="P20" s="1"/>
      <c r="Q20" s="1"/>
      <c r="R20" s="145" t="str">
        <f>B20</f>
        <v>SG&amp;A</v>
      </c>
      <c r="S20" s="67">
        <f>if(S$5="","",Forecast!T100)</f>
        <v>0</v>
      </c>
      <c r="T20" s="67">
        <f>if(T$5="","",Forecast!U100)</f>
        <v>0</v>
      </c>
      <c r="U20" s="67">
        <f>if(U$5="","",Forecast!V100)</f>
        <v>0</v>
      </c>
      <c r="V20" s="67">
        <f>if(V$5="","",Forecast!W100)</f>
        <v>0</v>
      </c>
      <c r="W20" s="67">
        <f>if(W$5="","",Forecast!X100)</f>
        <v>0</v>
      </c>
      <c r="X20" s="67">
        <f>if(X$5="","",Forecast!Y100)</f>
        <v>0</v>
      </c>
      <c r="Y20" s="67">
        <f>if(Y$5="","",Forecast!Z100)</f>
        <v>0</v>
      </c>
      <c r="Z20" s="67">
        <f>if(Z$5="","",Forecast!AA100)</f>
        <v>0</v>
      </c>
      <c r="AA20" s="67">
        <f>if(AA$5="","",Forecast!AB100)</f>
        <v>0</v>
      </c>
      <c r="AB20" s="67">
        <f>if(AB$5="","",Forecast!AC100)</f>
        <v>0</v>
      </c>
      <c r="AC20" s="67">
        <f>if(AC$5="","",Forecast!AD100)</f>
        <v>0</v>
      </c>
      <c r="AD20" s="67">
        <f>if(AD$5="","",Forecast!AE100)</f>
        <v>0</v>
      </c>
      <c r="AE20" s="67">
        <f>if(AE$5="","",Forecast!AF100)</f>
        <v>0</v>
      </c>
      <c r="AF20" s="67">
        <f>if(AF$5="","",Forecast!AG100)</f>
        <v>0</v>
      </c>
      <c r="AG20" s="67">
        <f>if(AG$5="","",Forecast!AH100)</f>
        <v>0</v>
      </c>
      <c r="AH20" s="67">
        <f>if(AH$5="","",Forecast!AI100)</f>
        <v>0</v>
      </c>
      <c r="AI20" s="67">
        <f>if(AI$5="","",Forecast!AJ100)</f>
        <v>0</v>
      </c>
      <c r="AJ20" s="67">
        <f>if(AJ$5="","",Forecast!AK100)</f>
        <v>0</v>
      </c>
      <c r="AK20" s="67">
        <f>if(AK$5="","",Forecast!AL100)</f>
        <v>0</v>
      </c>
      <c r="AL20" s="67">
        <f>if(AL$5="","",Forecast!AM100)</f>
        <v>0</v>
      </c>
      <c r="AM20" s="67">
        <f>if(AM$5="","",Forecast!AN100)</f>
        <v>0</v>
      </c>
      <c r="AN20" s="67">
        <f>if(AN$5="","",Forecast!AO100)</f>
        <v>0</v>
      </c>
      <c r="AO20" s="67">
        <f>if(AO$5="","",Forecast!AP100)</f>
        <v>0</v>
      </c>
      <c r="AP20" s="67">
        <f>if(AP$5="","",Forecast!AQ100)</f>
        <v>0</v>
      </c>
      <c r="AQ20" s="67">
        <f>if(AQ$5="","",Forecast!AR100)</f>
        <v>0</v>
      </c>
      <c r="AR20" s="67">
        <f>if(AR$5="","",Forecast!AS100)</f>
        <v>0</v>
      </c>
      <c r="AS20" s="67">
        <f>if(AS$5="","",Forecast!AT100)</f>
        <v>0</v>
      </c>
      <c r="AT20" s="67">
        <f>if(AT$5="","",Forecast!AU100)</f>
        <v>0</v>
      </c>
      <c r="AU20" s="67">
        <f>if(AU$5="","",Forecast!AV100)</f>
        <v>0</v>
      </c>
      <c r="AV20" s="67">
        <f>if(AV$5="","",Forecast!AW100)</f>
        <v>0</v>
      </c>
      <c r="AW20" s="67">
        <f>if(AW$5="","",Forecast!AX100)</f>
        <v>0</v>
      </c>
      <c r="AX20" s="67">
        <f>if(AX$5="","",Forecast!AY100)</f>
        <v>0</v>
      </c>
      <c r="AY20" s="67">
        <f>if(AY$5="","",Forecast!AZ100)</f>
        <v>0</v>
      </c>
      <c r="AZ20" s="67">
        <f>if(AZ$5="","",Forecast!BA100)</f>
        <v>0</v>
      </c>
      <c r="BA20" s="67">
        <f>if(BA$5="","",Forecast!BB100)</f>
        <v>0</v>
      </c>
      <c r="BB20" s="67">
        <f>if(BB$5="","",Forecast!BC100)</f>
        <v>0</v>
      </c>
    </row>
    <row r="21">
      <c r="A21" s="1"/>
      <c r="B21" s="1" t="s">
        <v>420</v>
      </c>
      <c r="C21" s="30" t="s">
        <v>112</v>
      </c>
      <c r="E21" s="1"/>
      <c r="F21" s="1"/>
      <c r="G21" s="79" t="s">
        <v>413</v>
      </c>
      <c r="H21" s="60">
        <f>IFERROR(H20/H$12,0)</f>
        <v>0</v>
      </c>
      <c r="I21" s="1"/>
      <c r="J21" s="1" t="s">
        <v>421</v>
      </c>
      <c r="K21" s="1"/>
      <c r="L21" s="1"/>
      <c r="M21" s="1"/>
      <c r="N21" s="1"/>
      <c r="O21" s="1"/>
      <c r="P21" s="1"/>
      <c r="Q21" s="1"/>
      <c r="R21" s="45"/>
      <c r="S21" s="60">
        <f t="shared" ref="S21:BB21" si="6">if(S$5="","",IFERROR(S20/S$12,0))</f>
        <v>0</v>
      </c>
      <c r="T21" s="60">
        <f t="shared" si="6"/>
        <v>0</v>
      </c>
      <c r="U21" s="60">
        <f t="shared" si="6"/>
        <v>0</v>
      </c>
      <c r="V21" s="60">
        <f t="shared" si="6"/>
        <v>0</v>
      </c>
      <c r="W21" s="60">
        <f t="shared" si="6"/>
        <v>0</v>
      </c>
      <c r="X21" s="60">
        <f t="shared" si="6"/>
        <v>0</v>
      </c>
      <c r="Y21" s="60">
        <f t="shared" si="6"/>
        <v>0</v>
      </c>
      <c r="Z21" s="60">
        <f t="shared" si="6"/>
        <v>0</v>
      </c>
      <c r="AA21" s="60">
        <f t="shared" si="6"/>
        <v>0</v>
      </c>
      <c r="AB21" s="60">
        <f t="shared" si="6"/>
        <v>0</v>
      </c>
      <c r="AC21" s="60">
        <f t="shared" si="6"/>
        <v>0</v>
      </c>
      <c r="AD21" s="60">
        <f t="shared" si="6"/>
        <v>0</v>
      </c>
      <c r="AE21" s="60">
        <f t="shared" si="6"/>
        <v>0</v>
      </c>
      <c r="AF21" s="60">
        <f t="shared" si="6"/>
        <v>0</v>
      </c>
      <c r="AG21" s="60">
        <f t="shared" si="6"/>
        <v>0</v>
      </c>
      <c r="AH21" s="60">
        <f t="shared" si="6"/>
        <v>0</v>
      </c>
      <c r="AI21" s="60">
        <f t="shared" si="6"/>
        <v>0</v>
      </c>
      <c r="AJ21" s="60">
        <f t="shared" si="6"/>
        <v>0</v>
      </c>
      <c r="AK21" s="60">
        <f t="shared" si="6"/>
        <v>0</v>
      </c>
      <c r="AL21" s="60">
        <f t="shared" si="6"/>
        <v>0</v>
      </c>
      <c r="AM21" s="60">
        <f t="shared" si="6"/>
        <v>0</v>
      </c>
      <c r="AN21" s="60">
        <f t="shared" si="6"/>
        <v>0</v>
      </c>
      <c r="AO21" s="60">
        <f t="shared" si="6"/>
        <v>0</v>
      </c>
      <c r="AP21" s="60">
        <f t="shared" si="6"/>
        <v>0</v>
      </c>
      <c r="AQ21" s="60">
        <f t="shared" si="6"/>
        <v>0</v>
      </c>
      <c r="AR21" s="60">
        <f t="shared" si="6"/>
        <v>0</v>
      </c>
      <c r="AS21" s="60">
        <f t="shared" si="6"/>
        <v>0</v>
      </c>
      <c r="AT21" s="60">
        <f t="shared" si="6"/>
        <v>0</v>
      </c>
      <c r="AU21" s="60">
        <f t="shared" si="6"/>
        <v>0</v>
      </c>
      <c r="AV21" s="60">
        <f t="shared" si="6"/>
        <v>0</v>
      </c>
      <c r="AW21" s="60">
        <f t="shared" si="6"/>
        <v>0</v>
      </c>
      <c r="AX21" s="60">
        <f t="shared" si="6"/>
        <v>0</v>
      </c>
      <c r="AY21" s="60">
        <f t="shared" si="6"/>
        <v>0</v>
      </c>
      <c r="AZ21" s="60">
        <f t="shared" si="6"/>
        <v>0</v>
      </c>
      <c r="BA21" s="60">
        <f t="shared" si="6"/>
        <v>0</v>
      </c>
      <c r="BB21" s="60">
        <f t="shared" si="6"/>
        <v>0</v>
      </c>
    </row>
    <row r="22">
      <c r="A22" s="1"/>
      <c r="B22" s="1"/>
      <c r="C22" s="30"/>
      <c r="E22" s="1"/>
      <c r="F22" s="1"/>
      <c r="G22" s="1"/>
      <c r="H22" s="1"/>
      <c r="I22" s="1"/>
      <c r="J22" s="1"/>
      <c r="K22" s="1"/>
      <c r="L22" s="1"/>
      <c r="M22" s="1"/>
      <c r="N22" s="1"/>
      <c r="O22" s="1"/>
      <c r="P22" s="1"/>
      <c r="Q22" s="1"/>
      <c r="R22" s="45"/>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row>
    <row r="23">
      <c r="A23" s="1"/>
      <c r="B23" s="1" t="s">
        <v>422</v>
      </c>
      <c r="C23" s="144" t="str">
        <f>'Get Started'!$C$20</f>
        <v>$</v>
      </c>
      <c r="E23" s="1"/>
      <c r="F23" s="1"/>
      <c r="G23" s="79" t="s">
        <v>193</v>
      </c>
      <c r="H23" s="87">
        <f t="array" ref="H23">if(G23="sum",sum(S23:BB23),if(G23="final",index(S23:BB23,match(99^99,S23:BB23,1)),if(G23="initial",S23,if(G23="average",average(S23:BB23),0))))</f>
        <v>40811.47688</v>
      </c>
      <c r="I23" s="1"/>
      <c r="J23" s="1" t="s">
        <v>423</v>
      </c>
      <c r="K23" s="1"/>
      <c r="L23" s="1"/>
      <c r="M23" s="1"/>
      <c r="N23" s="1"/>
      <c r="O23" s="1"/>
      <c r="P23" s="1"/>
      <c r="Q23" s="1"/>
      <c r="R23" s="67"/>
      <c r="S23" s="70">
        <f t="shared" ref="S23:BB23" si="7">if(S$5="","",S17-S20)</f>
        <v>1000</v>
      </c>
      <c r="T23" s="70">
        <f t="shared" si="7"/>
        <v>1000</v>
      </c>
      <c r="U23" s="70">
        <f t="shared" si="7"/>
        <v>1000</v>
      </c>
      <c r="V23" s="70">
        <f t="shared" si="7"/>
        <v>1000</v>
      </c>
      <c r="W23" s="70">
        <f t="shared" si="7"/>
        <v>1000</v>
      </c>
      <c r="X23" s="70">
        <f t="shared" si="7"/>
        <v>1000</v>
      </c>
      <c r="Y23" s="70">
        <f t="shared" si="7"/>
        <v>1050</v>
      </c>
      <c r="Z23" s="70">
        <f t="shared" si="7"/>
        <v>1050</v>
      </c>
      <c r="AA23" s="70">
        <f t="shared" si="7"/>
        <v>1050</v>
      </c>
      <c r="AB23" s="70">
        <f t="shared" si="7"/>
        <v>1050</v>
      </c>
      <c r="AC23" s="70">
        <f t="shared" si="7"/>
        <v>1050</v>
      </c>
      <c r="AD23" s="70">
        <f t="shared" si="7"/>
        <v>1050</v>
      </c>
      <c r="AE23" s="70">
        <f t="shared" si="7"/>
        <v>1102.5</v>
      </c>
      <c r="AF23" s="70">
        <f t="shared" si="7"/>
        <v>1102.5</v>
      </c>
      <c r="AG23" s="70">
        <f t="shared" si="7"/>
        <v>1102.5</v>
      </c>
      <c r="AH23" s="70">
        <f t="shared" si="7"/>
        <v>1102.5</v>
      </c>
      <c r="AI23" s="70">
        <f t="shared" si="7"/>
        <v>1102.5</v>
      </c>
      <c r="AJ23" s="70">
        <f t="shared" si="7"/>
        <v>1102.5</v>
      </c>
      <c r="AK23" s="70">
        <f t="shared" si="7"/>
        <v>1157.625</v>
      </c>
      <c r="AL23" s="70">
        <f t="shared" si="7"/>
        <v>1157.625</v>
      </c>
      <c r="AM23" s="70">
        <f t="shared" si="7"/>
        <v>1157.625</v>
      </c>
      <c r="AN23" s="70">
        <f t="shared" si="7"/>
        <v>1157.625</v>
      </c>
      <c r="AO23" s="70">
        <f t="shared" si="7"/>
        <v>1157.625</v>
      </c>
      <c r="AP23" s="70">
        <f t="shared" si="7"/>
        <v>1157.625</v>
      </c>
      <c r="AQ23" s="70">
        <f t="shared" si="7"/>
        <v>1215.50625</v>
      </c>
      <c r="AR23" s="70">
        <f t="shared" si="7"/>
        <v>1215.50625</v>
      </c>
      <c r="AS23" s="70">
        <f t="shared" si="7"/>
        <v>1215.50625</v>
      </c>
      <c r="AT23" s="70">
        <f t="shared" si="7"/>
        <v>1215.50625</v>
      </c>
      <c r="AU23" s="70">
        <f t="shared" si="7"/>
        <v>1215.50625</v>
      </c>
      <c r="AV23" s="70">
        <f t="shared" si="7"/>
        <v>1215.50625</v>
      </c>
      <c r="AW23" s="70">
        <f t="shared" si="7"/>
        <v>1276.281563</v>
      </c>
      <c r="AX23" s="70">
        <f t="shared" si="7"/>
        <v>1276.281563</v>
      </c>
      <c r="AY23" s="70">
        <f t="shared" si="7"/>
        <v>1276.281563</v>
      </c>
      <c r="AZ23" s="70">
        <f t="shared" si="7"/>
        <v>1276.281563</v>
      </c>
      <c r="BA23" s="70">
        <f t="shared" si="7"/>
        <v>1276.281563</v>
      </c>
      <c r="BB23" s="70">
        <f t="shared" si="7"/>
        <v>1276.281563</v>
      </c>
    </row>
    <row r="24">
      <c r="A24" s="1"/>
      <c r="B24" s="1" t="s">
        <v>420</v>
      </c>
      <c r="C24" s="30" t="s">
        <v>112</v>
      </c>
      <c r="E24" s="1"/>
      <c r="F24" s="1"/>
      <c r="G24" s="79" t="s">
        <v>413</v>
      </c>
      <c r="H24" s="60">
        <f>IFERROR(H23/H$12,0)</f>
        <v>1</v>
      </c>
      <c r="I24" s="1"/>
      <c r="J24" s="1" t="s">
        <v>424</v>
      </c>
      <c r="K24" s="1"/>
      <c r="L24" s="1"/>
      <c r="M24" s="1"/>
      <c r="N24" s="1"/>
      <c r="O24" s="1"/>
      <c r="P24" s="1"/>
      <c r="Q24" s="1"/>
      <c r="R24" s="45"/>
      <c r="S24" s="60">
        <f t="shared" ref="S24:BB24" si="8">if(S$5="","",IFERROR(S23/S$12,0))</f>
        <v>1</v>
      </c>
      <c r="T24" s="60">
        <f t="shared" si="8"/>
        <v>1</v>
      </c>
      <c r="U24" s="60">
        <f t="shared" si="8"/>
        <v>1</v>
      </c>
      <c r="V24" s="60">
        <f t="shared" si="8"/>
        <v>1</v>
      </c>
      <c r="W24" s="60">
        <f t="shared" si="8"/>
        <v>1</v>
      </c>
      <c r="X24" s="60">
        <f t="shared" si="8"/>
        <v>1</v>
      </c>
      <c r="Y24" s="60">
        <f t="shared" si="8"/>
        <v>1</v>
      </c>
      <c r="Z24" s="60">
        <f t="shared" si="8"/>
        <v>1</v>
      </c>
      <c r="AA24" s="60">
        <f t="shared" si="8"/>
        <v>1</v>
      </c>
      <c r="AB24" s="60">
        <f t="shared" si="8"/>
        <v>1</v>
      </c>
      <c r="AC24" s="60">
        <f t="shared" si="8"/>
        <v>1</v>
      </c>
      <c r="AD24" s="60">
        <f t="shared" si="8"/>
        <v>1</v>
      </c>
      <c r="AE24" s="60">
        <f t="shared" si="8"/>
        <v>1</v>
      </c>
      <c r="AF24" s="60">
        <f t="shared" si="8"/>
        <v>1</v>
      </c>
      <c r="AG24" s="60">
        <f t="shared" si="8"/>
        <v>1</v>
      </c>
      <c r="AH24" s="60">
        <f t="shared" si="8"/>
        <v>1</v>
      </c>
      <c r="AI24" s="60">
        <f t="shared" si="8"/>
        <v>1</v>
      </c>
      <c r="AJ24" s="60">
        <f t="shared" si="8"/>
        <v>1</v>
      </c>
      <c r="AK24" s="60">
        <f t="shared" si="8"/>
        <v>1</v>
      </c>
      <c r="AL24" s="60">
        <f t="shared" si="8"/>
        <v>1</v>
      </c>
      <c r="AM24" s="60">
        <f t="shared" si="8"/>
        <v>1</v>
      </c>
      <c r="AN24" s="60">
        <f t="shared" si="8"/>
        <v>1</v>
      </c>
      <c r="AO24" s="60">
        <f t="shared" si="8"/>
        <v>1</v>
      </c>
      <c r="AP24" s="60">
        <f t="shared" si="8"/>
        <v>1</v>
      </c>
      <c r="AQ24" s="60">
        <f t="shared" si="8"/>
        <v>1</v>
      </c>
      <c r="AR24" s="60">
        <f t="shared" si="8"/>
        <v>1</v>
      </c>
      <c r="AS24" s="60">
        <f t="shared" si="8"/>
        <v>1</v>
      </c>
      <c r="AT24" s="60">
        <f t="shared" si="8"/>
        <v>1</v>
      </c>
      <c r="AU24" s="60">
        <f t="shared" si="8"/>
        <v>1</v>
      </c>
      <c r="AV24" s="60">
        <f t="shared" si="8"/>
        <v>1</v>
      </c>
      <c r="AW24" s="60">
        <f t="shared" si="8"/>
        <v>1</v>
      </c>
      <c r="AX24" s="60">
        <f t="shared" si="8"/>
        <v>1</v>
      </c>
      <c r="AY24" s="60">
        <f t="shared" si="8"/>
        <v>1</v>
      </c>
      <c r="AZ24" s="60">
        <f t="shared" si="8"/>
        <v>1</v>
      </c>
      <c r="BA24" s="60">
        <f t="shared" si="8"/>
        <v>1</v>
      </c>
      <c r="BB24" s="60">
        <f t="shared" si="8"/>
        <v>1</v>
      </c>
    </row>
    <row r="25">
      <c r="A25" s="1"/>
      <c r="B25" s="1"/>
      <c r="C25" s="30"/>
      <c r="E25" s="1"/>
      <c r="F25" s="1"/>
      <c r="G25" s="1"/>
      <c r="H25" s="1"/>
      <c r="I25" s="1"/>
      <c r="J25" s="1"/>
      <c r="K25" s="1"/>
      <c r="L25" s="1"/>
      <c r="M25" s="1"/>
      <c r="N25" s="1"/>
      <c r="O25" s="1"/>
      <c r="P25" s="1"/>
      <c r="Q25" s="1"/>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row>
    <row r="26">
      <c r="A26" s="1"/>
      <c r="B26" s="1" t="s">
        <v>254</v>
      </c>
      <c r="C26" s="144" t="str">
        <f>'Get Started'!$C$20</f>
        <v>$</v>
      </c>
      <c r="E26" s="1"/>
      <c r="F26" s="1"/>
      <c r="G26" s="79" t="s">
        <v>193</v>
      </c>
      <c r="H26" s="87">
        <f t="shared" ref="H26:H30" si="9">if(G26="sum",sum(S26:BB26),if(G26="final",index(S26:BB26,match(99^99,S26:BB26,1)),if(G26="initial",S26,if(G26="average",average(S26:BB26),0))))</f>
        <v>0</v>
      </c>
      <c r="I26" s="1"/>
      <c r="J26" s="1" t="s">
        <v>425</v>
      </c>
      <c r="K26" s="1"/>
      <c r="L26" s="1"/>
      <c r="M26" s="1"/>
      <c r="N26" s="1"/>
      <c r="O26" s="1"/>
      <c r="P26" s="1"/>
      <c r="Q26" s="1"/>
      <c r="R26" s="67"/>
      <c r="S26" s="67">
        <f>if(S$5="","",sumifs(Forecast!T$53:T$92,Forecast!$D$53:$D$92,$B26))</f>
        <v>0</v>
      </c>
      <c r="T26" s="67">
        <f>if(T$5="","",sumifs(Forecast!U$53:U$92,Forecast!$D$53:$D$92,$B26))</f>
        <v>0</v>
      </c>
      <c r="U26" s="67">
        <f>if(U$5="","",sumifs(Forecast!V$53:V$92,Forecast!$D$53:$D$92,$B26))</f>
        <v>0</v>
      </c>
      <c r="V26" s="67">
        <f>if(V$5="","",sumifs(Forecast!W$53:W$92,Forecast!$D$53:$D$92,$B26))</f>
        <v>0</v>
      </c>
      <c r="W26" s="67">
        <f>if(W$5="","",sumifs(Forecast!X$53:X$92,Forecast!$D$53:$D$92,$B26))</f>
        <v>0</v>
      </c>
      <c r="X26" s="67">
        <f>if(X$5="","",sumifs(Forecast!Y$53:Y$92,Forecast!$D$53:$D$92,$B26))</f>
        <v>0</v>
      </c>
      <c r="Y26" s="67">
        <f>if(Y$5="","",sumifs(Forecast!Z$53:Z$92,Forecast!$D$53:$D$92,$B26))</f>
        <v>0</v>
      </c>
      <c r="Z26" s="67">
        <f>if(Z$5="","",sumifs(Forecast!AA$53:AA$92,Forecast!$D$53:$D$92,$B26))</f>
        <v>0</v>
      </c>
      <c r="AA26" s="67">
        <f>if(AA$5="","",sumifs(Forecast!AB$53:AB$92,Forecast!$D$53:$D$92,$B26))</f>
        <v>0</v>
      </c>
      <c r="AB26" s="67">
        <f>if(AB$5="","",sumifs(Forecast!AC$53:AC$92,Forecast!$D$53:$D$92,$B26))</f>
        <v>0</v>
      </c>
      <c r="AC26" s="67">
        <f>if(AC$5="","",sumifs(Forecast!AD$53:AD$92,Forecast!$D$53:$D$92,$B26))</f>
        <v>0</v>
      </c>
      <c r="AD26" s="67">
        <f>if(AD$5="","",sumifs(Forecast!AE$53:AE$92,Forecast!$D$53:$D$92,$B26))</f>
        <v>0</v>
      </c>
      <c r="AE26" s="67">
        <f>if(AE$5="","",sumifs(Forecast!AF$53:AF$92,Forecast!$D$53:$D$92,$B26))</f>
        <v>0</v>
      </c>
      <c r="AF26" s="67">
        <f>if(AF$5="","",sumifs(Forecast!AG$53:AG$92,Forecast!$D$53:$D$92,$B26))</f>
        <v>0</v>
      </c>
      <c r="AG26" s="67">
        <f>if(AG$5="","",sumifs(Forecast!AH$53:AH$92,Forecast!$D$53:$D$92,$B26))</f>
        <v>0</v>
      </c>
      <c r="AH26" s="67">
        <f>if(AH$5="","",sumifs(Forecast!AI$53:AI$92,Forecast!$D$53:$D$92,$B26))</f>
        <v>0</v>
      </c>
      <c r="AI26" s="67">
        <f>if(AI$5="","",sumifs(Forecast!AJ$53:AJ$92,Forecast!$D$53:$D$92,$B26))</f>
        <v>0</v>
      </c>
      <c r="AJ26" s="67">
        <f>if(AJ$5="","",sumifs(Forecast!AK$53:AK$92,Forecast!$D$53:$D$92,$B26))</f>
        <v>0</v>
      </c>
      <c r="AK26" s="67">
        <f>if(AK$5="","",sumifs(Forecast!AL$53:AL$92,Forecast!$D$53:$D$92,$B26))</f>
        <v>0</v>
      </c>
      <c r="AL26" s="67">
        <f>if(AL$5="","",sumifs(Forecast!AM$53:AM$92,Forecast!$D$53:$D$92,$B26))</f>
        <v>0</v>
      </c>
      <c r="AM26" s="67">
        <f>if(AM$5="","",sumifs(Forecast!AN$53:AN$92,Forecast!$D$53:$D$92,$B26))</f>
        <v>0</v>
      </c>
      <c r="AN26" s="67">
        <f>if(AN$5="","",sumifs(Forecast!AO$53:AO$92,Forecast!$D$53:$D$92,$B26))</f>
        <v>0</v>
      </c>
      <c r="AO26" s="67">
        <f>if(AO$5="","",sumifs(Forecast!AP$53:AP$92,Forecast!$D$53:$D$92,$B26))</f>
        <v>0</v>
      </c>
      <c r="AP26" s="67">
        <f>if(AP$5="","",sumifs(Forecast!AQ$53:AQ$92,Forecast!$D$53:$D$92,$B26))</f>
        <v>0</v>
      </c>
      <c r="AQ26" s="67">
        <f>if(AQ$5="","",sumifs(Forecast!AR$53:AR$92,Forecast!$D$53:$D$92,$B26))</f>
        <v>0</v>
      </c>
      <c r="AR26" s="67">
        <f>if(AR$5="","",sumifs(Forecast!AS$53:AS$92,Forecast!$D$53:$D$92,$B26))</f>
        <v>0</v>
      </c>
      <c r="AS26" s="67">
        <f>if(AS$5="","",sumifs(Forecast!AT$53:AT$92,Forecast!$D$53:$D$92,$B26))</f>
        <v>0</v>
      </c>
      <c r="AT26" s="67">
        <f>if(AT$5="","",sumifs(Forecast!AU$53:AU$92,Forecast!$D$53:$D$92,$B26))</f>
        <v>0</v>
      </c>
      <c r="AU26" s="67">
        <f>if(AU$5="","",sumifs(Forecast!AV$53:AV$92,Forecast!$D$53:$D$92,$B26))</f>
        <v>0</v>
      </c>
      <c r="AV26" s="67">
        <f>if(AV$5="","",sumifs(Forecast!AW$53:AW$92,Forecast!$D$53:$D$92,$B26))</f>
        <v>0</v>
      </c>
      <c r="AW26" s="67">
        <f>if(AW$5="","",sumifs(Forecast!AX$53:AX$92,Forecast!$D$53:$D$92,$B26))</f>
        <v>0</v>
      </c>
      <c r="AX26" s="67">
        <f>if(AX$5="","",sumifs(Forecast!AY$53:AY$92,Forecast!$D$53:$D$92,$B26))</f>
        <v>0</v>
      </c>
      <c r="AY26" s="67">
        <f>if(AY$5="","",sumifs(Forecast!AZ$53:AZ$92,Forecast!$D$53:$D$92,$B26))</f>
        <v>0</v>
      </c>
      <c r="AZ26" s="67">
        <f>if(AZ$5="","",sumifs(Forecast!BA$53:BA$92,Forecast!$D$53:$D$92,$B26))</f>
        <v>0</v>
      </c>
      <c r="BA26" s="67">
        <f>if(BA$5="","",sumifs(Forecast!BB$53:BB$92,Forecast!$D$53:$D$92,$B26))</f>
        <v>0</v>
      </c>
      <c r="BB26" s="67">
        <f>if(BB$5="","",sumifs(Forecast!BC$53:BC$92,Forecast!$D$53:$D$92,$B26))</f>
        <v>0</v>
      </c>
    </row>
    <row r="27">
      <c r="A27" s="1"/>
      <c r="B27" s="1" t="s">
        <v>256</v>
      </c>
      <c r="C27" s="144" t="str">
        <f>'Get Started'!$C$20</f>
        <v>$</v>
      </c>
      <c r="E27" s="1"/>
      <c r="F27" s="1"/>
      <c r="G27" s="79" t="s">
        <v>193</v>
      </c>
      <c r="H27" s="87">
        <f t="shared" si="9"/>
        <v>0</v>
      </c>
      <c r="I27" s="1"/>
      <c r="J27" s="22" t="s">
        <v>426</v>
      </c>
      <c r="K27" s="1"/>
      <c r="L27" s="1"/>
      <c r="M27" s="1"/>
      <c r="N27" s="1"/>
      <c r="O27" s="1"/>
      <c r="P27" s="1"/>
      <c r="Q27" s="1"/>
      <c r="R27" s="67"/>
      <c r="S27" s="67">
        <f>if(S$5="","",sumifs(Forecast!T$53:T$92,Forecast!$D$53:$D$92,$B27))</f>
        <v>0</v>
      </c>
      <c r="T27" s="67">
        <f>if(T$5="","",sumifs(Forecast!U$53:U$92,Forecast!$D$53:$D$92,$B27))</f>
        <v>0</v>
      </c>
      <c r="U27" s="67">
        <f>if(U$5="","",sumifs(Forecast!V$53:V$92,Forecast!$D$53:$D$92,$B27))</f>
        <v>0</v>
      </c>
      <c r="V27" s="67">
        <f>if(V$5="","",sumifs(Forecast!W$53:W$92,Forecast!$D$53:$D$92,$B27))</f>
        <v>0</v>
      </c>
      <c r="W27" s="67">
        <f>if(W$5="","",sumifs(Forecast!X$53:X$92,Forecast!$D$53:$D$92,$B27))</f>
        <v>0</v>
      </c>
      <c r="X27" s="67">
        <f>if(X$5="","",sumifs(Forecast!Y$53:Y$92,Forecast!$D$53:$D$92,$B27))</f>
        <v>0</v>
      </c>
      <c r="Y27" s="67">
        <f>if(Y$5="","",sumifs(Forecast!Z$53:Z$92,Forecast!$D$53:$D$92,$B27))</f>
        <v>0</v>
      </c>
      <c r="Z27" s="67">
        <f>if(Z$5="","",sumifs(Forecast!AA$53:AA$92,Forecast!$D$53:$D$92,$B27))</f>
        <v>0</v>
      </c>
      <c r="AA27" s="67">
        <f>if(AA$5="","",sumifs(Forecast!AB$53:AB$92,Forecast!$D$53:$D$92,$B27))</f>
        <v>0</v>
      </c>
      <c r="AB27" s="67">
        <f>if(AB$5="","",sumifs(Forecast!AC$53:AC$92,Forecast!$D$53:$D$92,$B27))</f>
        <v>0</v>
      </c>
      <c r="AC27" s="67">
        <f>if(AC$5="","",sumifs(Forecast!AD$53:AD$92,Forecast!$D$53:$D$92,$B27))</f>
        <v>0</v>
      </c>
      <c r="AD27" s="67">
        <f>if(AD$5="","",sumifs(Forecast!AE$53:AE$92,Forecast!$D$53:$D$92,$B27))</f>
        <v>0</v>
      </c>
      <c r="AE27" s="67">
        <f>if(AE$5="","",sumifs(Forecast!AF$53:AF$92,Forecast!$D$53:$D$92,$B27))</f>
        <v>0</v>
      </c>
      <c r="AF27" s="67">
        <f>if(AF$5="","",sumifs(Forecast!AG$53:AG$92,Forecast!$D$53:$D$92,$B27))</f>
        <v>0</v>
      </c>
      <c r="AG27" s="67">
        <f>if(AG$5="","",sumifs(Forecast!AH$53:AH$92,Forecast!$D$53:$D$92,$B27))</f>
        <v>0</v>
      </c>
      <c r="AH27" s="67">
        <f>if(AH$5="","",sumifs(Forecast!AI$53:AI$92,Forecast!$D$53:$D$92,$B27))</f>
        <v>0</v>
      </c>
      <c r="AI27" s="67">
        <f>if(AI$5="","",sumifs(Forecast!AJ$53:AJ$92,Forecast!$D$53:$D$92,$B27))</f>
        <v>0</v>
      </c>
      <c r="AJ27" s="67">
        <f>if(AJ$5="","",sumifs(Forecast!AK$53:AK$92,Forecast!$D$53:$D$92,$B27))</f>
        <v>0</v>
      </c>
      <c r="AK27" s="67">
        <f>if(AK$5="","",sumifs(Forecast!AL$53:AL$92,Forecast!$D$53:$D$92,$B27))</f>
        <v>0</v>
      </c>
      <c r="AL27" s="67">
        <f>if(AL$5="","",sumifs(Forecast!AM$53:AM$92,Forecast!$D$53:$D$92,$B27))</f>
        <v>0</v>
      </c>
      <c r="AM27" s="67">
        <f>if(AM$5="","",sumifs(Forecast!AN$53:AN$92,Forecast!$D$53:$D$92,$B27))</f>
        <v>0</v>
      </c>
      <c r="AN27" s="67">
        <f>if(AN$5="","",sumifs(Forecast!AO$53:AO$92,Forecast!$D$53:$D$92,$B27))</f>
        <v>0</v>
      </c>
      <c r="AO27" s="67">
        <f>if(AO$5="","",sumifs(Forecast!AP$53:AP$92,Forecast!$D$53:$D$92,$B27))</f>
        <v>0</v>
      </c>
      <c r="AP27" s="67">
        <f>if(AP$5="","",sumifs(Forecast!AQ$53:AQ$92,Forecast!$D$53:$D$92,$B27))</f>
        <v>0</v>
      </c>
      <c r="AQ27" s="67">
        <f>if(AQ$5="","",sumifs(Forecast!AR$53:AR$92,Forecast!$D$53:$D$92,$B27))</f>
        <v>0</v>
      </c>
      <c r="AR27" s="67">
        <f>if(AR$5="","",sumifs(Forecast!AS$53:AS$92,Forecast!$D$53:$D$92,$B27))</f>
        <v>0</v>
      </c>
      <c r="AS27" s="67">
        <f>if(AS$5="","",sumifs(Forecast!AT$53:AT$92,Forecast!$D$53:$D$92,$B27))</f>
        <v>0</v>
      </c>
      <c r="AT27" s="67">
        <f>if(AT$5="","",sumifs(Forecast!AU$53:AU$92,Forecast!$D$53:$D$92,$B27))</f>
        <v>0</v>
      </c>
      <c r="AU27" s="67">
        <f>if(AU$5="","",sumifs(Forecast!AV$53:AV$92,Forecast!$D$53:$D$92,$B27))</f>
        <v>0</v>
      </c>
      <c r="AV27" s="67">
        <f>if(AV$5="","",sumifs(Forecast!AW$53:AW$92,Forecast!$D$53:$D$92,$B27))</f>
        <v>0</v>
      </c>
      <c r="AW27" s="67">
        <f>if(AW$5="","",sumifs(Forecast!AX$53:AX$92,Forecast!$D$53:$D$92,$B27))</f>
        <v>0</v>
      </c>
      <c r="AX27" s="67">
        <f>if(AX$5="","",sumifs(Forecast!AY$53:AY$92,Forecast!$D$53:$D$92,$B27))</f>
        <v>0</v>
      </c>
      <c r="AY27" s="67">
        <f>if(AY$5="","",sumifs(Forecast!AZ$53:AZ$92,Forecast!$D$53:$D$92,$B27))</f>
        <v>0</v>
      </c>
      <c r="AZ27" s="67">
        <f>if(AZ$5="","",sumifs(Forecast!BA$53:BA$92,Forecast!$D$53:$D$92,$B27))</f>
        <v>0</v>
      </c>
      <c r="BA27" s="67">
        <f>if(BA$5="","",sumifs(Forecast!BB$53:BB$92,Forecast!$D$53:$D$92,$B27))</f>
        <v>0</v>
      </c>
      <c r="BB27" s="67">
        <f>if(BB$5="","",sumifs(Forecast!BC$53:BC$92,Forecast!$D$53:$D$92,$B27))</f>
        <v>0</v>
      </c>
    </row>
    <row r="28">
      <c r="A28" s="1"/>
      <c r="B28" s="1" t="s">
        <v>168</v>
      </c>
      <c r="C28" s="144" t="str">
        <f>'Get Started'!$C$20</f>
        <v>$</v>
      </c>
      <c r="E28" s="1"/>
      <c r="F28" s="1"/>
      <c r="G28" s="79" t="s">
        <v>193</v>
      </c>
      <c r="H28" s="87">
        <f t="shared" si="9"/>
        <v>0</v>
      </c>
      <c r="I28" s="1"/>
      <c r="J28" s="22" t="s">
        <v>427</v>
      </c>
      <c r="K28" s="1"/>
      <c r="L28" s="1"/>
      <c r="M28" s="1"/>
      <c r="N28" s="1"/>
      <c r="O28" s="1"/>
      <c r="P28" s="1"/>
      <c r="Q28" s="1"/>
      <c r="R28" s="67"/>
      <c r="S28" s="67">
        <f>if(S$5="","",sumifs(Forecast!T$53:T$92,Forecast!$D$53:$D$92,$B28))</f>
        <v>0</v>
      </c>
      <c r="T28" s="67">
        <f>if(T$5="","",sumifs(Forecast!U$53:U$92,Forecast!$D$53:$D$92,$B28))</f>
        <v>0</v>
      </c>
      <c r="U28" s="67">
        <f>if(U$5="","",sumifs(Forecast!V$53:V$92,Forecast!$D$53:$D$92,$B28))</f>
        <v>0</v>
      </c>
      <c r="V28" s="67">
        <f>if(V$5="","",sumifs(Forecast!W$53:W$92,Forecast!$D$53:$D$92,$B28))</f>
        <v>0</v>
      </c>
      <c r="W28" s="67">
        <f>if(W$5="","",sumifs(Forecast!X$53:X$92,Forecast!$D$53:$D$92,$B28))</f>
        <v>0</v>
      </c>
      <c r="X28" s="67">
        <f>if(X$5="","",sumifs(Forecast!Y$53:Y$92,Forecast!$D$53:$D$92,$B28))</f>
        <v>0</v>
      </c>
      <c r="Y28" s="67">
        <f>if(Y$5="","",sumifs(Forecast!Z$53:Z$92,Forecast!$D$53:$D$92,$B28))</f>
        <v>0</v>
      </c>
      <c r="Z28" s="67">
        <f>if(Z$5="","",sumifs(Forecast!AA$53:AA$92,Forecast!$D$53:$D$92,$B28))</f>
        <v>0</v>
      </c>
      <c r="AA28" s="67">
        <f>if(AA$5="","",sumifs(Forecast!AB$53:AB$92,Forecast!$D$53:$D$92,$B28))</f>
        <v>0</v>
      </c>
      <c r="AB28" s="67">
        <f>if(AB$5="","",sumifs(Forecast!AC$53:AC$92,Forecast!$D$53:$D$92,$B28))</f>
        <v>0</v>
      </c>
      <c r="AC28" s="67">
        <f>if(AC$5="","",sumifs(Forecast!AD$53:AD$92,Forecast!$D$53:$D$92,$B28))</f>
        <v>0</v>
      </c>
      <c r="AD28" s="67">
        <f>if(AD$5="","",sumifs(Forecast!AE$53:AE$92,Forecast!$D$53:$D$92,$B28))</f>
        <v>0</v>
      </c>
      <c r="AE28" s="67">
        <f>if(AE$5="","",sumifs(Forecast!AF$53:AF$92,Forecast!$D$53:$D$92,$B28))</f>
        <v>0</v>
      </c>
      <c r="AF28" s="67">
        <f>if(AF$5="","",sumifs(Forecast!AG$53:AG$92,Forecast!$D$53:$D$92,$B28))</f>
        <v>0</v>
      </c>
      <c r="AG28" s="67">
        <f>if(AG$5="","",sumifs(Forecast!AH$53:AH$92,Forecast!$D$53:$D$92,$B28))</f>
        <v>0</v>
      </c>
      <c r="AH28" s="67">
        <f>if(AH$5="","",sumifs(Forecast!AI$53:AI$92,Forecast!$D$53:$D$92,$B28))</f>
        <v>0</v>
      </c>
      <c r="AI28" s="67">
        <f>if(AI$5="","",sumifs(Forecast!AJ$53:AJ$92,Forecast!$D$53:$D$92,$B28))</f>
        <v>0</v>
      </c>
      <c r="AJ28" s="67">
        <f>if(AJ$5="","",sumifs(Forecast!AK$53:AK$92,Forecast!$D$53:$D$92,$B28))</f>
        <v>0</v>
      </c>
      <c r="AK28" s="67">
        <f>if(AK$5="","",sumifs(Forecast!AL$53:AL$92,Forecast!$D$53:$D$92,$B28))</f>
        <v>0</v>
      </c>
      <c r="AL28" s="67">
        <f>if(AL$5="","",sumifs(Forecast!AM$53:AM$92,Forecast!$D$53:$D$92,$B28))</f>
        <v>0</v>
      </c>
      <c r="AM28" s="67">
        <f>if(AM$5="","",sumifs(Forecast!AN$53:AN$92,Forecast!$D$53:$D$92,$B28))</f>
        <v>0</v>
      </c>
      <c r="AN28" s="67">
        <f>if(AN$5="","",sumifs(Forecast!AO$53:AO$92,Forecast!$D$53:$D$92,$B28))</f>
        <v>0</v>
      </c>
      <c r="AO28" s="67">
        <f>if(AO$5="","",sumifs(Forecast!AP$53:AP$92,Forecast!$D$53:$D$92,$B28))</f>
        <v>0</v>
      </c>
      <c r="AP28" s="67">
        <f>if(AP$5="","",sumifs(Forecast!AQ$53:AQ$92,Forecast!$D$53:$D$92,$B28))</f>
        <v>0</v>
      </c>
      <c r="AQ28" s="67">
        <f>if(AQ$5="","",sumifs(Forecast!AR$53:AR$92,Forecast!$D$53:$D$92,$B28))</f>
        <v>0</v>
      </c>
      <c r="AR28" s="67">
        <f>if(AR$5="","",sumifs(Forecast!AS$53:AS$92,Forecast!$D$53:$D$92,$B28))</f>
        <v>0</v>
      </c>
      <c r="AS28" s="67">
        <f>if(AS$5="","",sumifs(Forecast!AT$53:AT$92,Forecast!$D$53:$D$92,$B28))</f>
        <v>0</v>
      </c>
      <c r="AT28" s="67">
        <f>if(AT$5="","",sumifs(Forecast!AU$53:AU$92,Forecast!$D$53:$D$92,$B28))</f>
        <v>0</v>
      </c>
      <c r="AU28" s="67">
        <f>if(AU$5="","",sumifs(Forecast!AV$53:AV$92,Forecast!$D$53:$D$92,$B28))</f>
        <v>0</v>
      </c>
      <c r="AV28" s="67">
        <f>if(AV$5="","",sumifs(Forecast!AW$53:AW$92,Forecast!$D$53:$D$92,$B28))</f>
        <v>0</v>
      </c>
      <c r="AW28" s="67">
        <f>if(AW$5="","",sumifs(Forecast!AX$53:AX$92,Forecast!$D$53:$D$92,$B28))</f>
        <v>0</v>
      </c>
      <c r="AX28" s="67">
        <f>if(AX$5="","",sumifs(Forecast!AY$53:AY$92,Forecast!$D$53:$D$92,$B28))</f>
        <v>0</v>
      </c>
      <c r="AY28" s="67">
        <f>if(AY$5="","",sumifs(Forecast!AZ$53:AZ$92,Forecast!$D$53:$D$92,$B28))</f>
        <v>0</v>
      </c>
      <c r="AZ28" s="67">
        <f>if(AZ$5="","",sumifs(Forecast!BA$53:BA$92,Forecast!$D$53:$D$92,$B28))</f>
        <v>0</v>
      </c>
      <c r="BA28" s="67">
        <f>if(BA$5="","",sumifs(Forecast!BB$53:BB$92,Forecast!$D$53:$D$92,$B28))</f>
        <v>0</v>
      </c>
      <c r="BB28" s="67">
        <f>if(BB$5="","",sumifs(Forecast!BC$53:BC$92,Forecast!$D$53:$D$92,$B28))</f>
        <v>0</v>
      </c>
    </row>
    <row r="29">
      <c r="A29" s="1"/>
      <c r="B29" s="1" t="s">
        <v>259</v>
      </c>
      <c r="C29" s="144" t="str">
        <f>'Get Started'!$C$20</f>
        <v>$</v>
      </c>
      <c r="E29" s="1"/>
      <c r="F29" s="1"/>
      <c r="G29" s="79" t="s">
        <v>193</v>
      </c>
      <c r="H29" s="87">
        <f t="shared" si="9"/>
        <v>0</v>
      </c>
      <c r="I29" s="1"/>
      <c r="J29" s="1" t="s">
        <v>428</v>
      </c>
      <c r="K29" s="1"/>
      <c r="L29" s="1"/>
      <c r="M29" s="1"/>
      <c r="N29" s="1"/>
      <c r="O29" s="1"/>
      <c r="P29" s="1"/>
      <c r="Q29" s="1"/>
      <c r="R29" s="67"/>
      <c r="S29" s="67">
        <f>if(S$5="","",sumifs(Forecast!T$53:T$92,Forecast!$D$53:$D$92,$B29))</f>
        <v>0</v>
      </c>
      <c r="T29" s="67">
        <f>if(T$5="","",sumifs(Forecast!U$53:U$92,Forecast!$D$53:$D$92,$B29))</f>
        <v>0</v>
      </c>
      <c r="U29" s="67">
        <f>if(U$5="","",sumifs(Forecast!V$53:V$92,Forecast!$D$53:$D$92,$B29))</f>
        <v>0</v>
      </c>
      <c r="V29" s="67">
        <f>if(V$5="","",sumifs(Forecast!W$53:W$92,Forecast!$D$53:$D$92,$B29))</f>
        <v>0</v>
      </c>
      <c r="W29" s="67">
        <f>if(W$5="","",sumifs(Forecast!X$53:X$92,Forecast!$D$53:$D$92,$B29))</f>
        <v>0</v>
      </c>
      <c r="X29" s="67">
        <f>if(X$5="","",sumifs(Forecast!Y$53:Y$92,Forecast!$D$53:$D$92,$B29))</f>
        <v>0</v>
      </c>
      <c r="Y29" s="67">
        <f>if(Y$5="","",sumifs(Forecast!Z$53:Z$92,Forecast!$D$53:$D$92,$B29))</f>
        <v>0</v>
      </c>
      <c r="Z29" s="67">
        <f>if(Z$5="","",sumifs(Forecast!AA$53:AA$92,Forecast!$D$53:$D$92,$B29))</f>
        <v>0</v>
      </c>
      <c r="AA29" s="67">
        <f>if(AA$5="","",sumifs(Forecast!AB$53:AB$92,Forecast!$D$53:$D$92,$B29))</f>
        <v>0</v>
      </c>
      <c r="AB29" s="67">
        <f>if(AB$5="","",sumifs(Forecast!AC$53:AC$92,Forecast!$D$53:$D$92,$B29))</f>
        <v>0</v>
      </c>
      <c r="AC29" s="67">
        <f>if(AC$5="","",sumifs(Forecast!AD$53:AD$92,Forecast!$D$53:$D$92,$B29))</f>
        <v>0</v>
      </c>
      <c r="AD29" s="67">
        <f>if(AD$5="","",sumifs(Forecast!AE$53:AE$92,Forecast!$D$53:$D$92,$B29))</f>
        <v>0</v>
      </c>
      <c r="AE29" s="67">
        <f>if(AE$5="","",sumifs(Forecast!AF$53:AF$92,Forecast!$D$53:$D$92,$B29))</f>
        <v>0</v>
      </c>
      <c r="AF29" s="67">
        <f>if(AF$5="","",sumifs(Forecast!AG$53:AG$92,Forecast!$D$53:$D$92,$B29))</f>
        <v>0</v>
      </c>
      <c r="AG29" s="67">
        <f>if(AG$5="","",sumifs(Forecast!AH$53:AH$92,Forecast!$D$53:$D$92,$B29))</f>
        <v>0</v>
      </c>
      <c r="AH29" s="67">
        <f>if(AH$5="","",sumifs(Forecast!AI$53:AI$92,Forecast!$D$53:$D$92,$B29))</f>
        <v>0</v>
      </c>
      <c r="AI29" s="67">
        <f>if(AI$5="","",sumifs(Forecast!AJ$53:AJ$92,Forecast!$D$53:$D$92,$B29))</f>
        <v>0</v>
      </c>
      <c r="AJ29" s="67">
        <f>if(AJ$5="","",sumifs(Forecast!AK$53:AK$92,Forecast!$D$53:$D$92,$B29))</f>
        <v>0</v>
      </c>
      <c r="AK29" s="67">
        <f>if(AK$5="","",sumifs(Forecast!AL$53:AL$92,Forecast!$D$53:$D$92,$B29))</f>
        <v>0</v>
      </c>
      <c r="AL29" s="67">
        <f>if(AL$5="","",sumifs(Forecast!AM$53:AM$92,Forecast!$D$53:$D$92,$B29))</f>
        <v>0</v>
      </c>
      <c r="AM29" s="67">
        <f>if(AM$5="","",sumifs(Forecast!AN$53:AN$92,Forecast!$D$53:$D$92,$B29))</f>
        <v>0</v>
      </c>
      <c r="AN29" s="67">
        <f>if(AN$5="","",sumifs(Forecast!AO$53:AO$92,Forecast!$D$53:$D$92,$B29))</f>
        <v>0</v>
      </c>
      <c r="AO29" s="67">
        <f>if(AO$5="","",sumifs(Forecast!AP$53:AP$92,Forecast!$D$53:$D$92,$B29))</f>
        <v>0</v>
      </c>
      <c r="AP29" s="67">
        <f>if(AP$5="","",sumifs(Forecast!AQ$53:AQ$92,Forecast!$D$53:$D$92,$B29))</f>
        <v>0</v>
      </c>
      <c r="AQ29" s="67">
        <f>if(AQ$5="","",sumifs(Forecast!AR$53:AR$92,Forecast!$D$53:$D$92,$B29))</f>
        <v>0</v>
      </c>
      <c r="AR29" s="67">
        <f>if(AR$5="","",sumifs(Forecast!AS$53:AS$92,Forecast!$D$53:$D$92,$B29))</f>
        <v>0</v>
      </c>
      <c r="AS29" s="67">
        <f>if(AS$5="","",sumifs(Forecast!AT$53:AT$92,Forecast!$D$53:$D$92,$B29))</f>
        <v>0</v>
      </c>
      <c r="AT29" s="67">
        <f>if(AT$5="","",sumifs(Forecast!AU$53:AU$92,Forecast!$D$53:$D$92,$B29))</f>
        <v>0</v>
      </c>
      <c r="AU29" s="67">
        <f>if(AU$5="","",sumifs(Forecast!AV$53:AV$92,Forecast!$D$53:$D$92,$B29))</f>
        <v>0</v>
      </c>
      <c r="AV29" s="67">
        <f>if(AV$5="","",sumifs(Forecast!AW$53:AW$92,Forecast!$D$53:$D$92,$B29))</f>
        <v>0</v>
      </c>
      <c r="AW29" s="67">
        <f>if(AW$5="","",sumifs(Forecast!AX$53:AX$92,Forecast!$D$53:$D$92,$B29))</f>
        <v>0</v>
      </c>
      <c r="AX29" s="67">
        <f>if(AX$5="","",sumifs(Forecast!AY$53:AY$92,Forecast!$D$53:$D$92,$B29))</f>
        <v>0</v>
      </c>
      <c r="AY29" s="67">
        <f>if(AY$5="","",sumifs(Forecast!AZ$53:AZ$92,Forecast!$D$53:$D$92,$B29))</f>
        <v>0</v>
      </c>
      <c r="AZ29" s="67">
        <f>if(AZ$5="","",sumifs(Forecast!BA$53:BA$92,Forecast!$D$53:$D$92,$B29))</f>
        <v>0</v>
      </c>
      <c r="BA29" s="67">
        <f>if(BA$5="","",sumifs(Forecast!BB$53:BB$92,Forecast!$D$53:$D$92,$B29))</f>
        <v>0</v>
      </c>
      <c r="BB29" s="67">
        <f>if(BB$5="","",sumifs(Forecast!BC$53:BC$92,Forecast!$D$53:$D$92,$B29))</f>
        <v>0</v>
      </c>
    </row>
    <row r="30">
      <c r="A30" s="1"/>
      <c r="B30" s="1" t="s">
        <v>261</v>
      </c>
      <c r="C30" s="144" t="str">
        <f>'Get Started'!$C$20</f>
        <v>$</v>
      </c>
      <c r="E30" s="1"/>
      <c r="F30" s="1"/>
      <c r="G30" s="79" t="s">
        <v>193</v>
      </c>
      <c r="H30" s="87">
        <f t="shared" si="9"/>
        <v>0</v>
      </c>
      <c r="I30" s="1"/>
      <c r="J30" s="1" t="s">
        <v>429</v>
      </c>
      <c r="K30" s="1"/>
      <c r="L30" s="1"/>
      <c r="M30" s="1"/>
      <c r="N30" s="1"/>
      <c r="O30" s="1"/>
      <c r="P30" s="1"/>
      <c r="Q30" s="1"/>
      <c r="R30" s="67"/>
      <c r="S30" s="67">
        <f>if(S$5="","",sumifs(Forecast!T$53:T$92,Forecast!$D$53:$D$92,$B30))</f>
        <v>0</v>
      </c>
      <c r="T30" s="67">
        <f>if(T$5="","",sumifs(Forecast!U$53:U$92,Forecast!$D$53:$D$92,$B30))</f>
        <v>0</v>
      </c>
      <c r="U30" s="67">
        <f>if(U$5="","",sumifs(Forecast!V$53:V$92,Forecast!$D$53:$D$92,$B30))</f>
        <v>0</v>
      </c>
      <c r="V30" s="67">
        <f>if(V$5="","",sumifs(Forecast!W$53:W$92,Forecast!$D$53:$D$92,$B30))</f>
        <v>0</v>
      </c>
      <c r="W30" s="67">
        <f>if(W$5="","",sumifs(Forecast!X$53:X$92,Forecast!$D$53:$D$92,$B30))</f>
        <v>0</v>
      </c>
      <c r="X30" s="67">
        <f>if(X$5="","",sumifs(Forecast!Y$53:Y$92,Forecast!$D$53:$D$92,$B30))</f>
        <v>0</v>
      </c>
      <c r="Y30" s="67">
        <f>if(Y$5="","",sumifs(Forecast!Z$53:Z$92,Forecast!$D$53:$D$92,$B30))</f>
        <v>0</v>
      </c>
      <c r="Z30" s="67">
        <f>if(Z$5="","",sumifs(Forecast!AA$53:AA$92,Forecast!$D$53:$D$92,$B30))</f>
        <v>0</v>
      </c>
      <c r="AA30" s="67">
        <f>if(AA$5="","",sumifs(Forecast!AB$53:AB$92,Forecast!$D$53:$D$92,$B30))</f>
        <v>0</v>
      </c>
      <c r="AB30" s="67">
        <f>if(AB$5="","",sumifs(Forecast!AC$53:AC$92,Forecast!$D$53:$D$92,$B30))</f>
        <v>0</v>
      </c>
      <c r="AC30" s="67">
        <f>if(AC$5="","",sumifs(Forecast!AD$53:AD$92,Forecast!$D$53:$D$92,$B30))</f>
        <v>0</v>
      </c>
      <c r="AD30" s="67">
        <f>if(AD$5="","",sumifs(Forecast!AE$53:AE$92,Forecast!$D$53:$D$92,$B30))</f>
        <v>0</v>
      </c>
      <c r="AE30" s="67">
        <f>if(AE$5="","",sumifs(Forecast!AF$53:AF$92,Forecast!$D$53:$D$92,$B30))</f>
        <v>0</v>
      </c>
      <c r="AF30" s="67">
        <f>if(AF$5="","",sumifs(Forecast!AG$53:AG$92,Forecast!$D$53:$D$92,$B30))</f>
        <v>0</v>
      </c>
      <c r="AG30" s="67">
        <f>if(AG$5="","",sumifs(Forecast!AH$53:AH$92,Forecast!$D$53:$D$92,$B30))</f>
        <v>0</v>
      </c>
      <c r="AH30" s="67">
        <f>if(AH$5="","",sumifs(Forecast!AI$53:AI$92,Forecast!$D$53:$D$92,$B30))</f>
        <v>0</v>
      </c>
      <c r="AI30" s="67">
        <f>if(AI$5="","",sumifs(Forecast!AJ$53:AJ$92,Forecast!$D$53:$D$92,$B30))</f>
        <v>0</v>
      </c>
      <c r="AJ30" s="67">
        <f>if(AJ$5="","",sumifs(Forecast!AK$53:AK$92,Forecast!$D$53:$D$92,$B30))</f>
        <v>0</v>
      </c>
      <c r="AK30" s="67">
        <f>if(AK$5="","",sumifs(Forecast!AL$53:AL$92,Forecast!$D$53:$D$92,$B30))</f>
        <v>0</v>
      </c>
      <c r="AL30" s="67">
        <f>if(AL$5="","",sumifs(Forecast!AM$53:AM$92,Forecast!$D$53:$D$92,$B30))</f>
        <v>0</v>
      </c>
      <c r="AM30" s="67">
        <f>if(AM$5="","",sumifs(Forecast!AN$53:AN$92,Forecast!$D$53:$D$92,$B30))</f>
        <v>0</v>
      </c>
      <c r="AN30" s="67">
        <f>if(AN$5="","",sumifs(Forecast!AO$53:AO$92,Forecast!$D$53:$D$92,$B30))</f>
        <v>0</v>
      </c>
      <c r="AO30" s="67">
        <f>if(AO$5="","",sumifs(Forecast!AP$53:AP$92,Forecast!$D$53:$D$92,$B30))</f>
        <v>0</v>
      </c>
      <c r="AP30" s="67">
        <f>if(AP$5="","",sumifs(Forecast!AQ$53:AQ$92,Forecast!$D$53:$D$92,$B30))</f>
        <v>0</v>
      </c>
      <c r="AQ30" s="67">
        <f>if(AQ$5="","",sumifs(Forecast!AR$53:AR$92,Forecast!$D$53:$D$92,$B30))</f>
        <v>0</v>
      </c>
      <c r="AR30" s="67">
        <f>if(AR$5="","",sumifs(Forecast!AS$53:AS$92,Forecast!$D$53:$D$92,$B30))</f>
        <v>0</v>
      </c>
      <c r="AS30" s="67">
        <f>if(AS$5="","",sumifs(Forecast!AT$53:AT$92,Forecast!$D$53:$D$92,$B30))</f>
        <v>0</v>
      </c>
      <c r="AT30" s="67">
        <f>if(AT$5="","",sumifs(Forecast!AU$53:AU$92,Forecast!$D$53:$D$92,$B30))</f>
        <v>0</v>
      </c>
      <c r="AU30" s="67">
        <f>if(AU$5="","",sumifs(Forecast!AV$53:AV$92,Forecast!$D$53:$D$92,$B30))</f>
        <v>0</v>
      </c>
      <c r="AV30" s="67">
        <f>if(AV$5="","",sumifs(Forecast!AW$53:AW$92,Forecast!$D$53:$D$92,$B30))</f>
        <v>0</v>
      </c>
      <c r="AW30" s="67">
        <f>if(AW$5="","",sumifs(Forecast!AX$53:AX$92,Forecast!$D$53:$D$92,$B30))</f>
        <v>0</v>
      </c>
      <c r="AX30" s="67">
        <f>if(AX$5="","",sumifs(Forecast!AY$53:AY$92,Forecast!$D$53:$D$92,$B30))</f>
        <v>0</v>
      </c>
      <c r="AY30" s="67">
        <f>if(AY$5="","",sumifs(Forecast!AZ$53:AZ$92,Forecast!$D$53:$D$92,$B30))</f>
        <v>0</v>
      </c>
      <c r="AZ30" s="67">
        <f>if(AZ$5="","",sumifs(Forecast!BA$53:BA$92,Forecast!$D$53:$D$92,$B30))</f>
        <v>0</v>
      </c>
      <c r="BA30" s="67">
        <f>if(BA$5="","",sumifs(Forecast!BB$53:BB$92,Forecast!$D$53:$D$92,$B30))</f>
        <v>0</v>
      </c>
      <c r="BB30" s="67">
        <f>if(BB$5="","",sumifs(Forecast!BC$53:BC$92,Forecast!$D$53:$D$92,$B30))</f>
        <v>0</v>
      </c>
    </row>
    <row r="31">
      <c r="A31" s="1"/>
      <c r="B31" s="1"/>
      <c r="C31" s="30"/>
      <c r="E31" s="1"/>
      <c r="F31" s="1"/>
      <c r="G31" s="1"/>
      <c r="H31" s="1"/>
      <c r="I31" s="1"/>
      <c r="J31" s="1"/>
      <c r="K31" s="1"/>
      <c r="L31" s="1"/>
      <c r="M31" s="1"/>
      <c r="N31" s="1"/>
      <c r="O31" s="1"/>
      <c r="P31" s="1"/>
      <c r="Q31" s="1"/>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row>
    <row r="32">
      <c r="A32" s="1"/>
      <c r="B32" s="1" t="s">
        <v>430</v>
      </c>
      <c r="C32" s="144" t="str">
        <f>'Get Started'!$C$20</f>
        <v>$</v>
      </c>
      <c r="E32" s="1"/>
      <c r="F32" s="1"/>
      <c r="G32" s="79" t="s">
        <v>193</v>
      </c>
      <c r="H32" s="87">
        <f t="array" ref="H32">if(G32="sum",sum(S32:BB32),if(G32="final",index(S32:BB32,match(99^99,S32:BB32,1)),if(G32="initial",S32,if(G32="average",average(S32:BB32),0))))</f>
        <v>40811.47688</v>
      </c>
      <c r="I32" s="1"/>
      <c r="J32" s="1" t="s">
        <v>431</v>
      </c>
      <c r="K32" s="1"/>
      <c r="L32" s="1"/>
      <c r="M32" s="1"/>
      <c r="N32" s="1"/>
      <c r="O32" s="1"/>
      <c r="P32" s="1"/>
      <c r="Q32" s="1"/>
      <c r="R32" s="67"/>
      <c r="S32" s="70">
        <f t="shared" ref="S32:BB32" si="10">if(S$5="","",S23-SUM(S26:S28,S30,-1*S29))</f>
        <v>1000</v>
      </c>
      <c r="T32" s="70">
        <f t="shared" si="10"/>
        <v>1000</v>
      </c>
      <c r="U32" s="70">
        <f t="shared" si="10"/>
        <v>1000</v>
      </c>
      <c r="V32" s="70">
        <f t="shared" si="10"/>
        <v>1000</v>
      </c>
      <c r="W32" s="70">
        <f t="shared" si="10"/>
        <v>1000</v>
      </c>
      <c r="X32" s="70">
        <f t="shared" si="10"/>
        <v>1000</v>
      </c>
      <c r="Y32" s="70">
        <f t="shared" si="10"/>
        <v>1050</v>
      </c>
      <c r="Z32" s="70">
        <f t="shared" si="10"/>
        <v>1050</v>
      </c>
      <c r="AA32" s="70">
        <f t="shared" si="10"/>
        <v>1050</v>
      </c>
      <c r="AB32" s="70">
        <f t="shared" si="10"/>
        <v>1050</v>
      </c>
      <c r="AC32" s="70">
        <f t="shared" si="10"/>
        <v>1050</v>
      </c>
      <c r="AD32" s="70">
        <f t="shared" si="10"/>
        <v>1050</v>
      </c>
      <c r="AE32" s="70">
        <f t="shared" si="10"/>
        <v>1102.5</v>
      </c>
      <c r="AF32" s="70">
        <f t="shared" si="10"/>
        <v>1102.5</v>
      </c>
      <c r="AG32" s="70">
        <f t="shared" si="10"/>
        <v>1102.5</v>
      </c>
      <c r="AH32" s="70">
        <f t="shared" si="10"/>
        <v>1102.5</v>
      </c>
      <c r="AI32" s="70">
        <f t="shared" si="10"/>
        <v>1102.5</v>
      </c>
      <c r="AJ32" s="70">
        <f t="shared" si="10"/>
        <v>1102.5</v>
      </c>
      <c r="AK32" s="70">
        <f t="shared" si="10"/>
        <v>1157.625</v>
      </c>
      <c r="AL32" s="70">
        <f t="shared" si="10"/>
        <v>1157.625</v>
      </c>
      <c r="AM32" s="70">
        <f t="shared" si="10"/>
        <v>1157.625</v>
      </c>
      <c r="AN32" s="70">
        <f t="shared" si="10"/>
        <v>1157.625</v>
      </c>
      <c r="AO32" s="70">
        <f t="shared" si="10"/>
        <v>1157.625</v>
      </c>
      <c r="AP32" s="70">
        <f t="shared" si="10"/>
        <v>1157.625</v>
      </c>
      <c r="AQ32" s="70">
        <f t="shared" si="10"/>
        <v>1215.50625</v>
      </c>
      <c r="AR32" s="70">
        <f t="shared" si="10"/>
        <v>1215.50625</v>
      </c>
      <c r="AS32" s="70">
        <f t="shared" si="10"/>
        <v>1215.50625</v>
      </c>
      <c r="AT32" s="70">
        <f t="shared" si="10"/>
        <v>1215.50625</v>
      </c>
      <c r="AU32" s="70">
        <f t="shared" si="10"/>
        <v>1215.50625</v>
      </c>
      <c r="AV32" s="70">
        <f t="shared" si="10"/>
        <v>1215.50625</v>
      </c>
      <c r="AW32" s="70">
        <f t="shared" si="10"/>
        <v>1276.281563</v>
      </c>
      <c r="AX32" s="70">
        <f t="shared" si="10"/>
        <v>1276.281563</v>
      </c>
      <c r="AY32" s="70">
        <f t="shared" si="10"/>
        <v>1276.281563</v>
      </c>
      <c r="AZ32" s="70">
        <f t="shared" si="10"/>
        <v>1276.281563</v>
      </c>
      <c r="BA32" s="70">
        <f t="shared" si="10"/>
        <v>1276.281563</v>
      </c>
      <c r="BB32" s="70">
        <f t="shared" si="10"/>
        <v>1276.281563</v>
      </c>
    </row>
    <row r="33">
      <c r="A33" s="1"/>
      <c r="B33" s="1"/>
      <c r="C33" s="30"/>
      <c r="E33" s="1"/>
      <c r="F33" s="1"/>
      <c r="G33" s="1"/>
      <c r="H33" s="1"/>
      <c r="I33" s="1"/>
      <c r="J33" s="1"/>
      <c r="K33" s="1"/>
      <c r="L33" s="1"/>
      <c r="M33" s="1"/>
      <c r="N33" s="1"/>
      <c r="O33" s="1"/>
      <c r="P33" s="1"/>
      <c r="Q33" s="1"/>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row>
    <row r="34">
      <c r="A34" s="1"/>
      <c r="B34" s="1" t="s">
        <v>170</v>
      </c>
      <c r="C34" s="144" t="str">
        <f>'Get Started'!$C$20</f>
        <v>$</v>
      </c>
      <c r="E34" s="1"/>
      <c r="F34" s="1"/>
      <c r="G34" s="79" t="s">
        <v>193</v>
      </c>
      <c r="H34" s="87">
        <f t="array" ref="H34">if(G34="sum",sum(S34:BB34),if(G34="final",index(S34:BB34,match(99^99,S34:BB34,1)),if(G34="initial",S34,if(G34="average",average(S34:BB34),0))))</f>
        <v>8570.410144</v>
      </c>
      <c r="I34" s="1"/>
      <c r="J34" s="1" t="s">
        <v>432</v>
      </c>
      <c r="K34" s="1"/>
      <c r="L34" s="1"/>
      <c r="M34" s="1"/>
      <c r="N34" s="1"/>
      <c r="O34" s="1"/>
      <c r="P34" s="1"/>
      <c r="Q34" s="1"/>
      <c r="R34" s="67"/>
      <c r="S34" s="67">
        <f>if(S$5="","",sumifs(Forecast!T$53:T$92,Forecast!$D$53:$D$92,$B34))</f>
        <v>210</v>
      </c>
      <c r="T34" s="67">
        <f>if(T$5="","",sumifs(Forecast!U$53:U$92,Forecast!$D$53:$D$92,$B34))</f>
        <v>210</v>
      </c>
      <c r="U34" s="67">
        <f>if(U$5="","",sumifs(Forecast!V$53:V$92,Forecast!$D$53:$D$92,$B34))</f>
        <v>210</v>
      </c>
      <c r="V34" s="67">
        <f>if(V$5="","",sumifs(Forecast!W$53:W$92,Forecast!$D$53:$D$92,$B34))</f>
        <v>210</v>
      </c>
      <c r="W34" s="67">
        <f>if(W$5="","",sumifs(Forecast!X$53:X$92,Forecast!$D$53:$D$92,$B34))</f>
        <v>210</v>
      </c>
      <c r="X34" s="67">
        <f>if(X$5="","",sumifs(Forecast!Y$53:Y$92,Forecast!$D$53:$D$92,$B34))</f>
        <v>210</v>
      </c>
      <c r="Y34" s="67">
        <f>if(Y$5="","",sumifs(Forecast!Z$53:Z$92,Forecast!$D$53:$D$92,$B34))</f>
        <v>220.5</v>
      </c>
      <c r="Z34" s="67">
        <f>if(Z$5="","",sumifs(Forecast!AA$53:AA$92,Forecast!$D$53:$D$92,$B34))</f>
        <v>220.5</v>
      </c>
      <c r="AA34" s="67">
        <f>if(AA$5="","",sumifs(Forecast!AB$53:AB$92,Forecast!$D$53:$D$92,$B34))</f>
        <v>220.5</v>
      </c>
      <c r="AB34" s="67">
        <f>if(AB$5="","",sumifs(Forecast!AC$53:AC$92,Forecast!$D$53:$D$92,$B34))</f>
        <v>220.5</v>
      </c>
      <c r="AC34" s="67">
        <f>if(AC$5="","",sumifs(Forecast!AD$53:AD$92,Forecast!$D$53:$D$92,$B34))</f>
        <v>220.5</v>
      </c>
      <c r="AD34" s="67">
        <f>if(AD$5="","",sumifs(Forecast!AE$53:AE$92,Forecast!$D$53:$D$92,$B34))</f>
        <v>220.5</v>
      </c>
      <c r="AE34" s="67">
        <f>if(AE$5="","",sumifs(Forecast!AF$53:AF$92,Forecast!$D$53:$D$92,$B34))</f>
        <v>231.525</v>
      </c>
      <c r="AF34" s="67">
        <f>if(AF$5="","",sumifs(Forecast!AG$53:AG$92,Forecast!$D$53:$D$92,$B34))</f>
        <v>231.525</v>
      </c>
      <c r="AG34" s="67">
        <f>if(AG$5="","",sumifs(Forecast!AH$53:AH$92,Forecast!$D$53:$D$92,$B34))</f>
        <v>231.525</v>
      </c>
      <c r="AH34" s="67">
        <f>if(AH$5="","",sumifs(Forecast!AI$53:AI$92,Forecast!$D$53:$D$92,$B34))</f>
        <v>231.525</v>
      </c>
      <c r="AI34" s="67">
        <f>if(AI$5="","",sumifs(Forecast!AJ$53:AJ$92,Forecast!$D$53:$D$92,$B34))</f>
        <v>231.525</v>
      </c>
      <c r="AJ34" s="67">
        <f>if(AJ$5="","",sumifs(Forecast!AK$53:AK$92,Forecast!$D$53:$D$92,$B34))</f>
        <v>231.525</v>
      </c>
      <c r="AK34" s="67">
        <f>if(AK$5="","",sumifs(Forecast!AL$53:AL$92,Forecast!$D$53:$D$92,$B34))</f>
        <v>243.10125</v>
      </c>
      <c r="AL34" s="67">
        <f>if(AL$5="","",sumifs(Forecast!AM$53:AM$92,Forecast!$D$53:$D$92,$B34))</f>
        <v>243.10125</v>
      </c>
      <c r="AM34" s="67">
        <f>if(AM$5="","",sumifs(Forecast!AN$53:AN$92,Forecast!$D$53:$D$92,$B34))</f>
        <v>243.10125</v>
      </c>
      <c r="AN34" s="67">
        <f>if(AN$5="","",sumifs(Forecast!AO$53:AO$92,Forecast!$D$53:$D$92,$B34))</f>
        <v>243.10125</v>
      </c>
      <c r="AO34" s="67">
        <f>if(AO$5="","",sumifs(Forecast!AP$53:AP$92,Forecast!$D$53:$D$92,$B34))</f>
        <v>243.10125</v>
      </c>
      <c r="AP34" s="67">
        <f>if(AP$5="","",sumifs(Forecast!AQ$53:AQ$92,Forecast!$D$53:$D$92,$B34))</f>
        <v>243.10125</v>
      </c>
      <c r="AQ34" s="67">
        <f>if(AQ$5="","",sumifs(Forecast!AR$53:AR$92,Forecast!$D$53:$D$92,$B34))</f>
        <v>255.2563125</v>
      </c>
      <c r="AR34" s="67">
        <f>if(AR$5="","",sumifs(Forecast!AS$53:AS$92,Forecast!$D$53:$D$92,$B34))</f>
        <v>255.2563125</v>
      </c>
      <c r="AS34" s="67">
        <f>if(AS$5="","",sumifs(Forecast!AT$53:AT$92,Forecast!$D$53:$D$92,$B34))</f>
        <v>255.2563125</v>
      </c>
      <c r="AT34" s="67">
        <f>if(AT$5="","",sumifs(Forecast!AU$53:AU$92,Forecast!$D$53:$D$92,$B34))</f>
        <v>255.2563125</v>
      </c>
      <c r="AU34" s="67">
        <f>if(AU$5="","",sumifs(Forecast!AV$53:AV$92,Forecast!$D$53:$D$92,$B34))</f>
        <v>255.2563125</v>
      </c>
      <c r="AV34" s="67">
        <f>if(AV$5="","",sumifs(Forecast!AW$53:AW$92,Forecast!$D$53:$D$92,$B34))</f>
        <v>255.2563125</v>
      </c>
      <c r="AW34" s="67">
        <f>if(AW$5="","",sumifs(Forecast!AX$53:AX$92,Forecast!$D$53:$D$92,$B34))</f>
        <v>268.0191281</v>
      </c>
      <c r="AX34" s="67">
        <f>if(AX$5="","",sumifs(Forecast!AY$53:AY$92,Forecast!$D$53:$D$92,$B34))</f>
        <v>268.0191281</v>
      </c>
      <c r="AY34" s="67">
        <f>if(AY$5="","",sumifs(Forecast!AZ$53:AZ$92,Forecast!$D$53:$D$92,$B34))</f>
        <v>268.0191281</v>
      </c>
      <c r="AZ34" s="67">
        <f>if(AZ$5="","",sumifs(Forecast!BA$53:BA$92,Forecast!$D$53:$D$92,$B34))</f>
        <v>268.0191281</v>
      </c>
      <c r="BA34" s="67">
        <f>if(BA$5="","",sumifs(Forecast!BB$53:BB$92,Forecast!$D$53:$D$92,$B34))</f>
        <v>268.0191281</v>
      </c>
      <c r="BB34" s="67">
        <f>if(BB$5="","",sumifs(Forecast!BC$53:BC$92,Forecast!$D$53:$D$92,$B34))</f>
        <v>268.0191281</v>
      </c>
    </row>
    <row r="35">
      <c r="A35" s="1"/>
      <c r="B35" s="1"/>
      <c r="C35" s="30"/>
      <c r="E35" s="1"/>
      <c r="F35" s="1"/>
      <c r="G35" s="1"/>
      <c r="H35" s="1"/>
      <c r="I35" s="1"/>
      <c r="J35" s="1"/>
      <c r="K35" s="1"/>
      <c r="L35" s="1"/>
      <c r="M35" s="1"/>
      <c r="N35" s="1"/>
      <c r="O35" s="1"/>
      <c r="P35" s="1"/>
      <c r="Q35" s="1"/>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row>
    <row r="36">
      <c r="A36" s="1"/>
      <c r="B36" s="1" t="s">
        <v>433</v>
      </c>
      <c r="C36" s="144" t="str">
        <f>'Get Started'!$C$20</f>
        <v>$</v>
      </c>
      <c r="E36" s="1"/>
      <c r="F36" s="1"/>
      <c r="G36" s="79" t="s">
        <v>193</v>
      </c>
      <c r="H36" s="87">
        <f t="shared" ref="H36:H37" si="12">if(G36="sum",sum(S36:BB36),if(G36="final",index(S36:BB36,match(99^99,S36:BB36,1)),if(G36="initial",S36,if(G36="average",average(S36:BB36),0))))</f>
        <v>32241.06673</v>
      </c>
      <c r="I36" s="1"/>
      <c r="J36" s="1" t="s">
        <v>434</v>
      </c>
      <c r="K36" s="1"/>
      <c r="L36" s="1"/>
      <c r="M36" s="1"/>
      <c r="N36" s="1"/>
      <c r="O36" s="1"/>
      <c r="P36" s="1"/>
      <c r="Q36" s="1"/>
      <c r="R36" s="145" t="str">
        <f>B36</f>
        <v>Net Income (Loss)</v>
      </c>
      <c r="S36" s="71">
        <f t="shared" ref="S36:BB36" si="11">if(S$5="","",S32-S34)</f>
        <v>790</v>
      </c>
      <c r="T36" s="71">
        <f t="shared" si="11"/>
        <v>790</v>
      </c>
      <c r="U36" s="71">
        <f t="shared" si="11"/>
        <v>790</v>
      </c>
      <c r="V36" s="71">
        <f t="shared" si="11"/>
        <v>790</v>
      </c>
      <c r="W36" s="71">
        <f t="shared" si="11"/>
        <v>790</v>
      </c>
      <c r="X36" s="71">
        <f t="shared" si="11"/>
        <v>790</v>
      </c>
      <c r="Y36" s="71">
        <f t="shared" si="11"/>
        <v>829.5</v>
      </c>
      <c r="Z36" s="71">
        <f t="shared" si="11"/>
        <v>829.5</v>
      </c>
      <c r="AA36" s="71">
        <f t="shared" si="11"/>
        <v>829.5</v>
      </c>
      <c r="AB36" s="71">
        <f t="shared" si="11"/>
        <v>829.5</v>
      </c>
      <c r="AC36" s="71">
        <f t="shared" si="11"/>
        <v>829.5</v>
      </c>
      <c r="AD36" s="71">
        <f t="shared" si="11"/>
        <v>829.5</v>
      </c>
      <c r="AE36" s="71">
        <f t="shared" si="11"/>
        <v>870.975</v>
      </c>
      <c r="AF36" s="71">
        <f t="shared" si="11"/>
        <v>870.975</v>
      </c>
      <c r="AG36" s="71">
        <f t="shared" si="11"/>
        <v>870.975</v>
      </c>
      <c r="AH36" s="71">
        <f t="shared" si="11"/>
        <v>870.975</v>
      </c>
      <c r="AI36" s="71">
        <f t="shared" si="11"/>
        <v>870.975</v>
      </c>
      <c r="AJ36" s="71">
        <f t="shared" si="11"/>
        <v>870.975</v>
      </c>
      <c r="AK36" s="71">
        <f t="shared" si="11"/>
        <v>914.52375</v>
      </c>
      <c r="AL36" s="71">
        <f t="shared" si="11"/>
        <v>914.52375</v>
      </c>
      <c r="AM36" s="71">
        <f t="shared" si="11"/>
        <v>914.52375</v>
      </c>
      <c r="AN36" s="71">
        <f t="shared" si="11"/>
        <v>914.52375</v>
      </c>
      <c r="AO36" s="71">
        <f t="shared" si="11"/>
        <v>914.52375</v>
      </c>
      <c r="AP36" s="71">
        <f t="shared" si="11"/>
        <v>914.52375</v>
      </c>
      <c r="AQ36" s="71">
        <f t="shared" si="11"/>
        <v>960.2499375</v>
      </c>
      <c r="AR36" s="71">
        <f t="shared" si="11"/>
        <v>960.2499375</v>
      </c>
      <c r="AS36" s="71">
        <f t="shared" si="11"/>
        <v>960.2499375</v>
      </c>
      <c r="AT36" s="71">
        <f t="shared" si="11"/>
        <v>960.2499375</v>
      </c>
      <c r="AU36" s="71">
        <f t="shared" si="11"/>
        <v>960.2499375</v>
      </c>
      <c r="AV36" s="71">
        <f t="shared" si="11"/>
        <v>960.2499375</v>
      </c>
      <c r="AW36" s="71">
        <f t="shared" si="11"/>
        <v>1008.262434</v>
      </c>
      <c r="AX36" s="71">
        <f t="shared" si="11"/>
        <v>1008.262434</v>
      </c>
      <c r="AY36" s="71">
        <f t="shared" si="11"/>
        <v>1008.262434</v>
      </c>
      <c r="AZ36" s="71">
        <f t="shared" si="11"/>
        <v>1008.262434</v>
      </c>
      <c r="BA36" s="71">
        <f t="shared" si="11"/>
        <v>1008.262434</v>
      </c>
      <c r="BB36" s="71">
        <f t="shared" si="11"/>
        <v>1008.262434</v>
      </c>
    </row>
    <row r="37">
      <c r="A37" s="1"/>
      <c r="B37" s="1" t="s">
        <v>435</v>
      </c>
      <c r="C37" s="144" t="str">
        <f>'Get Started'!$C$20</f>
        <v>$</v>
      </c>
      <c r="E37" s="1"/>
      <c r="F37" s="1"/>
      <c r="G37" s="79" t="s">
        <v>183</v>
      </c>
      <c r="H37" s="87">
        <f t="shared" si="12"/>
        <v>32241.06673</v>
      </c>
      <c r="I37" s="1"/>
      <c r="J37" s="1" t="s">
        <v>436</v>
      </c>
      <c r="K37" s="1"/>
      <c r="L37" s="1"/>
      <c r="M37" s="1"/>
      <c r="N37" s="1"/>
      <c r="O37" s="1"/>
      <c r="P37" s="1"/>
      <c r="Q37" s="1"/>
      <c r="R37" s="148">
        <v>0.0</v>
      </c>
      <c r="S37" s="67">
        <f t="shared" ref="S37:BB37" si="13">if(S$5="","",S36+R37)</f>
        <v>790</v>
      </c>
      <c r="T37" s="67">
        <f t="shared" si="13"/>
        <v>1580</v>
      </c>
      <c r="U37" s="67">
        <f t="shared" si="13"/>
        <v>2370</v>
      </c>
      <c r="V37" s="67">
        <f t="shared" si="13"/>
        <v>3160</v>
      </c>
      <c r="W37" s="67">
        <f t="shared" si="13"/>
        <v>3950</v>
      </c>
      <c r="X37" s="67">
        <f t="shared" si="13"/>
        <v>4740</v>
      </c>
      <c r="Y37" s="67">
        <f t="shared" si="13"/>
        <v>5569.5</v>
      </c>
      <c r="Z37" s="67">
        <f t="shared" si="13"/>
        <v>6399</v>
      </c>
      <c r="AA37" s="67">
        <f t="shared" si="13"/>
        <v>7228.5</v>
      </c>
      <c r="AB37" s="67">
        <f t="shared" si="13"/>
        <v>8058</v>
      </c>
      <c r="AC37" s="67">
        <f t="shared" si="13"/>
        <v>8887.5</v>
      </c>
      <c r="AD37" s="67">
        <f t="shared" si="13"/>
        <v>9717</v>
      </c>
      <c r="AE37" s="67">
        <f t="shared" si="13"/>
        <v>10587.975</v>
      </c>
      <c r="AF37" s="67">
        <f t="shared" si="13"/>
        <v>11458.95</v>
      </c>
      <c r="AG37" s="67">
        <f t="shared" si="13"/>
        <v>12329.925</v>
      </c>
      <c r="AH37" s="67">
        <f t="shared" si="13"/>
        <v>13200.9</v>
      </c>
      <c r="AI37" s="67">
        <f t="shared" si="13"/>
        <v>14071.875</v>
      </c>
      <c r="AJ37" s="67">
        <f t="shared" si="13"/>
        <v>14942.85</v>
      </c>
      <c r="AK37" s="67">
        <f t="shared" si="13"/>
        <v>15857.37375</v>
      </c>
      <c r="AL37" s="67">
        <f t="shared" si="13"/>
        <v>16771.8975</v>
      </c>
      <c r="AM37" s="67">
        <f t="shared" si="13"/>
        <v>17686.42125</v>
      </c>
      <c r="AN37" s="67">
        <f t="shared" si="13"/>
        <v>18600.945</v>
      </c>
      <c r="AO37" s="67">
        <f t="shared" si="13"/>
        <v>19515.46875</v>
      </c>
      <c r="AP37" s="67">
        <f t="shared" si="13"/>
        <v>20429.9925</v>
      </c>
      <c r="AQ37" s="67">
        <f t="shared" si="13"/>
        <v>21390.24244</v>
      </c>
      <c r="AR37" s="67">
        <f t="shared" si="13"/>
        <v>22350.49238</v>
      </c>
      <c r="AS37" s="67">
        <f t="shared" si="13"/>
        <v>23310.74231</v>
      </c>
      <c r="AT37" s="67">
        <f t="shared" si="13"/>
        <v>24270.99225</v>
      </c>
      <c r="AU37" s="67">
        <f t="shared" si="13"/>
        <v>25231.24219</v>
      </c>
      <c r="AV37" s="67">
        <f t="shared" si="13"/>
        <v>26191.49213</v>
      </c>
      <c r="AW37" s="67">
        <f t="shared" si="13"/>
        <v>27199.75456</v>
      </c>
      <c r="AX37" s="67">
        <f t="shared" si="13"/>
        <v>28208.01699</v>
      </c>
      <c r="AY37" s="67">
        <f t="shared" si="13"/>
        <v>29216.27943</v>
      </c>
      <c r="AZ37" s="67">
        <f t="shared" si="13"/>
        <v>30224.54186</v>
      </c>
      <c r="BA37" s="67">
        <f t="shared" si="13"/>
        <v>31232.8043</v>
      </c>
      <c r="BB37" s="67">
        <f t="shared" si="13"/>
        <v>32241.06673</v>
      </c>
    </row>
    <row r="38">
      <c r="A38" s="1"/>
      <c r="B38" s="1" t="s">
        <v>420</v>
      </c>
      <c r="C38" s="30" t="s">
        <v>112</v>
      </c>
      <c r="E38" s="1"/>
      <c r="F38" s="1"/>
      <c r="G38" s="79" t="s">
        <v>413</v>
      </c>
      <c r="H38" s="60">
        <f>IFERROR(H37/H$12,0)</f>
        <v>0.79</v>
      </c>
      <c r="I38" s="1"/>
      <c r="J38" s="1" t="s">
        <v>437</v>
      </c>
      <c r="K38" s="1"/>
      <c r="L38" s="1"/>
      <c r="M38" s="1"/>
      <c r="N38" s="1"/>
      <c r="O38" s="1"/>
      <c r="P38" s="1"/>
      <c r="Q38" s="1"/>
      <c r="R38" s="45"/>
      <c r="S38" s="60">
        <f t="shared" ref="S38:BB38" si="14">if(S$5="","",IFERROR(S36/S$12,0))</f>
        <v>0.79</v>
      </c>
      <c r="T38" s="60">
        <f t="shared" si="14"/>
        <v>0.79</v>
      </c>
      <c r="U38" s="60">
        <f t="shared" si="14"/>
        <v>0.79</v>
      </c>
      <c r="V38" s="60">
        <f t="shared" si="14"/>
        <v>0.79</v>
      </c>
      <c r="W38" s="60">
        <f t="shared" si="14"/>
        <v>0.79</v>
      </c>
      <c r="X38" s="60">
        <f t="shared" si="14"/>
        <v>0.79</v>
      </c>
      <c r="Y38" s="60">
        <f t="shared" si="14"/>
        <v>0.79</v>
      </c>
      <c r="Z38" s="60">
        <f t="shared" si="14"/>
        <v>0.79</v>
      </c>
      <c r="AA38" s="60">
        <f t="shared" si="14"/>
        <v>0.79</v>
      </c>
      <c r="AB38" s="60">
        <f t="shared" si="14"/>
        <v>0.79</v>
      </c>
      <c r="AC38" s="60">
        <f t="shared" si="14"/>
        <v>0.79</v>
      </c>
      <c r="AD38" s="60">
        <f t="shared" si="14"/>
        <v>0.79</v>
      </c>
      <c r="AE38" s="60">
        <f t="shared" si="14"/>
        <v>0.79</v>
      </c>
      <c r="AF38" s="60">
        <f t="shared" si="14"/>
        <v>0.79</v>
      </c>
      <c r="AG38" s="60">
        <f t="shared" si="14"/>
        <v>0.79</v>
      </c>
      <c r="AH38" s="60">
        <f t="shared" si="14"/>
        <v>0.79</v>
      </c>
      <c r="AI38" s="60">
        <f t="shared" si="14"/>
        <v>0.79</v>
      </c>
      <c r="AJ38" s="60">
        <f t="shared" si="14"/>
        <v>0.79</v>
      </c>
      <c r="AK38" s="60">
        <f t="shared" si="14"/>
        <v>0.79</v>
      </c>
      <c r="AL38" s="60">
        <f t="shared" si="14"/>
        <v>0.79</v>
      </c>
      <c r="AM38" s="60">
        <f t="shared" si="14"/>
        <v>0.79</v>
      </c>
      <c r="AN38" s="60">
        <f t="shared" si="14"/>
        <v>0.79</v>
      </c>
      <c r="AO38" s="60">
        <f t="shared" si="14"/>
        <v>0.79</v>
      </c>
      <c r="AP38" s="60">
        <f t="shared" si="14"/>
        <v>0.79</v>
      </c>
      <c r="AQ38" s="60">
        <f t="shared" si="14"/>
        <v>0.79</v>
      </c>
      <c r="AR38" s="60">
        <f t="shared" si="14"/>
        <v>0.79</v>
      </c>
      <c r="AS38" s="60">
        <f t="shared" si="14"/>
        <v>0.79</v>
      </c>
      <c r="AT38" s="60">
        <f t="shared" si="14"/>
        <v>0.79</v>
      </c>
      <c r="AU38" s="60">
        <f t="shared" si="14"/>
        <v>0.79</v>
      </c>
      <c r="AV38" s="60">
        <f t="shared" si="14"/>
        <v>0.79</v>
      </c>
      <c r="AW38" s="60">
        <f t="shared" si="14"/>
        <v>0.79</v>
      </c>
      <c r="AX38" s="60">
        <f t="shared" si="14"/>
        <v>0.79</v>
      </c>
      <c r="AY38" s="60">
        <f t="shared" si="14"/>
        <v>0.79</v>
      </c>
      <c r="AZ38" s="60">
        <f t="shared" si="14"/>
        <v>0.79</v>
      </c>
      <c r="BA38" s="60">
        <f t="shared" si="14"/>
        <v>0.79</v>
      </c>
      <c r="BB38" s="60">
        <f t="shared" si="14"/>
        <v>0.79</v>
      </c>
    </row>
    <row r="39">
      <c r="A39" s="1"/>
      <c r="B39" s="1"/>
      <c r="C39" s="30"/>
      <c r="E39" s="1"/>
      <c r="F39" s="1"/>
      <c r="G39" s="1"/>
      <c r="H39" s="1"/>
      <c r="I39" s="1"/>
      <c r="J39" s="1"/>
      <c r="K39" s="1"/>
      <c r="L39" s="1"/>
      <c r="M39" s="1"/>
      <c r="N39" s="1"/>
      <c r="O39" s="1"/>
      <c r="P39" s="1"/>
      <c r="Q39" s="1"/>
      <c r="R39" s="45"/>
      <c r="S39" s="67"/>
      <c r="T39" s="67"/>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row>
    <row r="40">
      <c r="A40" s="1"/>
      <c r="B40" s="1"/>
      <c r="C40" s="30"/>
      <c r="E40" s="1"/>
      <c r="F40" s="1"/>
      <c r="G40" s="1"/>
      <c r="H40" s="1"/>
      <c r="I40" s="1"/>
      <c r="J40" s="1"/>
      <c r="K40" s="1"/>
      <c r="L40" s="1"/>
      <c r="M40" s="1"/>
      <c r="N40" s="1"/>
      <c r="O40" s="1"/>
      <c r="P40" s="1"/>
      <c r="Q40" s="1"/>
      <c r="R40" s="45"/>
      <c r="S40" s="67"/>
      <c r="T40" s="67"/>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row>
    <row r="41">
      <c r="A41" s="1"/>
      <c r="B41" s="143" t="s">
        <v>93</v>
      </c>
      <c r="C41" s="30"/>
      <c r="E41" s="1"/>
      <c r="F41" s="1"/>
      <c r="G41" s="1"/>
      <c r="H41" s="1"/>
      <c r="I41" s="1"/>
      <c r="J41" s="1"/>
      <c r="K41" s="1"/>
      <c r="L41" s="1"/>
      <c r="M41" s="1"/>
      <c r="N41" s="1"/>
      <c r="O41" s="1"/>
      <c r="P41" s="1"/>
      <c r="Q41" s="1"/>
      <c r="R41" s="45"/>
      <c r="S41" s="67"/>
      <c r="T41" s="67"/>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row>
    <row r="42">
      <c r="A42" s="1"/>
      <c r="B42" s="1"/>
      <c r="C42" s="30"/>
      <c r="E42" s="1"/>
      <c r="F42" s="1"/>
      <c r="G42" s="1"/>
      <c r="H42" s="1"/>
      <c r="I42" s="1"/>
      <c r="J42" s="1"/>
      <c r="K42" s="1"/>
      <c r="L42" s="1"/>
      <c r="M42" s="1"/>
      <c r="N42" s="1"/>
      <c r="O42" s="1"/>
      <c r="P42" s="1"/>
      <c r="Q42" s="1"/>
      <c r="R42" s="45"/>
      <c r="S42" s="67"/>
      <c r="T42" s="67"/>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row>
    <row r="43">
      <c r="A43" s="1"/>
      <c r="B43" s="1" t="s">
        <v>178</v>
      </c>
      <c r="C43" s="30"/>
      <c r="E43" s="1"/>
      <c r="F43" s="1"/>
      <c r="G43" s="1"/>
      <c r="H43" s="1"/>
      <c r="I43" s="1"/>
      <c r="J43" s="1"/>
      <c r="K43" s="1"/>
      <c r="L43" s="1"/>
      <c r="M43" s="1"/>
      <c r="N43" s="1"/>
      <c r="O43" s="1"/>
      <c r="P43" s="1"/>
      <c r="Q43" s="1"/>
      <c r="R43" s="149" t="s">
        <v>438</v>
      </c>
      <c r="S43" s="67"/>
      <c r="T43" s="67"/>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row>
    <row r="44">
      <c r="A44" s="1"/>
      <c r="B44" s="1" t="s">
        <v>439</v>
      </c>
      <c r="C44" s="144" t="str">
        <f>'Get Started'!$C$20</f>
        <v>$</v>
      </c>
      <c r="E44" s="1"/>
      <c r="F44" s="1"/>
      <c r="G44" s="79" t="s">
        <v>183</v>
      </c>
      <c r="H44" s="87">
        <f t="shared" ref="H44:H49" si="16">if(G44="sum",sum(S44:BB44),if(G44="final",iferror(index(S44:BB44,match(99^99,S44:BB44,1)),0),if(G44="initial",S44,if(G44="average",average(S44:BB44),0))))</f>
        <v>532777.105</v>
      </c>
      <c r="I44" s="1"/>
      <c r="J44" s="1" t="s">
        <v>440</v>
      </c>
      <c r="K44" s="1"/>
      <c r="L44" s="1"/>
      <c r="M44" s="1"/>
      <c r="N44" s="1"/>
      <c r="O44" s="1"/>
      <c r="P44" s="1"/>
      <c r="Q44" s="1"/>
      <c r="R44" s="67">
        <f>'Get Started'!D20</f>
        <v>0</v>
      </c>
      <c r="S44" s="67">
        <f t="shared" ref="S44:BB44" si="15">S117</f>
        <v>500790</v>
      </c>
      <c r="T44" s="67">
        <f t="shared" si="15"/>
        <v>501790</v>
      </c>
      <c r="U44" s="67">
        <f t="shared" si="15"/>
        <v>502790</v>
      </c>
      <c r="V44" s="67">
        <f t="shared" si="15"/>
        <v>503160</v>
      </c>
      <c r="W44" s="67">
        <f t="shared" si="15"/>
        <v>504160</v>
      </c>
      <c r="X44" s="67">
        <f t="shared" si="15"/>
        <v>505160</v>
      </c>
      <c r="Y44" s="67">
        <f t="shared" si="15"/>
        <v>505569.5</v>
      </c>
      <c r="Z44" s="67">
        <f t="shared" si="15"/>
        <v>506619.5</v>
      </c>
      <c r="AA44" s="67">
        <f t="shared" si="15"/>
        <v>507669.5</v>
      </c>
      <c r="AB44" s="67">
        <f t="shared" si="15"/>
        <v>508058</v>
      </c>
      <c r="AC44" s="67">
        <f t="shared" si="15"/>
        <v>509108</v>
      </c>
      <c r="AD44" s="67">
        <f t="shared" si="15"/>
        <v>510158</v>
      </c>
      <c r="AE44" s="67">
        <f t="shared" si="15"/>
        <v>510587.975</v>
      </c>
      <c r="AF44" s="67">
        <f t="shared" si="15"/>
        <v>511690.475</v>
      </c>
      <c r="AG44" s="67">
        <f t="shared" si="15"/>
        <v>512792.975</v>
      </c>
      <c r="AH44" s="67">
        <f t="shared" si="15"/>
        <v>513200.9</v>
      </c>
      <c r="AI44" s="67">
        <f t="shared" si="15"/>
        <v>514303.4</v>
      </c>
      <c r="AJ44" s="67">
        <f t="shared" si="15"/>
        <v>515405.9</v>
      </c>
      <c r="AK44" s="67">
        <f t="shared" si="15"/>
        <v>515857.3738</v>
      </c>
      <c r="AL44" s="67">
        <f t="shared" si="15"/>
        <v>517014.9988</v>
      </c>
      <c r="AM44" s="67">
        <f t="shared" si="15"/>
        <v>518172.6238</v>
      </c>
      <c r="AN44" s="67">
        <f t="shared" si="15"/>
        <v>518600.945</v>
      </c>
      <c r="AO44" s="67">
        <f t="shared" si="15"/>
        <v>519758.57</v>
      </c>
      <c r="AP44" s="67">
        <f t="shared" si="15"/>
        <v>520916.195</v>
      </c>
      <c r="AQ44" s="67">
        <f t="shared" si="15"/>
        <v>521390.2424</v>
      </c>
      <c r="AR44" s="67">
        <f t="shared" si="15"/>
        <v>522605.7487</v>
      </c>
      <c r="AS44" s="67">
        <f t="shared" si="15"/>
        <v>523821.2549</v>
      </c>
      <c r="AT44" s="67">
        <f t="shared" si="15"/>
        <v>524270.9923</v>
      </c>
      <c r="AU44" s="67">
        <f t="shared" si="15"/>
        <v>525486.4985</v>
      </c>
      <c r="AV44" s="67">
        <f t="shared" si="15"/>
        <v>526702.0048</v>
      </c>
      <c r="AW44" s="67">
        <f t="shared" si="15"/>
        <v>527199.7546</v>
      </c>
      <c r="AX44" s="67">
        <f t="shared" si="15"/>
        <v>528476.0361</v>
      </c>
      <c r="AY44" s="67">
        <f t="shared" si="15"/>
        <v>529752.3177</v>
      </c>
      <c r="AZ44" s="67">
        <f t="shared" si="15"/>
        <v>530224.5419</v>
      </c>
      <c r="BA44" s="67">
        <f t="shared" si="15"/>
        <v>531500.8234</v>
      </c>
      <c r="BB44" s="67">
        <f t="shared" si="15"/>
        <v>532777.105</v>
      </c>
    </row>
    <row r="45">
      <c r="A45" s="1"/>
      <c r="B45" s="1" t="s">
        <v>307</v>
      </c>
      <c r="C45" s="144" t="str">
        <f>'Get Started'!$C$20</f>
        <v>$</v>
      </c>
      <c r="E45" s="1"/>
      <c r="F45" s="1"/>
      <c r="G45" s="79" t="s">
        <v>183</v>
      </c>
      <c r="H45" s="87">
        <f t="shared" si="16"/>
        <v>0</v>
      </c>
      <c r="I45" s="1"/>
      <c r="J45" s="1" t="s">
        <v>441</v>
      </c>
      <c r="K45" s="1"/>
      <c r="L45" s="1"/>
      <c r="M45" s="1"/>
      <c r="N45" s="1"/>
      <c r="O45" s="1"/>
      <c r="P45" s="1"/>
      <c r="Q45" s="1"/>
      <c r="R45" s="150">
        <v>0.0</v>
      </c>
      <c r="S45" s="67">
        <f>if(S$5="","",Forecast!T123)</f>
        <v>0</v>
      </c>
      <c r="T45" s="67">
        <f>if(T$5="","",Forecast!U123)</f>
        <v>0</v>
      </c>
      <c r="U45" s="67">
        <f>if(U$5="","",Forecast!V123)</f>
        <v>0</v>
      </c>
      <c r="V45" s="67">
        <f>if(V$5="","",Forecast!W123)</f>
        <v>0</v>
      </c>
      <c r="W45" s="67">
        <f>if(W$5="","",Forecast!X123)</f>
        <v>0</v>
      </c>
      <c r="X45" s="67">
        <f>if(X$5="","",Forecast!Y123)</f>
        <v>0</v>
      </c>
      <c r="Y45" s="67">
        <f>if(Y$5="","",Forecast!Z123)</f>
        <v>0</v>
      </c>
      <c r="Z45" s="67">
        <f>if(Z$5="","",Forecast!AA123)</f>
        <v>0</v>
      </c>
      <c r="AA45" s="67">
        <f>if(AA$5="","",Forecast!AB123)</f>
        <v>0</v>
      </c>
      <c r="AB45" s="67">
        <f>if(AB$5="","",Forecast!AC123)</f>
        <v>0</v>
      </c>
      <c r="AC45" s="67">
        <f>if(AC$5="","",Forecast!AD123)</f>
        <v>0</v>
      </c>
      <c r="AD45" s="67">
        <f>if(AD$5="","",Forecast!AE123)</f>
        <v>0</v>
      </c>
      <c r="AE45" s="67">
        <f>if(AE$5="","",Forecast!AF123)</f>
        <v>0</v>
      </c>
      <c r="AF45" s="67">
        <f>if(AF$5="","",Forecast!AG123)</f>
        <v>0</v>
      </c>
      <c r="AG45" s="67">
        <f>if(AG$5="","",Forecast!AH123)</f>
        <v>0</v>
      </c>
      <c r="AH45" s="67">
        <f>if(AH$5="","",Forecast!AI123)</f>
        <v>0</v>
      </c>
      <c r="AI45" s="67">
        <f>if(AI$5="","",Forecast!AJ123)</f>
        <v>0</v>
      </c>
      <c r="AJ45" s="67">
        <f>if(AJ$5="","",Forecast!AK123)</f>
        <v>0</v>
      </c>
      <c r="AK45" s="67">
        <f>if(AK$5="","",Forecast!AL123)</f>
        <v>0</v>
      </c>
      <c r="AL45" s="67">
        <f>if(AL$5="","",Forecast!AM123)</f>
        <v>0</v>
      </c>
      <c r="AM45" s="67">
        <f>if(AM$5="","",Forecast!AN123)</f>
        <v>0</v>
      </c>
      <c r="AN45" s="67">
        <f>if(AN$5="","",Forecast!AO123)</f>
        <v>0</v>
      </c>
      <c r="AO45" s="67">
        <f>if(AO$5="","",Forecast!AP123)</f>
        <v>0</v>
      </c>
      <c r="AP45" s="67">
        <f>if(AP$5="","",Forecast!AQ123)</f>
        <v>0</v>
      </c>
      <c r="AQ45" s="67">
        <f>if(AQ$5="","",Forecast!AR123)</f>
        <v>0</v>
      </c>
      <c r="AR45" s="67">
        <f>if(AR$5="","",Forecast!AS123)</f>
        <v>0</v>
      </c>
      <c r="AS45" s="67">
        <f>if(AS$5="","",Forecast!AT123)</f>
        <v>0</v>
      </c>
      <c r="AT45" s="67">
        <f>if(AT$5="","",Forecast!AU123)</f>
        <v>0</v>
      </c>
      <c r="AU45" s="67">
        <f>if(AU$5="","",Forecast!AV123)</f>
        <v>0</v>
      </c>
      <c r="AV45" s="67">
        <f>if(AV$5="","",Forecast!AW123)</f>
        <v>0</v>
      </c>
      <c r="AW45" s="67">
        <f>if(AW$5="","",Forecast!AX123)</f>
        <v>0</v>
      </c>
      <c r="AX45" s="67">
        <f>if(AX$5="","",Forecast!AY123)</f>
        <v>0</v>
      </c>
      <c r="AY45" s="67">
        <f>if(AY$5="","",Forecast!AZ123)</f>
        <v>0</v>
      </c>
      <c r="AZ45" s="67">
        <f>if(AZ$5="","",Forecast!BA123)</f>
        <v>0</v>
      </c>
      <c r="BA45" s="67">
        <f>if(BA$5="","",Forecast!BB123)</f>
        <v>0</v>
      </c>
      <c r="BB45" s="67">
        <f>if(BB$5="","",Forecast!BC123)</f>
        <v>0</v>
      </c>
    </row>
    <row r="46">
      <c r="A46" s="1"/>
      <c r="B46" s="1" t="s">
        <v>442</v>
      </c>
      <c r="C46" s="144" t="str">
        <f>'Get Started'!$C$20</f>
        <v>$</v>
      </c>
      <c r="E46" s="1"/>
      <c r="F46" s="1"/>
      <c r="G46" s="79" t="s">
        <v>183</v>
      </c>
      <c r="H46" s="87">
        <f t="shared" si="16"/>
        <v>0</v>
      </c>
      <c r="I46" s="1"/>
      <c r="J46" s="1" t="s">
        <v>443</v>
      </c>
      <c r="K46" s="1"/>
      <c r="L46" s="1"/>
      <c r="M46" s="1"/>
      <c r="N46" s="1"/>
      <c r="O46" s="1"/>
      <c r="P46" s="1"/>
      <c r="Q46" s="1"/>
      <c r="R46" s="151">
        <v>0.0</v>
      </c>
      <c r="S46" s="67">
        <f>if(S$5="","",Forecast!T163)</f>
        <v>0</v>
      </c>
      <c r="T46" s="67">
        <f>if(T$5="","",Forecast!U163)</f>
        <v>0</v>
      </c>
      <c r="U46" s="67">
        <f>if(U$5="","",Forecast!V163)</f>
        <v>0</v>
      </c>
      <c r="V46" s="67">
        <f>if(V$5="","",Forecast!W163)</f>
        <v>0</v>
      </c>
      <c r="W46" s="67">
        <f>if(W$5="","",Forecast!X163)</f>
        <v>0</v>
      </c>
      <c r="X46" s="67">
        <f>if(X$5="","",Forecast!Y163)</f>
        <v>0</v>
      </c>
      <c r="Y46" s="67">
        <f>if(Y$5="","",Forecast!Z163)</f>
        <v>0</v>
      </c>
      <c r="Z46" s="67">
        <f>if(Z$5="","",Forecast!AA163)</f>
        <v>0</v>
      </c>
      <c r="AA46" s="67">
        <f>if(AA$5="","",Forecast!AB163)</f>
        <v>0</v>
      </c>
      <c r="AB46" s="67">
        <f>if(AB$5="","",Forecast!AC163)</f>
        <v>0</v>
      </c>
      <c r="AC46" s="67">
        <f>if(AC$5="","",Forecast!AD163)</f>
        <v>0</v>
      </c>
      <c r="AD46" s="67">
        <f>if(AD$5="","",Forecast!AE163)</f>
        <v>0</v>
      </c>
      <c r="AE46" s="67">
        <f>if(AE$5="","",Forecast!AF163)</f>
        <v>0</v>
      </c>
      <c r="AF46" s="67">
        <f>if(AF$5="","",Forecast!AG163)</f>
        <v>0</v>
      </c>
      <c r="AG46" s="67">
        <f>if(AG$5="","",Forecast!AH163)</f>
        <v>0</v>
      </c>
      <c r="AH46" s="67">
        <f>if(AH$5="","",Forecast!AI163)</f>
        <v>0</v>
      </c>
      <c r="AI46" s="67">
        <f>if(AI$5="","",Forecast!AJ163)</f>
        <v>0</v>
      </c>
      <c r="AJ46" s="67">
        <f>if(AJ$5="","",Forecast!AK163)</f>
        <v>0</v>
      </c>
      <c r="AK46" s="67">
        <f>if(AK$5="","",Forecast!AL163)</f>
        <v>0</v>
      </c>
      <c r="AL46" s="67">
        <f>if(AL$5="","",Forecast!AM163)</f>
        <v>0</v>
      </c>
      <c r="AM46" s="67">
        <f>if(AM$5="","",Forecast!AN163)</f>
        <v>0</v>
      </c>
      <c r="AN46" s="67">
        <f>if(AN$5="","",Forecast!AO163)</f>
        <v>0</v>
      </c>
      <c r="AO46" s="67">
        <f>if(AO$5="","",Forecast!AP163)</f>
        <v>0</v>
      </c>
      <c r="AP46" s="67">
        <f>if(AP$5="","",Forecast!AQ163)</f>
        <v>0</v>
      </c>
      <c r="AQ46" s="67">
        <f>if(AQ$5="","",Forecast!AR163)</f>
        <v>0</v>
      </c>
      <c r="AR46" s="67">
        <f>if(AR$5="","",Forecast!AS163)</f>
        <v>0</v>
      </c>
      <c r="AS46" s="67">
        <f>if(AS$5="","",Forecast!AT163)</f>
        <v>0</v>
      </c>
      <c r="AT46" s="67">
        <f>if(AT$5="","",Forecast!AU163)</f>
        <v>0</v>
      </c>
      <c r="AU46" s="67">
        <f>if(AU$5="","",Forecast!AV163)</f>
        <v>0</v>
      </c>
      <c r="AV46" s="67">
        <f>if(AV$5="","",Forecast!AW163)</f>
        <v>0</v>
      </c>
      <c r="AW46" s="67">
        <f>if(AW$5="","",Forecast!AX163)</f>
        <v>0</v>
      </c>
      <c r="AX46" s="67">
        <f>if(AX$5="","",Forecast!AY163)</f>
        <v>0</v>
      </c>
      <c r="AY46" s="67">
        <f>if(AY$5="","",Forecast!AZ163)</f>
        <v>0</v>
      </c>
      <c r="AZ46" s="67">
        <f>if(AZ$5="","",Forecast!BA163)</f>
        <v>0</v>
      </c>
      <c r="BA46" s="67">
        <f>if(BA$5="","",Forecast!BB163)</f>
        <v>0</v>
      </c>
      <c r="BB46" s="67">
        <f>if(BB$5="","",Forecast!BC163)</f>
        <v>0</v>
      </c>
    </row>
    <row r="47">
      <c r="A47" s="1"/>
      <c r="B47" s="1" t="s">
        <v>444</v>
      </c>
      <c r="C47" s="144" t="str">
        <f>'Get Started'!$C$20</f>
        <v>$</v>
      </c>
      <c r="E47" s="1"/>
      <c r="F47" s="1"/>
      <c r="G47" s="79" t="s">
        <v>183</v>
      </c>
      <c r="H47" s="87">
        <f t="shared" si="16"/>
        <v>0</v>
      </c>
      <c r="I47" s="1"/>
      <c r="J47" s="1" t="s">
        <v>443</v>
      </c>
      <c r="K47" s="1"/>
      <c r="L47" s="1"/>
      <c r="M47" s="1"/>
      <c r="N47" s="1"/>
      <c r="O47" s="1"/>
      <c r="P47" s="1"/>
      <c r="Q47" s="1"/>
      <c r="R47" s="150">
        <v>0.0</v>
      </c>
      <c r="S47" s="67">
        <f>if(S$5="","",if('Get Started'!$D31=0,R47,S20*'Get Started'!$D31))</f>
        <v>0</v>
      </c>
      <c r="T47" s="67">
        <f>if(T$5="","",if('Get Started'!$D31=0,S47,T20*'Get Started'!$D31))</f>
        <v>0</v>
      </c>
      <c r="U47" s="67">
        <f>if(U$5="","",if('Get Started'!$D31=0,T47,U20*'Get Started'!$D31))</f>
        <v>0</v>
      </c>
      <c r="V47" s="67">
        <f>if(V$5="","",if('Get Started'!$D31=0,U47,V20*'Get Started'!$D31))</f>
        <v>0</v>
      </c>
      <c r="W47" s="67">
        <f>if(W$5="","",if('Get Started'!$D31=0,V47,W20*'Get Started'!$D31))</f>
        <v>0</v>
      </c>
      <c r="X47" s="67">
        <f>if(X$5="","",if('Get Started'!$D31=0,W47,X20*'Get Started'!$D31))</f>
        <v>0</v>
      </c>
      <c r="Y47" s="67">
        <f>if(Y$5="","",if('Get Started'!$D31=0,X47,Y20*'Get Started'!$D31))</f>
        <v>0</v>
      </c>
      <c r="Z47" s="67">
        <f>if(Z$5="","",if('Get Started'!$D31=0,Y47,Z20*'Get Started'!$D31))</f>
        <v>0</v>
      </c>
      <c r="AA47" s="67">
        <f>if(AA$5="","",if('Get Started'!$D31=0,Z47,AA20*'Get Started'!$D31))</f>
        <v>0</v>
      </c>
      <c r="AB47" s="67">
        <f>if(AB$5="","",if('Get Started'!$D31=0,AA47,AB20*'Get Started'!$D31))</f>
        <v>0</v>
      </c>
      <c r="AC47" s="67">
        <f>if(AC$5="","",if('Get Started'!$D31=0,AB47,AC20*'Get Started'!$D31))</f>
        <v>0</v>
      </c>
      <c r="AD47" s="67">
        <f>if(AD$5="","",if('Get Started'!$D31=0,AC47,AD20*'Get Started'!$D31))</f>
        <v>0</v>
      </c>
      <c r="AE47" s="67">
        <f>if(AE$5="","",if('Get Started'!$D31=0,AD47,AE20*'Get Started'!$D31))</f>
        <v>0</v>
      </c>
      <c r="AF47" s="67">
        <f>if(AF$5="","",if('Get Started'!$D31=0,AE47,AF20*'Get Started'!$D31))</f>
        <v>0</v>
      </c>
      <c r="AG47" s="67">
        <f>if(AG$5="","",if('Get Started'!$D31=0,AF47,AG20*'Get Started'!$D31))</f>
        <v>0</v>
      </c>
      <c r="AH47" s="67">
        <f>if(AH$5="","",if('Get Started'!$D31=0,AG47,AH20*'Get Started'!$D31))</f>
        <v>0</v>
      </c>
      <c r="AI47" s="67">
        <f>if(AI$5="","",if('Get Started'!$D31=0,AH47,AI20*'Get Started'!$D31))</f>
        <v>0</v>
      </c>
      <c r="AJ47" s="67">
        <f>if(AJ$5="","",if('Get Started'!$D31=0,AI47,AJ20*'Get Started'!$D31))</f>
        <v>0</v>
      </c>
      <c r="AK47" s="67">
        <f>if(AK$5="","",if('Get Started'!$D31=0,AJ47,AK20*'Get Started'!$D31))</f>
        <v>0</v>
      </c>
      <c r="AL47" s="67">
        <f>if(AL$5="","",if('Get Started'!$D31=0,AK47,AL20*'Get Started'!$D31))</f>
        <v>0</v>
      </c>
      <c r="AM47" s="67">
        <f>if(AM$5="","",if('Get Started'!$D31=0,AL47,AM20*'Get Started'!$D31))</f>
        <v>0</v>
      </c>
      <c r="AN47" s="67">
        <f>if(AN$5="","",if('Get Started'!$D31=0,AM47,AN20*'Get Started'!$D31))</f>
        <v>0</v>
      </c>
      <c r="AO47" s="67">
        <f>if(AO$5="","",if('Get Started'!$D31=0,AN47,AO20*'Get Started'!$D31))</f>
        <v>0</v>
      </c>
      <c r="AP47" s="67">
        <f>if(AP$5="","",if('Get Started'!$D31=0,AO47,AP20*'Get Started'!$D31))</f>
        <v>0</v>
      </c>
      <c r="AQ47" s="67">
        <f>if(AQ$5="","",if('Get Started'!$D31=0,AP47,AQ20*'Get Started'!$D31))</f>
        <v>0</v>
      </c>
      <c r="AR47" s="67">
        <f>if(AR$5="","",if('Get Started'!$D31=0,AQ47,AR20*'Get Started'!$D31))</f>
        <v>0</v>
      </c>
      <c r="AS47" s="67">
        <f>if(AS$5="","",if('Get Started'!$D31=0,AR47,AS20*'Get Started'!$D31))</f>
        <v>0</v>
      </c>
      <c r="AT47" s="67">
        <f>if(AT$5="","",if('Get Started'!$D31=0,AS47,AT20*'Get Started'!$D31))</f>
        <v>0</v>
      </c>
      <c r="AU47" s="67">
        <f>if(AU$5="","",if('Get Started'!$D31=0,AT47,AU20*'Get Started'!$D31))</f>
        <v>0</v>
      </c>
      <c r="AV47" s="67">
        <f>if(AV$5="","",if('Get Started'!$D31=0,AU47,AV20*'Get Started'!$D31))</f>
        <v>0</v>
      </c>
      <c r="AW47" s="67">
        <f>if(AW$5="","",if('Get Started'!$D31=0,AV47,AW20*'Get Started'!$D31))</f>
        <v>0</v>
      </c>
      <c r="AX47" s="67">
        <f>if(AX$5="","",if('Get Started'!$D31=0,AW47,AX20*'Get Started'!$D31))</f>
        <v>0</v>
      </c>
      <c r="AY47" s="67">
        <f>if(AY$5="","",if('Get Started'!$D31=0,AX47,AY20*'Get Started'!$D31))</f>
        <v>0</v>
      </c>
      <c r="AZ47" s="67">
        <f>if(AZ$5="","",if('Get Started'!$D31=0,AY47,AZ20*'Get Started'!$D31))</f>
        <v>0</v>
      </c>
      <c r="BA47" s="67">
        <f>if(BA$5="","",if('Get Started'!$D31=0,AZ47,BA20*'Get Started'!$D31))</f>
        <v>0</v>
      </c>
      <c r="BB47" s="67">
        <f>if(BB$5="","",if('Get Started'!$D31=0,BA47,BB20*'Get Started'!$D31))</f>
        <v>0</v>
      </c>
    </row>
    <row r="48">
      <c r="A48" s="1"/>
      <c r="B48" s="22" t="s">
        <v>445</v>
      </c>
      <c r="C48" s="144" t="str">
        <f>'Get Started'!$C$20</f>
        <v>$</v>
      </c>
      <c r="E48" s="1"/>
      <c r="F48" s="1"/>
      <c r="G48" s="79" t="s">
        <v>183</v>
      </c>
      <c r="H48" s="87">
        <f t="shared" si="16"/>
        <v>0</v>
      </c>
      <c r="I48" s="1"/>
      <c r="J48" s="1" t="s">
        <v>443</v>
      </c>
      <c r="K48" s="1"/>
      <c r="L48" s="1"/>
      <c r="M48" s="1"/>
      <c r="N48" s="1"/>
      <c r="O48" s="1"/>
      <c r="P48" s="1"/>
      <c r="Q48" s="1"/>
      <c r="R48" s="150">
        <v>0.0</v>
      </c>
      <c r="S48" s="67">
        <f>if(S$5="","",if('Get Started'!$D32=0,R48,S21*'Get Started'!$D32))</f>
        <v>0</v>
      </c>
      <c r="T48" s="67">
        <f>if(T$5="","",if('Get Started'!$D32=0,S48,T21*'Get Started'!$D32))</f>
        <v>0</v>
      </c>
      <c r="U48" s="67">
        <f>if(U$5="","",if('Get Started'!$D32=0,T48,U21*'Get Started'!$D32))</f>
        <v>0</v>
      </c>
      <c r="V48" s="67">
        <f>if(V$5="","",if('Get Started'!$D32=0,U48,V21*'Get Started'!$D32))</f>
        <v>0</v>
      </c>
      <c r="W48" s="67">
        <f>if(W$5="","",if('Get Started'!$D32=0,V48,W21*'Get Started'!$D32))</f>
        <v>0</v>
      </c>
      <c r="X48" s="67">
        <f>if(X$5="","",if('Get Started'!$D32=0,W48,X21*'Get Started'!$D32))</f>
        <v>0</v>
      </c>
      <c r="Y48" s="67">
        <f>if(Y$5="","",if('Get Started'!$D32=0,X48,Y21*'Get Started'!$D32))</f>
        <v>0</v>
      </c>
      <c r="Z48" s="67">
        <f>if(Z$5="","",if('Get Started'!$D32=0,Y48,Z21*'Get Started'!$D32))</f>
        <v>0</v>
      </c>
      <c r="AA48" s="67">
        <f>if(AA$5="","",if('Get Started'!$D32=0,Z48,AA21*'Get Started'!$D32))</f>
        <v>0</v>
      </c>
      <c r="AB48" s="67">
        <f>if(AB$5="","",if('Get Started'!$D32=0,AA48,AB21*'Get Started'!$D32))</f>
        <v>0</v>
      </c>
      <c r="AC48" s="67">
        <f>if(AC$5="","",if('Get Started'!$D32=0,AB48,AC21*'Get Started'!$D32))</f>
        <v>0</v>
      </c>
      <c r="AD48" s="67">
        <f>if(AD$5="","",if('Get Started'!$D32=0,AC48,AD21*'Get Started'!$D32))</f>
        <v>0</v>
      </c>
      <c r="AE48" s="67">
        <f>if(AE$5="","",if('Get Started'!$D32=0,AD48,AE21*'Get Started'!$D32))</f>
        <v>0</v>
      </c>
      <c r="AF48" s="67">
        <f>if(AF$5="","",if('Get Started'!$D32=0,AE48,AF21*'Get Started'!$D32))</f>
        <v>0</v>
      </c>
      <c r="AG48" s="67">
        <f>if(AG$5="","",if('Get Started'!$D32=0,AF48,AG21*'Get Started'!$D32))</f>
        <v>0</v>
      </c>
      <c r="AH48" s="67">
        <f>if(AH$5="","",if('Get Started'!$D32=0,AG48,AH21*'Get Started'!$D32))</f>
        <v>0</v>
      </c>
      <c r="AI48" s="67">
        <f>if(AI$5="","",if('Get Started'!$D32=0,AH48,AI21*'Get Started'!$D32))</f>
        <v>0</v>
      </c>
      <c r="AJ48" s="67">
        <f>if(AJ$5="","",if('Get Started'!$D32=0,AI48,AJ21*'Get Started'!$D32))</f>
        <v>0</v>
      </c>
      <c r="AK48" s="67">
        <f>if(AK$5="","",if('Get Started'!$D32=0,AJ48,AK21*'Get Started'!$D32))</f>
        <v>0</v>
      </c>
      <c r="AL48" s="67">
        <f>if(AL$5="","",if('Get Started'!$D32=0,AK48,AL21*'Get Started'!$D32))</f>
        <v>0</v>
      </c>
      <c r="AM48" s="67">
        <f>if(AM$5="","",if('Get Started'!$D32=0,AL48,AM21*'Get Started'!$D32))</f>
        <v>0</v>
      </c>
      <c r="AN48" s="67">
        <f>if(AN$5="","",if('Get Started'!$D32=0,AM48,AN21*'Get Started'!$D32))</f>
        <v>0</v>
      </c>
      <c r="AO48" s="67">
        <f>if(AO$5="","",if('Get Started'!$D32=0,AN48,AO21*'Get Started'!$D32))</f>
        <v>0</v>
      </c>
      <c r="AP48" s="67">
        <f>if(AP$5="","",if('Get Started'!$D32=0,AO48,AP21*'Get Started'!$D32))</f>
        <v>0</v>
      </c>
      <c r="AQ48" s="67">
        <f>if(AQ$5="","",if('Get Started'!$D32=0,AP48,AQ21*'Get Started'!$D32))</f>
        <v>0</v>
      </c>
      <c r="AR48" s="67">
        <f>if(AR$5="","",if('Get Started'!$D32=0,AQ48,AR21*'Get Started'!$D32))</f>
        <v>0</v>
      </c>
      <c r="AS48" s="67">
        <f>if(AS$5="","",if('Get Started'!$D32=0,AR48,AS21*'Get Started'!$D32))</f>
        <v>0</v>
      </c>
      <c r="AT48" s="67">
        <f>if(AT$5="","",if('Get Started'!$D32=0,AS48,AT21*'Get Started'!$D32))</f>
        <v>0</v>
      </c>
      <c r="AU48" s="67">
        <f>if(AU$5="","",if('Get Started'!$D32=0,AT48,AU21*'Get Started'!$D32))</f>
        <v>0</v>
      </c>
      <c r="AV48" s="67">
        <f>if(AV$5="","",if('Get Started'!$D32=0,AU48,AV21*'Get Started'!$D32))</f>
        <v>0</v>
      </c>
      <c r="AW48" s="67">
        <f>if(AW$5="","",if('Get Started'!$D32=0,AV48,AW21*'Get Started'!$D32))</f>
        <v>0</v>
      </c>
      <c r="AX48" s="67">
        <f>if(AX$5="","",if('Get Started'!$D32=0,AW48,AX21*'Get Started'!$D32))</f>
        <v>0</v>
      </c>
      <c r="AY48" s="67">
        <f>if(AY$5="","",if('Get Started'!$D32=0,AX48,AY21*'Get Started'!$D32))</f>
        <v>0</v>
      </c>
      <c r="AZ48" s="67">
        <f>if(AZ$5="","",if('Get Started'!$D32=0,AY48,AZ21*'Get Started'!$D32))</f>
        <v>0</v>
      </c>
      <c r="BA48" s="67">
        <f>if(BA$5="","",if('Get Started'!$D32=0,AZ48,BA21*'Get Started'!$D32))</f>
        <v>0</v>
      </c>
      <c r="BB48" s="67">
        <f>if(BB$5="","",if('Get Started'!$D32=0,BA48,BB21*'Get Started'!$D32))</f>
        <v>0</v>
      </c>
    </row>
    <row r="49">
      <c r="A49" s="1"/>
      <c r="B49" s="1" t="s">
        <v>446</v>
      </c>
      <c r="C49" s="144" t="str">
        <f>'Get Started'!$C$20</f>
        <v>$</v>
      </c>
      <c r="E49" s="1"/>
      <c r="F49" s="1"/>
      <c r="G49" s="79" t="s">
        <v>183</v>
      </c>
      <c r="H49" s="87">
        <f t="shared" si="16"/>
        <v>532777.105</v>
      </c>
      <c r="I49" s="1"/>
      <c r="J49" s="1" t="s">
        <v>447</v>
      </c>
      <c r="K49" s="1"/>
      <c r="L49" s="1"/>
      <c r="M49" s="1"/>
      <c r="N49" s="1"/>
      <c r="O49" s="1"/>
      <c r="P49" s="1"/>
      <c r="Q49" s="1"/>
      <c r="R49" s="70">
        <f t="shared" ref="R49:BB49" si="17">if(R$5="","",SUM(R44:R48))</f>
        <v>0</v>
      </c>
      <c r="S49" s="70">
        <f t="shared" si="17"/>
        <v>500790</v>
      </c>
      <c r="T49" s="70">
        <f t="shared" si="17"/>
        <v>501790</v>
      </c>
      <c r="U49" s="70">
        <f t="shared" si="17"/>
        <v>502790</v>
      </c>
      <c r="V49" s="70">
        <f t="shared" si="17"/>
        <v>503160</v>
      </c>
      <c r="W49" s="70">
        <f t="shared" si="17"/>
        <v>504160</v>
      </c>
      <c r="X49" s="70">
        <f t="shared" si="17"/>
        <v>505160</v>
      </c>
      <c r="Y49" s="70">
        <f t="shared" si="17"/>
        <v>505569.5</v>
      </c>
      <c r="Z49" s="70">
        <f t="shared" si="17"/>
        <v>506619.5</v>
      </c>
      <c r="AA49" s="70">
        <f t="shared" si="17"/>
        <v>507669.5</v>
      </c>
      <c r="AB49" s="70">
        <f t="shared" si="17"/>
        <v>508058</v>
      </c>
      <c r="AC49" s="70">
        <f t="shared" si="17"/>
        <v>509108</v>
      </c>
      <c r="AD49" s="70">
        <f t="shared" si="17"/>
        <v>510158</v>
      </c>
      <c r="AE49" s="70">
        <f t="shared" si="17"/>
        <v>510587.975</v>
      </c>
      <c r="AF49" s="70">
        <f t="shared" si="17"/>
        <v>511690.475</v>
      </c>
      <c r="AG49" s="70">
        <f t="shared" si="17"/>
        <v>512792.975</v>
      </c>
      <c r="AH49" s="70">
        <f t="shared" si="17"/>
        <v>513200.9</v>
      </c>
      <c r="AI49" s="70">
        <f t="shared" si="17"/>
        <v>514303.4</v>
      </c>
      <c r="AJ49" s="70">
        <f t="shared" si="17"/>
        <v>515405.9</v>
      </c>
      <c r="AK49" s="70">
        <f t="shared" si="17"/>
        <v>515857.3738</v>
      </c>
      <c r="AL49" s="70">
        <f t="shared" si="17"/>
        <v>517014.9988</v>
      </c>
      <c r="AM49" s="70">
        <f t="shared" si="17"/>
        <v>518172.6238</v>
      </c>
      <c r="AN49" s="70">
        <f t="shared" si="17"/>
        <v>518600.945</v>
      </c>
      <c r="AO49" s="70">
        <f t="shared" si="17"/>
        <v>519758.57</v>
      </c>
      <c r="AP49" s="70">
        <f t="shared" si="17"/>
        <v>520916.195</v>
      </c>
      <c r="AQ49" s="70">
        <f t="shared" si="17"/>
        <v>521390.2424</v>
      </c>
      <c r="AR49" s="70">
        <f t="shared" si="17"/>
        <v>522605.7487</v>
      </c>
      <c r="AS49" s="70">
        <f t="shared" si="17"/>
        <v>523821.2549</v>
      </c>
      <c r="AT49" s="70">
        <f t="shared" si="17"/>
        <v>524270.9923</v>
      </c>
      <c r="AU49" s="70">
        <f t="shared" si="17"/>
        <v>525486.4985</v>
      </c>
      <c r="AV49" s="70">
        <f t="shared" si="17"/>
        <v>526702.0048</v>
      </c>
      <c r="AW49" s="70">
        <f t="shared" si="17"/>
        <v>527199.7546</v>
      </c>
      <c r="AX49" s="70">
        <f t="shared" si="17"/>
        <v>528476.0361</v>
      </c>
      <c r="AY49" s="70">
        <f t="shared" si="17"/>
        <v>529752.3177</v>
      </c>
      <c r="AZ49" s="70">
        <f t="shared" si="17"/>
        <v>530224.5419</v>
      </c>
      <c r="BA49" s="70">
        <f t="shared" si="17"/>
        <v>531500.8234</v>
      </c>
      <c r="BB49" s="70">
        <f t="shared" si="17"/>
        <v>532777.105</v>
      </c>
    </row>
    <row r="50">
      <c r="A50" s="1"/>
      <c r="B50" s="1"/>
      <c r="C50" s="30"/>
      <c r="E50" s="1"/>
      <c r="F50" s="1"/>
      <c r="G50" s="1"/>
      <c r="H50" s="1"/>
      <c r="I50" s="1"/>
      <c r="J50" s="1"/>
      <c r="K50" s="1"/>
      <c r="L50" s="1"/>
      <c r="M50" s="1"/>
      <c r="N50" s="1"/>
      <c r="O50" s="1"/>
      <c r="P50" s="1"/>
      <c r="Q50" s="1"/>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row>
    <row r="51">
      <c r="A51" s="1"/>
      <c r="B51" s="1" t="s">
        <v>448</v>
      </c>
      <c r="C51" s="144" t="str">
        <f>'Get Started'!$C$20</f>
        <v>$</v>
      </c>
      <c r="E51" s="1"/>
      <c r="F51" s="1"/>
      <c r="G51" s="79" t="s">
        <v>183</v>
      </c>
      <c r="H51" s="87">
        <f t="shared" ref="H51:H53" si="19">if(G51="sum",sum(S51:BB51),if(G51="final",iferror(index(S51:BB51,match(99^99,S51:BB51,1)),0),if(G51="initial",S51,if(G51="average",average(S51:BB51),0))))</f>
        <v>0</v>
      </c>
      <c r="I51" s="1"/>
      <c r="J51" s="1" t="s">
        <v>449</v>
      </c>
      <c r="K51" s="1"/>
      <c r="L51" s="1"/>
      <c r="M51" s="1"/>
      <c r="N51" s="1"/>
      <c r="O51" s="1"/>
      <c r="P51" s="1"/>
      <c r="Q51" s="1"/>
      <c r="R51" s="150">
        <v>0.0</v>
      </c>
      <c r="S51" s="67">
        <f t="shared" ref="S51:BB51" si="18">if(S$5="","",R51+abs(S101))</f>
        <v>0</v>
      </c>
      <c r="T51" s="67">
        <f t="shared" si="18"/>
        <v>0</v>
      </c>
      <c r="U51" s="67">
        <f t="shared" si="18"/>
        <v>0</v>
      </c>
      <c r="V51" s="67">
        <f t="shared" si="18"/>
        <v>0</v>
      </c>
      <c r="W51" s="67">
        <f t="shared" si="18"/>
        <v>0</v>
      </c>
      <c r="X51" s="67">
        <f t="shared" si="18"/>
        <v>0</v>
      </c>
      <c r="Y51" s="67">
        <f t="shared" si="18"/>
        <v>0</v>
      </c>
      <c r="Z51" s="67">
        <f t="shared" si="18"/>
        <v>0</v>
      </c>
      <c r="AA51" s="67">
        <f t="shared" si="18"/>
        <v>0</v>
      </c>
      <c r="AB51" s="67">
        <f t="shared" si="18"/>
        <v>0</v>
      </c>
      <c r="AC51" s="67">
        <f t="shared" si="18"/>
        <v>0</v>
      </c>
      <c r="AD51" s="67">
        <f t="shared" si="18"/>
        <v>0</v>
      </c>
      <c r="AE51" s="67">
        <f t="shared" si="18"/>
        <v>0</v>
      </c>
      <c r="AF51" s="67">
        <f t="shared" si="18"/>
        <v>0</v>
      </c>
      <c r="AG51" s="67">
        <f t="shared" si="18"/>
        <v>0</v>
      </c>
      <c r="AH51" s="67">
        <f t="shared" si="18"/>
        <v>0</v>
      </c>
      <c r="AI51" s="67">
        <f t="shared" si="18"/>
        <v>0</v>
      </c>
      <c r="AJ51" s="67">
        <f t="shared" si="18"/>
        <v>0</v>
      </c>
      <c r="AK51" s="67">
        <f t="shared" si="18"/>
        <v>0</v>
      </c>
      <c r="AL51" s="67">
        <f t="shared" si="18"/>
        <v>0</v>
      </c>
      <c r="AM51" s="67">
        <f t="shared" si="18"/>
        <v>0</v>
      </c>
      <c r="AN51" s="67">
        <f t="shared" si="18"/>
        <v>0</v>
      </c>
      <c r="AO51" s="67">
        <f t="shared" si="18"/>
        <v>0</v>
      </c>
      <c r="AP51" s="67">
        <f t="shared" si="18"/>
        <v>0</v>
      </c>
      <c r="AQ51" s="67">
        <f t="shared" si="18"/>
        <v>0</v>
      </c>
      <c r="AR51" s="67">
        <f t="shared" si="18"/>
        <v>0</v>
      </c>
      <c r="AS51" s="67">
        <f t="shared" si="18"/>
        <v>0</v>
      </c>
      <c r="AT51" s="67">
        <f t="shared" si="18"/>
        <v>0</v>
      </c>
      <c r="AU51" s="67">
        <f t="shared" si="18"/>
        <v>0</v>
      </c>
      <c r="AV51" s="67">
        <f t="shared" si="18"/>
        <v>0</v>
      </c>
      <c r="AW51" s="67">
        <f t="shared" si="18"/>
        <v>0</v>
      </c>
      <c r="AX51" s="67">
        <f t="shared" si="18"/>
        <v>0</v>
      </c>
      <c r="AY51" s="67">
        <f t="shared" si="18"/>
        <v>0</v>
      </c>
      <c r="AZ51" s="67">
        <f t="shared" si="18"/>
        <v>0</v>
      </c>
      <c r="BA51" s="67">
        <f t="shared" si="18"/>
        <v>0</v>
      </c>
      <c r="BB51" s="67">
        <f t="shared" si="18"/>
        <v>0</v>
      </c>
    </row>
    <row r="52">
      <c r="A52" s="1"/>
      <c r="B52" s="1" t="s">
        <v>328</v>
      </c>
      <c r="C52" s="144" t="str">
        <f>'Get Started'!$C$20</f>
        <v>$</v>
      </c>
      <c r="E52" s="1"/>
      <c r="F52" s="1"/>
      <c r="G52" s="79" t="s">
        <v>183</v>
      </c>
      <c r="H52" s="87">
        <f t="shared" si="19"/>
        <v>0</v>
      </c>
      <c r="I52" s="1"/>
      <c r="J52" s="1" t="s">
        <v>450</v>
      </c>
      <c r="K52" s="1"/>
      <c r="L52" s="1"/>
      <c r="M52" s="1"/>
      <c r="N52" s="1"/>
      <c r="O52" s="1"/>
      <c r="P52" s="1"/>
      <c r="Q52" s="1"/>
      <c r="R52" s="150">
        <v>0.0</v>
      </c>
      <c r="S52" s="67">
        <f t="shared" ref="S52:BB52" si="20">if(S$5="","",abs(R52)*-1-S26)</f>
        <v>0</v>
      </c>
      <c r="T52" s="67">
        <f t="shared" si="20"/>
        <v>0</v>
      </c>
      <c r="U52" s="67">
        <f t="shared" si="20"/>
        <v>0</v>
      </c>
      <c r="V52" s="67">
        <f t="shared" si="20"/>
        <v>0</v>
      </c>
      <c r="W52" s="67">
        <f t="shared" si="20"/>
        <v>0</v>
      </c>
      <c r="X52" s="67">
        <f t="shared" si="20"/>
        <v>0</v>
      </c>
      <c r="Y52" s="67">
        <f t="shared" si="20"/>
        <v>0</v>
      </c>
      <c r="Z52" s="67">
        <f t="shared" si="20"/>
        <v>0</v>
      </c>
      <c r="AA52" s="67">
        <f t="shared" si="20"/>
        <v>0</v>
      </c>
      <c r="AB52" s="67">
        <f t="shared" si="20"/>
        <v>0</v>
      </c>
      <c r="AC52" s="67">
        <f t="shared" si="20"/>
        <v>0</v>
      </c>
      <c r="AD52" s="67">
        <f t="shared" si="20"/>
        <v>0</v>
      </c>
      <c r="AE52" s="67">
        <f t="shared" si="20"/>
        <v>0</v>
      </c>
      <c r="AF52" s="67">
        <f t="shared" si="20"/>
        <v>0</v>
      </c>
      <c r="AG52" s="67">
        <f t="shared" si="20"/>
        <v>0</v>
      </c>
      <c r="AH52" s="67">
        <f t="shared" si="20"/>
        <v>0</v>
      </c>
      <c r="AI52" s="67">
        <f t="shared" si="20"/>
        <v>0</v>
      </c>
      <c r="AJ52" s="67">
        <f t="shared" si="20"/>
        <v>0</v>
      </c>
      <c r="AK52" s="67">
        <f t="shared" si="20"/>
        <v>0</v>
      </c>
      <c r="AL52" s="67">
        <f t="shared" si="20"/>
        <v>0</v>
      </c>
      <c r="AM52" s="67">
        <f t="shared" si="20"/>
        <v>0</v>
      </c>
      <c r="AN52" s="67">
        <f t="shared" si="20"/>
        <v>0</v>
      </c>
      <c r="AO52" s="67">
        <f t="shared" si="20"/>
        <v>0</v>
      </c>
      <c r="AP52" s="67">
        <f t="shared" si="20"/>
        <v>0</v>
      </c>
      <c r="AQ52" s="67">
        <f t="shared" si="20"/>
        <v>0</v>
      </c>
      <c r="AR52" s="67">
        <f t="shared" si="20"/>
        <v>0</v>
      </c>
      <c r="AS52" s="67">
        <f t="shared" si="20"/>
        <v>0</v>
      </c>
      <c r="AT52" s="67">
        <f t="shared" si="20"/>
        <v>0</v>
      </c>
      <c r="AU52" s="67">
        <f t="shared" si="20"/>
        <v>0</v>
      </c>
      <c r="AV52" s="67">
        <f t="shared" si="20"/>
        <v>0</v>
      </c>
      <c r="AW52" s="67">
        <f t="shared" si="20"/>
        <v>0</v>
      </c>
      <c r="AX52" s="67">
        <f t="shared" si="20"/>
        <v>0</v>
      </c>
      <c r="AY52" s="67">
        <f t="shared" si="20"/>
        <v>0</v>
      </c>
      <c r="AZ52" s="67">
        <f t="shared" si="20"/>
        <v>0</v>
      </c>
      <c r="BA52" s="67">
        <f t="shared" si="20"/>
        <v>0</v>
      </c>
      <c r="BB52" s="67">
        <f t="shared" si="20"/>
        <v>0</v>
      </c>
    </row>
    <row r="53">
      <c r="A53" s="1"/>
      <c r="B53" s="1" t="s">
        <v>451</v>
      </c>
      <c r="C53" s="144" t="str">
        <f>'Get Started'!$C$20</f>
        <v>$</v>
      </c>
      <c r="E53" s="1"/>
      <c r="F53" s="1"/>
      <c r="G53" s="79" t="s">
        <v>183</v>
      </c>
      <c r="H53" s="87">
        <f t="shared" si="19"/>
        <v>0</v>
      </c>
      <c r="I53" s="1"/>
      <c r="J53" s="1" t="s">
        <v>447</v>
      </c>
      <c r="K53" s="1"/>
      <c r="L53" s="1"/>
      <c r="M53" s="1"/>
      <c r="N53" s="1"/>
      <c r="O53" s="1"/>
      <c r="P53" s="1"/>
      <c r="Q53" s="1"/>
      <c r="R53" s="70">
        <f>SUM(R51:R52)</f>
        <v>0</v>
      </c>
      <c r="S53" s="70">
        <f t="shared" ref="S53:BB53" si="21">if(S$5="","",SUM(S51:S52))</f>
        <v>0</v>
      </c>
      <c r="T53" s="70">
        <f t="shared" si="21"/>
        <v>0</v>
      </c>
      <c r="U53" s="70">
        <f t="shared" si="21"/>
        <v>0</v>
      </c>
      <c r="V53" s="70">
        <f t="shared" si="21"/>
        <v>0</v>
      </c>
      <c r="W53" s="70">
        <f t="shared" si="21"/>
        <v>0</v>
      </c>
      <c r="X53" s="70">
        <f t="shared" si="21"/>
        <v>0</v>
      </c>
      <c r="Y53" s="70">
        <f t="shared" si="21"/>
        <v>0</v>
      </c>
      <c r="Z53" s="70">
        <f t="shared" si="21"/>
        <v>0</v>
      </c>
      <c r="AA53" s="70">
        <f t="shared" si="21"/>
        <v>0</v>
      </c>
      <c r="AB53" s="70">
        <f t="shared" si="21"/>
        <v>0</v>
      </c>
      <c r="AC53" s="70">
        <f t="shared" si="21"/>
        <v>0</v>
      </c>
      <c r="AD53" s="70">
        <f t="shared" si="21"/>
        <v>0</v>
      </c>
      <c r="AE53" s="70">
        <f t="shared" si="21"/>
        <v>0</v>
      </c>
      <c r="AF53" s="70">
        <f t="shared" si="21"/>
        <v>0</v>
      </c>
      <c r="AG53" s="70">
        <f t="shared" si="21"/>
        <v>0</v>
      </c>
      <c r="AH53" s="70">
        <f t="shared" si="21"/>
        <v>0</v>
      </c>
      <c r="AI53" s="70">
        <f t="shared" si="21"/>
        <v>0</v>
      </c>
      <c r="AJ53" s="70">
        <f t="shared" si="21"/>
        <v>0</v>
      </c>
      <c r="AK53" s="70">
        <f t="shared" si="21"/>
        <v>0</v>
      </c>
      <c r="AL53" s="70">
        <f t="shared" si="21"/>
        <v>0</v>
      </c>
      <c r="AM53" s="70">
        <f t="shared" si="21"/>
        <v>0</v>
      </c>
      <c r="AN53" s="70">
        <f t="shared" si="21"/>
        <v>0</v>
      </c>
      <c r="AO53" s="70">
        <f t="shared" si="21"/>
        <v>0</v>
      </c>
      <c r="AP53" s="70">
        <f t="shared" si="21"/>
        <v>0</v>
      </c>
      <c r="AQ53" s="70">
        <f t="shared" si="21"/>
        <v>0</v>
      </c>
      <c r="AR53" s="70">
        <f t="shared" si="21"/>
        <v>0</v>
      </c>
      <c r="AS53" s="70">
        <f t="shared" si="21"/>
        <v>0</v>
      </c>
      <c r="AT53" s="70">
        <f t="shared" si="21"/>
        <v>0</v>
      </c>
      <c r="AU53" s="70">
        <f t="shared" si="21"/>
        <v>0</v>
      </c>
      <c r="AV53" s="70">
        <f t="shared" si="21"/>
        <v>0</v>
      </c>
      <c r="AW53" s="70">
        <f t="shared" si="21"/>
        <v>0</v>
      </c>
      <c r="AX53" s="70">
        <f t="shared" si="21"/>
        <v>0</v>
      </c>
      <c r="AY53" s="70">
        <f t="shared" si="21"/>
        <v>0</v>
      </c>
      <c r="AZ53" s="70">
        <f t="shared" si="21"/>
        <v>0</v>
      </c>
      <c r="BA53" s="70">
        <f t="shared" si="21"/>
        <v>0</v>
      </c>
      <c r="BB53" s="70">
        <f t="shared" si="21"/>
        <v>0</v>
      </c>
    </row>
    <row r="54">
      <c r="A54" s="1"/>
      <c r="B54" s="1"/>
      <c r="C54" s="30"/>
      <c r="E54" s="1"/>
      <c r="F54" s="1"/>
      <c r="G54" s="1"/>
      <c r="H54" s="1"/>
      <c r="I54" s="1"/>
      <c r="J54" s="1"/>
      <c r="K54" s="1"/>
      <c r="L54" s="1"/>
      <c r="M54" s="1"/>
      <c r="N54" s="1"/>
      <c r="O54" s="1"/>
      <c r="P54" s="1"/>
      <c r="Q54" s="1"/>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row>
    <row r="55">
      <c r="A55" s="1"/>
      <c r="B55" s="67" t="str">
        <f>Forecast!D71</f>
        <v>Other Assets</v>
      </c>
      <c r="C55" s="144" t="str">
        <f>'Get Started'!$C$20</f>
        <v>$</v>
      </c>
      <c r="E55" s="1"/>
      <c r="F55" s="1"/>
      <c r="G55" s="79" t="s">
        <v>183</v>
      </c>
      <c r="H55" s="87">
        <f t="shared" ref="H55:H57" si="23">if(G55="sum",sum(S55:BB55),if(G55="final",iferror(index(S55:BB55,match(99^99,S55:BB55,1)),0),if(G55="initial",S55,if(G55="average",average(S55:BB55),0))))</f>
        <v>0</v>
      </c>
      <c r="I55" s="1"/>
      <c r="J55" s="1" t="s">
        <v>452</v>
      </c>
      <c r="K55" s="1"/>
      <c r="L55" s="1"/>
      <c r="M55" s="1"/>
      <c r="N55" s="1"/>
      <c r="O55" s="1"/>
      <c r="P55" s="1"/>
      <c r="Q55" s="1"/>
      <c r="R55" s="151">
        <v>0.0</v>
      </c>
      <c r="S55" s="67">
        <f t="shared" ref="S55:BB55" si="22">if(S$5="","",R55+abs(S102))</f>
        <v>0</v>
      </c>
      <c r="T55" s="67">
        <f t="shared" si="22"/>
        <v>0</v>
      </c>
      <c r="U55" s="67">
        <f t="shared" si="22"/>
        <v>0</v>
      </c>
      <c r="V55" s="67">
        <f t="shared" si="22"/>
        <v>0</v>
      </c>
      <c r="W55" s="67">
        <f t="shared" si="22"/>
        <v>0</v>
      </c>
      <c r="X55" s="67">
        <f t="shared" si="22"/>
        <v>0</v>
      </c>
      <c r="Y55" s="67">
        <f t="shared" si="22"/>
        <v>0</v>
      </c>
      <c r="Z55" s="67">
        <f t="shared" si="22"/>
        <v>0</v>
      </c>
      <c r="AA55" s="67">
        <f t="shared" si="22"/>
        <v>0</v>
      </c>
      <c r="AB55" s="67">
        <f t="shared" si="22"/>
        <v>0</v>
      </c>
      <c r="AC55" s="67">
        <f t="shared" si="22"/>
        <v>0</v>
      </c>
      <c r="AD55" s="67">
        <f t="shared" si="22"/>
        <v>0</v>
      </c>
      <c r="AE55" s="67">
        <f t="shared" si="22"/>
        <v>0</v>
      </c>
      <c r="AF55" s="67">
        <f t="shared" si="22"/>
        <v>0</v>
      </c>
      <c r="AG55" s="67">
        <f t="shared" si="22"/>
        <v>0</v>
      </c>
      <c r="AH55" s="67">
        <f t="shared" si="22"/>
        <v>0</v>
      </c>
      <c r="AI55" s="67">
        <f t="shared" si="22"/>
        <v>0</v>
      </c>
      <c r="AJ55" s="67">
        <f t="shared" si="22"/>
        <v>0</v>
      </c>
      <c r="AK55" s="67">
        <f t="shared" si="22"/>
        <v>0</v>
      </c>
      <c r="AL55" s="67">
        <f t="shared" si="22"/>
        <v>0</v>
      </c>
      <c r="AM55" s="67">
        <f t="shared" si="22"/>
        <v>0</v>
      </c>
      <c r="AN55" s="67">
        <f t="shared" si="22"/>
        <v>0</v>
      </c>
      <c r="AO55" s="67">
        <f t="shared" si="22"/>
        <v>0</v>
      </c>
      <c r="AP55" s="67">
        <f t="shared" si="22"/>
        <v>0</v>
      </c>
      <c r="AQ55" s="67">
        <f t="shared" si="22"/>
        <v>0</v>
      </c>
      <c r="AR55" s="67">
        <f t="shared" si="22"/>
        <v>0</v>
      </c>
      <c r="AS55" s="67">
        <f t="shared" si="22"/>
        <v>0</v>
      </c>
      <c r="AT55" s="67">
        <f t="shared" si="22"/>
        <v>0</v>
      </c>
      <c r="AU55" s="67">
        <f t="shared" si="22"/>
        <v>0</v>
      </c>
      <c r="AV55" s="67">
        <f t="shared" si="22"/>
        <v>0</v>
      </c>
      <c r="AW55" s="67">
        <f t="shared" si="22"/>
        <v>0</v>
      </c>
      <c r="AX55" s="67">
        <f t="shared" si="22"/>
        <v>0</v>
      </c>
      <c r="AY55" s="67">
        <f t="shared" si="22"/>
        <v>0</v>
      </c>
      <c r="AZ55" s="67">
        <f t="shared" si="22"/>
        <v>0</v>
      </c>
      <c r="BA55" s="67">
        <f t="shared" si="22"/>
        <v>0</v>
      </c>
      <c r="BB55" s="67">
        <f t="shared" si="22"/>
        <v>0</v>
      </c>
    </row>
    <row r="56">
      <c r="A56" s="1"/>
      <c r="B56" s="1" t="s">
        <v>453</v>
      </c>
      <c r="C56" s="144" t="str">
        <f>'Get Started'!$C$20</f>
        <v>$</v>
      </c>
      <c r="E56" s="1"/>
      <c r="F56" s="1"/>
      <c r="G56" s="79" t="s">
        <v>183</v>
      </c>
      <c r="H56" s="87">
        <f t="shared" si="23"/>
        <v>0</v>
      </c>
      <c r="I56" s="1"/>
      <c r="J56" s="1" t="s">
        <v>454</v>
      </c>
      <c r="K56" s="1"/>
      <c r="L56" s="1"/>
      <c r="M56" s="1"/>
      <c r="N56" s="1"/>
      <c r="O56" s="1"/>
      <c r="P56" s="1"/>
      <c r="Q56" s="1"/>
      <c r="R56" s="151">
        <v>0.0</v>
      </c>
      <c r="S56" s="67">
        <f t="shared" ref="S56:BB56" si="24">if(S$5="","",abs(R56)*-1-S27)</f>
        <v>0</v>
      </c>
      <c r="T56" s="67">
        <f t="shared" si="24"/>
        <v>0</v>
      </c>
      <c r="U56" s="67">
        <f t="shared" si="24"/>
        <v>0</v>
      </c>
      <c r="V56" s="67">
        <f t="shared" si="24"/>
        <v>0</v>
      </c>
      <c r="W56" s="67">
        <f t="shared" si="24"/>
        <v>0</v>
      </c>
      <c r="X56" s="67">
        <f t="shared" si="24"/>
        <v>0</v>
      </c>
      <c r="Y56" s="67">
        <f t="shared" si="24"/>
        <v>0</v>
      </c>
      <c r="Z56" s="67">
        <f t="shared" si="24"/>
        <v>0</v>
      </c>
      <c r="AA56" s="67">
        <f t="shared" si="24"/>
        <v>0</v>
      </c>
      <c r="AB56" s="67">
        <f t="shared" si="24"/>
        <v>0</v>
      </c>
      <c r="AC56" s="67">
        <f t="shared" si="24"/>
        <v>0</v>
      </c>
      <c r="AD56" s="67">
        <f t="shared" si="24"/>
        <v>0</v>
      </c>
      <c r="AE56" s="67">
        <f t="shared" si="24"/>
        <v>0</v>
      </c>
      <c r="AF56" s="67">
        <f t="shared" si="24"/>
        <v>0</v>
      </c>
      <c r="AG56" s="67">
        <f t="shared" si="24"/>
        <v>0</v>
      </c>
      <c r="AH56" s="67">
        <f t="shared" si="24"/>
        <v>0</v>
      </c>
      <c r="AI56" s="67">
        <f t="shared" si="24"/>
        <v>0</v>
      </c>
      <c r="AJ56" s="67">
        <f t="shared" si="24"/>
        <v>0</v>
      </c>
      <c r="AK56" s="67">
        <f t="shared" si="24"/>
        <v>0</v>
      </c>
      <c r="AL56" s="67">
        <f t="shared" si="24"/>
        <v>0</v>
      </c>
      <c r="AM56" s="67">
        <f t="shared" si="24"/>
        <v>0</v>
      </c>
      <c r="AN56" s="67">
        <f t="shared" si="24"/>
        <v>0</v>
      </c>
      <c r="AO56" s="67">
        <f t="shared" si="24"/>
        <v>0</v>
      </c>
      <c r="AP56" s="67">
        <f t="shared" si="24"/>
        <v>0</v>
      </c>
      <c r="AQ56" s="67">
        <f t="shared" si="24"/>
        <v>0</v>
      </c>
      <c r="AR56" s="67">
        <f t="shared" si="24"/>
        <v>0</v>
      </c>
      <c r="AS56" s="67">
        <f t="shared" si="24"/>
        <v>0</v>
      </c>
      <c r="AT56" s="67">
        <f t="shared" si="24"/>
        <v>0</v>
      </c>
      <c r="AU56" s="67">
        <f t="shared" si="24"/>
        <v>0</v>
      </c>
      <c r="AV56" s="67">
        <f t="shared" si="24"/>
        <v>0</v>
      </c>
      <c r="AW56" s="67">
        <f t="shared" si="24"/>
        <v>0</v>
      </c>
      <c r="AX56" s="67">
        <f t="shared" si="24"/>
        <v>0</v>
      </c>
      <c r="AY56" s="67">
        <f t="shared" si="24"/>
        <v>0</v>
      </c>
      <c r="AZ56" s="67">
        <f t="shared" si="24"/>
        <v>0</v>
      </c>
      <c r="BA56" s="67">
        <f t="shared" si="24"/>
        <v>0</v>
      </c>
      <c r="BB56" s="67">
        <f t="shared" si="24"/>
        <v>0</v>
      </c>
    </row>
    <row r="57">
      <c r="A57" s="1"/>
      <c r="B57" s="1" t="s">
        <v>455</v>
      </c>
      <c r="C57" s="144" t="str">
        <f>'Get Started'!$C$20</f>
        <v>$</v>
      </c>
      <c r="E57" s="1"/>
      <c r="F57" s="1"/>
      <c r="G57" s="79" t="s">
        <v>183</v>
      </c>
      <c r="H57" s="87">
        <f t="shared" si="23"/>
        <v>532777.105</v>
      </c>
      <c r="I57" s="1"/>
      <c r="J57" s="1" t="s">
        <v>447</v>
      </c>
      <c r="K57" s="1"/>
      <c r="L57" s="1"/>
      <c r="M57" s="1"/>
      <c r="N57" s="1"/>
      <c r="O57" s="1"/>
      <c r="P57" s="1"/>
      <c r="Q57" s="1"/>
      <c r="R57" s="70">
        <f>R55+R53+R49+R56</f>
        <v>0</v>
      </c>
      <c r="S57" s="70">
        <f t="shared" ref="S57:BB57" si="25">if(S$5="","",S55+S53+S49+S56)</f>
        <v>500790</v>
      </c>
      <c r="T57" s="70">
        <f t="shared" si="25"/>
        <v>501790</v>
      </c>
      <c r="U57" s="70">
        <f t="shared" si="25"/>
        <v>502790</v>
      </c>
      <c r="V57" s="70">
        <f t="shared" si="25"/>
        <v>503160</v>
      </c>
      <c r="W57" s="70">
        <f t="shared" si="25"/>
        <v>504160</v>
      </c>
      <c r="X57" s="70">
        <f t="shared" si="25"/>
        <v>505160</v>
      </c>
      <c r="Y57" s="70">
        <f t="shared" si="25"/>
        <v>505569.5</v>
      </c>
      <c r="Z57" s="70">
        <f t="shared" si="25"/>
        <v>506619.5</v>
      </c>
      <c r="AA57" s="70">
        <f t="shared" si="25"/>
        <v>507669.5</v>
      </c>
      <c r="AB57" s="70">
        <f t="shared" si="25"/>
        <v>508058</v>
      </c>
      <c r="AC57" s="70">
        <f t="shared" si="25"/>
        <v>509108</v>
      </c>
      <c r="AD57" s="70">
        <f t="shared" si="25"/>
        <v>510158</v>
      </c>
      <c r="AE57" s="70">
        <f t="shared" si="25"/>
        <v>510587.975</v>
      </c>
      <c r="AF57" s="70">
        <f t="shared" si="25"/>
        <v>511690.475</v>
      </c>
      <c r="AG57" s="70">
        <f t="shared" si="25"/>
        <v>512792.975</v>
      </c>
      <c r="AH57" s="70">
        <f t="shared" si="25"/>
        <v>513200.9</v>
      </c>
      <c r="AI57" s="70">
        <f t="shared" si="25"/>
        <v>514303.4</v>
      </c>
      <c r="AJ57" s="70">
        <f t="shared" si="25"/>
        <v>515405.9</v>
      </c>
      <c r="AK57" s="70">
        <f t="shared" si="25"/>
        <v>515857.3738</v>
      </c>
      <c r="AL57" s="70">
        <f t="shared" si="25"/>
        <v>517014.9988</v>
      </c>
      <c r="AM57" s="70">
        <f t="shared" si="25"/>
        <v>518172.6238</v>
      </c>
      <c r="AN57" s="70">
        <f t="shared" si="25"/>
        <v>518600.945</v>
      </c>
      <c r="AO57" s="70">
        <f t="shared" si="25"/>
        <v>519758.57</v>
      </c>
      <c r="AP57" s="70">
        <f t="shared" si="25"/>
        <v>520916.195</v>
      </c>
      <c r="AQ57" s="70">
        <f t="shared" si="25"/>
        <v>521390.2424</v>
      </c>
      <c r="AR57" s="70">
        <f t="shared" si="25"/>
        <v>522605.7487</v>
      </c>
      <c r="AS57" s="70">
        <f t="shared" si="25"/>
        <v>523821.2549</v>
      </c>
      <c r="AT57" s="70">
        <f t="shared" si="25"/>
        <v>524270.9923</v>
      </c>
      <c r="AU57" s="70">
        <f t="shared" si="25"/>
        <v>525486.4985</v>
      </c>
      <c r="AV57" s="70">
        <f t="shared" si="25"/>
        <v>526702.0048</v>
      </c>
      <c r="AW57" s="70">
        <f t="shared" si="25"/>
        <v>527199.7546</v>
      </c>
      <c r="AX57" s="70">
        <f t="shared" si="25"/>
        <v>528476.0361</v>
      </c>
      <c r="AY57" s="70">
        <f t="shared" si="25"/>
        <v>529752.3177</v>
      </c>
      <c r="AZ57" s="70">
        <f t="shared" si="25"/>
        <v>530224.5419</v>
      </c>
      <c r="BA57" s="70">
        <f t="shared" si="25"/>
        <v>531500.8234</v>
      </c>
      <c r="BB57" s="70">
        <f t="shared" si="25"/>
        <v>532777.105</v>
      </c>
    </row>
    <row r="58">
      <c r="A58" s="1"/>
      <c r="B58" s="1"/>
      <c r="C58" s="30"/>
      <c r="E58" s="1"/>
      <c r="F58" s="1"/>
      <c r="G58" s="1"/>
      <c r="H58" s="1"/>
      <c r="I58" s="1"/>
      <c r="J58" s="1"/>
      <c r="K58" s="1"/>
      <c r="L58" s="1"/>
      <c r="M58" s="1"/>
      <c r="N58" s="1"/>
      <c r="O58" s="1"/>
      <c r="P58" s="1"/>
      <c r="Q58" s="1"/>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row>
    <row r="59">
      <c r="A59" s="1"/>
      <c r="B59" s="1" t="s">
        <v>456</v>
      </c>
      <c r="C59" s="30"/>
      <c r="E59" s="1"/>
      <c r="F59" s="1"/>
      <c r="G59" s="1"/>
      <c r="H59" s="1"/>
      <c r="I59" s="1"/>
      <c r="J59" s="1"/>
      <c r="K59" s="1"/>
      <c r="L59" s="1"/>
      <c r="M59" s="1"/>
      <c r="N59" s="1"/>
      <c r="O59" s="1"/>
      <c r="P59" s="1"/>
      <c r="Q59" s="1"/>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row>
    <row r="60">
      <c r="A60" s="1"/>
      <c r="B60" s="1" t="s">
        <v>457</v>
      </c>
      <c r="C60" s="144" t="str">
        <f>'Get Started'!$C$20</f>
        <v>$</v>
      </c>
      <c r="E60" s="1"/>
      <c r="F60" s="1"/>
      <c r="G60" s="79" t="s">
        <v>183</v>
      </c>
      <c r="H60" s="87">
        <f t="shared" ref="H60:H68" si="26">if(G60="sum",sum(S60:BB60),if(G60="final",iferror(index(S60:BB60,match(99^99,S60:BB60,1)),0),if(G60="initial",S60,if(G60="average",average(S60:BB60),0))))</f>
        <v>0</v>
      </c>
      <c r="I60" s="1"/>
      <c r="J60" s="1" t="s">
        <v>458</v>
      </c>
      <c r="K60" s="1"/>
      <c r="L60" s="1"/>
      <c r="M60" s="1"/>
      <c r="N60" s="1"/>
      <c r="O60" s="1"/>
      <c r="P60" s="1"/>
      <c r="Q60" s="1"/>
      <c r="R60" s="150">
        <v>0.0</v>
      </c>
      <c r="S60" s="67">
        <f>if(S$5="","",if('Get Started'!$D32=0,R60,S20*'Get Started'!$D32))</f>
        <v>0</v>
      </c>
      <c r="T60" s="67">
        <f>if(T$5="","",if('Get Started'!$D32=0,S60,T20*'Get Started'!$D32))</f>
        <v>0</v>
      </c>
      <c r="U60" s="67">
        <f>if(U$5="","",if('Get Started'!$D32=0,T60,U20*'Get Started'!$D32))</f>
        <v>0</v>
      </c>
      <c r="V60" s="67">
        <f>if(V$5="","",if('Get Started'!$D32=0,U60,V20*'Get Started'!$D32))</f>
        <v>0</v>
      </c>
      <c r="W60" s="67">
        <f>if(W$5="","",if('Get Started'!$D32=0,V60,W20*'Get Started'!$D32))</f>
        <v>0</v>
      </c>
      <c r="X60" s="67">
        <f>if(X$5="","",if('Get Started'!$D32=0,W60,X20*'Get Started'!$D32))</f>
        <v>0</v>
      </c>
      <c r="Y60" s="67">
        <f>if(Y$5="","",if('Get Started'!$D32=0,X60,Y20*'Get Started'!$D32))</f>
        <v>0</v>
      </c>
      <c r="Z60" s="67">
        <f>if(Z$5="","",if('Get Started'!$D32=0,Y60,Z20*'Get Started'!$D32))</f>
        <v>0</v>
      </c>
      <c r="AA60" s="67">
        <f>if(AA$5="","",if('Get Started'!$D32=0,Z60,AA20*'Get Started'!$D32))</f>
        <v>0</v>
      </c>
      <c r="AB60" s="67">
        <f>if(AB$5="","",if('Get Started'!$D32=0,AA60,AB20*'Get Started'!$D32))</f>
        <v>0</v>
      </c>
      <c r="AC60" s="67">
        <f>if(AC$5="","",if('Get Started'!$D32=0,AB60,AC20*'Get Started'!$D32))</f>
        <v>0</v>
      </c>
      <c r="AD60" s="67">
        <f>if(AD$5="","",if('Get Started'!$D32=0,AC60,AD20*'Get Started'!$D32))</f>
        <v>0</v>
      </c>
      <c r="AE60" s="67">
        <f>if(AE$5="","",if('Get Started'!$D32=0,AD60,AE20*'Get Started'!$D32))</f>
        <v>0</v>
      </c>
      <c r="AF60" s="67">
        <f>if(AF$5="","",if('Get Started'!$D32=0,AE60,AF20*'Get Started'!$D32))</f>
        <v>0</v>
      </c>
      <c r="AG60" s="67">
        <f>if(AG$5="","",if('Get Started'!$D32=0,AF60,AG20*'Get Started'!$D32))</f>
        <v>0</v>
      </c>
      <c r="AH60" s="67">
        <f>if(AH$5="","",if('Get Started'!$D32=0,AG60,AH20*'Get Started'!$D32))</f>
        <v>0</v>
      </c>
      <c r="AI60" s="67">
        <f>if(AI$5="","",if('Get Started'!$D32=0,AH60,AI20*'Get Started'!$D32))</f>
        <v>0</v>
      </c>
      <c r="AJ60" s="67">
        <f>if(AJ$5="","",if('Get Started'!$D32=0,AI60,AJ20*'Get Started'!$D32))</f>
        <v>0</v>
      </c>
      <c r="AK60" s="67">
        <f>if(AK$5="","",if('Get Started'!$D32=0,AJ60,AK20*'Get Started'!$D32))</f>
        <v>0</v>
      </c>
      <c r="AL60" s="67">
        <f>if(AL$5="","",if('Get Started'!$D32=0,AK60,AL20*'Get Started'!$D32))</f>
        <v>0</v>
      </c>
      <c r="AM60" s="67">
        <f>if(AM$5="","",if('Get Started'!$D32=0,AL60,AM20*'Get Started'!$D32))</f>
        <v>0</v>
      </c>
      <c r="AN60" s="67">
        <f>if(AN$5="","",if('Get Started'!$D32=0,AM60,AN20*'Get Started'!$D32))</f>
        <v>0</v>
      </c>
      <c r="AO60" s="67">
        <f>if(AO$5="","",if('Get Started'!$D32=0,AN60,AO20*'Get Started'!$D32))</f>
        <v>0</v>
      </c>
      <c r="AP60" s="67">
        <f>if(AP$5="","",if('Get Started'!$D32=0,AO60,AP20*'Get Started'!$D32))</f>
        <v>0</v>
      </c>
      <c r="AQ60" s="67">
        <f>if(AQ$5="","",if('Get Started'!$D32=0,AP60,AQ20*'Get Started'!$D32))</f>
        <v>0</v>
      </c>
      <c r="AR60" s="67">
        <f>if(AR$5="","",if('Get Started'!$D32=0,AQ60,AR20*'Get Started'!$D32))</f>
        <v>0</v>
      </c>
      <c r="AS60" s="67">
        <f>if(AS$5="","",if('Get Started'!$D32=0,AR60,AS20*'Get Started'!$D32))</f>
        <v>0</v>
      </c>
      <c r="AT60" s="67">
        <f>if(AT$5="","",if('Get Started'!$D32=0,AS60,AT20*'Get Started'!$D32))</f>
        <v>0</v>
      </c>
      <c r="AU60" s="67">
        <f>if(AU$5="","",if('Get Started'!$D32=0,AT60,AU20*'Get Started'!$D32))</f>
        <v>0</v>
      </c>
      <c r="AV60" s="67">
        <f>if(AV$5="","",if('Get Started'!$D32=0,AU60,AV20*'Get Started'!$D32))</f>
        <v>0</v>
      </c>
      <c r="AW60" s="67">
        <f>if(AW$5="","",if('Get Started'!$D32=0,AV60,AW20*'Get Started'!$D32))</f>
        <v>0</v>
      </c>
      <c r="AX60" s="67">
        <f>if(AX$5="","",if('Get Started'!$D32=0,AW60,AX20*'Get Started'!$D32))</f>
        <v>0</v>
      </c>
      <c r="AY60" s="67">
        <f>if(AY$5="","",if('Get Started'!$D32=0,AX60,AY20*'Get Started'!$D32))</f>
        <v>0</v>
      </c>
      <c r="AZ60" s="67">
        <f>if(AZ$5="","",if('Get Started'!$D32=0,AY60,AZ20*'Get Started'!$D32))</f>
        <v>0</v>
      </c>
      <c r="BA60" s="67">
        <f>if(BA$5="","",if('Get Started'!$D32=0,AZ60,BA20*'Get Started'!$D32))</f>
        <v>0</v>
      </c>
      <c r="BB60" s="67">
        <f>if(BB$5="","",if('Get Started'!$D32=0,BA60,BB20*'Get Started'!$D32))</f>
        <v>0</v>
      </c>
    </row>
    <row r="61">
      <c r="A61" s="1"/>
      <c r="B61" s="1" t="s">
        <v>459</v>
      </c>
      <c r="C61" s="144" t="str">
        <f>'Get Started'!$C$20</f>
        <v>$</v>
      </c>
      <c r="E61" s="1"/>
      <c r="F61" s="1"/>
      <c r="G61" s="79" t="s">
        <v>183</v>
      </c>
      <c r="H61" s="87">
        <f t="shared" si="26"/>
        <v>0</v>
      </c>
      <c r="I61" s="1"/>
      <c r="J61" s="1" t="s">
        <v>460</v>
      </c>
      <c r="K61" s="1"/>
      <c r="L61" s="1"/>
      <c r="M61" s="1"/>
      <c r="N61" s="1"/>
      <c r="O61" s="1"/>
      <c r="P61" s="1"/>
      <c r="Q61" s="1"/>
      <c r="R61" s="151">
        <v>0.0</v>
      </c>
      <c r="S61" s="152">
        <f>if(S$5="","",Forecast!T170)</f>
        <v>0</v>
      </c>
      <c r="T61" s="152">
        <f>if(T$5="","",Forecast!U170)</f>
        <v>0</v>
      </c>
      <c r="U61" s="152">
        <f>if(U$5="","",Forecast!V170)</f>
        <v>0</v>
      </c>
      <c r="V61" s="152">
        <f>if(V$5="","",Forecast!W170)</f>
        <v>0</v>
      </c>
      <c r="W61" s="152">
        <f>if(W$5="","",Forecast!X170)</f>
        <v>0</v>
      </c>
      <c r="X61" s="152">
        <f>if(X$5="","",Forecast!Y170)</f>
        <v>0</v>
      </c>
      <c r="Y61" s="152">
        <f>if(Y$5="","",Forecast!Z170)</f>
        <v>0</v>
      </c>
      <c r="Z61" s="152">
        <f>if(Z$5="","",Forecast!AA170)</f>
        <v>0</v>
      </c>
      <c r="AA61" s="152">
        <f>if(AA$5="","",Forecast!AB170)</f>
        <v>0</v>
      </c>
      <c r="AB61" s="152">
        <f>if(AB$5="","",Forecast!AC170)</f>
        <v>0</v>
      </c>
      <c r="AC61" s="152">
        <f>if(AC$5="","",Forecast!AD170)</f>
        <v>0</v>
      </c>
      <c r="AD61" s="152">
        <f>if(AD$5="","",Forecast!AE170)</f>
        <v>0</v>
      </c>
      <c r="AE61" s="152">
        <f>if(AE$5="","",Forecast!AF170)</f>
        <v>0</v>
      </c>
      <c r="AF61" s="152">
        <f>if(AF$5="","",Forecast!AG170)</f>
        <v>0</v>
      </c>
      <c r="AG61" s="152">
        <f>if(AG$5="","",Forecast!AH170)</f>
        <v>0</v>
      </c>
      <c r="AH61" s="152">
        <f>if(AH$5="","",Forecast!AI170)</f>
        <v>0</v>
      </c>
      <c r="AI61" s="152">
        <f>if(AI$5="","",Forecast!AJ170)</f>
        <v>0</v>
      </c>
      <c r="AJ61" s="152">
        <f>if(AJ$5="","",Forecast!AK170)</f>
        <v>0</v>
      </c>
      <c r="AK61" s="152">
        <f>if(AK$5="","",Forecast!AL170)</f>
        <v>0</v>
      </c>
      <c r="AL61" s="152">
        <f>if(AL$5="","",Forecast!AM170)</f>
        <v>0</v>
      </c>
      <c r="AM61" s="152">
        <f>if(AM$5="","",Forecast!AN170)</f>
        <v>0</v>
      </c>
      <c r="AN61" s="152">
        <f>if(AN$5="","",Forecast!AO170)</f>
        <v>0</v>
      </c>
      <c r="AO61" s="152">
        <f>if(AO$5="","",Forecast!AP170)</f>
        <v>0</v>
      </c>
      <c r="AP61" s="152">
        <f>if(AP$5="","",Forecast!AQ170)</f>
        <v>0</v>
      </c>
      <c r="AQ61" s="152">
        <f>if(AQ$5="","",Forecast!AR170)</f>
        <v>0</v>
      </c>
      <c r="AR61" s="152">
        <f>if(AR$5="","",Forecast!AS170)</f>
        <v>0</v>
      </c>
      <c r="AS61" s="152">
        <f>if(AS$5="","",Forecast!AT170)</f>
        <v>0</v>
      </c>
      <c r="AT61" s="152">
        <f>if(AT$5="","",Forecast!AU170)</f>
        <v>0</v>
      </c>
      <c r="AU61" s="152">
        <f>if(AU$5="","",Forecast!AV170)</f>
        <v>0</v>
      </c>
      <c r="AV61" s="152">
        <f>if(AV$5="","",Forecast!AW170)</f>
        <v>0</v>
      </c>
      <c r="AW61" s="152">
        <f>if(AW$5="","",Forecast!AX170)</f>
        <v>0</v>
      </c>
      <c r="AX61" s="152">
        <f>if(AX$5="","",Forecast!AY170)</f>
        <v>0</v>
      </c>
      <c r="AY61" s="152">
        <f>if(AY$5="","",Forecast!AZ170)</f>
        <v>0</v>
      </c>
      <c r="AZ61" s="152">
        <f>if(AZ$5="","",Forecast!BA170)</f>
        <v>0</v>
      </c>
      <c r="BA61" s="152">
        <f>if(BA$5="","",Forecast!BB170)</f>
        <v>0</v>
      </c>
      <c r="BB61" s="152">
        <f>if(BB$5="","",Forecast!BC170)</f>
        <v>0</v>
      </c>
    </row>
    <row r="62">
      <c r="A62" s="1"/>
      <c r="B62" s="1" t="s">
        <v>461</v>
      </c>
      <c r="C62" s="144" t="str">
        <f>'Get Started'!$C$20</f>
        <v>$</v>
      </c>
      <c r="E62" s="1"/>
      <c r="F62" s="1"/>
      <c r="G62" s="79" t="s">
        <v>183</v>
      </c>
      <c r="H62" s="87">
        <f t="shared" si="26"/>
        <v>0</v>
      </c>
      <c r="I62" s="1"/>
      <c r="J62" s="22" t="s">
        <v>462</v>
      </c>
      <c r="K62" s="1"/>
      <c r="L62" s="1"/>
      <c r="M62" s="1"/>
      <c r="N62" s="1"/>
      <c r="O62" s="1"/>
      <c r="P62" s="1"/>
      <c r="Q62" s="1"/>
      <c r="R62" s="150">
        <v>0.0</v>
      </c>
      <c r="S62" s="67">
        <f>Forecast!T115</f>
        <v>0</v>
      </c>
      <c r="T62" s="67">
        <f>Forecast!U115</f>
        <v>0</v>
      </c>
      <c r="U62" s="67">
        <f>Forecast!V115</f>
        <v>0</v>
      </c>
      <c r="V62" s="67">
        <f>Forecast!W115</f>
        <v>0</v>
      </c>
      <c r="W62" s="67">
        <f>Forecast!X115</f>
        <v>0</v>
      </c>
      <c r="X62" s="67">
        <f>Forecast!Y115</f>
        <v>0</v>
      </c>
      <c r="Y62" s="67">
        <f>Forecast!Z115</f>
        <v>0</v>
      </c>
      <c r="Z62" s="67">
        <f>Forecast!AA115</f>
        <v>0</v>
      </c>
      <c r="AA62" s="67">
        <f>Forecast!AB115</f>
        <v>0</v>
      </c>
      <c r="AB62" s="67">
        <f>Forecast!AC115</f>
        <v>0</v>
      </c>
      <c r="AC62" s="67">
        <f>Forecast!AD115</f>
        <v>0</v>
      </c>
      <c r="AD62" s="67">
        <f>Forecast!AE115</f>
        <v>0</v>
      </c>
      <c r="AE62" s="67">
        <f>Forecast!AF115</f>
        <v>0</v>
      </c>
      <c r="AF62" s="67">
        <f>Forecast!AG115</f>
        <v>0</v>
      </c>
      <c r="AG62" s="67">
        <f>Forecast!AH115</f>
        <v>0</v>
      </c>
      <c r="AH62" s="67">
        <f>Forecast!AI115</f>
        <v>0</v>
      </c>
      <c r="AI62" s="67">
        <f>Forecast!AJ115</f>
        <v>0</v>
      </c>
      <c r="AJ62" s="67">
        <f>Forecast!AK115</f>
        <v>0</v>
      </c>
      <c r="AK62" s="67">
        <f>Forecast!AL115</f>
        <v>0</v>
      </c>
      <c r="AL62" s="67">
        <f>Forecast!AM115</f>
        <v>0</v>
      </c>
      <c r="AM62" s="67">
        <f>Forecast!AN115</f>
        <v>0</v>
      </c>
      <c r="AN62" s="67">
        <f>Forecast!AO115</f>
        <v>0</v>
      </c>
      <c r="AO62" s="67">
        <f>Forecast!AP115</f>
        <v>0</v>
      </c>
      <c r="AP62" s="67">
        <f>Forecast!AQ115</f>
        <v>0</v>
      </c>
      <c r="AQ62" s="67">
        <f>Forecast!AR115</f>
        <v>0</v>
      </c>
      <c r="AR62" s="67">
        <f>Forecast!AS115</f>
        <v>0</v>
      </c>
      <c r="AS62" s="67">
        <f>Forecast!AT115</f>
        <v>0</v>
      </c>
      <c r="AT62" s="67">
        <f>Forecast!AU115</f>
        <v>0</v>
      </c>
      <c r="AU62" s="67">
        <f>Forecast!AV115</f>
        <v>0</v>
      </c>
      <c r="AV62" s="67">
        <f>Forecast!AW115</f>
        <v>0</v>
      </c>
      <c r="AW62" s="67">
        <f>Forecast!AX115</f>
        <v>0</v>
      </c>
      <c r="AX62" s="67">
        <f>Forecast!AY115</f>
        <v>0</v>
      </c>
      <c r="AY62" s="67">
        <f>Forecast!AZ115</f>
        <v>0</v>
      </c>
      <c r="AZ62" s="67">
        <f>Forecast!BA115</f>
        <v>0</v>
      </c>
      <c r="BA62" s="67">
        <f>Forecast!BB115</f>
        <v>0</v>
      </c>
      <c r="BB62" s="67">
        <f>Forecast!BC115</f>
        <v>0</v>
      </c>
    </row>
    <row r="63">
      <c r="A63" s="1"/>
      <c r="B63" s="1" t="s">
        <v>463</v>
      </c>
      <c r="C63" s="144" t="str">
        <f>'Get Started'!$C$20</f>
        <v>$</v>
      </c>
      <c r="E63" s="1"/>
      <c r="F63" s="1"/>
      <c r="G63" s="79" t="s">
        <v>183</v>
      </c>
      <c r="H63" s="87">
        <f t="shared" si="26"/>
        <v>0</v>
      </c>
      <c r="I63" s="1"/>
      <c r="J63" s="1" t="s">
        <v>464</v>
      </c>
      <c r="K63" s="1"/>
      <c r="L63" s="1"/>
      <c r="M63" s="1"/>
      <c r="N63" s="1"/>
      <c r="O63" s="1"/>
      <c r="P63" s="1"/>
      <c r="Q63" s="1"/>
      <c r="R63" s="150">
        <v>0.0</v>
      </c>
      <c r="S63" s="67">
        <f>if(S$5="","",if('Get Started'!$D33=0,R63,S20*'Get Started'!$D33))</f>
        <v>0</v>
      </c>
      <c r="T63" s="67">
        <f>if(T$5="","",if('Get Started'!$D33=0,S63,T20*'Get Started'!$D33))</f>
        <v>0</v>
      </c>
      <c r="U63" s="67">
        <f>if(U$5="","",if('Get Started'!$D33=0,T63,U20*'Get Started'!$D33))</f>
        <v>0</v>
      </c>
      <c r="V63" s="67">
        <f>if(V$5="","",if('Get Started'!$D33=0,U63,V20*'Get Started'!$D33))</f>
        <v>0</v>
      </c>
      <c r="W63" s="67">
        <f>if(W$5="","",if('Get Started'!$D33=0,V63,W20*'Get Started'!$D33))</f>
        <v>0</v>
      </c>
      <c r="X63" s="67">
        <f>if(X$5="","",if('Get Started'!$D33=0,W63,X20*'Get Started'!$D33))</f>
        <v>0</v>
      </c>
      <c r="Y63" s="67">
        <f>if(Y$5="","",if('Get Started'!$D33=0,X63,Y20*'Get Started'!$D33))</f>
        <v>0</v>
      </c>
      <c r="Z63" s="67">
        <f>if(Z$5="","",if('Get Started'!$D33=0,Y63,Z20*'Get Started'!$D33))</f>
        <v>0</v>
      </c>
      <c r="AA63" s="67">
        <f>if(AA$5="","",if('Get Started'!$D33=0,Z63,AA20*'Get Started'!$D33))</f>
        <v>0</v>
      </c>
      <c r="AB63" s="67">
        <f>if(AB$5="","",if('Get Started'!$D33=0,AA63,AB20*'Get Started'!$D33))</f>
        <v>0</v>
      </c>
      <c r="AC63" s="67">
        <f>if(AC$5="","",if('Get Started'!$D33=0,AB63,AC20*'Get Started'!$D33))</f>
        <v>0</v>
      </c>
      <c r="AD63" s="67">
        <f>if(AD$5="","",if('Get Started'!$D33=0,AC63,AD20*'Get Started'!$D33))</f>
        <v>0</v>
      </c>
      <c r="AE63" s="67">
        <f>if(AE$5="","",if('Get Started'!$D33=0,AD63,AE20*'Get Started'!$D33))</f>
        <v>0</v>
      </c>
      <c r="AF63" s="67">
        <f>if(AF$5="","",if('Get Started'!$D33=0,AE63,AF20*'Get Started'!$D33))</f>
        <v>0</v>
      </c>
      <c r="AG63" s="67">
        <f>if(AG$5="","",if('Get Started'!$D33=0,AF63,AG20*'Get Started'!$D33))</f>
        <v>0</v>
      </c>
      <c r="AH63" s="67">
        <f>if(AH$5="","",if('Get Started'!$D33=0,AG63,AH20*'Get Started'!$D33))</f>
        <v>0</v>
      </c>
      <c r="AI63" s="67">
        <f>if(AI$5="","",if('Get Started'!$D33=0,AH63,AI20*'Get Started'!$D33))</f>
        <v>0</v>
      </c>
      <c r="AJ63" s="67">
        <f>if(AJ$5="","",if('Get Started'!$D33=0,AI63,AJ20*'Get Started'!$D33))</f>
        <v>0</v>
      </c>
      <c r="AK63" s="67">
        <f>if(AK$5="","",if('Get Started'!$D33=0,AJ63,AK20*'Get Started'!$D33))</f>
        <v>0</v>
      </c>
      <c r="AL63" s="67">
        <f>if(AL$5="","",if('Get Started'!$D33=0,AK63,AL20*'Get Started'!$D33))</f>
        <v>0</v>
      </c>
      <c r="AM63" s="67">
        <f>if(AM$5="","",if('Get Started'!$D33=0,AL63,AM20*'Get Started'!$D33))</f>
        <v>0</v>
      </c>
      <c r="AN63" s="67">
        <f>if(AN$5="","",if('Get Started'!$D33=0,AM63,AN20*'Get Started'!$D33))</f>
        <v>0</v>
      </c>
      <c r="AO63" s="67">
        <f>if(AO$5="","",if('Get Started'!$D33=0,AN63,AO20*'Get Started'!$D33))</f>
        <v>0</v>
      </c>
      <c r="AP63" s="67">
        <f>if(AP$5="","",if('Get Started'!$D33=0,AO63,AP20*'Get Started'!$D33))</f>
        <v>0</v>
      </c>
      <c r="AQ63" s="67">
        <f>if(AQ$5="","",if('Get Started'!$D33=0,AP63,AQ20*'Get Started'!$D33))</f>
        <v>0</v>
      </c>
      <c r="AR63" s="67">
        <f>if(AR$5="","",if('Get Started'!$D33=0,AQ63,AR20*'Get Started'!$D33))</f>
        <v>0</v>
      </c>
      <c r="AS63" s="67">
        <f>if(AS$5="","",if('Get Started'!$D33=0,AR63,AS20*'Get Started'!$D33))</f>
        <v>0</v>
      </c>
      <c r="AT63" s="67">
        <f>if(AT$5="","",if('Get Started'!$D33=0,AS63,AT20*'Get Started'!$D33))</f>
        <v>0</v>
      </c>
      <c r="AU63" s="67">
        <f>if(AU$5="","",if('Get Started'!$D33=0,AT63,AU20*'Get Started'!$D33))</f>
        <v>0</v>
      </c>
      <c r="AV63" s="67">
        <f>if(AV$5="","",if('Get Started'!$D33=0,AU63,AV20*'Get Started'!$D33))</f>
        <v>0</v>
      </c>
      <c r="AW63" s="67">
        <f>if(AW$5="","",if('Get Started'!$D33=0,AV63,AW20*'Get Started'!$D33))</f>
        <v>0</v>
      </c>
      <c r="AX63" s="67">
        <f>if(AX$5="","",if('Get Started'!$D33=0,AW63,AX20*'Get Started'!$D33))</f>
        <v>0</v>
      </c>
      <c r="AY63" s="67">
        <f>if(AY$5="","",if('Get Started'!$D33=0,AX63,AY20*'Get Started'!$D33))</f>
        <v>0</v>
      </c>
      <c r="AZ63" s="67">
        <f>if(AZ$5="","",if('Get Started'!$D33=0,AY63,AZ20*'Get Started'!$D33))</f>
        <v>0</v>
      </c>
      <c r="BA63" s="67">
        <f>if(BA$5="","",if('Get Started'!$D33=0,AZ63,BA20*'Get Started'!$D33))</f>
        <v>0</v>
      </c>
      <c r="BB63" s="67">
        <f>if(BB$5="","",if('Get Started'!$D33=0,BA63,BB20*'Get Started'!$D33))</f>
        <v>0</v>
      </c>
    </row>
    <row r="64">
      <c r="A64" s="1"/>
      <c r="B64" s="1" t="s">
        <v>456</v>
      </c>
      <c r="C64" s="144" t="str">
        <f>'Get Started'!$C$20</f>
        <v>$</v>
      </c>
      <c r="E64" s="1"/>
      <c r="F64" s="1"/>
      <c r="G64" s="79" t="s">
        <v>183</v>
      </c>
      <c r="H64" s="87">
        <f t="shared" si="26"/>
        <v>0</v>
      </c>
      <c r="I64" s="1"/>
      <c r="J64" s="22" t="s">
        <v>465</v>
      </c>
      <c r="K64" s="1"/>
      <c r="L64" s="1"/>
      <c r="M64" s="1"/>
      <c r="N64" s="1"/>
      <c r="O64" s="1"/>
      <c r="P64" s="1"/>
      <c r="Q64" s="1"/>
      <c r="R64" s="150">
        <v>0.0</v>
      </c>
      <c r="S64" s="67">
        <f>if(S$5="","",R64+Forecast!T89)</f>
        <v>0</v>
      </c>
      <c r="T64" s="67">
        <f>if(T$5="","",S64+Forecast!U89)</f>
        <v>0</v>
      </c>
      <c r="U64" s="67">
        <f>if(U$5="","",T64+Forecast!V89)</f>
        <v>0</v>
      </c>
      <c r="V64" s="67">
        <f>if(V$5="","",U64+Forecast!W89)</f>
        <v>0</v>
      </c>
      <c r="W64" s="67">
        <f>if(W$5="","",V64+Forecast!X89)</f>
        <v>0</v>
      </c>
      <c r="X64" s="67">
        <f>if(X$5="","",W64+Forecast!Y89)</f>
        <v>0</v>
      </c>
      <c r="Y64" s="67">
        <f>if(Y$5="","",X64+Forecast!Z89)</f>
        <v>0</v>
      </c>
      <c r="Z64" s="67">
        <f>if(Z$5="","",Y64+Forecast!AA89)</f>
        <v>0</v>
      </c>
      <c r="AA64" s="67">
        <f>if(AA$5="","",Z64+Forecast!AB89)</f>
        <v>0</v>
      </c>
      <c r="AB64" s="67">
        <f>if(AB$5="","",AA64+Forecast!AC89)</f>
        <v>0</v>
      </c>
      <c r="AC64" s="67">
        <f>if(AC$5="","",AB64+Forecast!AD89)</f>
        <v>0</v>
      </c>
      <c r="AD64" s="67">
        <f>if(AD$5="","",AC64+Forecast!AE89)</f>
        <v>0</v>
      </c>
      <c r="AE64" s="67">
        <f>if(AE$5="","",AD64+Forecast!AF89)</f>
        <v>0</v>
      </c>
      <c r="AF64" s="67">
        <f>if(AF$5="","",AE64+Forecast!AG89)</f>
        <v>0</v>
      </c>
      <c r="AG64" s="67">
        <f>if(AG$5="","",AF64+Forecast!AH89)</f>
        <v>0</v>
      </c>
      <c r="AH64" s="67">
        <f>if(AH$5="","",AG64+Forecast!AI89)</f>
        <v>0</v>
      </c>
      <c r="AI64" s="67">
        <f>if(AI$5="","",AH64+Forecast!AJ89)</f>
        <v>0</v>
      </c>
      <c r="AJ64" s="67">
        <f>if(AJ$5="","",AI64+Forecast!AK89)</f>
        <v>0</v>
      </c>
      <c r="AK64" s="67">
        <f>if(AK$5="","",AJ64+Forecast!AL89)</f>
        <v>0</v>
      </c>
      <c r="AL64" s="67">
        <f>if(AL$5="","",AK64+Forecast!AM89)</f>
        <v>0</v>
      </c>
      <c r="AM64" s="67">
        <f>if(AM$5="","",AL64+Forecast!AN89)</f>
        <v>0</v>
      </c>
      <c r="AN64" s="67">
        <f>if(AN$5="","",AM64+Forecast!AO89)</f>
        <v>0</v>
      </c>
      <c r="AO64" s="67">
        <f>if(AO$5="","",AN64+Forecast!AP89)</f>
        <v>0</v>
      </c>
      <c r="AP64" s="67">
        <f>if(AP$5="","",AO64+Forecast!AQ89)</f>
        <v>0</v>
      </c>
      <c r="AQ64" s="67">
        <f>if(AQ$5="","",AP64+Forecast!AR89)</f>
        <v>0</v>
      </c>
      <c r="AR64" s="67">
        <f>if(AR$5="","",AQ64+Forecast!AS89)</f>
        <v>0</v>
      </c>
      <c r="AS64" s="67">
        <f>if(AS$5="","",AR64+Forecast!AT89)</f>
        <v>0</v>
      </c>
      <c r="AT64" s="67">
        <f>if(AT$5="","",AS64+Forecast!AU89)</f>
        <v>0</v>
      </c>
      <c r="AU64" s="67">
        <f>if(AU$5="","",AT64+Forecast!AV89)</f>
        <v>0</v>
      </c>
      <c r="AV64" s="67">
        <f>if(AV$5="","",AU64+Forecast!AW89)</f>
        <v>0</v>
      </c>
      <c r="AW64" s="67">
        <f>if(AW$5="","",AV64+Forecast!AX89)</f>
        <v>0</v>
      </c>
      <c r="AX64" s="67">
        <f>if(AX$5="","",AW64+Forecast!AY89)</f>
        <v>0</v>
      </c>
      <c r="AY64" s="67">
        <f>if(AY$5="","",AX64+Forecast!AZ89)</f>
        <v>0</v>
      </c>
      <c r="AZ64" s="67">
        <f>if(AZ$5="","",AY64+Forecast!BA89)</f>
        <v>0</v>
      </c>
      <c r="BA64" s="67">
        <f>if(BA$5="","",AZ64+Forecast!BB89)</f>
        <v>0</v>
      </c>
      <c r="BB64" s="67">
        <f>if(BB$5="","",BA64+Forecast!BC89)</f>
        <v>0</v>
      </c>
    </row>
    <row r="65">
      <c r="A65" s="1"/>
      <c r="B65" s="1" t="s">
        <v>466</v>
      </c>
      <c r="C65" s="144" t="str">
        <f>'Get Started'!$C$20</f>
        <v>$</v>
      </c>
      <c r="E65" s="1"/>
      <c r="F65" s="1"/>
      <c r="G65" s="79" t="s">
        <v>183</v>
      </c>
      <c r="H65" s="87">
        <f t="shared" si="26"/>
        <v>536.0382563</v>
      </c>
      <c r="I65" s="1"/>
      <c r="J65" s="1" t="s">
        <v>467</v>
      </c>
      <c r="K65" s="1"/>
      <c r="L65" s="1"/>
      <c r="M65" s="1"/>
      <c r="N65" s="1"/>
      <c r="O65" s="1"/>
      <c r="P65" s="1"/>
      <c r="Q65" s="1"/>
      <c r="R65" s="151">
        <v>0.0</v>
      </c>
      <c r="S65" s="67">
        <f>Forecast!T142</f>
        <v>0</v>
      </c>
      <c r="T65" s="67">
        <f>Forecast!U142</f>
        <v>210</v>
      </c>
      <c r="U65" s="67">
        <f>Forecast!V142</f>
        <v>420</v>
      </c>
      <c r="V65" s="67">
        <f>Forecast!W142</f>
        <v>0</v>
      </c>
      <c r="W65" s="67">
        <f>Forecast!X142</f>
        <v>210</v>
      </c>
      <c r="X65" s="67">
        <f>Forecast!Y142</f>
        <v>420</v>
      </c>
      <c r="Y65" s="67">
        <f>Forecast!Z142</f>
        <v>0</v>
      </c>
      <c r="Z65" s="67">
        <f>Forecast!AA142</f>
        <v>220.5</v>
      </c>
      <c r="AA65" s="67">
        <f>Forecast!AB142</f>
        <v>441</v>
      </c>
      <c r="AB65" s="67">
        <f>Forecast!AC142</f>
        <v>0</v>
      </c>
      <c r="AC65" s="67">
        <f>Forecast!AD142</f>
        <v>220.5</v>
      </c>
      <c r="AD65" s="67">
        <f>Forecast!AE142</f>
        <v>441</v>
      </c>
      <c r="AE65" s="67">
        <f>Forecast!AF142</f>
        <v>0</v>
      </c>
      <c r="AF65" s="67">
        <f>Forecast!AG142</f>
        <v>231.525</v>
      </c>
      <c r="AG65" s="67">
        <f>Forecast!AH142</f>
        <v>463.05</v>
      </c>
      <c r="AH65" s="67">
        <f>Forecast!AI142</f>
        <v>0</v>
      </c>
      <c r="AI65" s="67">
        <f>Forecast!AJ142</f>
        <v>231.525</v>
      </c>
      <c r="AJ65" s="67">
        <f>Forecast!AK142</f>
        <v>463.05</v>
      </c>
      <c r="AK65" s="67">
        <f>Forecast!AL142</f>
        <v>0</v>
      </c>
      <c r="AL65" s="67">
        <f>Forecast!AM142</f>
        <v>243.10125</v>
      </c>
      <c r="AM65" s="67">
        <f>Forecast!AN142</f>
        <v>486.2025</v>
      </c>
      <c r="AN65" s="67">
        <f>Forecast!AO142</f>
        <v>0</v>
      </c>
      <c r="AO65" s="67">
        <f>Forecast!AP142</f>
        <v>243.10125</v>
      </c>
      <c r="AP65" s="67">
        <f>Forecast!AQ142</f>
        <v>486.2025</v>
      </c>
      <c r="AQ65" s="67">
        <f>Forecast!AR142</f>
        <v>0</v>
      </c>
      <c r="AR65" s="67">
        <f>Forecast!AS142</f>
        <v>255.2563125</v>
      </c>
      <c r="AS65" s="67">
        <f>Forecast!AT142</f>
        <v>510.512625</v>
      </c>
      <c r="AT65" s="67">
        <f>Forecast!AU142</f>
        <v>0</v>
      </c>
      <c r="AU65" s="67">
        <f>Forecast!AV142</f>
        <v>255.2563125</v>
      </c>
      <c r="AV65" s="67">
        <f>Forecast!AW142</f>
        <v>510.512625</v>
      </c>
      <c r="AW65" s="67">
        <f>Forecast!AX142</f>
        <v>0</v>
      </c>
      <c r="AX65" s="67">
        <f>Forecast!AY142</f>
        <v>268.0191281</v>
      </c>
      <c r="AY65" s="67">
        <f>Forecast!AZ142</f>
        <v>536.0382563</v>
      </c>
      <c r="AZ65" s="67">
        <f>Forecast!BA142</f>
        <v>0</v>
      </c>
      <c r="BA65" s="67">
        <f>Forecast!BB142</f>
        <v>268.0191281</v>
      </c>
      <c r="BB65" s="67">
        <f>Forecast!BC142</f>
        <v>536.0382563</v>
      </c>
    </row>
    <row r="66">
      <c r="A66" s="1"/>
      <c r="B66" s="1" t="s">
        <v>468</v>
      </c>
      <c r="C66" s="144" t="str">
        <f>'Get Started'!$C$20</f>
        <v>$</v>
      </c>
      <c r="E66" s="1"/>
      <c r="F66" s="1"/>
      <c r="G66" s="79" t="s">
        <v>183</v>
      </c>
      <c r="H66" s="87">
        <f t="shared" si="26"/>
        <v>0</v>
      </c>
      <c r="I66" s="1"/>
      <c r="J66" s="1" t="s">
        <v>469</v>
      </c>
      <c r="K66" s="1"/>
      <c r="L66" s="1"/>
      <c r="M66" s="1"/>
      <c r="N66" s="1"/>
      <c r="O66" s="1"/>
      <c r="P66" s="1"/>
      <c r="Q66" s="1"/>
      <c r="R66" s="151">
        <v>0.0</v>
      </c>
      <c r="S66" s="67">
        <f>Forecast!T149</f>
        <v>0</v>
      </c>
      <c r="T66" s="67">
        <f>Forecast!U149</f>
        <v>0</v>
      </c>
      <c r="U66" s="67">
        <f>Forecast!V149</f>
        <v>0</v>
      </c>
      <c r="V66" s="67">
        <f>Forecast!W149</f>
        <v>0</v>
      </c>
      <c r="W66" s="67">
        <f>Forecast!X149</f>
        <v>0</v>
      </c>
      <c r="X66" s="67">
        <f>Forecast!Y149</f>
        <v>0</v>
      </c>
      <c r="Y66" s="67">
        <f>Forecast!Z149</f>
        <v>0</v>
      </c>
      <c r="Z66" s="67">
        <f>Forecast!AA149</f>
        <v>0</v>
      </c>
      <c r="AA66" s="67">
        <f>Forecast!AB149</f>
        <v>0</v>
      </c>
      <c r="AB66" s="67">
        <f>Forecast!AC149</f>
        <v>0</v>
      </c>
      <c r="AC66" s="67">
        <f>Forecast!AD149</f>
        <v>0</v>
      </c>
      <c r="AD66" s="67">
        <f>Forecast!AE149</f>
        <v>0</v>
      </c>
      <c r="AE66" s="67">
        <f>Forecast!AF149</f>
        <v>0</v>
      </c>
      <c r="AF66" s="67">
        <f>Forecast!AG149</f>
        <v>0</v>
      </c>
      <c r="AG66" s="67">
        <f>Forecast!AH149</f>
        <v>0</v>
      </c>
      <c r="AH66" s="67">
        <f>Forecast!AI149</f>
        <v>0</v>
      </c>
      <c r="AI66" s="67">
        <f>Forecast!AJ149</f>
        <v>0</v>
      </c>
      <c r="AJ66" s="67">
        <f>Forecast!AK149</f>
        <v>0</v>
      </c>
      <c r="AK66" s="67">
        <f>Forecast!AL149</f>
        <v>0</v>
      </c>
      <c r="AL66" s="67">
        <f>Forecast!AM149</f>
        <v>0</v>
      </c>
      <c r="AM66" s="67">
        <f>Forecast!AN149</f>
        <v>0</v>
      </c>
      <c r="AN66" s="67">
        <f>Forecast!AO149</f>
        <v>0</v>
      </c>
      <c r="AO66" s="67">
        <f>Forecast!AP149</f>
        <v>0</v>
      </c>
      <c r="AP66" s="67">
        <f>Forecast!AQ149</f>
        <v>0</v>
      </c>
      <c r="AQ66" s="67">
        <f>Forecast!AR149</f>
        <v>0</v>
      </c>
      <c r="AR66" s="67">
        <f>Forecast!AS149</f>
        <v>0</v>
      </c>
      <c r="AS66" s="67">
        <f>Forecast!AT149</f>
        <v>0</v>
      </c>
      <c r="AT66" s="67">
        <f>Forecast!AU149</f>
        <v>0</v>
      </c>
      <c r="AU66" s="67">
        <f>Forecast!AV149</f>
        <v>0</v>
      </c>
      <c r="AV66" s="67">
        <f>Forecast!AW149</f>
        <v>0</v>
      </c>
      <c r="AW66" s="67">
        <f>Forecast!AX149</f>
        <v>0</v>
      </c>
      <c r="AX66" s="67">
        <f>Forecast!AY149</f>
        <v>0</v>
      </c>
      <c r="AY66" s="67">
        <f>Forecast!AZ149</f>
        <v>0</v>
      </c>
      <c r="AZ66" s="67">
        <f>Forecast!BA149</f>
        <v>0</v>
      </c>
      <c r="BA66" s="67">
        <f>Forecast!BB149</f>
        <v>0</v>
      </c>
      <c r="BB66" s="67">
        <f>Forecast!BC149</f>
        <v>0</v>
      </c>
    </row>
    <row r="67">
      <c r="A67" s="1"/>
      <c r="B67" s="1" t="s">
        <v>470</v>
      </c>
      <c r="C67" s="144" t="str">
        <f>'Get Started'!$C$20</f>
        <v>$</v>
      </c>
      <c r="E67" s="1"/>
      <c r="F67" s="1"/>
      <c r="G67" s="79" t="s">
        <v>183</v>
      </c>
      <c r="H67" s="87">
        <f t="shared" si="26"/>
        <v>0</v>
      </c>
      <c r="I67" s="1"/>
      <c r="J67" s="22" t="s">
        <v>471</v>
      </c>
      <c r="K67" s="1"/>
      <c r="L67" s="1"/>
      <c r="M67" s="1"/>
      <c r="N67" s="1"/>
      <c r="O67" s="1"/>
      <c r="P67" s="1"/>
      <c r="Q67" s="1"/>
      <c r="R67" s="151">
        <v>0.0</v>
      </c>
      <c r="S67" s="67">
        <f>if(S$5="","",R67+Forecast!T91)</f>
        <v>0</v>
      </c>
      <c r="T67" s="67">
        <f>if(T$5="","",S67+Forecast!U91)</f>
        <v>0</v>
      </c>
      <c r="U67" s="67">
        <f>if(U$5="","",T67+Forecast!V91)</f>
        <v>0</v>
      </c>
      <c r="V67" s="67">
        <f>if(V$5="","",U67+Forecast!W91)</f>
        <v>0</v>
      </c>
      <c r="W67" s="67">
        <f>if(W$5="","",V67+Forecast!X91)</f>
        <v>0</v>
      </c>
      <c r="X67" s="67">
        <f>if(X$5="","",W67+Forecast!Y91)</f>
        <v>0</v>
      </c>
      <c r="Y67" s="67">
        <f>if(Y$5="","",X67+Forecast!Z91)</f>
        <v>0</v>
      </c>
      <c r="Z67" s="67">
        <f>if(Z$5="","",Y67+Forecast!AA91)</f>
        <v>0</v>
      </c>
      <c r="AA67" s="67">
        <f>if(AA$5="","",Z67+Forecast!AB91)</f>
        <v>0</v>
      </c>
      <c r="AB67" s="67">
        <f>if(AB$5="","",AA67+Forecast!AC91)</f>
        <v>0</v>
      </c>
      <c r="AC67" s="67">
        <f>if(AC$5="","",AB67+Forecast!AD91)</f>
        <v>0</v>
      </c>
      <c r="AD67" s="67">
        <f>if(AD$5="","",AC67+Forecast!AE91)</f>
        <v>0</v>
      </c>
      <c r="AE67" s="67">
        <f>if(AE$5="","",AD67+Forecast!AF91)</f>
        <v>0</v>
      </c>
      <c r="AF67" s="67">
        <f>if(AF$5="","",AE67+Forecast!AG91)</f>
        <v>0</v>
      </c>
      <c r="AG67" s="67">
        <f>if(AG$5="","",AF67+Forecast!AH91)</f>
        <v>0</v>
      </c>
      <c r="AH67" s="67">
        <f>if(AH$5="","",AG67+Forecast!AI91)</f>
        <v>0</v>
      </c>
      <c r="AI67" s="67">
        <f>if(AI$5="","",AH67+Forecast!AJ91)</f>
        <v>0</v>
      </c>
      <c r="AJ67" s="67">
        <f>if(AJ$5="","",AI67+Forecast!AK91)</f>
        <v>0</v>
      </c>
      <c r="AK67" s="67">
        <f>if(AK$5="","",AJ67+Forecast!AL91)</f>
        <v>0</v>
      </c>
      <c r="AL67" s="67">
        <f>if(AL$5="","",AK67+Forecast!AM91)</f>
        <v>0</v>
      </c>
      <c r="AM67" s="67">
        <f>if(AM$5="","",AL67+Forecast!AN91)</f>
        <v>0</v>
      </c>
      <c r="AN67" s="67">
        <f>if(AN$5="","",AM67+Forecast!AO91)</f>
        <v>0</v>
      </c>
      <c r="AO67" s="67">
        <f>if(AO$5="","",AN67+Forecast!AP91)</f>
        <v>0</v>
      </c>
      <c r="AP67" s="67">
        <f>if(AP$5="","",AO67+Forecast!AQ91)</f>
        <v>0</v>
      </c>
      <c r="AQ67" s="67">
        <f>if(AQ$5="","",AP67+Forecast!AR91)</f>
        <v>0</v>
      </c>
      <c r="AR67" s="67">
        <f>if(AR$5="","",AQ67+Forecast!AS91)</f>
        <v>0</v>
      </c>
      <c r="AS67" s="67">
        <f>if(AS$5="","",AR67+Forecast!AT91)</f>
        <v>0</v>
      </c>
      <c r="AT67" s="67">
        <f>if(AT$5="","",AS67+Forecast!AU91)</f>
        <v>0</v>
      </c>
      <c r="AU67" s="67">
        <f>if(AU$5="","",AT67+Forecast!AV91)</f>
        <v>0</v>
      </c>
      <c r="AV67" s="67">
        <f>if(AV$5="","",AU67+Forecast!AW91)</f>
        <v>0</v>
      </c>
      <c r="AW67" s="67">
        <f>if(AW$5="","",AV67+Forecast!AX91)</f>
        <v>0</v>
      </c>
      <c r="AX67" s="67">
        <f>if(AX$5="","",AW67+Forecast!AY91)</f>
        <v>0</v>
      </c>
      <c r="AY67" s="67">
        <f>if(AY$5="","",AX67+Forecast!AZ91)</f>
        <v>0</v>
      </c>
      <c r="AZ67" s="67">
        <f>if(AZ$5="","",AY67+Forecast!BA91)</f>
        <v>0</v>
      </c>
      <c r="BA67" s="67">
        <f>if(BA$5="","",AZ67+Forecast!BB91)</f>
        <v>0</v>
      </c>
      <c r="BB67" s="67">
        <f>if(BB$5="","",BA67+Forecast!BC91)</f>
        <v>0</v>
      </c>
    </row>
    <row r="68">
      <c r="A68" s="1"/>
      <c r="B68" s="1" t="s">
        <v>472</v>
      </c>
      <c r="C68" s="144" t="str">
        <f>'Get Started'!$C$20</f>
        <v>$</v>
      </c>
      <c r="E68" s="1"/>
      <c r="F68" s="1"/>
      <c r="G68" s="79" t="s">
        <v>183</v>
      </c>
      <c r="H68" s="87">
        <f t="shared" si="26"/>
        <v>536.0382563</v>
      </c>
      <c r="I68" s="1"/>
      <c r="J68" s="1" t="s">
        <v>447</v>
      </c>
      <c r="K68" s="1"/>
      <c r="L68" s="1"/>
      <c r="M68" s="1"/>
      <c r="N68" s="1"/>
      <c r="O68" s="1"/>
      <c r="P68" s="1"/>
      <c r="Q68" s="1"/>
      <c r="R68" s="70">
        <f>SUM(R60:R67)</f>
        <v>0</v>
      </c>
      <c r="S68" s="70">
        <f t="shared" ref="S68:BB68" si="27">if(S$5="","",SUM(S60:S67))</f>
        <v>0</v>
      </c>
      <c r="T68" s="70">
        <f t="shared" si="27"/>
        <v>210</v>
      </c>
      <c r="U68" s="70">
        <f t="shared" si="27"/>
        <v>420</v>
      </c>
      <c r="V68" s="70">
        <f t="shared" si="27"/>
        <v>0</v>
      </c>
      <c r="W68" s="70">
        <f t="shared" si="27"/>
        <v>210</v>
      </c>
      <c r="X68" s="70">
        <f t="shared" si="27"/>
        <v>420</v>
      </c>
      <c r="Y68" s="70">
        <f t="shared" si="27"/>
        <v>0</v>
      </c>
      <c r="Z68" s="70">
        <f t="shared" si="27"/>
        <v>220.5</v>
      </c>
      <c r="AA68" s="70">
        <f t="shared" si="27"/>
        <v>441</v>
      </c>
      <c r="AB68" s="70">
        <f t="shared" si="27"/>
        <v>0</v>
      </c>
      <c r="AC68" s="70">
        <f t="shared" si="27"/>
        <v>220.5</v>
      </c>
      <c r="AD68" s="70">
        <f t="shared" si="27"/>
        <v>441</v>
      </c>
      <c r="AE68" s="70">
        <f t="shared" si="27"/>
        <v>0</v>
      </c>
      <c r="AF68" s="70">
        <f t="shared" si="27"/>
        <v>231.525</v>
      </c>
      <c r="AG68" s="70">
        <f t="shared" si="27"/>
        <v>463.05</v>
      </c>
      <c r="AH68" s="70">
        <f t="shared" si="27"/>
        <v>0</v>
      </c>
      <c r="AI68" s="70">
        <f t="shared" si="27"/>
        <v>231.525</v>
      </c>
      <c r="AJ68" s="70">
        <f t="shared" si="27"/>
        <v>463.05</v>
      </c>
      <c r="AK68" s="70">
        <f t="shared" si="27"/>
        <v>0</v>
      </c>
      <c r="AL68" s="70">
        <f t="shared" si="27"/>
        <v>243.10125</v>
      </c>
      <c r="AM68" s="70">
        <f t="shared" si="27"/>
        <v>486.2025</v>
      </c>
      <c r="AN68" s="70">
        <f t="shared" si="27"/>
        <v>0</v>
      </c>
      <c r="AO68" s="70">
        <f t="shared" si="27"/>
        <v>243.10125</v>
      </c>
      <c r="AP68" s="70">
        <f t="shared" si="27"/>
        <v>486.2025</v>
      </c>
      <c r="AQ68" s="70">
        <f t="shared" si="27"/>
        <v>0</v>
      </c>
      <c r="AR68" s="70">
        <f t="shared" si="27"/>
        <v>255.2563125</v>
      </c>
      <c r="AS68" s="70">
        <f t="shared" si="27"/>
        <v>510.512625</v>
      </c>
      <c r="AT68" s="70">
        <f t="shared" si="27"/>
        <v>0</v>
      </c>
      <c r="AU68" s="70">
        <f t="shared" si="27"/>
        <v>255.2563125</v>
      </c>
      <c r="AV68" s="70">
        <f t="shared" si="27"/>
        <v>510.512625</v>
      </c>
      <c r="AW68" s="70">
        <f t="shared" si="27"/>
        <v>0</v>
      </c>
      <c r="AX68" s="70">
        <f t="shared" si="27"/>
        <v>268.0191281</v>
      </c>
      <c r="AY68" s="70">
        <f t="shared" si="27"/>
        <v>536.0382563</v>
      </c>
      <c r="AZ68" s="70">
        <f t="shared" si="27"/>
        <v>0</v>
      </c>
      <c r="BA68" s="70">
        <f t="shared" si="27"/>
        <v>268.0191281</v>
      </c>
      <c r="BB68" s="70">
        <f t="shared" si="27"/>
        <v>536.0382563</v>
      </c>
    </row>
    <row r="69">
      <c r="A69" s="1"/>
      <c r="B69" s="1"/>
      <c r="C69" s="30"/>
      <c r="E69" s="1"/>
      <c r="F69" s="1"/>
      <c r="G69" s="1"/>
      <c r="H69" s="1"/>
      <c r="I69" s="1"/>
      <c r="J69" s="1"/>
      <c r="K69" s="1"/>
      <c r="L69" s="1"/>
      <c r="M69" s="1"/>
      <c r="N69" s="1"/>
      <c r="O69" s="1"/>
      <c r="P69" s="1"/>
      <c r="Q69" s="1"/>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row>
    <row r="70">
      <c r="A70" s="1"/>
      <c r="B70" s="1" t="s">
        <v>473</v>
      </c>
      <c r="C70" s="30"/>
      <c r="E70" s="1"/>
      <c r="F70" s="1"/>
      <c r="G70" s="1"/>
      <c r="H70" s="1"/>
      <c r="I70" s="1"/>
      <c r="J70" s="1"/>
      <c r="K70" s="1"/>
      <c r="L70" s="1"/>
      <c r="M70" s="1"/>
      <c r="N70" s="1"/>
      <c r="O70" s="1"/>
      <c r="P70" s="1"/>
      <c r="Q70" s="1"/>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row>
    <row r="71">
      <c r="A71" s="1"/>
      <c r="B71" s="1" t="s">
        <v>474</v>
      </c>
      <c r="C71" s="144" t="str">
        <f>'Get Started'!$C$20</f>
        <v>$</v>
      </c>
      <c r="E71" s="1"/>
      <c r="F71" s="1"/>
      <c r="G71" s="79" t="s">
        <v>183</v>
      </c>
      <c r="H71" s="87">
        <f t="shared" ref="H71:H75" si="29">if(G71="sum",sum(S71:BB71),if(G71="final",iferror(index(S71:BB71,match(99^99,S71:BB71,1)),0),if(G71="initial",S71,if(G71="average",average(S71:BB71),0))))</f>
        <v>0</v>
      </c>
      <c r="I71" s="1"/>
      <c r="J71" s="22" t="s">
        <v>475</v>
      </c>
      <c r="K71" s="1"/>
      <c r="L71" s="1"/>
      <c r="M71" s="1"/>
      <c r="N71" s="1"/>
      <c r="O71" s="1"/>
      <c r="P71" s="1"/>
      <c r="Q71" s="1"/>
      <c r="R71" s="150">
        <v>0.0</v>
      </c>
      <c r="S71" s="67">
        <f t="shared" ref="S71:BB71" si="28">if(S$5="","",R71+S108)</f>
        <v>0</v>
      </c>
      <c r="T71" s="67">
        <f t="shared" si="28"/>
        <v>0</v>
      </c>
      <c r="U71" s="67">
        <f t="shared" si="28"/>
        <v>0</v>
      </c>
      <c r="V71" s="67">
        <f t="shared" si="28"/>
        <v>0</v>
      </c>
      <c r="W71" s="67">
        <f t="shared" si="28"/>
        <v>0</v>
      </c>
      <c r="X71" s="67">
        <f t="shared" si="28"/>
        <v>0</v>
      </c>
      <c r="Y71" s="67">
        <f t="shared" si="28"/>
        <v>0</v>
      </c>
      <c r="Z71" s="67">
        <f t="shared" si="28"/>
        <v>0</v>
      </c>
      <c r="AA71" s="67">
        <f t="shared" si="28"/>
        <v>0</v>
      </c>
      <c r="AB71" s="67">
        <f t="shared" si="28"/>
        <v>0</v>
      </c>
      <c r="AC71" s="67">
        <f t="shared" si="28"/>
        <v>0</v>
      </c>
      <c r="AD71" s="67">
        <f t="shared" si="28"/>
        <v>0</v>
      </c>
      <c r="AE71" s="67">
        <f t="shared" si="28"/>
        <v>0</v>
      </c>
      <c r="AF71" s="67">
        <f t="shared" si="28"/>
        <v>0</v>
      </c>
      <c r="AG71" s="67">
        <f t="shared" si="28"/>
        <v>0</v>
      </c>
      <c r="AH71" s="67">
        <f t="shared" si="28"/>
        <v>0</v>
      </c>
      <c r="AI71" s="67">
        <f t="shared" si="28"/>
        <v>0</v>
      </c>
      <c r="AJ71" s="67">
        <f t="shared" si="28"/>
        <v>0</v>
      </c>
      <c r="AK71" s="67">
        <f t="shared" si="28"/>
        <v>0</v>
      </c>
      <c r="AL71" s="67">
        <f t="shared" si="28"/>
        <v>0</v>
      </c>
      <c r="AM71" s="67">
        <f t="shared" si="28"/>
        <v>0</v>
      </c>
      <c r="AN71" s="67">
        <f t="shared" si="28"/>
        <v>0</v>
      </c>
      <c r="AO71" s="67">
        <f t="shared" si="28"/>
        <v>0</v>
      </c>
      <c r="AP71" s="67">
        <f t="shared" si="28"/>
        <v>0</v>
      </c>
      <c r="AQ71" s="67">
        <f t="shared" si="28"/>
        <v>0</v>
      </c>
      <c r="AR71" s="67">
        <f t="shared" si="28"/>
        <v>0</v>
      </c>
      <c r="AS71" s="67">
        <f t="shared" si="28"/>
        <v>0</v>
      </c>
      <c r="AT71" s="67">
        <f t="shared" si="28"/>
        <v>0</v>
      </c>
      <c r="AU71" s="67">
        <f t="shared" si="28"/>
        <v>0</v>
      </c>
      <c r="AV71" s="67">
        <f t="shared" si="28"/>
        <v>0</v>
      </c>
      <c r="AW71" s="67">
        <f t="shared" si="28"/>
        <v>0</v>
      </c>
      <c r="AX71" s="67">
        <f t="shared" si="28"/>
        <v>0</v>
      </c>
      <c r="AY71" s="67">
        <f t="shared" si="28"/>
        <v>0</v>
      </c>
      <c r="AZ71" s="67">
        <f t="shared" si="28"/>
        <v>0</v>
      </c>
      <c r="BA71" s="67">
        <f t="shared" si="28"/>
        <v>0</v>
      </c>
      <c r="BB71" s="67">
        <f t="shared" si="28"/>
        <v>0</v>
      </c>
    </row>
    <row r="72">
      <c r="A72" s="1"/>
      <c r="B72" s="1" t="s">
        <v>268</v>
      </c>
      <c r="C72" s="144" t="str">
        <f>'Get Started'!$C$20</f>
        <v>$</v>
      </c>
      <c r="E72" s="1"/>
      <c r="F72" s="1"/>
      <c r="G72" s="79" t="s">
        <v>183</v>
      </c>
      <c r="H72" s="87">
        <f t="shared" si="29"/>
        <v>0</v>
      </c>
      <c r="I72" s="1"/>
      <c r="J72" s="1" t="s">
        <v>476</v>
      </c>
      <c r="K72" s="1"/>
      <c r="L72" s="1"/>
      <c r="M72" s="1"/>
      <c r="N72" s="1"/>
      <c r="O72" s="1"/>
      <c r="P72" s="1"/>
      <c r="Q72" s="1"/>
      <c r="R72" s="150">
        <v>0.0</v>
      </c>
      <c r="S72" s="67">
        <f t="shared" ref="S72:BB72" si="30">if(S$5="","",R72+S109+S111)</f>
        <v>0</v>
      </c>
      <c r="T72" s="67">
        <f t="shared" si="30"/>
        <v>0</v>
      </c>
      <c r="U72" s="67">
        <f t="shared" si="30"/>
        <v>0</v>
      </c>
      <c r="V72" s="67">
        <f t="shared" si="30"/>
        <v>0</v>
      </c>
      <c r="W72" s="67">
        <f t="shared" si="30"/>
        <v>0</v>
      </c>
      <c r="X72" s="67">
        <f t="shared" si="30"/>
        <v>0</v>
      </c>
      <c r="Y72" s="67">
        <f t="shared" si="30"/>
        <v>0</v>
      </c>
      <c r="Z72" s="67">
        <f t="shared" si="30"/>
        <v>0</v>
      </c>
      <c r="AA72" s="67">
        <f t="shared" si="30"/>
        <v>0</v>
      </c>
      <c r="AB72" s="67">
        <f t="shared" si="30"/>
        <v>0</v>
      </c>
      <c r="AC72" s="67">
        <f t="shared" si="30"/>
        <v>0</v>
      </c>
      <c r="AD72" s="67">
        <f t="shared" si="30"/>
        <v>0</v>
      </c>
      <c r="AE72" s="67">
        <f t="shared" si="30"/>
        <v>0</v>
      </c>
      <c r="AF72" s="67">
        <f t="shared" si="30"/>
        <v>0</v>
      </c>
      <c r="AG72" s="67">
        <f t="shared" si="30"/>
        <v>0</v>
      </c>
      <c r="AH72" s="67">
        <f t="shared" si="30"/>
        <v>0</v>
      </c>
      <c r="AI72" s="67">
        <f t="shared" si="30"/>
        <v>0</v>
      </c>
      <c r="AJ72" s="67">
        <f t="shared" si="30"/>
        <v>0</v>
      </c>
      <c r="AK72" s="67">
        <f t="shared" si="30"/>
        <v>0</v>
      </c>
      <c r="AL72" s="67">
        <f t="shared" si="30"/>
        <v>0</v>
      </c>
      <c r="AM72" s="67">
        <f t="shared" si="30"/>
        <v>0</v>
      </c>
      <c r="AN72" s="67">
        <f t="shared" si="30"/>
        <v>0</v>
      </c>
      <c r="AO72" s="67">
        <f t="shared" si="30"/>
        <v>0</v>
      </c>
      <c r="AP72" s="67">
        <f t="shared" si="30"/>
        <v>0</v>
      </c>
      <c r="AQ72" s="67">
        <f t="shared" si="30"/>
        <v>0</v>
      </c>
      <c r="AR72" s="67">
        <f t="shared" si="30"/>
        <v>0</v>
      </c>
      <c r="AS72" s="67">
        <f t="shared" si="30"/>
        <v>0</v>
      </c>
      <c r="AT72" s="67">
        <f t="shared" si="30"/>
        <v>0</v>
      </c>
      <c r="AU72" s="67">
        <f t="shared" si="30"/>
        <v>0</v>
      </c>
      <c r="AV72" s="67">
        <f t="shared" si="30"/>
        <v>0</v>
      </c>
      <c r="AW72" s="67">
        <f t="shared" si="30"/>
        <v>0</v>
      </c>
      <c r="AX72" s="67">
        <f t="shared" si="30"/>
        <v>0</v>
      </c>
      <c r="AY72" s="67">
        <f t="shared" si="30"/>
        <v>0</v>
      </c>
      <c r="AZ72" s="67">
        <f t="shared" si="30"/>
        <v>0</v>
      </c>
      <c r="BA72" s="67">
        <f t="shared" si="30"/>
        <v>0</v>
      </c>
      <c r="BB72" s="67">
        <f t="shared" si="30"/>
        <v>0</v>
      </c>
    </row>
    <row r="73">
      <c r="A73" s="1"/>
      <c r="B73" s="1" t="s">
        <v>274</v>
      </c>
      <c r="C73" s="144" t="str">
        <f>'Get Started'!$C$20</f>
        <v>$</v>
      </c>
      <c r="E73" s="1"/>
      <c r="F73" s="1"/>
      <c r="G73" s="79" t="s">
        <v>183</v>
      </c>
      <c r="H73" s="87">
        <f t="shared" si="29"/>
        <v>0</v>
      </c>
      <c r="I73" s="1"/>
      <c r="J73" s="1" t="s">
        <v>477</v>
      </c>
      <c r="K73" s="1"/>
      <c r="L73" s="1"/>
      <c r="M73" s="1"/>
      <c r="N73" s="1"/>
      <c r="O73" s="1"/>
      <c r="P73" s="1"/>
      <c r="Q73" s="1"/>
      <c r="R73" s="150">
        <v>0.0</v>
      </c>
      <c r="S73" s="67">
        <f>if(S$5="","",R73+Forecast!T86)</f>
        <v>0</v>
      </c>
      <c r="T73" s="67">
        <f>if(T$5="","",S73+Forecast!U86)</f>
        <v>0</v>
      </c>
      <c r="U73" s="67">
        <f>if(U$5="","",T73+Forecast!V86)</f>
        <v>0</v>
      </c>
      <c r="V73" s="67">
        <f>if(V$5="","",U73+Forecast!W86)</f>
        <v>0</v>
      </c>
      <c r="W73" s="67">
        <f>if(W$5="","",V73+Forecast!X86)</f>
        <v>0</v>
      </c>
      <c r="X73" s="67">
        <f>if(X$5="","",W73+Forecast!Y86)</f>
        <v>0</v>
      </c>
      <c r="Y73" s="67">
        <f>if(Y$5="","",X73+Forecast!Z86)</f>
        <v>0</v>
      </c>
      <c r="Z73" s="67">
        <f>if(Z$5="","",Y73+Forecast!AA86)</f>
        <v>0</v>
      </c>
      <c r="AA73" s="67">
        <f>if(AA$5="","",Z73+Forecast!AB86)</f>
        <v>0</v>
      </c>
      <c r="AB73" s="67">
        <f>if(AB$5="","",AA73+Forecast!AC86)</f>
        <v>0</v>
      </c>
      <c r="AC73" s="67">
        <f>if(AC$5="","",AB73+Forecast!AD86)</f>
        <v>0</v>
      </c>
      <c r="AD73" s="67">
        <f>if(AD$5="","",AC73+Forecast!AE86)</f>
        <v>0</v>
      </c>
      <c r="AE73" s="67">
        <f>if(AE$5="","",AD73+Forecast!AF86)</f>
        <v>0</v>
      </c>
      <c r="AF73" s="67">
        <f>if(AF$5="","",AE73+Forecast!AG86)</f>
        <v>0</v>
      </c>
      <c r="AG73" s="67">
        <f>if(AG$5="","",AF73+Forecast!AH86)</f>
        <v>0</v>
      </c>
      <c r="AH73" s="67">
        <f>if(AH$5="","",AG73+Forecast!AI86)</f>
        <v>0</v>
      </c>
      <c r="AI73" s="67">
        <f>if(AI$5="","",AH73+Forecast!AJ86)</f>
        <v>0</v>
      </c>
      <c r="AJ73" s="67">
        <f>if(AJ$5="","",AI73+Forecast!AK86)</f>
        <v>0</v>
      </c>
      <c r="AK73" s="67">
        <f>if(AK$5="","",AJ73+Forecast!AL86)</f>
        <v>0</v>
      </c>
      <c r="AL73" s="67">
        <f>if(AL$5="","",AK73+Forecast!AM86)</f>
        <v>0</v>
      </c>
      <c r="AM73" s="67">
        <f>if(AM$5="","",AL73+Forecast!AN86)</f>
        <v>0</v>
      </c>
      <c r="AN73" s="67">
        <f>if(AN$5="","",AM73+Forecast!AO86)</f>
        <v>0</v>
      </c>
      <c r="AO73" s="67">
        <f>if(AO$5="","",AN73+Forecast!AP86)</f>
        <v>0</v>
      </c>
      <c r="AP73" s="67">
        <f>if(AP$5="","",AO73+Forecast!AQ86)</f>
        <v>0</v>
      </c>
      <c r="AQ73" s="67">
        <f>if(AQ$5="","",AP73+Forecast!AR86)</f>
        <v>0</v>
      </c>
      <c r="AR73" s="67">
        <f>if(AR$5="","",AQ73+Forecast!AS86)</f>
        <v>0</v>
      </c>
      <c r="AS73" s="67">
        <f>if(AS$5="","",AR73+Forecast!AT86)</f>
        <v>0</v>
      </c>
      <c r="AT73" s="67">
        <f>if(AT$5="","",AS73+Forecast!AU86)</f>
        <v>0</v>
      </c>
      <c r="AU73" s="67">
        <f>if(AU$5="","",AT73+Forecast!AV86)</f>
        <v>0</v>
      </c>
      <c r="AV73" s="67">
        <f>if(AV$5="","",AU73+Forecast!AW86)</f>
        <v>0</v>
      </c>
      <c r="AW73" s="67">
        <f>if(AW$5="","",AV73+Forecast!AX86)</f>
        <v>0</v>
      </c>
      <c r="AX73" s="67">
        <f>if(AX$5="","",AW73+Forecast!AY86)</f>
        <v>0</v>
      </c>
      <c r="AY73" s="67">
        <f>if(AY$5="","",AX73+Forecast!AZ86)</f>
        <v>0</v>
      </c>
      <c r="AZ73" s="67">
        <f>if(AZ$5="","",AY73+Forecast!BA86)</f>
        <v>0</v>
      </c>
      <c r="BA73" s="67">
        <f>if(BA$5="","",AZ73+Forecast!BB86)</f>
        <v>0</v>
      </c>
      <c r="BB73" s="67">
        <f>if(BB$5="","",BA73+Forecast!BC86)</f>
        <v>0</v>
      </c>
    </row>
    <row r="74">
      <c r="A74" s="1"/>
      <c r="B74" s="1" t="s">
        <v>473</v>
      </c>
      <c r="C74" s="144" t="str">
        <f>'Get Started'!$C$20</f>
        <v>$</v>
      </c>
      <c r="E74" s="1"/>
      <c r="F74" s="1"/>
      <c r="G74" s="79" t="s">
        <v>183</v>
      </c>
      <c r="H74" s="87">
        <f t="shared" si="29"/>
        <v>0</v>
      </c>
      <c r="I74" s="1"/>
      <c r="J74" s="1" t="s">
        <v>478</v>
      </c>
      <c r="K74" s="1"/>
      <c r="L74" s="1"/>
      <c r="M74" s="1"/>
      <c r="N74" s="1"/>
      <c r="O74" s="1"/>
      <c r="P74" s="1"/>
      <c r="Q74" s="1"/>
      <c r="R74" s="150">
        <v>0.0</v>
      </c>
      <c r="S74" s="67">
        <f>if(S$5="","",R74+Forecast!T90)</f>
        <v>0</v>
      </c>
      <c r="T74" s="67">
        <f>if(T$5="","",S74+Forecast!U90)</f>
        <v>0</v>
      </c>
      <c r="U74" s="67">
        <f>if(U$5="","",T74+Forecast!V90)</f>
        <v>0</v>
      </c>
      <c r="V74" s="67">
        <f>if(V$5="","",U74+Forecast!W90)</f>
        <v>0</v>
      </c>
      <c r="W74" s="67">
        <f>if(W$5="","",V74+Forecast!X90)</f>
        <v>0</v>
      </c>
      <c r="X74" s="67">
        <f>if(X$5="","",W74+Forecast!Y90)</f>
        <v>0</v>
      </c>
      <c r="Y74" s="67">
        <f>if(Y$5="","",X74+Forecast!Z90)</f>
        <v>0</v>
      </c>
      <c r="Z74" s="67">
        <f>if(Z$5="","",Y74+Forecast!AA90)</f>
        <v>0</v>
      </c>
      <c r="AA74" s="67">
        <f>if(AA$5="","",Z74+Forecast!AB90)</f>
        <v>0</v>
      </c>
      <c r="AB74" s="67">
        <f>if(AB$5="","",AA74+Forecast!AC90)</f>
        <v>0</v>
      </c>
      <c r="AC74" s="67">
        <f>if(AC$5="","",AB74+Forecast!AD90)</f>
        <v>0</v>
      </c>
      <c r="AD74" s="67">
        <f>if(AD$5="","",AC74+Forecast!AE90)</f>
        <v>0</v>
      </c>
      <c r="AE74" s="67">
        <f>if(AE$5="","",AD74+Forecast!AF90)</f>
        <v>0</v>
      </c>
      <c r="AF74" s="67">
        <f>if(AF$5="","",AE74+Forecast!AG90)</f>
        <v>0</v>
      </c>
      <c r="AG74" s="67">
        <f>if(AG$5="","",AF74+Forecast!AH90)</f>
        <v>0</v>
      </c>
      <c r="AH74" s="67">
        <f>if(AH$5="","",AG74+Forecast!AI90)</f>
        <v>0</v>
      </c>
      <c r="AI74" s="67">
        <f>if(AI$5="","",AH74+Forecast!AJ90)</f>
        <v>0</v>
      </c>
      <c r="AJ74" s="67">
        <f>if(AJ$5="","",AI74+Forecast!AK90)</f>
        <v>0</v>
      </c>
      <c r="AK74" s="67">
        <f>if(AK$5="","",AJ74+Forecast!AL90)</f>
        <v>0</v>
      </c>
      <c r="AL74" s="67">
        <f>if(AL$5="","",AK74+Forecast!AM90)</f>
        <v>0</v>
      </c>
      <c r="AM74" s="67">
        <f>if(AM$5="","",AL74+Forecast!AN90)</f>
        <v>0</v>
      </c>
      <c r="AN74" s="67">
        <f>if(AN$5="","",AM74+Forecast!AO90)</f>
        <v>0</v>
      </c>
      <c r="AO74" s="67">
        <f>if(AO$5="","",AN74+Forecast!AP90)</f>
        <v>0</v>
      </c>
      <c r="AP74" s="67">
        <f>if(AP$5="","",AO74+Forecast!AQ90)</f>
        <v>0</v>
      </c>
      <c r="AQ74" s="67">
        <f>if(AQ$5="","",AP74+Forecast!AR90)</f>
        <v>0</v>
      </c>
      <c r="AR74" s="67">
        <f>if(AR$5="","",AQ74+Forecast!AS90)</f>
        <v>0</v>
      </c>
      <c r="AS74" s="67">
        <f>if(AS$5="","",AR74+Forecast!AT90)</f>
        <v>0</v>
      </c>
      <c r="AT74" s="67">
        <f>if(AT$5="","",AS74+Forecast!AU90)</f>
        <v>0</v>
      </c>
      <c r="AU74" s="67">
        <f>if(AU$5="","",AT74+Forecast!AV90)</f>
        <v>0</v>
      </c>
      <c r="AV74" s="67">
        <f>if(AV$5="","",AU74+Forecast!AW90)</f>
        <v>0</v>
      </c>
      <c r="AW74" s="67">
        <f>if(AW$5="","",AV74+Forecast!AX90)</f>
        <v>0</v>
      </c>
      <c r="AX74" s="67">
        <f>if(AX$5="","",AW74+Forecast!AY90)</f>
        <v>0</v>
      </c>
      <c r="AY74" s="67">
        <f>if(AY$5="","",AX74+Forecast!AZ90)</f>
        <v>0</v>
      </c>
      <c r="AZ74" s="67">
        <f>if(AZ$5="","",AY74+Forecast!BA90)</f>
        <v>0</v>
      </c>
      <c r="BA74" s="67">
        <f>if(BA$5="","",AZ74+Forecast!BB90)</f>
        <v>0</v>
      </c>
      <c r="BB74" s="67">
        <f>if(BB$5="","",BA74+Forecast!BC90)</f>
        <v>0</v>
      </c>
    </row>
    <row r="75">
      <c r="A75" s="1"/>
      <c r="B75" s="1" t="s">
        <v>479</v>
      </c>
      <c r="C75" s="144" t="str">
        <f>'Get Started'!$C$20</f>
        <v>$</v>
      </c>
      <c r="E75" s="1"/>
      <c r="F75" s="1"/>
      <c r="G75" s="79" t="s">
        <v>183</v>
      </c>
      <c r="H75" s="87">
        <f t="shared" si="29"/>
        <v>0</v>
      </c>
      <c r="I75" s="1"/>
      <c r="J75" s="1" t="s">
        <v>447</v>
      </c>
      <c r="K75" s="1"/>
      <c r="L75" s="1"/>
      <c r="M75" s="1"/>
      <c r="N75" s="1"/>
      <c r="O75" s="1"/>
      <c r="P75" s="1"/>
      <c r="Q75" s="1"/>
      <c r="R75" s="70">
        <f>SUM(R71:R74)</f>
        <v>0</v>
      </c>
      <c r="S75" s="70">
        <f t="shared" ref="S75:BB75" si="31">if(S$5="","",SUM(S71:S74))</f>
        <v>0</v>
      </c>
      <c r="T75" s="70">
        <f t="shared" si="31"/>
        <v>0</v>
      </c>
      <c r="U75" s="70">
        <f t="shared" si="31"/>
        <v>0</v>
      </c>
      <c r="V75" s="70">
        <f t="shared" si="31"/>
        <v>0</v>
      </c>
      <c r="W75" s="70">
        <f t="shared" si="31"/>
        <v>0</v>
      </c>
      <c r="X75" s="70">
        <f t="shared" si="31"/>
        <v>0</v>
      </c>
      <c r="Y75" s="70">
        <f t="shared" si="31"/>
        <v>0</v>
      </c>
      <c r="Z75" s="70">
        <f t="shared" si="31"/>
        <v>0</v>
      </c>
      <c r="AA75" s="70">
        <f t="shared" si="31"/>
        <v>0</v>
      </c>
      <c r="AB75" s="70">
        <f t="shared" si="31"/>
        <v>0</v>
      </c>
      <c r="AC75" s="70">
        <f t="shared" si="31"/>
        <v>0</v>
      </c>
      <c r="AD75" s="70">
        <f t="shared" si="31"/>
        <v>0</v>
      </c>
      <c r="AE75" s="70">
        <f t="shared" si="31"/>
        <v>0</v>
      </c>
      <c r="AF75" s="70">
        <f t="shared" si="31"/>
        <v>0</v>
      </c>
      <c r="AG75" s="70">
        <f t="shared" si="31"/>
        <v>0</v>
      </c>
      <c r="AH75" s="70">
        <f t="shared" si="31"/>
        <v>0</v>
      </c>
      <c r="AI75" s="70">
        <f t="shared" si="31"/>
        <v>0</v>
      </c>
      <c r="AJ75" s="70">
        <f t="shared" si="31"/>
        <v>0</v>
      </c>
      <c r="AK75" s="70">
        <f t="shared" si="31"/>
        <v>0</v>
      </c>
      <c r="AL75" s="70">
        <f t="shared" si="31"/>
        <v>0</v>
      </c>
      <c r="AM75" s="70">
        <f t="shared" si="31"/>
        <v>0</v>
      </c>
      <c r="AN75" s="70">
        <f t="shared" si="31"/>
        <v>0</v>
      </c>
      <c r="AO75" s="70">
        <f t="shared" si="31"/>
        <v>0</v>
      </c>
      <c r="AP75" s="70">
        <f t="shared" si="31"/>
        <v>0</v>
      </c>
      <c r="AQ75" s="70">
        <f t="shared" si="31"/>
        <v>0</v>
      </c>
      <c r="AR75" s="70">
        <f t="shared" si="31"/>
        <v>0</v>
      </c>
      <c r="AS75" s="70">
        <f t="shared" si="31"/>
        <v>0</v>
      </c>
      <c r="AT75" s="70">
        <f t="shared" si="31"/>
        <v>0</v>
      </c>
      <c r="AU75" s="70">
        <f t="shared" si="31"/>
        <v>0</v>
      </c>
      <c r="AV75" s="70">
        <f t="shared" si="31"/>
        <v>0</v>
      </c>
      <c r="AW75" s="70">
        <f t="shared" si="31"/>
        <v>0</v>
      </c>
      <c r="AX75" s="70">
        <f t="shared" si="31"/>
        <v>0</v>
      </c>
      <c r="AY75" s="70">
        <f t="shared" si="31"/>
        <v>0</v>
      </c>
      <c r="AZ75" s="70">
        <f t="shared" si="31"/>
        <v>0</v>
      </c>
      <c r="BA75" s="70">
        <f t="shared" si="31"/>
        <v>0</v>
      </c>
      <c r="BB75" s="70">
        <f t="shared" si="31"/>
        <v>0</v>
      </c>
    </row>
    <row r="76">
      <c r="A76" s="1"/>
      <c r="B76" s="1"/>
      <c r="C76" s="30"/>
      <c r="E76" s="1"/>
      <c r="F76" s="1"/>
      <c r="G76" s="1"/>
      <c r="H76" s="1"/>
      <c r="I76" s="1"/>
      <c r="J76" s="1"/>
      <c r="K76" s="1"/>
      <c r="L76" s="1"/>
      <c r="M76" s="1"/>
      <c r="N76" s="1"/>
      <c r="O76" s="1"/>
      <c r="P76" s="1"/>
      <c r="Q76" s="1"/>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row>
    <row r="77">
      <c r="A77" s="1"/>
      <c r="B77" s="1" t="s">
        <v>480</v>
      </c>
      <c r="C77" s="30"/>
      <c r="E77" s="1"/>
      <c r="F77" s="1"/>
      <c r="G77" s="1"/>
      <c r="H77" s="1"/>
      <c r="I77" s="1"/>
      <c r="J77" s="1"/>
      <c r="K77" s="1"/>
      <c r="L77" s="1"/>
      <c r="M77" s="1"/>
      <c r="N77" s="1"/>
      <c r="O77" s="1"/>
      <c r="P77" s="1"/>
      <c r="Q77" s="1"/>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row>
    <row r="78">
      <c r="A78" s="1"/>
      <c r="B78" s="1" t="s">
        <v>481</v>
      </c>
      <c r="C78" s="144" t="str">
        <f>'Get Started'!$C$20</f>
        <v>$</v>
      </c>
      <c r="E78" s="1"/>
      <c r="F78" s="1"/>
      <c r="G78" s="79" t="s">
        <v>183</v>
      </c>
      <c r="H78" s="87">
        <f t="shared" ref="H78:H83" si="32">if(G78="sum",sum(S78:BB78),if(G78="final",iferror(index(S78:BB78,match(99^99,S78:BB78,1)),0),if(G78="initial",S78,if(G78="average",average(S78:BB78),0))))</f>
        <v>0</v>
      </c>
      <c r="I78" s="1"/>
      <c r="J78" s="1" t="s">
        <v>482</v>
      </c>
      <c r="K78" s="1"/>
      <c r="L78" s="1"/>
      <c r="M78" s="1"/>
      <c r="N78" s="1"/>
      <c r="O78" s="1"/>
      <c r="P78" s="1"/>
      <c r="Q78" s="1"/>
      <c r="R78" s="150">
        <v>0.0</v>
      </c>
      <c r="S78" s="67">
        <f>if(S$5="","",R78+Forecast!T87)</f>
        <v>0</v>
      </c>
      <c r="T78" s="67">
        <f>if(T$5="","",S78+Forecast!U87)</f>
        <v>0</v>
      </c>
      <c r="U78" s="67">
        <f>if(U$5="","",T78+Forecast!V87)</f>
        <v>0</v>
      </c>
      <c r="V78" s="67">
        <f>if(V$5="","",U78+Forecast!W87)</f>
        <v>0</v>
      </c>
      <c r="W78" s="67">
        <f>if(W$5="","",V78+Forecast!X87)</f>
        <v>0</v>
      </c>
      <c r="X78" s="67">
        <f>if(X$5="","",W78+Forecast!Y87)</f>
        <v>0</v>
      </c>
      <c r="Y78" s="67">
        <f>if(Y$5="","",X78+Forecast!Z87)</f>
        <v>0</v>
      </c>
      <c r="Z78" s="67">
        <f>if(Z$5="","",Y78+Forecast!AA87)</f>
        <v>0</v>
      </c>
      <c r="AA78" s="67">
        <f>if(AA$5="","",Z78+Forecast!AB87)</f>
        <v>0</v>
      </c>
      <c r="AB78" s="67">
        <f>if(AB$5="","",AA78+Forecast!AC87)</f>
        <v>0</v>
      </c>
      <c r="AC78" s="67">
        <f>if(AC$5="","",AB78+Forecast!AD87)</f>
        <v>0</v>
      </c>
      <c r="AD78" s="67">
        <f>if(AD$5="","",AC78+Forecast!AE87)</f>
        <v>0</v>
      </c>
      <c r="AE78" s="67">
        <f>if(AE$5="","",AD78+Forecast!AF87)</f>
        <v>0</v>
      </c>
      <c r="AF78" s="67">
        <f>if(AF$5="","",AE78+Forecast!AG87)</f>
        <v>0</v>
      </c>
      <c r="AG78" s="67">
        <f>if(AG$5="","",AF78+Forecast!AH87)</f>
        <v>0</v>
      </c>
      <c r="AH78" s="67">
        <f>if(AH$5="","",AG78+Forecast!AI87)</f>
        <v>0</v>
      </c>
      <c r="AI78" s="67">
        <f>if(AI$5="","",AH78+Forecast!AJ87)</f>
        <v>0</v>
      </c>
      <c r="AJ78" s="67">
        <f>if(AJ$5="","",AI78+Forecast!AK87)</f>
        <v>0</v>
      </c>
      <c r="AK78" s="67">
        <f>if(AK$5="","",AJ78+Forecast!AL87)</f>
        <v>0</v>
      </c>
      <c r="AL78" s="67">
        <f>if(AL$5="","",AK78+Forecast!AM87)</f>
        <v>0</v>
      </c>
      <c r="AM78" s="67">
        <f>if(AM$5="","",AL78+Forecast!AN87)</f>
        <v>0</v>
      </c>
      <c r="AN78" s="67">
        <f>if(AN$5="","",AM78+Forecast!AO87)</f>
        <v>0</v>
      </c>
      <c r="AO78" s="67">
        <f>if(AO$5="","",AN78+Forecast!AP87)</f>
        <v>0</v>
      </c>
      <c r="AP78" s="67">
        <f>if(AP$5="","",AO78+Forecast!AQ87)</f>
        <v>0</v>
      </c>
      <c r="AQ78" s="67">
        <f>if(AQ$5="","",AP78+Forecast!AR87)</f>
        <v>0</v>
      </c>
      <c r="AR78" s="67">
        <f>if(AR$5="","",AQ78+Forecast!AS87)</f>
        <v>0</v>
      </c>
      <c r="AS78" s="67">
        <f>if(AS$5="","",AR78+Forecast!AT87)</f>
        <v>0</v>
      </c>
      <c r="AT78" s="67">
        <f>if(AT$5="","",AS78+Forecast!AU87)</f>
        <v>0</v>
      </c>
      <c r="AU78" s="67">
        <f>if(AU$5="","",AT78+Forecast!AV87)</f>
        <v>0</v>
      </c>
      <c r="AV78" s="67">
        <f>if(AV$5="","",AU78+Forecast!AW87)</f>
        <v>0</v>
      </c>
      <c r="AW78" s="67">
        <f>if(AW$5="","",AV78+Forecast!AX87)</f>
        <v>0</v>
      </c>
      <c r="AX78" s="67">
        <f>if(AX$5="","",AW78+Forecast!AY87)</f>
        <v>0</v>
      </c>
      <c r="AY78" s="67">
        <f>if(AY$5="","",AX78+Forecast!AZ87)</f>
        <v>0</v>
      </c>
      <c r="AZ78" s="67">
        <f>if(AZ$5="","",AY78+Forecast!BA87)</f>
        <v>0</v>
      </c>
      <c r="BA78" s="67">
        <f>if(BA$5="","",AZ78+Forecast!BB87)</f>
        <v>0</v>
      </c>
      <c r="BB78" s="67">
        <f>if(BB$5="","",BA78+Forecast!BC87)</f>
        <v>0</v>
      </c>
    </row>
    <row r="79">
      <c r="A79" s="1"/>
      <c r="B79" s="1" t="s">
        <v>215</v>
      </c>
      <c r="C79" s="144" t="str">
        <f>'Get Started'!$C$20</f>
        <v>$</v>
      </c>
      <c r="E79" s="1"/>
      <c r="F79" s="1"/>
      <c r="G79" s="79" t="s">
        <v>183</v>
      </c>
      <c r="H79" s="87">
        <f t="shared" si="32"/>
        <v>0</v>
      </c>
      <c r="I79" s="1"/>
      <c r="J79" s="1" t="s">
        <v>483</v>
      </c>
      <c r="K79" s="1"/>
      <c r="L79" s="1"/>
      <c r="M79" s="1"/>
      <c r="N79" s="1"/>
      <c r="O79" s="1"/>
      <c r="P79" s="1"/>
      <c r="Q79" s="1"/>
      <c r="R79" s="150">
        <v>0.0</v>
      </c>
      <c r="S79" s="67">
        <f t="shared" ref="S79:BB79" si="33">if(S$5="","",R79+S106)</f>
        <v>0</v>
      </c>
      <c r="T79" s="67">
        <f t="shared" si="33"/>
        <v>0</v>
      </c>
      <c r="U79" s="67">
        <f t="shared" si="33"/>
        <v>0</v>
      </c>
      <c r="V79" s="67">
        <f t="shared" si="33"/>
        <v>0</v>
      </c>
      <c r="W79" s="67">
        <f t="shared" si="33"/>
        <v>0</v>
      </c>
      <c r="X79" s="67">
        <f t="shared" si="33"/>
        <v>0</v>
      </c>
      <c r="Y79" s="67">
        <f t="shared" si="33"/>
        <v>0</v>
      </c>
      <c r="Z79" s="67">
        <f t="shared" si="33"/>
        <v>0</v>
      </c>
      <c r="AA79" s="67">
        <f t="shared" si="33"/>
        <v>0</v>
      </c>
      <c r="AB79" s="67">
        <f t="shared" si="33"/>
        <v>0</v>
      </c>
      <c r="AC79" s="67">
        <f t="shared" si="33"/>
        <v>0</v>
      </c>
      <c r="AD79" s="67">
        <f t="shared" si="33"/>
        <v>0</v>
      </c>
      <c r="AE79" s="67">
        <f t="shared" si="33"/>
        <v>0</v>
      </c>
      <c r="AF79" s="67">
        <f t="shared" si="33"/>
        <v>0</v>
      </c>
      <c r="AG79" s="67">
        <f t="shared" si="33"/>
        <v>0</v>
      </c>
      <c r="AH79" s="67">
        <f t="shared" si="33"/>
        <v>0</v>
      </c>
      <c r="AI79" s="67">
        <f t="shared" si="33"/>
        <v>0</v>
      </c>
      <c r="AJ79" s="67">
        <f t="shared" si="33"/>
        <v>0</v>
      </c>
      <c r="AK79" s="67">
        <f t="shared" si="33"/>
        <v>0</v>
      </c>
      <c r="AL79" s="67">
        <f t="shared" si="33"/>
        <v>0</v>
      </c>
      <c r="AM79" s="67">
        <f t="shared" si="33"/>
        <v>0</v>
      </c>
      <c r="AN79" s="67">
        <f t="shared" si="33"/>
        <v>0</v>
      </c>
      <c r="AO79" s="67">
        <f t="shared" si="33"/>
        <v>0</v>
      </c>
      <c r="AP79" s="67">
        <f t="shared" si="33"/>
        <v>0</v>
      </c>
      <c r="AQ79" s="67">
        <f t="shared" si="33"/>
        <v>0</v>
      </c>
      <c r="AR79" s="67">
        <f t="shared" si="33"/>
        <v>0</v>
      </c>
      <c r="AS79" s="67">
        <f t="shared" si="33"/>
        <v>0</v>
      </c>
      <c r="AT79" s="67">
        <f t="shared" si="33"/>
        <v>0</v>
      </c>
      <c r="AU79" s="67">
        <f t="shared" si="33"/>
        <v>0</v>
      </c>
      <c r="AV79" s="67">
        <f t="shared" si="33"/>
        <v>0</v>
      </c>
      <c r="AW79" s="67">
        <f t="shared" si="33"/>
        <v>0</v>
      </c>
      <c r="AX79" s="67">
        <f t="shared" si="33"/>
        <v>0</v>
      </c>
      <c r="AY79" s="67">
        <f t="shared" si="33"/>
        <v>0</v>
      </c>
      <c r="AZ79" s="67">
        <f t="shared" si="33"/>
        <v>0</v>
      </c>
      <c r="BA79" s="67">
        <f t="shared" si="33"/>
        <v>0</v>
      </c>
      <c r="BB79" s="67">
        <f t="shared" si="33"/>
        <v>0</v>
      </c>
    </row>
    <row r="80">
      <c r="A80" s="1"/>
      <c r="B80" s="22" t="s">
        <v>218</v>
      </c>
      <c r="C80" s="144" t="str">
        <f>'Get Started'!$C$20</f>
        <v>$</v>
      </c>
      <c r="E80" s="1"/>
      <c r="F80" s="1"/>
      <c r="G80" s="79" t="s">
        <v>183</v>
      </c>
      <c r="H80" s="87">
        <f t="shared" si="32"/>
        <v>500000</v>
      </c>
      <c r="I80" s="1"/>
      <c r="J80" s="22" t="s">
        <v>484</v>
      </c>
      <c r="K80" s="1"/>
      <c r="L80" s="1"/>
      <c r="M80" s="1"/>
      <c r="N80" s="1"/>
      <c r="O80" s="1"/>
      <c r="P80" s="1"/>
      <c r="Q80" s="1"/>
      <c r="R80" s="150">
        <v>0.0</v>
      </c>
      <c r="S80" s="67">
        <f t="shared" ref="S80:BB80" si="34">if(S$5="","",R80+S107)</f>
        <v>500000</v>
      </c>
      <c r="T80" s="67">
        <f t="shared" si="34"/>
        <v>500000</v>
      </c>
      <c r="U80" s="67">
        <f t="shared" si="34"/>
        <v>500000</v>
      </c>
      <c r="V80" s="67">
        <f t="shared" si="34"/>
        <v>500000</v>
      </c>
      <c r="W80" s="67">
        <f t="shared" si="34"/>
        <v>500000</v>
      </c>
      <c r="X80" s="67">
        <f t="shared" si="34"/>
        <v>500000</v>
      </c>
      <c r="Y80" s="67">
        <f t="shared" si="34"/>
        <v>500000</v>
      </c>
      <c r="Z80" s="67">
        <f t="shared" si="34"/>
        <v>500000</v>
      </c>
      <c r="AA80" s="67">
        <f t="shared" si="34"/>
        <v>500000</v>
      </c>
      <c r="AB80" s="67">
        <f t="shared" si="34"/>
        <v>500000</v>
      </c>
      <c r="AC80" s="67">
        <f t="shared" si="34"/>
        <v>500000</v>
      </c>
      <c r="AD80" s="67">
        <f t="shared" si="34"/>
        <v>500000</v>
      </c>
      <c r="AE80" s="67">
        <f t="shared" si="34"/>
        <v>500000</v>
      </c>
      <c r="AF80" s="67">
        <f t="shared" si="34"/>
        <v>500000</v>
      </c>
      <c r="AG80" s="67">
        <f t="shared" si="34"/>
        <v>500000</v>
      </c>
      <c r="AH80" s="67">
        <f t="shared" si="34"/>
        <v>500000</v>
      </c>
      <c r="AI80" s="67">
        <f t="shared" si="34"/>
        <v>500000</v>
      </c>
      <c r="AJ80" s="67">
        <f t="shared" si="34"/>
        <v>500000</v>
      </c>
      <c r="AK80" s="67">
        <f t="shared" si="34"/>
        <v>500000</v>
      </c>
      <c r="AL80" s="67">
        <f t="shared" si="34"/>
        <v>500000</v>
      </c>
      <c r="AM80" s="67">
        <f t="shared" si="34"/>
        <v>500000</v>
      </c>
      <c r="AN80" s="67">
        <f t="shared" si="34"/>
        <v>500000</v>
      </c>
      <c r="AO80" s="67">
        <f t="shared" si="34"/>
        <v>500000</v>
      </c>
      <c r="AP80" s="67">
        <f t="shared" si="34"/>
        <v>500000</v>
      </c>
      <c r="AQ80" s="67">
        <f t="shared" si="34"/>
        <v>500000</v>
      </c>
      <c r="AR80" s="67">
        <f t="shared" si="34"/>
        <v>500000</v>
      </c>
      <c r="AS80" s="67">
        <f t="shared" si="34"/>
        <v>500000</v>
      </c>
      <c r="AT80" s="67">
        <f t="shared" si="34"/>
        <v>500000</v>
      </c>
      <c r="AU80" s="67">
        <f t="shared" si="34"/>
        <v>500000</v>
      </c>
      <c r="AV80" s="67">
        <f t="shared" si="34"/>
        <v>500000</v>
      </c>
      <c r="AW80" s="67">
        <f t="shared" si="34"/>
        <v>500000</v>
      </c>
      <c r="AX80" s="67">
        <f t="shared" si="34"/>
        <v>500000</v>
      </c>
      <c r="AY80" s="67">
        <f t="shared" si="34"/>
        <v>500000</v>
      </c>
      <c r="AZ80" s="67">
        <f t="shared" si="34"/>
        <v>500000</v>
      </c>
      <c r="BA80" s="67">
        <f t="shared" si="34"/>
        <v>500000</v>
      </c>
      <c r="BB80" s="67">
        <f t="shared" si="34"/>
        <v>500000</v>
      </c>
    </row>
    <row r="81">
      <c r="A81" s="1"/>
      <c r="B81" s="1" t="s">
        <v>485</v>
      </c>
      <c r="C81" s="144" t="str">
        <f>'Get Started'!$C$20</f>
        <v>$</v>
      </c>
      <c r="E81" s="1"/>
      <c r="F81" s="1"/>
      <c r="G81" s="79" t="s">
        <v>183</v>
      </c>
      <c r="H81" s="87">
        <f t="shared" si="32"/>
        <v>31232.8043</v>
      </c>
      <c r="I81" s="1"/>
      <c r="J81" s="22" t="s">
        <v>486</v>
      </c>
      <c r="K81" s="1"/>
      <c r="L81" s="1"/>
      <c r="M81" s="1"/>
      <c r="N81" s="1"/>
      <c r="O81" s="1"/>
      <c r="P81" s="1"/>
      <c r="Q81" s="1"/>
      <c r="R81" s="150">
        <f>IF((R68+R75+R78+R79+R82)=0,R44,0)</f>
        <v>0</v>
      </c>
      <c r="S81" s="67">
        <f t="shared" ref="S81:BB81" si="35">if(S$5="","",R82+R81)</f>
        <v>0</v>
      </c>
      <c r="T81" s="67">
        <f t="shared" si="35"/>
        <v>790</v>
      </c>
      <c r="U81" s="67">
        <f t="shared" si="35"/>
        <v>1580</v>
      </c>
      <c r="V81" s="67">
        <f t="shared" si="35"/>
        <v>2370</v>
      </c>
      <c r="W81" s="67">
        <f t="shared" si="35"/>
        <v>3160</v>
      </c>
      <c r="X81" s="67">
        <f t="shared" si="35"/>
        <v>3950</v>
      </c>
      <c r="Y81" s="67">
        <f t="shared" si="35"/>
        <v>4740</v>
      </c>
      <c r="Z81" s="67">
        <f t="shared" si="35"/>
        <v>5569.5</v>
      </c>
      <c r="AA81" s="67">
        <f t="shared" si="35"/>
        <v>6399</v>
      </c>
      <c r="AB81" s="67">
        <f t="shared" si="35"/>
        <v>7228.5</v>
      </c>
      <c r="AC81" s="67">
        <f t="shared" si="35"/>
        <v>8058</v>
      </c>
      <c r="AD81" s="67">
        <f t="shared" si="35"/>
        <v>8887.5</v>
      </c>
      <c r="AE81" s="67">
        <f t="shared" si="35"/>
        <v>9717</v>
      </c>
      <c r="AF81" s="67">
        <f t="shared" si="35"/>
        <v>10587.975</v>
      </c>
      <c r="AG81" s="67">
        <f t="shared" si="35"/>
        <v>11458.95</v>
      </c>
      <c r="AH81" s="67">
        <f t="shared" si="35"/>
        <v>12329.925</v>
      </c>
      <c r="AI81" s="67">
        <f t="shared" si="35"/>
        <v>13200.9</v>
      </c>
      <c r="AJ81" s="67">
        <f t="shared" si="35"/>
        <v>14071.875</v>
      </c>
      <c r="AK81" s="67">
        <f t="shared" si="35"/>
        <v>14942.85</v>
      </c>
      <c r="AL81" s="67">
        <f t="shared" si="35"/>
        <v>15857.37375</v>
      </c>
      <c r="AM81" s="67">
        <f t="shared" si="35"/>
        <v>16771.8975</v>
      </c>
      <c r="AN81" s="67">
        <f t="shared" si="35"/>
        <v>17686.42125</v>
      </c>
      <c r="AO81" s="67">
        <f t="shared" si="35"/>
        <v>18600.945</v>
      </c>
      <c r="AP81" s="67">
        <f t="shared" si="35"/>
        <v>19515.46875</v>
      </c>
      <c r="AQ81" s="67">
        <f t="shared" si="35"/>
        <v>20429.9925</v>
      </c>
      <c r="AR81" s="67">
        <f t="shared" si="35"/>
        <v>21390.24244</v>
      </c>
      <c r="AS81" s="67">
        <f t="shared" si="35"/>
        <v>22350.49238</v>
      </c>
      <c r="AT81" s="67">
        <f t="shared" si="35"/>
        <v>23310.74231</v>
      </c>
      <c r="AU81" s="67">
        <f t="shared" si="35"/>
        <v>24270.99225</v>
      </c>
      <c r="AV81" s="67">
        <f t="shared" si="35"/>
        <v>25231.24219</v>
      </c>
      <c r="AW81" s="67">
        <f t="shared" si="35"/>
        <v>26191.49213</v>
      </c>
      <c r="AX81" s="67">
        <f t="shared" si="35"/>
        <v>27199.75456</v>
      </c>
      <c r="AY81" s="67">
        <f t="shared" si="35"/>
        <v>28208.01699</v>
      </c>
      <c r="AZ81" s="67">
        <f t="shared" si="35"/>
        <v>29216.27943</v>
      </c>
      <c r="BA81" s="67">
        <f t="shared" si="35"/>
        <v>30224.54186</v>
      </c>
      <c r="BB81" s="67">
        <f t="shared" si="35"/>
        <v>31232.8043</v>
      </c>
    </row>
    <row r="82">
      <c r="A82" s="1"/>
      <c r="B82" s="1" t="s">
        <v>433</v>
      </c>
      <c r="C82" s="144" t="str">
        <f>'Get Started'!$C$20</f>
        <v>$</v>
      </c>
      <c r="E82" s="1"/>
      <c r="F82" s="1"/>
      <c r="G82" s="79" t="s">
        <v>183</v>
      </c>
      <c r="H82" s="87">
        <f t="shared" si="32"/>
        <v>1008.262434</v>
      </c>
      <c r="I82" s="1"/>
      <c r="J82" s="1" t="s">
        <v>487</v>
      </c>
      <c r="K82" s="1"/>
      <c r="L82" s="1"/>
      <c r="M82" s="1"/>
      <c r="N82" s="1"/>
      <c r="O82" s="1"/>
      <c r="P82" s="1"/>
      <c r="Q82" s="1"/>
      <c r="R82" s="150">
        <v>0.0</v>
      </c>
      <c r="S82" s="67">
        <f t="shared" ref="S82:BB82" si="36">if(S$5="","",S36)</f>
        <v>790</v>
      </c>
      <c r="T82" s="67">
        <f t="shared" si="36"/>
        <v>790</v>
      </c>
      <c r="U82" s="67">
        <f t="shared" si="36"/>
        <v>790</v>
      </c>
      <c r="V82" s="67">
        <f t="shared" si="36"/>
        <v>790</v>
      </c>
      <c r="W82" s="67">
        <f t="shared" si="36"/>
        <v>790</v>
      </c>
      <c r="X82" s="67">
        <f t="shared" si="36"/>
        <v>790</v>
      </c>
      <c r="Y82" s="67">
        <f t="shared" si="36"/>
        <v>829.5</v>
      </c>
      <c r="Z82" s="67">
        <f t="shared" si="36"/>
        <v>829.5</v>
      </c>
      <c r="AA82" s="67">
        <f t="shared" si="36"/>
        <v>829.5</v>
      </c>
      <c r="AB82" s="67">
        <f t="shared" si="36"/>
        <v>829.5</v>
      </c>
      <c r="AC82" s="67">
        <f t="shared" si="36"/>
        <v>829.5</v>
      </c>
      <c r="AD82" s="67">
        <f t="shared" si="36"/>
        <v>829.5</v>
      </c>
      <c r="AE82" s="67">
        <f t="shared" si="36"/>
        <v>870.975</v>
      </c>
      <c r="AF82" s="67">
        <f t="shared" si="36"/>
        <v>870.975</v>
      </c>
      <c r="AG82" s="67">
        <f t="shared" si="36"/>
        <v>870.975</v>
      </c>
      <c r="AH82" s="67">
        <f t="shared" si="36"/>
        <v>870.975</v>
      </c>
      <c r="AI82" s="67">
        <f t="shared" si="36"/>
        <v>870.975</v>
      </c>
      <c r="AJ82" s="67">
        <f t="shared" si="36"/>
        <v>870.975</v>
      </c>
      <c r="AK82" s="67">
        <f t="shared" si="36"/>
        <v>914.52375</v>
      </c>
      <c r="AL82" s="67">
        <f t="shared" si="36"/>
        <v>914.52375</v>
      </c>
      <c r="AM82" s="67">
        <f t="shared" si="36"/>
        <v>914.52375</v>
      </c>
      <c r="AN82" s="67">
        <f t="shared" si="36"/>
        <v>914.52375</v>
      </c>
      <c r="AO82" s="67">
        <f t="shared" si="36"/>
        <v>914.52375</v>
      </c>
      <c r="AP82" s="67">
        <f t="shared" si="36"/>
        <v>914.52375</v>
      </c>
      <c r="AQ82" s="67">
        <f t="shared" si="36"/>
        <v>960.2499375</v>
      </c>
      <c r="AR82" s="67">
        <f t="shared" si="36"/>
        <v>960.2499375</v>
      </c>
      <c r="AS82" s="67">
        <f t="shared" si="36"/>
        <v>960.2499375</v>
      </c>
      <c r="AT82" s="67">
        <f t="shared" si="36"/>
        <v>960.2499375</v>
      </c>
      <c r="AU82" s="67">
        <f t="shared" si="36"/>
        <v>960.2499375</v>
      </c>
      <c r="AV82" s="67">
        <f t="shared" si="36"/>
        <v>960.2499375</v>
      </c>
      <c r="AW82" s="67">
        <f t="shared" si="36"/>
        <v>1008.262434</v>
      </c>
      <c r="AX82" s="67">
        <f t="shared" si="36"/>
        <v>1008.262434</v>
      </c>
      <c r="AY82" s="67">
        <f t="shared" si="36"/>
        <v>1008.262434</v>
      </c>
      <c r="AZ82" s="67">
        <f t="shared" si="36"/>
        <v>1008.262434</v>
      </c>
      <c r="BA82" s="67">
        <f t="shared" si="36"/>
        <v>1008.262434</v>
      </c>
      <c r="BB82" s="67">
        <f t="shared" si="36"/>
        <v>1008.262434</v>
      </c>
    </row>
    <row r="83">
      <c r="A83" s="1"/>
      <c r="B83" s="1" t="s">
        <v>488</v>
      </c>
      <c r="C83" s="144" t="str">
        <f>'Get Started'!$C$20</f>
        <v>$</v>
      </c>
      <c r="E83" s="1"/>
      <c r="F83" s="1"/>
      <c r="G83" s="79" t="s">
        <v>183</v>
      </c>
      <c r="H83" s="87">
        <f t="shared" si="32"/>
        <v>532241.0667</v>
      </c>
      <c r="I83" s="1"/>
      <c r="J83" s="1" t="s">
        <v>447</v>
      </c>
      <c r="K83" s="1"/>
      <c r="L83" s="1"/>
      <c r="M83" s="1"/>
      <c r="N83" s="1"/>
      <c r="O83" s="1"/>
      <c r="P83" s="1"/>
      <c r="Q83" s="1"/>
      <c r="R83" s="70">
        <f>SUM(R78:R82)</f>
        <v>0</v>
      </c>
      <c r="S83" s="70">
        <f t="shared" ref="S83:BB83" si="37">if(S$5="","",SUM(S78:S82))</f>
        <v>500790</v>
      </c>
      <c r="T83" s="70">
        <f t="shared" si="37"/>
        <v>501580</v>
      </c>
      <c r="U83" s="70">
        <f t="shared" si="37"/>
        <v>502370</v>
      </c>
      <c r="V83" s="70">
        <f t="shared" si="37"/>
        <v>503160</v>
      </c>
      <c r="W83" s="70">
        <f t="shared" si="37"/>
        <v>503950</v>
      </c>
      <c r="X83" s="70">
        <f t="shared" si="37"/>
        <v>504740</v>
      </c>
      <c r="Y83" s="70">
        <f t="shared" si="37"/>
        <v>505569.5</v>
      </c>
      <c r="Z83" s="70">
        <f t="shared" si="37"/>
        <v>506399</v>
      </c>
      <c r="AA83" s="70">
        <f t="shared" si="37"/>
        <v>507228.5</v>
      </c>
      <c r="AB83" s="70">
        <f t="shared" si="37"/>
        <v>508058</v>
      </c>
      <c r="AC83" s="70">
        <f t="shared" si="37"/>
        <v>508887.5</v>
      </c>
      <c r="AD83" s="70">
        <f t="shared" si="37"/>
        <v>509717</v>
      </c>
      <c r="AE83" s="70">
        <f t="shared" si="37"/>
        <v>510587.975</v>
      </c>
      <c r="AF83" s="70">
        <f t="shared" si="37"/>
        <v>511458.95</v>
      </c>
      <c r="AG83" s="70">
        <f t="shared" si="37"/>
        <v>512329.925</v>
      </c>
      <c r="AH83" s="70">
        <f t="shared" si="37"/>
        <v>513200.9</v>
      </c>
      <c r="AI83" s="70">
        <f t="shared" si="37"/>
        <v>514071.875</v>
      </c>
      <c r="AJ83" s="70">
        <f t="shared" si="37"/>
        <v>514942.85</v>
      </c>
      <c r="AK83" s="70">
        <f t="shared" si="37"/>
        <v>515857.3738</v>
      </c>
      <c r="AL83" s="70">
        <f t="shared" si="37"/>
        <v>516771.8975</v>
      </c>
      <c r="AM83" s="70">
        <f t="shared" si="37"/>
        <v>517686.4213</v>
      </c>
      <c r="AN83" s="70">
        <f t="shared" si="37"/>
        <v>518600.945</v>
      </c>
      <c r="AO83" s="70">
        <f t="shared" si="37"/>
        <v>519515.4688</v>
      </c>
      <c r="AP83" s="70">
        <f t="shared" si="37"/>
        <v>520429.9925</v>
      </c>
      <c r="AQ83" s="70">
        <f t="shared" si="37"/>
        <v>521390.2424</v>
      </c>
      <c r="AR83" s="70">
        <f t="shared" si="37"/>
        <v>522350.4924</v>
      </c>
      <c r="AS83" s="70">
        <f t="shared" si="37"/>
        <v>523310.7423</v>
      </c>
      <c r="AT83" s="70">
        <f t="shared" si="37"/>
        <v>524270.9923</v>
      </c>
      <c r="AU83" s="70">
        <f t="shared" si="37"/>
        <v>525231.2422</v>
      </c>
      <c r="AV83" s="70">
        <f t="shared" si="37"/>
        <v>526191.4921</v>
      </c>
      <c r="AW83" s="70">
        <f t="shared" si="37"/>
        <v>527199.7546</v>
      </c>
      <c r="AX83" s="70">
        <f t="shared" si="37"/>
        <v>528208.017</v>
      </c>
      <c r="AY83" s="70">
        <f t="shared" si="37"/>
        <v>529216.2794</v>
      </c>
      <c r="AZ83" s="70">
        <f t="shared" si="37"/>
        <v>530224.5419</v>
      </c>
      <c r="BA83" s="70">
        <f t="shared" si="37"/>
        <v>531232.8043</v>
      </c>
      <c r="BB83" s="70">
        <f t="shared" si="37"/>
        <v>532241.0667</v>
      </c>
    </row>
    <row r="84">
      <c r="A84" s="1"/>
      <c r="B84" s="1"/>
      <c r="C84" s="30"/>
      <c r="E84" s="1"/>
      <c r="F84" s="1"/>
      <c r="G84" s="1"/>
      <c r="H84" s="1"/>
      <c r="I84" s="1"/>
      <c r="J84" s="1"/>
      <c r="K84" s="1"/>
      <c r="L84" s="1"/>
      <c r="M84" s="1"/>
      <c r="N84" s="1"/>
      <c r="O84" s="1"/>
      <c r="P84" s="1"/>
      <c r="Q84" s="1"/>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row>
    <row r="85">
      <c r="A85" s="1"/>
      <c r="B85" s="1" t="s">
        <v>489</v>
      </c>
      <c r="C85" s="144" t="str">
        <f>'Get Started'!$C$20</f>
        <v>$</v>
      </c>
      <c r="E85" s="1"/>
      <c r="F85" s="1"/>
      <c r="G85" s="79" t="s">
        <v>183</v>
      </c>
      <c r="H85" s="87">
        <f t="shared" ref="H85:H86" si="39">if(G85="sum",sum(S85:BB85),if(G85="final",iferror(index(S85:BB85,match(99^99,S85:BB85,1)),0),if(G85="initial",S85,if(G85="average",average(S85:BB85),0))))</f>
        <v>532777.105</v>
      </c>
      <c r="I85" s="1"/>
      <c r="J85" s="1"/>
      <c r="K85" s="1"/>
      <c r="L85" s="1"/>
      <c r="M85" s="1"/>
      <c r="N85" s="1"/>
      <c r="O85" s="1"/>
      <c r="P85" s="1"/>
      <c r="Q85" s="1"/>
      <c r="R85" s="67">
        <f>R83+R68+R75</f>
        <v>0</v>
      </c>
      <c r="S85" s="67">
        <f t="shared" ref="S85:BB85" si="38">if(S$5="","",S83+S68+S75)</f>
        <v>500790</v>
      </c>
      <c r="T85" s="67">
        <f t="shared" si="38"/>
        <v>501790</v>
      </c>
      <c r="U85" s="67">
        <f t="shared" si="38"/>
        <v>502790</v>
      </c>
      <c r="V85" s="67">
        <f t="shared" si="38"/>
        <v>503160</v>
      </c>
      <c r="W85" s="67">
        <f t="shared" si="38"/>
        <v>504160</v>
      </c>
      <c r="X85" s="67">
        <f t="shared" si="38"/>
        <v>505160</v>
      </c>
      <c r="Y85" s="67">
        <f t="shared" si="38"/>
        <v>505569.5</v>
      </c>
      <c r="Z85" s="67">
        <f t="shared" si="38"/>
        <v>506619.5</v>
      </c>
      <c r="AA85" s="67">
        <f t="shared" si="38"/>
        <v>507669.5</v>
      </c>
      <c r="AB85" s="67">
        <f t="shared" si="38"/>
        <v>508058</v>
      </c>
      <c r="AC85" s="67">
        <f t="shared" si="38"/>
        <v>509108</v>
      </c>
      <c r="AD85" s="67">
        <f t="shared" si="38"/>
        <v>510158</v>
      </c>
      <c r="AE85" s="67">
        <f t="shared" si="38"/>
        <v>510587.975</v>
      </c>
      <c r="AF85" s="67">
        <f t="shared" si="38"/>
        <v>511690.475</v>
      </c>
      <c r="AG85" s="67">
        <f t="shared" si="38"/>
        <v>512792.975</v>
      </c>
      <c r="AH85" s="67">
        <f t="shared" si="38"/>
        <v>513200.9</v>
      </c>
      <c r="AI85" s="67">
        <f t="shared" si="38"/>
        <v>514303.4</v>
      </c>
      <c r="AJ85" s="67">
        <f t="shared" si="38"/>
        <v>515405.9</v>
      </c>
      <c r="AK85" s="67">
        <f t="shared" si="38"/>
        <v>515857.3738</v>
      </c>
      <c r="AL85" s="67">
        <f t="shared" si="38"/>
        <v>517014.9988</v>
      </c>
      <c r="AM85" s="67">
        <f t="shared" si="38"/>
        <v>518172.6238</v>
      </c>
      <c r="AN85" s="67">
        <f t="shared" si="38"/>
        <v>518600.945</v>
      </c>
      <c r="AO85" s="67">
        <f t="shared" si="38"/>
        <v>519758.57</v>
      </c>
      <c r="AP85" s="67">
        <f t="shared" si="38"/>
        <v>520916.195</v>
      </c>
      <c r="AQ85" s="67">
        <f t="shared" si="38"/>
        <v>521390.2424</v>
      </c>
      <c r="AR85" s="67">
        <f t="shared" si="38"/>
        <v>522605.7487</v>
      </c>
      <c r="AS85" s="67">
        <f t="shared" si="38"/>
        <v>523821.2549</v>
      </c>
      <c r="AT85" s="67">
        <f t="shared" si="38"/>
        <v>524270.9923</v>
      </c>
      <c r="AU85" s="67">
        <f t="shared" si="38"/>
        <v>525486.4985</v>
      </c>
      <c r="AV85" s="67">
        <f t="shared" si="38"/>
        <v>526702.0048</v>
      </c>
      <c r="AW85" s="67">
        <f t="shared" si="38"/>
        <v>527199.7546</v>
      </c>
      <c r="AX85" s="67">
        <f t="shared" si="38"/>
        <v>528476.0361</v>
      </c>
      <c r="AY85" s="67">
        <f t="shared" si="38"/>
        <v>529752.3177</v>
      </c>
      <c r="AZ85" s="67">
        <f t="shared" si="38"/>
        <v>530224.5419</v>
      </c>
      <c r="BA85" s="67">
        <f t="shared" si="38"/>
        <v>531500.8234</v>
      </c>
      <c r="BB85" s="67">
        <f t="shared" si="38"/>
        <v>532777.105</v>
      </c>
    </row>
    <row r="86">
      <c r="A86" s="1"/>
      <c r="B86" s="1" t="s">
        <v>490</v>
      </c>
      <c r="C86" s="144" t="str">
        <f>'Get Started'!$C$20</f>
        <v>$</v>
      </c>
      <c r="E86" s="1"/>
      <c r="F86" s="1"/>
      <c r="G86" s="79" t="s">
        <v>193</v>
      </c>
      <c r="H86" s="87">
        <f t="shared" si="39"/>
        <v>0</v>
      </c>
      <c r="I86" s="1"/>
      <c r="J86" s="1" t="s">
        <v>491</v>
      </c>
      <c r="K86" s="1"/>
      <c r="L86" s="1"/>
      <c r="M86" s="1"/>
      <c r="N86" s="1"/>
      <c r="O86" s="1"/>
      <c r="P86" s="1"/>
      <c r="Q86" s="1"/>
      <c r="R86" s="67">
        <f>ROUND(R57-R85,5)</f>
        <v>0</v>
      </c>
      <c r="S86" s="67">
        <f t="shared" ref="S86:BB86" si="40">if(S$5="","",ROUND(S57-S85,5))</f>
        <v>0</v>
      </c>
      <c r="T86" s="67">
        <f t="shared" si="40"/>
        <v>0</v>
      </c>
      <c r="U86" s="67">
        <f t="shared" si="40"/>
        <v>0</v>
      </c>
      <c r="V86" s="67">
        <f t="shared" si="40"/>
        <v>0</v>
      </c>
      <c r="W86" s="67">
        <f t="shared" si="40"/>
        <v>0</v>
      </c>
      <c r="X86" s="67">
        <f t="shared" si="40"/>
        <v>0</v>
      </c>
      <c r="Y86" s="67">
        <f t="shared" si="40"/>
        <v>0</v>
      </c>
      <c r="Z86" s="67">
        <f t="shared" si="40"/>
        <v>0</v>
      </c>
      <c r="AA86" s="67">
        <f t="shared" si="40"/>
        <v>0</v>
      </c>
      <c r="AB86" s="67">
        <f t="shared" si="40"/>
        <v>0</v>
      </c>
      <c r="AC86" s="67">
        <f t="shared" si="40"/>
        <v>0</v>
      </c>
      <c r="AD86" s="67">
        <f t="shared" si="40"/>
        <v>0</v>
      </c>
      <c r="AE86" s="67">
        <f t="shared" si="40"/>
        <v>0</v>
      </c>
      <c r="AF86" s="67">
        <f t="shared" si="40"/>
        <v>0</v>
      </c>
      <c r="AG86" s="67">
        <f t="shared" si="40"/>
        <v>0</v>
      </c>
      <c r="AH86" s="67">
        <f t="shared" si="40"/>
        <v>0</v>
      </c>
      <c r="AI86" s="67">
        <f t="shared" si="40"/>
        <v>0</v>
      </c>
      <c r="AJ86" s="67">
        <f t="shared" si="40"/>
        <v>0</v>
      </c>
      <c r="AK86" s="67">
        <f t="shared" si="40"/>
        <v>0</v>
      </c>
      <c r="AL86" s="67">
        <f t="shared" si="40"/>
        <v>0</v>
      </c>
      <c r="AM86" s="67">
        <f t="shared" si="40"/>
        <v>0</v>
      </c>
      <c r="AN86" s="67">
        <f t="shared" si="40"/>
        <v>0</v>
      </c>
      <c r="AO86" s="67">
        <f t="shared" si="40"/>
        <v>0</v>
      </c>
      <c r="AP86" s="67">
        <f t="shared" si="40"/>
        <v>0</v>
      </c>
      <c r="AQ86" s="67">
        <f t="shared" si="40"/>
        <v>0</v>
      </c>
      <c r="AR86" s="67">
        <f t="shared" si="40"/>
        <v>0</v>
      </c>
      <c r="AS86" s="67">
        <f t="shared" si="40"/>
        <v>0</v>
      </c>
      <c r="AT86" s="67">
        <f t="shared" si="40"/>
        <v>0</v>
      </c>
      <c r="AU86" s="67">
        <f t="shared" si="40"/>
        <v>0</v>
      </c>
      <c r="AV86" s="67">
        <f t="shared" si="40"/>
        <v>0</v>
      </c>
      <c r="AW86" s="67">
        <f t="shared" si="40"/>
        <v>0</v>
      </c>
      <c r="AX86" s="67">
        <f t="shared" si="40"/>
        <v>0</v>
      </c>
      <c r="AY86" s="67">
        <f t="shared" si="40"/>
        <v>0</v>
      </c>
      <c r="AZ86" s="67">
        <f t="shared" si="40"/>
        <v>0</v>
      </c>
      <c r="BA86" s="67">
        <f t="shared" si="40"/>
        <v>0</v>
      </c>
      <c r="BB86" s="67">
        <f t="shared" si="40"/>
        <v>0</v>
      </c>
    </row>
    <row r="87">
      <c r="A87" s="1"/>
      <c r="B87" s="1"/>
      <c r="C87" s="30"/>
      <c r="E87" s="1"/>
      <c r="F87" s="1"/>
      <c r="G87" s="1"/>
      <c r="H87" s="1"/>
      <c r="I87" s="1"/>
      <c r="J87" s="1"/>
      <c r="K87" s="1"/>
      <c r="L87" s="1"/>
      <c r="M87" s="1"/>
      <c r="N87" s="1"/>
      <c r="O87" s="1"/>
      <c r="P87" s="1"/>
      <c r="Q87" s="1"/>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row>
    <row r="88">
      <c r="A88" s="1"/>
      <c r="B88" s="1"/>
      <c r="C88" s="30"/>
      <c r="E88" s="1"/>
      <c r="F88" s="1"/>
      <c r="G88" s="1"/>
      <c r="H88" s="1"/>
      <c r="I88" s="1"/>
      <c r="J88" s="1"/>
      <c r="K88" s="1"/>
      <c r="L88" s="1"/>
      <c r="M88" s="1"/>
      <c r="N88" s="1"/>
      <c r="O88" s="1"/>
      <c r="P88" s="1"/>
      <c r="Q88" s="1"/>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row>
    <row r="89">
      <c r="A89" s="1"/>
      <c r="B89" s="143" t="s">
        <v>172</v>
      </c>
      <c r="C89" s="30"/>
      <c r="E89" s="1"/>
      <c r="F89" s="1"/>
      <c r="G89" s="1"/>
      <c r="H89" s="1"/>
      <c r="I89" s="1"/>
      <c r="J89" s="1"/>
      <c r="K89" s="1"/>
      <c r="L89" s="1"/>
      <c r="M89" s="1"/>
      <c r="N89" s="1"/>
      <c r="O89" s="1"/>
      <c r="P89" s="1"/>
      <c r="Q89" s="1"/>
      <c r="R89" s="153"/>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row>
    <row r="90">
      <c r="A90" s="1"/>
      <c r="B90" s="1"/>
      <c r="C90" s="30"/>
      <c r="E90" s="1"/>
      <c r="F90" s="1"/>
      <c r="G90" s="1"/>
      <c r="H90" s="1"/>
      <c r="I90" s="1"/>
      <c r="J90" s="1"/>
      <c r="K90" s="1"/>
      <c r="L90" s="1"/>
      <c r="M90" s="1"/>
      <c r="N90" s="1"/>
      <c r="O90" s="1"/>
      <c r="P90" s="1"/>
      <c r="Q90" s="1"/>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row>
    <row r="91">
      <c r="A91" s="1"/>
      <c r="B91" s="1" t="s">
        <v>173</v>
      </c>
      <c r="C91" s="144" t="str">
        <f>'Get Started'!$C$20</f>
        <v>$</v>
      </c>
      <c r="E91" s="1"/>
      <c r="F91" s="1"/>
      <c r="G91" s="79" t="s">
        <v>196</v>
      </c>
      <c r="H91" s="87">
        <f t="array" ref="H91">if(G91="sum",sum(S91:BB91),if(G91="final",iferror(index(S91:BB91,match(99^99,S91:BB91,1)),0),if(G91="initial",S91,if(G91="average",average(S91:BB91),0))))</f>
        <v>0</v>
      </c>
      <c r="I91" s="1"/>
      <c r="J91" s="1" t="s">
        <v>492</v>
      </c>
      <c r="K91" s="1"/>
      <c r="L91" s="1"/>
      <c r="M91" s="1"/>
      <c r="N91" s="1"/>
      <c r="O91" s="1"/>
      <c r="P91" s="1"/>
      <c r="Q91" s="1"/>
      <c r="R91" s="67"/>
      <c r="S91" s="67">
        <f t="shared" ref="S91:BB91" si="41">if(S$5="","",R44)</f>
        <v>0</v>
      </c>
      <c r="T91" s="67">
        <f t="shared" si="41"/>
        <v>500790</v>
      </c>
      <c r="U91" s="67">
        <f t="shared" si="41"/>
        <v>501790</v>
      </c>
      <c r="V91" s="67">
        <f t="shared" si="41"/>
        <v>502790</v>
      </c>
      <c r="W91" s="67">
        <f t="shared" si="41"/>
        <v>503160</v>
      </c>
      <c r="X91" s="67">
        <f t="shared" si="41"/>
        <v>504160</v>
      </c>
      <c r="Y91" s="67">
        <f t="shared" si="41"/>
        <v>505160</v>
      </c>
      <c r="Z91" s="67">
        <f t="shared" si="41"/>
        <v>505569.5</v>
      </c>
      <c r="AA91" s="67">
        <f t="shared" si="41"/>
        <v>506619.5</v>
      </c>
      <c r="AB91" s="67">
        <f t="shared" si="41"/>
        <v>507669.5</v>
      </c>
      <c r="AC91" s="67">
        <f t="shared" si="41"/>
        <v>508058</v>
      </c>
      <c r="AD91" s="67">
        <f t="shared" si="41"/>
        <v>509108</v>
      </c>
      <c r="AE91" s="67">
        <f t="shared" si="41"/>
        <v>510158</v>
      </c>
      <c r="AF91" s="67">
        <f t="shared" si="41"/>
        <v>510587.975</v>
      </c>
      <c r="AG91" s="67">
        <f t="shared" si="41"/>
        <v>511690.475</v>
      </c>
      <c r="AH91" s="67">
        <f t="shared" si="41"/>
        <v>512792.975</v>
      </c>
      <c r="AI91" s="67">
        <f t="shared" si="41"/>
        <v>513200.9</v>
      </c>
      <c r="AJ91" s="67">
        <f t="shared" si="41"/>
        <v>514303.4</v>
      </c>
      <c r="AK91" s="67">
        <f t="shared" si="41"/>
        <v>515405.9</v>
      </c>
      <c r="AL91" s="67">
        <f t="shared" si="41"/>
        <v>515857.3738</v>
      </c>
      <c r="AM91" s="67">
        <f t="shared" si="41"/>
        <v>517014.9988</v>
      </c>
      <c r="AN91" s="67">
        <f t="shared" si="41"/>
        <v>518172.6238</v>
      </c>
      <c r="AO91" s="67">
        <f t="shared" si="41"/>
        <v>518600.945</v>
      </c>
      <c r="AP91" s="67">
        <f t="shared" si="41"/>
        <v>519758.57</v>
      </c>
      <c r="AQ91" s="67">
        <f t="shared" si="41"/>
        <v>520916.195</v>
      </c>
      <c r="AR91" s="67">
        <f t="shared" si="41"/>
        <v>521390.2424</v>
      </c>
      <c r="AS91" s="67">
        <f t="shared" si="41"/>
        <v>522605.7487</v>
      </c>
      <c r="AT91" s="67">
        <f t="shared" si="41"/>
        <v>523821.2549</v>
      </c>
      <c r="AU91" s="67">
        <f t="shared" si="41"/>
        <v>524270.9923</v>
      </c>
      <c r="AV91" s="67">
        <f t="shared" si="41"/>
        <v>525486.4985</v>
      </c>
      <c r="AW91" s="67">
        <f t="shared" si="41"/>
        <v>526702.0048</v>
      </c>
      <c r="AX91" s="67">
        <f t="shared" si="41"/>
        <v>527199.7546</v>
      </c>
      <c r="AY91" s="67">
        <f t="shared" si="41"/>
        <v>528476.0361</v>
      </c>
      <c r="AZ91" s="67">
        <f t="shared" si="41"/>
        <v>529752.3177</v>
      </c>
      <c r="BA91" s="67">
        <f t="shared" si="41"/>
        <v>530224.5419</v>
      </c>
      <c r="BB91" s="67">
        <f t="shared" si="41"/>
        <v>531500.8234</v>
      </c>
    </row>
    <row r="92">
      <c r="A92" s="1"/>
      <c r="B92" s="1"/>
      <c r="C92" s="30"/>
      <c r="E92" s="1"/>
      <c r="F92" s="1"/>
      <c r="G92" s="1"/>
      <c r="H92" s="1"/>
      <c r="I92" s="1"/>
      <c r="J92" s="1"/>
      <c r="K92" s="1"/>
      <c r="L92" s="1"/>
      <c r="M92" s="1"/>
      <c r="N92" s="1"/>
      <c r="O92" s="1"/>
      <c r="P92" s="1"/>
      <c r="Q92" s="1"/>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row>
    <row r="93">
      <c r="A93" s="1"/>
      <c r="B93" s="1" t="s">
        <v>174</v>
      </c>
      <c r="C93" s="30"/>
      <c r="E93" s="1"/>
      <c r="F93" s="1"/>
      <c r="G93" s="1"/>
      <c r="H93" s="1"/>
      <c r="I93" s="1"/>
      <c r="J93" s="1"/>
      <c r="K93" s="1"/>
      <c r="L93" s="1"/>
      <c r="M93" s="1"/>
      <c r="N93" s="1"/>
      <c r="O93" s="1"/>
      <c r="P93" s="1"/>
      <c r="Q93" s="1"/>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row>
    <row r="94">
      <c r="A94" s="1"/>
      <c r="B94" s="1" t="s">
        <v>171</v>
      </c>
      <c r="C94" s="144" t="str">
        <f>'Get Started'!$C$20</f>
        <v>$</v>
      </c>
      <c r="E94" s="1"/>
      <c r="F94" s="1"/>
      <c r="G94" s="79" t="s">
        <v>193</v>
      </c>
      <c r="H94" s="87">
        <f t="shared" ref="H94:H98" si="43">if(G94="sum",sum(S94:BB94),if(G94="final",iferror(index(S94:BB94,match(99^99,S94:BB94,1)),0),if(G94="initial",S94,if(G94="average",average(S94:BB94),0))))</f>
        <v>32241.06673</v>
      </c>
      <c r="I94" s="1"/>
      <c r="J94" s="1" t="s">
        <v>493</v>
      </c>
      <c r="K94" s="1"/>
      <c r="L94" s="1"/>
      <c r="M94" s="1"/>
      <c r="N94" s="1"/>
      <c r="O94" s="1"/>
      <c r="P94" s="1"/>
      <c r="Q94" s="1"/>
      <c r="R94" s="67"/>
      <c r="S94" s="67">
        <f t="shared" ref="S94:BB94" si="42">S36</f>
        <v>790</v>
      </c>
      <c r="T94" s="67">
        <f t="shared" si="42"/>
        <v>790</v>
      </c>
      <c r="U94" s="67">
        <f t="shared" si="42"/>
        <v>790</v>
      </c>
      <c r="V94" s="67">
        <f t="shared" si="42"/>
        <v>790</v>
      </c>
      <c r="W94" s="67">
        <f t="shared" si="42"/>
        <v>790</v>
      </c>
      <c r="X94" s="67">
        <f t="shared" si="42"/>
        <v>790</v>
      </c>
      <c r="Y94" s="67">
        <f t="shared" si="42"/>
        <v>829.5</v>
      </c>
      <c r="Z94" s="67">
        <f t="shared" si="42"/>
        <v>829.5</v>
      </c>
      <c r="AA94" s="67">
        <f t="shared" si="42"/>
        <v>829.5</v>
      </c>
      <c r="AB94" s="67">
        <f t="shared" si="42"/>
        <v>829.5</v>
      </c>
      <c r="AC94" s="67">
        <f t="shared" si="42"/>
        <v>829.5</v>
      </c>
      <c r="AD94" s="67">
        <f t="shared" si="42"/>
        <v>829.5</v>
      </c>
      <c r="AE94" s="67">
        <f t="shared" si="42"/>
        <v>870.975</v>
      </c>
      <c r="AF94" s="67">
        <f t="shared" si="42"/>
        <v>870.975</v>
      </c>
      <c r="AG94" s="67">
        <f t="shared" si="42"/>
        <v>870.975</v>
      </c>
      <c r="AH94" s="67">
        <f t="shared" si="42"/>
        <v>870.975</v>
      </c>
      <c r="AI94" s="67">
        <f t="shared" si="42"/>
        <v>870.975</v>
      </c>
      <c r="AJ94" s="67">
        <f t="shared" si="42"/>
        <v>870.975</v>
      </c>
      <c r="AK94" s="67">
        <f t="shared" si="42"/>
        <v>914.52375</v>
      </c>
      <c r="AL94" s="67">
        <f t="shared" si="42"/>
        <v>914.52375</v>
      </c>
      <c r="AM94" s="67">
        <f t="shared" si="42"/>
        <v>914.52375</v>
      </c>
      <c r="AN94" s="67">
        <f t="shared" si="42"/>
        <v>914.52375</v>
      </c>
      <c r="AO94" s="67">
        <f t="shared" si="42"/>
        <v>914.52375</v>
      </c>
      <c r="AP94" s="67">
        <f t="shared" si="42"/>
        <v>914.52375</v>
      </c>
      <c r="AQ94" s="67">
        <f t="shared" si="42"/>
        <v>960.2499375</v>
      </c>
      <c r="AR94" s="67">
        <f t="shared" si="42"/>
        <v>960.2499375</v>
      </c>
      <c r="AS94" s="67">
        <f t="shared" si="42"/>
        <v>960.2499375</v>
      </c>
      <c r="AT94" s="67">
        <f t="shared" si="42"/>
        <v>960.2499375</v>
      </c>
      <c r="AU94" s="67">
        <f t="shared" si="42"/>
        <v>960.2499375</v>
      </c>
      <c r="AV94" s="67">
        <f t="shared" si="42"/>
        <v>960.2499375</v>
      </c>
      <c r="AW94" s="67">
        <f t="shared" si="42"/>
        <v>1008.262434</v>
      </c>
      <c r="AX94" s="67">
        <f t="shared" si="42"/>
        <v>1008.262434</v>
      </c>
      <c r="AY94" s="67">
        <f t="shared" si="42"/>
        <v>1008.262434</v>
      </c>
      <c r="AZ94" s="67">
        <f t="shared" si="42"/>
        <v>1008.262434</v>
      </c>
      <c r="BA94" s="67">
        <f t="shared" si="42"/>
        <v>1008.262434</v>
      </c>
      <c r="BB94" s="67">
        <f t="shared" si="42"/>
        <v>1008.262434</v>
      </c>
    </row>
    <row r="95">
      <c r="A95" s="1"/>
      <c r="B95" s="1" t="s">
        <v>494</v>
      </c>
      <c r="C95" s="144" t="str">
        <f>'Get Started'!$C$20</f>
        <v>$</v>
      </c>
      <c r="E95" s="1"/>
      <c r="F95" s="1"/>
      <c r="G95" s="79" t="s">
        <v>193</v>
      </c>
      <c r="H95" s="87">
        <f t="shared" si="43"/>
        <v>0</v>
      </c>
      <c r="I95" s="1"/>
      <c r="J95" s="1" t="s">
        <v>495</v>
      </c>
      <c r="K95" s="1"/>
      <c r="L95" s="1"/>
      <c r="M95" s="1"/>
      <c r="N95" s="1"/>
      <c r="O95" s="1"/>
      <c r="P95" s="1"/>
      <c r="Q95" s="1"/>
      <c r="R95" s="67"/>
      <c r="S95" s="67">
        <f t="shared" ref="S95:BB95" si="44">S26</f>
        <v>0</v>
      </c>
      <c r="T95" s="67">
        <f t="shared" si="44"/>
        <v>0</v>
      </c>
      <c r="U95" s="67">
        <f t="shared" si="44"/>
        <v>0</v>
      </c>
      <c r="V95" s="67">
        <f t="shared" si="44"/>
        <v>0</v>
      </c>
      <c r="W95" s="67">
        <f t="shared" si="44"/>
        <v>0</v>
      </c>
      <c r="X95" s="67">
        <f t="shared" si="44"/>
        <v>0</v>
      </c>
      <c r="Y95" s="67">
        <f t="shared" si="44"/>
        <v>0</v>
      </c>
      <c r="Z95" s="67">
        <f t="shared" si="44"/>
        <v>0</v>
      </c>
      <c r="AA95" s="67">
        <f t="shared" si="44"/>
        <v>0</v>
      </c>
      <c r="AB95" s="67">
        <f t="shared" si="44"/>
        <v>0</v>
      </c>
      <c r="AC95" s="67">
        <f t="shared" si="44"/>
        <v>0</v>
      </c>
      <c r="AD95" s="67">
        <f t="shared" si="44"/>
        <v>0</v>
      </c>
      <c r="AE95" s="67">
        <f t="shared" si="44"/>
        <v>0</v>
      </c>
      <c r="AF95" s="67">
        <f t="shared" si="44"/>
        <v>0</v>
      </c>
      <c r="AG95" s="67">
        <f t="shared" si="44"/>
        <v>0</v>
      </c>
      <c r="AH95" s="67">
        <f t="shared" si="44"/>
        <v>0</v>
      </c>
      <c r="AI95" s="67">
        <f t="shared" si="44"/>
        <v>0</v>
      </c>
      <c r="AJ95" s="67">
        <f t="shared" si="44"/>
        <v>0</v>
      </c>
      <c r="AK95" s="67">
        <f t="shared" si="44"/>
        <v>0</v>
      </c>
      <c r="AL95" s="67">
        <f t="shared" si="44"/>
        <v>0</v>
      </c>
      <c r="AM95" s="67">
        <f t="shared" si="44"/>
        <v>0</v>
      </c>
      <c r="AN95" s="67">
        <f t="shared" si="44"/>
        <v>0</v>
      </c>
      <c r="AO95" s="67">
        <f t="shared" si="44"/>
        <v>0</v>
      </c>
      <c r="AP95" s="67">
        <f t="shared" si="44"/>
        <v>0</v>
      </c>
      <c r="AQ95" s="67">
        <f t="shared" si="44"/>
        <v>0</v>
      </c>
      <c r="AR95" s="67">
        <f t="shared" si="44"/>
        <v>0</v>
      </c>
      <c r="AS95" s="67">
        <f t="shared" si="44"/>
        <v>0</v>
      </c>
      <c r="AT95" s="67">
        <f t="shared" si="44"/>
        <v>0</v>
      </c>
      <c r="AU95" s="67">
        <f t="shared" si="44"/>
        <v>0</v>
      </c>
      <c r="AV95" s="67">
        <f t="shared" si="44"/>
        <v>0</v>
      </c>
      <c r="AW95" s="67">
        <f t="shared" si="44"/>
        <v>0</v>
      </c>
      <c r="AX95" s="67">
        <f t="shared" si="44"/>
        <v>0</v>
      </c>
      <c r="AY95" s="67">
        <f t="shared" si="44"/>
        <v>0</v>
      </c>
      <c r="AZ95" s="67">
        <f t="shared" si="44"/>
        <v>0</v>
      </c>
      <c r="BA95" s="67">
        <f t="shared" si="44"/>
        <v>0</v>
      </c>
      <c r="BB95" s="67">
        <f t="shared" si="44"/>
        <v>0</v>
      </c>
    </row>
    <row r="96">
      <c r="A96" s="1"/>
      <c r="B96" s="1" t="s">
        <v>496</v>
      </c>
      <c r="C96" s="144" t="str">
        <f>'Get Started'!$C$20</f>
        <v>$</v>
      </c>
      <c r="E96" s="1"/>
      <c r="F96" s="1"/>
      <c r="G96" s="79" t="s">
        <v>193</v>
      </c>
      <c r="H96" s="87">
        <f t="shared" si="43"/>
        <v>0</v>
      </c>
      <c r="I96" s="1"/>
      <c r="J96" s="1" t="s">
        <v>497</v>
      </c>
      <c r="K96" s="1"/>
      <c r="L96" s="1"/>
      <c r="M96" s="1"/>
      <c r="N96" s="1"/>
      <c r="O96" s="1"/>
      <c r="P96" s="1"/>
      <c r="Q96" s="1"/>
      <c r="R96" s="67"/>
      <c r="S96" s="67">
        <f t="shared" ref="S96:BB96" si="45">S27</f>
        <v>0</v>
      </c>
      <c r="T96" s="67">
        <f t="shared" si="45"/>
        <v>0</v>
      </c>
      <c r="U96" s="67">
        <f t="shared" si="45"/>
        <v>0</v>
      </c>
      <c r="V96" s="67">
        <f t="shared" si="45"/>
        <v>0</v>
      </c>
      <c r="W96" s="67">
        <f t="shared" si="45"/>
        <v>0</v>
      </c>
      <c r="X96" s="67">
        <f t="shared" si="45"/>
        <v>0</v>
      </c>
      <c r="Y96" s="67">
        <f t="shared" si="45"/>
        <v>0</v>
      </c>
      <c r="Z96" s="67">
        <f t="shared" si="45"/>
        <v>0</v>
      </c>
      <c r="AA96" s="67">
        <f t="shared" si="45"/>
        <v>0</v>
      </c>
      <c r="AB96" s="67">
        <f t="shared" si="45"/>
        <v>0</v>
      </c>
      <c r="AC96" s="67">
        <f t="shared" si="45"/>
        <v>0</v>
      </c>
      <c r="AD96" s="67">
        <f t="shared" si="45"/>
        <v>0</v>
      </c>
      <c r="AE96" s="67">
        <f t="shared" si="45"/>
        <v>0</v>
      </c>
      <c r="AF96" s="67">
        <f t="shared" si="45"/>
        <v>0</v>
      </c>
      <c r="AG96" s="67">
        <f t="shared" si="45"/>
        <v>0</v>
      </c>
      <c r="AH96" s="67">
        <f t="shared" si="45"/>
        <v>0</v>
      </c>
      <c r="AI96" s="67">
        <f t="shared" si="45"/>
        <v>0</v>
      </c>
      <c r="AJ96" s="67">
        <f t="shared" si="45"/>
        <v>0</v>
      </c>
      <c r="AK96" s="67">
        <f t="shared" si="45"/>
        <v>0</v>
      </c>
      <c r="AL96" s="67">
        <f t="shared" si="45"/>
        <v>0</v>
      </c>
      <c r="AM96" s="67">
        <f t="shared" si="45"/>
        <v>0</v>
      </c>
      <c r="AN96" s="67">
        <f t="shared" si="45"/>
        <v>0</v>
      </c>
      <c r="AO96" s="67">
        <f t="shared" si="45"/>
        <v>0</v>
      </c>
      <c r="AP96" s="67">
        <f t="shared" si="45"/>
        <v>0</v>
      </c>
      <c r="AQ96" s="67">
        <f t="shared" si="45"/>
        <v>0</v>
      </c>
      <c r="AR96" s="67">
        <f t="shared" si="45"/>
        <v>0</v>
      </c>
      <c r="AS96" s="67">
        <f t="shared" si="45"/>
        <v>0</v>
      </c>
      <c r="AT96" s="67">
        <f t="shared" si="45"/>
        <v>0</v>
      </c>
      <c r="AU96" s="67">
        <f t="shared" si="45"/>
        <v>0</v>
      </c>
      <c r="AV96" s="67">
        <f t="shared" si="45"/>
        <v>0</v>
      </c>
      <c r="AW96" s="67">
        <f t="shared" si="45"/>
        <v>0</v>
      </c>
      <c r="AX96" s="67">
        <f t="shared" si="45"/>
        <v>0</v>
      </c>
      <c r="AY96" s="67">
        <f t="shared" si="45"/>
        <v>0</v>
      </c>
      <c r="AZ96" s="67">
        <f t="shared" si="45"/>
        <v>0</v>
      </c>
      <c r="BA96" s="67">
        <f t="shared" si="45"/>
        <v>0</v>
      </c>
      <c r="BB96" s="67">
        <f t="shared" si="45"/>
        <v>0</v>
      </c>
    </row>
    <row r="97">
      <c r="A97" s="1"/>
      <c r="B97" s="1" t="s">
        <v>498</v>
      </c>
      <c r="C97" s="144" t="str">
        <f>'Get Started'!$C$20</f>
        <v>$</v>
      </c>
      <c r="E97" s="1"/>
      <c r="F97" s="1"/>
      <c r="G97" s="79" t="s">
        <v>193</v>
      </c>
      <c r="H97" s="87">
        <f t="shared" si="43"/>
        <v>536.0382563</v>
      </c>
      <c r="I97" s="1"/>
      <c r="J97" s="1" t="s">
        <v>499</v>
      </c>
      <c r="K97" s="1"/>
      <c r="L97" s="1"/>
      <c r="M97" s="1"/>
      <c r="N97" s="1"/>
      <c r="O97" s="1"/>
      <c r="P97" s="1"/>
      <c r="Q97" s="1"/>
      <c r="R97" s="67"/>
      <c r="S97" s="67">
        <f t="shared" ref="S97:BB97" si="46">if(S$5="","",-(S45-R45)-(S47-R47)-(S46-R46)-(S48-R48)+(S60-R60)+(S61-R61)+(S62-R62)+(S63-R63)+(S64-R64)+(S65-R65)+(S66-R66)+(S74-R74)+(S73-R73))</f>
        <v>0</v>
      </c>
      <c r="T97" s="67">
        <f t="shared" si="46"/>
        <v>210</v>
      </c>
      <c r="U97" s="67">
        <f t="shared" si="46"/>
        <v>210</v>
      </c>
      <c r="V97" s="67">
        <f t="shared" si="46"/>
        <v>-420</v>
      </c>
      <c r="W97" s="67">
        <f t="shared" si="46"/>
        <v>210</v>
      </c>
      <c r="X97" s="67">
        <f t="shared" si="46"/>
        <v>210</v>
      </c>
      <c r="Y97" s="67">
        <f t="shared" si="46"/>
        <v>-420</v>
      </c>
      <c r="Z97" s="67">
        <f t="shared" si="46"/>
        <v>220.5</v>
      </c>
      <c r="AA97" s="67">
        <f t="shared" si="46"/>
        <v>220.5</v>
      </c>
      <c r="AB97" s="67">
        <f t="shared" si="46"/>
        <v>-441</v>
      </c>
      <c r="AC97" s="67">
        <f t="shared" si="46"/>
        <v>220.5</v>
      </c>
      <c r="AD97" s="67">
        <f t="shared" si="46"/>
        <v>220.5</v>
      </c>
      <c r="AE97" s="67">
        <f t="shared" si="46"/>
        <v>-441</v>
      </c>
      <c r="AF97" s="67">
        <f t="shared" si="46"/>
        <v>231.525</v>
      </c>
      <c r="AG97" s="67">
        <f t="shared" si="46"/>
        <v>231.525</v>
      </c>
      <c r="AH97" s="67">
        <f t="shared" si="46"/>
        <v>-463.05</v>
      </c>
      <c r="AI97" s="67">
        <f t="shared" si="46"/>
        <v>231.525</v>
      </c>
      <c r="AJ97" s="67">
        <f t="shared" si="46"/>
        <v>231.525</v>
      </c>
      <c r="AK97" s="67">
        <f t="shared" si="46"/>
        <v>-463.05</v>
      </c>
      <c r="AL97" s="67">
        <f t="shared" si="46"/>
        <v>243.10125</v>
      </c>
      <c r="AM97" s="67">
        <f t="shared" si="46"/>
        <v>243.10125</v>
      </c>
      <c r="AN97" s="67">
        <f t="shared" si="46"/>
        <v>-486.2025</v>
      </c>
      <c r="AO97" s="67">
        <f t="shared" si="46"/>
        <v>243.10125</v>
      </c>
      <c r="AP97" s="67">
        <f t="shared" si="46"/>
        <v>243.10125</v>
      </c>
      <c r="AQ97" s="67">
        <f t="shared" si="46"/>
        <v>-486.2025</v>
      </c>
      <c r="AR97" s="67">
        <f t="shared" si="46"/>
        <v>255.2563125</v>
      </c>
      <c r="AS97" s="67">
        <f t="shared" si="46"/>
        <v>255.2563125</v>
      </c>
      <c r="AT97" s="67">
        <f t="shared" si="46"/>
        <v>-510.512625</v>
      </c>
      <c r="AU97" s="67">
        <f t="shared" si="46"/>
        <v>255.2563125</v>
      </c>
      <c r="AV97" s="67">
        <f t="shared" si="46"/>
        <v>255.2563125</v>
      </c>
      <c r="AW97" s="67">
        <f t="shared" si="46"/>
        <v>-510.512625</v>
      </c>
      <c r="AX97" s="67">
        <f t="shared" si="46"/>
        <v>268.0191281</v>
      </c>
      <c r="AY97" s="67">
        <f t="shared" si="46"/>
        <v>268.0191281</v>
      </c>
      <c r="AZ97" s="67">
        <f t="shared" si="46"/>
        <v>-536.0382563</v>
      </c>
      <c r="BA97" s="67">
        <f t="shared" si="46"/>
        <v>268.0191281</v>
      </c>
      <c r="BB97" s="67">
        <f t="shared" si="46"/>
        <v>268.0191281</v>
      </c>
    </row>
    <row r="98">
      <c r="A98" s="1"/>
      <c r="B98" s="1" t="s">
        <v>500</v>
      </c>
      <c r="C98" s="144" t="str">
        <f>'Get Started'!$C$20</f>
        <v>$</v>
      </c>
      <c r="E98" s="1"/>
      <c r="F98" s="1"/>
      <c r="G98" s="79" t="s">
        <v>193</v>
      </c>
      <c r="H98" s="87">
        <f t="shared" si="43"/>
        <v>32777.10499</v>
      </c>
      <c r="I98" s="1"/>
      <c r="J98" s="1" t="s">
        <v>501</v>
      </c>
      <c r="K98" s="1"/>
      <c r="L98" s="1"/>
      <c r="M98" s="1"/>
      <c r="N98" s="1"/>
      <c r="O98" s="1"/>
      <c r="P98" s="1"/>
      <c r="Q98" s="1"/>
      <c r="R98" s="145" t="str">
        <f>B98</f>
        <v>Net Cash Flow from Operations</v>
      </c>
      <c r="S98" s="70">
        <f t="shared" ref="S98:BB98" si="47">if(S$5="","",SUM(S94:S97))</f>
        <v>790</v>
      </c>
      <c r="T98" s="70">
        <f t="shared" si="47"/>
        <v>1000</v>
      </c>
      <c r="U98" s="70">
        <f t="shared" si="47"/>
        <v>1000</v>
      </c>
      <c r="V98" s="70">
        <f t="shared" si="47"/>
        <v>370</v>
      </c>
      <c r="W98" s="70">
        <f t="shared" si="47"/>
        <v>1000</v>
      </c>
      <c r="X98" s="70">
        <f t="shared" si="47"/>
        <v>1000</v>
      </c>
      <c r="Y98" s="70">
        <f t="shared" si="47"/>
        <v>409.5</v>
      </c>
      <c r="Z98" s="70">
        <f t="shared" si="47"/>
        <v>1050</v>
      </c>
      <c r="AA98" s="70">
        <f t="shared" si="47"/>
        <v>1050</v>
      </c>
      <c r="AB98" s="70">
        <f t="shared" si="47"/>
        <v>388.5</v>
      </c>
      <c r="AC98" s="70">
        <f t="shared" si="47"/>
        <v>1050</v>
      </c>
      <c r="AD98" s="70">
        <f t="shared" si="47"/>
        <v>1050</v>
      </c>
      <c r="AE98" s="70">
        <f t="shared" si="47"/>
        <v>429.975</v>
      </c>
      <c r="AF98" s="70">
        <f t="shared" si="47"/>
        <v>1102.5</v>
      </c>
      <c r="AG98" s="70">
        <f t="shared" si="47"/>
        <v>1102.5</v>
      </c>
      <c r="AH98" s="70">
        <f t="shared" si="47"/>
        <v>407.925</v>
      </c>
      <c r="AI98" s="70">
        <f t="shared" si="47"/>
        <v>1102.5</v>
      </c>
      <c r="AJ98" s="70">
        <f t="shared" si="47"/>
        <v>1102.5</v>
      </c>
      <c r="AK98" s="70">
        <f t="shared" si="47"/>
        <v>451.47375</v>
      </c>
      <c r="AL98" s="70">
        <f t="shared" si="47"/>
        <v>1157.625</v>
      </c>
      <c r="AM98" s="70">
        <f t="shared" si="47"/>
        <v>1157.625</v>
      </c>
      <c r="AN98" s="70">
        <f t="shared" si="47"/>
        <v>428.32125</v>
      </c>
      <c r="AO98" s="70">
        <f t="shared" si="47"/>
        <v>1157.625</v>
      </c>
      <c r="AP98" s="70">
        <f t="shared" si="47"/>
        <v>1157.625</v>
      </c>
      <c r="AQ98" s="70">
        <f t="shared" si="47"/>
        <v>474.0474375</v>
      </c>
      <c r="AR98" s="70">
        <f t="shared" si="47"/>
        <v>1215.50625</v>
      </c>
      <c r="AS98" s="70">
        <f t="shared" si="47"/>
        <v>1215.50625</v>
      </c>
      <c r="AT98" s="70">
        <f t="shared" si="47"/>
        <v>449.7373125</v>
      </c>
      <c r="AU98" s="70">
        <f t="shared" si="47"/>
        <v>1215.50625</v>
      </c>
      <c r="AV98" s="70">
        <f t="shared" si="47"/>
        <v>1215.50625</v>
      </c>
      <c r="AW98" s="70">
        <f t="shared" si="47"/>
        <v>497.7498094</v>
      </c>
      <c r="AX98" s="70">
        <f t="shared" si="47"/>
        <v>1276.281563</v>
      </c>
      <c r="AY98" s="70">
        <f t="shared" si="47"/>
        <v>1276.281563</v>
      </c>
      <c r="AZ98" s="70">
        <f t="shared" si="47"/>
        <v>472.2241781</v>
      </c>
      <c r="BA98" s="70">
        <f t="shared" si="47"/>
        <v>1276.281563</v>
      </c>
      <c r="BB98" s="70">
        <f t="shared" si="47"/>
        <v>1276.281563</v>
      </c>
    </row>
    <row r="99">
      <c r="A99" s="1"/>
      <c r="B99" s="1"/>
      <c r="C99" s="30"/>
      <c r="E99" s="1"/>
      <c r="F99" s="1"/>
      <c r="G99" s="1"/>
      <c r="H99" s="1"/>
      <c r="I99" s="1"/>
      <c r="J99" s="1"/>
      <c r="K99" s="1"/>
      <c r="L99" s="1"/>
      <c r="M99" s="1"/>
      <c r="N99" s="1"/>
      <c r="O99" s="1"/>
      <c r="P99" s="1"/>
      <c r="Q99" s="1"/>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row>
    <row r="100">
      <c r="A100" s="1"/>
      <c r="B100" s="1" t="s">
        <v>175</v>
      </c>
      <c r="C100" s="30"/>
      <c r="E100" s="1"/>
      <c r="F100" s="1"/>
      <c r="G100" s="1"/>
      <c r="H100" s="1"/>
      <c r="I100" s="1"/>
      <c r="J100" s="1"/>
      <c r="K100" s="1"/>
      <c r="L100" s="1"/>
      <c r="M100" s="1"/>
      <c r="N100" s="1"/>
      <c r="O100" s="1"/>
      <c r="P100" s="1"/>
      <c r="Q100" s="1"/>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row>
    <row r="101">
      <c r="A101" s="1"/>
      <c r="B101" s="1" t="s">
        <v>246</v>
      </c>
      <c r="C101" s="144" t="str">
        <f>'Get Started'!$C$20</f>
        <v>$</v>
      </c>
      <c r="E101" s="1"/>
      <c r="F101" s="1"/>
      <c r="G101" s="79" t="s">
        <v>193</v>
      </c>
      <c r="H101" s="87">
        <f t="shared" ref="H101:H103" si="48">if(G101="sum",sum(S101:BB101),if(G101="final",iferror(index(S101:BB101,match(99^99,S101:BB101,1)),0),if(G101="initial",S101,if(G101="average",average(S101:BB101),0))))</f>
        <v>0</v>
      </c>
      <c r="I101" s="1"/>
      <c r="J101" s="1" t="s">
        <v>502</v>
      </c>
      <c r="K101" s="1"/>
      <c r="L101" s="1"/>
      <c r="M101" s="1"/>
      <c r="N101" s="1"/>
      <c r="O101" s="1"/>
      <c r="P101" s="1"/>
      <c r="Q101" s="1"/>
      <c r="R101" s="67"/>
      <c r="S101" s="67">
        <f>if(S$5="","",-1*ABS(Forecast!T70))</f>
        <v>0</v>
      </c>
      <c r="T101" s="67">
        <f>if(T$5="","",-1*ABS(Forecast!U70))</f>
        <v>0</v>
      </c>
      <c r="U101" s="67">
        <f>if(U$5="","",-1*ABS(Forecast!V70))</f>
        <v>0</v>
      </c>
      <c r="V101" s="67">
        <f>if(V$5="","",-1*ABS(Forecast!W70))</f>
        <v>0</v>
      </c>
      <c r="W101" s="67">
        <f>if(W$5="","",-1*ABS(Forecast!X70))</f>
        <v>0</v>
      </c>
      <c r="X101" s="67">
        <f>if(X$5="","",-1*ABS(Forecast!Y70))</f>
        <v>0</v>
      </c>
      <c r="Y101" s="67">
        <f>if(Y$5="","",-1*ABS(Forecast!Z70))</f>
        <v>0</v>
      </c>
      <c r="Z101" s="67">
        <f>if(Z$5="","",-1*ABS(Forecast!AA70))</f>
        <v>0</v>
      </c>
      <c r="AA101" s="67">
        <f>if(AA$5="","",-1*ABS(Forecast!AB70))</f>
        <v>0</v>
      </c>
      <c r="AB101" s="67">
        <f>if(AB$5="","",-1*ABS(Forecast!AC70))</f>
        <v>0</v>
      </c>
      <c r="AC101" s="67">
        <f>if(AC$5="","",-1*ABS(Forecast!AD70))</f>
        <v>0</v>
      </c>
      <c r="AD101" s="67">
        <f>if(AD$5="","",-1*ABS(Forecast!AE70))</f>
        <v>0</v>
      </c>
      <c r="AE101" s="67">
        <f>if(AE$5="","",-1*ABS(Forecast!AF70))</f>
        <v>0</v>
      </c>
      <c r="AF101" s="67">
        <f>if(AF$5="","",-1*ABS(Forecast!AG70))</f>
        <v>0</v>
      </c>
      <c r="AG101" s="67">
        <f>if(AG$5="","",-1*ABS(Forecast!AH70))</f>
        <v>0</v>
      </c>
      <c r="AH101" s="67">
        <f>if(AH$5="","",-1*ABS(Forecast!AI70))</f>
        <v>0</v>
      </c>
      <c r="AI101" s="67">
        <f>if(AI$5="","",-1*ABS(Forecast!AJ70))</f>
        <v>0</v>
      </c>
      <c r="AJ101" s="67">
        <f>if(AJ$5="","",-1*ABS(Forecast!AK70))</f>
        <v>0</v>
      </c>
      <c r="AK101" s="67">
        <f>if(AK$5="","",-1*ABS(Forecast!AL70))</f>
        <v>0</v>
      </c>
      <c r="AL101" s="67">
        <f>if(AL$5="","",-1*ABS(Forecast!AM70))</f>
        <v>0</v>
      </c>
      <c r="AM101" s="67">
        <f>if(AM$5="","",-1*ABS(Forecast!AN70))</f>
        <v>0</v>
      </c>
      <c r="AN101" s="67">
        <f>if(AN$5="","",-1*ABS(Forecast!AO70))</f>
        <v>0</v>
      </c>
      <c r="AO101" s="67">
        <f>if(AO$5="","",-1*ABS(Forecast!AP70))</f>
        <v>0</v>
      </c>
      <c r="AP101" s="67">
        <f>if(AP$5="","",-1*ABS(Forecast!AQ70))</f>
        <v>0</v>
      </c>
      <c r="AQ101" s="67">
        <f>if(AQ$5="","",-1*ABS(Forecast!AR70))</f>
        <v>0</v>
      </c>
      <c r="AR101" s="67">
        <f>if(AR$5="","",-1*ABS(Forecast!AS70))</f>
        <v>0</v>
      </c>
      <c r="AS101" s="67">
        <f>if(AS$5="","",-1*ABS(Forecast!AT70))</f>
        <v>0</v>
      </c>
      <c r="AT101" s="67">
        <f>if(AT$5="","",-1*ABS(Forecast!AU70))</f>
        <v>0</v>
      </c>
      <c r="AU101" s="67">
        <f>if(AU$5="","",-1*ABS(Forecast!AV70))</f>
        <v>0</v>
      </c>
      <c r="AV101" s="67">
        <f>if(AV$5="","",-1*ABS(Forecast!AW70))</f>
        <v>0</v>
      </c>
      <c r="AW101" s="67">
        <f>if(AW$5="","",-1*ABS(Forecast!AX70))</f>
        <v>0</v>
      </c>
      <c r="AX101" s="67">
        <f>if(AX$5="","",-1*ABS(Forecast!AY70))</f>
        <v>0</v>
      </c>
      <c r="AY101" s="67">
        <f>if(AY$5="","",-1*ABS(Forecast!AZ70))</f>
        <v>0</v>
      </c>
      <c r="AZ101" s="67">
        <f>if(AZ$5="","",-1*ABS(Forecast!BA70))</f>
        <v>0</v>
      </c>
      <c r="BA101" s="67">
        <f>if(BA$5="","",-1*ABS(Forecast!BB70))</f>
        <v>0</v>
      </c>
      <c r="BB101" s="67">
        <f>if(BB$5="","",-1*ABS(Forecast!BC70))</f>
        <v>0</v>
      </c>
    </row>
    <row r="102">
      <c r="A102" s="1"/>
      <c r="B102" s="1" t="s">
        <v>248</v>
      </c>
      <c r="C102" s="144" t="str">
        <f>'Get Started'!$C$20</f>
        <v>$</v>
      </c>
      <c r="E102" s="1"/>
      <c r="F102" s="1"/>
      <c r="G102" s="79" t="s">
        <v>193</v>
      </c>
      <c r="H102" s="87">
        <f t="shared" si="48"/>
        <v>0</v>
      </c>
      <c r="I102" s="1"/>
      <c r="J102" s="1" t="s">
        <v>503</v>
      </c>
      <c r="K102" s="1"/>
      <c r="L102" s="1"/>
      <c r="M102" s="1"/>
      <c r="N102" s="1"/>
      <c r="O102" s="1"/>
      <c r="P102" s="1"/>
      <c r="Q102" s="1"/>
      <c r="R102" s="67"/>
      <c r="S102" s="67">
        <f>if(S$5="","",-1*ABS(Forecast!T71))</f>
        <v>0</v>
      </c>
      <c r="T102" s="67">
        <f>if(T$5="","",-1*ABS(Forecast!U71))</f>
        <v>0</v>
      </c>
      <c r="U102" s="67">
        <f>if(U$5="","",-1*ABS(Forecast!V71))</f>
        <v>0</v>
      </c>
      <c r="V102" s="67">
        <f>if(V$5="","",-1*ABS(Forecast!W71))</f>
        <v>0</v>
      </c>
      <c r="W102" s="67">
        <f>if(W$5="","",-1*ABS(Forecast!X71))</f>
        <v>0</v>
      </c>
      <c r="X102" s="67">
        <f>if(X$5="","",-1*ABS(Forecast!Y71))</f>
        <v>0</v>
      </c>
      <c r="Y102" s="67">
        <f>if(Y$5="","",-1*ABS(Forecast!Z71))</f>
        <v>0</v>
      </c>
      <c r="Z102" s="67">
        <f>if(Z$5="","",-1*ABS(Forecast!AA71))</f>
        <v>0</v>
      </c>
      <c r="AA102" s="67">
        <f>if(AA$5="","",-1*ABS(Forecast!AB71))</f>
        <v>0</v>
      </c>
      <c r="AB102" s="67">
        <f>if(AB$5="","",-1*ABS(Forecast!AC71))</f>
        <v>0</v>
      </c>
      <c r="AC102" s="67">
        <f>if(AC$5="","",-1*ABS(Forecast!AD71))</f>
        <v>0</v>
      </c>
      <c r="AD102" s="67">
        <f>if(AD$5="","",-1*ABS(Forecast!AE71))</f>
        <v>0</v>
      </c>
      <c r="AE102" s="67">
        <f>if(AE$5="","",-1*ABS(Forecast!AF71))</f>
        <v>0</v>
      </c>
      <c r="AF102" s="67">
        <f>if(AF$5="","",-1*ABS(Forecast!AG71))</f>
        <v>0</v>
      </c>
      <c r="AG102" s="67">
        <f>if(AG$5="","",-1*ABS(Forecast!AH71))</f>
        <v>0</v>
      </c>
      <c r="AH102" s="67">
        <f>if(AH$5="","",-1*ABS(Forecast!AI71))</f>
        <v>0</v>
      </c>
      <c r="AI102" s="67">
        <f>if(AI$5="","",-1*ABS(Forecast!AJ71))</f>
        <v>0</v>
      </c>
      <c r="AJ102" s="67">
        <f>if(AJ$5="","",-1*ABS(Forecast!AK71))</f>
        <v>0</v>
      </c>
      <c r="AK102" s="67">
        <f>if(AK$5="","",-1*ABS(Forecast!AL71))</f>
        <v>0</v>
      </c>
      <c r="AL102" s="67">
        <f>if(AL$5="","",-1*ABS(Forecast!AM71))</f>
        <v>0</v>
      </c>
      <c r="AM102" s="67">
        <f>if(AM$5="","",-1*ABS(Forecast!AN71))</f>
        <v>0</v>
      </c>
      <c r="AN102" s="67">
        <f>if(AN$5="","",-1*ABS(Forecast!AO71))</f>
        <v>0</v>
      </c>
      <c r="AO102" s="67">
        <f>if(AO$5="","",-1*ABS(Forecast!AP71))</f>
        <v>0</v>
      </c>
      <c r="AP102" s="67">
        <f>if(AP$5="","",-1*ABS(Forecast!AQ71))</f>
        <v>0</v>
      </c>
      <c r="AQ102" s="67">
        <f>if(AQ$5="","",-1*ABS(Forecast!AR71))</f>
        <v>0</v>
      </c>
      <c r="AR102" s="67">
        <f>if(AR$5="","",-1*ABS(Forecast!AS71))</f>
        <v>0</v>
      </c>
      <c r="AS102" s="67">
        <f>if(AS$5="","",-1*ABS(Forecast!AT71))</f>
        <v>0</v>
      </c>
      <c r="AT102" s="67">
        <f>if(AT$5="","",-1*ABS(Forecast!AU71))</f>
        <v>0</v>
      </c>
      <c r="AU102" s="67">
        <f>if(AU$5="","",-1*ABS(Forecast!AV71))</f>
        <v>0</v>
      </c>
      <c r="AV102" s="67">
        <f>if(AV$5="","",-1*ABS(Forecast!AW71))</f>
        <v>0</v>
      </c>
      <c r="AW102" s="67">
        <f>if(AW$5="","",-1*ABS(Forecast!AX71))</f>
        <v>0</v>
      </c>
      <c r="AX102" s="67">
        <f>if(AX$5="","",-1*ABS(Forecast!AY71))</f>
        <v>0</v>
      </c>
      <c r="AY102" s="67">
        <f>if(AY$5="","",-1*ABS(Forecast!AZ71))</f>
        <v>0</v>
      </c>
      <c r="AZ102" s="67">
        <f>if(AZ$5="","",-1*ABS(Forecast!BA71))</f>
        <v>0</v>
      </c>
      <c r="BA102" s="67">
        <f>if(BA$5="","",-1*ABS(Forecast!BB71))</f>
        <v>0</v>
      </c>
      <c r="BB102" s="67">
        <f>if(BB$5="","",-1*ABS(Forecast!BC71))</f>
        <v>0</v>
      </c>
    </row>
    <row r="103">
      <c r="A103" s="1"/>
      <c r="B103" s="1" t="s">
        <v>175</v>
      </c>
      <c r="C103" s="144" t="str">
        <f>'Get Started'!$C$20</f>
        <v>$</v>
      </c>
      <c r="E103" s="1"/>
      <c r="F103" s="1"/>
      <c r="G103" s="79" t="s">
        <v>193</v>
      </c>
      <c r="H103" s="87">
        <f t="shared" si="48"/>
        <v>0</v>
      </c>
      <c r="I103" s="1"/>
      <c r="J103" s="1" t="s">
        <v>504</v>
      </c>
      <c r="K103" s="1"/>
      <c r="L103" s="1"/>
      <c r="M103" s="1"/>
      <c r="N103" s="1"/>
      <c r="O103" s="1"/>
      <c r="P103" s="1"/>
      <c r="Q103" s="1"/>
      <c r="R103" s="145" t="str">
        <f>B103</f>
        <v>Cash Flow from Investing</v>
      </c>
      <c r="S103" s="70">
        <f t="shared" ref="S103:BB103" si="49">if(S$5="","",sum(S101:S102))</f>
        <v>0</v>
      </c>
      <c r="T103" s="70">
        <f t="shared" si="49"/>
        <v>0</v>
      </c>
      <c r="U103" s="70">
        <f t="shared" si="49"/>
        <v>0</v>
      </c>
      <c r="V103" s="70">
        <f t="shared" si="49"/>
        <v>0</v>
      </c>
      <c r="W103" s="70">
        <f t="shared" si="49"/>
        <v>0</v>
      </c>
      <c r="X103" s="70">
        <f t="shared" si="49"/>
        <v>0</v>
      </c>
      <c r="Y103" s="70">
        <f t="shared" si="49"/>
        <v>0</v>
      </c>
      <c r="Z103" s="70">
        <f t="shared" si="49"/>
        <v>0</v>
      </c>
      <c r="AA103" s="70">
        <f t="shared" si="49"/>
        <v>0</v>
      </c>
      <c r="AB103" s="70">
        <f t="shared" si="49"/>
        <v>0</v>
      </c>
      <c r="AC103" s="70">
        <f t="shared" si="49"/>
        <v>0</v>
      </c>
      <c r="AD103" s="70">
        <f t="shared" si="49"/>
        <v>0</v>
      </c>
      <c r="AE103" s="70">
        <f t="shared" si="49"/>
        <v>0</v>
      </c>
      <c r="AF103" s="70">
        <f t="shared" si="49"/>
        <v>0</v>
      </c>
      <c r="AG103" s="70">
        <f t="shared" si="49"/>
        <v>0</v>
      </c>
      <c r="AH103" s="70">
        <f t="shared" si="49"/>
        <v>0</v>
      </c>
      <c r="AI103" s="70">
        <f t="shared" si="49"/>
        <v>0</v>
      </c>
      <c r="AJ103" s="70">
        <f t="shared" si="49"/>
        <v>0</v>
      </c>
      <c r="AK103" s="70">
        <f t="shared" si="49"/>
        <v>0</v>
      </c>
      <c r="AL103" s="70">
        <f t="shared" si="49"/>
        <v>0</v>
      </c>
      <c r="AM103" s="70">
        <f t="shared" si="49"/>
        <v>0</v>
      </c>
      <c r="AN103" s="70">
        <f t="shared" si="49"/>
        <v>0</v>
      </c>
      <c r="AO103" s="70">
        <f t="shared" si="49"/>
        <v>0</v>
      </c>
      <c r="AP103" s="70">
        <f t="shared" si="49"/>
        <v>0</v>
      </c>
      <c r="AQ103" s="70">
        <f t="shared" si="49"/>
        <v>0</v>
      </c>
      <c r="AR103" s="70">
        <f t="shared" si="49"/>
        <v>0</v>
      </c>
      <c r="AS103" s="70">
        <f t="shared" si="49"/>
        <v>0</v>
      </c>
      <c r="AT103" s="70">
        <f t="shared" si="49"/>
        <v>0</v>
      </c>
      <c r="AU103" s="70">
        <f t="shared" si="49"/>
        <v>0</v>
      </c>
      <c r="AV103" s="70">
        <f t="shared" si="49"/>
        <v>0</v>
      </c>
      <c r="AW103" s="70">
        <f t="shared" si="49"/>
        <v>0</v>
      </c>
      <c r="AX103" s="70">
        <f t="shared" si="49"/>
        <v>0</v>
      </c>
      <c r="AY103" s="70">
        <f t="shared" si="49"/>
        <v>0</v>
      </c>
      <c r="AZ103" s="70">
        <f t="shared" si="49"/>
        <v>0</v>
      </c>
      <c r="BA103" s="70">
        <f t="shared" si="49"/>
        <v>0</v>
      </c>
      <c r="BB103" s="70">
        <f t="shared" si="49"/>
        <v>0</v>
      </c>
    </row>
    <row r="104">
      <c r="A104" s="1"/>
      <c r="B104" s="1"/>
      <c r="C104" s="30"/>
      <c r="E104" s="1"/>
      <c r="F104" s="1"/>
      <c r="G104" s="1"/>
      <c r="H104" s="1"/>
      <c r="I104" s="1"/>
      <c r="J104" s="1"/>
      <c r="K104" s="1"/>
      <c r="L104" s="1"/>
      <c r="M104" s="1"/>
      <c r="N104" s="1"/>
      <c r="O104" s="1"/>
      <c r="P104" s="1"/>
      <c r="Q104" s="1"/>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row>
    <row r="105">
      <c r="A105" s="1"/>
      <c r="B105" s="1" t="s">
        <v>176</v>
      </c>
      <c r="C105" s="30"/>
      <c r="E105" s="1"/>
      <c r="F105" s="1"/>
      <c r="G105" s="1"/>
      <c r="H105" s="1"/>
      <c r="I105" s="1"/>
      <c r="J105" s="1"/>
      <c r="K105" s="1"/>
      <c r="L105" s="1"/>
      <c r="M105" s="1"/>
      <c r="N105" s="1"/>
      <c r="O105" s="1"/>
      <c r="P105" s="1"/>
      <c r="Q105" s="1"/>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row>
    <row r="106">
      <c r="A106" s="1"/>
      <c r="B106" s="22" t="s">
        <v>505</v>
      </c>
      <c r="C106" s="144" t="str">
        <f>'Get Started'!$C$20</f>
        <v>$</v>
      </c>
      <c r="E106" s="1"/>
      <c r="F106" s="1"/>
      <c r="G106" s="79" t="s">
        <v>193</v>
      </c>
      <c r="H106" s="87">
        <f t="shared" ref="H106:H113" si="50">if(G106="sum",sum(S106:BB106),if(G106="final",iferror(index(S106:BB106,match(99^99,S106:BB106,1)),0),if(G106="initial",S106,if(G106="average",average(S106:BB106),0))))</f>
        <v>0</v>
      </c>
      <c r="I106" s="1"/>
      <c r="J106" s="1" t="s">
        <v>506</v>
      </c>
      <c r="K106" s="1"/>
      <c r="L106" s="1"/>
      <c r="M106" s="1"/>
      <c r="N106" s="1"/>
      <c r="O106" s="1"/>
      <c r="P106" s="1"/>
      <c r="Q106" s="1"/>
      <c r="R106" s="67"/>
      <c r="S106" s="67">
        <f>Forecast!T80</f>
        <v>0</v>
      </c>
      <c r="T106" s="67">
        <f>Forecast!U80</f>
        <v>0</v>
      </c>
      <c r="U106" s="67">
        <f>Forecast!V80</f>
        <v>0</v>
      </c>
      <c r="V106" s="67">
        <f>Forecast!W80</f>
        <v>0</v>
      </c>
      <c r="W106" s="67">
        <f>Forecast!X80</f>
        <v>0</v>
      </c>
      <c r="X106" s="67">
        <f>Forecast!Y80</f>
        <v>0</v>
      </c>
      <c r="Y106" s="67">
        <f>Forecast!Z80</f>
        <v>0</v>
      </c>
      <c r="Z106" s="67">
        <f>Forecast!AA80</f>
        <v>0</v>
      </c>
      <c r="AA106" s="67">
        <f>Forecast!AB80</f>
        <v>0</v>
      </c>
      <c r="AB106" s="67">
        <f>Forecast!AC80</f>
        <v>0</v>
      </c>
      <c r="AC106" s="67">
        <f>Forecast!AD80</f>
        <v>0</v>
      </c>
      <c r="AD106" s="67">
        <f>Forecast!AE80</f>
        <v>0</v>
      </c>
      <c r="AE106" s="67">
        <f>Forecast!AF80</f>
        <v>0</v>
      </c>
      <c r="AF106" s="67">
        <f>Forecast!AG80</f>
        <v>0</v>
      </c>
      <c r="AG106" s="67">
        <f>Forecast!AH80</f>
        <v>0</v>
      </c>
      <c r="AH106" s="67">
        <f>Forecast!AI80</f>
        <v>0</v>
      </c>
      <c r="AI106" s="67">
        <f>Forecast!AJ80</f>
        <v>0</v>
      </c>
      <c r="AJ106" s="67">
        <f>Forecast!AK80</f>
        <v>0</v>
      </c>
      <c r="AK106" s="67">
        <f>Forecast!AL80</f>
        <v>0</v>
      </c>
      <c r="AL106" s="67">
        <f>Forecast!AM80</f>
        <v>0</v>
      </c>
      <c r="AM106" s="67">
        <f>Forecast!AN80</f>
        <v>0</v>
      </c>
      <c r="AN106" s="67">
        <f>Forecast!AO80</f>
        <v>0</v>
      </c>
      <c r="AO106" s="67">
        <f>Forecast!AP80</f>
        <v>0</v>
      </c>
      <c r="AP106" s="67">
        <f>Forecast!AQ80</f>
        <v>0</v>
      </c>
      <c r="AQ106" s="67">
        <f>Forecast!AR80</f>
        <v>0</v>
      </c>
      <c r="AR106" s="67">
        <f>Forecast!AS80</f>
        <v>0</v>
      </c>
      <c r="AS106" s="67">
        <f>Forecast!AT80</f>
        <v>0</v>
      </c>
      <c r="AT106" s="67">
        <f>Forecast!AU80</f>
        <v>0</v>
      </c>
      <c r="AU106" s="67">
        <f>Forecast!AV80</f>
        <v>0</v>
      </c>
      <c r="AV106" s="67">
        <f>Forecast!AW80</f>
        <v>0</v>
      </c>
      <c r="AW106" s="67">
        <f>Forecast!AX80</f>
        <v>0</v>
      </c>
      <c r="AX106" s="67">
        <f>Forecast!AY80</f>
        <v>0</v>
      </c>
      <c r="AY106" s="67">
        <f>Forecast!AZ80</f>
        <v>0</v>
      </c>
      <c r="AZ106" s="67">
        <f>Forecast!BA80</f>
        <v>0</v>
      </c>
      <c r="BA106" s="67">
        <f>Forecast!BB80</f>
        <v>0</v>
      </c>
      <c r="BB106" s="67">
        <f>Forecast!BC80</f>
        <v>0</v>
      </c>
    </row>
    <row r="107">
      <c r="A107" s="1"/>
      <c r="B107" s="22" t="s">
        <v>507</v>
      </c>
      <c r="C107" s="144" t="str">
        <f>'Get Started'!$C$20</f>
        <v>$</v>
      </c>
      <c r="E107" s="1"/>
      <c r="F107" s="1"/>
      <c r="G107" s="79" t="s">
        <v>193</v>
      </c>
      <c r="H107" s="87">
        <f t="shared" si="50"/>
        <v>500000</v>
      </c>
      <c r="I107" s="1"/>
      <c r="J107" s="1" t="s">
        <v>506</v>
      </c>
      <c r="K107" s="1"/>
      <c r="L107" s="1"/>
      <c r="M107" s="1"/>
      <c r="N107" s="1"/>
      <c r="O107" s="1"/>
      <c r="P107" s="1"/>
      <c r="Q107" s="1"/>
      <c r="R107" s="67"/>
      <c r="S107" s="67">
        <f>Forecast!T81</f>
        <v>500000</v>
      </c>
      <c r="T107" s="67">
        <f>Forecast!U81</f>
        <v>0</v>
      </c>
      <c r="U107" s="67">
        <f>Forecast!V81</f>
        <v>0</v>
      </c>
      <c r="V107" s="67">
        <f>Forecast!W81</f>
        <v>0</v>
      </c>
      <c r="W107" s="67">
        <f>Forecast!X81</f>
        <v>0</v>
      </c>
      <c r="X107" s="67">
        <f>Forecast!Y81</f>
        <v>0</v>
      </c>
      <c r="Y107" s="67">
        <f>Forecast!Z81</f>
        <v>0</v>
      </c>
      <c r="Z107" s="67">
        <f>Forecast!AA81</f>
        <v>0</v>
      </c>
      <c r="AA107" s="67">
        <f>Forecast!AB81</f>
        <v>0</v>
      </c>
      <c r="AB107" s="67">
        <f>Forecast!AC81</f>
        <v>0</v>
      </c>
      <c r="AC107" s="67">
        <f>Forecast!AD81</f>
        <v>0</v>
      </c>
      <c r="AD107" s="67">
        <f>Forecast!AE81</f>
        <v>0</v>
      </c>
      <c r="AE107" s="67">
        <f>Forecast!AF81</f>
        <v>0</v>
      </c>
      <c r="AF107" s="67">
        <f>Forecast!AG81</f>
        <v>0</v>
      </c>
      <c r="AG107" s="67">
        <f>Forecast!AH81</f>
        <v>0</v>
      </c>
      <c r="AH107" s="67">
        <f>Forecast!AI81</f>
        <v>0</v>
      </c>
      <c r="AI107" s="67">
        <f>Forecast!AJ81</f>
        <v>0</v>
      </c>
      <c r="AJ107" s="67">
        <f>Forecast!AK81</f>
        <v>0</v>
      </c>
      <c r="AK107" s="67">
        <f>Forecast!AL81</f>
        <v>0</v>
      </c>
      <c r="AL107" s="67">
        <f>Forecast!AM81</f>
        <v>0</v>
      </c>
      <c r="AM107" s="67">
        <f>Forecast!AN81</f>
        <v>0</v>
      </c>
      <c r="AN107" s="67">
        <f>Forecast!AO81</f>
        <v>0</v>
      </c>
      <c r="AO107" s="67">
        <f>Forecast!AP81</f>
        <v>0</v>
      </c>
      <c r="AP107" s="67">
        <f>Forecast!AQ81</f>
        <v>0</v>
      </c>
      <c r="AQ107" s="67">
        <f>Forecast!AR81</f>
        <v>0</v>
      </c>
      <c r="AR107" s="67">
        <f>Forecast!AS81</f>
        <v>0</v>
      </c>
      <c r="AS107" s="67">
        <f>Forecast!AT81</f>
        <v>0</v>
      </c>
      <c r="AT107" s="67">
        <f>Forecast!AU81</f>
        <v>0</v>
      </c>
      <c r="AU107" s="67">
        <f>Forecast!AV81</f>
        <v>0</v>
      </c>
      <c r="AV107" s="67">
        <f>Forecast!AW81</f>
        <v>0</v>
      </c>
      <c r="AW107" s="67">
        <f>Forecast!AX81</f>
        <v>0</v>
      </c>
      <c r="AX107" s="67">
        <f>Forecast!AY81</f>
        <v>0</v>
      </c>
      <c r="AY107" s="67">
        <f>Forecast!AZ81</f>
        <v>0</v>
      </c>
      <c r="AZ107" s="67">
        <f>Forecast!BA81</f>
        <v>0</v>
      </c>
      <c r="BA107" s="67">
        <f>Forecast!BB81</f>
        <v>0</v>
      </c>
      <c r="BB107" s="67">
        <f>Forecast!BC81</f>
        <v>0</v>
      </c>
    </row>
    <row r="108">
      <c r="A108" s="1"/>
      <c r="B108" s="22" t="s">
        <v>508</v>
      </c>
      <c r="C108" s="144" t="str">
        <f>'Get Started'!$C$20</f>
        <v>$</v>
      </c>
      <c r="E108" s="1"/>
      <c r="F108" s="1"/>
      <c r="G108" s="79" t="s">
        <v>193</v>
      </c>
      <c r="H108" s="87">
        <f t="shared" si="50"/>
        <v>0</v>
      </c>
      <c r="I108" s="1"/>
      <c r="J108" s="1" t="s">
        <v>509</v>
      </c>
      <c r="K108" s="1"/>
      <c r="L108" s="1"/>
      <c r="M108" s="1"/>
      <c r="N108" s="1"/>
      <c r="O108" s="1"/>
      <c r="P108" s="1"/>
      <c r="Q108" s="1"/>
      <c r="R108" s="67"/>
      <c r="S108" s="67">
        <f>Forecast!T82</f>
        <v>0</v>
      </c>
      <c r="T108" s="67">
        <f>Forecast!U82</f>
        <v>0</v>
      </c>
      <c r="U108" s="67">
        <f>Forecast!V82</f>
        <v>0</v>
      </c>
      <c r="V108" s="67">
        <f>Forecast!W82</f>
        <v>0</v>
      </c>
      <c r="W108" s="67">
        <f>Forecast!X82</f>
        <v>0</v>
      </c>
      <c r="X108" s="67">
        <f>Forecast!Y82</f>
        <v>0</v>
      </c>
      <c r="Y108" s="67">
        <f>Forecast!Z82</f>
        <v>0</v>
      </c>
      <c r="Z108" s="67">
        <f>Forecast!AA82</f>
        <v>0</v>
      </c>
      <c r="AA108" s="67">
        <f>Forecast!AB82</f>
        <v>0</v>
      </c>
      <c r="AB108" s="67">
        <f>Forecast!AC82</f>
        <v>0</v>
      </c>
      <c r="AC108" s="67">
        <f>Forecast!AD82</f>
        <v>0</v>
      </c>
      <c r="AD108" s="67">
        <f>Forecast!AE82</f>
        <v>0</v>
      </c>
      <c r="AE108" s="67">
        <f>Forecast!AF82</f>
        <v>0</v>
      </c>
      <c r="AF108" s="67">
        <f>Forecast!AG82</f>
        <v>0</v>
      </c>
      <c r="AG108" s="67">
        <f>Forecast!AH82</f>
        <v>0</v>
      </c>
      <c r="AH108" s="67">
        <f>Forecast!AI82</f>
        <v>0</v>
      </c>
      <c r="AI108" s="67">
        <f>Forecast!AJ82</f>
        <v>0</v>
      </c>
      <c r="AJ108" s="67">
        <f>Forecast!AK82</f>
        <v>0</v>
      </c>
      <c r="AK108" s="67">
        <f>Forecast!AL82</f>
        <v>0</v>
      </c>
      <c r="AL108" s="67">
        <f>Forecast!AM82</f>
        <v>0</v>
      </c>
      <c r="AM108" s="67">
        <f>Forecast!AN82</f>
        <v>0</v>
      </c>
      <c r="AN108" s="67">
        <f>Forecast!AO82</f>
        <v>0</v>
      </c>
      <c r="AO108" s="67">
        <f>Forecast!AP82</f>
        <v>0</v>
      </c>
      <c r="AP108" s="67">
        <f>Forecast!AQ82</f>
        <v>0</v>
      </c>
      <c r="AQ108" s="67">
        <f>Forecast!AR82</f>
        <v>0</v>
      </c>
      <c r="AR108" s="67">
        <f>Forecast!AS82</f>
        <v>0</v>
      </c>
      <c r="AS108" s="67">
        <f>Forecast!AT82</f>
        <v>0</v>
      </c>
      <c r="AT108" s="67">
        <f>Forecast!AU82</f>
        <v>0</v>
      </c>
      <c r="AU108" s="67">
        <f>Forecast!AV82</f>
        <v>0</v>
      </c>
      <c r="AV108" s="67">
        <f>Forecast!AW82</f>
        <v>0</v>
      </c>
      <c r="AW108" s="67">
        <f>Forecast!AX82</f>
        <v>0</v>
      </c>
      <c r="AX108" s="67">
        <f>Forecast!AY82</f>
        <v>0</v>
      </c>
      <c r="AY108" s="67">
        <f>Forecast!AZ82</f>
        <v>0</v>
      </c>
      <c r="AZ108" s="67">
        <f>Forecast!BA82</f>
        <v>0</v>
      </c>
      <c r="BA108" s="67">
        <f>Forecast!BB82</f>
        <v>0</v>
      </c>
      <c r="BB108" s="67">
        <f>Forecast!BC82</f>
        <v>0</v>
      </c>
    </row>
    <row r="109">
      <c r="A109" s="1"/>
      <c r="B109" s="1" t="s">
        <v>510</v>
      </c>
      <c r="C109" s="144" t="str">
        <f>'Get Started'!$C$20</f>
        <v>$</v>
      </c>
      <c r="E109" s="1"/>
      <c r="F109" s="1"/>
      <c r="G109" s="79" t="s">
        <v>193</v>
      </c>
      <c r="H109" s="87">
        <f t="shared" si="50"/>
        <v>0</v>
      </c>
      <c r="I109" s="1"/>
      <c r="J109" s="1" t="s">
        <v>511</v>
      </c>
      <c r="K109" s="1"/>
      <c r="L109" s="1"/>
      <c r="M109" s="1"/>
      <c r="N109" s="1"/>
      <c r="O109" s="1"/>
      <c r="P109" s="1"/>
      <c r="Q109" s="1"/>
      <c r="R109" s="67"/>
      <c r="S109" s="67">
        <f>Forecast!T83</f>
        <v>0</v>
      </c>
      <c r="T109" s="67">
        <f>Forecast!U83</f>
        <v>0</v>
      </c>
      <c r="U109" s="67">
        <f>Forecast!V83</f>
        <v>0</v>
      </c>
      <c r="V109" s="67">
        <f>Forecast!W83</f>
        <v>0</v>
      </c>
      <c r="W109" s="67">
        <f>Forecast!X83</f>
        <v>0</v>
      </c>
      <c r="X109" s="67">
        <f>Forecast!Y83</f>
        <v>0</v>
      </c>
      <c r="Y109" s="67">
        <f>Forecast!Z83</f>
        <v>0</v>
      </c>
      <c r="Z109" s="67">
        <f>Forecast!AA83</f>
        <v>0</v>
      </c>
      <c r="AA109" s="67">
        <f>Forecast!AB83</f>
        <v>0</v>
      </c>
      <c r="AB109" s="67">
        <f>Forecast!AC83</f>
        <v>0</v>
      </c>
      <c r="AC109" s="67">
        <f>Forecast!AD83</f>
        <v>0</v>
      </c>
      <c r="AD109" s="67">
        <f>Forecast!AE83</f>
        <v>0</v>
      </c>
      <c r="AE109" s="67">
        <f>Forecast!AF83</f>
        <v>0</v>
      </c>
      <c r="AF109" s="67">
        <f>Forecast!AG83</f>
        <v>0</v>
      </c>
      <c r="AG109" s="67">
        <f>Forecast!AH83</f>
        <v>0</v>
      </c>
      <c r="AH109" s="67">
        <f>Forecast!AI83</f>
        <v>0</v>
      </c>
      <c r="AI109" s="67">
        <f>Forecast!AJ83</f>
        <v>0</v>
      </c>
      <c r="AJ109" s="67">
        <f>Forecast!AK83</f>
        <v>0</v>
      </c>
      <c r="AK109" s="67">
        <f>Forecast!AL83</f>
        <v>0</v>
      </c>
      <c r="AL109" s="67">
        <f>Forecast!AM83</f>
        <v>0</v>
      </c>
      <c r="AM109" s="67">
        <f>Forecast!AN83</f>
        <v>0</v>
      </c>
      <c r="AN109" s="67">
        <f>Forecast!AO83</f>
        <v>0</v>
      </c>
      <c r="AO109" s="67">
        <f>Forecast!AP83</f>
        <v>0</v>
      </c>
      <c r="AP109" s="67">
        <f>Forecast!AQ83</f>
        <v>0</v>
      </c>
      <c r="AQ109" s="67">
        <f>Forecast!AR83</f>
        <v>0</v>
      </c>
      <c r="AR109" s="67">
        <f>Forecast!AS83</f>
        <v>0</v>
      </c>
      <c r="AS109" s="67">
        <f>Forecast!AT83</f>
        <v>0</v>
      </c>
      <c r="AT109" s="67">
        <f>Forecast!AU83</f>
        <v>0</v>
      </c>
      <c r="AU109" s="67">
        <f>Forecast!AV83</f>
        <v>0</v>
      </c>
      <c r="AV109" s="67">
        <f>Forecast!AW83</f>
        <v>0</v>
      </c>
      <c r="AW109" s="67">
        <f>Forecast!AX83</f>
        <v>0</v>
      </c>
      <c r="AX109" s="67">
        <f>Forecast!AY83</f>
        <v>0</v>
      </c>
      <c r="AY109" s="67">
        <f>Forecast!AZ83</f>
        <v>0</v>
      </c>
      <c r="AZ109" s="67">
        <f>Forecast!BA83</f>
        <v>0</v>
      </c>
      <c r="BA109" s="67">
        <f>Forecast!BB83</f>
        <v>0</v>
      </c>
      <c r="BB109" s="67">
        <f>Forecast!BC83</f>
        <v>0</v>
      </c>
    </row>
    <row r="110">
      <c r="A110" s="1"/>
      <c r="B110" s="1" t="s">
        <v>512</v>
      </c>
      <c r="C110" s="144" t="str">
        <f>'Get Started'!$C$20</f>
        <v>$</v>
      </c>
      <c r="E110" s="1"/>
      <c r="F110" s="1"/>
      <c r="G110" s="79" t="s">
        <v>193</v>
      </c>
      <c r="H110" s="87">
        <f t="shared" si="50"/>
        <v>0</v>
      </c>
      <c r="I110" s="1"/>
      <c r="J110" s="1" t="s">
        <v>513</v>
      </c>
      <c r="K110" s="1"/>
      <c r="L110" s="1"/>
      <c r="M110" s="1"/>
      <c r="N110" s="1"/>
      <c r="O110" s="1"/>
      <c r="P110" s="1"/>
      <c r="Q110" s="1"/>
      <c r="R110" s="67"/>
      <c r="S110" s="67">
        <f t="shared" ref="S110:BB110" si="51">if(S$5="","",S78-R78)</f>
        <v>0</v>
      </c>
      <c r="T110" s="67">
        <f t="shared" si="51"/>
        <v>0</v>
      </c>
      <c r="U110" s="67">
        <f t="shared" si="51"/>
        <v>0</v>
      </c>
      <c r="V110" s="67">
        <f t="shared" si="51"/>
        <v>0</v>
      </c>
      <c r="W110" s="67">
        <f t="shared" si="51"/>
        <v>0</v>
      </c>
      <c r="X110" s="67">
        <f t="shared" si="51"/>
        <v>0</v>
      </c>
      <c r="Y110" s="67">
        <f t="shared" si="51"/>
        <v>0</v>
      </c>
      <c r="Z110" s="67">
        <f t="shared" si="51"/>
        <v>0</v>
      </c>
      <c r="AA110" s="67">
        <f t="shared" si="51"/>
        <v>0</v>
      </c>
      <c r="AB110" s="67">
        <f t="shared" si="51"/>
        <v>0</v>
      </c>
      <c r="AC110" s="67">
        <f t="shared" si="51"/>
        <v>0</v>
      </c>
      <c r="AD110" s="67">
        <f t="shared" si="51"/>
        <v>0</v>
      </c>
      <c r="AE110" s="67">
        <f t="shared" si="51"/>
        <v>0</v>
      </c>
      <c r="AF110" s="67">
        <f t="shared" si="51"/>
        <v>0</v>
      </c>
      <c r="AG110" s="67">
        <f t="shared" si="51"/>
        <v>0</v>
      </c>
      <c r="AH110" s="67">
        <f t="shared" si="51"/>
        <v>0</v>
      </c>
      <c r="AI110" s="67">
        <f t="shared" si="51"/>
        <v>0</v>
      </c>
      <c r="AJ110" s="67">
        <f t="shared" si="51"/>
        <v>0</v>
      </c>
      <c r="AK110" s="67">
        <f t="shared" si="51"/>
        <v>0</v>
      </c>
      <c r="AL110" s="67">
        <f t="shared" si="51"/>
        <v>0</v>
      </c>
      <c r="AM110" s="67">
        <f t="shared" si="51"/>
        <v>0</v>
      </c>
      <c r="AN110" s="67">
        <f t="shared" si="51"/>
        <v>0</v>
      </c>
      <c r="AO110" s="67">
        <f t="shared" si="51"/>
        <v>0</v>
      </c>
      <c r="AP110" s="67">
        <f t="shared" si="51"/>
        <v>0</v>
      </c>
      <c r="AQ110" s="67">
        <f t="shared" si="51"/>
        <v>0</v>
      </c>
      <c r="AR110" s="67">
        <f t="shared" si="51"/>
        <v>0</v>
      </c>
      <c r="AS110" s="67">
        <f t="shared" si="51"/>
        <v>0</v>
      </c>
      <c r="AT110" s="67">
        <f t="shared" si="51"/>
        <v>0</v>
      </c>
      <c r="AU110" s="67">
        <f t="shared" si="51"/>
        <v>0</v>
      </c>
      <c r="AV110" s="67">
        <f t="shared" si="51"/>
        <v>0</v>
      </c>
      <c r="AW110" s="67">
        <f t="shared" si="51"/>
        <v>0</v>
      </c>
      <c r="AX110" s="67">
        <f t="shared" si="51"/>
        <v>0</v>
      </c>
      <c r="AY110" s="67">
        <f t="shared" si="51"/>
        <v>0</v>
      </c>
      <c r="AZ110" s="67">
        <f t="shared" si="51"/>
        <v>0</v>
      </c>
      <c r="BA110" s="67">
        <f t="shared" si="51"/>
        <v>0</v>
      </c>
      <c r="BB110" s="67">
        <f t="shared" si="51"/>
        <v>0</v>
      </c>
    </row>
    <row r="111">
      <c r="A111" s="1"/>
      <c r="B111" s="1" t="s">
        <v>272</v>
      </c>
      <c r="C111" s="144" t="str">
        <f>'Get Started'!$C$20</f>
        <v>$</v>
      </c>
      <c r="E111" s="1"/>
      <c r="F111" s="1"/>
      <c r="G111" s="79" t="s">
        <v>193</v>
      </c>
      <c r="H111" s="87">
        <f t="shared" si="50"/>
        <v>0</v>
      </c>
      <c r="I111" s="1"/>
      <c r="J111" s="1" t="s">
        <v>514</v>
      </c>
      <c r="K111" s="1"/>
      <c r="L111" s="1"/>
      <c r="M111" s="1"/>
      <c r="N111" s="1"/>
      <c r="O111" s="1"/>
      <c r="P111" s="1"/>
      <c r="Q111" s="1"/>
      <c r="R111" s="67"/>
      <c r="S111" s="67">
        <f>if(S$5="","",-1*ABS(Forecast!T85))</f>
        <v>0</v>
      </c>
      <c r="T111" s="67">
        <f>if(T$5="","",-1*ABS(Forecast!U85))</f>
        <v>0</v>
      </c>
      <c r="U111" s="67">
        <f>if(U$5="","",-1*ABS(Forecast!V85))</f>
        <v>0</v>
      </c>
      <c r="V111" s="67">
        <f>if(V$5="","",-1*ABS(Forecast!W85))</f>
        <v>0</v>
      </c>
      <c r="W111" s="67">
        <f>if(W$5="","",-1*ABS(Forecast!X85))</f>
        <v>0</v>
      </c>
      <c r="X111" s="67">
        <f>if(X$5="","",-1*ABS(Forecast!Y85))</f>
        <v>0</v>
      </c>
      <c r="Y111" s="67">
        <f>if(Y$5="","",-1*ABS(Forecast!Z85))</f>
        <v>0</v>
      </c>
      <c r="Z111" s="67">
        <f>if(Z$5="","",-1*ABS(Forecast!AA85))</f>
        <v>0</v>
      </c>
      <c r="AA111" s="67">
        <f>if(AA$5="","",-1*ABS(Forecast!AB85))</f>
        <v>0</v>
      </c>
      <c r="AB111" s="67">
        <f>if(AB$5="","",-1*ABS(Forecast!AC85))</f>
        <v>0</v>
      </c>
      <c r="AC111" s="67">
        <f>if(AC$5="","",-1*ABS(Forecast!AD85))</f>
        <v>0</v>
      </c>
      <c r="AD111" s="67">
        <f>if(AD$5="","",-1*ABS(Forecast!AE85))</f>
        <v>0</v>
      </c>
      <c r="AE111" s="67">
        <f>if(AE$5="","",-1*ABS(Forecast!AF85))</f>
        <v>0</v>
      </c>
      <c r="AF111" s="67">
        <f>if(AF$5="","",-1*ABS(Forecast!AG85))</f>
        <v>0</v>
      </c>
      <c r="AG111" s="67">
        <f>if(AG$5="","",-1*ABS(Forecast!AH85))</f>
        <v>0</v>
      </c>
      <c r="AH111" s="67">
        <f>if(AH$5="","",-1*ABS(Forecast!AI85))</f>
        <v>0</v>
      </c>
      <c r="AI111" s="67">
        <f>if(AI$5="","",-1*ABS(Forecast!AJ85))</f>
        <v>0</v>
      </c>
      <c r="AJ111" s="67">
        <f>if(AJ$5="","",-1*ABS(Forecast!AK85))</f>
        <v>0</v>
      </c>
      <c r="AK111" s="67">
        <f>if(AK$5="","",-1*ABS(Forecast!AL85))</f>
        <v>0</v>
      </c>
      <c r="AL111" s="67">
        <f>if(AL$5="","",-1*ABS(Forecast!AM85))</f>
        <v>0</v>
      </c>
      <c r="AM111" s="67">
        <f>if(AM$5="","",-1*ABS(Forecast!AN85))</f>
        <v>0</v>
      </c>
      <c r="AN111" s="67">
        <f>if(AN$5="","",-1*ABS(Forecast!AO85))</f>
        <v>0</v>
      </c>
      <c r="AO111" s="67">
        <f>if(AO$5="","",-1*ABS(Forecast!AP85))</f>
        <v>0</v>
      </c>
      <c r="AP111" s="67">
        <f>if(AP$5="","",-1*ABS(Forecast!AQ85))</f>
        <v>0</v>
      </c>
      <c r="AQ111" s="67">
        <f>if(AQ$5="","",-1*ABS(Forecast!AR85))</f>
        <v>0</v>
      </c>
      <c r="AR111" s="67">
        <f>if(AR$5="","",-1*ABS(Forecast!AS85))</f>
        <v>0</v>
      </c>
      <c r="AS111" s="67">
        <f>if(AS$5="","",-1*ABS(Forecast!AT85))</f>
        <v>0</v>
      </c>
      <c r="AT111" s="67">
        <f>if(AT$5="","",-1*ABS(Forecast!AU85))</f>
        <v>0</v>
      </c>
      <c r="AU111" s="67">
        <f>if(AU$5="","",-1*ABS(Forecast!AV85))</f>
        <v>0</v>
      </c>
      <c r="AV111" s="67">
        <f>if(AV$5="","",-1*ABS(Forecast!AW85))</f>
        <v>0</v>
      </c>
      <c r="AW111" s="67">
        <f>if(AW$5="","",-1*ABS(Forecast!AX85))</f>
        <v>0</v>
      </c>
      <c r="AX111" s="67">
        <f>if(AX$5="","",-1*ABS(Forecast!AY85))</f>
        <v>0</v>
      </c>
      <c r="AY111" s="67">
        <f>if(AY$5="","",-1*ABS(Forecast!AZ85))</f>
        <v>0</v>
      </c>
      <c r="AZ111" s="67">
        <f>if(AZ$5="","",-1*ABS(Forecast!BA85))</f>
        <v>0</v>
      </c>
      <c r="BA111" s="67">
        <f>if(BA$5="","",-1*ABS(Forecast!BB85))</f>
        <v>0</v>
      </c>
      <c r="BB111" s="67">
        <f>if(BB$5="","",-1*ABS(Forecast!BC85))</f>
        <v>0</v>
      </c>
    </row>
    <row r="112">
      <c r="A112" s="1"/>
      <c r="B112" s="1" t="s">
        <v>515</v>
      </c>
      <c r="C112" s="144" t="str">
        <f>'Get Started'!$C$20</f>
        <v>$</v>
      </c>
      <c r="E112" s="1"/>
      <c r="F112" s="1"/>
      <c r="G112" s="79" t="s">
        <v>193</v>
      </c>
      <c r="H112" s="87">
        <f t="shared" si="50"/>
        <v>0</v>
      </c>
      <c r="I112" s="1"/>
      <c r="J112" s="1" t="s">
        <v>516</v>
      </c>
      <c r="K112" s="1"/>
      <c r="L112" s="1"/>
      <c r="M112" s="1"/>
      <c r="N112" s="1"/>
      <c r="O112" s="1"/>
      <c r="P112" s="1"/>
      <c r="Q112" s="1"/>
      <c r="R112" s="67"/>
      <c r="S112" s="67">
        <f t="shared" ref="S112:BB112" si="52">if(S$5="","",S67-R67)</f>
        <v>0</v>
      </c>
      <c r="T112" s="67">
        <f t="shared" si="52"/>
        <v>0</v>
      </c>
      <c r="U112" s="67">
        <f t="shared" si="52"/>
        <v>0</v>
      </c>
      <c r="V112" s="67">
        <f t="shared" si="52"/>
        <v>0</v>
      </c>
      <c r="W112" s="67">
        <f t="shared" si="52"/>
        <v>0</v>
      </c>
      <c r="X112" s="67">
        <f t="shared" si="52"/>
        <v>0</v>
      </c>
      <c r="Y112" s="67">
        <f t="shared" si="52"/>
        <v>0</v>
      </c>
      <c r="Z112" s="67">
        <f t="shared" si="52"/>
        <v>0</v>
      </c>
      <c r="AA112" s="67">
        <f t="shared" si="52"/>
        <v>0</v>
      </c>
      <c r="AB112" s="67">
        <f t="shared" si="52"/>
        <v>0</v>
      </c>
      <c r="AC112" s="67">
        <f t="shared" si="52"/>
        <v>0</v>
      </c>
      <c r="AD112" s="67">
        <f t="shared" si="52"/>
        <v>0</v>
      </c>
      <c r="AE112" s="67">
        <f t="shared" si="52"/>
        <v>0</v>
      </c>
      <c r="AF112" s="67">
        <f t="shared" si="52"/>
        <v>0</v>
      </c>
      <c r="AG112" s="67">
        <f t="shared" si="52"/>
        <v>0</v>
      </c>
      <c r="AH112" s="67">
        <f t="shared" si="52"/>
        <v>0</v>
      </c>
      <c r="AI112" s="67">
        <f t="shared" si="52"/>
        <v>0</v>
      </c>
      <c r="AJ112" s="67">
        <f t="shared" si="52"/>
        <v>0</v>
      </c>
      <c r="AK112" s="67">
        <f t="shared" si="52"/>
        <v>0</v>
      </c>
      <c r="AL112" s="67">
        <f t="shared" si="52"/>
        <v>0</v>
      </c>
      <c r="AM112" s="67">
        <f t="shared" si="52"/>
        <v>0</v>
      </c>
      <c r="AN112" s="67">
        <f t="shared" si="52"/>
        <v>0</v>
      </c>
      <c r="AO112" s="67">
        <f t="shared" si="52"/>
        <v>0</v>
      </c>
      <c r="AP112" s="67">
        <f t="shared" si="52"/>
        <v>0</v>
      </c>
      <c r="AQ112" s="67">
        <f t="shared" si="52"/>
        <v>0</v>
      </c>
      <c r="AR112" s="67">
        <f t="shared" si="52"/>
        <v>0</v>
      </c>
      <c r="AS112" s="67">
        <f t="shared" si="52"/>
        <v>0</v>
      </c>
      <c r="AT112" s="67">
        <f t="shared" si="52"/>
        <v>0</v>
      </c>
      <c r="AU112" s="67">
        <f t="shared" si="52"/>
        <v>0</v>
      </c>
      <c r="AV112" s="67">
        <f t="shared" si="52"/>
        <v>0</v>
      </c>
      <c r="AW112" s="67">
        <f t="shared" si="52"/>
        <v>0</v>
      </c>
      <c r="AX112" s="67">
        <f t="shared" si="52"/>
        <v>0</v>
      </c>
      <c r="AY112" s="67">
        <f t="shared" si="52"/>
        <v>0</v>
      </c>
      <c r="AZ112" s="67">
        <f t="shared" si="52"/>
        <v>0</v>
      </c>
      <c r="BA112" s="67">
        <f t="shared" si="52"/>
        <v>0</v>
      </c>
      <c r="BB112" s="67">
        <f t="shared" si="52"/>
        <v>0</v>
      </c>
    </row>
    <row r="113">
      <c r="A113" s="1"/>
      <c r="B113" s="1" t="s">
        <v>517</v>
      </c>
      <c r="C113" s="144" t="str">
        <f>'Get Started'!$C$20</f>
        <v>$</v>
      </c>
      <c r="E113" s="1"/>
      <c r="F113" s="1"/>
      <c r="G113" s="79" t="s">
        <v>193</v>
      </c>
      <c r="H113" s="87">
        <f t="shared" si="50"/>
        <v>500000</v>
      </c>
      <c r="I113" s="1"/>
      <c r="J113" s="1" t="s">
        <v>518</v>
      </c>
      <c r="K113" s="1"/>
      <c r="L113" s="1"/>
      <c r="M113" s="1"/>
      <c r="N113" s="1"/>
      <c r="O113" s="1"/>
      <c r="P113" s="1"/>
      <c r="Q113" s="1"/>
      <c r="R113" s="145" t="str">
        <f>B113</f>
        <v>Net Cash Flow from Financing</v>
      </c>
      <c r="S113" s="70">
        <f t="shared" ref="S113:BB113" si="53">if(S$5="","",SUM(S106:S112))</f>
        <v>500000</v>
      </c>
      <c r="T113" s="70">
        <f t="shared" si="53"/>
        <v>0</v>
      </c>
      <c r="U113" s="70">
        <f t="shared" si="53"/>
        <v>0</v>
      </c>
      <c r="V113" s="70">
        <f t="shared" si="53"/>
        <v>0</v>
      </c>
      <c r="W113" s="70">
        <f t="shared" si="53"/>
        <v>0</v>
      </c>
      <c r="X113" s="70">
        <f t="shared" si="53"/>
        <v>0</v>
      </c>
      <c r="Y113" s="70">
        <f t="shared" si="53"/>
        <v>0</v>
      </c>
      <c r="Z113" s="70">
        <f t="shared" si="53"/>
        <v>0</v>
      </c>
      <c r="AA113" s="70">
        <f t="shared" si="53"/>
        <v>0</v>
      </c>
      <c r="AB113" s="70">
        <f t="shared" si="53"/>
        <v>0</v>
      </c>
      <c r="AC113" s="70">
        <f t="shared" si="53"/>
        <v>0</v>
      </c>
      <c r="AD113" s="70">
        <f t="shared" si="53"/>
        <v>0</v>
      </c>
      <c r="AE113" s="70">
        <f t="shared" si="53"/>
        <v>0</v>
      </c>
      <c r="AF113" s="70">
        <f t="shared" si="53"/>
        <v>0</v>
      </c>
      <c r="AG113" s="70">
        <f t="shared" si="53"/>
        <v>0</v>
      </c>
      <c r="AH113" s="70">
        <f t="shared" si="53"/>
        <v>0</v>
      </c>
      <c r="AI113" s="70">
        <f t="shared" si="53"/>
        <v>0</v>
      </c>
      <c r="AJ113" s="70">
        <f t="shared" si="53"/>
        <v>0</v>
      </c>
      <c r="AK113" s="70">
        <f t="shared" si="53"/>
        <v>0</v>
      </c>
      <c r="AL113" s="70">
        <f t="shared" si="53"/>
        <v>0</v>
      </c>
      <c r="AM113" s="70">
        <f t="shared" si="53"/>
        <v>0</v>
      </c>
      <c r="AN113" s="70">
        <f t="shared" si="53"/>
        <v>0</v>
      </c>
      <c r="AO113" s="70">
        <f t="shared" si="53"/>
        <v>0</v>
      </c>
      <c r="AP113" s="70">
        <f t="shared" si="53"/>
        <v>0</v>
      </c>
      <c r="AQ113" s="70">
        <f t="shared" si="53"/>
        <v>0</v>
      </c>
      <c r="AR113" s="70">
        <f t="shared" si="53"/>
        <v>0</v>
      </c>
      <c r="AS113" s="70">
        <f t="shared" si="53"/>
        <v>0</v>
      </c>
      <c r="AT113" s="70">
        <f t="shared" si="53"/>
        <v>0</v>
      </c>
      <c r="AU113" s="70">
        <f t="shared" si="53"/>
        <v>0</v>
      </c>
      <c r="AV113" s="70">
        <f t="shared" si="53"/>
        <v>0</v>
      </c>
      <c r="AW113" s="70">
        <f t="shared" si="53"/>
        <v>0</v>
      </c>
      <c r="AX113" s="70">
        <f t="shared" si="53"/>
        <v>0</v>
      </c>
      <c r="AY113" s="70">
        <f t="shared" si="53"/>
        <v>0</v>
      </c>
      <c r="AZ113" s="70">
        <f t="shared" si="53"/>
        <v>0</v>
      </c>
      <c r="BA113" s="70">
        <f t="shared" si="53"/>
        <v>0</v>
      </c>
      <c r="BB113" s="70">
        <f t="shared" si="53"/>
        <v>0</v>
      </c>
    </row>
    <row r="114">
      <c r="A114" s="1"/>
      <c r="B114" s="1"/>
      <c r="C114" s="30"/>
      <c r="E114" s="1"/>
      <c r="F114" s="1"/>
      <c r="G114" s="1"/>
      <c r="H114" s="1"/>
      <c r="I114" s="1"/>
      <c r="J114" s="1"/>
      <c r="K114" s="1"/>
      <c r="L114" s="1"/>
      <c r="M114" s="1"/>
      <c r="N114" s="1"/>
      <c r="O114" s="1"/>
      <c r="P114" s="1"/>
      <c r="Q114" s="1"/>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row>
    <row r="115">
      <c r="A115" s="1"/>
      <c r="B115" s="1" t="s">
        <v>519</v>
      </c>
      <c r="C115" s="144" t="str">
        <f>'Get Started'!$C$20</f>
        <v>$</v>
      </c>
      <c r="E115" s="1"/>
      <c r="F115" s="1"/>
      <c r="G115" s="79" t="s">
        <v>193</v>
      </c>
      <c r="H115" s="87">
        <f t="array" ref="H115">if(G115="sum",sum(S115:BB115),if(G115="final",iferror(index(S115:BB115,match(99^99,S115:BB115,1)),0),if(G115="initial",S115,if(G115="average",average(S115:BB115),0))))</f>
        <v>532777.105</v>
      </c>
      <c r="I115" s="1"/>
      <c r="J115" s="1" t="s">
        <v>520</v>
      </c>
      <c r="K115" s="1"/>
      <c r="L115" s="1"/>
      <c r="M115" s="1"/>
      <c r="N115" s="1"/>
      <c r="O115" s="1"/>
      <c r="P115" s="1"/>
      <c r="Q115" s="1"/>
      <c r="R115" s="67"/>
      <c r="S115" s="67">
        <f t="shared" ref="S115:BB115" si="54">if(S$5="","",S98+S103+S113)</f>
        <v>500790</v>
      </c>
      <c r="T115" s="67">
        <f t="shared" si="54"/>
        <v>1000</v>
      </c>
      <c r="U115" s="67">
        <f t="shared" si="54"/>
        <v>1000</v>
      </c>
      <c r="V115" s="67">
        <f t="shared" si="54"/>
        <v>370</v>
      </c>
      <c r="W115" s="67">
        <f t="shared" si="54"/>
        <v>1000</v>
      </c>
      <c r="X115" s="67">
        <f t="shared" si="54"/>
        <v>1000</v>
      </c>
      <c r="Y115" s="67">
        <f t="shared" si="54"/>
        <v>409.5</v>
      </c>
      <c r="Z115" s="67">
        <f t="shared" si="54"/>
        <v>1050</v>
      </c>
      <c r="AA115" s="67">
        <f t="shared" si="54"/>
        <v>1050</v>
      </c>
      <c r="AB115" s="67">
        <f t="shared" si="54"/>
        <v>388.5</v>
      </c>
      <c r="AC115" s="67">
        <f t="shared" si="54"/>
        <v>1050</v>
      </c>
      <c r="AD115" s="67">
        <f t="shared" si="54"/>
        <v>1050</v>
      </c>
      <c r="AE115" s="67">
        <f t="shared" si="54"/>
        <v>429.975</v>
      </c>
      <c r="AF115" s="67">
        <f t="shared" si="54"/>
        <v>1102.5</v>
      </c>
      <c r="AG115" s="67">
        <f t="shared" si="54"/>
        <v>1102.5</v>
      </c>
      <c r="AH115" s="67">
        <f t="shared" si="54"/>
        <v>407.925</v>
      </c>
      <c r="AI115" s="67">
        <f t="shared" si="54"/>
        <v>1102.5</v>
      </c>
      <c r="AJ115" s="67">
        <f t="shared" si="54"/>
        <v>1102.5</v>
      </c>
      <c r="AK115" s="67">
        <f t="shared" si="54"/>
        <v>451.47375</v>
      </c>
      <c r="AL115" s="67">
        <f t="shared" si="54"/>
        <v>1157.625</v>
      </c>
      <c r="AM115" s="67">
        <f t="shared" si="54"/>
        <v>1157.625</v>
      </c>
      <c r="AN115" s="67">
        <f t="shared" si="54"/>
        <v>428.32125</v>
      </c>
      <c r="AO115" s="67">
        <f t="shared" si="54"/>
        <v>1157.625</v>
      </c>
      <c r="AP115" s="67">
        <f t="shared" si="54"/>
        <v>1157.625</v>
      </c>
      <c r="AQ115" s="67">
        <f t="shared" si="54"/>
        <v>474.0474375</v>
      </c>
      <c r="AR115" s="67">
        <f t="shared" si="54"/>
        <v>1215.50625</v>
      </c>
      <c r="AS115" s="67">
        <f t="shared" si="54"/>
        <v>1215.50625</v>
      </c>
      <c r="AT115" s="67">
        <f t="shared" si="54"/>
        <v>449.7373125</v>
      </c>
      <c r="AU115" s="67">
        <f t="shared" si="54"/>
        <v>1215.50625</v>
      </c>
      <c r="AV115" s="67">
        <f t="shared" si="54"/>
        <v>1215.50625</v>
      </c>
      <c r="AW115" s="67">
        <f t="shared" si="54"/>
        <v>497.7498094</v>
      </c>
      <c r="AX115" s="67">
        <f t="shared" si="54"/>
        <v>1276.281563</v>
      </c>
      <c r="AY115" s="67">
        <f t="shared" si="54"/>
        <v>1276.281563</v>
      </c>
      <c r="AZ115" s="67">
        <f t="shared" si="54"/>
        <v>472.2241781</v>
      </c>
      <c r="BA115" s="67">
        <f t="shared" si="54"/>
        <v>1276.281563</v>
      </c>
      <c r="BB115" s="67">
        <f t="shared" si="54"/>
        <v>1276.281563</v>
      </c>
    </row>
    <row r="116">
      <c r="A116" s="1"/>
      <c r="B116" s="1"/>
      <c r="C116" s="30"/>
      <c r="E116" s="1"/>
      <c r="F116" s="1"/>
      <c r="G116" s="1"/>
      <c r="H116" s="1"/>
      <c r="I116" s="1"/>
      <c r="J116" s="1"/>
      <c r="K116" s="1"/>
      <c r="L116" s="1"/>
      <c r="M116" s="1"/>
      <c r="N116" s="1"/>
      <c r="O116" s="1"/>
      <c r="P116" s="1"/>
      <c r="Q116" s="1"/>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row>
    <row r="117">
      <c r="A117" s="1"/>
      <c r="B117" s="1" t="s">
        <v>177</v>
      </c>
      <c r="C117" s="144" t="str">
        <f>'Get Started'!$C$20</f>
        <v>$</v>
      </c>
      <c r="E117" s="1"/>
      <c r="F117" s="1"/>
      <c r="G117" s="79" t="s">
        <v>183</v>
      </c>
      <c r="H117" s="87">
        <f t="array" ref="H117">if(G117="sum",sum(S117:BB117),if(G117="final",iferror(index(S117:BB117,match(99^99,S117:BB117,1)),0),if(G117="initial",S117,if(G117="average",average(S117:BB117),0))))</f>
        <v>532777.105</v>
      </c>
      <c r="I117" s="1"/>
      <c r="J117" s="1" t="s">
        <v>521</v>
      </c>
      <c r="K117" s="1"/>
      <c r="L117" s="1"/>
      <c r="M117" s="1"/>
      <c r="N117" s="1"/>
      <c r="O117" s="1"/>
      <c r="P117" s="1"/>
      <c r="Q117" s="1"/>
      <c r="R117" s="145" t="str">
        <f>B117</f>
        <v>Cash, End of Period</v>
      </c>
      <c r="S117" s="67">
        <f t="shared" ref="S117:BB117" si="55">if(S$5="","",S91+S115)</f>
        <v>500790</v>
      </c>
      <c r="T117" s="67">
        <f t="shared" si="55"/>
        <v>501790</v>
      </c>
      <c r="U117" s="67">
        <f t="shared" si="55"/>
        <v>502790</v>
      </c>
      <c r="V117" s="67">
        <f t="shared" si="55"/>
        <v>503160</v>
      </c>
      <c r="W117" s="67">
        <f t="shared" si="55"/>
        <v>504160</v>
      </c>
      <c r="X117" s="67">
        <f t="shared" si="55"/>
        <v>505160</v>
      </c>
      <c r="Y117" s="67">
        <f t="shared" si="55"/>
        <v>505569.5</v>
      </c>
      <c r="Z117" s="67">
        <f t="shared" si="55"/>
        <v>506619.5</v>
      </c>
      <c r="AA117" s="67">
        <f t="shared" si="55"/>
        <v>507669.5</v>
      </c>
      <c r="AB117" s="67">
        <f t="shared" si="55"/>
        <v>508058</v>
      </c>
      <c r="AC117" s="67">
        <f t="shared" si="55"/>
        <v>509108</v>
      </c>
      <c r="AD117" s="67">
        <f t="shared" si="55"/>
        <v>510158</v>
      </c>
      <c r="AE117" s="67">
        <f t="shared" si="55"/>
        <v>510587.975</v>
      </c>
      <c r="AF117" s="67">
        <f t="shared" si="55"/>
        <v>511690.475</v>
      </c>
      <c r="AG117" s="67">
        <f t="shared" si="55"/>
        <v>512792.975</v>
      </c>
      <c r="AH117" s="67">
        <f t="shared" si="55"/>
        <v>513200.9</v>
      </c>
      <c r="AI117" s="67">
        <f t="shared" si="55"/>
        <v>514303.4</v>
      </c>
      <c r="AJ117" s="67">
        <f t="shared" si="55"/>
        <v>515405.9</v>
      </c>
      <c r="AK117" s="67">
        <f t="shared" si="55"/>
        <v>515857.3738</v>
      </c>
      <c r="AL117" s="67">
        <f t="shared" si="55"/>
        <v>517014.9988</v>
      </c>
      <c r="AM117" s="67">
        <f t="shared" si="55"/>
        <v>518172.6238</v>
      </c>
      <c r="AN117" s="67">
        <f t="shared" si="55"/>
        <v>518600.945</v>
      </c>
      <c r="AO117" s="67">
        <f t="shared" si="55"/>
        <v>519758.57</v>
      </c>
      <c r="AP117" s="67">
        <f t="shared" si="55"/>
        <v>520916.195</v>
      </c>
      <c r="AQ117" s="67">
        <f t="shared" si="55"/>
        <v>521390.2424</v>
      </c>
      <c r="AR117" s="67">
        <f t="shared" si="55"/>
        <v>522605.7487</v>
      </c>
      <c r="AS117" s="67">
        <f t="shared" si="55"/>
        <v>523821.2549</v>
      </c>
      <c r="AT117" s="67">
        <f t="shared" si="55"/>
        <v>524270.9923</v>
      </c>
      <c r="AU117" s="67">
        <f t="shared" si="55"/>
        <v>525486.4985</v>
      </c>
      <c r="AV117" s="67">
        <f t="shared" si="55"/>
        <v>526702.0048</v>
      </c>
      <c r="AW117" s="67">
        <f t="shared" si="55"/>
        <v>527199.7546</v>
      </c>
      <c r="AX117" s="67">
        <f t="shared" si="55"/>
        <v>528476.0361</v>
      </c>
      <c r="AY117" s="67">
        <f t="shared" si="55"/>
        <v>529752.3177</v>
      </c>
      <c r="AZ117" s="67">
        <f t="shared" si="55"/>
        <v>530224.5419</v>
      </c>
      <c r="BA117" s="67">
        <f t="shared" si="55"/>
        <v>531500.8234</v>
      </c>
      <c r="BB117" s="67">
        <f t="shared" si="55"/>
        <v>532777.105</v>
      </c>
    </row>
    <row r="118">
      <c r="A118" s="1"/>
      <c r="B118" s="1"/>
      <c r="C118" s="30"/>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row>
  </sheetData>
  <dataValidations>
    <dataValidation type="list" allowBlank="1" showErrorMessage="1" sqref="G5:G7 G12:G13 G15 G17:G18 G20:G21 G23:G24 G26:G30 G32 G34 G36:G38 G44:G49 G51:G53 G55:G57 G60:G68 G71:G75 G78:G83 G85:G86 G91 G94:G98 G101:G103 G106:G113 G115 G117">
      <formula1>"initial,sum,average,final"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4.2"/>
    <col customWidth="1" min="2" max="2" width="22.8"/>
    <col customWidth="1" min="4" max="4" width="13.1"/>
    <col customWidth="1" min="5" max="5" width="17.6"/>
    <col customWidth="1" min="6" max="6" width="9.1"/>
    <col customWidth="1" min="7" max="17" width="10.1"/>
    <col customWidth="1" min="18" max="18" width="6.4"/>
  </cols>
  <sheetData>
    <row r="1">
      <c r="A1" s="1"/>
      <c r="B1" s="1"/>
      <c r="C1" s="1"/>
      <c r="D1" s="1"/>
      <c r="E1" s="1"/>
      <c r="F1" s="1"/>
      <c r="G1" s="30"/>
      <c r="H1" s="30"/>
      <c r="I1" s="30"/>
      <c r="J1" s="30"/>
      <c r="K1" s="30"/>
      <c r="L1" s="30"/>
      <c r="M1" s="30"/>
      <c r="N1" s="30"/>
      <c r="O1" s="30"/>
      <c r="P1" s="30"/>
      <c r="Q1" s="30"/>
      <c r="R1" s="1"/>
    </row>
    <row r="2">
      <c r="A2" s="1"/>
      <c r="B2" s="2" t="s">
        <v>522</v>
      </c>
      <c r="C2" s="1"/>
      <c r="D2" s="1"/>
      <c r="E2" s="1"/>
      <c r="F2" s="1"/>
      <c r="G2" s="30"/>
      <c r="H2" s="30"/>
      <c r="I2" s="30"/>
      <c r="J2" s="30"/>
      <c r="K2" s="30"/>
      <c r="L2" s="30"/>
      <c r="M2" s="30"/>
      <c r="N2" s="30"/>
      <c r="O2" s="30"/>
      <c r="P2" s="30"/>
      <c r="Q2" s="30"/>
      <c r="R2" s="1"/>
    </row>
    <row r="3">
      <c r="A3" s="1"/>
      <c r="B3" s="3" t="s">
        <v>523</v>
      </c>
      <c r="C3" s="1"/>
      <c r="D3" s="1"/>
      <c r="E3" s="1"/>
      <c r="F3" s="1"/>
      <c r="G3" s="30"/>
      <c r="H3" s="30"/>
      <c r="I3" s="30"/>
      <c r="J3" s="30"/>
      <c r="K3" s="30"/>
      <c r="L3" s="30"/>
      <c r="M3" s="30"/>
      <c r="N3" s="30"/>
      <c r="O3" s="30"/>
      <c r="P3" s="30"/>
      <c r="Q3" s="30"/>
      <c r="R3" s="1"/>
    </row>
    <row r="4">
      <c r="A4" s="1"/>
      <c r="B4" s="1"/>
      <c r="C4" s="1"/>
      <c r="D4" s="1"/>
      <c r="E4" s="1"/>
      <c r="F4" s="1"/>
      <c r="G4" s="30"/>
      <c r="H4" s="30"/>
      <c r="I4" s="30"/>
      <c r="J4" s="30"/>
      <c r="K4" s="30"/>
      <c r="L4" s="30"/>
      <c r="M4" s="30"/>
      <c r="N4" s="30"/>
      <c r="O4" s="30"/>
      <c r="P4" s="30"/>
      <c r="Q4" s="30"/>
      <c r="R4" s="1"/>
    </row>
    <row r="5" ht="51.0" customHeight="1">
      <c r="A5" s="154"/>
      <c r="B5" s="155" t="s">
        <v>524</v>
      </c>
      <c r="C5" s="155" t="s">
        <v>525</v>
      </c>
      <c r="D5" s="155" t="s">
        <v>526</v>
      </c>
      <c r="E5" s="156" t="s">
        <v>527</v>
      </c>
      <c r="F5" s="156" t="s">
        <v>528</v>
      </c>
      <c r="G5" s="156" t="s">
        <v>529</v>
      </c>
      <c r="H5" s="156" t="s">
        <v>530</v>
      </c>
      <c r="I5" s="156" t="s">
        <v>531</v>
      </c>
      <c r="J5" s="156" t="s">
        <v>532</v>
      </c>
      <c r="K5" s="156" t="s">
        <v>533</v>
      </c>
      <c r="L5" s="156" t="s">
        <v>534</v>
      </c>
      <c r="M5" s="156" t="s">
        <v>535</v>
      </c>
      <c r="N5" s="156" t="s">
        <v>536</v>
      </c>
      <c r="O5" s="156" t="s">
        <v>537</v>
      </c>
      <c r="P5" s="156" t="s">
        <v>538</v>
      </c>
      <c r="Q5" s="156" t="s">
        <v>539</v>
      </c>
      <c r="R5" s="154"/>
    </row>
    <row r="6">
      <c r="A6" s="12"/>
      <c r="B6" s="12"/>
      <c r="C6" s="157"/>
      <c r="D6" s="23"/>
      <c r="E6" s="158"/>
      <c r="F6" s="158"/>
      <c r="G6" s="158"/>
      <c r="H6" s="159"/>
      <c r="I6" s="158"/>
      <c r="J6" s="159"/>
      <c r="K6" s="159"/>
      <c r="L6" s="159"/>
      <c r="M6" s="159"/>
      <c r="N6" s="159"/>
      <c r="O6" s="159"/>
      <c r="P6" s="159"/>
      <c r="Q6" s="159"/>
      <c r="R6" s="12"/>
    </row>
    <row r="7">
      <c r="A7" s="12"/>
      <c r="B7" s="8" t="s">
        <v>540</v>
      </c>
      <c r="C7" s="160" t="s">
        <v>541</v>
      </c>
      <c r="D7" s="8" t="s">
        <v>542</v>
      </c>
      <c r="E7" s="161" t="s">
        <v>543</v>
      </c>
      <c r="F7" s="162" t="s">
        <v>544</v>
      </c>
      <c r="G7" s="162" t="s">
        <v>545</v>
      </c>
      <c r="H7" s="163" t="b">
        <v>0</v>
      </c>
      <c r="I7" s="162" t="b">
        <v>1</v>
      </c>
      <c r="J7" s="163" t="b">
        <v>0</v>
      </c>
      <c r="K7" s="162" t="b">
        <v>1</v>
      </c>
      <c r="L7" s="162" t="b">
        <v>1</v>
      </c>
      <c r="M7" s="162" t="b">
        <v>1</v>
      </c>
      <c r="N7" s="163" t="b">
        <v>0</v>
      </c>
      <c r="O7" s="163" t="b">
        <v>0</v>
      </c>
      <c r="P7" s="162" t="b">
        <v>1</v>
      </c>
      <c r="Q7" s="163" t="b">
        <v>0</v>
      </c>
      <c r="R7" s="12"/>
    </row>
    <row r="8">
      <c r="A8" s="12"/>
      <c r="B8" s="8" t="s">
        <v>546</v>
      </c>
      <c r="C8" s="164" t="s">
        <v>547</v>
      </c>
      <c r="D8" s="8" t="s">
        <v>548</v>
      </c>
      <c r="E8" s="161" t="s">
        <v>549</v>
      </c>
      <c r="F8" s="162" t="s">
        <v>550</v>
      </c>
      <c r="G8" s="162" t="s">
        <v>551</v>
      </c>
      <c r="H8" s="162" t="b">
        <v>0</v>
      </c>
      <c r="I8" s="162" t="b">
        <v>1</v>
      </c>
      <c r="J8" s="162" t="b">
        <v>1</v>
      </c>
      <c r="K8" s="162" t="b">
        <v>1</v>
      </c>
      <c r="L8" s="162" t="b">
        <v>1</v>
      </c>
      <c r="M8" s="162" t="b">
        <v>1</v>
      </c>
      <c r="N8" s="162" t="b">
        <v>0</v>
      </c>
      <c r="O8" s="162" t="b">
        <v>1</v>
      </c>
      <c r="P8" s="162" t="b">
        <v>1</v>
      </c>
      <c r="Q8" s="162" t="b">
        <v>0</v>
      </c>
      <c r="R8" s="12"/>
    </row>
    <row r="9">
      <c r="A9" s="12"/>
      <c r="B9" s="8" t="s">
        <v>552</v>
      </c>
      <c r="C9" s="164" t="s">
        <v>553</v>
      </c>
      <c r="D9" s="8" t="s">
        <v>548</v>
      </c>
      <c r="E9" s="161" t="s">
        <v>554</v>
      </c>
      <c r="F9" s="162" t="s">
        <v>555</v>
      </c>
      <c r="G9" s="162" t="s">
        <v>551</v>
      </c>
      <c r="H9" s="162" t="b">
        <v>1</v>
      </c>
      <c r="I9" s="162" t="b">
        <v>1</v>
      </c>
      <c r="J9" s="162" t="b">
        <v>1</v>
      </c>
      <c r="K9" s="162" t="b">
        <v>1</v>
      </c>
      <c r="L9" s="162" t="b">
        <v>1</v>
      </c>
      <c r="M9" s="162" t="b">
        <v>1</v>
      </c>
      <c r="N9" s="162" t="b">
        <v>1</v>
      </c>
      <c r="O9" s="162" t="b">
        <v>1</v>
      </c>
      <c r="P9" s="162" t="b">
        <v>1</v>
      </c>
      <c r="Q9" s="162" t="b">
        <v>1</v>
      </c>
      <c r="R9" s="12"/>
    </row>
    <row r="10">
      <c r="A10" s="12"/>
      <c r="B10" s="8" t="s">
        <v>556</v>
      </c>
      <c r="C10" s="165" t="s">
        <v>557</v>
      </c>
      <c r="D10" s="8" t="s">
        <v>548</v>
      </c>
      <c r="E10" s="161" t="s">
        <v>558</v>
      </c>
      <c r="F10" s="162" t="s">
        <v>555</v>
      </c>
      <c r="G10" s="162" t="s">
        <v>551</v>
      </c>
      <c r="H10" s="162" t="b">
        <v>1</v>
      </c>
      <c r="I10" s="162" t="b">
        <v>1</v>
      </c>
      <c r="J10" s="162" t="b">
        <v>1</v>
      </c>
      <c r="K10" s="162" t="b">
        <v>1</v>
      </c>
      <c r="L10" s="162" t="b">
        <v>1</v>
      </c>
      <c r="M10" s="162" t="b">
        <v>1</v>
      </c>
      <c r="N10" s="162" t="b">
        <v>1</v>
      </c>
      <c r="O10" s="162" t="b">
        <v>1</v>
      </c>
      <c r="P10" s="162" t="b">
        <v>1</v>
      </c>
      <c r="Q10" s="162" t="b">
        <v>1</v>
      </c>
      <c r="R10" s="12"/>
    </row>
    <row r="11">
      <c r="A11" s="12"/>
      <c r="B11" s="8" t="s">
        <v>559</v>
      </c>
      <c r="C11" s="160" t="s">
        <v>560</v>
      </c>
      <c r="D11" s="8" t="s">
        <v>548</v>
      </c>
      <c r="E11" s="161" t="s">
        <v>561</v>
      </c>
      <c r="F11" s="162" t="s">
        <v>555</v>
      </c>
      <c r="G11" s="162" t="s">
        <v>551</v>
      </c>
      <c r="H11" s="162" t="b">
        <v>1</v>
      </c>
      <c r="I11" s="162" t="b">
        <v>1</v>
      </c>
      <c r="J11" s="162" t="b">
        <v>1</v>
      </c>
      <c r="K11" s="162" t="b">
        <v>1</v>
      </c>
      <c r="L11" s="162" t="b">
        <v>1</v>
      </c>
      <c r="M11" s="162" t="b">
        <v>1</v>
      </c>
      <c r="N11" s="162" t="b">
        <v>1</v>
      </c>
      <c r="O11" s="162" t="b">
        <v>1</v>
      </c>
      <c r="P11" s="162" t="b">
        <v>1</v>
      </c>
      <c r="Q11" s="162" t="b">
        <v>1</v>
      </c>
      <c r="R11" s="12"/>
    </row>
    <row r="12">
      <c r="A12" s="12"/>
      <c r="B12" s="8" t="s">
        <v>562</v>
      </c>
      <c r="C12" s="164" t="s">
        <v>563</v>
      </c>
      <c r="D12" s="8" t="s">
        <v>548</v>
      </c>
      <c r="E12" s="161" t="s">
        <v>564</v>
      </c>
      <c r="F12" s="162" t="s">
        <v>544</v>
      </c>
      <c r="G12" s="162" t="s">
        <v>545</v>
      </c>
      <c r="H12" s="162" t="b">
        <v>1</v>
      </c>
      <c r="I12" s="162" t="b">
        <v>0</v>
      </c>
      <c r="J12" s="162" t="b">
        <v>0</v>
      </c>
      <c r="K12" s="162" t="b">
        <v>0</v>
      </c>
      <c r="L12" s="162" t="b">
        <v>1</v>
      </c>
      <c r="M12" s="162" t="b">
        <v>1</v>
      </c>
      <c r="N12" s="162" t="b">
        <v>0</v>
      </c>
      <c r="O12" s="162" t="b">
        <v>0</v>
      </c>
      <c r="P12" s="163" t="b">
        <v>0</v>
      </c>
      <c r="Q12" s="162" t="b">
        <v>0</v>
      </c>
      <c r="R12" s="12"/>
    </row>
    <row r="13">
      <c r="A13" s="12"/>
      <c r="B13" s="8" t="s">
        <v>565</v>
      </c>
      <c r="C13" s="160" t="s">
        <v>566</v>
      </c>
      <c r="D13" s="8" t="s">
        <v>548</v>
      </c>
      <c r="E13" s="161" t="s">
        <v>567</v>
      </c>
      <c r="F13" s="162" t="s">
        <v>544</v>
      </c>
      <c r="G13" s="162" t="s">
        <v>545</v>
      </c>
      <c r="H13" s="162" t="b">
        <v>1</v>
      </c>
      <c r="I13" s="163" t="b">
        <v>0</v>
      </c>
      <c r="J13" s="163" t="b">
        <v>0</v>
      </c>
      <c r="K13" s="163" t="b">
        <v>0</v>
      </c>
      <c r="L13" s="162" t="b">
        <v>1</v>
      </c>
      <c r="M13" s="162" t="b">
        <v>1</v>
      </c>
      <c r="N13" s="163" t="b">
        <v>0</v>
      </c>
      <c r="O13" s="163" t="b">
        <v>0</v>
      </c>
      <c r="P13" s="162" t="b">
        <v>0</v>
      </c>
      <c r="Q13" s="163" t="b">
        <v>0</v>
      </c>
      <c r="R13" s="12"/>
    </row>
    <row r="14">
      <c r="A14" s="12"/>
      <c r="B14" s="8" t="s">
        <v>568</v>
      </c>
      <c r="C14" s="160" t="s">
        <v>569</v>
      </c>
      <c r="D14" s="8" t="s">
        <v>548</v>
      </c>
      <c r="E14" s="161" t="s">
        <v>570</v>
      </c>
      <c r="F14" s="162" t="s">
        <v>544</v>
      </c>
      <c r="G14" s="162" t="s">
        <v>571</v>
      </c>
      <c r="H14" s="162" t="b">
        <v>1</v>
      </c>
      <c r="I14" s="163" t="b">
        <v>0</v>
      </c>
      <c r="J14" s="163" t="b">
        <v>0</v>
      </c>
      <c r="K14" s="163" t="b">
        <v>0</v>
      </c>
      <c r="L14" s="163" t="b">
        <v>0</v>
      </c>
      <c r="M14" s="163" t="b">
        <v>0</v>
      </c>
      <c r="N14" s="163" t="b">
        <v>0</v>
      </c>
      <c r="O14" s="163" t="b">
        <v>0</v>
      </c>
      <c r="P14" s="163" t="b">
        <v>0</v>
      </c>
      <c r="Q14" s="162" t="b">
        <v>0</v>
      </c>
      <c r="R14" s="12"/>
    </row>
    <row r="15">
      <c r="A15" s="12"/>
      <c r="B15" s="8" t="s">
        <v>572</v>
      </c>
      <c r="C15" s="160" t="s">
        <v>573</v>
      </c>
      <c r="D15" s="8" t="s">
        <v>548</v>
      </c>
      <c r="E15" s="161" t="s">
        <v>574</v>
      </c>
      <c r="F15" s="162" t="s">
        <v>544</v>
      </c>
      <c r="G15" s="162" t="s">
        <v>545</v>
      </c>
      <c r="H15" s="162" t="b">
        <v>1</v>
      </c>
      <c r="I15" s="163" t="b">
        <v>0</v>
      </c>
      <c r="J15" s="163" t="b">
        <v>0</v>
      </c>
      <c r="K15" s="163" t="b">
        <v>0</v>
      </c>
      <c r="L15" s="162" t="b">
        <v>1</v>
      </c>
      <c r="M15" s="162" t="b">
        <v>1</v>
      </c>
      <c r="N15" s="163" t="b">
        <v>0</v>
      </c>
      <c r="O15" s="163" t="b">
        <v>0</v>
      </c>
      <c r="P15" s="163" t="b">
        <v>0</v>
      </c>
      <c r="Q15" s="162" t="b">
        <v>0</v>
      </c>
      <c r="R15" s="12"/>
    </row>
    <row r="16">
      <c r="A16" s="1"/>
      <c r="B16" s="166"/>
      <c r="C16" s="167"/>
      <c r="D16" s="166"/>
      <c r="E16" s="168"/>
      <c r="F16" s="168"/>
      <c r="G16" s="168"/>
      <c r="H16" s="163"/>
      <c r="I16" s="163"/>
      <c r="J16" s="163"/>
      <c r="K16" s="163"/>
      <c r="L16" s="163"/>
      <c r="M16" s="163"/>
      <c r="N16" s="163"/>
      <c r="O16" s="163"/>
      <c r="P16" s="163"/>
      <c r="Q16" s="163"/>
      <c r="R16" s="1"/>
    </row>
    <row r="17">
      <c r="A17" s="1"/>
      <c r="B17" s="166"/>
      <c r="C17" s="167"/>
      <c r="D17" s="166"/>
      <c r="E17" s="168"/>
      <c r="F17" s="168"/>
      <c r="G17" s="168"/>
      <c r="H17" s="163"/>
      <c r="I17" s="163"/>
      <c r="J17" s="163"/>
      <c r="K17" s="163"/>
      <c r="L17" s="163"/>
      <c r="M17" s="163"/>
      <c r="N17" s="163"/>
      <c r="O17" s="163"/>
      <c r="P17" s="163"/>
      <c r="Q17" s="163"/>
      <c r="R17" s="1"/>
    </row>
  </sheetData>
  <hyperlinks>
    <hyperlink r:id="rId1" ref="C7"/>
    <hyperlink r:id="rId2" ref="C8"/>
    <hyperlink r:id="rId3" ref="C9"/>
    <hyperlink r:id="rId4" ref="C10"/>
    <hyperlink r:id="rId5" ref="C11"/>
    <hyperlink r:id="rId6" ref="C12"/>
    <hyperlink r:id="rId7" ref="C13"/>
    <hyperlink r:id="rId8" ref="C14"/>
    <hyperlink r:id="rId9" ref="C15"/>
  </hyperlinks>
  <drawing r:id="rId10"/>
  <tableParts count="1">
    <tablePart r:id="rId1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4.4"/>
    <col customWidth="1" min="2" max="2" width="25.3"/>
    <col customWidth="1" min="3" max="3" width="64.2"/>
  </cols>
  <sheetData>
    <row r="1">
      <c r="A1" s="1"/>
      <c r="B1" s="1"/>
      <c r="C1" s="1"/>
      <c r="D1" s="1"/>
    </row>
    <row r="2">
      <c r="A2" s="1"/>
      <c r="B2" s="2" t="s">
        <v>45</v>
      </c>
      <c r="C2" s="1"/>
      <c r="D2" s="1"/>
    </row>
    <row r="3">
      <c r="A3" s="1"/>
      <c r="B3" s="3" t="s">
        <v>575</v>
      </c>
      <c r="C3" s="1"/>
      <c r="D3" s="1"/>
    </row>
    <row r="4">
      <c r="A4" s="1"/>
      <c r="B4" s="22"/>
      <c r="C4" s="1"/>
      <c r="D4" s="1"/>
    </row>
    <row r="5">
      <c r="A5" s="1"/>
      <c r="B5" s="169" t="s">
        <v>576</v>
      </c>
      <c r="C5" s="169" t="s">
        <v>577</v>
      </c>
      <c r="D5" s="1"/>
    </row>
    <row r="6">
      <c r="A6" s="1"/>
      <c r="B6" s="23"/>
      <c r="C6" s="23"/>
      <c r="D6" s="1"/>
    </row>
    <row r="7">
      <c r="A7" s="1"/>
      <c r="B7" s="8" t="s">
        <v>227</v>
      </c>
      <c r="C7" s="8" t="s">
        <v>578</v>
      </c>
      <c r="D7" s="1"/>
    </row>
    <row r="8">
      <c r="A8" s="1"/>
      <c r="B8" s="8" t="s">
        <v>228</v>
      </c>
      <c r="C8" s="10" t="s">
        <v>579</v>
      </c>
      <c r="D8" s="1"/>
    </row>
    <row r="9">
      <c r="A9" s="1"/>
      <c r="B9" s="8" t="s">
        <v>230</v>
      </c>
      <c r="C9" s="8" t="s">
        <v>580</v>
      </c>
      <c r="D9" s="1"/>
    </row>
    <row r="10">
      <c r="A10" s="1"/>
      <c r="B10" s="170" t="s">
        <v>231</v>
      </c>
      <c r="C10" s="10" t="s">
        <v>581</v>
      </c>
      <c r="D10" s="1"/>
    </row>
    <row r="11">
      <c r="A11" s="1"/>
      <c r="B11" s="8" t="s">
        <v>159</v>
      </c>
      <c r="C11" s="8" t="s">
        <v>582</v>
      </c>
      <c r="D11" s="1"/>
    </row>
    <row r="12">
      <c r="A12" s="1"/>
      <c r="B12" s="8" t="s">
        <v>233</v>
      </c>
      <c r="C12" s="10" t="s">
        <v>583</v>
      </c>
      <c r="D12" s="1"/>
    </row>
    <row r="13">
      <c r="A13" s="1"/>
      <c r="B13" s="8" t="s">
        <v>584</v>
      </c>
      <c r="C13" s="8" t="s">
        <v>585</v>
      </c>
      <c r="D13" s="1"/>
    </row>
    <row r="14">
      <c r="A14" s="1"/>
      <c r="B14" s="8" t="s">
        <v>586</v>
      </c>
      <c r="C14" s="8" t="s">
        <v>585</v>
      </c>
      <c r="D14" s="1"/>
    </row>
    <row r="15">
      <c r="A15" s="1"/>
      <c r="B15" s="170" t="s">
        <v>217</v>
      </c>
      <c r="C15" s="8" t="s">
        <v>587</v>
      </c>
      <c r="D15" s="1"/>
    </row>
    <row r="16">
      <c r="A16" s="1"/>
      <c r="B16" s="170" t="s">
        <v>237</v>
      </c>
      <c r="C16" s="8" t="s">
        <v>587</v>
      </c>
      <c r="D16" s="1"/>
    </row>
    <row r="17">
      <c r="A17" s="1"/>
      <c r="B17" s="170" t="s">
        <v>239</v>
      </c>
      <c r="C17" s="8" t="s">
        <v>587</v>
      </c>
      <c r="D17" s="1"/>
    </row>
    <row r="18">
      <c r="A18" s="1"/>
      <c r="B18" s="171" t="s">
        <v>240</v>
      </c>
      <c r="C18" s="8" t="s">
        <v>587</v>
      </c>
      <c r="D18" s="1"/>
    </row>
    <row r="19">
      <c r="A19" s="1"/>
      <c r="B19" s="171" t="s">
        <v>220</v>
      </c>
      <c r="C19" s="8" t="s">
        <v>587</v>
      </c>
      <c r="D19" s="1"/>
    </row>
    <row r="20">
      <c r="A20" s="1"/>
      <c r="B20" s="171" t="s">
        <v>241</v>
      </c>
      <c r="C20" s="8" t="s">
        <v>588</v>
      </c>
      <c r="D20" s="1"/>
    </row>
    <row r="21">
      <c r="A21" s="1"/>
      <c r="B21" s="171" t="s">
        <v>245</v>
      </c>
      <c r="C21" s="10" t="s">
        <v>589</v>
      </c>
      <c r="D21" s="1"/>
    </row>
    <row r="22">
      <c r="A22" s="1"/>
      <c r="B22" s="171" t="s">
        <v>254</v>
      </c>
      <c r="C22" s="18" t="s">
        <v>590</v>
      </c>
      <c r="D22" s="1"/>
    </row>
    <row r="23">
      <c r="A23" s="1"/>
      <c r="B23" s="171" t="s">
        <v>256</v>
      </c>
      <c r="C23" s="18" t="s">
        <v>590</v>
      </c>
      <c r="D23" s="1"/>
    </row>
    <row r="24">
      <c r="A24" s="1"/>
      <c r="B24" s="171" t="s">
        <v>168</v>
      </c>
      <c r="C24" s="8" t="s">
        <v>591</v>
      </c>
      <c r="D24" s="1"/>
    </row>
    <row r="25">
      <c r="A25" s="1"/>
      <c r="B25" s="171" t="s">
        <v>259</v>
      </c>
      <c r="C25" s="8" t="s">
        <v>592</v>
      </c>
      <c r="D25" s="1"/>
    </row>
    <row r="26">
      <c r="A26" s="1"/>
      <c r="B26" s="171" t="s">
        <v>261</v>
      </c>
      <c r="C26" s="8" t="s">
        <v>593</v>
      </c>
      <c r="D26" s="1"/>
    </row>
    <row r="27">
      <c r="A27" s="1"/>
      <c r="B27" s="171" t="s">
        <v>170</v>
      </c>
      <c r="C27" s="8" t="s">
        <v>594</v>
      </c>
      <c r="D27" s="1"/>
    </row>
    <row r="28">
      <c r="A28" s="1"/>
      <c r="B28" s="171" t="s">
        <v>215</v>
      </c>
      <c r="C28" s="8" t="s">
        <v>595</v>
      </c>
      <c r="D28" s="1"/>
    </row>
    <row r="29">
      <c r="A29" s="1"/>
      <c r="B29" s="171" t="s">
        <v>596</v>
      </c>
      <c r="C29" s="8" t="s">
        <v>597</v>
      </c>
      <c r="D29" s="1"/>
    </row>
    <row r="30">
      <c r="A30" s="1"/>
      <c r="B30" s="171" t="s">
        <v>268</v>
      </c>
      <c r="C30" s="170" t="s">
        <v>269</v>
      </c>
      <c r="D30" s="1"/>
    </row>
    <row r="31">
      <c r="A31" s="1"/>
      <c r="B31" s="171" t="s">
        <v>270</v>
      </c>
      <c r="C31" s="170" t="s">
        <v>271</v>
      </c>
      <c r="D31" s="1"/>
    </row>
    <row r="32">
      <c r="A32" s="1"/>
      <c r="B32" s="171" t="s">
        <v>598</v>
      </c>
      <c r="C32" s="170" t="s">
        <v>599</v>
      </c>
      <c r="D32" s="1"/>
    </row>
    <row r="33">
      <c r="A33" s="1"/>
      <c r="B33" s="8"/>
      <c r="C33" s="8"/>
      <c r="D33" s="1"/>
    </row>
    <row r="34">
      <c r="A34" s="1"/>
      <c r="B34" s="1"/>
      <c r="C34" s="1"/>
      <c r="D34" s="1"/>
    </row>
  </sheetData>
  <hyperlinks>
    <hyperlink r:id="rId1" ref="C8"/>
    <hyperlink r:id="rId2" ref="C10"/>
    <hyperlink r:id="rId3" ref="C12"/>
    <hyperlink r:id="rId4" ref="C21"/>
    <hyperlink r:id="rId5" ref="C22"/>
    <hyperlink r:id="rId6" ref="C23"/>
  </hyperlinks>
  <drawing r:id="rId7"/>
  <tableParts count="1">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4.4"/>
    <col customWidth="1" min="2" max="2" width="14.1"/>
    <col customWidth="1" min="3" max="3" width="12.8"/>
    <col customWidth="1" min="4" max="4" width="15.3"/>
    <col customWidth="1" min="5" max="5" width="70.0"/>
  </cols>
  <sheetData>
    <row r="1">
      <c r="A1" s="1"/>
      <c r="B1" s="1"/>
      <c r="C1" s="172"/>
      <c r="D1" s="1"/>
      <c r="E1" s="1"/>
      <c r="F1" s="1"/>
    </row>
    <row r="2">
      <c r="A2" s="1"/>
      <c r="B2" s="2" t="s">
        <v>47</v>
      </c>
      <c r="C2" s="172"/>
      <c r="D2" s="1"/>
      <c r="E2" s="1"/>
      <c r="F2" s="1"/>
    </row>
    <row r="3">
      <c r="A3" s="1"/>
      <c r="B3" s="3" t="s">
        <v>600</v>
      </c>
      <c r="C3" s="172"/>
      <c r="D3" s="1"/>
      <c r="E3" s="1"/>
      <c r="F3" s="1"/>
    </row>
    <row r="4">
      <c r="A4" s="1"/>
      <c r="B4" s="22"/>
      <c r="C4" s="172"/>
      <c r="D4" s="1"/>
      <c r="E4" s="1"/>
      <c r="F4" s="1"/>
    </row>
    <row r="5">
      <c r="A5" s="1"/>
      <c r="B5" s="169" t="s">
        <v>601</v>
      </c>
      <c r="C5" s="173" t="s">
        <v>602</v>
      </c>
      <c r="D5" s="169" t="s">
        <v>603</v>
      </c>
      <c r="E5" s="169" t="s">
        <v>577</v>
      </c>
      <c r="F5" s="1"/>
    </row>
    <row r="6">
      <c r="A6" s="1"/>
      <c r="B6" s="23"/>
      <c r="C6" s="174"/>
      <c r="D6" s="23"/>
      <c r="E6" s="23"/>
      <c r="F6" s="1"/>
    </row>
    <row r="7">
      <c r="A7" s="175"/>
      <c r="B7" s="8" t="s">
        <v>604</v>
      </c>
      <c r="C7" s="176">
        <v>45554.0</v>
      </c>
      <c r="D7" s="8" t="s">
        <v>605</v>
      </c>
      <c r="E7" s="8" t="s">
        <v>606</v>
      </c>
      <c r="F7" s="175"/>
    </row>
    <row r="8">
      <c r="A8" s="175"/>
      <c r="B8" s="8" t="s">
        <v>607</v>
      </c>
      <c r="C8" s="176">
        <v>45094.0</v>
      </c>
      <c r="D8" s="8" t="s">
        <v>605</v>
      </c>
      <c r="E8" s="8" t="s">
        <v>608</v>
      </c>
      <c r="F8" s="175"/>
    </row>
    <row r="9">
      <c r="A9" s="175"/>
      <c r="B9" s="8" t="s">
        <v>609</v>
      </c>
      <c r="C9" s="176">
        <v>45447.0</v>
      </c>
      <c r="D9" s="8" t="s">
        <v>610</v>
      </c>
      <c r="E9" s="177" t="s">
        <v>611</v>
      </c>
      <c r="F9" s="175"/>
    </row>
    <row r="10">
      <c r="A10" s="175"/>
      <c r="B10" s="8" t="s">
        <v>612</v>
      </c>
      <c r="C10" s="176">
        <v>45081.0</v>
      </c>
      <c r="D10" s="8" t="s">
        <v>610</v>
      </c>
      <c r="E10" s="177" t="s">
        <v>613</v>
      </c>
      <c r="F10" s="175"/>
    </row>
    <row r="11">
      <c r="A11" s="175"/>
      <c r="B11" s="8" t="s">
        <v>614</v>
      </c>
      <c r="C11" s="176">
        <v>45064.0</v>
      </c>
      <c r="D11" s="8" t="s">
        <v>610</v>
      </c>
      <c r="E11" s="8" t="s">
        <v>615</v>
      </c>
      <c r="F11" s="175"/>
    </row>
    <row r="12">
      <c r="A12" s="175"/>
      <c r="B12" s="8" t="s">
        <v>616</v>
      </c>
      <c r="C12" s="176">
        <v>45054.0</v>
      </c>
      <c r="D12" s="8" t="s">
        <v>610</v>
      </c>
      <c r="E12" s="8" t="s">
        <v>617</v>
      </c>
      <c r="F12" s="175"/>
    </row>
    <row r="13">
      <c r="A13" s="175"/>
      <c r="B13" s="8" t="s">
        <v>618</v>
      </c>
      <c r="C13" s="176">
        <v>44999.0</v>
      </c>
      <c r="D13" s="8" t="s">
        <v>610</v>
      </c>
      <c r="E13" s="8" t="s">
        <v>619</v>
      </c>
      <c r="F13" s="175"/>
    </row>
    <row r="14">
      <c r="A14" s="175"/>
      <c r="B14" s="8" t="s">
        <v>620</v>
      </c>
      <c r="C14" s="176">
        <v>44993.0</v>
      </c>
      <c r="D14" s="8" t="s">
        <v>610</v>
      </c>
      <c r="E14" s="8" t="s">
        <v>621</v>
      </c>
      <c r="F14" s="175"/>
    </row>
    <row r="15">
      <c r="A15" s="175"/>
      <c r="B15" s="8" t="s">
        <v>622</v>
      </c>
      <c r="C15" s="176">
        <v>44984.0</v>
      </c>
      <c r="D15" s="8" t="s">
        <v>610</v>
      </c>
      <c r="E15" s="8" t="s">
        <v>623</v>
      </c>
      <c r="F15" s="175"/>
    </row>
    <row r="16">
      <c r="A16" s="175"/>
      <c r="B16" s="8" t="s">
        <v>624</v>
      </c>
      <c r="C16" s="176">
        <v>44961.0</v>
      </c>
      <c r="D16" s="8" t="s">
        <v>625</v>
      </c>
      <c r="E16" s="8" t="s">
        <v>626</v>
      </c>
      <c r="F16" s="175"/>
    </row>
    <row r="17">
      <c r="A17" s="175"/>
      <c r="B17" s="8" t="s">
        <v>627</v>
      </c>
      <c r="C17" s="176">
        <v>44935.0</v>
      </c>
      <c r="D17" s="8" t="s">
        <v>610</v>
      </c>
      <c r="E17" s="8" t="s">
        <v>628</v>
      </c>
      <c r="F17" s="175"/>
    </row>
    <row r="18">
      <c r="A18" s="175"/>
      <c r="B18" s="8" t="s">
        <v>629</v>
      </c>
      <c r="C18" s="176">
        <v>44931.0</v>
      </c>
      <c r="D18" s="8" t="s">
        <v>610</v>
      </c>
      <c r="E18" s="8" t="s">
        <v>630</v>
      </c>
      <c r="F18" s="175"/>
    </row>
    <row r="19">
      <c r="A19" s="175"/>
      <c r="B19" s="8" t="s">
        <v>631</v>
      </c>
      <c r="C19" s="176">
        <v>44907.0</v>
      </c>
      <c r="D19" s="8" t="s">
        <v>610</v>
      </c>
      <c r="E19" s="8" t="s">
        <v>632</v>
      </c>
      <c r="F19" s="175"/>
    </row>
    <row r="20">
      <c r="A20" s="175"/>
      <c r="B20" s="8" t="s">
        <v>633</v>
      </c>
      <c r="C20" s="176">
        <v>44901.0</v>
      </c>
      <c r="D20" s="8" t="s">
        <v>610</v>
      </c>
      <c r="E20" s="8" t="s">
        <v>634</v>
      </c>
      <c r="F20" s="175"/>
    </row>
    <row r="21">
      <c r="A21" s="175"/>
      <c r="B21" s="8" t="s">
        <v>635</v>
      </c>
      <c r="C21" s="176">
        <v>44876.0</v>
      </c>
      <c r="D21" s="8" t="s">
        <v>610</v>
      </c>
      <c r="E21" s="8" t="s">
        <v>636</v>
      </c>
      <c r="F21" s="175"/>
    </row>
    <row r="22">
      <c r="A22" s="175"/>
      <c r="B22" s="8" t="s">
        <v>637</v>
      </c>
      <c r="C22" s="176">
        <v>44875.0</v>
      </c>
      <c r="D22" s="8" t="s">
        <v>610</v>
      </c>
      <c r="E22" s="8" t="s">
        <v>638</v>
      </c>
      <c r="F22" s="175"/>
    </row>
    <row r="23">
      <c r="A23" s="175"/>
      <c r="B23" s="8" t="s">
        <v>639</v>
      </c>
      <c r="C23" s="176">
        <v>44854.0</v>
      </c>
      <c r="D23" s="8" t="s">
        <v>610</v>
      </c>
      <c r="E23" s="8" t="s">
        <v>640</v>
      </c>
      <c r="F23" s="175"/>
    </row>
    <row r="24">
      <c r="A24" s="175"/>
      <c r="B24" s="8" t="s">
        <v>641</v>
      </c>
      <c r="C24" s="176">
        <v>44777.0</v>
      </c>
      <c r="D24" s="8" t="s">
        <v>610</v>
      </c>
      <c r="E24" s="8" t="s">
        <v>642</v>
      </c>
      <c r="F24" s="175"/>
    </row>
    <row r="25">
      <c r="A25" s="175"/>
      <c r="B25" s="8" t="s">
        <v>643</v>
      </c>
      <c r="C25" s="176">
        <v>44775.0</v>
      </c>
      <c r="D25" s="8" t="s">
        <v>625</v>
      </c>
      <c r="E25" s="8" t="s">
        <v>644</v>
      </c>
      <c r="F25" s="175"/>
    </row>
    <row r="26">
      <c r="A26" s="175"/>
      <c r="B26" s="8" t="s">
        <v>645</v>
      </c>
      <c r="C26" s="176">
        <v>44673.0</v>
      </c>
      <c r="D26" s="8" t="s">
        <v>646</v>
      </c>
      <c r="E26" s="8" t="s">
        <v>647</v>
      </c>
      <c r="F26" s="175"/>
    </row>
    <row r="27">
      <c r="A27" s="175"/>
      <c r="B27" s="8" t="s">
        <v>648</v>
      </c>
      <c r="C27" s="176">
        <v>44630.0</v>
      </c>
      <c r="D27" s="8" t="s">
        <v>649</v>
      </c>
      <c r="E27" s="8" t="s">
        <v>650</v>
      </c>
      <c r="F27" s="175"/>
    </row>
    <row r="28">
      <c r="A28" s="175"/>
      <c r="B28" s="8" t="s">
        <v>651</v>
      </c>
      <c r="C28" s="176">
        <v>44578.0</v>
      </c>
      <c r="D28" s="8" t="s">
        <v>610</v>
      </c>
      <c r="E28" s="8" t="s">
        <v>652</v>
      </c>
      <c r="F28" s="175"/>
    </row>
    <row r="29">
      <c r="A29" s="175"/>
      <c r="B29" s="8" t="s">
        <v>653</v>
      </c>
      <c r="C29" s="176">
        <v>44568.0</v>
      </c>
      <c r="D29" s="8" t="s">
        <v>646</v>
      </c>
      <c r="E29" s="8" t="s">
        <v>654</v>
      </c>
      <c r="F29" s="175"/>
    </row>
    <row r="30">
      <c r="A30" s="175"/>
      <c r="B30" s="8" t="s">
        <v>655</v>
      </c>
      <c r="C30" s="176">
        <v>44566.0</v>
      </c>
      <c r="D30" s="8" t="s">
        <v>646</v>
      </c>
      <c r="E30" s="8" t="s">
        <v>656</v>
      </c>
      <c r="F30" s="175"/>
    </row>
    <row r="31">
      <c r="A31" s="175"/>
      <c r="B31" s="8" t="s">
        <v>657</v>
      </c>
      <c r="C31" s="176">
        <v>44538.0</v>
      </c>
      <c r="D31" s="8" t="s">
        <v>649</v>
      </c>
      <c r="E31" s="8" t="s">
        <v>658</v>
      </c>
      <c r="F31" s="175"/>
    </row>
    <row r="32">
      <c r="A32" s="175"/>
      <c r="B32" s="8" t="s">
        <v>659</v>
      </c>
      <c r="C32" s="176">
        <v>44479.0</v>
      </c>
      <c r="D32" s="8" t="s">
        <v>649</v>
      </c>
      <c r="E32" s="8" t="s">
        <v>660</v>
      </c>
      <c r="F32" s="175"/>
    </row>
    <row r="33">
      <c r="A33" s="1"/>
      <c r="B33" s="8" t="s">
        <v>661</v>
      </c>
      <c r="C33" s="176">
        <v>44479.0</v>
      </c>
      <c r="D33" s="8" t="s">
        <v>662</v>
      </c>
      <c r="E33" s="8" t="s">
        <v>663</v>
      </c>
      <c r="F33" s="1"/>
    </row>
    <row r="34">
      <c r="A34" s="1"/>
      <c r="B34" s="8" t="s">
        <v>664</v>
      </c>
      <c r="C34" s="176">
        <v>44427.0</v>
      </c>
      <c r="D34" s="8"/>
      <c r="E34" s="8" t="s">
        <v>665</v>
      </c>
      <c r="F34" s="1"/>
    </row>
    <row r="35">
      <c r="A35" s="1"/>
      <c r="B35" s="8" t="s">
        <v>666</v>
      </c>
      <c r="C35" s="176">
        <v>44418.0</v>
      </c>
      <c r="D35" s="8"/>
      <c r="E35" s="8" t="s">
        <v>667</v>
      </c>
      <c r="F35" s="1"/>
    </row>
    <row r="36">
      <c r="A36" s="1"/>
      <c r="B36" s="8" t="s">
        <v>668</v>
      </c>
      <c r="C36" s="176">
        <v>44407.0</v>
      </c>
      <c r="D36" s="8"/>
      <c r="E36" s="8" t="s">
        <v>669</v>
      </c>
      <c r="F36" s="1"/>
    </row>
    <row r="37">
      <c r="A37" s="1"/>
      <c r="B37" s="8" t="s">
        <v>670</v>
      </c>
      <c r="C37" s="176">
        <v>44215.0</v>
      </c>
      <c r="D37" s="8"/>
      <c r="E37" s="8" t="s">
        <v>671</v>
      </c>
      <c r="F37" s="1"/>
    </row>
    <row r="38">
      <c r="A38" s="1"/>
      <c r="B38" s="8" t="s">
        <v>672</v>
      </c>
      <c r="C38" s="176">
        <v>44184.0</v>
      </c>
      <c r="D38" s="8"/>
      <c r="E38" s="8" t="s">
        <v>673</v>
      </c>
      <c r="F38" s="1"/>
    </row>
    <row r="39">
      <c r="A39" s="1"/>
      <c r="B39" s="8" t="s">
        <v>674</v>
      </c>
      <c r="C39" s="176">
        <v>44137.0</v>
      </c>
      <c r="D39" s="8"/>
      <c r="E39" s="8" t="s">
        <v>675</v>
      </c>
      <c r="F39" s="1"/>
    </row>
    <row r="40">
      <c r="A40" s="1"/>
      <c r="B40" s="8" t="s">
        <v>676</v>
      </c>
      <c r="C40" s="176">
        <v>44060.0</v>
      </c>
      <c r="D40" s="8"/>
      <c r="E40" s="8" t="s">
        <v>677</v>
      </c>
      <c r="F40" s="1"/>
    </row>
    <row r="41">
      <c r="A41" s="1"/>
      <c r="B41" s="8" t="s">
        <v>678</v>
      </c>
      <c r="C41" s="176">
        <v>44046.0</v>
      </c>
      <c r="D41" s="8"/>
      <c r="E41" s="8" t="s">
        <v>679</v>
      </c>
      <c r="F41" s="1"/>
    </row>
    <row r="42">
      <c r="A42" s="1"/>
      <c r="B42" s="8" t="s">
        <v>680</v>
      </c>
      <c r="C42" s="176">
        <v>44041.0</v>
      </c>
      <c r="D42" s="8"/>
      <c r="E42" s="8" t="s">
        <v>681</v>
      </c>
      <c r="F42" s="1"/>
    </row>
    <row r="43">
      <c r="A43" s="1"/>
      <c r="B43" s="8" t="s">
        <v>682</v>
      </c>
      <c r="C43" s="176">
        <v>44033.0</v>
      </c>
      <c r="D43" s="8"/>
      <c r="E43" s="8" t="s">
        <v>683</v>
      </c>
      <c r="F43" s="1"/>
    </row>
    <row r="44">
      <c r="A44" s="1"/>
      <c r="B44" s="8" t="s">
        <v>684</v>
      </c>
      <c r="C44" s="176">
        <v>44007.0</v>
      </c>
      <c r="D44" s="8"/>
      <c r="E44" s="8" t="s">
        <v>685</v>
      </c>
      <c r="F44" s="1"/>
    </row>
    <row r="45">
      <c r="A45" s="1"/>
      <c r="B45" s="8" t="s">
        <v>686</v>
      </c>
      <c r="C45" s="176">
        <v>43966.0</v>
      </c>
      <c r="D45" s="8"/>
      <c r="E45" s="8" t="s">
        <v>687</v>
      </c>
      <c r="F45" s="1"/>
    </row>
    <row r="46">
      <c r="A46" s="1"/>
      <c r="B46" s="8" t="s">
        <v>688</v>
      </c>
      <c r="C46" s="176">
        <v>43670.0</v>
      </c>
      <c r="D46" s="8"/>
      <c r="E46" s="8" t="s">
        <v>689</v>
      </c>
      <c r="F46" s="1"/>
    </row>
    <row r="47">
      <c r="A47" s="1"/>
      <c r="B47" s="8" t="s">
        <v>690</v>
      </c>
      <c r="C47" s="176">
        <v>43544.0</v>
      </c>
      <c r="D47" s="8"/>
      <c r="E47" s="8" t="s">
        <v>691</v>
      </c>
      <c r="F47" s="1"/>
    </row>
    <row r="48">
      <c r="A48" s="1"/>
      <c r="B48" s="8" t="s">
        <v>692</v>
      </c>
      <c r="C48" s="176">
        <v>43524.0</v>
      </c>
      <c r="D48" s="8"/>
      <c r="E48" s="8" t="s">
        <v>693</v>
      </c>
      <c r="F48" s="1"/>
    </row>
    <row r="49">
      <c r="A49" s="1"/>
      <c r="B49" s="8" t="s">
        <v>694</v>
      </c>
      <c r="C49" s="176">
        <v>43480.0</v>
      </c>
      <c r="D49" s="8"/>
      <c r="E49" s="8" t="s">
        <v>695</v>
      </c>
      <c r="F49" s="1"/>
    </row>
    <row r="50">
      <c r="A50" s="1"/>
      <c r="B50" s="8" t="s">
        <v>696</v>
      </c>
      <c r="C50" s="176">
        <v>43050.0</v>
      </c>
      <c r="D50" s="8"/>
      <c r="E50" s="8" t="s">
        <v>697</v>
      </c>
      <c r="F50" s="1"/>
    </row>
    <row r="51">
      <c r="A51" s="1"/>
      <c r="B51" s="8" t="s">
        <v>698</v>
      </c>
      <c r="C51" s="176">
        <v>42919.0</v>
      </c>
      <c r="D51" s="8"/>
      <c r="E51" s="8" t="s">
        <v>699</v>
      </c>
      <c r="F51" s="1"/>
    </row>
    <row r="52">
      <c r="A52" s="1"/>
      <c r="B52" s="8"/>
      <c r="C52" s="176"/>
      <c r="D52" s="8"/>
      <c r="E52" s="8"/>
      <c r="F52" s="1"/>
    </row>
    <row r="53">
      <c r="A53" s="1"/>
      <c r="B53" s="166"/>
      <c r="C53" s="176"/>
      <c r="D53" s="178"/>
      <c r="E53" s="178"/>
      <c r="F53" s="1"/>
    </row>
  </sheetData>
  <drawing r:id="rId1"/>
  <tableParts count="1">
    <tablePart r:id="rId3"/>
  </tableParts>
</worksheet>
</file>