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ylordavidson/Downloads/"/>
    </mc:Choice>
  </mc:AlternateContent>
  <xr:revisionPtr revIDLastSave="0" documentId="13_ncr:1_{4862F5A1-D2CC-184B-B4F3-00B9C8145DF6}" xr6:coauthVersionLast="47" xr6:coauthVersionMax="47" xr10:uidLastSave="{00000000-0000-0000-0000-000000000000}"/>
  <bookViews>
    <workbookView xWindow="0" yWindow="640" windowWidth="29400" windowHeight="18480" activeTab="2" xr2:uid="{00000000-000D-0000-FFFF-FFFF00000000}"/>
  </bookViews>
  <sheets>
    <sheet name="README" sheetId="1" r:id="rId1"/>
    <sheet name="License" sheetId="2" r:id="rId2"/>
    <sheet name="Get Started" sheetId="3" r:id="rId3"/>
    <sheet name="Key Reports" sheetId="4" r:id="rId4"/>
    <sheet name="Portfolio" sheetId="5" r:id="rId5"/>
    <sheet name="Forecast" sheetId="6" r:id="rId6"/>
    <sheet name="Resources" sheetId="7" r:id="rId7"/>
    <sheet name="Model Comparison" sheetId="8" r:id="rId8"/>
    <sheet name="Glossary" sheetId="9" r:id="rId9"/>
    <sheet name="Changelog"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3" l="1" a="1"/>
  <c r="G37" i="3" s="1"/>
  <c r="F37" i="3" a="1"/>
  <c r="F37" i="3" s="1"/>
  <c r="G36" i="3" a="1"/>
  <c r="G36" i="3" s="1"/>
  <c r="F36" i="3" a="1"/>
  <c r="F36" i="3" s="1"/>
  <c r="G35" i="3" a="1"/>
  <c r="G35" i="3" s="1"/>
  <c r="F35" i="3" a="1"/>
  <c r="F35" i="3" s="1"/>
  <c r="F34" i="3" a="1"/>
  <c r="F34" i="3" s="1"/>
  <c r="F38" i="3" s="1"/>
  <c r="E15" i="3"/>
  <c r="F141" i="6"/>
  <c r="F140" i="6"/>
  <c r="F139" i="6"/>
  <c r="F138" i="6"/>
  <c r="F137" i="6"/>
  <c r="B127" i="6"/>
  <c r="B105" i="6"/>
  <c r="B106" i="6" s="1"/>
  <c r="B107" i="6" s="1"/>
  <c r="B108" i="6" s="1"/>
  <c r="B109" i="6" s="1"/>
  <c r="B110" i="6" s="1"/>
  <c r="B111" i="6" s="1"/>
  <c r="B112" i="6" s="1"/>
  <c r="B113" i="6" s="1"/>
  <c r="B114" i="6" s="1"/>
  <c r="B115" i="6" s="1"/>
  <c r="B116" i="6" s="1"/>
  <c r="B117" i="6" s="1"/>
  <c r="B118" i="6" s="1"/>
  <c r="B119" i="6" s="1"/>
  <c r="B120" i="6" s="1"/>
  <c r="B121" i="6" s="1"/>
  <c r="B122" i="6" s="1"/>
  <c r="B123" i="6" s="1"/>
  <c r="B100" i="6"/>
  <c r="B96" i="6"/>
  <c r="F92" i="6"/>
  <c r="F91" i="6"/>
  <c r="F90" i="6"/>
  <c r="F89" i="6"/>
  <c r="B87" i="6"/>
  <c r="B86" i="6"/>
  <c r="B84" i="6"/>
  <c r="B83" i="6"/>
  <c r="B82" i="6"/>
  <c r="B81" i="6"/>
  <c r="B80" i="6"/>
  <c r="B79" i="6"/>
  <c r="B78" i="6"/>
  <c r="G77" i="6"/>
  <c r="H77" i="6" s="1"/>
  <c r="I77" i="6" s="1"/>
  <c r="J77" i="6" s="1"/>
  <c r="K77" i="6" s="1"/>
  <c r="L77" i="6" s="1"/>
  <c r="M77" i="6" s="1"/>
  <c r="N77" i="6" s="1"/>
  <c r="O77" i="6" s="1"/>
  <c r="P77" i="6" s="1"/>
  <c r="Q77" i="6" s="1"/>
  <c r="R77" i="6" s="1"/>
  <c r="S77" i="6" s="1"/>
  <c r="T77" i="6" s="1"/>
  <c r="U77" i="6" s="1"/>
  <c r="V77" i="6" s="1"/>
  <c r="W77" i="6" s="1"/>
  <c r="X77" i="6" s="1"/>
  <c r="Y77" i="6" s="1"/>
  <c r="Z77" i="6" s="1"/>
  <c r="E77" i="6" s="1"/>
  <c r="B77" i="6"/>
  <c r="B76" i="6"/>
  <c r="B75" i="6"/>
  <c r="H74" i="6"/>
  <c r="I74" i="6" s="1"/>
  <c r="J74" i="6" s="1"/>
  <c r="K74" i="6" s="1"/>
  <c r="L74" i="6" s="1"/>
  <c r="M74" i="6" s="1"/>
  <c r="N74" i="6" s="1"/>
  <c r="O74" i="6" s="1"/>
  <c r="P74" i="6" s="1"/>
  <c r="Q74" i="6" s="1"/>
  <c r="R74" i="6" s="1"/>
  <c r="S74" i="6" s="1"/>
  <c r="T74" i="6" s="1"/>
  <c r="U74" i="6" s="1"/>
  <c r="V74" i="6" s="1"/>
  <c r="W74" i="6" s="1"/>
  <c r="X74" i="6" s="1"/>
  <c r="Y74" i="6" s="1"/>
  <c r="Z74" i="6" s="1"/>
  <c r="E74" i="6" s="1"/>
  <c r="G74" i="6"/>
  <c r="B74" i="6"/>
  <c r="G73" i="6"/>
  <c r="H73" i="6" s="1"/>
  <c r="I73" i="6" s="1"/>
  <c r="J73" i="6" s="1"/>
  <c r="K73" i="6" s="1"/>
  <c r="L73" i="6" s="1"/>
  <c r="M73" i="6" s="1"/>
  <c r="N73" i="6" s="1"/>
  <c r="O73" i="6" s="1"/>
  <c r="P73" i="6" s="1"/>
  <c r="Q73" i="6" s="1"/>
  <c r="R73" i="6" s="1"/>
  <c r="S73" i="6" s="1"/>
  <c r="T73" i="6" s="1"/>
  <c r="U73" i="6" s="1"/>
  <c r="V73" i="6" s="1"/>
  <c r="W73" i="6" s="1"/>
  <c r="X73" i="6" s="1"/>
  <c r="Y73" i="6" s="1"/>
  <c r="Z73" i="6" s="1"/>
  <c r="E73" i="6" s="1"/>
  <c r="B73" i="6"/>
  <c r="B72" i="6"/>
  <c r="B71" i="6"/>
  <c r="B70" i="6"/>
  <c r="B69" i="6"/>
  <c r="B68" i="6"/>
  <c r="B67" i="6"/>
  <c r="L66" i="6"/>
  <c r="M66" i="6" s="1"/>
  <c r="N66" i="6" s="1"/>
  <c r="O66" i="6" s="1"/>
  <c r="P66" i="6" s="1"/>
  <c r="Q66" i="6" s="1"/>
  <c r="R66" i="6" s="1"/>
  <c r="S66" i="6" s="1"/>
  <c r="T66" i="6" s="1"/>
  <c r="U66" i="6" s="1"/>
  <c r="V66" i="6" s="1"/>
  <c r="W66" i="6" s="1"/>
  <c r="X66" i="6" s="1"/>
  <c r="Y66" i="6" s="1"/>
  <c r="Z66" i="6" s="1"/>
  <c r="E66" i="6" s="1"/>
  <c r="K66" i="6"/>
  <c r="G66" i="6"/>
  <c r="H66" i="6" s="1"/>
  <c r="I66" i="6" s="1"/>
  <c r="J66" i="6" s="1"/>
  <c r="B66" i="6"/>
  <c r="B65" i="6"/>
  <c r="I64" i="6"/>
  <c r="J64" i="6" s="1"/>
  <c r="K64" i="6" s="1"/>
  <c r="L64" i="6" s="1"/>
  <c r="M64" i="6" s="1"/>
  <c r="N64" i="6" s="1"/>
  <c r="O64" i="6" s="1"/>
  <c r="P64" i="6" s="1"/>
  <c r="Q64" i="6" s="1"/>
  <c r="R64" i="6" s="1"/>
  <c r="S64" i="6" s="1"/>
  <c r="T64" i="6" s="1"/>
  <c r="U64" i="6" s="1"/>
  <c r="V64" i="6" s="1"/>
  <c r="W64" i="6" s="1"/>
  <c r="X64" i="6" s="1"/>
  <c r="Y64" i="6" s="1"/>
  <c r="Z64" i="6" s="1"/>
  <c r="E64" i="6" s="1"/>
  <c r="H64" i="6"/>
  <c r="G64" i="6"/>
  <c r="B64" i="6"/>
  <c r="G63" i="6"/>
  <c r="H63" i="6" s="1"/>
  <c r="I63" i="6" s="1"/>
  <c r="J63" i="6" s="1"/>
  <c r="K63" i="6" s="1"/>
  <c r="L63" i="6" s="1"/>
  <c r="M63" i="6" s="1"/>
  <c r="N63" i="6" s="1"/>
  <c r="O63" i="6" s="1"/>
  <c r="P63" i="6" s="1"/>
  <c r="Q63" i="6" s="1"/>
  <c r="R63" i="6" s="1"/>
  <c r="S63" i="6" s="1"/>
  <c r="T63" i="6" s="1"/>
  <c r="U63" i="6" s="1"/>
  <c r="V63" i="6" s="1"/>
  <c r="W63" i="6" s="1"/>
  <c r="X63" i="6" s="1"/>
  <c r="Y63" i="6" s="1"/>
  <c r="Z63" i="6" s="1"/>
  <c r="E63" i="6" s="1"/>
  <c r="B63" i="6"/>
  <c r="B62" i="6"/>
  <c r="I61" i="6"/>
  <c r="J61" i="6" s="1"/>
  <c r="K61" i="6" s="1"/>
  <c r="L61" i="6" s="1"/>
  <c r="M61" i="6" s="1"/>
  <c r="N61" i="6" s="1"/>
  <c r="O61" i="6" s="1"/>
  <c r="P61" i="6" s="1"/>
  <c r="Q61" i="6" s="1"/>
  <c r="R61" i="6" s="1"/>
  <c r="S61" i="6" s="1"/>
  <c r="T61" i="6" s="1"/>
  <c r="U61" i="6" s="1"/>
  <c r="V61" i="6" s="1"/>
  <c r="W61" i="6" s="1"/>
  <c r="X61" i="6" s="1"/>
  <c r="Y61" i="6" s="1"/>
  <c r="Z61" i="6" s="1"/>
  <c r="E61" i="6" s="1"/>
  <c r="G61" i="6"/>
  <c r="H61" i="6" s="1"/>
  <c r="B61" i="6"/>
  <c r="B60" i="6"/>
  <c r="B59" i="6"/>
  <c r="B56" i="6"/>
  <c r="B85" i="6" s="1"/>
  <c r="T54" i="6"/>
  <c r="S54" i="6"/>
  <c r="R54" i="6"/>
  <c r="L54" i="6"/>
  <c r="K54" i="6"/>
  <c r="J54" i="6"/>
  <c r="I54" i="6"/>
  <c r="E48" i="6"/>
  <c r="E45" i="6"/>
  <c r="E44" i="6"/>
  <c r="E37" i="6"/>
  <c r="E35" i="6"/>
  <c r="E34" i="6"/>
  <c r="E32" i="6"/>
  <c r="Z30" i="6"/>
  <c r="Y30" i="6"/>
  <c r="X30" i="6"/>
  <c r="X54" i="6" s="1"/>
  <c r="W30" i="6"/>
  <c r="W54" i="6" s="1"/>
  <c r="V30" i="6"/>
  <c r="V54" i="6" s="1"/>
  <c r="U30" i="6"/>
  <c r="T30" i="6"/>
  <c r="S30" i="6"/>
  <c r="R30" i="6"/>
  <c r="Q30" i="6"/>
  <c r="P30" i="6"/>
  <c r="O30" i="6"/>
  <c r="O54" i="6" s="1"/>
  <c r="N30" i="6"/>
  <c r="N54" i="6" s="1"/>
  <c r="M30" i="6"/>
  <c r="M54" i="6" s="1"/>
  <c r="L30" i="6"/>
  <c r="K30" i="6"/>
  <c r="J30" i="6"/>
  <c r="I30" i="6"/>
  <c r="H30" i="6"/>
  <c r="G30" i="6"/>
  <c r="G59" i="6" s="1"/>
  <c r="H59" i="6" s="1"/>
  <c r="I59" i="6" s="1"/>
  <c r="J59" i="6" s="1"/>
  <c r="K59" i="6" s="1"/>
  <c r="L59" i="6" s="1"/>
  <c r="M59" i="6" s="1"/>
  <c r="N59" i="6" s="1"/>
  <c r="O59" i="6" s="1"/>
  <c r="P59" i="6" s="1"/>
  <c r="Q59" i="6" s="1"/>
  <c r="R59" i="6" s="1"/>
  <c r="S59" i="6" s="1"/>
  <c r="T59" i="6" s="1"/>
  <c r="U59" i="6" s="1"/>
  <c r="V59" i="6" s="1"/>
  <c r="W59" i="6" s="1"/>
  <c r="X59" i="6" s="1"/>
  <c r="Y59" i="6" s="1"/>
  <c r="Z59" i="6" s="1"/>
  <c r="E59" i="6" s="1"/>
  <c r="E30" i="6"/>
  <c r="G22" i="6"/>
  <c r="E22" i="6"/>
  <c r="E20" i="6"/>
  <c r="E19" i="6"/>
  <c r="I18" i="6"/>
  <c r="J18" i="6" s="1"/>
  <c r="K18" i="6" s="1"/>
  <c r="L18" i="6" s="1"/>
  <c r="M18" i="6" s="1"/>
  <c r="N18" i="6" s="1"/>
  <c r="O18" i="6" s="1"/>
  <c r="P18" i="6" s="1"/>
  <c r="Q18" i="6" s="1"/>
  <c r="R18" i="6" s="1"/>
  <c r="S18" i="6" s="1"/>
  <c r="T18" i="6" s="1"/>
  <c r="U18" i="6" s="1"/>
  <c r="V18" i="6" s="1"/>
  <c r="W18" i="6" s="1"/>
  <c r="X18" i="6" s="1"/>
  <c r="Y18" i="6" s="1"/>
  <c r="Z18" i="6" s="1"/>
  <c r="H18" i="6"/>
  <c r="E18" i="6"/>
  <c r="Z16" i="6"/>
  <c r="Y16" i="6"/>
  <c r="X16" i="6"/>
  <c r="W16" i="6"/>
  <c r="V16" i="6"/>
  <c r="U16" i="6"/>
  <c r="T16" i="6"/>
  <c r="S16" i="6"/>
  <c r="R16" i="6"/>
  <c r="Q16" i="6"/>
  <c r="P16" i="6"/>
  <c r="O16" i="6"/>
  <c r="N16" i="6"/>
  <c r="M16" i="6"/>
  <c r="L16" i="6"/>
  <c r="K16" i="6"/>
  <c r="J16" i="6"/>
  <c r="I16" i="6"/>
  <c r="H16" i="6"/>
  <c r="E16" i="6" s="1"/>
  <c r="G16" i="6"/>
  <c r="I15" i="6"/>
  <c r="J15" i="6" s="1"/>
  <c r="H15" i="6"/>
  <c r="B15" i="6"/>
  <c r="E11" i="6"/>
  <c r="B10" i="6"/>
  <c r="B9" i="6"/>
  <c r="B8" i="6"/>
  <c r="G5" i="6"/>
  <c r="H5" i="6" s="1"/>
  <c r="I5" i="6" s="1"/>
  <c r="J5" i="6" s="1"/>
  <c r="K5" i="6" s="1"/>
  <c r="L5" i="6" s="1"/>
  <c r="M5" i="6" s="1"/>
  <c r="N5" i="6" s="1"/>
  <c r="O5" i="6" s="1"/>
  <c r="P5" i="6" s="1"/>
  <c r="Q5" i="6" s="1"/>
  <c r="R5" i="6" s="1"/>
  <c r="S5" i="6" s="1"/>
  <c r="T5" i="6" s="1"/>
  <c r="U5" i="6" s="1"/>
  <c r="V5" i="6" s="1"/>
  <c r="W5" i="6" s="1"/>
  <c r="X5" i="6" s="1"/>
  <c r="Y5" i="6" s="1"/>
  <c r="Z5" i="6" s="1"/>
  <c r="H4" i="6"/>
  <c r="G4" i="6"/>
  <c r="K71" i="5"/>
  <c r="B71" i="5"/>
  <c r="K70" i="5"/>
  <c r="B70" i="5"/>
  <c r="K69" i="5"/>
  <c r="B69" i="5"/>
  <c r="K68" i="5"/>
  <c r="B68" i="5"/>
  <c r="K67" i="5"/>
  <c r="B67" i="5"/>
  <c r="K66" i="5"/>
  <c r="B66" i="5"/>
  <c r="K65" i="5"/>
  <c r="B65" i="5"/>
  <c r="K64" i="5"/>
  <c r="B64" i="5"/>
  <c r="K63" i="5"/>
  <c r="B63" i="5"/>
  <c r="K62" i="5"/>
  <c r="B62" i="5"/>
  <c r="K61" i="5"/>
  <c r="B61" i="5"/>
  <c r="K60" i="5"/>
  <c r="B60" i="5"/>
  <c r="K59" i="5"/>
  <c r="B59" i="5"/>
  <c r="K58" i="5"/>
  <c r="B58" i="5"/>
  <c r="K57" i="5"/>
  <c r="B57" i="5"/>
  <c r="K56" i="5"/>
  <c r="B56" i="5"/>
  <c r="K55" i="5"/>
  <c r="B55" i="5"/>
  <c r="K54" i="5"/>
  <c r="B54" i="5"/>
  <c r="K53" i="5"/>
  <c r="B53" i="5"/>
  <c r="K52" i="5"/>
  <c r="B52" i="5"/>
  <c r="K51" i="5"/>
  <c r="B51" i="5"/>
  <c r="K50" i="5"/>
  <c r="B50" i="5"/>
  <c r="K49" i="5"/>
  <c r="B49" i="5"/>
  <c r="K48" i="5"/>
  <c r="B48" i="5"/>
  <c r="K47" i="5"/>
  <c r="B47" i="5"/>
  <c r="K46" i="5"/>
  <c r="F46" i="5"/>
  <c r="K45" i="5"/>
  <c r="F45" i="5"/>
  <c r="K44" i="5"/>
  <c r="F44" i="5"/>
  <c r="K43" i="5"/>
  <c r="F43" i="5"/>
  <c r="K42" i="5"/>
  <c r="F42" i="5"/>
  <c r="K41" i="5"/>
  <c r="F41" i="5"/>
  <c r="K40" i="5"/>
  <c r="F40" i="5"/>
  <c r="K39" i="5"/>
  <c r="F39" i="5"/>
  <c r="K38" i="5"/>
  <c r="F38" i="5"/>
  <c r="E38" i="5"/>
  <c r="K37" i="5"/>
  <c r="F37" i="5"/>
  <c r="K36" i="5"/>
  <c r="F36" i="5"/>
  <c r="E36" i="5"/>
  <c r="K35" i="5"/>
  <c r="F35" i="5"/>
  <c r="K34" i="5"/>
  <c r="F34" i="5"/>
  <c r="K33" i="5"/>
  <c r="F33" i="5"/>
  <c r="E33" i="5"/>
  <c r="K32" i="5"/>
  <c r="F32" i="5"/>
  <c r="K31" i="5"/>
  <c r="F31" i="5"/>
  <c r="E31" i="5"/>
  <c r="K30" i="5"/>
  <c r="F30" i="5"/>
  <c r="E30" i="5"/>
  <c r="K29" i="5"/>
  <c r="F29" i="5"/>
  <c r="E29" i="5"/>
  <c r="K28" i="5"/>
  <c r="F28" i="5"/>
  <c r="E28" i="5"/>
  <c r="K27" i="5"/>
  <c r="F27" i="5"/>
  <c r="E27" i="5"/>
  <c r="K26" i="5"/>
  <c r="K25" i="5"/>
  <c r="K24" i="5"/>
  <c r="K23" i="5"/>
  <c r="K22" i="5"/>
  <c r="K21" i="5"/>
  <c r="E21" i="5"/>
  <c r="E26" i="5" s="1"/>
  <c r="E46" i="5" s="1"/>
  <c r="K20" i="5"/>
  <c r="K19" i="5"/>
  <c r="K18" i="5"/>
  <c r="K17" i="5"/>
  <c r="K16" i="5"/>
  <c r="E16" i="5"/>
  <c r="K15" i="5"/>
  <c r="E15" i="5"/>
  <c r="E35" i="5" s="1"/>
  <c r="K14" i="5"/>
  <c r="E14" i="5"/>
  <c r="E34" i="5" s="1"/>
  <c r="K13" i="5"/>
  <c r="E13" i="5"/>
  <c r="E18" i="5" s="1"/>
  <c r="E23" i="5" s="1"/>
  <c r="E43" i="5" s="1"/>
  <c r="K12" i="5"/>
  <c r="E12" i="5"/>
  <c r="E32" i="5" s="1"/>
  <c r="K11" i="5"/>
  <c r="K10" i="5"/>
  <c r="K9" i="5"/>
  <c r="B9" i="5"/>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K8" i="5"/>
  <c r="B8" i="5"/>
  <c r="K7" i="5"/>
  <c r="B7" i="5"/>
  <c r="C50" i="3"/>
  <c r="C49" i="3"/>
  <c r="C48" i="3"/>
  <c r="C47" i="3"/>
  <c r="C46" i="3"/>
  <c r="C45" i="3"/>
  <c r="B45" i="3"/>
  <c r="C44" i="3"/>
  <c r="C43" i="3"/>
  <c r="I35" i="3"/>
  <c r="F27" i="3"/>
  <c r="E27" i="3"/>
  <c r="C26" i="3"/>
  <c r="C12" i="3"/>
  <c r="F11" i="3"/>
  <c r="C11" i="3"/>
  <c r="F9" i="3"/>
  <c r="F10" i="3" s="1"/>
  <c r="E37" i="3" l="1"/>
  <c r="E35" i="3"/>
  <c r="E36" i="3"/>
  <c r="E17" i="5"/>
  <c r="E20" i="5"/>
  <c r="K15" i="6"/>
  <c r="E19" i="5"/>
  <c r="E41" i="5"/>
  <c r="E34" i="3"/>
  <c r="G39" i="6"/>
  <c r="U54" i="6"/>
  <c r="H104" i="6"/>
  <c r="H39" i="6"/>
  <c r="I4" i="6"/>
  <c r="G8" i="6"/>
  <c r="G54" i="6"/>
  <c r="H8" i="6"/>
  <c r="H54" i="6"/>
  <c r="P54" i="6"/>
  <c r="Q54" i="6"/>
  <c r="Y54" i="6"/>
  <c r="Z54" i="6"/>
  <c r="E38" i="3" l="1"/>
  <c r="G83" i="6"/>
  <c r="E54" i="6"/>
  <c r="L15" i="6"/>
  <c r="I105" i="6"/>
  <c r="I104" i="6"/>
  <c r="I8" i="6"/>
  <c r="I39" i="6"/>
  <c r="J4" i="6"/>
  <c r="E25" i="5"/>
  <c r="E45" i="5" s="1"/>
  <c r="E40" i="5"/>
  <c r="E37" i="5"/>
  <c r="E22" i="5"/>
  <c r="G68" i="6"/>
  <c r="H68" i="6" s="1"/>
  <c r="I68" i="6" s="1"/>
  <c r="E39" i="5"/>
  <c r="E24" i="5"/>
  <c r="M15" i="6" l="1"/>
  <c r="J105" i="6"/>
  <c r="J104" i="6"/>
  <c r="J106" i="6"/>
  <c r="J8" i="6"/>
  <c r="J39" i="6"/>
  <c r="K4" i="6"/>
  <c r="E42" i="5"/>
  <c r="I42" i="6" s="1"/>
  <c r="H83" i="6"/>
  <c r="G43" i="6" l="1"/>
  <c r="H33" i="6"/>
  <c r="H137" i="6" s="1"/>
  <c r="H42" i="6"/>
  <c r="G33" i="6"/>
  <c r="G137" i="6" s="1"/>
  <c r="J33" i="6"/>
  <c r="N15" i="6"/>
  <c r="I83" i="6"/>
  <c r="H43" i="6"/>
  <c r="H24" i="6" s="1"/>
  <c r="G49" i="6"/>
  <c r="I33" i="6"/>
  <c r="H49" i="6"/>
  <c r="G62" i="6"/>
  <c r="H62" i="6" s="1"/>
  <c r="J49" i="6"/>
  <c r="J68" i="6"/>
  <c r="G51" i="6"/>
  <c r="G36" i="6"/>
  <c r="G42" i="6"/>
  <c r="I36" i="6"/>
  <c r="I138" i="6" s="1"/>
  <c r="G72" i="6"/>
  <c r="G24" i="6"/>
  <c r="H51" i="6"/>
  <c r="J42" i="6"/>
  <c r="J43" i="6"/>
  <c r="J24" i="6" s="1"/>
  <c r="I43" i="6"/>
  <c r="I24" i="6" s="1"/>
  <c r="I51" i="6"/>
  <c r="J51" i="6"/>
  <c r="E17" i="3"/>
  <c r="K10" i="6" s="1"/>
  <c r="K40" i="6" s="1"/>
  <c r="H36" i="6"/>
  <c r="H138" i="6" s="1"/>
  <c r="K107" i="6"/>
  <c r="K105" i="6"/>
  <c r="K104" i="6"/>
  <c r="K43" i="6"/>
  <c r="K24" i="6" s="1"/>
  <c r="K106" i="6"/>
  <c r="K36" i="6"/>
  <c r="K138" i="6" s="1"/>
  <c r="K8" i="6"/>
  <c r="K39" i="6"/>
  <c r="L4" i="6"/>
  <c r="K42" i="6"/>
  <c r="K33" i="6"/>
  <c r="K49" i="6"/>
  <c r="K51" i="6"/>
  <c r="J36" i="6"/>
  <c r="J138" i="6" s="1"/>
  <c r="I49" i="6"/>
  <c r="I62" i="6" l="1"/>
  <c r="J62" i="6"/>
  <c r="K62" i="6"/>
  <c r="G138" i="6"/>
  <c r="G65" i="6"/>
  <c r="H65" i="6" s="1"/>
  <c r="I65" i="6" s="1"/>
  <c r="J65" i="6" s="1"/>
  <c r="K65" i="6" s="1"/>
  <c r="L108" i="6"/>
  <c r="L104" i="6"/>
  <c r="L107" i="6"/>
  <c r="L105" i="6"/>
  <c r="L106" i="6"/>
  <c r="L43" i="6"/>
  <c r="L24" i="6" s="1"/>
  <c r="L39" i="6"/>
  <c r="L36" i="6"/>
  <c r="L138" i="6" s="1"/>
  <c r="M4" i="6"/>
  <c r="L42" i="6"/>
  <c r="L33" i="6"/>
  <c r="L62" i="6" s="1"/>
  <c r="L10" i="6"/>
  <c r="L40" i="6" s="1"/>
  <c r="L49" i="6"/>
  <c r="L51" i="6"/>
  <c r="L8" i="6"/>
  <c r="K137" i="6"/>
  <c r="K38" i="6"/>
  <c r="G71" i="6"/>
  <c r="H71" i="6" s="1"/>
  <c r="I71" i="6" s="1"/>
  <c r="J71" i="6" s="1"/>
  <c r="K71" i="6" s="1"/>
  <c r="G80" i="6"/>
  <c r="H80" i="6" s="1"/>
  <c r="I80" i="6" s="1"/>
  <c r="J80" i="6" s="1"/>
  <c r="K80" i="6" s="1"/>
  <c r="H38" i="6"/>
  <c r="J83" i="6"/>
  <c r="I137" i="6"/>
  <c r="I38" i="6"/>
  <c r="E16" i="3"/>
  <c r="F12" i="3"/>
  <c r="G10" i="6"/>
  <c r="H10" i="6"/>
  <c r="H40" i="6" s="1"/>
  <c r="I10" i="6"/>
  <c r="I40" i="6" s="1"/>
  <c r="J10" i="6"/>
  <c r="J40" i="6" s="1"/>
  <c r="K68" i="6"/>
  <c r="L68" i="6" s="1"/>
  <c r="G78" i="6"/>
  <c r="H78" i="6" s="1"/>
  <c r="I78" i="6" s="1"/>
  <c r="J78" i="6" s="1"/>
  <c r="K78" i="6" s="1"/>
  <c r="O15" i="6"/>
  <c r="H72" i="6"/>
  <c r="G38" i="6"/>
  <c r="J137" i="6"/>
  <c r="J38" i="6"/>
  <c r="L80" i="6" l="1"/>
  <c r="L78" i="6"/>
  <c r="I72" i="6"/>
  <c r="H9" i="6"/>
  <c r="H14" i="6" s="1"/>
  <c r="H41" i="6" s="1"/>
  <c r="H26" i="6" s="1"/>
  <c r="G9" i="6"/>
  <c r="I9" i="6"/>
  <c r="I14" i="6" s="1"/>
  <c r="I41" i="6" s="1"/>
  <c r="I139" i="6" s="1"/>
  <c r="J9" i="6"/>
  <c r="J14" i="6" s="1"/>
  <c r="J41" i="6" s="1"/>
  <c r="K9" i="6"/>
  <c r="K14" i="6" s="1"/>
  <c r="L9" i="6"/>
  <c r="L14" i="6" s="1"/>
  <c r="E18" i="3"/>
  <c r="L71" i="6"/>
  <c r="P15" i="6"/>
  <c r="K83" i="6"/>
  <c r="L65" i="6"/>
  <c r="M108" i="6"/>
  <c r="M104" i="6"/>
  <c r="M105" i="6"/>
  <c r="M107" i="6"/>
  <c r="M109" i="6"/>
  <c r="M51" i="6"/>
  <c r="M80" i="6" s="1"/>
  <c r="M39" i="6"/>
  <c r="M106" i="6"/>
  <c r="M42" i="6"/>
  <c r="M33" i="6"/>
  <c r="M10" i="6"/>
  <c r="M40" i="6" s="1"/>
  <c r="M49" i="6"/>
  <c r="M8" i="6"/>
  <c r="M43" i="6"/>
  <c r="M36" i="6"/>
  <c r="M138" i="6" s="1"/>
  <c r="N4" i="6"/>
  <c r="J95" i="6"/>
  <c r="J50" i="6"/>
  <c r="J27" i="6"/>
  <c r="G95" i="6"/>
  <c r="G50" i="6"/>
  <c r="G67" i="6"/>
  <c r="G27" i="6"/>
  <c r="G40" i="6"/>
  <c r="H95" i="6"/>
  <c r="H50" i="6"/>
  <c r="H27" i="6"/>
  <c r="M68" i="6"/>
  <c r="I95" i="6"/>
  <c r="I50" i="6"/>
  <c r="I27" i="6"/>
  <c r="K95" i="6"/>
  <c r="K50" i="6"/>
  <c r="K27" i="6"/>
  <c r="L137" i="6"/>
  <c r="L38" i="6"/>
  <c r="J139" i="6" l="1"/>
  <c r="J26" i="6"/>
  <c r="M137" i="6"/>
  <c r="M38" i="6"/>
  <c r="I56" i="6"/>
  <c r="I52" i="6"/>
  <c r="H139" i="6"/>
  <c r="G69" i="6"/>
  <c r="H69" i="6" s="1"/>
  <c r="I69" i="6" s="1"/>
  <c r="J69" i="6" s="1"/>
  <c r="K69" i="6" s="1"/>
  <c r="L69" i="6" s="1"/>
  <c r="M69" i="6" s="1"/>
  <c r="L95" i="6"/>
  <c r="L50" i="6"/>
  <c r="L27" i="6"/>
  <c r="N68" i="6"/>
  <c r="Q15" i="6"/>
  <c r="M78" i="6"/>
  <c r="G14" i="6"/>
  <c r="N110" i="6"/>
  <c r="N108" i="6"/>
  <c r="N104" i="6"/>
  <c r="N105" i="6"/>
  <c r="N106" i="6"/>
  <c r="N107" i="6"/>
  <c r="N109" i="6"/>
  <c r="N51" i="6"/>
  <c r="N39" i="6"/>
  <c r="N42" i="6"/>
  <c r="N33" i="6"/>
  <c r="N10" i="6"/>
  <c r="N40" i="6" s="1"/>
  <c r="N49" i="6"/>
  <c r="N8" i="6"/>
  <c r="N43" i="6"/>
  <c r="N24" i="6" s="1"/>
  <c r="N36" i="6"/>
  <c r="N138" i="6" s="1"/>
  <c r="O4" i="6"/>
  <c r="I26" i="6"/>
  <c r="M65" i="6"/>
  <c r="M71" i="6"/>
  <c r="M24" i="6"/>
  <c r="L83" i="6"/>
  <c r="K41" i="6"/>
  <c r="J72" i="6"/>
  <c r="J56" i="6"/>
  <c r="J52" i="6"/>
  <c r="M9" i="6"/>
  <c r="M14" i="6" s="1"/>
  <c r="K56" i="6"/>
  <c r="K52" i="6"/>
  <c r="H67" i="6"/>
  <c r="G97" i="6"/>
  <c r="H56" i="6"/>
  <c r="H52" i="6"/>
  <c r="G79" i="6"/>
  <c r="H79" i="6" s="1"/>
  <c r="I79" i="6" s="1"/>
  <c r="J79" i="6" s="1"/>
  <c r="K79" i="6" s="1"/>
  <c r="L79" i="6" s="1"/>
  <c r="G56" i="6"/>
  <c r="G52" i="6"/>
  <c r="G96" i="6"/>
  <c r="H96" i="6" s="1"/>
  <c r="I96" i="6" s="1"/>
  <c r="J96" i="6" s="1"/>
  <c r="K96" i="6" s="1"/>
  <c r="L96" i="6" s="1"/>
  <c r="M62" i="6"/>
  <c r="I98" i="6"/>
  <c r="G98" i="6"/>
  <c r="J98" i="6"/>
  <c r="L98" i="6"/>
  <c r="K98" i="6"/>
  <c r="H98" i="6"/>
  <c r="N62" i="6" l="1"/>
  <c r="N71" i="6"/>
  <c r="N65" i="6"/>
  <c r="I67" i="6"/>
  <c r="H97" i="6"/>
  <c r="N80" i="6"/>
  <c r="G81" i="6"/>
  <c r="K72" i="6"/>
  <c r="N78" i="6"/>
  <c r="G85" i="6"/>
  <c r="H85" i="6" s="1"/>
  <c r="I85" i="6" s="1"/>
  <c r="J85" i="6" s="1"/>
  <c r="K85" i="6" s="1"/>
  <c r="K26" i="6"/>
  <c r="K139" i="6"/>
  <c r="R15" i="6"/>
  <c r="M95" i="6"/>
  <c r="M27" i="6"/>
  <c r="M50" i="6"/>
  <c r="M79" i="6" s="1"/>
  <c r="M83" i="6"/>
  <c r="L41" i="6"/>
  <c r="N137" i="6"/>
  <c r="N38" i="6"/>
  <c r="N69" i="6"/>
  <c r="N9" i="6"/>
  <c r="N14" i="6" s="1"/>
  <c r="O68" i="6"/>
  <c r="O105" i="6"/>
  <c r="O106" i="6"/>
  <c r="O110" i="6"/>
  <c r="O108" i="6"/>
  <c r="O104" i="6"/>
  <c r="O111" i="6"/>
  <c r="O107" i="6"/>
  <c r="O51" i="6"/>
  <c r="O39" i="6"/>
  <c r="O42" i="6"/>
  <c r="O71" i="6" s="1"/>
  <c r="O49" i="6"/>
  <c r="O33" i="6"/>
  <c r="O109" i="6"/>
  <c r="O10" i="6"/>
  <c r="O40" i="6" s="1"/>
  <c r="O8" i="6"/>
  <c r="O43" i="6"/>
  <c r="O36" i="6"/>
  <c r="O138" i="6" s="1"/>
  <c r="P4" i="6"/>
  <c r="G41" i="6"/>
  <c r="L56" i="6"/>
  <c r="L52" i="6"/>
  <c r="M98" i="6"/>
  <c r="O69" i="6" l="1"/>
  <c r="O9" i="6"/>
  <c r="O14" i="6" s="1"/>
  <c r="S15" i="6"/>
  <c r="O80" i="6"/>
  <c r="O137" i="6"/>
  <c r="O38" i="6"/>
  <c r="L139" i="6"/>
  <c r="L26" i="6"/>
  <c r="O78" i="6"/>
  <c r="N83" i="6"/>
  <c r="M41" i="6"/>
  <c r="O65" i="6"/>
  <c r="P107" i="6"/>
  <c r="P106" i="6"/>
  <c r="P109" i="6"/>
  <c r="P105" i="6"/>
  <c r="P112" i="6"/>
  <c r="P111" i="6"/>
  <c r="P110" i="6"/>
  <c r="P104" i="6"/>
  <c r="P108" i="6"/>
  <c r="P42" i="6"/>
  <c r="P71" i="6" s="1"/>
  <c r="P49" i="6"/>
  <c r="P33" i="6"/>
  <c r="P36" i="6"/>
  <c r="P138" i="6" s="1"/>
  <c r="P51" i="6"/>
  <c r="P39" i="6"/>
  <c r="P8" i="6"/>
  <c r="P43" i="6"/>
  <c r="P24" i="6" s="1"/>
  <c r="Q4" i="6"/>
  <c r="P10" i="6"/>
  <c r="P40" i="6" s="1"/>
  <c r="P69" i="6" s="1"/>
  <c r="L72" i="6"/>
  <c r="J67" i="6"/>
  <c r="I97" i="6"/>
  <c r="G70" i="6"/>
  <c r="H70" i="6" s="1"/>
  <c r="I70" i="6" s="1"/>
  <c r="J70" i="6" s="1"/>
  <c r="K70" i="6" s="1"/>
  <c r="L70" i="6" s="1"/>
  <c r="M70" i="6" s="1"/>
  <c r="G31" i="6"/>
  <c r="G139" i="6"/>
  <c r="G26" i="6"/>
  <c r="M56" i="6"/>
  <c r="M52" i="6"/>
  <c r="O62" i="6"/>
  <c r="O24" i="6"/>
  <c r="G124" i="6"/>
  <c r="H81" i="6"/>
  <c r="G104" i="6"/>
  <c r="L85" i="6"/>
  <c r="N95" i="6"/>
  <c r="N27" i="6"/>
  <c r="N50" i="6"/>
  <c r="M96" i="6"/>
  <c r="N98" i="6"/>
  <c r="M85" i="6" l="1"/>
  <c r="P9" i="6"/>
  <c r="P62" i="6"/>
  <c r="P78" i="6"/>
  <c r="P14" i="6"/>
  <c r="M139" i="6"/>
  <c r="M26" i="6"/>
  <c r="T15" i="6"/>
  <c r="Q110" i="6"/>
  <c r="Q108" i="6"/>
  <c r="Q109" i="6"/>
  <c r="Q113" i="6"/>
  <c r="Q107" i="6"/>
  <c r="Q106" i="6"/>
  <c r="Q111" i="6"/>
  <c r="Q104" i="6"/>
  <c r="Q112" i="6"/>
  <c r="Q105" i="6"/>
  <c r="Q49" i="6"/>
  <c r="Q78" i="6" s="1"/>
  <c r="Q33" i="6"/>
  <c r="Q62" i="6" s="1"/>
  <c r="Q36" i="6"/>
  <c r="Q138" i="6" s="1"/>
  <c r="Q43" i="6"/>
  <c r="Q24" i="6" s="1"/>
  <c r="Q42" i="6"/>
  <c r="Q71" i="6" s="1"/>
  <c r="Q8" i="6"/>
  <c r="R4" i="6"/>
  <c r="Q51" i="6"/>
  <c r="Q10" i="6"/>
  <c r="Q39" i="6"/>
  <c r="N56" i="6"/>
  <c r="N85" i="6" s="1"/>
  <c r="N52" i="6"/>
  <c r="N79" i="6"/>
  <c r="O79" i="6" s="1"/>
  <c r="O95" i="6"/>
  <c r="O50" i="6"/>
  <c r="O27" i="6"/>
  <c r="O83" i="6"/>
  <c r="N41" i="6"/>
  <c r="N70" i="6" s="1"/>
  <c r="K67" i="6"/>
  <c r="J97" i="6"/>
  <c r="M72" i="6"/>
  <c r="N96" i="6"/>
  <c r="O96" i="6" s="1"/>
  <c r="H124" i="6"/>
  <c r="I81" i="6"/>
  <c r="G60" i="6"/>
  <c r="G23" i="6"/>
  <c r="G17" i="6"/>
  <c r="G55" i="6"/>
  <c r="G53" i="6"/>
  <c r="P68" i="6"/>
  <c r="P137" i="6"/>
  <c r="P38" i="6"/>
  <c r="P65" i="6"/>
  <c r="P80" i="6"/>
  <c r="O98" i="6"/>
  <c r="G84" i="6" l="1"/>
  <c r="Q40" i="6"/>
  <c r="Q69" i="6" s="1"/>
  <c r="G128" i="6"/>
  <c r="Q80" i="6"/>
  <c r="H31" i="6"/>
  <c r="N72" i="6"/>
  <c r="O56" i="6"/>
  <c r="O52" i="6"/>
  <c r="Q9" i="6"/>
  <c r="Q65" i="6"/>
  <c r="R111" i="6"/>
  <c r="R109" i="6"/>
  <c r="R114" i="6"/>
  <c r="R113" i="6"/>
  <c r="R107" i="6"/>
  <c r="R112" i="6"/>
  <c r="R104" i="6"/>
  <c r="R110" i="6"/>
  <c r="R106" i="6"/>
  <c r="R108" i="6"/>
  <c r="R105" i="6"/>
  <c r="R36" i="6"/>
  <c r="R138" i="6" s="1"/>
  <c r="R43" i="6"/>
  <c r="R24" i="6" s="1"/>
  <c r="R49" i="6"/>
  <c r="R78" i="6" s="1"/>
  <c r="R33" i="6"/>
  <c r="R62" i="6" s="1"/>
  <c r="R8" i="6"/>
  <c r="S4" i="6"/>
  <c r="R51" i="6"/>
  <c r="R10" i="6"/>
  <c r="R40" i="6" s="1"/>
  <c r="R39" i="6"/>
  <c r="R42" i="6"/>
  <c r="R71" i="6" s="1"/>
  <c r="P95" i="6"/>
  <c r="P96" i="6" s="1"/>
  <c r="P27" i="6"/>
  <c r="P50" i="6"/>
  <c r="G82" i="6"/>
  <c r="I124" i="6"/>
  <c r="J81" i="6"/>
  <c r="L67" i="6"/>
  <c r="K97" i="6"/>
  <c r="P79" i="6"/>
  <c r="N139" i="6"/>
  <c r="N26" i="6"/>
  <c r="P83" i="6"/>
  <c r="O41" i="6"/>
  <c r="Q137" i="6"/>
  <c r="Q38" i="6"/>
  <c r="U15" i="6"/>
  <c r="O85" i="6"/>
  <c r="Q68" i="6"/>
  <c r="P98" i="6"/>
  <c r="R65" i="6" l="1"/>
  <c r="Q95" i="6"/>
  <c r="Q27" i="6"/>
  <c r="Q50" i="6"/>
  <c r="Q79" i="6" s="1"/>
  <c r="M67" i="6"/>
  <c r="L97" i="6"/>
  <c r="O139" i="6"/>
  <c r="O26" i="6"/>
  <c r="J124" i="6"/>
  <c r="K81" i="6"/>
  <c r="R9" i="6"/>
  <c r="R14" i="6" s="1"/>
  <c r="R80" i="6"/>
  <c r="R68" i="6"/>
  <c r="Q83" i="6"/>
  <c r="P41" i="6"/>
  <c r="P56" i="6"/>
  <c r="P85" i="6" s="1"/>
  <c r="P52" i="6"/>
  <c r="S112" i="6"/>
  <c r="S110" i="6"/>
  <c r="S114" i="6"/>
  <c r="S113" i="6"/>
  <c r="S109" i="6"/>
  <c r="S107" i="6"/>
  <c r="S115" i="6"/>
  <c r="S106" i="6"/>
  <c r="S111" i="6"/>
  <c r="S104" i="6"/>
  <c r="S108" i="6"/>
  <c r="S105" i="6"/>
  <c r="S43" i="6"/>
  <c r="S24" i="6" s="1"/>
  <c r="S36" i="6"/>
  <c r="S138" i="6" s="1"/>
  <c r="S33" i="6"/>
  <c r="S8" i="6"/>
  <c r="S49" i="6"/>
  <c r="S78" i="6" s="1"/>
  <c r="T4" i="6"/>
  <c r="S51" i="6"/>
  <c r="S10" i="6"/>
  <c r="S40" i="6" s="1"/>
  <c r="S39" i="6"/>
  <c r="S42" i="6"/>
  <c r="S71" i="6" s="1"/>
  <c r="O72" i="6"/>
  <c r="V15" i="6"/>
  <c r="Q14" i="6"/>
  <c r="H23" i="6"/>
  <c r="H17" i="6"/>
  <c r="H55" i="6"/>
  <c r="H53" i="6"/>
  <c r="R137" i="6"/>
  <c r="R38" i="6"/>
  <c r="H60" i="6"/>
  <c r="O70" i="6"/>
  <c r="R69" i="6"/>
  <c r="Q98" i="6"/>
  <c r="S69" i="6" l="1"/>
  <c r="R83" i="6"/>
  <c r="Q41" i="6"/>
  <c r="S137" i="6"/>
  <c r="S38" i="6"/>
  <c r="K124" i="6"/>
  <c r="L81" i="6"/>
  <c r="P139" i="6"/>
  <c r="P26" i="6"/>
  <c r="S9" i="6"/>
  <c r="S14" i="6" s="1"/>
  <c r="S68" i="6"/>
  <c r="T68" i="6" s="1"/>
  <c r="Q96" i="6"/>
  <c r="R96" i="6" s="1"/>
  <c r="W15" i="6"/>
  <c r="P72" i="6"/>
  <c r="H82" i="6"/>
  <c r="N67" i="6"/>
  <c r="M97" i="6"/>
  <c r="H84" i="6"/>
  <c r="R95" i="6"/>
  <c r="R50" i="6"/>
  <c r="R27" i="6"/>
  <c r="Q56" i="6"/>
  <c r="Q85" i="6" s="1"/>
  <c r="Q52" i="6"/>
  <c r="S65" i="6"/>
  <c r="S62" i="6"/>
  <c r="P70" i="6"/>
  <c r="I31" i="6"/>
  <c r="T113" i="6"/>
  <c r="T111" i="6"/>
  <c r="T115" i="6"/>
  <c r="T112" i="6"/>
  <c r="T104" i="6"/>
  <c r="T114" i="6"/>
  <c r="T109" i="6"/>
  <c r="T107" i="6"/>
  <c r="T110" i="6"/>
  <c r="T106" i="6"/>
  <c r="T116" i="6"/>
  <c r="T108" i="6"/>
  <c r="T105" i="6"/>
  <c r="T43" i="6"/>
  <c r="T24" i="6" s="1"/>
  <c r="T49" i="6"/>
  <c r="T78" i="6" s="1"/>
  <c r="U4" i="6"/>
  <c r="T51" i="6"/>
  <c r="T10" i="6"/>
  <c r="T40" i="6" s="1"/>
  <c r="T69" i="6" s="1"/>
  <c r="T39" i="6"/>
  <c r="T36" i="6"/>
  <c r="T138" i="6" s="1"/>
  <c r="T42" i="6"/>
  <c r="T71" i="6" s="1"/>
  <c r="T33" i="6"/>
  <c r="T8" i="6"/>
  <c r="S80" i="6"/>
  <c r="R98" i="6"/>
  <c r="Q70" i="6" l="1"/>
  <c r="O67" i="6"/>
  <c r="N97" i="6"/>
  <c r="I23" i="6"/>
  <c r="I17" i="6"/>
  <c r="I55" i="6"/>
  <c r="I53" i="6"/>
  <c r="I82" i="6" s="1"/>
  <c r="I60" i="6"/>
  <c r="X15" i="6"/>
  <c r="Q139" i="6"/>
  <c r="Q26" i="6"/>
  <c r="Q72" i="6"/>
  <c r="S95" i="6"/>
  <c r="S50" i="6"/>
  <c r="S27" i="6"/>
  <c r="R56" i="6"/>
  <c r="R85" i="6" s="1"/>
  <c r="R52" i="6"/>
  <c r="R79" i="6"/>
  <c r="T62" i="6"/>
  <c r="T80" i="6"/>
  <c r="S83" i="6"/>
  <c r="R41" i="6"/>
  <c r="R70" i="6" s="1"/>
  <c r="T137" i="6"/>
  <c r="T38" i="6"/>
  <c r="T9" i="6"/>
  <c r="T14" i="6" s="1"/>
  <c r="U114" i="6"/>
  <c r="U116" i="6"/>
  <c r="U117" i="6"/>
  <c r="U112" i="6"/>
  <c r="U115" i="6"/>
  <c r="U104" i="6"/>
  <c r="U111" i="6"/>
  <c r="U108" i="6"/>
  <c r="U105" i="6"/>
  <c r="U113" i="6"/>
  <c r="U109" i="6"/>
  <c r="U110" i="6"/>
  <c r="U106" i="6"/>
  <c r="U51" i="6"/>
  <c r="U39" i="6"/>
  <c r="U107" i="6"/>
  <c r="U10" i="6"/>
  <c r="U40" i="6" s="1"/>
  <c r="U69" i="6" s="1"/>
  <c r="U43" i="6"/>
  <c r="U24" i="6" s="1"/>
  <c r="U36" i="6"/>
  <c r="U138" i="6" s="1"/>
  <c r="U42" i="6"/>
  <c r="U71" i="6" s="1"/>
  <c r="U33" i="6"/>
  <c r="U8" i="6"/>
  <c r="U49" i="6"/>
  <c r="U78" i="6" s="1"/>
  <c r="V4" i="6"/>
  <c r="T65" i="6"/>
  <c r="L124" i="6"/>
  <c r="M81" i="6"/>
  <c r="S98" i="6"/>
  <c r="U9" i="6" l="1"/>
  <c r="U14" i="6" s="1"/>
  <c r="U80" i="6"/>
  <c r="S96" i="6"/>
  <c r="T95" i="6"/>
  <c r="T50" i="6"/>
  <c r="T27" i="6"/>
  <c r="U62" i="6"/>
  <c r="Y15" i="6"/>
  <c r="U137" i="6"/>
  <c r="U38" i="6"/>
  <c r="S79" i="6"/>
  <c r="P67" i="6"/>
  <c r="O97" i="6"/>
  <c r="R139" i="6"/>
  <c r="R26" i="6"/>
  <c r="T83" i="6"/>
  <c r="S41" i="6"/>
  <c r="V115" i="6"/>
  <c r="V117" i="6"/>
  <c r="V118" i="6"/>
  <c r="V113" i="6"/>
  <c r="V112" i="6"/>
  <c r="V104" i="6"/>
  <c r="V111" i="6"/>
  <c r="V108" i="6"/>
  <c r="V105" i="6"/>
  <c r="V110" i="6"/>
  <c r="V106" i="6"/>
  <c r="V116" i="6"/>
  <c r="V109" i="6"/>
  <c r="V51" i="6"/>
  <c r="V39" i="6"/>
  <c r="V42" i="6"/>
  <c r="V71" i="6" s="1"/>
  <c r="V107" i="6"/>
  <c r="V10" i="6"/>
  <c r="V40" i="6" s="1"/>
  <c r="V69" i="6" s="1"/>
  <c r="V114" i="6"/>
  <c r="V43" i="6"/>
  <c r="V24" i="6" s="1"/>
  <c r="V36" i="6"/>
  <c r="V138" i="6" s="1"/>
  <c r="V33" i="6"/>
  <c r="V8" i="6"/>
  <c r="V49" i="6"/>
  <c r="V78" i="6" s="1"/>
  <c r="W4" i="6"/>
  <c r="V9" i="6"/>
  <c r="V14" i="6" s="1"/>
  <c r="S56" i="6"/>
  <c r="S85" i="6" s="1"/>
  <c r="S52" i="6"/>
  <c r="M124" i="6"/>
  <c r="N81" i="6"/>
  <c r="J31" i="6"/>
  <c r="R72" i="6"/>
  <c r="U65" i="6"/>
  <c r="I84" i="6"/>
  <c r="U68" i="6"/>
  <c r="T98" i="6"/>
  <c r="T96" i="6" l="1"/>
  <c r="V68" i="6"/>
  <c r="J55" i="6"/>
  <c r="J84" i="6" s="1"/>
  <c r="J23" i="6"/>
  <c r="J17" i="6"/>
  <c r="J53" i="6"/>
  <c r="J82" i="6" s="1"/>
  <c r="V65" i="6"/>
  <c r="J60" i="6"/>
  <c r="Z15" i="6"/>
  <c r="S72" i="6"/>
  <c r="Q67" i="6"/>
  <c r="P97" i="6"/>
  <c r="V137" i="6"/>
  <c r="V38" i="6"/>
  <c r="V80" i="6"/>
  <c r="V62" i="6"/>
  <c r="N124" i="6"/>
  <c r="O81" i="6"/>
  <c r="W116" i="6"/>
  <c r="W118" i="6"/>
  <c r="W119" i="6"/>
  <c r="W114" i="6"/>
  <c r="W111" i="6"/>
  <c r="W108" i="6"/>
  <c r="W105" i="6"/>
  <c r="W110" i="6"/>
  <c r="W106" i="6"/>
  <c r="W115" i="6"/>
  <c r="W112" i="6"/>
  <c r="W104" i="6"/>
  <c r="W109" i="6"/>
  <c r="W113" i="6"/>
  <c r="W39" i="6"/>
  <c r="W117" i="6"/>
  <c r="W51" i="6"/>
  <c r="W42" i="6"/>
  <c r="W71" i="6" s="1"/>
  <c r="W49" i="6"/>
  <c r="W78" i="6" s="1"/>
  <c r="W33" i="6"/>
  <c r="W107" i="6"/>
  <c r="W10" i="6"/>
  <c r="W40" i="6" s="1"/>
  <c r="W69" i="6" s="1"/>
  <c r="W43" i="6"/>
  <c r="W24" i="6" s="1"/>
  <c r="W36" i="6"/>
  <c r="W138" i="6" s="1"/>
  <c r="W8" i="6"/>
  <c r="X4" i="6"/>
  <c r="S139" i="6"/>
  <c r="S26" i="6"/>
  <c r="S70" i="6"/>
  <c r="T56" i="6"/>
  <c r="T85" i="6" s="1"/>
  <c r="T52" i="6"/>
  <c r="U95" i="6"/>
  <c r="U27" i="6"/>
  <c r="U50" i="6"/>
  <c r="U83" i="6"/>
  <c r="T41" i="6"/>
  <c r="T79" i="6"/>
  <c r="U98" i="6"/>
  <c r="W9" i="6" l="1"/>
  <c r="W14" i="6" s="1"/>
  <c r="W62" i="6"/>
  <c r="W68" i="6"/>
  <c r="X68" i="6" s="1"/>
  <c r="U79" i="6"/>
  <c r="T70" i="6"/>
  <c r="W80" i="6"/>
  <c r="E15" i="6"/>
  <c r="O124" i="6"/>
  <c r="P81" i="6"/>
  <c r="W137" i="6"/>
  <c r="W38" i="6"/>
  <c r="W65" i="6"/>
  <c r="U56" i="6"/>
  <c r="U85" i="6" s="1"/>
  <c r="U52" i="6"/>
  <c r="X117" i="6"/>
  <c r="X119" i="6"/>
  <c r="X120" i="6"/>
  <c r="X115" i="6"/>
  <c r="X107" i="6"/>
  <c r="X110" i="6"/>
  <c r="X106" i="6"/>
  <c r="X118" i="6"/>
  <c r="X111" i="6"/>
  <c r="X108" i="6"/>
  <c r="X105" i="6"/>
  <c r="X116" i="6"/>
  <c r="X109" i="6"/>
  <c r="X113" i="6"/>
  <c r="X51" i="6"/>
  <c r="X42" i="6"/>
  <c r="X71" i="6" s="1"/>
  <c r="X49" i="6"/>
  <c r="X78" i="6" s="1"/>
  <c r="X33" i="6"/>
  <c r="X112" i="6"/>
  <c r="X36" i="6"/>
  <c r="X138" i="6" s="1"/>
  <c r="X39" i="6"/>
  <c r="X43" i="6"/>
  <c r="X24" i="6" s="1"/>
  <c r="X114" i="6"/>
  <c r="X8" i="6"/>
  <c r="Y4" i="6"/>
  <c r="X104" i="6"/>
  <c r="X10" i="6"/>
  <c r="X40" i="6" s="1"/>
  <c r="X69" i="6" s="1"/>
  <c r="R67" i="6"/>
  <c r="Q97" i="6"/>
  <c r="T139" i="6"/>
  <c r="T26" i="6"/>
  <c r="V95" i="6"/>
  <c r="V27" i="6"/>
  <c r="V50" i="6"/>
  <c r="K31" i="6"/>
  <c r="V83" i="6"/>
  <c r="U41" i="6"/>
  <c r="T72" i="6"/>
  <c r="U96" i="6"/>
  <c r="V98" i="6"/>
  <c r="X137" i="6" l="1"/>
  <c r="X38" i="6"/>
  <c r="X62" i="6"/>
  <c r="V56" i="6"/>
  <c r="V85" i="6" s="1"/>
  <c r="V52" i="6"/>
  <c r="W83" i="6"/>
  <c r="V41" i="6"/>
  <c r="Y118" i="6"/>
  <c r="Y110" i="6"/>
  <c r="Y120" i="6"/>
  <c r="Y121" i="6"/>
  <c r="Y114" i="6"/>
  <c r="Y116" i="6"/>
  <c r="Y108" i="6"/>
  <c r="Y119" i="6"/>
  <c r="Y109" i="6"/>
  <c r="Y106" i="6"/>
  <c r="Y105" i="6"/>
  <c r="Y113" i="6"/>
  <c r="Y115" i="6"/>
  <c r="Y111" i="6"/>
  <c r="Y117" i="6"/>
  <c r="Y49" i="6"/>
  <c r="Y78" i="6" s="1"/>
  <c r="Y33" i="6"/>
  <c r="Y112" i="6"/>
  <c r="Y36" i="6"/>
  <c r="Y138" i="6" s="1"/>
  <c r="Y43" i="6"/>
  <c r="Y24" i="6" s="1"/>
  <c r="Y51" i="6"/>
  <c r="Y42" i="6"/>
  <c r="Y71" i="6" s="1"/>
  <c r="Y8" i="6"/>
  <c r="Y39" i="6"/>
  <c r="Z4" i="6"/>
  <c r="Y104" i="6"/>
  <c r="Y10" i="6"/>
  <c r="Y40" i="6" s="1"/>
  <c r="Y69" i="6" s="1"/>
  <c r="Y107" i="6"/>
  <c r="V96" i="6"/>
  <c r="K55" i="6"/>
  <c r="K84" i="6" s="1"/>
  <c r="K53" i="6"/>
  <c r="K82" i="6" s="1"/>
  <c r="K23" i="6"/>
  <c r="K17" i="6"/>
  <c r="X65" i="6"/>
  <c r="U139" i="6"/>
  <c r="U26" i="6"/>
  <c r="P124" i="6"/>
  <c r="Q81" i="6"/>
  <c r="X9" i="6"/>
  <c r="X14" i="6" s="1"/>
  <c r="W95" i="6"/>
  <c r="W50" i="6"/>
  <c r="W27" i="6"/>
  <c r="X80" i="6"/>
  <c r="V79" i="6"/>
  <c r="Y68" i="6"/>
  <c r="U72" i="6"/>
  <c r="K60" i="6"/>
  <c r="S67" i="6"/>
  <c r="R97" i="6"/>
  <c r="U70" i="6"/>
  <c r="W98" i="6"/>
  <c r="W79" i="6" l="1"/>
  <c r="Y80" i="6"/>
  <c r="V70" i="6"/>
  <c r="Y65" i="6"/>
  <c r="Y9" i="6"/>
  <c r="Y14" i="6" s="1"/>
  <c r="Q124" i="6"/>
  <c r="R81" i="6"/>
  <c r="Z119" i="6"/>
  <c r="Z111" i="6"/>
  <c r="Z121" i="6"/>
  <c r="Z122" i="6"/>
  <c r="Z115" i="6"/>
  <c r="Z117" i="6"/>
  <c r="Z109" i="6"/>
  <c r="Z116" i="6"/>
  <c r="Z107" i="6"/>
  <c r="Z110" i="6"/>
  <c r="Z105" i="6"/>
  <c r="Z118" i="6"/>
  <c r="Z108" i="6"/>
  <c r="Z106" i="6"/>
  <c r="Z120" i="6"/>
  <c r="Z113" i="6"/>
  <c r="Z112" i="6"/>
  <c r="Z36" i="6"/>
  <c r="Z43" i="6"/>
  <c r="Z49" i="6"/>
  <c r="E49" i="6" s="1"/>
  <c r="Z33" i="6"/>
  <c r="Z114" i="6"/>
  <c r="Z51" i="6"/>
  <c r="Z80" i="6" s="1"/>
  <c r="E80" i="6" s="1"/>
  <c r="Z8" i="6"/>
  <c r="E8" i="6" s="1"/>
  <c r="Z39" i="6"/>
  <c r="Z42" i="6"/>
  <c r="E42" i="6" s="1"/>
  <c r="E46" i="3" s="1"/>
  <c r="Z104" i="6"/>
  <c r="Z10" i="6"/>
  <c r="Z9" i="6" s="1"/>
  <c r="L31" i="6"/>
  <c r="W56" i="6"/>
  <c r="W85" i="6" s="1"/>
  <c r="W52" i="6"/>
  <c r="W96" i="6"/>
  <c r="Y137" i="6"/>
  <c r="Y38" i="6"/>
  <c r="Y62" i="6"/>
  <c r="T67" i="6"/>
  <c r="S97" i="6"/>
  <c r="V139" i="6"/>
  <c r="V26" i="6"/>
  <c r="X83" i="6"/>
  <c r="W41" i="6"/>
  <c r="Z68" i="6"/>
  <c r="E68" i="6" s="1"/>
  <c r="X95" i="6"/>
  <c r="X50" i="6"/>
  <c r="X79" i="6" s="1"/>
  <c r="X27" i="6"/>
  <c r="V72" i="6"/>
  <c r="X98" i="6"/>
  <c r="Z14" i="6" l="1"/>
  <c r="E14" i="6" s="1"/>
  <c r="E9" i="6"/>
  <c r="W139" i="6"/>
  <c r="W26" i="6"/>
  <c r="Z24" i="6"/>
  <c r="E24" i="6" s="1"/>
  <c r="E43" i="6"/>
  <c r="X56" i="6"/>
  <c r="X85" i="6" s="1"/>
  <c r="X52" i="6"/>
  <c r="Y95" i="6"/>
  <c r="Y50" i="6"/>
  <c r="Y27" i="6"/>
  <c r="Z137" i="6"/>
  <c r="E137" i="6" s="1"/>
  <c r="Z38" i="6"/>
  <c r="E33" i="6"/>
  <c r="Y83" i="6"/>
  <c r="X41" i="6"/>
  <c r="C104" i="6"/>
  <c r="G103" i="6" s="1"/>
  <c r="E104" i="6"/>
  <c r="Z62" i="6"/>
  <c r="E62" i="6" s="1"/>
  <c r="L55" i="6"/>
  <c r="L84" i="6" s="1"/>
  <c r="L23" i="6"/>
  <c r="L17" i="6"/>
  <c r="L53" i="6"/>
  <c r="L82" i="6" s="1"/>
  <c r="W70" i="6"/>
  <c r="U67" i="6"/>
  <c r="T97" i="6"/>
  <c r="Z138" i="6"/>
  <c r="E138" i="6" s="1"/>
  <c r="E36" i="6"/>
  <c r="F26" i="3" s="1"/>
  <c r="L60" i="6"/>
  <c r="E39" i="6"/>
  <c r="Z65" i="6"/>
  <c r="E65" i="6" s="1"/>
  <c r="X96" i="6"/>
  <c r="Y96" i="6" s="1"/>
  <c r="Z71" i="6"/>
  <c r="E71" i="6" s="1"/>
  <c r="R124" i="6"/>
  <c r="S81" i="6"/>
  <c r="W72" i="6"/>
  <c r="Z40" i="6"/>
  <c r="E10" i="6"/>
  <c r="Y79" i="6"/>
  <c r="E51" i="6"/>
  <c r="Z78" i="6"/>
  <c r="E78" i="6" s="1"/>
  <c r="Y98" i="6"/>
  <c r="X70" i="6" l="1"/>
  <c r="S124" i="6"/>
  <c r="T81" i="6"/>
  <c r="Z83" i="6"/>
  <c r="Y41" i="6"/>
  <c r="M31" i="6"/>
  <c r="M60" i="6" s="1"/>
  <c r="E40" i="6"/>
  <c r="Z69" i="6"/>
  <c r="E69" i="6" s="1"/>
  <c r="Y56" i="6"/>
  <c r="Y85" i="6" s="1"/>
  <c r="Y52" i="6"/>
  <c r="E26" i="3"/>
  <c r="X72" i="6"/>
  <c r="E48" i="3"/>
  <c r="H37" i="3"/>
  <c r="H35" i="3"/>
  <c r="H36" i="3"/>
  <c r="H34" i="3"/>
  <c r="H38" i="3" s="1"/>
  <c r="Z50" i="6"/>
  <c r="Z95" i="6"/>
  <c r="Z96" i="6" s="1"/>
  <c r="E96" i="6" s="1"/>
  <c r="Z27" i="6"/>
  <c r="E27" i="6" s="1"/>
  <c r="E38" i="6"/>
  <c r="E25" i="3" s="1"/>
  <c r="F25" i="3" s="1"/>
  <c r="Z79" i="6"/>
  <c r="E79" i="6" s="1"/>
  <c r="V67" i="6"/>
  <c r="U97" i="6"/>
  <c r="X139" i="6"/>
  <c r="X26" i="6"/>
  <c r="Z98" i="6"/>
  <c r="E98" i="6" l="1"/>
  <c r="E54" i="3" s="1"/>
  <c r="N31" i="6"/>
  <c r="N60" i="6" s="1"/>
  <c r="Y26" i="6"/>
  <c r="Y139" i="6"/>
  <c r="E83" i="6"/>
  <c r="Z41" i="6"/>
  <c r="Z56" i="6"/>
  <c r="E56" i="6" s="1"/>
  <c r="E50" i="6"/>
  <c r="Z52" i="6"/>
  <c r="E52" i="6" s="1"/>
  <c r="Y72" i="6"/>
  <c r="Y70" i="6"/>
  <c r="T124" i="6"/>
  <c r="U81" i="6"/>
  <c r="M55" i="6"/>
  <c r="M84" i="6" s="1"/>
  <c r="M23" i="6"/>
  <c r="M17" i="6"/>
  <c r="M53" i="6"/>
  <c r="M82" i="6" s="1"/>
  <c r="E45" i="3"/>
  <c r="E47" i="3" s="1"/>
  <c r="E95" i="6"/>
  <c r="W67" i="6"/>
  <c r="V97" i="6"/>
  <c r="O31" i="6" l="1"/>
  <c r="X67" i="6"/>
  <c r="W97" i="6"/>
  <c r="U124" i="6"/>
  <c r="V81" i="6"/>
  <c r="E41" i="6"/>
  <c r="Z139" i="6"/>
  <c r="E139" i="6" s="1"/>
  <c r="Z26" i="6"/>
  <c r="E26" i="6" s="1"/>
  <c r="Z85" i="6"/>
  <c r="E85" i="6" s="1"/>
  <c r="Z72" i="6"/>
  <c r="N55" i="6"/>
  <c r="N84" i="6" s="1"/>
  <c r="N23" i="6"/>
  <c r="N17" i="6"/>
  <c r="N53" i="6"/>
  <c r="N82" i="6" s="1"/>
  <c r="Z70" i="6"/>
  <c r="E70" i="6" s="1"/>
  <c r="O55" i="6" l="1"/>
  <c r="O84" i="6" s="1"/>
  <c r="O23" i="6"/>
  <c r="O17" i="6"/>
  <c r="O53" i="6"/>
  <c r="O82" i="6" s="1"/>
  <c r="E72" i="6"/>
  <c r="O60" i="6"/>
  <c r="Y67" i="6"/>
  <c r="X97" i="6"/>
  <c r="E44" i="3"/>
  <c r="F13" i="3"/>
  <c r="V124" i="6"/>
  <c r="W81" i="6"/>
  <c r="Z67" i="6" l="1"/>
  <c r="Y97" i="6"/>
  <c r="W124" i="6"/>
  <c r="X81" i="6"/>
  <c r="P31" i="6"/>
  <c r="P55" i="6" l="1"/>
  <c r="P84" i="6" s="1"/>
  <c r="P23" i="6"/>
  <c r="P17" i="6"/>
  <c r="P53" i="6"/>
  <c r="P82" i="6" s="1"/>
  <c r="E67" i="6"/>
  <c r="Z97" i="6"/>
  <c r="E97" i="6" s="1"/>
  <c r="P60" i="6"/>
  <c r="X124" i="6"/>
  <c r="Y81" i="6"/>
  <c r="Q31" i="6" l="1"/>
  <c r="Y124" i="6"/>
  <c r="Z81" i="6"/>
  <c r="E52" i="3"/>
  <c r="G38" i="3"/>
  <c r="Q23" i="6" l="1"/>
  <c r="Q17" i="6"/>
  <c r="Q55" i="6"/>
  <c r="Q84" i="6" s="1"/>
  <c r="Q53" i="6"/>
  <c r="Q82" i="6" s="1"/>
  <c r="Q60" i="6"/>
  <c r="Z124" i="6"/>
  <c r="E124" i="6" s="1"/>
  <c r="E81" i="6"/>
  <c r="R31" i="6" l="1"/>
  <c r="R55" i="6" l="1"/>
  <c r="R84" i="6" s="1"/>
  <c r="R23" i="6"/>
  <c r="R17" i="6"/>
  <c r="R53" i="6"/>
  <c r="R82" i="6" s="1"/>
  <c r="R60" i="6"/>
  <c r="S31" i="6" l="1"/>
  <c r="S55" i="6" l="1"/>
  <c r="S84" i="6" s="1"/>
  <c r="S23" i="6"/>
  <c r="S17" i="6"/>
  <c r="S53" i="6"/>
  <c r="S82" i="6" s="1"/>
  <c r="S60" i="6"/>
  <c r="T31" i="6" l="1"/>
  <c r="T55" i="6" l="1"/>
  <c r="T84" i="6" s="1"/>
  <c r="T23" i="6"/>
  <c r="T17" i="6"/>
  <c r="T53" i="6"/>
  <c r="T82" i="6" s="1"/>
  <c r="T60" i="6"/>
  <c r="U31" i="6" l="1"/>
  <c r="U55" i="6" l="1"/>
  <c r="U84" i="6" s="1"/>
  <c r="U23" i="6"/>
  <c r="U17" i="6"/>
  <c r="U53" i="6"/>
  <c r="U82" i="6" s="1"/>
  <c r="U60" i="6"/>
  <c r="V31" i="6" l="1"/>
  <c r="V55" i="6" l="1"/>
  <c r="V84" i="6" s="1"/>
  <c r="V23" i="6"/>
  <c r="V17" i="6"/>
  <c r="V53" i="6"/>
  <c r="V82" i="6" s="1"/>
  <c r="V60" i="6"/>
  <c r="W31" i="6" l="1"/>
  <c r="W55" i="6" l="1"/>
  <c r="W84" i="6" s="1"/>
  <c r="W23" i="6"/>
  <c r="W17" i="6"/>
  <c r="W53" i="6"/>
  <c r="W82" i="6" s="1"/>
  <c r="W60" i="6"/>
  <c r="X31" i="6" l="1"/>
  <c r="X55" i="6" l="1"/>
  <c r="X84" i="6" s="1"/>
  <c r="X23" i="6"/>
  <c r="X17" i="6"/>
  <c r="X53" i="6"/>
  <c r="X82" i="6" s="1"/>
  <c r="X60" i="6"/>
  <c r="Y31" i="6" l="1"/>
  <c r="Y55" i="6" l="1"/>
  <c r="Y84" i="6" s="1"/>
  <c r="Y23" i="6"/>
  <c r="Y17" i="6"/>
  <c r="Y53" i="6"/>
  <c r="Y82" i="6" s="1"/>
  <c r="Y60" i="6"/>
  <c r="Z31" i="6" l="1"/>
  <c r="Z55" i="6" l="1"/>
  <c r="Z23" i="6"/>
  <c r="E23" i="6" s="1"/>
  <c r="Z17" i="6"/>
  <c r="E17" i="6" s="1"/>
  <c r="Z53" i="6"/>
  <c r="E31" i="6"/>
  <c r="Z60" i="6"/>
  <c r="E60" i="6" l="1"/>
  <c r="E43" i="3"/>
  <c r="Y129" i="6"/>
  <c r="G129" i="6"/>
  <c r="K129" i="6"/>
  <c r="V129" i="6"/>
  <c r="Z129" i="6"/>
  <c r="R129" i="6"/>
  <c r="X129" i="6"/>
  <c r="M129" i="6"/>
  <c r="L129" i="6"/>
  <c r="O129" i="6"/>
  <c r="Q129" i="6"/>
  <c r="I129" i="6"/>
  <c r="U129" i="6"/>
  <c r="H129" i="6"/>
  <c r="W129" i="6"/>
  <c r="S129" i="6"/>
  <c r="N129" i="6"/>
  <c r="J129" i="6"/>
  <c r="P129" i="6"/>
  <c r="T129" i="6"/>
  <c r="E53" i="6"/>
  <c r="Z82" i="6"/>
  <c r="E82" i="6" s="1"/>
  <c r="E55" i="6"/>
  <c r="Z84" i="6"/>
  <c r="E129" i="6" l="1"/>
  <c r="G130" i="6"/>
  <c r="G89" i="6"/>
  <c r="H89" i="6"/>
  <c r="I89" i="6"/>
  <c r="J89" i="6"/>
  <c r="K89" i="6"/>
  <c r="L89" i="6"/>
  <c r="M89" i="6"/>
  <c r="N89" i="6"/>
  <c r="O89" i="6"/>
  <c r="P89" i="6"/>
  <c r="Q89" i="6"/>
  <c r="R89" i="6"/>
  <c r="S89" i="6"/>
  <c r="T89" i="6"/>
  <c r="U89" i="6"/>
  <c r="V89" i="6"/>
  <c r="W89" i="6"/>
  <c r="X89" i="6"/>
  <c r="Y89" i="6"/>
  <c r="E84" i="6"/>
  <c r="Z89" i="6"/>
  <c r="E89" i="6" s="1"/>
  <c r="G131" i="6" l="1"/>
  <c r="G133" i="6"/>
  <c r="G134" i="6" l="1"/>
  <c r="G47" i="6"/>
  <c r="G132" i="6"/>
  <c r="G140" i="6" l="1"/>
  <c r="G76" i="6"/>
  <c r="G116" i="6"/>
  <c r="G105" i="6"/>
  <c r="G115" i="6"/>
  <c r="G110" i="6"/>
  <c r="G107" i="6"/>
  <c r="G122" i="6"/>
  <c r="G106" i="6"/>
  <c r="G99" i="6"/>
  <c r="G118" i="6"/>
  <c r="G112" i="6"/>
  <c r="G123" i="6"/>
  <c r="G117" i="6"/>
  <c r="G109" i="6"/>
  <c r="G111" i="6"/>
  <c r="G108" i="6"/>
  <c r="G119" i="6"/>
  <c r="G121" i="6"/>
  <c r="G114" i="6"/>
  <c r="G113" i="6"/>
  <c r="G120" i="6"/>
  <c r="G46" i="6"/>
  <c r="G25" i="6" s="1"/>
  <c r="G28" i="6" l="1"/>
  <c r="H22" i="6" s="1"/>
  <c r="G101" i="6"/>
  <c r="G91" i="6"/>
  <c r="G100" i="6"/>
  <c r="G141" i="6"/>
  <c r="G75" i="6"/>
  <c r="G58" i="6"/>
  <c r="G102" i="6"/>
  <c r="G93" i="6" l="1"/>
  <c r="H128" i="6"/>
  <c r="G125" i="6"/>
  <c r="G90" i="6"/>
  <c r="G92" i="6" s="1"/>
  <c r="G87" i="6"/>
  <c r="G57" i="6"/>
  <c r="H130" i="6" l="1"/>
  <c r="G86" i="6"/>
  <c r="H131" i="6" l="1"/>
  <c r="H133" i="6"/>
  <c r="H134" i="6" l="1"/>
  <c r="H132" i="6"/>
  <c r="H47" i="6"/>
  <c r="H140" i="6" l="1"/>
  <c r="H106" i="6"/>
  <c r="H108" i="6"/>
  <c r="H123" i="6"/>
  <c r="H118" i="6"/>
  <c r="H117" i="6"/>
  <c r="H99" i="6"/>
  <c r="H116" i="6"/>
  <c r="H114" i="6"/>
  <c r="H109" i="6"/>
  <c r="H122" i="6"/>
  <c r="H112" i="6"/>
  <c r="H111" i="6"/>
  <c r="H120" i="6"/>
  <c r="H105" i="6"/>
  <c r="H113" i="6"/>
  <c r="H115" i="6"/>
  <c r="H121" i="6"/>
  <c r="H110" i="6"/>
  <c r="H119" i="6"/>
  <c r="H107" i="6"/>
  <c r="H76" i="6"/>
  <c r="H46" i="6"/>
  <c r="H25" i="6" s="1"/>
  <c r="H102" i="6"/>
  <c r="H28" i="6" l="1"/>
  <c r="I22" i="6" s="1"/>
  <c r="H141" i="6"/>
  <c r="H58" i="6"/>
  <c r="H75" i="6"/>
  <c r="H91" i="6"/>
  <c r="H101" i="6"/>
  <c r="C105" i="6"/>
  <c r="H103" i="6" s="1"/>
  <c r="E105" i="6"/>
  <c r="H100" i="6"/>
  <c r="H90" i="6" l="1"/>
  <c r="H92" i="6" s="1"/>
  <c r="H125" i="6"/>
  <c r="H87" i="6"/>
  <c r="H57" i="6"/>
  <c r="I128" i="6"/>
  <c r="H93" i="6"/>
  <c r="H86" i="6" l="1"/>
  <c r="I130" i="6"/>
  <c r="I131" i="6" l="1"/>
  <c r="I133" i="6"/>
  <c r="I134" i="6" l="1"/>
  <c r="I132" i="6"/>
  <c r="I47" i="6"/>
  <c r="I140" i="6" l="1"/>
  <c r="I118" i="6"/>
  <c r="I120" i="6"/>
  <c r="I115" i="6"/>
  <c r="I113" i="6"/>
  <c r="I99" i="6"/>
  <c r="I106" i="6"/>
  <c r="I111" i="6"/>
  <c r="I119" i="6"/>
  <c r="I108" i="6"/>
  <c r="I122" i="6"/>
  <c r="I114" i="6"/>
  <c r="I123" i="6"/>
  <c r="I112" i="6"/>
  <c r="I121" i="6"/>
  <c r="I107" i="6"/>
  <c r="I110" i="6"/>
  <c r="I109" i="6"/>
  <c r="I117" i="6"/>
  <c r="I116" i="6"/>
  <c r="I76" i="6"/>
  <c r="I46" i="6"/>
  <c r="I25" i="6" s="1"/>
  <c r="I102" i="6"/>
  <c r="I100" i="6" l="1"/>
  <c r="I91" i="6"/>
  <c r="I101" i="6"/>
  <c r="I28" i="6"/>
  <c r="J22" i="6" s="1"/>
  <c r="I141" i="6"/>
  <c r="I58" i="6"/>
  <c r="I75" i="6"/>
  <c r="E106" i="6"/>
  <c r="C106" i="6"/>
  <c r="I103" i="6" s="1"/>
  <c r="I90" i="6" l="1"/>
  <c r="I92" i="6" s="1"/>
  <c r="I125" i="6"/>
  <c r="I93" i="6"/>
  <c r="J128" i="6"/>
  <c r="I87" i="6"/>
  <c r="I57" i="6"/>
  <c r="I86" i="6" l="1"/>
  <c r="J130" i="6"/>
  <c r="J131" i="6" l="1"/>
  <c r="J133" i="6"/>
  <c r="J134" i="6" l="1"/>
  <c r="J132" i="6"/>
  <c r="J47" i="6"/>
  <c r="J140" i="6" l="1"/>
  <c r="J113" i="6"/>
  <c r="J119" i="6"/>
  <c r="J99" i="6"/>
  <c r="J121" i="6"/>
  <c r="J110" i="6"/>
  <c r="J123" i="6"/>
  <c r="J109" i="6"/>
  <c r="J112" i="6"/>
  <c r="J107" i="6"/>
  <c r="J118" i="6"/>
  <c r="J111" i="6"/>
  <c r="J108" i="6"/>
  <c r="J114" i="6"/>
  <c r="J117" i="6"/>
  <c r="J115" i="6"/>
  <c r="J122" i="6"/>
  <c r="J120" i="6"/>
  <c r="J116" i="6"/>
  <c r="J76" i="6"/>
  <c r="J46" i="6"/>
  <c r="J102" i="6"/>
  <c r="J141" i="6" l="1"/>
  <c r="J58" i="6"/>
  <c r="J75" i="6"/>
  <c r="C107" i="6"/>
  <c r="J103" i="6" s="1"/>
  <c r="E107" i="6"/>
  <c r="J91" i="6"/>
  <c r="J101" i="6"/>
  <c r="J100" i="6"/>
  <c r="J25" i="6"/>
  <c r="J93" i="6" l="1"/>
  <c r="J125" i="6"/>
  <c r="J90" i="6"/>
  <c r="J92" i="6" s="1"/>
  <c r="J87" i="6"/>
  <c r="J57" i="6"/>
  <c r="J28" i="6"/>
  <c r="K22" i="6" s="1"/>
  <c r="K128" i="6" l="1"/>
  <c r="J86" i="6"/>
  <c r="K130" i="6" l="1"/>
  <c r="K131" i="6" l="1"/>
  <c r="K133" i="6"/>
  <c r="K134" i="6" l="1"/>
  <c r="K132" i="6"/>
  <c r="K47" i="6"/>
  <c r="K140" i="6" l="1"/>
  <c r="K119" i="6"/>
  <c r="K114" i="6"/>
  <c r="K121" i="6"/>
  <c r="K117" i="6"/>
  <c r="K118" i="6"/>
  <c r="K116" i="6"/>
  <c r="K122" i="6"/>
  <c r="K109" i="6"/>
  <c r="K111" i="6"/>
  <c r="K112" i="6"/>
  <c r="K108" i="6"/>
  <c r="K99" i="6"/>
  <c r="K113" i="6"/>
  <c r="K120" i="6"/>
  <c r="K110" i="6"/>
  <c r="K123" i="6"/>
  <c r="K115" i="6"/>
  <c r="K76" i="6"/>
  <c r="K46" i="6"/>
  <c r="K102" i="6"/>
  <c r="K100" i="6" l="1"/>
  <c r="E108" i="6"/>
  <c r="C108" i="6"/>
  <c r="K103" i="6" s="1"/>
  <c r="K141" i="6"/>
  <c r="K58" i="6"/>
  <c r="K75" i="6"/>
  <c r="K91" i="6"/>
  <c r="K101" i="6"/>
  <c r="K25" i="6"/>
  <c r="K125" i="6" l="1"/>
  <c r="K90" i="6"/>
  <c r="K92" i="6" s="1"/>
  <c r="K93" i="6"/>
  <c r="K28" i="6"/>
  <c r="L22" i="6" s="1"/>
  <c r="K87" i="6"/>
  <c r="K57" i="6"/>
  <c r="L128" i="6" l="1"/>
  <c r="K86" i="6"/>
  <c r="L130" i="6" l="1"/>
  <c r="L131" i="6" l="1"/>
  <c r="L133" i="6"/>
  <c r="L134" i="6" s="1"/>
  <c r="L46" i="6" s="1"/>
  <c r="L141" i="6" l="1"/>
  <c r="L75" i="6"/>
  <c r="L132" i="6"/>
  <c r="L47" i="6"/>
  <c r="L140" i="6" l="1"/>
  <c r="L25" i="6"/>
  <c r="L28" i="6" s="1"/>
  <c r="M22" i="6" s="1"/>
  <c r="L110" i="6"/>
  <c r="L117" i="6"/>
  <c r="L119" i="6"/>
  <c r="L111" i="6"/>
  <c r="L114" i="6"/>
  <c r="L116" i="6"/>
  <c r="L123" i="6"/>
  <c r="L120" i="6"/>
  <c r="L99" i="6"/>
  <c r="L118" i="6"/>
  <c r="L122" i="6"/>
  <c r="L113" i="6"/>
  <c r="L112" i="6"/>
  <c r="L115" i="6"/>
  <c r="L109" i="6"/>
  <c r="L121" i="6"/>
  <c r="L76" i="6"/>
  <c r="L125" i="6"/>
  <c r="L90" i="6"/>
  <c r="L58" i="6"/>
  <c r="L87" i="6" s="1"/>
  <c r="L102" i="6"/>
  <c r="L101" i="6" l="1"/>
  <c r="L91" i="6"/>
  <c r="L92" i="6" s="1"/>
  <c r="L100" i="6"/>
  <c r="M128" i="6"/>
  <c r="E109" i="6"/>
  <c r="C109" i="6"/>
  <c r="L103" i="6" s="1"/>
  <c r="L57" i="6"/>
  <c r="L86" i="6" s="1"/>
  <c r="M130" i="6" l="1"/>
  <c r="L93" i="6"/>
  <c r="M131" i="6" l="1"/>
  <c r="M133" i="6"/>
  <c r="M134" i="6" s="1"/>
  <c r="M46" i="6" s="1"/>
  <c r="M47" i="6" l="1"/>
  <c r="M132" i="6"/>
  <c r="M140" i="6"/>
  <c r="M25" i="6"/>
  <c r="M28" i="6" s="1"/>
  <c r="N22" i="6" s="1"/>
  <c r="M120" i="6"/>
  <c r="M115" i="6"/>
  <c r="M119" i="6"/>
  <c r="M110" i="6"/>
  <c r="M122" i="6"/>
  <c r="M118" i="6"/>
  <c r="M121" i="6"/>
  <c r="M111" i="6"/>
  <c r="M99" i="6"/>
  <c r="M123" i="6"/>
  <c r="M114" i="6"/>
  <c r="M116" i="6"/>
  <c r="M113" i="6"/>
  <c r="M112" i="6"/>
  <c r="M117" i="6"/>
  <c r="M76" i="6"/>
  <c r="M141" i="6"/>
  <c r="M58" i="6"/>
  <c r="M87" i="6" s="1"/>
  <c r="M75" i="6"/>
  <c r="M102" i="6"/>
  <c r="N128" i="6" l="1"/>
  <c r="M100" i="6"/>
  <c r="M101" i="6"/>
  <c r="M91" i="6"/>
  <c r="M57" i="6"/>
  <c r="M86" i="6" s="1"/>
  <c r="E110" i="6"/>
  <c r="C110" i="6"/>
  <c r="M103" i="6" s="1"/>
  <c r="M90" i="6"/>
  <c r="M125" i="6"/>
  <c r="M92" i="6" l="1"/>
  <c r="M93" i="6"/>
  <c r="N130" i="6"/>
  <c r="N131" i="6" l="1"/>
  <c r="N133" i="6"/>
  <c r="N134" i="6" s="1"/>
  <c r="N46" i="6" s="1"/>
  <c r="N141" i="6" l="1"/>
  <c r="N75" i="6"/>
  <c r="N132" i="6"/>
  <c r="N47" i="6"/>
  <c r="N140" i="6" l="1"/>
  <c r="N25" i="6"/>
  <c r="N28" i="6" s="1"/>
  <c r="O22" i="6" s="1"/>
  <c r="N116" i="6"/>
  <c r="N120" i="6"/>
  <c r="N112" i="6"/>
  <c r="N121" i="6"/>
  <c r="N111" i="6"/>
  <c r="N123" i="6"/>
  <c r="N115" i="6"/>
  <c r="N114" i="6"/>
  <c r="N99" i="6"/>
  <c r="N118" i="6"/>
  <c r="N119" i="6"/>
  <c r="N117" i="6"/>
  <c r="N113" i="6"/>
  <c r="N122" i="6"/>
  <c r="N76" i="6"/>
  <c r="N90" i="6"/>
  <c r="N125" i="6"/>
  <c r="N58" i="6"/>
  <c r="N87" i="6" s="1"/>
  <c r="N102" i="6"/>
  <c r="E111" i="6" l="1"/>
  <c r="C111" i="6"/>
  <c r="N103" i="6" s="1"/>
  <c r="N100" i="6"/>
  <c r="O128" i="6"/>
  <c r="N101" i="6"/>
  <c r="N91" i="6"/>
  <c r="N92" i="6" s="1"/>
  <c r="N57" i="6"/>
  <c r="N86" i="6" s="1"/>
  <c r="O130" i="6" l="1"/>
  <c r="N93" i="6"/>
  <c r="O131" i="6" l="1"/>
  <c r="O133" i="6"/>
  <c r="O134" i="6" s="1"/>
  <c r="O46" i="6" s="1"/>
  <c r="O141" i="6" l="1"/>
  <c r="O75" i="6"/>
  <c r="O132" i="6"/>
  <c r="O47" i="6"/>
  <c r="O140" i="6" l="1"/>
  <c r="O25" i="6"/>
  <c r="O28" i="6" s="1"/>
  <c r="P22" i="6" s="1"/>
  <c r="O119" i="6"/>
  <c r="O113" i="6"/>
  <c r="O117" i="6"/>
  <c r="O99" i="6"/>
  <c r="O118" i="6"/>
  <c r="O122" i="6"/>
  <c r="O116" i="6"/>
  <c r="O120" i="6"/>
  <c r="O115" i="6"/>
  <c r="O112" i="6"/>
  <c r="O121" i="6"/>
  <c r="O114" i="6"/>
  <c r="O123" i="6"/>
  <c r="O76" i="6"/>
  <c r="O125" i="6" s="1"/>
  <c r="O90" i="6"/>
  <c r="O58" i="6"/>
  <c r="O87" i="6" s="1"/>
  <c r="O102" i="6"/>
  <c r="O100" i="6" l="1"/>
  <c r="E112" i="6"/>
  <c r="C112" i="6"/>
  <c r="O103" i="6" s="1"/>
  <c r="P128" i="6"/>
  <c r="O57" i="6"/>
  <c r="O86" i="6" s="1"/>
  <c r="O101" i="6"/>
  <c r="O91" i="6"/>
  <c r="O92" i="6" s="1"/>
  <c r="P130" i="6" l="1"/>
  <c r="O93" i="6"/>
  <c r="P131" i="6" l="1"/>
  <c r="P133" i="6"/>
  <c r="P134" i="6" s="1"/>
  <c r="P46" i="6" s="1"/>
  <c r="P141" i="6" l="1"/>
  <c r="P75" i="6"/>
  <c r="P132" i="6"/>
  <c r="P47" i="6"/>
  <c r="P140" i="6" l="1"/>
  <c r="P25" i="6"/>
  <c r="P28" i="6" s="1"/>
  <c r="Q22" i="6" s="1"/>
  <c r="P99" i="6"/>
  <c r="P116" i="6"/>
  <c r="P119" i="6"/>
  <c r="P118" i="6"/>
  <c r="P123" i="6"/>
  <c r="P114" i="6"/>
  <c r="P117" i="6"/>
  <c r="P120" i="6"/>
  <c r="P115" i="6"/>
  <c r="P121" i="6"/>
  <c r="P122" i="6"/>
  <c r="P113" i="6"/>
  <c r="P76" i="6"/>
  <c r="P90" i="6"/>
  <c r="P58" i="6"/>
  <c r="P87" i="6" s="1"/>
  <c r="P102" i="6"/>
  <c r="P101" i="6" l="1"/>
  <c r="P91" i="6"/>
  <c r="P92" i="6" s="1"/>
  <c r="E113" i="6"/>
  <c r="C113" i="6"/>
  <c r="P103" i="6" s="1"/>
  <c r="P100" i="6"/>
  <c r="Q128" i="6"/>
  <c r="P125" i="6"/>
  <c r="P57" i="6"/>
  <c r="P86" i="6" s="1"/>
  <c r="P93" i="6" l="1"/>
  <c r="Q130" i="6"/>
  <c r="Q131" i="6" l="1"/>
  <c r="Q133" i="6"/>
  <c r="Q134" i="6" s="1"/>
  <c r="Q46" i="6" s="1"/>
  <c r="Q141" i="6" l="1"/>
  <c r="Q75" i="6"/>
  <c r="Q132" i="6"/>
  <c r="Q47" i="6"/>
  <c r="Q140" i="6" l="1"/>
  <c r="Q25" i="6"/>
  <c r="Q28" i="6" s="1"/>
  <c r="R22" i="6" s="1"/>
  <c r="Q99" i="6"/>
  <c r="Q122" i="6"/>
  <c r="Q118" i="6"/>
  <c r="Q120" i="6"/>
  <c r="Q121" i="6"/>
  <c r="Q115" i="6"/>
  <c r="Q114" i="6"/>
  <c r="Q119" i="6"/>
  <c r="Q117" i="6"/>
  <c r="Q116" i="6"/>
  <c r="Q123" i="6"/>
  <c r="Q76" i="6"/>
  <c r="Q90" i="6"/>
  <c r="Q58" i="6"/>
  <c r="Q87" i="6" s="1"/>
  <c r="Q102" i="6"/>
  <c r="Q101" i="6" l="1"/>
  <c r="Q91" i="6"/>
  <c r="Q92" i="6" s="1"/>
  <c r="Q100" i="6"/>
  <c r="Q57" i="6"/>
  <c r="Q86" i="6" s="1"/>
  <c r="R128" i="6"/>
  <c r="E114" i="6"/>
  <c r="C114" i="6"/>
  <c r="Q103" i="6" s="1"/>
  <c r="Q125" i="6"/>
  <c r="R130" i="6" l="1"/>
  <c r="Q93" i="6"/>
  <c r="R131" i="6" l="1"/>
  <c r="R133" i="6"/>
  <c r="R134" i="6" s="1"/>
  <c r="R46" i="6" s="1"/>
  <c r="R141" i="6" l="1"/>
  <c r="R75" i="6"/>
  <c r="R132" i="6"/>
  <c r="R47" i="6"/>
  <c r="R140" i="6" l="1"/>
  <c r="R25" i="6"/>
  <c r="R28" i="6" s="1"/>
  <c r="S22" i="6" s="1"/>
  <c r="R99" i="6"/>
  <c r="R117" i="6"/>
  <c r="R119" i="6"/>
  <c r="R121" i="6"/>
  <c r="R120" i="6"/>
  <c r="R123" i="6"/>
  <c r="R115" i="6"/>
  <c r="R116" i="6"/>
  <c r="R122" i="6"/>
  <c r="R118" i="6"/>
  <c r="R76" i="6"/>
  <c r="R125" i="6"/>
  <c r="R90" i="6"/>
  <c r="R58" i="6"/>
  <c r="R87" i="6" s="1"/>
  <c r="R102" i="6"/>
  <c r="S128" i="6" l="1"/>
  <c r="C115" i="6"/>
  <c r="R103" i="6" s="1"/>
  <c r="E115" i="6"/>
  <c r="R57" i="6"/>
  <c r="R86" i="6" s="1"/>
  <c r="R101" i="6"/>
  <c r="R91" i="6"/>
  <c r="R92" i="6" s="1"/>
  <c r="R100" i="6"/>
  <c r="S130" i="6" l="1"/>
  <c r="R93" i="6"/>
  <c r="S131" i="6" l="1"/>
  <c r="S133" i="6"/>
  <c r="S134" i="6" s="1"/>
  <c r="S46" i="6" s="1"/>
  <c r="S141" i="6" l="1"/>
  <c r="S75" i="6"/>
  <c r="S132" i="6"/>
  <c r="S47" i="6"/>
  <c r="S140" i="6" l="1"/>
  <c r="S25" i="6"/>
  <c r="S28" i="6" s="1"/>
  <c r="T22" i="6" s="1"/>
  <c r="S99" i="6"/>
  <c r="S119" i="6"/>
  <c r="S123" i="6"/>
  <c r="S116" i="6"/>
  <c r="S121" i="6"/>
  <c r="S122" i="6"/>
  <c r="S118" i="6"/>
  <c r="S120" i="6"/>
  <c r="S117" i="6"/>
  <c r="S76" i="6"/>
  <c r="S90" i="6"/>
  <c r="S125" i="6"/>
  <c r="S58" i="6"/>
  <c r="S87" i="6" s="1"/>
  <c r="S102" i="6"/>
  <c r="S57" i="6" l="1"/>
  <c r="S86" i="6" s="1"/>
  <c r="C116" i="6"/>
  <c r="S103" i="6" s="1"/>
  <c r="E116" i="6"/>
  <c r="S91" i="6"/>
  <c r="S92" i="6" s="1"/>
  <c r="S101" i="6"/>
  <c r="S100" i="6"/>
  <c r="T128" i="6"/>
  <c r="T130" i="6" l="1"/>
  <c r="S93" i="6"/>
  <c r="T131" i="6" l="1"/>
  <c r="T133" i="6"/>
  <c r="T134" i="6" s="1"/>
  <c r="T46" i="6" s="1"/>
  <c r="T141" i="6" l="1"/>
  <c r="T75" i="6"/>
  <c r="T132" i="6"/>
  <c r="T47" i="6"/>
  <c r="T140" i="6" l="1"/>
  <c r="T25" i="6"/>
  <c r="T28" i="6" s="1"/>
  <c r="U22" i="6" s="1"/>
  <c r="T99" i="6"/>
  <c r="T120" i="6"/>
  <c r="T117" i="6"/>
  <c r="T118" i="6"/>
  <c r="T119" i="6"/>
  <c r="T121" i="6"/>
  <c r="T123" i="6"/>
  <c r="T122" i="6"/>
  <c r="T76" i="6"/>
  <c r="T125" i="6"/>
  <c r="T90" i="6"/>
  <c r="T58" i="6"/>
  <c r="T87" i="6" s="1"/>
  <c r="T102" i="6"/>
  <c r="E117" i="6" l="1"/>
  <c r="C117" i="6"/>
  <c r="T103" i="6" s="1"/>
  <c r="T101" i="6"/>
  <c r="T91" i="6"/>
  <c r="T92" i="6" s="1"/>
  <c r="T100" i="6"/>
  <c r="U128" i="6"/>
  <c r="T57" i="6"/>
  <c r="T86" i="6" s="1"/>
  <c r="T93" i="6" l="1"/>
  <c r="U130" i="6"/>
  <c r="U131" i="6" l="1"/>
  <c r="U133" i="6"/>
  <c r="U134" i="6" s="1"/>
  <c r="U46" i="6" s="1"/>
  <c r="U141" i="6" l="1"/>
  <c r="U75" i="6"/>
  <c r="U132" i="6"/>
  <c r="U47" i="6"/>
  <c r="U140" i="6" l="1"/>
  <c r="U25" i="6"/>
  <c r="U28" i="6" s="1"/>
  <c r="V22" i="6" s="1"/>
  <c r="U99" i="6"/>
  <c r="U123" i="6"/>
  <c r="U119" i="6"/>
  <c r="U120" i="6"/>
  <c r="U122" i="6"/>
  <c r="U121" i="6"/>
  <c r="U118" i="6"/>
  <c r="U76" i="6"/>
  <c r="U125" i="6"/>
  <c r="U90" i="6"/>
  <c r="U58" i="6"/>
  <c r="U87" i="6" s="1"/>
  <c r="U102" i="6"/>
  <c r="E118" i="6" l="1"/>
  <c r="C118" i="6"/>
  <c r="U103" i="6" s="1"/>
  <c r="U57" i="6"/>
  <c r="U86" i="6" s="1"/>
  <c r="U100" i="6"/>
  <c r="U101" i="6"/>
  <c r="U91" i="6"/>
  <c r="U92" i="6" s="1"/>
  <c r="V128" i="6"/>
  <c r="U93" i="6" l="1"/>
  <c r="V130" i="6"/>
  <c r="V131" i="6" l="1"/>
  <c r="V133" i="6"/>
  <c r="V134" i="6" s="1"/>
  <c r="V46" i="6" s="1"/>
  <c r="V141" i="6" l="1"/>
  <c r="V75" i="6"/>
  <c r="V132" i="6"/>
  <c r="V47" i="6"/>
  <c r="V140" i="6" l="1"/>
  <c r="V25" i="6"/>
  <c r="V28" i="6" s="1"/>
  <c r="W22" i="6" s="1"/>
  <c r="V99" i="6"/>
  <c r="V122" i="6"/>
  <c r="V119" i="6"/>
  <c r="V121" i="6"/>
  <c r="V120" i="6"/>
  <c r="V123" i="6"/>
  <c r="V76" i="6"/>
  <c r="V125" i="6"/>
  <c r="V90" i="6"/>
  <c r="V58" i="6"/>
  <c r="V87" i="6" s="1"/>
  <c r="V102" i="6"/>
  <c r="C119" i="6" l="1"/>
  <c r="V103" i="6" s="1"/>
  <c r="E119" i="6"/>
  <c r="V100" i="6"/>
  <c r="W128" i="6"/>
  <c r="V101" i="6"/>
  <c r="V91" i="6"/>
  <c r="V92" i="6" s="1"/>
  <c r="V57" i="6"/>
  <c r="V86" i="6" s="1"/>
  <c r="W130" i="6" l="1"/>
  <c r="V93" i="6"/>
  <c r="W131" i="6" l="1"/>
  <c r="W133" i="6"/>
  <c r="W134" i="6" s="1"/>
  <c r="W46" i="6" s="1"/>
  <c r="W141" i="6" l="1"/>
  <c r="W75" i="6"/>
  <c r="W132" i="6"/>
  <c r="W47" i="6"/>
  <c r="W140" i="6" l="1"/>
  <c r="W25" i="6"/>
  <c r="W28" i="6" s="1"/>
  <c r="X22" i="6" s="1"/>
  <c r="W99" i="6"/>
  <c r="W120" i="6"/>
  <c r="W122" i="6"/>
  <c r="W121" i="6"/>
  <c r="W123" i="6"/>
  <c r="W76" i="6"/>
  <c r="W125" i="6" s="1"/>
  <c r="W90" i="6"/>
  <c r="W58" i="6"/>
  <c r="W87" i="6" s="1"/>
  <c r="W102" i="6"/>
  <c r="C120" i="6" l="1"/>
  <c r="W103" i="6" s="1"/>
  <c r="E120" i="6"/>
  <c r="W100" i="6"/>
  <c r="X128" i="6"/>
  <c r="W57" i="6"/>
  <c r="W86" i="6" s="1"/>
  <c r="W101" i="6"/>
  <c r="W91" i="6"/>
  <c r="W92" i="6" s="1"/>
  <c r="X130" i="6" l="1"/>
  <c r="W93" i="6"/>
  <c r="X131" i="6" l="1"/>
  <c r="X133" i="6"/>
  <c r="X134" i="6" s="1"/>
  <c r="X46" i="6" s="1"/>
  <c r="X141" i="6" l="1"/>
  <c r="X75" i="6"/>
  <c r="X132" i="6"/>
  <c r="X47" i="6"/>
  <c r="X140" i="6" l="1"/>
  <c r="X25" i="6"/>
  <c r="X28" i="6" s="1"/>
  <c r="Y22" i="6" s="1"/>
  <c r="X99" i="6"/>
  <c r="X122" i="6"/>
  <c r="X121" i="6"/>
  <c r="X123" i="6"/>
  <c r="X76" i="6"/>
  <c r="X90" i="6"/>
  <c r="X58" i="6"/>
  <c r="X87" i="6" s="1"/>
  <c r="X102" i="6"/>
  <c r="C121" i="6" l="1"/>
  <c r="X103" i="6" s="1"/>
  <c r="E121" i="6"/>
  <c r="X91" i="6"/>
  <c r="X92" i="6" s="1"/>
  <c r="X101" i="6"/>
  <c r="X100" i="6"/>
  <c r="X57" i="6"/>
  <c r="X86" i="6" s="1"/>
  <c r="X125" i="6"/>
  <c r="Y128" i="6"/>
  <c r="X93" i="6" l="1"/>
  <c r="Y130" i="6"/>
  <c r="Y131" i="6" l="1"/>
  <c r="Y133" i="6"/>
  <c r="Y134" i="6" s="1"/>
  <c r="Y46" i="6" s="1"/>
  <c r="Y141" i="6" l="1"/>
  <c r="Y75" i="6"/>
  <c r="Y132" i="6"/>
  <c r="Y47" i="6"/>
  <c r="Y140" i="6" l="1"/>
  <c r="Y25" i="6"/>
  <c r="Y28" i="6" s="1"/>
  <c r="Z22" i="6" s="1"/>
  <c r="Y99" i="6"/>
  <c r="Y122" i="6"/>
  <c r="Y123" i="6"/>
  <c r="Y76" i="6"/>
  <c r="Y90" i="6"/>
  <c r="Y58" i="6"/>
  <c r="Y87" i="6" s="1"/>
  <c r="Y102" i="6"/>
  <c r="Y91" i="6" l="1"/>
  <c r="Y92" i="6" s="1"/>
  <c r="Y101" i="6"/>
  <c r="E122" i="6"/>
  <c r="C122" i="6"/>
  <c r="Y103" i="6" s="1"/>
  <c r="Y100" i="6"/>
  <c r="Y57" i="6"/>
  <c r="Y86" i="6" s="1"/>
  <c r="Y125" i="6"/>
  <c r="Z128" i="6"/>
  <c r="Y93" i="6" l="1"/>
  <c r="E128" i="6"/>
  <c r="Z130" i="6"/>
  <c r="E130" i="6" l="1"/>
  <c r="Z131" i="6"/>
  <c r="Z133" i="6"/>
  <c r="Z134" i="6" l="1"/>
  <c r="E133" i="6"/>
  <c r="E131" i="6"/>
  <c r="Z132" i="6"/>
  <c r="E132" i="6" s="1"/>
  <c r="Z47" i="6"/>
  <c r="Z140" i="6" l="1"/>
  <c r="E140" i="6" s="1"/>
  <c r="Z99" i="6"/>
  <c r="Z123" i="6"/>
  <c r="E47" i="6"/>
  <c r="E50" i="3" s="1"/>
  <c r="Z76" i="6"/>
  <c r="Z46" i="6"/>
  <c r="Z25" i="6" s="1"/>
  <c r="E134" i="6"/>
  <c r="E49" i="3" s="1"/>
  <c r="F14" i="3" s="1"/>
  <c r="Z102" i="6"/>
  <c r="E102" i="6" l="1"/>
  <c r="E55" i="3" s="1"/>
  <c r="E25" i="6"/>
  <c r="Z28" i="6"/>
  <c r="E28" i="6" s="1"/>
  <c r="C123" i="6"/>
  <c r="Z103" i="6" s="1"/>
  <c r="E103" i="6" s="1"/>
  <c r="E123" i="6"/>
  <c r="E99" i="6"/>
  <c r="Z100" i="6"/>
  <c r="Z141" i="6"/>
  <c r="E141" i="6" s="1"/>
  <c r="Z58" i="6"/>
  <c r="E46" i="6"/>
  <c r="Z75" i="6"/>
  <c r="E76" i="6"/>
  <c r="Z91" i="6"/>
  <c r="Z101" i="6"/>
  <c r="E101" i="6" s="1"/>
  <c r="E53" i="3" s="1"/>
  <c r="Z93" i="6" l="1"/>
  <c r="E93" i="6" s="1"/>
  <c r="E56" i="3" s="1"/>
  <c r="E100" i="6"/>
  <c r="E91" i="6"/>
  <c r="E75" i="6"/>
  <c r="Z90" i="6"/>
  <c r="E90" i="6" s="1"/>
  <c r="Z125" i="6"/>
  <c r="E125" i="6" s="1"/>
  <c r="E58" i="6"/>
  <c r="Z87" i="6"/>
  <c r="E87" i="6" s="1"/>
  <c r="Z57" i="6"/>
  <c r="Z92" i="6" l="1"/>
  <c r="E92" i="6" s="1"/>
  <c r="E57" i="6"/>
  <c r="Z86" i="6"/>
  <c r="E86"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<sst xmlns="http://schemas.openxmlformats.org/spreadsheetml/2006/main" count="782" uniqueCount="447">
  <si>
    <t>Venture Capital Model, with Manual Portfolio Input</t>
  </si>
  <si>
    <t>Copyright &amp; Contact</t>
  </si>
  <si>
    <t xml:space="preserve">This was created by Taylor Davidson (@tdavidson) of Foresight.
© 2025, Unstructured Ventures, LLC.
Questions, contact taylor@foresight.is or @tdavidson
</t>
  </si>
  <si>
    <t>License</t>
  </si>
  <si>
    <r>
      <rPr>
        <sz val="10"/>
        <color rgb="FF000000"/>
        <rFont val="Arial"/>
        <family val="2"/>
      </rPr>
      <t xml:space="preserve">tl:dr; You can modify, edit, use, and share within your company (and with third-parties as needed to operate your business). You may not redistribute, resell, give away to others. </t>
    </r>
    <r>
      <rPr>
        <u/>
        <sz val="10"/>
        <color rgb="FF1155CC"/>
        <rFont val="Arial"/>
        <family val="2"/>
      </rPr>
      <t xml:space="preserve">Full license.
</t>
    </r>
  </si>
  <si>
    <t>Goal</t>
  </si>
  <si>
    <r>
      <t xml:space="preserve">Simplified model for forecasting a venture fund, to help understand overall fund assumptions and how portfolio construction impacts returns. I've worked with countless founders building complicated models for fund construction - see </t>
    </r>
    <r>
      <rPr>
        <u/>
        <sz val="10"/>
        <color rgb="FF1155CC"/>
        <rFont val="Arial"/>
        <family val="2"/>
      </rPr>
      <t>Venture Investor Model</t>
    </r>
    <r>
      <rPr>
        <sz val="10"/>
        <color rgb="FF000000"/>
        <rFont val="Arial"/>
        <scheme val="minor"/>
      </rPr>
      <t xml:space="preserve"> for one - but want to create a simpler, more accessible model that removes some of the lesser-used edge cases and covers the basics for most emerging managers.
</t>
    </r>
  </si>
  <si>
    <t>Copy to Google Sheets or Download to Excel</t>
  </si>
  <si>
    <r>
      <t xml:space="preserve">File &gt; Make a Copy to copy it to your own Google Drive, or File &gt; Download to download this to use in Excel or other spreadsheet programs. </t>
    </r>
    <r>
      <rPr>
        <u/>
        <sz val="10"/>
        <color rgb="FF1155CC"/>
        <rFont val="Arial"/>
        <family val="2"/>
      </rPr>
      <t xml:space="preserve">See License for warranties and liabilities.
</t>
    </r>
  </si>
  <si>
    <t>Support</t>
  </si>
  <si>
    <r>
      <t xml:space="preserve">Questions, happy to assist, contact anytime. More details on how I provide support: </t>
    </r>
    <r>
      <rPr>
        <u/>
        <sz val="10"/>
        <color rgb="FF1155CC"/>
        <rFont val="Arial"/>
        <family val="2"/>
      </rPr>
      <t xml:space="preserve">https://foresight.is/help
</t>
    </r>
  </si>
  <si>
    <t>Missing a feature you need?</t>
  </si>
  <si>
    <r>
      <t xml:space="preserve">Check out the </t>
    </r>
    <r>
      <rPr>
        <u/>
        <sz val="10"/>
        <color rgb="FF1155CC"/>
        <rFont val="Arial"/>
        <family val="2"/>
      </rPr>
      <t>Resources</t>
    </r>
    <r>
      <rPr>
        <sz val="10"/>
        <color rgb="FF000000"/>
        <rFont val="Arial"/>
        <scheme val="minor"/>
      </rPr>
      <t xml:space="preserve"> for other resources for modeling venture funds, and check out Foresight's </t>
    </r>
    <r>
      <rPr>
        <u/>
        <sz val="10"/>
        <color rgb="FF1155CC"/>
        <rFont val="Arial"/>
        <family val="2"/>
      </rPr>
      <t>Venture Investor Model</t>
    </r>
    <r>
      <rPr>
        <sz val="10"/>
        <color rgb="FF000000"/>
        <rFont val="Arial"/>
        <scheme val="minor"/>
      </rPr>
      <t xml:space="preserve"> for a more detailed fund model with financial statements, management company budgeting, and more.
</t>
    </r>
  </si>
  <si>
    <t>Quickstart</t>
  </si>
  <si>
    <r>
      <t xml:space="preserve">Input fund structural assumptions on Get Started sheet, input the specific investments on Portfolio, then review the Key Reports and Forecast sheet to see the key outputs. More details at </t>
    </r>
    <r>
      <rPr>
        <u/>
        <sz val="10"/>
        <color rgb="FF1155CC"/>
        <rFont val="Arial"/>
        <family val="2"/>
      </rPr>
      <t>https://foresight.is/docs/</t>
    </r>
    <r>
      <rPr>
        <sz val="10"/>
        <color rgb="FF000000"/>
        <rFont val="Arial"/>
        <scheme val="minor"/>
      </rPr>
      <t xml:space="preserve">
</t>
    </r>
  </si>
  <si>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</si>
  <si>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</si>
  <si>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</si>
  <si>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</si>
  <si>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</si>
  <si>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</si>
  <si>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Get Started</t>
  </si>
  <si>
    <t>Core assumptions for the fund. Do not delete, safe to hide.</t>
  </si>
  <si>
    <t xml:space="preserve">   Capital and Fund Assumptions</t>
  </si>
  <si>
    <t>Assumptions for fund economics</t>
  </si>
  <si>
    <t xml:space="preserve">   Recycling</t>
  </si>
  <si>
    <t>Optional section for assuming fund recycling policy</t>
  </si>
  <si>
    <t xml:space="preserve">   Portfolio Construction Assumptions</t>
  </si>
  <si>
    <t>Core portfolio construction assumptions</t>
  </si>
  <si>
    <t xml:space="preserve">   Return Assumptions</t>
  </si>
  <si>
    <t>Investment performance assumptions</t>
  </si>
  <si>
    <t xml:space="preserve">   Fund Performance</t>
  </si>
  <si>
    <t>Summary of fund performance. Details and more metrics on Forecast sheet</t>
  </si>
  <si>
    <t>Key Reports</t>
  </si>
  <si>
    <t>Key charts to summarize the model. Safe to delete or hide.</t>
  </si>
  <si>
    <t>Portfolio</t>
  </si>
  <si>
    <t>Input sheet for entering specific known or forecasted investments</t>
  </si>
  <si>
    <t>Forecast</t>
  </si>
  <si>
    <t>The core calculations to forecast the operations of the fund.</t>
  </si>
  <si>
    <t>Resources</t>
  </si>
  <si>
    <t>Links to other models and resources for modeling venture capital funds and investments, from around the web. Safe to delete or hide.</t>
  </si>
  <si>
    <t>Model Comparison</t>
  </si>
  <si>
    <t>Detailed feature comparison of the range of Foresight models for venture investors. Safe to delete or hide.</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</si>
  <si>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</si>
  <si>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</si>
  <si>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</si>
  <si>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</si>
  <si>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</si>
  <si>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</si>
  <si>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</si>
  <si>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</si>
  <si>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</si>
  <si>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</si>
  <si>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</si>
  <si>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</si>
  <si>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</si>
  <si>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</si>
  <si>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</si>
  <si>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</si>
  <si>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</si>
  <si>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</si>
  <si>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</si>
  <si>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</si>
  <si>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</si>
  <si>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</si>
  <si>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</si>
  <si>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</si>
  <si>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</si>
  <si>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Key model assumptions and performance metrics</t>
  </si>
  <si>
    <t>Capital and Fund Assumptions</t>
  </si>
  <si>
    <t>Capital, Management Fees, base Fund-level assumptions</t>
  </si>
  <si>
    <t>Detail</t>
  </si>
  <si>
    <t>Unit</t>
  </si>
  <si>
    <t>Assumption</t>
  </si>
  <si>
    <t>Notes</t>
  </si>
  <si>
    <t>Total Commited Capital (Fund Size)</t>
  </si>
  <si>
    <t>$</t>
  </si>
  <si>
    <t>Fund size. By default, assumes all committed capital is closed at the start. Can adjust that by modifying the committed capital on Forecast sheet.</t>
  </si>
  <si>
    <t>GP Commit, as % of committed capital</t>
  </si>
  <si>
    <t>%</t>
  </si>
  <si>
    <t>GP commit is treated as an LP interest for purposes of calculating mangement fees and carried interest. see glossary for additional details</t>
  </si>
  <si>
    <t>Organizational Expenses (one time)</t>
  </si>
  <si>
    <t>paid by fund, in addition to management fees. one time costs associated with forming the fund, primarily legal fees</t>
  </si>
  <si>
    <t>Operational Expenses (annual)</t>
  </si>
  <si>
    <t>paid by fund, in addition to management fees. see https://foresight.is/docs/management-company/ for more context. calculated based on the fund operations period for operating expenses</t>
  </si>
  <si>
    <t>Management Fees, per year, as % of committed capital</t>
  </si>
  <si>
    <t>model works for management fees based on called and committed capital (can be edited for fee structures based on assets under management). if you have a management fee structure that steps down over time, you can edit the management fees directly on the Forecast sheet.</t>
  </si>
  <si>
    <t>Carry</t>
  </si>
  <si>
    <t>carry is the % of gains that are paid to the managers of the fund. part of the commonly cited "2 and 20" fees structure for funds</t>
  </si>
  <si>
    <t>New Investment time period (years)</t>
  </si>
  <si>
    <t>#</t>
  </si>
  <si>
    <t>time period for new investments (follow ons by default assumed to come over time)</t>
  </si>
  <si>
    <t>Fund Duration (Management Fees time period) (years)</t>
  </si>
  <si>
    <t>time period used for assuming management fees, tied to the fund duration and not including the fund extension period, if applicable</t>
  </si>
  <si>
    <t>Fund Operations time period (years)</t>
  </si>
  <si>
    <t>time period used for assuming operational expenses, which is calculated from the new invesetment and exit timeframes, to cover the periods the fund incurrs operational expenses. you can override the calculated period if desired.</t>
  </si>
  <si>
    <t>Fund Duration Extension Period (years)</t>
  </si>
  <si>
    <t>Portfolio Construction</t>
  </si>
  <si>
    <t>Capital Allocation and Investment Timeframe Assumptions</t>
  </si>
  <si>
    <t>New</t>
  </si>
  <si>
    <t>Follow</t>
  </si>
  <si>
    <t>% Allocation of Invested Capital</t>
  </si>
  <si>
    <t>based on inputs on Portfolio input sheet</t>
  </si>
  <si>
    <t>Average Check Size</t>
  </si>
  <si>
    <t># of Checks</t>
  </si>
  <si>
    <t>Return Assumptions</t>
  </si>
  <si>
    <t>Used to create estimates of average investment outcome by gross exit multiple and hold period</t>
  </si>
  <si>
    <t>Type of Exit</t>
  </si>
  <si>
    <t>% of Investments</t>
  </si>
  <si>
    <t># of Investments</t>
  </si>
  <si>
    <t>Average Gross Exit Multiple</t>
  </si>
  <si>
    <t>% of Total Proceeds</t>
  </si>
  <si>
    <t>Min Gross Exit Mutliple</t>
  </si>
  <si>
    <t>Type of Exit can be defined in a few ways: by returns (writeoffs, small, medium, large), by strategy (Seed, A, B, etc.), by investment strategy (early, late, growth), or industry strategy (tech, energy, etc.)</t>
  </si>
  <si>
    <t>Writeoff</t>
  </si>
  <si>
    <t>#, %</t>
  </si>
  <si>
    <t>The "Min Multiple" sets the ranges used for the types of exits. The default structure assumes there is a zero return outcome, but the structure can be changed to not assume that.</t>
  </si>
  <si>
    <t>Small</t>
  </si>
  <si>
    <t>The Average Gross Exit Multiple is calculated from the input deals and the assumed ranges</t>
  </si>
  <si>
    <t>Medium</t>
  </si>
  <si>
    <t>The % of total proceeds is calculated from the gross exit multiple and the % of investments for each exit type, to estimate where the fund returns come from.</t>
  </si>
  <si>
    <t>Large</t>
  </si>
  <si>
    <t>Can adjust this structure to add additional lines to report different types of exits</t>
  </si>
  <si>
    <t>na</t>
  </si>
  <si>
    <t>The average gross exit multiple may not equal the weighted average of % of investments if the capital invested per type of exit varies.</t>
  </si>
  <si>
    <t>Fund Performance</t>
  </si>
  <si>
    <t>Fund performance summary</t>
  </si>
  <si>
    <t>Called Capital (also called Paid in Capital)</t>
  </si>
  <si>
    <t>should equal committed capital</t>
  </si>
  <si>
    <t>Management Fees and Fund Expenses</t>
  </si>
  <si>
    <t>management fees + operating expenses + organizational expenses</t>
  </si>
  <si>
    <t>initially budgeted invested capital, without recycling</t>
  </si>
  <si>
    <t>Recycled Capital</t>
  </si>
  <si>
    <t>recycled capital, calculated using recycling assumptions above</t>
  </si>
  <si>
    <t>Invested Capital</t>
  </si>
  <si>
    <t>committed capital - expenses - management fees + recycled capital, using subcalculations for management fees to handle assets under management</t>
  </si>
  <si>
    <t>Proceeds</t>
  </si>
  <si>
    <t>calculated on forecast sheet</t>
  </si>
  <si>
    <t>Carried Interest</t>
  </si>
  <si>
    <t>Distributions</t>
  </si>
  <si>
    <t>Gross Multiple</t>
  </si>
  <si>
    <t>proceeds / invested capital. also known as MOIC (multiple on invested capital)</t>
  </si>
  <si>
    <t>Net Multiple</t>
  </si>
  <si>
    <t>distributions / paid in capital</t>
  </si>
  <si>
    <t>Gross IRR</t>
  </si>
  <si>
    <t>this is a simplified calculation. in practice, exits will happen at different times and sizes, and IRR will vary to reflect that. this simplified model can only make a simplified estimate of IRR for baseline forecasting</t>
  </si>
  <si>
    <t>Net IRR</t>
  </si>
  <si>
    <t>Max Exposure, as % of Committed Capital</t>
  </si>
  <si>
    <t>Portfolio Model</t>
  </si>
  <si>
    <t>Specific investment and proceeds expectations</t>
  </si>
  <si>
    <t>Not prebuilt or used in existing reporting, useful for informational &amp; custom calculation 👉</t>
  </si>
  <si>
    <t>Investment</t>
  </si>
  <si>
    <t>Event</t>
  </si>
  <si>
    <t>Unrealized Gains (Losses)</t>
  </si>
  <si>
    <t>Recycled</t>
  </si>
  <si>
    <t># Shares</t>
  </si>
  <si>
    <t>Price per Share</t>
  </si>
  <si>
    <t>Postmoney Valuation</t>
  </si>
  <si>
    <t>% Ownership</t>
  </si>
  <si>
    <t>Discount Rate</t>
  </si>
  <si>
    <t>Cap</t>
  </si>
  <si>
    <t>% Carry</t>
  </si>
  <si>
    <t>enter the names of investments. keep the same company on the same row</t>
  </si>
  <si>
    <t>positive when investments made, negative for the amount of invested capital exited or written off</t>
  </si>
  <si>
    <t>proceeds from investments</t>
  </si>
  <si>
    <t>recognized during period</t>
  </si>
  <si>
    <t>amount of proceeds recycled</t>
  </si>
  <si>
    <t>Name of Investment</t>
  </si>
  <si>
    <t>New Investment</t>
  </si>
  <si>
    <t>...</t>
  </si>
  <si>
    <t>Annual Forecast</t>
  </si>
  <si>
    <t>Relative Year</t>
  </si>
  <si>
    <t>Date at end of period</t>
  </si>
  <si>
    <t>Triggers</t>
  </si>
  <si>
    <t>period for making new investments only</t>
  </si>
  <si>
    <t>sum</t>
  </si>
  <si>
    <r>
      <t xml:space="preserve">see FAST Standard for how to use triggers: </t>
    </r>
    <r>
      <rPr>
        <u/>
        <sz val="10"/>
        <color rgb="FF1155CC"/>
        <rFont val="Arial"/>
        <family val="2"/>
      </rPr>
      <t>https://foresight.is/learn/fast-standard</t>
    </r>
  </si>
  <si>
    <t>Proceeds Recycling period (years)</t>
  </si>
  <si>
    <t>Inputs</t>
  </si>
  <si>
    <t>Management Fees</t>
  </si>
  <si>
    <t>committed</t>
  </si>
  <si>
    <t>GP Commit, excluded from LP capital. By default, GP commit is treated as an LP interest. Check the box to have the GP commit not treated as an LP investment. This will affect management fees (management fees will not be charged on the GP commit if it's not an LP interest, and it will change the waterfall so that GPs only get carried interest, and not carried interest + their share of distributions as an LP)</t>
  </si>
  <si>
    <t>GP Commit, excluded from management fees. Check the box to have the GP commit - capital contributed by the GP as LP capital and an ownership in the fund - excluded from calculation of management fees</t>
  </si>
  <si>
    <t>GP Commit, covered via cashless contributions from management fees</t>
  </si>
  <si>
    <t>if management fees are used to cover for a GP Commit. Please discuss the implications of this with your tax advisor and fund admin if you choose this option</t>
  </si>
  <si>
    <t>final</t>
  </si>
  <si>
    <t>Commited Capital, % of total fund committed per year</t>
  </si>
  <si>
    <t>Called Capital, % of total fund committed</t>
  </si>
  <si>
    <t>optional manual override to the automatically calculated called capital schedule, if you do not want to use the calculated schedule. this will not change your investment deployment, only your called capital and cash balances</t>
  </si>
  <si>
    <t>Capital, beginning of period</t>
  </si>
  <si>
    <t>initial</t>
  </si>
  <si>
    <t>Called Capital</t>
  </si>
  <si>
    <t>Distributions + Carried Interest</t>
  </si>
  <si>
    <t>Fees</t>
  </si>
  <si>
    <t>Investments</t>
  </si>
  <si>
    <t>Capital, end of period</t>
  </si>
  <si>
    <t>Committed Capital</t>
  </si>
  <si>
    <t>Manual Investments</t>
  </si>
  <si>
    <t>New Investments</t>
  </si>
  <si>
    <t>Prorata Opportunities</t>
  </si>
  <si>
    <t>Reserves for Follow on</t>
  </si>
  <si>
    <t>change in reserves per period, increase in reserves when new investments are made, decrease when follow on are made or investments are written off</t>
  </si>
  <si>
    <t>Follow on Investments</t>
  </si>
  <si>
    <t>Total Investments, by cohort of New Investments</t>
  </si>
  <si>
    <t>Total Investments</t>
  </si>
  <si>
    <t>Organizational Expenses</t>
  </si>
  <si>
    <t>Operational Expenses</t>
  </si>
  <si>
    <t>the calc will automatically catchup on committed capital closes after the first close if using committed capital as the base for the management fees. If using called capital, assets under management, or if the base changes over time periods, the calculation will not automatically catchup</t>
  </si>
  <si>
    <t>Preferred Return</t>
  </si>
  <si>
    <t>GP Catchup</t>
  </si>
  <si>
    <t>Writeoffs</t>
  </si>
  <si>
    <t>Invested Capital Exited</t>
  </si>
  <si>
    <t>value of the original capital invested, that exits (proceeds &gt; 0)</t>
  </si>
  <si>
    <t>Change in Invested Capital</t>
  </si>
  <si>
    <t>value of the original capital invested. goes up when investments are made, down when investments are written off, and down when investments exit</t>
  </si>
  <si>
    <t>Change in Unrealized Gain (Loss)</t>
  </si>
  <si>
    <t>estimated from the gross IRR and accounting for value of invested capital and exits; please note this an estimate created as the model does not have sufficient tracking of intermediate changes in value of the portfolio to actually do this accurately, and you may alter the logic behind this if you want to change the estimate</t>
  </si>
  <si>
    <t>Change in Residual Value</t>
  </si>
  <si>
    <t>change in invested capital + change in residual value</t>
  </si>
  <si>
    <t>Change in Undrawn Capital Commitments</t>
  </si>
  <si>
    <t>Committed Capital from LPs</t>
  </si>
  <si>
    <t>Called Capital from LPs</t>
  </si>
  <si>
    <t>Distributions to LPs</t>
  </si>
  <si>
    <t>Distributions to GPs</t>
  </si>
  <si>
    <t>equal to residual value at end of period. also known as net asset value</t>
  </si>
  <si>
    <t>Paid in Capital (PIC)</t>
  </si>
  <si>
    <t>Residual Value to Paid in Capital (RVPI)</t>
  </si>
  <si>
    <t>Distributed Value to Paid in Capital (DVPI)</t>
  </si>
  <si>
    <t>Total Value to Paid in Capital (TVPI)</t>
  </si>
  <si>
    <t>Exposure, as % of Total Committed Capital</t>
  </si>
  <si>
    <t>idea from https://blog.newfundcap.com/vc-calculator/</t>
  </si>
  <si>
    <t>max</t>
  </si>
  <si>
    <t>Net (Investments) Proceeds</t>
  </si>
  <si>
    <t>realized only</t>
  </si>
  <si>
    <t>Net (Called Capital) Distributions</t>
  </si>
  <si>
    <t>Interim Net IRR</t>
  </si>
  <si>
    <t>will differ from net IRR simply because of difference in using XIRR and IRR and how they handle dates differently</t>
  </si>
  <si>
    <t>Gross MOIC (Multiple on invested capital)</t>
  </si>
  <si>
    <t>realized and unrealized, gross</t>
  </si>
  <si>
    <t>Net MOIC (Multiple on invested capital)</t>
  </si>
  <si>
    <t>realized and unrealized, net</t>
  </si>
  <si>
    <t>Deal-by-deal with clawback (American)</t>
  </si>
  <si>
    <t>Proceeds to Distribute</t>
  </si>
  <si>
    <t>proceeds less recycled capital less expenses not budgeted for</t>
  </si>
  <si>
    <t>Cost Basis of Capital Exited</t>
  </si>
  <si>
    <t>Estimates fees on top of invested capital to calculate cost basis. Used to build up the total capital exited, to use in calculating deal-by-deal carry and estimate clawbacks. Will be zero if using Total Fun (European) Waterfall.</t>
  </si>
  <si>
    <t>Return of Capital</t>
  </si>
  <si>
    <t>invested capital returned through distributions in this period</t>
  </si>
  <si>
    <t>Cumulative Return of Capital</t>
  </si>
  <si>
    <t>cumulative return of invested capital. This will calculate back to the total forecasted invested capital, not the amount invested to date</t>
  </si>
  <si>
    <t>Cumulative Capital not returned</t>
  </si>
  <si>
    <t>this will turn to 0 when all invested capital is returned to investor. Since this is based on total invested capital in the investment period - not the investment to date - this may turn zero when the fund has returned capital before it has all been called. Questions about this, just email help@foresight.is</t>
  </si>
  <si>
    <t>Proceeds applicable for Carry</t>
  </si>
  <si>
    <t>by default carry is paid once capital is returned. see model comparison for more detailed models with features for more complexity for these calcs</t>
  </si>
  <si>
    <t>proceeds applicable for carry * carry %.</t>
  </si>
  <si>
    <t>Detail for Charts</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</si>
  <si>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</si>
  <si>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</si>
  <si>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</si>
  <si>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</si>
  <si>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</si>
  <si>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</si>
  <si>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</si>
  <si>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</si>
  <si>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</si>
  <si>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</si>
  <si>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</si>
  <si>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</si>
  <si>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</si>
  <si>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</si>
  <si>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</si>
  <si>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</si>
  <si>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</si>
  <si>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</si>
  <si>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</si>
  <si>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</si>
  <si>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</si>
  <si>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</si>
  <si>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</si>
  <si>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</si>
  <si>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</si>
  <si>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</si>
  <si>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</si>
  <si>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</si>
  <si>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</si>
  <si>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</si>
  <si>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</si>
  <si>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</si>
  <si>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</si>
  <si>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</si>
  <si>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</si>
  <si>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</si>
  <si>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</si>
  <si>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</si>
  <si>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</si>
  <si>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</si>
  <si>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</si>
  <si>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</si>
  <si>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</si>
  <si>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</si>
  <si>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</si>
  <si>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</si>
  <si>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</si>
  <si>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</si>
  <si>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Venture Valuation Tool, by Foresight</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</si>
  <si>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</si>
  <si>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</si>
  <si>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</si>
  <si>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</si>
  <si>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</si>
  <si>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</si>
  <si>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</si>
  <si>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</si>
  <si>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</si>
  <si>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</si>
  <si>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</si>
  <si>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</si>
  <si>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</si>
  <si>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</si>
  <si>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Software</t>
  </si>
  <si>
    <t>Price</t>
  </si>
  <si>
    <t>Overall Portfolio Forecast</t>
  </si>
  <si>
    <t>Annual Portfolio Forecast</t>
  </si>
  <si>
    <t>Quarterly Portfolio Forecast</t>
  </si>
  <si>
    <t>Fund Performance Metrics</t>
  </si>
  <si>
    <t>Scenarios</t>
  </si>
  <si>
    <t>Financial Statements</t>
  </si>
  <si>
    <t>Track Actual Investments</t>
  </si>
  <si>
    <t>Budget v. Actuals, and rolling Forecast</t>
  </si>
  <si>
    <t>Multi-tiered Carried Interest</t>
  </si>
  <si>
    <t>Preferred Return (and GP Catchup)</t>
  </si>
  <si>
    <t>Rolling Funds</t>
  </si>
  <si>
    <t>Individual Investment Evaluation</t>
  </si>
  <si>
    <t>Venture Studios</t>
  </si>
  <si>
    <t>Management Company Budgeting</t>
  </si>
  <si>
    <t>Fund-of-Funds</t>
  </si>
  <si>
    <t>Venture Capital Model, Overall Portfolio, by Foresight</t>
  </si>
  <si>
    <t>https://foresight.is/venture-fund-model-overall/</t>
  </si>
  <si>
    <t>Google Sheets, download to Excel, Causal</t>
  </si>
  <si>
    <t>Free</t>
  </si>
  <si>
    <t>https://foresight.is/venture-fund-model-annual/</t>
  </si>
  <si>
    <t>Free, Suggested Donation</t>
  </si>
  <si>
    <t>Venture Capital Model, Quarterly Forecast, by Foresight</t>
  </si>
  <si>
    <t>https://foresight.is/venture-fund-model-quarterly/</t>
  </si>
  <si>
    <t>Venture Capital Model, Manual Investment Input, by Foresight</t>
  </si>
  <si>
    <t>https://foresight.is/venture-fund-model-portfolio/</t>
  </si>
  <si>
    <t>Google Sheets, download to Excel</t>
  </si>
  <si>
    <t>Venture Studio Model, Annual Forecast, by Foresight</t>
  </si>
  <si>
    <t>https://foresight.is/venture-studio-model</t>
  </si>
  <si>
    <t>Venture Capital Model, Average Cap Table</t>
  </si>
  <si>
    <t>https://foresight.is/venture-fund-model-detailed/</t>
  </si>
  <si>
    <t>$74 USD</t>
  </si>
  <si>
    <t>Venture Capital Model, by Foresight</t>
  </si>
  <si>
    <t>$349 USD</t>
  </si>
  <si>
    <t>Fund of Venture Funds</t>
  </si>
  <si>
    <t>https://foresight.is/fund-of-funds/</t>
  </si>
  <si>
    <t>Venture Capital Model, Rolling Funds, by Foresight</t>
  </si>
  <si>
    <t>https://foresight.is/rolling-fund-template/</t>
  </si>
  <si>
    <t>Excel, upload to Google Sheets</t>
  </si>
  <si>
    <t>https://foresight.is/venture-valuation-tool/</t>
  </si>
  <si>
    <t>Runway and Cash Budget Tool</t>
  </si>
  <si>
    <t>https://foresight.is/runway-cash-forecasting</t>
  </si>
  <si>
    <t>Custom Services</t>
  </si>
  <si>
    <t>Customization, edits to models, and custom services in Excel, Google Sheets, Causal</t>
  </si>
  <si>
    <t>Quote</t>
  </si>
  <si>
    <t>Key venture terms and metrics used in this model. For more, http://www.allenlatta.com/glossary-of-private-equity-terms.html is a good resource</t>
  </si>
  <si>
    <t>Term</t>
  </si>
  <si>
    <t>Definition</t>
  </si>
  <si>
    <t>Limited Partner</t>
  </si>
  <si>
    <t>Part-owner of a company whose liability for the firm's debts cannot exceed the amount that an individual invested in the company. In VC, the investors in the fund. https://www.investopedia.com/terms/l/limited-partner.asp</t>
  </si>
  <si>
    <t>General Partner</t>
  </si>
  <si>
    <t>A general partner is one of two or more investors who jointly own a business that is structured as a partnership, and who assumes a day-to-day role in managing it. In venture capital, often the management company or the owners and managers of the management company. https://www.investopedia.com/terms/g/generalpartner.asp</t>
  </si>
  <si>
    <t>Rolling Fund</t>
  </si>
  <si>
    <t>A newer fund structure created where each quarter is its own "fund" for reporting purposes, so that new limited partners can be accepted into the fund at every quarter. See https://www.angellist.com/blog/rolling-fund-budget for budgeting for rolling funds and more details on the structure</t>
  </si>
  <si>
    <t>Evergreen Fund</t>
  </si>
  <si>
    <t>Fund structure where proceeds are continually recycled, and typically limited partners can invest and divest regularly throughout the fund's life. (This model does not fit an evergreen structure.)</t>
  </si>
  <si>
    <t>Also known as total fund size. Total capital committed to the fund. May vary over a fund's lifetime if the fund is holding multiple closes.</t>
  </si>
  <si>
    <t>Capital called from limited partners. Used to pay fund expenses and invest in companies. Once all capital is called, total called capital will equal committed capital.</t>
  </si>
  <si>
    <t>GP Commit</t>
  </si>
  <si>
    <t>% of total called capital that is required to be contributed by the general partners of the fund. May be funded through management fees if limited partners allow in fund operating agreements.</t>
  </si>
  <si>
    <t>Expenses occured in creating a fund entity, which can often be charged to the fund (in addition to management fees)</t>
  </si>
  <si>
    <t>Expenses occured in operating a fund, which can often be charged to the fund (in addition to management fees). Can include fund administration, fund tax reporting, legal costs in working on investment opportunities, and more.</t>
  </si>
  <si>
    <t>Fees charged by the management company operating the fund to the fund. They are revenues to the management company, and used to pay expenses such as salaries, insurance, marketing, operating costs, and more.</t>
  </si>
  <si>
    <t>Management Fees Recycled</t>
  </si>
  <si>
    <t>Many funds will recycle their management fees, meaning they reinvest early proceeds back into new investments. The rationale is that it allows the management company to invest more capital from the same fund size and improve returns. Recycling all fees into new investments can be difficult to do, based on the timeframe for new investments and the timing of when proceeds happen. Budgeting a schedule of invested capital for management fee recycling can be difficult. Many funds will target higher recycling earlier (&gt;100%) knowing they will not be able to recycle all management fees into new investments later in period, or to be more aggressive in redeploying capital/.</t>
  </si>
  <si>
    <t>Proceeds received from the sale of investments. Proceeds may be distributed to investors in the fund, recycled into new investments, or retained to distribute at a later time. Thus, proceeds are calculated separately from distributions.</t>
  </si>
  <si>
    <t>Common in private equity, common in non-US venture capital, very rare in US venture capital. Also known as a hurdle rate, a rate of return promised to limited partners before carry is paid to general partners.</t>
  </si>
  <si>
    <t>Many funds that have a preferred return provide the ability to the General Partners to "catch-up" on the carry they would have earned on the preferred return that was first paid to limited partners.</t>
  </si>
  <si>
    <t>Also called "carry', the percentage of gains (proceeds less paid in capital) from investments that are paid to the managers of the fund.</t>
  </si>
  <si>
    <t>European Waterfall</t>
  </si>
  <si>
    <t>Also known as "total fund carry". Default assumption for US venture capital, and this model, which calculates carry on a total fund basis, so that carry is not paid until the entire fund earns a return</t>
  </si>
  <si>
    <t>American Waterfall</t>
  </si>
  <si>
    <t>Also known as "deal by deal carry". Rare in US venture capital, occurs in non-US venture capital, common in private equity. Carry is paid on a deal-by-deal basis, rather than a total fund. The effect is that carry is often paid earlier in a fund's lifecycle. Often comes with clawback provisions.</t>
  </si>
  <si>
    <t>Clawback</t>
  </si>
  <si>
    <t>Provisions in fund operating agreements for funds with American Waterfalls</t>
  </si>
  <si>
    <t>Distributions to investors in the fund. This is net of carried interest paid to the managers of the fund. Distributions = Proceeds less carried interest less recycled capital less retained proceeds, it captures the actual cash disbursed to investors in the fund.</t>
  </si>
  <si>
    <t>Investments that are written off from companies going out of business. Estimated using the portfolio construction sheet.</t>
  </si>
  <si>
    <t>simplified calc in this model. one way to do this is to take the gross IRR from exits to back into an estimate of markups and changes in valuations overtime, smoothing those unrealized gains over time. in reality, unrealized gains would be tied to changes in the value of the underlying investments and far spikier in terms of how much and when they occur. unrealized gains go down over time as they are realized, so unrealized gains over a fund's life should equal zero. this model uses the portfolio construction markups and exits to estimate the changes over time, so it attempts to more closely reflect the spikiness from the portfolio construction assumptions.</t>
  </si>
  <si>
    <t>equivalent to called capital</t>
  </si>
  <si>
    <t>Ratio of Residual Value to Paid in Capital.</t>
  </si>
  <si>
    <t>Ratio of cumulative distributions to paid in capital</t>
  </si>
  <si>
    <t>Ratio of (residual value remaining in portfolio + realized distributions) to paid in capital</t>
  </si>
  <si>
    <t>Gross cash flows per period, used to calculate gross IRRs</t>
  </si>
  <si>
    <t>Cumulative proceeds divided by cumulative invested capital, at the end of each period. Used to reflect the performance of the fund's investments.</t>
  </si>
  <si>
    <t>IRR (internal rate of return) of the investments and proceeds</t>
  </si>
  <si>
    <t>Net cash flows per period, used to calculate net IRRs</t>
  </si>
  <si>
    <t>Cumulative distributions divided by cumulative paid in capital, at the end of each period. Used to reflect the cash on cash performance of the fund, including the effect of the fund's expenses on returns.</t>
  </si>
  <si>
    <t>IRR (internatl rate of return) of paid in capital and distributions.</t>
  </si>
  <si>
    <t>Interim IRRs reflect a rate of return that includes the unrealized value of the existing investments in the portfolio. Good read:http://www.allenlatta.com/allens-blog/lp-corner-fund-performance-metrics-internal-rate-of-return-irr-part-two</t>
  </si>
  <si>
    <t>J Curve</t>
  </si>
  <si>
    <t>Created by charting Interim IRR over the fund's life. Venture capital funds typically show negative IRRs early inthe fund's life, as the residual value is less than the paid in capital (from taking out fees, and since investments often have not received markups), then increase over time as exits occur and the portfolio is marked up from investments increasing in value. http://www.allenlatta.com/allens-blog/lp-corner-the-j-curve</t>
  </si>
  <si>
    <t>Pro rata</t>
  </si>
  <si>
    <t>Potential investment amount in a new investment round offered to an pre-existing investor, often an amount that allows them to maintain their ownership position. Managers should have a strategy about how to handle pro rata investment opportunities, as well as a point of view on pro rata investment rights and their desire and ability to secure pro rata rights in investments.</t>
  </si>
  <si>
    <t>Here's what has changed.</t>
  </si>
  <si>
    <t>Version</t>
  </si>
  <si>
    <t>Date</t>
  </si>
  <si>
    <t>v4.3.2</t>
  </si>
  <si>
    <t>Edits to Forecast sheet to adjust method used for calculating management fees using called capital, removing the circular reference</t>
  </si>
  <si>
    <t>v4.3.1</t>
  </si>
  <si>
    <t>Edits to Forecast to add new options for make multiple capital calls easier - input for % of committed capital called per period - and new option to make creating a custom capital call schedule easier - an input for % of committed capital called per period - with accompanying edits to Committed Capital, Called Capital, and Proceeds to Distribute (in Waterfall) lines</t>
  </si>
  <si>
    <t>New version of the manual portfolio variant of the venture capital model (annual forecast). The input structure on the Portfolio sheet was simplified to make it easier for people to use for their specific portfolios. This does require more attention to the input of checks to get the total called capital equal to the committed capital, but overall if provides a clearer way to model the portfolio and retain the same structure and reporting as the other variants of this model.</t>
  </si>
  <si>
    <t>v4.3.0</t>
  </si>
  <si>
    <t>New recycling options rolled out in parallel with an edit to the investment deployment forecasting methodology. 
Instead of a percentage of management fees recycling option, the model now offers a new set of assumptions on `Get Started` to more closely align with the options typical in fund LPAs (limited partnership agreements). The new recycling subroutine calculations on the `Forecast` sheet detail the potential recycling per period with each option, and help users understand how different recycling options impact cash flows.
In addition, the structure for forecasting invested capital was changed to match up the timing of recycled capital with investments, which will make the cash deployment and budgeting clearer and easier. A new output on `Get Started` reports the Budgeted Invested Capital separate from the proceeds that are recycled into investments, and the Called Capital and New Investments lines on the `Forecast` sheet were edited to reflect a different approach to budgeting for investments.</t>
  </si>
  <si>
    <t>v4.2.1</t>
  </si>
  <si>
    <t>Adjusted methodology for estimating forecasted unrealized gains. I could write an essay on this, but in short, this is a best estimate using the gross IRR and accounting for value of invested capital and exits; please note this model does not have sufficient tracking of intermediate changes in value of the portfolio to actually calculate this accurately, so an estimate is a best it can do, and you may alter the logic behind this if you want to change the estimate. If you want a more specific method of doing this, that requires the more advanced portfolio construction method at https://foresight.is/venture-fund-model</t>
  </si>
  <si>
    <t>v4.2.0</t>
  </si>
  <si>
    <t>So, I always say circulars can be solved with algebra, and I've said that the algebra for calculating management fees using assets under management was too hard. Well, I solved it with a new methodology. On Forecast sheet there is a subcalculation routine that calculates assets under management as a % of invested capital given the capital deployment strategy and investment strategy (expectations of writeoffs and exits). Three primary changes: (a) modified the forecast of invested capital to allow the option to use circulars, now a checkbox on Forecast sheet, (b) removed the manual adjustment to the invested capital, and (c) new method used to forecast invested capital on Get Started. It's still doing the same thing (committed capital - expenses - management fees + recycled capital) but now it's using a lot more subcalculations for management fees to make it work. Now, you can select management fees to use committed capital at any point in the fund life, and the model will adjust, without requiring circulars. The option to use circulars is now just a backup.
Edited Proceeds, Writeoffs, and Invested Capital Exited to use the assumptions on Get Started a bit differently. No change in the results (except previously, I reported writeoffs as part of invested capital exited, now it is separated), but required to make the changes above.</t>
  </si>
  <si>
    <t>v4.1.9</t>
  </si>
  <si>
    <t>Edited Get Started and Forecast to make the model a bit smarter about handling expense overruns. Now the model will reduce distributions to handle any unbudgeted expenses, as well as call capital around recycling a bit differently. Changes to Called Capital per period, Management Fees Recycled per period, and Proceeds available for distribution (in the Waterfall) lines.
Created new input on Forecast to allow for a manual adjustment to invested capital; this gets added to Invested Capital on Get Started and added to the total budgeted invested capital. The intent is for this to only be used in cases where management fees are charged on assets under management or called capital; the previous change to remove the circular on charging fees based on assets under management results in called capital &lt; committed capital, this manual adjustment allows for a fund manager to increase their budget to get them to equal (previously the model would calculate it using circulars, but that can be problematic in some use cases as Excel/Google Sheets will struggle to find a consistent answer, removing the circular removes that spreadsheet program issue but introduces the tradeoff of making it harder for the model to create the capital call schedule, and this edit allows the fund manager to adjust the model to fix that. Basically, replacing a spreadsheet auto calc with a human adjustment to deal with the practical issue with circulars).</t>
  </si>
  <si>
    <t>v4.1.8</t>
  </si>
  <si>
    <t>Edited Get Started and Forecast to build new way to forecast operational expenses. Previously model assumed operational fees were not charged to the fund in the extension period, after the initial fund operations period, if the fund was not yet exited out of all investments. Now by default it does estimate that period and use that for budgeting for operational expenses.</t>
  </si>
  <si>
    <t>v4.1.7</t>
  </si>
  <si>
    <t>Edited Get Started to create new calculation of invested capital if using assets under management as the base for any period in calculating management fees. Previously the model relied on circular references to calculate fees and create a schedule of called capital, but that method sometimes failed to work reliably because of how iterative calculations work to resolve circulars (context on circulars, https://foresight.is/circulars ). Now, if the model observes any option other than committed capital used, it will alter the estimate of invested capital so that it does not create a circular. The trade-off is that the model will not result in called capital = committed capital if you are not recycling 100% of management fees, due to the difficulty in estimating the budget for management fees.</t>
  </si>
  <si>
    <t>v4.1.6</t>
  </si>
  <si>
    <t>Edited Forecast sheet, adding a toggle(checkbox in Google Sheets, TRUE/FALSE in Excel) to choose whether the GP commit into the LP capital in the fund is charged management fees. By default in previous model versions the GP commit incurred management fees, by default now it does not, but there is a checkbox to toggle the treatment. Added one new line, and edited Management Fees line.</t>
  </si>
  <si>
    <t>v4.1.5</t>
  </si>
  <si>
    <t>Edited Forecast sheet, calculation of RVPI, to estimate the value of carried interest. Previously RVPI was reported on a gross basis, while DPI was reported on a net basis, creating a TVPI that reflected a net DPI and gross RVPI, slightly overestimating TVPI because it did not estimate carried interest to net from the residual value. A small edit that removed the slight change in TVPI on the last period where RVPI goes to zero.</t>
  </si>
  <si>
    <t>v4.1.4</t>
  </si>
  <si>
    <r>
      <rPr>
        <sz val="10"/>
        <rFont val="Arial"/>
        <family val="2"/>
      </rPr>
      <t xml:space="preserve">Edited Get Started to eliminate the section on ownership percentages and valuations. (a) it was not used in the calculation of proceeds or any calculation in the modl, only for informational purposes, and (b) because of that it was commonly misunderstood by people. More complicated methods for calculating portfolio construction are in the paid venture models at </t>
    </r>
    <r>
      <rPr>
        <u/>
        <sz val="10"/>
        <color rgb="FF1155CC"/>
        <rFont val="Arial"/>
        <family val="2"/>
      </rPr>
      <t>https://foresight.is/vc</t>
    </r>
  </si>
  <si>
    <t>v4.1.3</t>
  </si>
  <si>
    <t>Edited Forecast, Distributions to GPs to include GP Catchup. Only impacts models with preferred returns and catchups, and only impacts the chart reporting relative distributions to GPs and LPs</t>
  </si>
  <si>
    <t>v4.1.2</t>
  </si>
  <si>
    <t>Edited Forecast sheet to add one more performance metric to the model
Edited logic behind the change in unrealized gains calculation on Forecast, based on conversation with a user. I think the numbers calculated previously were directionally correct, although the logic behind the formula didn't make sense. So, I revisted the logic and created a new formula that uses a different logic to calculate this estimate, by accounting for all capital to date. The end result isn't that different, but I do think the logic makes more sense.</t>
  </si>
  <si>
    <t>v4.1.1</t>
  </si>
  <si>
    <t>Edited the Interim IRR calculation for the first period in the model, so that it would capture the change in value during the first year and record a negative IRR. No change to any other calculations, no change in cash flows, just to change the reporting of the IRR in the first year</t>
  </si>
  <si>
    <t>v4.1.0</t>
  </si>
  <si>
    <r>
      <t xml:space="preserve">Fresh start on the Venture Investor Model. Clean new version of model, building in 80% of the features of the preexisting v4.0 beta and v3.15 (last stable previous version).
A number of features were not built into this model, primarily towards the goal of reducing overall complexity, and removing features not commonly used. Timescale reduced to annual, and is relative by default. Hooks structure removed, removed a number of options including American waterfall, rolling funds, tiered carry, recasting (a v3 version feature not brought into v4), and proceeds recycling (no longer separate from management fees recycling). Portfolio construction was massively redone; it follows the idea of the v4 beta, but implemented in a different way that should be much more clear and intuitive (i.e. less confusing). Management company budgeting and financial was removed; a better way to do it is by using the free </t>
    </r>
    <r>
      <rPr>
        <u/>
        <sz val="10"/>
        <color rgb="FF1155CC"/>
        <rFont val="Arial"/>
        <family val="2"/>
      </rPr>
      <t>Runway and Cash Budget Tool from Foresight</t>
    </r>
    <r>
      <rPr>
        <sz val="10"/>
        <color rgb="FF000000"/>
        <rFont val="Arial"/>
        <scheme val="minor"/>
      </rPr>
      <t>, as it's made for budgeting for companies; linking in management fees as a revenue item is easy to do, and it's a better base structure for modeling the management companies
Feature requests, feedback, bu</t>
    </r>
    <r>
      <rPr>
        <sz val="10"/>
        <color rgb="FF000000"/>
        <rFont val="Arial"/>
        <family val="2"/>
      </rPr>
      <t>gs,</t>
    </r>
    <r>
      <rPr>
        <sz val="10"/>
        <color rgb="FF000000"/>
        <rFont val="Arial"/>
        <scheme val="minor"/>
      </rPr>
      <t xml:space="preserve"> email 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</si>
</sst>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
    <numFmt numFmtId="165" formatCode="#,##0_);\(#,##0\);_(&quot;-&quot;_);_(@_)"/>
    <numFmt numFmtId="166" formatCode="#,##0.00_);\(#,##0.00\);_(&quot;-&quot;_);_(@_)"/>
    <numFmt numFmtId="167" formatCode="#,##0.00;\(#,##0.00\)"/>
    <numFmt numFmtId="168" formatCode="&quot;Year&quot;\ #,##0_);\(#,##0\);_(&quot;Year&quot;_);_(@_)"/>
    <numFmt numFmtId="169" formatCode="_(* #,##0_);_(* \(#,##0\);_(* &quot;-&quot;??_);_(@_)"/>
    <numFmt numFmtId="170" formatCode="_(* #,##0.00000_);_(* \(#,##0.00000\);_(* &quot;-&quot;??_);_(@_)"/>
    <numFmt numFmtId="171" formatCode="\Q0"/>
    <numFmt numFmtId="172" formatCode="&quot;Year&quot;\ #,##0_);\(#,##0\);_(&quot;-&quot;_);_(@_)"/>
    <numFmt numFmtId="173" formatCode="m/d/yyyy"/>
    <numFmt numFmtId="174" formatCode="&quot;$&quot;#,##0"/>
  </numFmts>
  <fonts count="37">
    <font>
      <sz val="10"/>
      <color rgb="FF000000"/>
      <name val="Arial"/>
      <scheme val="minor"/>
    </font>
    <font>
      <sz val="10"/>
      <color theme="1"/>
      <name val="Arial"/>
      <family val="2"/>
      <scheme val="minor"/>
    </font>
    <font>
      <b/>
      <sz val="14"/>
      <color theme="1"/>
      <name val="Arial"/>
      <family val="2"/>
      <scheme val="minor"/>
    </font>
    <font>
      <sz val="10"/>
      <color rgb="FF000000"/>
      <name val="Arial"/>
      <family val="2"/>
      <scheme val="minor"/>
    </font>
    <font>
      <b/>
      <sz val="10"/>
      <color theme="1"/>
      <name val="Arial"/>
      <family val="2"/>
      <scheme val="minor"/>
    </font>
    <font>
      <sz val="10"/>
      <color rgb="FF000000"/>
      <name val="Arial"/>
      <family val="2"/>
    </font>
    <font>
      <u/>
      <sz val="10"/>
      <color rgb="FF0000FF"/>
      <name val="Arial"/>
      <family val="2"/>
    </font>
    <font>
      <b/>
      <sz val="12"/>
      <color theme="1"/>
      <name val="Arial"/>
      <family val="2"/>
      <scheme val="minor"/>
    </font>
    <font>
      <u/>
      <sz val="10"/>
      <color rgb="FF0000FF"/>
      <name val="Arial"/>
      <family val="2"/>
    </font>
    <font>
      <i/>
      <sz val="10"/>
      <color rgb="FF000000"/>
      <name val="&quot;Avenir Book&quot;"/>
    </font>
    <font>
      <u/>
      <sz val="10"/>
      <color rgb="FF1155CC"/>
      <name val="Arial"/>
      <family val="2"/>
    </font>
    <font>
      <sz val="10"/>
      <color rgb="FF000000"/>
      <name val="&quot;Avenir Book&quot;"/>
    </font>
    <font>
      <sz val="10"/>
      <color rgb="FF666666"/>
      <name val="Arial"/>
      <family val="2"/>
      <scheme val="minor"/>
    </font>
    <font>
      <b/>
      <i/>
      <sz val="12"/>
      <color theme="1"/>
      <name val="Arial"/>
      <family val="2"/>
      <scheme val="minor"/>
    </font>
    <font>
      <sz val="10"/>
      <color rgb="FF0000FF"/>
      <name val="Arial"/>
      <family val="2"/>
      <scheme val="minor"/>
    </font>
    <font>
      <sz val="10"/>
      <color theme="1"/>
      <name val="Arial"/>
      <family val="2"/>
    </font>
    <font>
      <sz val="10"/>
      <color rgb="FFFFFFFF"/>
      <name val="Arial"/>
      <family val="2"/>
      <scheme val="minor"/>
    </font>
    <font>
      <sz val="10"/>
      <color rgb="FF666666"/>
      <name val="Arial"/>
      <family val="2"/>
    </font>
    <font>
      <sz val="8"/>
      <color theme="1"/>
      <name val="Arial"/>
      <family val="2"/>
      <scheme val="minor"/>
    </font>
    <font>
      <sz val="10"/>
      <color rgb="FF0000FF"/>
      <name val="Arial"/>
      <family val="2"/>
    </font>
    <font>
      <i/>
      <sz val="10"/>
      <color theme="1"/>
      <name val="Arial"/>
      <family val="2"/>
      <scheme val="minor"/>
    </font>
    <font>
      <u/>
      <sz val="10"/>
      <color rgb="FF0000FF"/>
      <name val="Arial"/>
      <family val="2"/>
    </font>
    <font>
      <b/>
      <sz val="10"/>
      <color theme="1"/>
      <name val="Arial"/>
      <family val="2"/>
    </font>
    <font>
      <b/>
      <sz val="14"/>
      <color theme="1"/>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0000FF"/>
      <name val="Arial"/>
      <family val="2"/>
    </font>
    <font>
      <sz val="10"/>
      <color rgb="FF0000FF"/>
      <name val="Arial"/>
      <family val="2"/>
    </font>
    <font>
      <sz val="10"/>
      <name val="Arial"/>
      <family val="2"/>
    </font>
  </fonts>
  <fills count="5">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F2F2F2"/>
        <bgColor rgb="FFF2F2F2"/>
      </patternFill>
    </fill>
  </fills>
  <borders count="5">
    <border>
      <left/>
      <right/>
      <top/>
      <bottom/>
      <diagonal/>
    </border>
    <border>
      <left/>
      <right/>
      <top/>
      <bottom style="thin">
        <color rgb="FF000000"/>
      </bottom>
      <diagonal/>
    </border>
    <border>
      <left/>
      <right/>
      <top style="thin">
        <color rgb="FF000000"/>
      </top>
      <bottom/>
      <diagonal/>
    </border>
    <border>
      <left/>
      <right/>
      <top/>
      <bottom/>
      <diagonal/>
    </border>
    <border>
      <left/>
      <right/>
      <top/>
      <bottom/>
      <diagonal/>
    </border>
  </borders>
  <cellStyleXfs count="1">
    <xf numFmtId="0" fontId="0" fillId="0" borderId="0"/>
  </cellStyleXfs>
  <cellXfs count="122">
    <xf numFmtId="0" fontId="0" fillId="0" borderId="0" xfId="0"/>
    <xf numFmtId="0" fontId="1" fillId="0" borderId="0" xfId="0" applyFont="1" applyAlignment="1">
      <alignment horizontal="right"/>
    </xf>
    <xf numFmtId="0" fontId="2" fillId="0" borderId="0" xfId="0" applyFont="1"/>
    <xf numFmtId="0" fontId="3" fillId="0" borderId="0" xfId="0" applyFont="1"/>
    <xf numFmtId="0" fontId="4" fillId="0" borderId="0" xfId="0" applyFont="1" applyAlignment="1">
      <alignment vertical="top" wrapText="1"/>
    </xf>
    <xf numFmtId="0" fontId="3" fillId="0" borderId="0" xfId="0" applyFont="1" applyAlignment="1">
      <alignment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0" borderId="0" xfId="0" applyFont="1" applyAlignment="1">
      <alignment vertical="top"/>
    </xf>
    <xf numFmtId="0" fontId="3" fillId="0" borderId="0" xfId="0" applyFont="1" applyAlignment="1">
      <alignment vertical="top" wrapText="1"/>
    </xf>
    <xf numFmtId="0" fontId="1" fillId="0" borderId="0" xfId="0" applyFont="1" applyAlignment="1">
      <alignment vertical="top" wrapText="1"/>
    </xf>
    <xf numFmtId="0" fontId="8" fillId="0" borderId="0" xfId="0" applyFont="1" applyAlignment="1">
      <alignment vertical="top" wrapText="1"/>
    </xf>
    <xf numFmtId="0" fontId="1" fillId="0" borderId="0" xfId="0" applyFont="1"/>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0" xfId="0" applyFont="1" applyAlignment="1">
      <alignment horizontal="center"/>
    </xf>
    <xf numFmtId="0" fontId="12" fillId="0" borderId="0" xfId="0" applyFont="1"/>
    <xf numFmtId="0" fontId="13" fillId="0" borderId="0" xfId="0" applyFont="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right"/>
    </xf>
    <xf numFmtId="0" fontId="1" fillId="0" borderId="1" xfId="0" applyFont="1" applyBorder="1" applyAlignment="1">
      <alignment horizontal="left"/>
    </xf>
    <xf numFmtId="164" fontId="14" fillId="2" borderId="0" xfId="0" applyNumberFormat="1" applyFont="1" applyFill="1" applyAlignment="1">
      <alignment horizontal="center"/>
    </xf>
    <xf numFmtId="165" fontId="14" fillId="0" borderId="0" xfId="0" applyNumberFormat="1" applyFont="1"/>
    <xf numFmtId="165" fontId="14" fillId="2" borderId="0" xfId="0" applyNumberFormat="1" applyFont="1" applyFill="1"/>
    <xf numFmtId="165" fontId="1" fillId="0" borderId="0" xfId="0" applyNumberFormat="1" applyFont="1"/>
    <xf numFmtId="10" fontId="14" fillId="0" borderId="0" xfId="0" applyNumberFormat="1" applyFont="1"/>
    <xf numFmtId="10" fontId="14" fillId="2" borderId="0" xfId="0" applyNumberFormat="1" applyFont="1" applyFill="1"/>
    <xf numFmtId="164" fontId="1" fillId="0" borderId="0" xfId="0" applyNumberFormat="1" applyFont="1" applyAlignment="1">
      <alignment horizontal="center"/>
    </xf>
    <xf numFmtId="164" fontId="14" fillId="0" borderId="0" xfId="0" applyNumberFormat="1" applyFont="1"/>
    <xf numFmtId="164" fontId="14" fillId="2" borderId="0" xfId="0" applyNumberFormat="1" applyFont="1" applyFill="1"/>
    <xf numFmtId="164" fontId="1" fillId="0" borderId="0" xfId="0" applyNumberFormat="1" applyFont="1"/>
    <xf numFmtId="0" fontId="15" fillId="0" borderId="0" xfId="0" applyFont="1"/>
    <xf numFmtId="165" fontId="15" fillId="0" borderId="0" xfId="0" applyNumberFormat="1" applyFont="1" applyAlignment="1">
      <alignment horizontal="right"/>
    </xf>
    <xf numFmtId="164" fontId="1" fillId="0" borderId="0" xfId="0" applyNumberFormat="1" applyFont="1" applyAlignment="1">
      <alignment horizontal="right"/>
    </xf>
    <xf numFmtId="164" fontId="1" fillId="0" borderId="1" xfId="0" applyNumberFormat="1" applyFont="1" applyBorder="1" applyAlignment="1">
      <alignment horizontal="right"/>
    </xf>
    <xf numFmtId="9" fontId="14" fillId="0" borderId="0" xfId="0" applyNumberFormat="1" applyFont="1"/>
    <xf numFmtId="9" fontId="1" fillId="0" borderId="0" xfId="0" applyNumberFormat="1" applyFont="1"/>
    <xf numFmtId="1" fontId="1" fillId="0" borderId="0" xfId="0" applyNumberFormat="1" applyFont="1"/>
    <xf numFmtId="164" fontId="14" fillId="2" borderId="0" xfId="0" applyNumberFormat="1" applyFont="1" applyFill="1" applyAlignment="1">
      <alignment horizontal="left"/>
    </xf>
    <xf numFmtId="166" fontId="15" fillId="0" borderId="0" xfId="0" applyNumberFormat="1" applyFont="1" applyAlignment="1">
      <alignment horizontal="right"/>
    </xf>
    <xf numFmtId="167" fontId="1" fillId="0" borderId="0" xfId="0" applyNumberFormat="1" applyFont="1"/>
    <xf numFmtId="167" fontId="14" fillId="2" borderId="0" xfId="0" applyNumberFormat="1" applyFont="1" applyFill="1"/>
    <xf numFmtId="0" fontId="16" fillId="3" borderId="0" xfId="0" applyFont="1" applyFill="1"/>
    <xf numFmtId="9" fontId="1" fillId="0" borderId="2" xfId="0" applyNumberFormat="1" applyFont="1" applyBorder="1"/>
    <xf numFmtId="165" fontId="15" fillId="0" borderId="2" xfId="0" applyNumberFormat="1" applyFont="1" applyBorder="1" applyAlignment="1">
      <alignment horizontal="right"/>
    </xf>
    <xf numFmtId="166" fontId="15" fillId="0" borderId="2" xfId="0" applyNumberFormat="1" applyFont="1" applyBorder="1" applyAlignment="1">
      <alignment horizontal="right"/>
    </xf>
    <xf numFmtId="0" fontId="1" fillId="0" borderId="2" xfId="0" applyFont="1" applyBorder="1"/>
    <xf numFmtId="2" fontId="15" fillId="0" borderId="0" xfId="0" applyNumberFormat="1" applyFont="1" applyAlignment="1">
      <alignment horizontal="right"/>
    </xf>
    <xf numFmtId="10" fontId="15" fillId="0" borderId="0" xfId="0" applyNumberFormat="1" applyFont="1" applyAlignment="1">
      <alignment horizontal="right"/>
    </xf>
    <xf numFmtId="0" fontId="15" fillId="0" borderId="0" xfId="0" applyFont="1" applyAlignment="1">
      <alignment horizontal="center"/>
    </xf>
    <xf numFmtId="0" fontId="17" fillId="0" borderId="0" xfId="0" applyFont="1"/>
    <xf numFmtId="43" fontId="15" fillId="0" borderId="0" xfId="0" applyNumberFormat="1" applyFont="1"/>
    <xf numFmtId="0" fontId="1" fillId="0" borderId="0" xfId="0" applyFont="1" applyAlignment="1">
      <alignment wrapText="1"/>
    </xf>
    <xf numFmtId="0" fontId="1" fillId="0" borderId="1" xfId="0" applyFont="1" applyBorder="1" applyAlignment="1">
      <alignment horizontal="center" wrapText="1"/>
    </xf>
    <xf numFmtId="0" fontId="1" fillId="0" borderId="1" xfId="0" applyFont="1" applyBorder="1" applyAlignment="1">
      <alignment wrapText="1"/>
    </xf>
    <xf numFmtId="168" fontId="1" fillId="0" borderId="1" xfId="0" applyNumberFormat="1" applyFont="1" applyBorder="1"/>
    <xf numFmtId="43" fontId="15" fillId="0" borderId="1" xfId="0" applyNumberFormat="1" applyFont="1" applyBorder="1" applyAlignment="1">
      <alignment horizontal="center" wrapText="1"/>
    </xf>
    <xf numFmtId="43" fontId="15" fillId="0" borderId="0" xfId="0" applyNumberFormat="1" applyFont="1" applyAlignment="1">
      <alignment horizontal="center" wrapText="1"/>
    </xf>
    <xf numFmtId="0" fontId="18" fillId="0" borderId="0" xfId="0" applyFont="1" applyAlignment="1">
      <alignment vertical="top"/>
    </xf>
    <xf numFmtId="169" fontId="19" fillId="4" borderId="3" xfId="0" applyNumberFormat="1" applyFont="1" applyFill="1" applyBorder="1"/>
    <xf numFmtId="170" fontId="19" fillId="4" borderId="3" xfId="0" applyNumberFormat="1" applyFont="1" applyFill="1" applyBorder="1"/>
    <xf numFmtId="169" fontId="15" fillId="4" borderId="3" xfId="0" applyNumberFormat="1" applyFont="1" applyFill="1" applyBorder="1"/>
    <xf numFmtId="9" fontId="15" fillId="4" borderId="3" xfId="0" applyNumberFormat="1" applyFont="1" applyFill="1" applyBorder="1"/>
    <xf numFmtId="169" fontId="14" fillId="2" borderId="0" xfId="0" applyNumberFormat="1" applyFont="1" applyFill="1"/>
    <xf numFmtId="0" fontId="4" fillId="0" borderId="0" xfId="0" applyFont="1"/>
    <xf numFmtId="171" fontId="1" fillId="0" borderId="1" xfId="0" applyNumberFormat="1" applyFont="1" applyBorder="1" applyAlignment="1">
      <alignment horizontal="left"/>
    </xf>
    <xf numFmtId="171" fontId="1" fillId="0" borderId="1" xfId="0" applyNumberFormat="1" applyFont="1" applyBorder="1" applyAlignment="1">
      <alignment horizontal="right"/>
    </xf>
    <xf numFmtId="171" fontId="1" fillId="0" borderId="1" xfId="0" applyNumberFormat="1" applyFont="1" applyBorder="1"/>
    <xf numFmtId="172" fontId="1" fillId="0" borderId="1" xfId="0" applyNumberFormat="1" applyFont="1" applyBorder="1"/>
    <xf numFmtId="171" fontId="1" fillId="0" borderId="0" xfId="0" applyNumberFormat="1" applyFont="1"/>
    <xf numFmtId="173" fontId="14" fillId="2" borderId="0" xfId="0" applyNumberFormat="1" applyFont="1" applyFill="1"/>
    <xf numFmtId="14" fontId="1" fillId="0" borderId="0" xfId="0" applyNumberFormat="1" applyFont="1"/>
    <xf numFmtId="0" fontId="20" fillId="0" borderId="0" xfId="0" applyFont="1"/>
    <xf numFmtId="0" fontId="21" fillId="0" borderId="0" xfId="0" applyFont="1"/>
    <xf numFmtId="165" fontId="15" fillId="0" borderId="0" xfId="0" applyNumberFormat="1" applyFont="1"/>
    <xf numFmtId="165" fontId="19" fillId="2" borderId="0" xfId="0" applyNumberFormat="1" applyFont="1" applyFill="1" applyAlignment="1">
      <alignment horizontal="right"/>
    </xf>
    <xf numFmtId="10" fontId="1" fillId="0" borderId="0" xfId="0" applyNumberFormat="1" applyFont="1"/>
    <xf numFmtId="0" fontId="14" fillId="2" borderId="0" xfId="0" applyFont="1" applyFill="1" applyAlignment="1">
      <alignment horizontal="right"/>
    </xf>
    <xf numFmtId="10" fontId="15" fillId="0" borderId="0" xfId="0" applyNumberFormat="1" applyFont="1"/>
    <xf numFmtId="9" fontId="19" fillId="2" borderId="0" xfId="0" applyNumberFormat="1" applyFont="1" applyFill="1" applyAlignment="1">
      <alignment horizontal="right"/>
    </xf>
    <xf numFmtId="165" fontId="1" fillId="0" borderId="2" xfId="0" applyNumberFormat="1" applyFont="1" applyBorder="1"/>
    <xf numFmtId="166" fontId="1" fillId="0" borderId="0" xfId="0" applyNumberFormat="1" applyFont="1"/>
    <xf numFmtId="165" fontId="16" fillId="0" borderId="0" xfId="0" applyNumberFormat="1" applyFont="1"/>
    <xf numFmtId="10" fontId="1" fillId="0" borderId="0" xfId="0" applyNumberFormat="1" applyFont="1" applyAlignment="1">
      <alignment horizontal="right"/>
    </xf>
    <xf numFmtId="172" fontId="1" fillId="0" borderId="0" xfId="0" applyNumberFormat="1" applyFont="1"/>
    <xf numFmtId="0" fontId="22" fillId="0" borderId="0" xfId="0" applyFont="1"/>
    <xf numFmtId="0" fontId="19" fillId="2" borderId="0" xfId="0" applyFont="1" applyFill="1"/>
    <xf numFmtId="0" fontId="23" fillId="0" borderId="0" xfId="0" applyFont="1"/>
    <xf numFmtId="0" fontId="17" fillId="0" borderId="4" xfId="0" applyFont="1" applyBorder="1"/>
    <xf numFmtId="0" fontId="15" fillId="0" borderId="4" xfId="0" applyFont="1" applyBorder="1"/>
    <xf numFmtId="0" fontId="15" fillId="0" borderId="1" xfId="0" applyFont="1" applyBorder="1"/>
    <xf numFmtId="0" fontId="15" fillId="2" borderId="0" xfId="0" applyFont="1" applyFill="1" applyAlignment="1">
      <alignment vertical="top" wrapText="1"/>
    </xf>
    <xf numFmtId="0" fontId="24" fillId="2" borderId="0" xfId="0" applyFont="1" applyFill="1" applyAlignment="1">
      <alignment vertical="top"/>
    </xf>
    <xf numFmtId="0" fontId="15" fillId="3" borderId="0" xfId="0" applyFont="1" applyFill="1" applyAlignment="1">
      <alignment vertical="top" wrapText="1"/>
    </xf>
    <xf numFmtId="0" fontId="25" fillId="3" borderId="0" xfId="0" applyFont="1" applyFill="1" applyAlignment="1">
      <alignment vertical="top"/>
    </xf>
    <xf numFmtId="0" fontId="26" fillId="2" borderId="4" xfId="0" applyFont="1" applyFill="1" applyBorder="1" applyAlignment="1">
      <alignment vertical="top"/>
    </xf>
    <xf numFmtId="0" fontId="27" fillId="3" borderId="4" xfId="0" applyFont="1" applyFill="1" applyBorder="1" applyAlignment="1">
      <alignment vertical="top"/>
    </xf>
    <xf numFmtId="0" fontId="15" fillId="2" borderId="0" xfId="0" applyFont="1" applyFill="1" applyAlignment="1">
      <alignment vertical="top"/>
    </xf>
    <xf numFmtId="0" fontId="28" fillId="2" borderId="0" xfId="0" applyFont="1" applyFill="1" applyAlignment="1">
      <alignment vertical="top"/>
    </xf>
    <xf numFmtId="0" fontId="29" fillId="3" borderId="0" xfId="0" applyFont="1" applyFill="1" applyAlignment="1">
      <alignment vertical="top"/>
    </xf>
    <xf numFmtId="0" fontId="15" fillId="0" borderId="1" xfId="0" applyFont="1" applyBorder="1" applyAlignment="1">
      <alignment wrapText="1"/>
    </xf>
    <xf numFmtId="0" fontId="15" fillId="0" borderId="1" xfId="0" applyFont="1" applyBorder="1" applyAlignment="1">
      <alignment horizontal="center" wrapText="1"/>
    </xf>
    <xf numFmtId="0" fontId="15" fillId="0" borderId="0" xfId="0" applyFont="1" applyAlignment="1">
      <alignment vertical="top"/>
    </xf>
    <xf numFmtId="0" fontId="30" fillId="3" borderId="0" xfId="0" applyFont="1" applyFill="1" applyAlignment="1">
      <alignment vertical="top"/>
    </xf>
    <xf numFmtId="0" fontId="31" fillId="2" borderId="0" xfId="0" applyFont="1" applyFill="1" applyAlignment="1">
      <alignment vertical="top"/>
    </xf>
    <xf numFmtId="174" fontId="15" fillId="2" borderId="0" xfId="0" applyNumberFormat="1" applyFont="1" applyFill="1" applyAlignment="1">
      <alignment vertical="top" wrapText="1"/>
    </xf>
    <xf numFmtId="174" fontId="15" fillId="3" borderId="0" xfId="0" applyNumberFormat="1" applyFont="1" applyFill="1" applyAlignment="1">
      <alignment vertical="top" wrapText="1"/>
    </xf>
    <xf numFmtId="0" fontId="32" fillId="3" borderId="0" xfId="0" applyFont="1" applyFill="1" applyAlignment="1">
      <alignment vertical="top"/>
    </xf>
    <xf numFmtId="0" fontId="33" fillId="2" borderId="0" xfId="0" applyFont="1" applyFill="1" applyAlignment="1">
      <alignment vertical="top"/>
    </xf>
    <xf numFmtId="0" fontId="15" fillId="0" borderId="0" xfId="0" applyFont="1" applyAlignment="1">
      <alignment vertical="top" wrapText="1"/>
    </xf>
    <xf numFmtId="0" fontId="1" fillId="0" borderId="0" xfId="0" applyFont="1" applyAlignment="1">
      <alignment horizontal="left"/>
    </xf>
    <xf numFmtId="0" fontId="1" fillId="0" borderId="0" xfId="0" applyFont="1" applyAlignment="1">
      <alignment horizontal="left" vertical="top" wrapText="1"/>
    </xf>
    <xf numFmtId="173" fontId="15" fillId="0" borderId="0" xfId="0" applyNumberFormat="1" applyFont="1" applyAlignment="1">
      <alignment horizontal="left" vertical="top" wrapText="1"/>
    </xf>
    <xf numFmtId="0" fontId="34" fillId="0" borderId="0" xfId="0" applyFont="1" applyAlignment="1">
      <alignment vertical="top" wrapText="1"/>
    </xf>
    <xf numFmtId="173" fontId="1" fillId="0" borderId="0" xfId="0" applyNumberFormat="1" applyFont="1" applyAlignment="1">
      <alignment horizontal="left" vertical="top" wrapText="1"/>
    </xf>
    <xf numFmtId="0" fontId="35" fillId="0" borderId="0" xfId="0" applyFont="1" applyAlignment="1">
      <alignment vertical="top" wrapText="1"/>
    </xf>
    <xf numFmtId="0" fontId="15" fillId="3" borderId="0" xfId="0" applyFont="1" applyFill="1" applyAlignment="1">
      <alignment horizontal="center"/>
      <extLst>
        <ext xmlns:xfpb="http://schemas.microsoft.com/office/spreadsheetml/2022/featurepropertybag" uri="{C7286773-470A-42A8-94C5-96B5CB345126}">
          <xfpb:xfComplement i="0"/>
        </ext>
      </extLst>
    </xf>
    <xf numFmtId="0" fontId="15" fillId="2" borderId="0" xfId="0" applyFont="1" applyFill="1" applyAlignment="1">
      <alignment horizontal="center"/>
      <extLst>
        <ext xmlns:xfpb="http://schemas.microsoft.com/office/spreadsheetml/2022/featurepropertybag" uri="{C7286773-470A-42A8-94C5-96B5CB345126}">
          <xfpb:xfComplement i="0"/>
        </ext>
      </extLst>
    </xf>
    <xf numFmtId="165" fontId="15" fillId="0" borderId="0" xfId="0" applyNumberFormat="1" applyFont="1">
      <extLst>
        <ext xmlns:xfpb="http://schemas.microsoft.com/office/spreadsheetml/2022/featurepropertybag" uri="{C7286773-470A-42A8-94C5-96B5CB345126}">
          <xfpb:xfComplement i="0"/>
        </ext>
      </extLst>
    </xf>
  </cellXfs>
  <cellStyles count="1">
    <cellStyle name="Normal" xfId="0" builtinId="0"/>
  </cellStyles>
  <dxfs count="31">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extLst>
        <ext xmlns:xfpb="http://schemas.microsoft.com/office/spreadsheetml/2022/featurepropertybag" uri="{0417FA29-78FA-4A13-93AC-8FF0FAFDF519}">
          <xfpb:DXFComplement i="0"/>
        </ext>
      </extLst>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DF2F0"/>
          <bgColor rgb="FFDDF2F0"/>
        </patternFill>
      </fill>
    </dxf>
    <dxf>
      <fill>
        <patternFill patternType="solid">
          <fgColor rgb="FFFFFFFF"/>
          <bgColor rgb="FFFFFFFF"/>
        </patternFill>
      </fill>
    </dxf>
    <dxf>
      <fill>
        <patternFill patternType="solid">
          <fgColor rgb="FFDDF2F0"/>
          <bgColor rgb="FFDDF2F0"/>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6">
    <tableStyle name="README-style" pivot="0" count="3" xr9:uid="{00000000-0011-0000-FFFF-FFFF00000000}">
      <tableStyleElement type="headerRow" dxfId="30"/>
      <tableStyleElement type="firstRowStripe" dxfId="29"/>
      <tableStyleElement type="secondRowStripe" dxfId="28"/>
    </tableStyle>
    <tableStyle name="README-style 2" pivot="0" count="3" xr9:uid="{00000000-0011-0000-FFFF-FFFF01000000}">
      <tableStyleElement type="headerRow" dxfId="27"/>
      <tableStyleElement type="firstRowStripe" dxfId="26"/>
      <tableStyleElement type="secondRowStripe" dxfId="25"/>
    </tableStyle>
    <tableStyle name="Resources-style" pivot="0" count="3" xr9:uid="{00000000-0011-0000-FFFF-FFFF02000000}">
      <tableStyleElement type="headerRow" dxfId="24"/>
      <tableStyleElement type="firstRowStripe" dxfId="23"/>
      <tableStyleElement type="secondRowStripe" dxfId="22"/>
    </tableStyle>
    <tableStyle name="Model Comparison-style" pivot="0" count="3" xr9:uid="{00000000-0011-0000-FFFF-FFFF03000000}">
      <tableStyleElement type="headerRow" dxfId="21"/>
      <tableStyleElement type="firstRowStripe" dxfId="20"/>
      <tableStyleElement type="secondRowStripe" dxfId="19"/>
    </tableStyle>
    <tableStyle name="Glossary-style" pivot="0" count="3" xr9:uid="{00000000-0011-0000-FFFF-FFFF04000000}">
      <tableStyleElement type="headerRow" dxfId="18"/>
      <tableStyleElement type="firstRowStripe" dxfId="17"/>
      <tableStyleElement type="secondRowStripe" dxfId="16"/>
    </tableStyle>
    <tableStyle name="Changelog-style" pivot="0" count="2" xr9:uid="{00000000-0011-0000-FFFF-FFFF05000000}">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Interim IRR</a:t>
            </a:r>
          </a:p>
        </c:rich>
      </c:tx>
      <c:overlay val="0"/>
    </c:title>
    <c:autoTitleDeleted val="0"/>
    <c:plotArea>
      <c:layout/>
      <c:lineChart>
        <c:grouping val="standard"/>
        <c:varyColors val="0"/>
        <c:ser>
          <c:idx val="0"/>
          <c:order val="0"/>
          <c:spPr>
            <a:ln cmpd="sng">
              <a:solidFill>
                <a:srgbClr val="4285F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Forecast!$G$103:$Z$103</c:f>
              <c:numCache>
                <c:formatCode>0.00%</c:formatCode>
                <c:ptCount val="20"/>
                <c:pt idx="0">
                  <c:v>0</c:v>
                </c:pt>
                <c:pt idx="1">
                  <c:v>-0.15715088089315798</c:v>
                </c:pt>
                <c:pt idx="2">
                  <c:v>-9.6979353764910403E-2</c:v>
                </c:pt>
                <c:pt idx="3">
                  <c:v>0.57162677122548544</c:v>
                </c:pt>
                <c:pt idx="4">
                  <c:v>0.52176553566862705</c:v>
                </c:pt>
                <c:pt idx="5">
                  <c:v>0.46769880626341132</c:v>
                </c:pt>
                <c:pt idx="6">
                  <c:v>0.46875172954435884</c:v>
                </c:pt>
                <c:pt idx="7">
                  <c:v>0.48370699880043877</c:v>
                </c:pt>
                <c:pt idx="8">
                  <c:v>0.4826709248015475</c:v>
                </c:pt>
                <c:pt idx="9">
                  <c:v>0.50523224503967912</c:v>
                </c:pt>
                <c:pt idx="10">
                  <c:v>0.50523224503967912</c:v>
                </c:pt>
                <c:pt idx="11">
                  <c:v>0.50523224503967912</c:v>
                </c:pt>
                <c:pt idx="12">
                  <c:v>0.50523224503967912</c:v>
                </c:pt>
                <c:pt idx="13">
                  <c:v>0.50523224503967912</c:v>
                </c:pt>
                <c:pt idx="14">
                  <c:v>0.50523224503967912</c:v>
                </c:pt>
                <c:pt idx="15">
                  <c:v>0.50523224503967912</c:v>
                </c:pt>
                <c:pt idx="16">
                  <c:v>0.50523224503967912</c:v>
                </c:pt>
                <c:pt idx="17">
                  <c:v>0.50523224503967912</c:v>
                </c:pt>
                <c:pt idx="18">
                  <c:v>0.50523224503967912</c:v>
                </c:pt>
                <c:pt idx="19">
                  <c:v>0.50523224503967912</c:v>
                </c:pt>
              </c:numCache>
            </c:numRef>
          </c:val>
          <c:smooth val="0"/>
          <c:extLst>
            <c:ext xmlns:c16="http://schemas.microsoft.com/office/drawing/2014/chart" uri="{C3380CC4-5D6E-409C-BE32-E72D297353CC}">
              <c16:uniqueId val="{00000000-F790-5C4A-8055-FBC8FFA1EA28}"/>
            </c:ext>
          </c:extLst>
        </c:ser>
        <c:dLbls>
          <c:showLegendKey val="0"/>
          <c:showVal val="0"/>
          <c:showCatName val="0"/>
          <c:showSerName val="0"/>
          <c:showPercent val="0"/>
          <c:showBubbleSize val="0"/>
        </c:dLbls>
        <c:smooth val="0"/>
        <c:axId val="1285443123"/>
        <c:axId val="1091308291"/>
      </c:lineChart>
      <c:catAx>
        <c:axId val="1285443123"/>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1091308291"/>
        <c:crosses val="autoZero"/>
        <c:auto val="1"/>
        <c:lblAlgn val="ctr"/>
        <c:lblOffset val="100"/>
        <c:noMultiLvlLbl val="1"/>
      </c:catAx>
      <c:valAx>
        <c:axId val="109130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28544312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Performance Ratios</a:t>
            </a:r>
          </a:p>
        </c:rich>
      </c:tx>
      <c:overlay val="0"/>
    </c:title>
    <c:autoTitleDeleted val="0"/>
    <c:plotArea>
      <c:layout/>
      <c:lineChart>
        <c:grouping val="standard"/>
        <c:varyColors val="1"/>
        <c:ser>
          <c:idx val="0"/>
          <c:order val="0"/>
          <c:tx>
            <c:strRef>
              <c:f>Forecast!$F$89</c:f>
              <c:strCache>
                <c:ptCount val="1"/>
                <c:pt idx="0">
                  <c:v> Paid in Capital (PIC) </c:v>
                </c:pt>
              </c:strCache>
            </c:strRef>
          </c:tx>
          <c:spPr>
            <a:ln cmpd="sng">
              <a:solidFill>
                <a:srgbClr val="4285F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Forecast!$G$89:$Z$89</c:f>
              <c:numCache>
                <c:formatCode>#,##0.00_);\(#,##0.00\);_("-"_);_(@_)</c:formatCode>
                <c:ptCount val="20"/>
                <c:pt idx="0">
                  <c:v>0.2266</c:v>
                </c:pt>
                <c:pt idx="1">
                  <c:v>0.44919999999999999</c:v>
                </c:pt>
                <c:pt idx="2">
                  <c:v>0.67179999999999995</c:v>
                </c:pt>
                <c:pt idx="3">
                  <c:v>0.86439999999999995</c:v>
                </c:pt>
                <c:pt idx="4">
                  <c:v>0.88700000000000001</c:v>
                </c:pt>
                <c:pt idx="5">
                  <c:v>0.90959999999999996</c:v>
                </c:pt>
                <c:pt idx="6">
                  <c:v>0.93220000000000003</c:v>
                </c:pt>
                <c:pt idx="7">
                  <c:v>0.95479999999999998</c:v>
                </c:pt>
                <c:pt idx="8">
                  <c:v>0.97740000000000005</c:v>
                </c:pt>
                <c:pt idx="9">
                  <c:v>1</c:v>
                </c:pt>
                <c:pt idx="10">
                  <c:v>1</c:v>
                </c:pt>
                <c:pt idx="11">
                  <c:v>1</c:v>
                </c:pt>
                <c:pt idx="12">
                  <c:v>1</c:v>
                </c:pt>
                <c:pt idx="13">
                  <c:v>1</c:v>
                </c:pt>
                <c:pt idx="14">
                  <c:v>1</c:v>
                </c:pt>
                <c:pt idx="15">
                  <c:v>1</c:v>
                </c:pt>
                <c:pt idx="16">
                  <c:v>1</c:v>
                </c:pt>
                <c:pt idx="17">
                  <c:v>1</c:v>
                </c:pt>
                <c:pt idx="18">
                  <c:v>1</c:v>
                </c:pt>
                <c:pt idx="19">
                  <c:v>1</c:v>
                </c:pt>
              </c:numCache>
            </c:numRef>
          </c:val>
          <c:smooth val="0"/>
          <c:extLst>
            <c:ext xmlns:c16="http://schemas.microsoft.com/office/drawing/2014/chart" uri="{C3380CC4-5D6E-409C-BE32-E72D297353CC}">
              <c16:uniqueId val="{00000000-0EC1-9F42-A7C9-2495901518E4}"/>
            </c:ext>
          </c:extLst>
        </c:ser>
        <c:ser>
          <c:idx val="1"/>
          <c:order val="1"/>
          <c:tx>
            <c:strRef>
              <c:f>Forecast!$F$90</c:f>
              <c:strCache>
                <c:ptCount val="1"/>
                <c:pt idx="0">
                  <c:v> Residual Value to Paid in Capital (RVPI) </c:v>
                </c:pt>
              </c:strCache>
            </c:strRef>
          </c:tx>
          <c:spPr>
            <a:ln cmpd="sng">
              <a:solidFill>
                <a:srgbClr val="EA4335"/>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Forecast!$G$90:$Z$90</c:f>
              <c:numCache>
                <c:formatCode>#,##0.00_);\(#,##0.00\);_("-"_);_(@_)</c:formatCode>
                <c:ptCount val="20"/>
                <c:pt idx="0">
                  <c:v>0.88261253309796994</c:v>
                </c:pt>
                <c:pt idx="1">
                  <c:v>0.80233835621190919</c:v>
                </c:pt>
                <c:pt idx="2">
                  <c:v>0.83419230367726949</c:v>
                </c:pt>
                <c:pt idx="3">
                  <c:v>0.61839696629145968</c:v>
                </c:pt>
                <c:pt idx="4">
                  <c:v>0.46436697462627574</c:v>
                </c:pt>
                <c:pt idx="5">
                  <c:v>0.38743789192338013</c:v>
                </c:pt>
                <c:pt idx="6">
                  <c:v>0.26965786841350031</c:v>
                </c:pt>
                <c:pt idx="7">
                  <c:v>4.6027453903448902E-2</c:v>
                </c:pt>
                <c:pt idx="8">
                  <c:v>3.8745253109893983E-2</c:v>
                </c:pt>
                <c:pt idx="9">
                  <c:v>0</c:v>
                </c:pt>
                <c:pt idx="10">
                  <c:v>0</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0EC1-9F42-A7C9-2495901518E4}"/>
            </c:ext>
          </c:extLst>
        </c:ser>
        <c:ser>
          <c:idx val="2"/>
          <c:order val="2"/>
          <c:tx>
            <c:strRef>
              <c:f>Forecast!$F$91</c:f>
              <c:strCache>
                <c:ptCount val="1"/>
                <c:pt idx="0">
                  <c:v> Distributed Value to Paid in Capital (DVPI) </c:v>
                </c:pt>
              </c:strCache>
            </c:strRef>
          </c:tx>
          <c:spPr>
            <a:ln cmpd="sng">
              <a:solidFill>
                <a:srgbClr val="FBBC04"/>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Forecast!$G$91:$Z$91</c:f>
              <c:numCache>
                <c:formatCode>#,##0.00_);\(#,##0.00\);_("-"_);_(@_)</c:formatCode>
                <c:ptCount val="20"/>
                <c:pt idx="0">
                  <c:v>0</c:v>
                </c:pt>
                <c:pt idx="1">
                  <c:v>0.11930011217633657</c:v>
                </c:pt>
                <c:pt idx="2">
                  <c:v>7.9770185158693649E-2</c:v>
                </c:pt>
                <c:pt idx="3">
                  <c:v>1.5769755464341304</c:v>
                </c:pt>
                <c:pt idx="4">
                  <c:v>1.8064334763320107</c:v>
                </c:pt>
                <c:pt idx="5">
                  <c:v>1.7615506744794345</c:v>
                </c:pt>
                <c:pt idx="6">
                  <c:v>2.0037169438585445</c:v>
                </c:pt>
                <c:pt idx="7">
                  <c:v>2.513419550704846</c:v>
                </c:pt>
                <c:pt idx="8">
                  <c:v>2.4923372105692549</c:v>
                </c:pt>
                <c:pt idx="9">
                  <c:v>3.2464</c:v>
                </c:pt>
                <c:pt idx="10">
                  <c:v>3.2464</c:v>
                </c:pt>
                <c:pt idx="11">
                  <c:v>3.2464</c:v>
                </c:pt>
                <c:pt idx="12">
                  <c:v>3.2464</c:v>
                </c:pt>
                <c:pt idx="13">
                  <c:v>3.2464</c:v>
                </c:pt>
                <c:pt idx="14">
                  <c:v>3.2464</c:v>
                </c:pt>
                <c:pt idx="15">
                  <c:v>3.2464</c:v>
                </c:pt>
                <c:pt idx="16">
                  <c:v>3.2464</c:v>
                </c:pt>
                <c:pt idx="17">
                  <c:v>3.2464</c:v>
                </c:pt>
                <c:pt idx="18">
                  <c:v>3.2464</c:v>
                </c:pt>
                <c:pt idx="19">
                  <c:v>3.2464</c:v>
                </c:pt>
              </c:numCache>
            </c:numRef>
          </c:val>
          <c:smooth val="0"/>
          <c:extLst>
            <c:ext xmlns:c16="http://schemas.microsoft.com/office/drawing/2014/chart" uri="{C3380CC4-5D6E-409C-BE32-E72D297353CC}">
              <c16:uniqueId val="{00000002-0EC1-9F42-A7C9-2495901518E4}"/>
            </c:ext>
          </c:extLst>
        </c:ser>
        <c:ser>
          <c:idx val="3"/>
          <c:order val="3"/>
          <c:tx>
            <c:strRef>
              <c:f>Forecast!$F$92</c:f>
              <c:strCache>
                <c:ptCount val="1"/>
                <c:pt idx="0">
                  <c:v> Total Value to Paid in Capital (TVPI) </c:v>
                </c:pt>
              </c:strCache>
            </c:strRef>
          </c:tx>
          <c:spPr>
            <a:ln cmpd="sng">
              <a:solidFill>
                <a:srgbClr val="34A853"/>
              </a:solidFill>
            </a:ln>
          </c:spPr>
          <c:marker>
            <c:symbol val="none"/>
          </c:marke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Forecast!$G$92:$Z$92</c:f>
              <c:numCache>
                <c:formatCode>#,##0.00_);\(#,##0.00\);_("-"_);_(@_)</c:formatCode>
                <c:ptCount val="20"/>
                <c:pt idx="0">
                  <c:v>0.88261253309796994</c:v>
                </c:pt>
                <c:pt idx="1">
                  <c:v>0.9216384683882457</c:v>
                </c:pt>
                <c:pt idx="2">
                  <c:v>0.91396248883596309</c:v>
                </c:pt>
                <c:pt idx="3">
                  <c:v>2.1953725127255899</c:v>
                </c:pt>
                <c:pt idx="4">
                  <c:v>2.2708004509582862</c:v>
                </c:pt>
                <c:pt idx="5">
                  <c:v>2.1489885664028145</c:v>
                </c:pt>
                <c:pt idx="6">
                  <c:v>2.2733748122720447</c:v>
                </c:pt>
                <c:pt idx="7">
                  <c:v>2.5594470046082951</c:v>
                </c:pt>
                <c:pt idx="8">
                  <c:v>2.5310824636791489</c:v>
                </c:pt>
                <c:pt idx="9">
                  <c:v>3.2464</c:v>
                </c:pt>
                <c:pt idx="10">
                  <c:v>3.2464</c:v>
                </c:pt>
                <c:pt idx="11">
                  <c:v>3.2464</c:v>
                </c:pt>
                <c:pt idx="12">
                  <c:v>3.2464</c:v>
                </c:pt>
                <c:pt idx="13">
                  <c:v>3.2464</c:v>
                </c:pt>
                <c:pt idx="14">
                  <c:v>3.2464</c:v>
                </c:pt>
                <c:pt idx="15">
                  <c:v>3.2464</c:v>
                </c:pt>
                <c:pt idx="16">
                  <c:v>3.2464</c:v>
                </c:pt>
                <c:pt idx="17">
                  <c:v>3.2464</c:v>
                </c:pt>
                <c:pt idx="18">
                  <c:v>3.2464</c:v>
                </c:pt>
                <c:pt idx="19">
                  <c:v>3.2464</c:v>
                </c:pt>
              </c:numCache>
            </c:numRef>
          </c:val>
          <c:smooth val="0"/>
          <c:extLst>
            <c:ext xmlns:c16="http://schemas.microsoft.com/office/drawing/2014/chart" uri="{C3380CC4-5D6E-409C-BE32-E72D297353CC}">
              <c16:uniqueId val="{00000003-0EC1-9F42-A7C9-2495901518E4}"/>
            </c:ext>
          </c:extLst>
        </c:ser>
        <c:dLbls>
          <c:showLegendKey val="0"/>
          <c:showVal val="0"/>
          <c:showCatName val="0"/>
          <c:showSerName val="0"/>
          <c:showPercent val="0"/>
          <c:showBubbleSize val="0"/>
        </c:dLbls>
        <c:smooth val="0"/>
        <c:axId val="1773809133"/>
        <c:axId val="1434803512"/>
      </c:lineChart>
      <c:catAx>
        <c:axId val="1773809133"/>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1434803512"/>
        <c:crosses val="autoZero"/>
        <c:auto val="1"/>
        <c:lblAlgn val="ctr"/>
        <c:lblOffset val="100"/>
        <c:noMultiLvlLbl val="1"/>
      </c:catAx>
      <c:valAx>
        <c:axId val="14348035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_);\(#,##0.00\);_(&quot;-&quot;_);_(@_)" sourceLinked="1"/>
        <c:majorTickMark val="none"/>
        <c:minorTickMark val="none"/>
        <c:tickLblPos val="nextTo"/>
        <c:spPr>
          <a:ln/>
        </c:spPr>
        <c:txPr>
          <a:bodyPr/>
          <a:lstStyle/>
          <a:p>
            <a:pPr lvl="0">
              <a:defRPr b="0">
                <a:solidFill>
                  <a:srgbClr val="000000"/>
                </a:solidFill>
                <a:latin typeface="+mn-lt"/>
              </a:defRPr>
            </a:pPr>
            <a:endParaRPr lang="en-US"/>
          </a:p>
        </c:txPr>
        <c:crossAx val="177380913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Investments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Started'!$B$34:$B$38</c:f>
              <c:strCache>
                <c:ptCount val="5"/>
                <c:pt idx="0">
                  <c:v>Writeoff</c:v>
                </c:pt>
                <c:pt idx="1">
                  <c:v>Small</c:v>
                </c:pt>
                <c:pt idx="2">
                  <c:v>Medium</c:v>
                </c:pt>
                <c:pt idx="3">
                  <c:v>Large</c:v>
                </c:pt>
                <c:pt idx="4">
                  <c:v>na</c:v>
                </c:pt>
              </c:strCache>
            </c:strRef>
          </c:cat>
          <c:val>
            <c:numRef>
              <c:f>'Get Started'!$F$34:$F$37</c:f>
              <c:numCache>
                <c:formatCode>#,##0_);\(#,##0\);_("-"_);_(@_)</c:formatCode>
                <c:ptCount val="4"/>
                <c:pt idx="0">
                  <c:v>3</c:v>
                </c:pt>
                <c:pt idx="1">
                  <c:v>6</c:v>
                </c:pt>
                <c:pt idx="2">
                  <c:v>9</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215-284C-9485-F6C6DD2185BB}"/>
            </c:ext>
          </c:extLst>
        </c:ser>
        <c:dLbls>
          <c:showLegendKey val="0"/>
          <c:showVal val="0"/>
          <c:showCatName val="0"/>
          <c:showSerName val="0"/>
          <c:showPercent val="0"/>
          <c:showBubbleSize val="0"/>
        </c:dLbls>
        <c:gapWidth val="150"/>
        <c:axId val="271697582"/>
        <c:axId val="1053563181"/>
      </c:barChart>
      <c:catAx>
        <c:axId val="27169758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53563181"/>
        <c:crosses val="autoZero"/>
        <c:auto val="1"/>
        <c:lblAlgn val="ctr"/>
        <c:lblOffset val="100"/>
        <c:noMultiLvlLbl val="1"/>
      </c:catAx>
      <c:valAx>
        <c:axId val="10535631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27169758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Fund Cash Flows</a:t>
            </a:r>
          </a:p>
        </c:rich>
      </c:tx>
      <c:overlay val="0"/>
    </c:title>
    <c:autoTitleDeleted val="0"/>
    <c:plotArea>
      <c:layout/>
      <c:barChart>
        <c:barDir val="col"/>
        <c:grouping val="stacked"/>
        <c:varyColors val="1"/>
        <c:ser>
          <c:idx val="0"/>
          <c:order val="0"/>
          <c:tx>
            <c:strRef>
              <c:f>Forecast!$F$137</c:f>
              <c:strCache>
                <c:ptCount val="1"/>
                <c:pt idx="0">
                  <c:v> New Investments </c:v>
                </c:pt>
              </c:strCache>
            </c:strRef>
          </c:tx>
          <c:spPr>
            <a:solidFill>
              <a:srgbClr val="4285F4"/>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Forecast!$G$137:$Z$137</c:f>
              <c:numCache>
                <c:formatCode>#,##0_);\(#,##0\);_("-"_);_(@_)</c:formatCode>
                <c:ptCount val="20"/>
                <c:pt idx="0">
                  <c:v>-5000000</c:v>
                </c:pt>
                <c:pt idx="1">
                  <c:v>-5000000</c:v>
                </c:pt>
                <c:pt idx="2">
                  <c:v>-5000000</c:v>
                </c:pt>
                <c:pt idx="3">
                  <c:v>-4250000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D58-2D41-9960-B10EEE39D5CF}"/>
            </c:ext>
          </c:extLst>
        </c:ser>
        <c:ser>
          <c:idx val="1"/>
          <c:order val="1"/>
          <c:tx>
            <c:strRef>
              <c:f>Forecast!$F$138</c:f>
              <c:strCache>
                <c:ptCount val="1"/>
                <c:pt idx="0">
                  <c:v> Follow on Investments </c:v>
                </c:pt>
              </c:strCache>
            </c:strRef>
          </c:tx>
          <c:spPr>
            <a:solidFill>
              <a:srgbClr val="EA4335"/>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Forecast!$G$138:$Z$138</c:f>
              <c:numCache>
                <c:formatCode>#,##0_);\(#,##0\);_("-"_);_(@_)</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D58-2D41-9960-B10EEE39D5CF}"/>
            </c:ext>
          </c:extLst>
        </c:ser>
        <c:ser>
          <c:idx val="2"/>
          <c:order val="2"/>
          <c:tx>
            <c:strRef>
              <c:f>Forecast!$F$139</c:f>
              <c:strCache>
                <c:ptCount val="1"/>
                <c:pt idx="0">
                  <c:v> Fees </c:v>
                </c:pt>
              </c:strCache>
            </c:strRef>
          </c:tx>
          <c:spPr>
            <a:solidFill>
              <a:srgbClr val="FBBC04"/>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Forecast!$G$139:$Z$139</c:f>
              <c:numCache>
                <c:formatCode>#,##0_);\(#,##0\);_("-"_);_(@_)</c:formatCode>
                <c:ptCount val="20"/>
                <c:pt idx="0">
                  <c:v>-665000</c:v>
                </c:pt>
                <c:pt idx="1">
                  <c:v>-565000</c:v>
                </c:pt>
                <c:pt idx="2">
                  <c:v>-565000</c:v>
                </c:pt>
                <c:pt idx="3">
                  <c:v>-565000</c:v>
                </c:pt>
                <c:pt idx="4">
                  <c:v>-565000</c:v>
                </c:pt>
                <c:pt idx="5">
                  <c:v>-565000</c:v>
                </c:pt>
                <c:pt idx="6">
                  <c:v>-565000</c:v>
                </c:pt>
                <c:pt idx="7">
                  <c:v>-565000</c:v>
                </c:pt>
                <c:pt idx="8">
                  <c:v>-565000</c:v>
                </c:pt>
                <c:pt idx="9">
                  <c:v>-565000</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D58-2D41-9960-B10EEE39D5CF}"/>
            </c:ext>
          </c:extLst>
        </c:ser>
        <c:ser>
          <c:idx val="3"/>
          <c:order val="3"/>
          <c:tx>
            <c:strRef>
              <c:f>Forecast!$F$140</c:f>
              <c:strCache>
                <c:ptCount val="1"/>
                <c:pt idx="0">
                  <c:v> Distributions </c:v>
                </c:pt>
              </c:strCache>
            </c:strRef>
          </c:tx>
          <c:spPr>
            <a:solidFill>
              <a:srgbClr val="34A853"/>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Forecast!$G$140:$Z$140</c:f>
              <c:numCache>
                <c:formatCode>#,##0_);\(#,##0\);_("-"_);_(@_)</c:formatCode>
                <c:ptCount val="20"/>
                <c:pt idx="0">
                  <c:v>0</c:v>
                </c:pt>
                <c:pt idx="1">
                  <c:v>1339740.2597402597</c:v>
                </c:pt>
                <c:pt idx="2">
                  <c:v>0</c:v>
                </c:pt>
                <c:pt idx="3">
                  <c:v>32738701.298701297</c:v>
                </c:pt>
                <c:pt idx="4">
                  <c:v>5979220.7792207794</c:v>
                </c:pt>
                <c:pt idx="5">
                  <c:v>0</c:v>
                </c:pt>
                <c:pt idx="6">
                  <c:v>6638961.0389610389</c:v>
                </c:pt>
                <c:pt idx="7">
                  <c:v>13298701.298701299</c:v>
                </c:pt>
                <c:pt idx="8">
                  <c:v>904935.06493506511</c:v>
                </c:pt>
                <c:pt idx="9">
                  <c:v>20259740.259740259</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D58-2D41-9960-B10EEE39D5CF}"/>
            </c:ext>
          </c:extLst>
        </c:ser>
        <c:ser>
          <c:idx val="4"/>
          <c:order val="4"/>
          <c:tx>
            <c:strRef>
              <c:f>Forecast!$F$141</c:f>
              <c:strCache>
                <c:ptCount val="1"/>
                <c:pt idx="0">
                  <c:v> Carried Interest </c:v>
                </c:pt>
              </c:strCache>
            </c:strRef>
          </c:tx>
          <c:spPr>
            <a:solidFill>
              <a:srgbClr val="FF6D01"/>
            </a:solidFill>
            <a:ln cmpd="sng">
              <a:solidFill>
                <a:srgbClr val="000000"/>
              </a:solidFill>
            </a:ln>
          </c:spPr>
          <c:invertIfNegative val="1"/>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Forecast!$G$141:$Z$141</c:f>
              <c:numCache>
                <c:formatCode>#,##0_);\(#,##0\);_("-"_);_(@_)</c:formatCode>
                <c:ptCount val="20"/>
                <c:pt idx="0">
                  <c:v>0</c:v>
                </c:pt>
                <c:pt idx="1">
                  <c:v>10259.740259740269</c:v>
                </c:pt>
                <c:pt idx="2">
                  <c:v>0</c:v>
                </c:pt>
                <c:pt idx="3">
                  <c:v>6561298.7012987025</c:v>
                </c:pt>
                <c:pt idx="4">
                  <c:v>520779.22077922057</c:v>
                </c:pt>
                <c:pt idx="5">
                  <c:v>0</c:v>
                </c:pt>
                <c:pt idx="6">
                  <c:v>361038.96103896131</c:v>
                </c:pt>
                <c:pt idx="7">
                  <c:v>1701298.7012987011</c:v>
                </c:pt>
                <c:pt idx="8">
                  <c:v>145064.93506493495</c:v>
                </c:pt>
                <c:pt idx="9">
                  <c:v>4740259.7402597405</c:v>
                </c:pt>
                <c:pt idx="10">
                  <c:v>0</c:v>
                </c:pt>
                <c:pt idx="11">
                  <c:v>0</c:v>
                </c:pt>
                <c:pt idx="12">
                  <c:v>0</c:v>
                </c:pt>
                <c:pt idx="13">
                  <c:v>0</c:v>
                </c:pt>
                <c:pt idx="14">
                  <c:v>0</c:v>
                </c:pt>
                <c:pt idx="15">
                  <c:v>0</c:v>
                </c:pt>
                <c:pt idx="16">
                  <c:v>0</c:v>
                </c:pt>
                <c:pt idx="17">
                  <c:v>0</c:v>
                </c:pt>
                <c:pt idx="18">
                  <c:v>0</c:v>
                </c:pt>
                <c:pt idx="1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D58-2D41-9960-B10EEE39D5CF}"/>
            </c:ext>
          </c:extLst>
        </c:ser>
        <c:dLbls>
          <c:showLegendKey val="0"/>
          <c:showVal val="0"/>
          <c:showCatName val="0"/>
          <c:showSerName val="0"/>
          <c:showPercent val="0"/>
          <c:showBubbleSize val="0"/>
        </c:dLbls>
        <c:gapWidth val="150"/>
        <c:overlap val="100"/>
        <c:axId val="36335587"/>
        <c:axId val="1843542096"/>
      </c:barChart>
      <c:catAx>
        <c:axId val="36335587"/>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1843542096"/>
        <c:crosses val="autoZero"/>
        <c:auto val="1"/>
        <c:lblAlgn val="ctr"/>
        <c:lblOffset val="100"/>
        <c:noMultiLvlLbl val="1"/>
      </c:catAx>
      <c:valAx>
        <c:axId val="1843542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3633558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Cumulative cash flows</a:t>
            </a:r>
          </a:p>
        </c:rich>
      </c:tx>
      <c:overlay val="0"/>
    </c:title>
    <c:autoTitleDeleted val="0"/>
    <c:plotArea>
      <c:layout/>
      <c:areaChart>
        <c:grouping val="standard"/>
        <c:varyColors val="1"/>
        <c:ser>
          <c:idx val="0"/>
          <c:order val="0"/>
          <c:spPr>
            <a:solidFill>
              <a:srgbClr val="4285F4">
                <a:alpha val="30000"/>
              </a:srgbClr>
            </a:solidFill>
            <a:ln cmpd="sng">
              <a:solidFill>
                <a:srgbClr val="4285F4"/>
              </a:solidFill>
            </a:ln>
          </c:spPr>
          <c:cat>
            <c:numRef>
              <c:f>Forecast!$G$4:$Z$4</c:f>
              <c:numCache>
                <c:formatCode>"Year"\ #,##0_);\(#,##0\);_("-"_);_(@_)</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Forecast!$G$100:$Z$100</c:f>
              <c:numCache>
                <c:formatCode>#,##0_);\(#,##0\);_("-"_);_(@_)</c:formatCode>
                <c:ptCount val="20"/>
                <c:pt idx="0">
                  <c:v>-5665000</c:v>
                </c:pt>
                <c:pt idx="1">
                  <c:v>-9890259.7402597405</c:v>
                </c:pt>
                <c:pt idx="2">
                  <c:v>-15455259.740259741</c:v>
                </c:pt>
                <c:pt idx="3">
                  <c:v>12468441.558441557</c:v>
                </c:pt>
                <c:pt idx="4">
                  <c:v>17882662.337662335</c:v>
                </c:pt>
                <c:pt idx="5">
                  <c:v>17317662.337662335</c:v>
                </c:pt>
                <c:pt idx="6">
                  <c:v>23391623.376623373</c:v>
                </c:pt>
                <c:pt idx="7">
                  <c:v>36125324.675324671</c:v>
                </c:pt>
                <c:pt idx="8">
                  <c:v>36465259.740259737</c:v>
                </c:pt>
                <c:pt idx="9">
                  <c:v>56160000</c:v>
                </c:pt>
                <c:pt idx="10">
                  <c:v>56160000</c:v>
                </c:pt>
                <c:pt idx="11">
                  <c:v>56160000</c:v>
                </c:pt>
                <c:pt idx="12">
                  <c:v>56160000</c:v>
                </c:pt>
                <c:pt idx="13">
                  <c:v>56160000</c:v>
                </c:pt>
                <c:pt idx="14">
                  <c:v>56160000</c:v>
                </c:pt>
                <c:pt idx="15">
                  <c:v>56160000</c:v>
                </c:pt>
                <c:pt idx="16">
                  <c:v>56160000</c:v>
                </c:pt>
                <c:pt idx="17">
                  <c:v>56160000</c:v>
                </c:pt>
                <c:pt idx="18">
                  <c:v>56160000</c:v>
                </c:pt>
                <c:pt idx="19">
                  <c:v>56160000</c:v>
                </c:pt>
              </c:numCache>
            </c:numRef>
          </c:val>
          <c:extLst>
            <c:ext xmlns:c16="http://schemas.microsoft.com/office/drawing/2014/chart" uri="{C3380CC4-5D6E-409C-BE32-E72D297353CC}">
              <c16:uniqueId val="{00000000-4B91-B141-A5A8-CDF0CEEF3CDC}"/>
            </c:ext>
          </c:extLst>
        </c:ser>
        <c:dLbls>
          <c:showLegendKey val="0"/>
          <c:showVal val="0"/>
          <c:showCatName val="0"/>
          <c:showSerName val="0"/>
          <c:showPercent val="0"/>
          <c:showBubbleSize val="0"/>
        </c:dLbls>
        <c:axId val="1918190893"/>
        <c:axId val="453666002"/>
      </c:areaChart>
      <c:catAx>
        <c:axId val="1918190893"/>
        <c:scaling>
          <c:orientation val="minMax"/>
        </c:scaling>
        <c:delete val="0"/>
        <c:axPos val="b"/>
        <c:title>
          <c:tx>
            <c:rich>
              <a:bodyPr/>
              <a:lstStyle/>
              <a:p>
                <a:pPr lvl="0">
                  <a:defRPr b="0">
                    <a:solidFill>
                      <a:srgbClr val="000000"/>
                    </a:solidFill>
                    <a:latin typeface="+mn-lt"/>
                  </a:defRPr>
                </a:pPr>
                <a:endParaRPr/>
              </a:p>
            </c:rich>
          </c:tx>
          <c:overlay val="0"/>
        </c:title>
        <c:numFmt formatCode="&quot;Year&quot;\ #,##0_);\(#,##0\);_(&quot;-&quot;_);_(@_)" sourceLinked="1"/>
        <c:majorTickMark val="none"/>
        <c:minorTickMark val="none"/>
        <c:tickLblPos val="nextTo"/>
        <c:txPr>
          <a:bodyPr/>
          <a:lstStyle/>
          <a:p>
            <a:pPr lvl="0">
              <a:defRPr b="0">
                <a:solidFill>
                  <a:srgbClr val="000000"/>
                </a:solidFill>
                <a:latin typeface="+mn-lt"/>
              </a:defRPr>
            </a:pPr>
            <a:endParaRPr lang="en-US"/>
          </a:p>
        </c:txPr>
        <c:crossAx val="453666002"/>
        <c:crosses val="autoZero"/>
        <c:auto val="1"/>
        <c:lblAlgn val="ctr"/>
        <c:lblOffset val="100"/>
        <c:noMultiLvlLbl val="1"/>
      </c:catAx>
      <c:valAx>
        <c:axId val="4536660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1918190893"/>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Fund Proceeds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Started'!$B$34:$B$38</c:f>
              <c:strCache>
                <c:ptCount val="5"/>
                <c:pt idx="0">
                  <c:v>Writeoff</c:v>
                </c:pt>
                <c:pt idx="1">
                  <c:v>Small</c:v>
                </c:pt>
                <c:pt idx="2">
                  <c:v>Medium</c:v>
                </c:pt>
                <c:pt idx="3">
                  <c:v>Large</c:v>
                </c:pt>
                <c:pt idx="4">
                  <c:v>na</c:v>
                </c:pt>
              </c:strCache>
            </c:strRef>
          </c:cat>
          <c:val>
            <c:numRef>
              <c:f>'Get Started'!$H$34:$H$37</c:f>
              <c:numCache>
                <c:formatCode>0%</c:formatCode>
                <c:ptCount val="4"/>
                <c:pt idx="0">
                  <c:v>0</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3CC-024D-88DB-B0CE27C87086}"/>
            </c:ext>
          </c:extLst>
        </c:ser>
        <c:dLbls>
          <c:showLegendKey val="0"/>
          <c:showVal val="0"/>
          <c:showCatName val="0"/>
          <c:showSerName val="0"/>
          <c:showPercent val="0"/>
          <c:showBubbleSize val="0"/>
        </c:dLbls>
        <c:gapWidth val="150"/>
        <c:axId val="1610112004"/>
        <c:axId val="1319932272"/>
      </c:barChart>
      <c:catAx>
        <c:axId val="16101120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19932272"/>
        <c:crosses val="autoZero"/>
        <c:auto val="1"/>
        <c:lblAlgn val="ctr"/>
        <c:lblOffset val="100"/>
        <c:noMultiLvlLbl val="1"/>
      </c:catAx>
      <c:valAx>
        <c:axId val="1319932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61011200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857250</xdr:colOff>
      <xdr:row>1</xdr:row>
      <xdr:rowOff>142875</xdr:rowOff>
    </xdr:from>
    <xdr:ext cx="5715000" cy="35337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857250</xdr:colOff>
      <xdr:row>20</xdr:row>
      <xdr:rowOff>180975</xdr:rowOff>
    </xdr:from>
    <xdr:ext cx="5781675" cy="358140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409575</xdr:colOff>
      <xdr:row>40</xdr:row>
      <xdr:rowOff>19050</xdr:rowOff>
    </xdr:from>
    <xdr:ext cx="5715000" cy="3533775"/>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409575</xdr:colOff>
      <xdr:row>1</xdr:row>
      <xdr:rowOff>142875</xdr:rowOff>
    </xdr:from>
    <xdr:ext cx="5715000" cy="3533775"/>
    <xdr:graphicFrame macro="">
      <xdr:nvGraphicFramePr>
        <xdr:cNvPr id="5" name="Chart 4"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21</xdr:row>
      <xdr:rowOff>9525</xdr:rowOff>
    </xdr:from>
    <xdr:ext cx="5715000" cy="3533775"/>
    <xdr:graphicFrame macro="">
      <xdr:nvGraphicFramePr>
        <xdr:cNvPr id="6" name="Chart 5"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895350</xdr:colOff>
      <xdr:row>40</xdr:row>
      <xdr:rowOff>19050</xdr:rowOff>
    </xdr:from>
    <xdr:ext cx="5715000" cy="3533775"/>
    <xdr:graphicFrame macro="">
      <xdr:nvGraphicFramePr>
        <xdr:cNvPr id="7" name="Chart 6"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C10">
  <tableColumns count="2">
    <tableColumn id="1" xr3:uid="{00000000-0010-0000-0000-000001000000}" name="Copyright &amp; Contact"/>
    <tableColumn id="2" xr3:uid="{00000000-0010-0000-0000-000002000000}" name="This was created by Taylor Davidson (@tdavidson) of Foresight._x000a_© 2025,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4:C29">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D25">
  <tableColumns count="3">
    <tableColumn id="1" xr3:uid="{00000000-0010-0000-0200-000001000000}" name="How to Model a Venture Capital Fund"/>
    <tableColumn id="2" xr3:uid="{00000000-0010-0000-0200-000002000000}" name="Post detailing how to model a venture capital fund, detailing all the components, methods, considerations, and links to template models to review"/>
    <tableColumn id="3" xr3:uid="{00000000-0010-0000-0200-000003000000}" name="https://openvc.app/blog/how-to-model-a-venture-capital-fund"/>
  </tableColumns>
  <tableStyleInfo name="Resourc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S16" headerRowCount="0">
  <tableColumns count="18">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dataDxfId="13"/>
    <tableColumn id="6" xr3:uid="{00000000-0010-0000-0300-000006000000}" name="Column6" dataDxfId="12"/>
    <tableColumn id="7" xr3:uid="{00000000-0010-0000-0300-000007000000}" name="Column7" dataDxfId="11"/>
    <tableColumn id="8" xr3:uid="{00000000-0010-0000-0300-000008000000}" name="Column8" dataDxfId="10"/>
    <tableColumn id="9" xr3:uid="{00000000-0010-0000-0300-000009000000}" name="Column9" dataDxfId="9"/>
    <tableColumn id="10" xr3:uid="{00000000-0010-0000-0300-00000A000000}" name="Column10" dataDxfId="8"/>
    <tableColumn id="11" xr3:uid="{00000000-0010-0000-0300-00000B000000}" name="Column11" dataDxfId="7"/>
    <tableColumn id="12" xr3:uid="{00000000-0010-0000-0300-00000C000000}" name="Column12" dataDxfId="6"/>
    <tableColumn id="13" xr3:uid="{00000000-0010-0000-0300-00000D000000}" name="Column13" dataDxfId="5"/>
    <tableColumn id="14" xr3:uid="{00000000-0010-0000-0300-00000E000000}" name="Column14" dataDxfId="4"/>
    <tableColumn id="15" xr3:uid="{00000000-0010-0000-0300-00000F000000}" name="Column15" dataDxfId="3"/>
    <tableColumn id="16" xr3:uid="{00000000-0010-0000-0300-000010000000}" name="Column16" dataDxfId="2"/>
    <tableColumn id="17" xr3:uid="{00000000-0010-0000-0300-000011000000}" name="Column17" dataDxfId="1"/>
    <tableColumn id="18" xr3:uid="{00000000-0010-0000-0300-000012000000}" name="Column18" dataDxfId="0"/>
  </tableColumns>
  <tableStyleInfo name="Model Comparison-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7:C42">
  <tableColumns count="2">
    <tableColumn id="1" xr3:uid="{00000000-0010-0000-0400-000001000000}" name="Limited Partner"/>
    <tableColumn id="2" xr3:uid="{00000000-0010-0000-0400-000002000000}" name="Part-owner of a company whose liability for the firm's debts cannot exceed the amount that an individual invested in the company. In VC, the investors in the fund. https://www.investopedia.com/terms/l/limited-partner.asp"/>
  </tableColumns>
  <tableStyleInfo name="Glossary-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D22" headerRowCount="0">
  <tableColumns count="3">
    <tableColumn id="1" xr3:uid="{00000000-0010-0000-0500-000001000000}" name="Column1"/>
    <tableColumn id="2" xr3:uid="{00000000-0010-0000-0500-000002000000}" name="Column2"/>
    <tableColumn id="3" xr3:uid="{00000000-0010-0000-0500-000003000000}" name="Column3"/>
  </tableColumns>
  <tableStyleInfo name="Change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docs/" TargetMode="External"/><Relationship Id="rId7" Type="http://schemas.openxmlformats.org/officeDocument/2006/relationships/table" Target="../tables/table2.xml"/><Relationship Id="rId2" Type="http://schemas.openxmlformats.org/officeDocument/2006/relationships/hyperlink" Target="https://foresight.is/help" TargetMode="External"/><Relationship Id="rId1" Type="http://schemas.openxmlformats.org/officeDocument/2006/relationships/hyperlink" Target="https://foresight.is/venture-fund-model" TargetMode="External"/><Relationship Id="rId6" Type="http://schemas.openxmlformats.org/officeDocument/2006/relationships/table" Target="../tables/table1.xml"/><Relationship Id="rId5" Type="http://schemas.openxmlformats.org/officeDocument/2006/relationships/hyperlink" Target="https://foresight.is/license" TargetMode="External"/><Relationship Id="rId4" Type="http://schemas.openxmlformats.org/officeDocument/2006/relationships/hyperlink" Target="https://foresight.is/learn/colors-and-formatt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8" Type="http://schemas.openxmlformats.org/officeDocument/2006/relationships/hyperlink" Target="https://avc.com/2008/08/venture-fund-1/" TargetMode="External"/><Relationship Id="rId3" Type="http://schemas.openxmlformats.org/officeDocument/2006/relationships/hyperlink" Target="https://vc.tactyc.io/" TargetMode="External"/><Relationship Id="rId7" Type="http://schemas.openxmlformats.org/officeDocument/2006/relationships/hyperlink" Target="https://foresight.is/vc" TargetMode="External"/><Relationship Id="rId12" Type="http://schemas.openxmlformats.org/officeDocument/2006/relationships/hyperlink" Target="https://foresight.is/vc" TargetMode="External"/><Relationship Id="rId17" Type="http://schemas.openxmlformats.org/officeDocument/2006/relationships/hyperlink" Target="https://angel.co/v/venture/calculator" TargetMode="External"/><Relationship Id="rId2" Type="http://schemas.openxmlformats.org/officeDocument/2006/relationships/hyperlink" Target="https://eniacvc.medium.com/seed-fund-portfolio-construction-for-dummies-9ec5b4d152dc" TargetMode="External"/><Relationship Id="rId16" Type="http://schemas.openxmlformats.org/officeDocument/2006/relationships/hyperlink" Target="https://foresight.is/learn/venture-valuation" TargetMode="External"/><Relationship Id="rId20" Type="http://schemas.openxmlformats.org/officeDocument/2006/relationships/table" Target="../tables/table3.xml"/><Relationship Id="rId1" Type="http://schemas.openxmlformats.org/officeDocument/2006/relationships/hyperlink" Target="https://openvc.app/blog/how-to-model-a-venture-capital-fund" TargetMode="External"/><Relationship Id="rId6" Type="http://schemas.openxmlformats.org/officeDocument/2006/relationships/hyperlink" Target="https://airstreamalpha.com/financial-model/" TargetMode="External"/><Relationship Id="rId11" Type="http://schemas.openxmlformats.org/officeDocument/2006/relationships/hyperlink" Target="https://foresight.is/venture-fund-model" TargetMode="External"/><Relationship Id="rId5" Type="http://schemas.openxmlformats.org/officeDocument/2006/relationships/hyperlink" Target="https://medium.com/@gerstenzang/open-source-venture-model-osvm-v1-55bebf3eda9" TargetMode="External"/><Relationship Id="rId15" Type="http://schemas.openxmlformats.org/officeDocument/2006/relationships/hyperlink" Target="https://foresight.is/cap-table" TargetMode="External"/><Relationship Id="rId10" Type="http://schemas.openxmlformats.org/officeDocument/2006/relationships/hyperlink" Target="https://foresight.is/vc" TargetMode="External"/><Relationship Id="rId19" Type="http://schemas.openxmlformats.org/officeDocument/2006/relationships/hyperlink" Target="https://vcmethod.com/"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4" Type="http://schemas.openxmlformats.org/officeDocument/2006/relationships/hyperlink" Target="https://www.angellist.com/blog/rolling-fund-budge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foresight.is/fund-of-funds/" TargetMode="External"/><Relationship Id="rId13" Type="http://schemas.openxmlformats.org/officeDocument/2006/relationships/hyperlink" Target="https://foresight.is/cap-table" TargetMode="External"/><Relationship Id="rId3" Type="http://schemas.openxmlformats.org/officeDocument/2006/relationships/hyperlink" Target="https://foresight.is/venture-fund-model-quarterly/" TargetMode="External"/><Relationship Id="rId7" Type="http://schemas.openxmlformats.org/officeDocument/2006/relationships/hyperlink" Target="https://foresight.is/venture-fund-model" TargetMode="External"/><Relationship Id="rId12" Type="http://schemas.openxmlformats.org/officeDocument/2006/relationships/hyperlink" Target="https://foresight.is/runway-cash-forecasting" TargetMode="External"/><Relationship Id="rId2" Type="http://schemas.openxmlformats.org/officeDocument/2006/relationships/hyperlink" Target="https://foresight.is/venture-fund-model-annual/" TargetMode="External"/><Relationship Id="rId1" Type="http://schemas.openxmlformats.org/officeDocument/2006/relationships/hyperlink" Target="https://foresight.is/venture-fund-model-overall/" TargetMode="External"/><Relationship Id="rId6" Type="http://schemas.openxmlformats.org/officeDocument/2006/relationships/hyperlink" Target="https://foresight.is/venture-fund-model-detailed/" TargetMode="External"/><Relationship Id="rId11" Type="http://schemas.openxmlformats.org/officeDocument/2006/relationships/hyperlink" Target="https://foresight.is/venture-valuation-tool/" TargetMode="External"/><Relationship Id="rId5" Type="http://schemas.openxmlformats.org/officeDocument/2006/relationships/hyperlink" Target="https://foresight.is/venture-studio-model" TargetMode="External"/><Relationship Id="rId10" Type="http://schemas.openxmlformats.org/officeDocument/2006/relationships/hyperlink" Target="https://foresight.is/cap-table" TargetMode="External"/><Relationship Id="rId4" Type="http://schemas.openxmlformats.org/officeDocument/2006/relationships/hyperlink" Target="https://foresight.is/venture-fund-model-portfolio/" TargetMode="External"/><Relationship Id="rId9" Type="http://schemas.openxmlformats.org/officeDocument/2006/relationships/hyperlink" Target="https://foresight.is/rolling-fund-template/" TargetMode="External"/><Relationship Id="rId1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foresight.is/runway-cash-forecasting" TargetMode="External"/><Relationship Id="rId1" Type="http://schemas.openxmlformats.org/officeDocument/2006/relationships/hyperlink" Target="https://foresight.is/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0"/>
  <sheetViews>
    <sheetView showGridLines="0" workbookViewId="0">
      <selection activeCell="A4" sqref="A4:XFD10"/>
    </sheetView>
  </sheetViews>
  <sheetFormatPr baseColWidth="10" defaultColWidth="12.6640625" defaultRowHeight="15.75" customHeight="1"/>
  <cols>
    <col min="1" max="1" width="4.1640625" customWidth="1"/>
    <col min="2" max="2" width="35.1640625" customWidth="1"/>
    <col min="3" max="3" width="65.6640625" customWidth="1"/>
    <col min="4" max="5" width="22.6640625" customWidth="1"/>
  </cols>
  <sheetData>
    <row r="1" spans="1:3" ht="15.75" customHeight="1">
      <c r="A1" s="1"/>
    </row>
    <row r="2" spans="1:3">
      <c r="B2" s="2" t="s">
        <v>0</v>
      </c>
    </row>
    <row r="3" spans="1:3" ht="15.75" customHeight="1">
      <c r="B3" s="3"/>
    </row>
    <row r="4" spans="1:3" ht="54" customHeight="1">
      <c r="B4" s="4" t="s">
        <v>1</v>
      </c>
      <c r="C4" s="5" t="s">
        <v>2</v>
      </c>
    </row>
    <row r="5" spans="1:3" ht="54" customHeight="1">
      <c r="B5" s="4" t="s">
        <v>3</v>
      </c>
      <c r="C5" s="6" t="s">
        <v>4</v>
      </c>
    </row>
    <row r="6" spans="1:3" ht="54" customHeight="1">
      <c r="B6" s="4" t="s">
        <v>5</v>
      </c>
      <c r="C6" s="7" t="s">
        <v>6</v>
      </c>
    </row>
    <row r="7" spans="1:3" ht="54" customHeight="1">
      <c r="B7" s="4" t="s">
        <v>7</v>
      </c>
      <c r="C7" s="7" t="s">
        <v>8</v>
      </c>
    </row>
    <row r="8" spans="1:3" ht="54" customHeight="1">
      <c r="B8" s="4" t="s">
        <v>9</v>
      </c>
      <c r="C8" s="7" t="s">
        <v>10</v>
      </c>
    </row>
    <row r="9" spans="1:3" ht="54" customHeight="1">
      <c r="B9" s="4" t="s">
        <v>11</v>
      </c>
      <c r="C9" s="7" t="s">
        <v>12</v>
      </c>
    </row>
    <row r="10" spans="1:3" ht="54" customHeight="1">
      <c r="B10" s="4" t="s">
        <v>13</v>
      </c>
      <c r="C10" s="7" t="s">
        <v>14</v>
      </c>
    </row>
    <row r="11" spans="1:3" ht="15.75" customHeight="1">
      <c r="B11" s="8"/>
      <c r="C11" s="9"/>
    </row>
    <row r="12" spans="1:3" ht="15.75" customHeight="1">
      <c r="B12" s="8" t="s">
        <v>15</v>
      </c>
      <c r="C12" s="9"/>
    </row>
    <row r="13" spans="1:3" ht="15.75" customHeight="1">
      <c r="B13" s="10"/>
      <c r="C13" s="9"/>
    </row>
    <row r="14" spans="1:3" ht="15.75" customHeight="1">
      <c r="B14" s="11" t="s">
        <v>16</v>
      </c>
      <c r="C14" s="11" t="s">
        <v>17</v>
      </c>
    </row>
    <row r="15" spans="1:3" ht="15.75" customHeight="1">
      <c r="B15" s="11" t="s">
        <v>18</v>
      </c>
      <c r="C15" s="12" t="s">
        <v>19</v>
      </c>
    </row>
    <row r="16" spans="1:3" ht="15.75" customHeight="1">
      <c r="B16" s="11" t="s">
        <v>3</v>
      </c>
      <c r="C16" s="12" t="s">
        <v>20</v>
      </c>
    </row>
    <row r="17" spans="2:3" ht="15.75" customHeight="1">
      <c r="B17" s="11" t="s">
        <v>21</v>
      </c>
      <c r="C17" s="11" t="s">
        <v>22</v>
      </c>
    </row>
    <row r="18" spans="2:3" ht="15.75" customHeight="1">
      <c r="B18" s="11" t="s">
        <v>23</v>
      </c>
      <c r="C18" s="11" t="s">
        <v>24</v>
      </c>
    </row>
    <row r="19" spans="2:3" ht="15.75" customHeight="1">
      <c r="B19" s="11" t="s">
        <v>25</v>
      </c>
      <c r="C19" s="11" t="s">
        <v>26</v>
      </c>
    </row>
    <row r="20" spans="2:3" ht="15.75" customHeight="1">
      <c r="B20" s="11" t="s">
        <v>27</v>
      </c>
      <c r="C20" s="11" t="s">
        <v>28</v>
      </c>
    </row>
    <row r="21" spans="2:3" ht="15.75" customHeight="1">
      <c r="B21" s="11" t="s">
        <v>29</v>
      </c>
      <c r="C21" s="11" t="s">
        <v>30</v>
      </c>
    </row>
    <row r="22" spans="2:3" ht="15.75" customHeight="1">
      <c r="B22" s="11" t="s">
        <v>31</v>
      </c>
      <c r="C22" s="11" t="s">
        <v>32</v>
      </c>
    </row>
    <row r="23" spans="2:3" ht="15.75" customHeight="1">
      <c r="B23" s="11" t="s">
        <v>33</v>
      </c>
      <c r="C23" s="11" t="s">
        <v>34</v>
      </c>
    </row>
    <row r="24" spans="2:3" ht="15.75" customHeight="1">
      <c r="B24" s="11" t="s">
        <v>35</v>
      </c>
      <c r="C24" s="11" t="s">
        <v>36</v>
      </c>
    </row>
    <row r="25" spans="2:3" ht="15.75" customHeight="1">
      <c r="B25" s="11" t="s">
        <v>37</v>
      </c>
      <c r="C25" s="11" t="s">
        <v>38</v>
      </c>
    </row>
    <row r="26" spans="2:3" ht="15.75" customHeight="1">
      <c r="B26" s="11" t="s">
        <v>39</v>
      </c>
      <c r="C26" s="11" t="s">
        <v>40</v>
      </c>
    </row>
    <row r="27" spans="2:3" ht="15.75" customHeight="1">
      <c r="B27" s="11" t="s">
        <v>41</v>
      </c>
      <c r="C27" s="11" t="s">
        <v>42</v>
      </c>
    </row>
    <row r="28" spans="2:3" ht="15.75" customHeight="1">
      <c r="B28" s="11" t="s">
        <v>43</v>
      </c>
      <c r="C28" s="11" t="s">
        <v>44</v>
      </c>
    </row>
    <row r="29" spans="2:3" ht="15.75" customHeight="1">
      <c r="B29" s="11" t="s">
        <v>45</v>
      </c>
      <c r="C29" s="11" t="s">
        <v>46</v>
      </c>
    </row>
    <row r="30" spans="2:3" ht="15.75" customHeight="1">
      <c r="B30" s="13"/>
      <c r="C30" s="11"/>
    </row>
  </sheetData>
  <hyperlinks>
    <hyperlink ref="C5" location="License!A1" display="tl:dr; You can modify, edit, use, and share within your company (and with third-parties as needed to operate your business). You may not redistribute, resell, give away to others. Full license._x000a_" xr:uid="{00000000-0004-0000-0000-000000000000}"/>
    <hyperlink ref="C6" r:id="rId1" xr:uid="{00000000-0004-0000-0000-000001000000}"/>
    <hyperlink ref="C7" location="License!A1" display="File &gt; Make a Copy to copy it to your own Google Drive, or File &gt; Download to download this to use in Excel or other spreadsheet programs. See License for warranties and liabilities._x000a_" xr:uid="{00000000-0004-0000-0000-000002000000}"/>
    <hyperlink ref="C8" r:id="rId2" xr:uid="{00000000-0004-0000-0000-000003000000}"/>
    <hyperlink ref="C9" location="null!A1" display="Check out the Resources for other resources for modeling venture funds, and check out Foresight's Venture Investor Model for a more detailed fund model with financial statements, management company budgeting, and more._x000a_" xr:uid="{00000000-0004-0000-0000-000004000000}"/>
    <hyperlink ref="C10" r:id="rId3" xr:uid="{00000000-0004-0000-0000-000005000000}"/>
    <hyperlink ref="C15" r:id="rId4" xr:uid="{00000000-0004-0000-0000-000006000000}"/>
    <hyperlink ref="C16" r:id="rId5" xr:uid="{00000000-0004-0000-0000-000007000000}"/>
  </hyperlinks>
  <pageMargins left="0.7" right="0.7" top="0.75" bottom="0.75" header="0.3" footer="0.3"/>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2.6640625" defaultRowHeight="15.75" customHeight="1"/>
  <cols>
    <col min="1" max="1" width="2.83203125" customWidth="1"/>
    <col min="2" max="2" width="79.1640625" customWidth="1"/>
  </cols>
  <sheetData>
    <row r="1" spans="1:2" ht="29.25" customHeight="1">
      <c r="A1" s="2"/>
      <c r="B1" s="2" t="s">
        <v>47</v>
      </c>
    </row>
    <row r="2" spans="1:2" ht="19.5" customHeight="1">
      <c r="A2" s="14"/>
      <c r="B2" s="15" t="s">
        <v>48</v>
      </c>
    </row>
    <row r="3" spans="1:2" ht="13">
      <c r="A3" s="16"/>
      <c r="B3" s="16"/>
    </row>
    <row r="4" spans="1:2" ht="98">
      <c r="A4" s="16"/>
      <c r="B4" s="16" t="s">
        <v>49</v>
      </c>
    </row>
    <row r="5" spans="1:2" ht="13">
      <c r="A5" s="16"/>
      <c r="B5" s="16"/>
    </row>
    <row r="6" spans="1:2" ht="14">
      <c r="A6" s="16"/>
      <c r="B6" s="16" t="s">
        <v>50</v>
      </c>
    </row>
    <row r="7" spans="1:2" ht="13">
      <c r="A7" s="16"/>
      <c r="B7" s="16"/>
    </row>
    <row r="8" spans="1:2" ht="14">
      <c r="A8" s="16"/>
      <c r="B8" s="16" t="s">
        <v>51</v>
      </c>
    </row>
    <row r="9" spans="1:2" ht="28">
      <c r="A9" s="16"/>
      <c r="B9" s="16" t="s">
        <v>52</v>
      </c>
    </row>
    <row r="10" spans="1:2" ht="14">
      <c r="A10" s="16"/>
      <c r="B10" s="16" t="s">
        <v>53</v>
      </c>
    </row>
    <row r="11" spans="1:2" ht="14">
      <c r="A11" s="16"/>
      <c r="B11" s="16" t="s">
        <v>54</v>
      </c>
    </row>
    <row r="12" spans="1:2" ht="14">
      <c r="A12" s="16"/>
      <c r="B12" s="16" t="s">
        <v>55</v>
      </c>
    </row>
    <row r="13" spans="1:2" ht="13">
      <c r="A13" s="16"/>
      <c r="B13" s="16"/>
    </row>
    <row r="14" spans="1:2" ht="14">
      <c r="A14" s="16"/>
      <c r="B14" s="16" t="s">
        <v>56</v>
      </c>
    </row>
    <row r="15" spans="1:2" ht="14">
      <c r="A15" s="16"/>
      <c r="B15" s="16" t="s">
        <v>57</v>
      </c>
    </row>
    <row r="16" spans="1:2" ht="28">
      <c r="A16" s="16"/>
      <c r="B16" s="16" t="s">
        <v>58</v>
      </c>
    </row>
    <row r="17" spans="1:2" ht="14">
      <c r="A17" s="16"/>
      <c r="B17" s="16" t="s">
        <v>59</v>
      </c>
    </row>
    <row r="18" spans="1:2" ht="28">
      <c r="A18" s="16"/>
      <c r="B18" s="16" t="s">
        <v>60</v>
      </c>
    </row>
    <row r="19" spans="1:2" ht="28">
      <c r="A19" s="16"/>
      <c r="B19" s="16" t="s">
        <v>61</v>
      </c>
    </row>
    <row r="20" spans="1:2" ht="14">
      <c r="A20" s="16"/>
      <c r="B20" s="16" t="s">
        <v>62</v>
      </c>
    </row>
    <row r="21" spans="1:2" ht="28">
      <c r="A21" s="16"/>
      <c r="B21" s="16" t="s">
        <v>63</v>
      </c>
    </row>
    <row r="22" spans="1:2" ht="13">
      <c r="A22" s="16"/>
      <c r="B22" s="16"/>
    </row>
    <row r="23" spans="1:2" ht="154">
      <c r="A23" s="16"/>
      <c r="B23" s="16" t="s">
        <v>64</v>
      </c>
    </row>
    <row r="24" spans="1:2" ht="13">
      <c r="A24" s="16"/>
      <c r="B24" s="16"/>
    </row>
    <row r="25" spans="1:2" ht="112">
      <c r="A25" s="16"/>
      <c r="B25" s="16" t="s">
        <v>65</v>
      </c>
    </row>
    <row r="26" spans="1:2" ht="13">
      <c r="A26" s="16"/>
      <c r="B26" s="16"/>
    </row>
    <row r="27" spans="1:2" ht="84">
      <c r="A27" s="16"/>
      <c r="B27" s="16" t="s">
        <v>66</v>
      </c>
    </row>
    <row r="28" spans="1:2" ht="13">
      <c r="A28" s="16"/>
      <c r="B28" s="16"/>
    </row>
    <row r="29" spans="1:2" ht="84">
      <c r="A29" s="16"/>
      <c r="B29" s="16" t="s">
        <v>67</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L57"/>
  <sheetViews>
    <sheetView showGridLines="0" tabSelected="1" workbookViewId="0">
      <selection activeCell="H22" sqref="H22"/>
    </sheetView>
  </sheetViews>
  <sheetFormatPr baseColWidth="10" defaultColWidth="12.6640625" defaultRowHeight="15.75" customHeight="1"/>
  <cols>
    <col min="1" max="1" width="4.33203125" customWidth="1"/>
    <col min="2" max="2" width="41.6640625" customWidth="1"/>
    <col min="3" max="4" width="3.1640625" customWidth="1"/>
    <col min="7" max="7" width="10.5" customWidth="1"/>
    <col min="9" max="9" width="13.6640625" customWidth="1"/>
    <col min="10" max="11" width="8.33203125" customWidth="1"/>
    <col min="12" max="12" width="79.1640625" customWidth="1"/>
  </cols>
  <sheetData>
    <row r="1" spans="2:12" ht="15.75" customHeight="1">
      <c r="C1" s="17"/>
    </row>
    <row r="2" spans="2:12">
      <c r="B2" s="2" t="s">
        <v>21</v>
      </c>
      <c r="C2" s="17"/>
    </row>
    <row r="3" spans="2:12" ht="15.75" customHeight="1">
      <c r="B3" s="18" t="s">
        <v>68</v>
      </c>
      <c r="C3" s="17"/>
    </row>
    <row r="4" spans="2:12">
      <c r="B4" s="19"/>
    </row>
    <row r="5" spans="2:12">
      <c r="B5" s="19" t="s">
        <v>69</v>
      </c>
    </row>
    <row r="6" spans="2:12" ht="15.75" customHeight="1">
      <c r="B6" s="18" t="s">
        <v>70</v>
      </c>
      <c r="C6" s="17"/>
      <c r="D6" s="1"/>
      <c r="E6" s="1"/>
      <c r="F6" s="1"/>
    </row>
    <row r="7" spans="2:12" ht="15.75" customHeight="1">
      <c r="B7" s="13"/>
      <c r="C7" s="17"/>
      <c r="D7" s="1"/>
      <c r="E7" s="1"/>
      <c r="F7" s="1"/>
    </row>
    <row r="8" spans="2:12" ht="15.75" customHeight="1">
      <c r="B8" s="20" t="s">
        <v>71</v>
      </c>
      <c r="C8" s="21" t="s">
        <v>72</v>
      </c>
      <c r="D8" s="22"/>
      <c r="E8" s="22" t="s">
        <v>73</v>
      </c>
      <c r="F8" s="22" t="s">
        <v>37</v>
      </c>
      <c r="L8" s="23" t="s">
        <v>74</v>
      </c>
    </row>
    <row r="9" spans="2:12" ht="15.75" customHeight="1">
      <c r="B9" s="13" t="s">
        <v>75</v>
      </c>
      <c r="C9" s="24" t="s">
        <v>76</v>
      </c>
      <c r="D9" s="25"/>
      <c r="E9" s="26">
        <v>25000000</v>
      </c>
      <c r="F9" s="27">
        <f>E9</f>
        <v>25000000</v>
      </c>
      <c r="L9" s="13" t="s">
        <v>77</v>
      </c>
    </row>
    <row r="10" spans="2:12" ht="15.75" customHeight="1">
      <c r="B10" s="13" t="s">
        <v>78</v>
      </c>
      <c r="C10" s="17" t="s">
        <v>79</v>
      </c>
      <c r="D10" s="28"/>
      <c r="E10" s="29">
        <v>0.02</v>
      </c>
      <c r="F10" s="27">
        <f>E10*F$9</f>
        <v>500000</v>
      </c>
      <c r="L10" s="13" t="s">
        <v>80</v>
      </c>
    </row>
    <row r="11" spans="2:12" ht="15.75" customHeight="1">
      <c r="B11" s="13" t="s">
        <v>81</v>
      </c>
      <c r="C11" s="30" t="str">
        <f t="shared" ref="C11:C12" si="0">C$9</f>
        <v>$</v>
      </c>
      <c r="D11" s="25"/>
      <c r="E11" s="26">
        <v>100000</v>
      </c>
      <c r="F11" s="27">
        <f>E11</f>
        <v>100000</v>
      </c>
      <c r="L11" s="13" t="s">
        <v>82</v>
      </c>
    </row>
    <row r="12" spans="2:12" ht="15.75" customHeight="1">
      <c r="B12" s="13" t="s">
        <v>83</v>
      </c>
      <c r="C12" s="30" t="str">
        <f t="shared" si="0"/>
        <v>$</v>
      </c>
      <c r="D12" s="25"/>
      <c r="E12" s="26">
        <v>75000</v>
      </c>
      <c r="F12" s="27">
        <f ca="1">E12*E17</f>
        <v>750000</v>
      </c>
      <c r="I12" s="13"/>
      <c r="J12" s="13"/>
      <c r="K12" s="13"/>
      <c r="L12" s="13" t="s">
        <v>84</v>
      </c>
    </row>
    <row r="13" spans="2:12" ht="15.75" customHeight="1">
      <c r="B13" s="13" t="s">
        <v>85</v>
      </c>
      <c r="C13" s="17" t="s">
        <v>79</v>
      </c>
      <c r="D13" s="28"/>
      <c r="E13" s="29">
        <v>0.02</v>
      </c>
      <c r="F13" s="27">
        <f ca="1">Forecast!E41</f>
        <v>4900000</v>
      </c>
      <c r="I13" s="13"/>
      <c r="J13" s="13"/>
      <c r="K13" s="13"/>
      <c r="L13" s="13" t="s">
        <v>86</v>
      </c>
    </row>
    <row r="14" spans="2:12" ht="15.75" customHeight="1">
      <c r="B14" s="13" t="s">
        <v>87</v>
      </c>
      <c r="C14" s="17" t="s">
        <v>79</v>
      </c>
      <c r="D14" s="28"/>
      <c r="E14" s="29">
        <v>0.2</v>
      </c>
      <c r="F14" s="27">
        <f ca="1">E49</f>
        <v>14040000</v>
      </c>
      <c r="L14" s="13" t="s">
        <v>88</v>
      </c>
    </row>
    <row r="15" spans="2:12" ht="15.75" customHeight="1">
      <c r="B15" s="13" t="s">
        <v>89</v>
      </c>
      <c r="C15" s="17" t="s">
        <v>90</v>
      </c>
      <c r="D15" s="31"/>
      <c r="E15" s="32">
        <f>_xlfn.MAXIFS(Portfolio!E7:E71,Portfolio!D7:D71,"New Investment")</f>
        <v>4</v>
      </c>
      <c r="F15" s="33"/>
      <c r="I15" s="13"/>
      <c r="J15" s="13"/>
      <c r="K15" s="13"/>
      <c r="L15" s="13" t="s">
        <v>91</v>
      </c>
    </row>
    <row r="16" spans="2:12" ht="15.75" customHeight="1">
      <c r="B16" s="34" t="s">
        <v>92</v>
      </c>
      <c r="C16" s="17" t="s">
        <v>90</v>
      </c>
      <c r="D16" s="31"/>
      <c r="E16" s="32">
        <f ca="1">MIN(10,E17)</f>
        <v>10</v>
      </c>
      <c r="F16" s="33"/>
      <c r="I16" s="33"/>
      <c r="J16" s="33"/>
      <c r="K16" s="33"/>
      <c r="L16" s="33" t="s">
        <v>93</v>
      </c>
    </row>
    <row r="17" spans="2:12" ht="15.75" customHeight="1">
      <c r="B17" s="34" t="s">
        <v>94</v>
      </c>
      <c r="C17" s="17" t="s">
        <v>90</v>
      </c>
      <c r="D17" s="31"/>
      <c r="E17" s="32">
        <f ca="1">MAX(Portfolio!E7:E71)</f>
        <v>10</v>
      </c>
      <c r="L17" s="33" t="s">
        <v>95</v>
      </c>
    </row>
    <row r="18" spans="2:12" ht="15.75" customHeight="1">
      <c r="B18" s="34" t="s">
        <v>96</v>
      </c>
      <c r="C18" s="33"/>
      <c r="D18" s="33"/>
      <c r="E18" s="35">
        <f ca="1">MAX(0,E17-E16)</f>
        <v>0</v>
      </c>
      <c r="F18" s="33"/>
      <c r="I18" s="13"/>
      <c r="J18" s="13"/>
      <c r="K18" s="13"/>
    </row>
    <row r="19" spans="2:12" ht="15.75" customHeight="1">
      <c r="B19" s="13"/>
      <c r="C19" s="33"/>
      <c r="D19" s="33"/>
      <c r="E19" s="33"/>
      <c r="F19" s="33"/>
      <c r="I19" s="13"/>
      <c r="J19" s="13"/>
      <c r="K19" s="13"/>
    </row>
    <row r="20" spans="2:12" ht="15.75" customHeight="1">
      <c r="B20" s="13"/>
      <c r="C20" s="33"/>
      <c r="D20" s="33"/>
      <c r="E20" s="33"/>
      <c r="F20" s="33"/>
      <c r="I20" s="13"/>
      <c r="J20" s="13"/>
      <c r="K20" s="13"/>
    </row>
    <row r="21" spans="2:12">
      <c r="B21" s="19" t="s">
        <v>97</v>
      </c>
      <c r="C21" s="33"/>
      <c r="D21" s="33"/>
      <c r="E21" s="33"/>
      <c r="F21" s="33"/>
      <c r="I21" s="13"/>
      <c r="J21" s="13"/>
      <c r="K21" s="13"/>
    </row>
    <row r="22" spans="2:12" ht="15.75" customHeight="1">
      <c r="B22" s="18" t="s">
        <v>98</v>
      </c>
      <c r="C22" s="33"/>
      <c r="D22" s="36"/>
      <c r="E22" s="36"/>
      <c r="F22" s="36"/>
      <c r="I22" s="13"/>
      <c r="J22" s="13"/>
      <c r="K22" s="13"/>
      <c r="L22" s="13"/>
    </row>
    <row r="23" spans="2:12" ht="15.75" customHeight="1">
      <c r="B23" s="13"/>
      <c r="C23" s="17"/>
      <c r="D23" s="36"/>
      <c r="E23" s="36"/>
      <c r="F23" s="36"/>
      <c r="I23" s="13"/>
      <c r="J23" s="13"/>
      <c r="K23" s="13"/>
      <c r="L23" s="13"/>
    </row>
    <row r="24" spans="2:12" ht="15.75" customHeight="1">
      <c r="B24" s="20" t="s">
        <v>71</v>
      </c>
      <c r="C24" s="21" t="s">
        <v>72</v>
      </c>
      <c r="D24" s="37"/>
      <c r="E24" s="37" t="s">
        <v>99</v>
      </c>
      <c r="F24" s="37" t="s">
        <v>100</v>
      </c>
      <c r="I24" s="13"/>
      <c r="J24" s="13"/>
      <c r="K24" s="13"/>
      <c r="L24" s="13"/>
    </row>
    <row r="25" spans="2:12" ht="15.75" customHeight="1">
      <c r="B25" s="13" t="s">
        <v>101</v>
      </c>
      <c r="C25" s="17" t="s">
        <v>79</v>
      </c>
      <c r="D25" s="38"/>
      <c r="E25" s="39">
        <f ca="1">IFERROR(Forecast!E33/Forecast!E38,0)</f>
        <v>1</v>
      </c>
      <c r="F25" s="39">
        <f ca="1">1-E25</f>
        <v>0</v>
      </c>
      <c r="I25" s="13"/>
      <c r="J25" s="13"/>
      <c r="K25" s="13"/>
      <c r="L25" s="13" t="s">
        <v>102</v>
      </c>
    </row>
    <row r="26" spans="2:12" ht="15.75" customHeight="1">
      <c r="B26" s="13" t="s">
        <v>103</v>
      </c>
      <c r="C26" s="30" t="str">
        <f>C$9</f>
        <v>$</v>
      </c>
      <c r="D26" s="31"/>
      <c r="E26" s="35">
        <f ca="1">IFERROR(Forecast!E33/E27,0)</f>
        <v>962500</v>
      </c>
      <c r="F26" s="35">
        <f ca="1">IFERROR(Forecast!E36/F27,0)</f>
        <v>0</v>
      </c>
      <c r="I26" s="13"/>
      <c r="J26" s="13"/>
      <c r="K26" s="13"/>
      <c r="L26" s="13" t="s">
        <v>102</v>
      </c>
    </row>
    <row r="27" spans="2:12" ht="15.75" customHeight="1">
      <c r="B27" s="13" t="s">
        <v>104</v>
      </c>
      <c r="C27" s="17" t="s">
        <v>90</v>
      </c>
      <c r="D27" s="40"/>
      <c r="E27" s="35">
        <f>COUNTIF(Portfolio!D:D,"New Investment")</f>
        <v>20</v>
      </c>
      <c r="F27" s="35">
        <f>COUNTIF(Portfolio!D:D,"Follow Investment")</f>
        <v>0</v>
      </c>
      <c r="I27" s="13"/>
      <c r="J27" s="13"/>
      <c r="K27" s="13"/>
      <c r="L27" s="13" t="s">
        <v>102</v>
      </c>
    </row>
    <row r="29" spans="2:12">
      <c r="B29" s="19"/>
      <c r="C29" s="17"/>
    </row>
    <row r="30" spans="2:12">
      <c r="B30" s="19" t="s">
        <v>105</v>
      </c>
      <c r="C30" s="17"/>
    </row>
    <row r="31" spans="2:12" ht="15.75" customHeight="1">
      <c r="B31" s="18" t="s">
        <v>106</v>
      </c>
      <c r="C31" s="17"/>
      <c r="D31" s="13"/>
      <c r="E31" s="13"/>
      <c r="F31" s="13"/>
      <c r="G31" s="13"/>
    </row>
    <row r="32" spans="2:12" ht="15.75" customHeight="1">
      <c r="B32" s="13"/>
      <c r="C32" s="17"/>
      <c r="D32" s="13"/>
      <c r="E32" s="13"/>
      <c r="F32" s="13"/>
      <c r="G32" s="13"/>
    </row>
    <row r="33" spans="2:12" ht="15.75" customHeight="1">
      <c r="B33" s="20" t="s">
        <v>107</v>
      </c>
      <c r="C33" s="21" t="s">
        <v>72</v>
      </c>
      <c r="D33" s="20"/>
      <c r="E33" s="20" t="s">
        <v>108</v>
      </c>
      <c r="F33" s="20" t="s">
        <v>109</v>
      </c>
      <c r="G33" s="20" t="s">
        <v>110</v>
      </c>
      <c r="H33" s="20" t="s">
        <v>111</v>
      </c>
      <c r="I33" s="20" t="s">
        <v>112</v>
      </c>
      <c r="L33" s="13" t="s">
        <v>113</v>
      </c>
    </row>
    <row r="34" spans="2:12" ht="15.75" customHeight="1">
      <c r="B34" s="41" t="s">
        <v>114</v>
      </c>
      <c r="C34" s="17" t="s">
        <v>115</v>
      </c>
      <c r="D34" s="38"/>
      <c r="E34" s="39">
        <f t="shared" ref="E34:E37" si="1">IFERROR(F34/F$38,0)</f>
        <v>0.15</v>
      </c>
      <c r="F34" s="35" cm="1">
        <f t="array" ref="F34">SUMPRODUCT(--(IF(Portfolio!F7:F71&lt;&gt;0, -1*(Portfolio!G7:G71/Portfolio!F7:F71)&lt;I35, FALSE)),--(Portfolio!D7:D71="Proceeds"))</f>
        <v>3</v>
      </c>
      <c r="G34" s="42">
        <v>0</v>
      </c>
      <c r="H34" s="39">
        <f ca="1">IFERROR(SUMPRODUCT(--(IF(Portfolio!F7:F71&lt;&gt;0, -1*(Portfolio!G7:G71/Portfolio!F7:F71)&lt;I35, FALSE)),--(Portfolio!D7:D71="Proceeds"), Portfolio!G7:G71)/Forecast!E43,0)</f>
        <v>0</v>
      </c>
      <c r="I34" s="43">
        <v>0</v>
      </c>
      <c r="L34" s="13" t="s">
        <v>116</v>
      </c>
    </row>
    <row r="35" spans="2:12" ht="15.75" customHeight="1">
      <c r="B35" s="41" t="s">
        <v>117</v>
      </c>
      <c r="C35" s="17" t="s">
        <v>115</v>
      </c>
      <c r="D35" s="38"/>
      <c r="E35" s="39">
        <f t="shared" si="1"/>
        <v>0.3</v>
      </c>
      <c r="F35" s="35" cm="1">
        <f t="array" ref="F35">SUMPRODUCT(--(IF(Portfolio!F7:F71&lt;&gt;0, -1*(Portfolio!G7:G71/Portfolio!F7:F71)&gt;=I35, FALSE)),--(IF(Portfolio!F7:F71&lt;&gt;0, -1*(Portfolio!G7:G71/Portfolio!F7:F71)&lt;I36, FALSE)))</f>
        <v>6</v>
      </c>
      <c r="G35" s="42" cm="1">
        <f t="array" ref="G35">SUMPRODUCT(--(IF(Portfolio!F7:F71&lt;&gt;0, -1*(Portfolio!G7:G71/Portfolio!F7:F71)&gt;=I35, FALSE)),--(IF(Portfolio!F7:F71&lt;&gt;0, -1*(Portfolio!G7:G71/Portfolio!F7:F71)&lt;I36, FALSE)), Portfolio!G7:G71)/SUMPRODUCT(--(IF(Portfolio!F7:F71&lt;&gt;0, -1*(Portfolio!G7:G71/Portfolio!F7:F71)&gt;=I35, FALSE)),--(IF(Portfolio!F7:F71&lt;&gt;0, -1*(Portfolio!G7:G71/Portfolio!F7:F71)&lt;I36, FALSE)), Portfolio!F7:F71)*-1</f>
        <v>1.4750000000000001</v>
      </c>
      <c r="H35" s="39">
        <f ca="1">IFERROR(SUMPRODUCT(--(IF(Portfolio!F7:F71&lt;&gt;0, -1*(Portfolio!G7:G71/Portfolio!F7:F71)&gt;=I35, FALSE)),--(IF(Portfolio!F7:F71&lt;&gt;0, -1*(Portfolio!G7:G71/Portfolio!F7:F71)&lt;I36, FALSE)), Portfolio!G7:G71)/Forecast!E43,0)</f>
        <v>0</v>
      </c>
      <c r="I35" s="44">
        <f>0.01</f>
        <v>0.01</v>
      </c>
      <c r="L35" s="13" t="s">
        <v>118</v>
      </c>
    </row>
    <row r="36" spans="2:12" ht="15.75" customHeight="1">
      <c r="B36" s="41" t="s">
        <v>119</v>
      </c>
      <c r="C36" s="17" t="s">
        <v>115</v>
      </c>
      <c r="D36" s="38"/>
      <c r="E36" s="39">
        <f t="shared" si="1"/>
        <v>0.45</v>
      </c>
      <c r="F36" s="35" cm="1">
        <f t="array" ref="F36">SUMPRODUCT(--(IF(Portfolio!F7:F71&lt;&gt;0, -1*(Portfolio!G7:G71/Portfolio!F7:F71)&gt;=I36, FALSE)),--(IF(Portfolio!F7:F71&lt;&gt;0, -1*(Portfolio!G7:G71/Portfolio!F7:F71)&lt;I37, FALSE)))</f>
        <v>9</v>
      </c>
      <c r="G36" s="42" cm="1">
        <f t="array" ref="G36">SUMPRODUCT(--(IF(Portfolio!F7:F71&lt;&gt;0, -1*(Portfolio!G7:G71/Portfolio!F7:F71)&gt;=I36, FALSE)),--(IF(Portfolio!F7:F71&lt;&gt;0, -1*(Portfolio!G7:G71/Portfolio!F7:F71)&lt;I37, FALSE)), Portfolio!G7:G71)/SUMPRODUCT(--(IF(Portfolio!F7:F71&lt;&gt;0, -1*(Portfolio!G7:G71/Portfolio!F7:F71)&gt;=I36, FALSE)),--(IF(Portfolio!F7:F71&lt;&gt;0, -1*(Portfolio!G7:G71/Portfolio!F7:F71)&lt;I37, FALSE)), Portfolio!F7:F71)*-1</f>
        <v>4.2545454545454549</v>
      </c>
      <c r="H36" s="39">
        <f ca="1">IFERROR(SUMPRODUCT(--(IF(Portfolio!F7:F71&lt;&gt;0, -1*(Portfolio!G7:G71/Portfolio!F7:F71)&gt;=I36, FALSE)),--(IF(Portfolio!F7:F71&lt;&gt;0, -1*(Portfolio!G7:G71/Portfolio!F7:F71)&lt;I37, FALSE)), Portfolio!G7:G71)/Forecast!E43,0)</f>
        <v>0</v>
      </c>
      <c r="I36" s="44">
        <v>3</v>
      </c>
      <c r="L36" s="13" t="s">
        <v>120</v>
      </c>
    </row>
    <row r="37" spans="2:12" ht="15.75" customHeight="1">
      <c r="B37" s="41" t="s">
        <v>121</v>
      </c>
      <c r="C37" s="17" t="s">
        <v>115</v>
      </c>
      <c r="D37" s="39"/>
      <c r="E37" s="39">
        <f t="shared" si="1"/>
        <v>0.1</v>
      </c>
      <c r="F37" s="35" cm="1">
        <f t="array" ref="F37">SUMPRODUCT(--(IF(Portfolio!F7:F71&lt;&gt;0, -1*(Portfolio!G7:G71/Portfolio!F7:F71)&gt;=I37, FALSE)))</f>
        <v>2</v>
      </c>
      <c r="G37" s="42" cm="1">
        <f t="array" ref="G37">SUMPRODUCT(--(IF(Portfolio!F7:F71&lt;&gt;0, -1*(Portfolio!G7:G71/Portfolio!F7:F71)&gt;=I37, FALSE)),Portfolio!G7:G71)/SUMPRODUCT(--(IF(Portfolio!F7:F71&lt;&gt;0, -1*(Portfolio!G7:G71/Portfolio!F7:F71)&gt;=I37, FALSE)),Portfolio!F7:F71)*-1</f>
        <v>25.625</v>
      </c>
      <c r="H37" s="39">
        <f ca="1">IFERROR(SUMPRODUCT(--(IF(Portfolio!F7:F71&lt;&gt;0, -1*(Portfolio!G7:G71/Portfolio!F7:F71)&gt;=I37, FALSE)), Portfolio!G7:G71)/Forecast!E43,0)</f>
        <v>0</v>
      </c>
      <c r="I37" s="44">
        <v>10</v>
      </c>
      <c r="L37" s="13" t="s">
        <v>122</v>
      </c>
    </row>
    <row r="38" spans="2:12" ht="15.75" customHeight="1">
      <c r="B38" s="45" t="s">
        <v>123</v>
      </c>
      <c r="C38" s="17"/>
      <c r="D38" s="39"/>
      <c r="E38" s="46">
        <f t="shared" ref="E38:F38" si="2">SUM(E34:E37)</f>
        <v>0.99999999999999989</v>
      </c>
      <c r="F38" s="47">
        <f t="shared" si="2"/>
        <v>20</v>
      </c>
      <c r="G38" s="48">
        <f ca="1">Forecast!E97</f>
        <v>4.9454545454545453</v>
      </c>
      <c r="H38" s="46">
        <f ca="1">SUM(H34:H37)</f>
        <v>0</v>
      </c>
      <c r="I38" s="49"/>
      <c r="L38" s="13" t="s">
        <v>124</v>
      </c>
    </row>
    <row r="39" spans="2:12">
      <c r="B39" s="19"/>
      <c r="C39" s="17"/>
    </row>
    <row r="40" spans="2:12">
      <c r="B40" s="19" t="s">
        <v>125</v>
      </c>
      <c r="C40" s="17"/>
    </row>
    <row r="41" spans="2:12" ht="15.75" customHeight="1">
      <c r="B41" s="18" t="s">
        <v>126</v>
      </c>
      <c r="C41" s="17"/>
      <c r="D41" s="27"/>
      <c r="E41" s="27"/>
    </row>
    <row r="42" spans="2:12" ht="15.75" customHeight="1">
      <c r="B42" s="13"/>
      <c r="C42" s="17"/>
      <c r="D42" s="27"/>
      <c r="E42" s="27"/>
    </row>
    <row r="43" spans="2:12" ht="15.75" customHeight="1">
      <c r="B43" s="13" t="s">
        <v>127</v>
      </c>
      <c r="C43" s="30" t="str">
        <f t="shared" ref="C43:C50" si="3">C$9</f>
        <v>$</v>
      </c>
      <c r="D43" s="35"/>
      <c r="E43" s="35">
        <f ca="1">Forecast!E31</f>
        <v>25000000</v>
      </c>
      <c r="L43" s="34" t="s">
        <v>128</v>
      </c>
    </row>
    <row r="44" spans="2:12" ht="15.75" customHeight="1">
      <c r="B44" s="13" t="s">
        <v>129</v>
      </c>
      <c r="C44" s="30" t="str">
        <f t="shared" si="3"/>
        <v>$</v>
      </c>
      <c r="D44" s="35"/>
      <c r="E44" s="35">
        <f ca="1">Forecast!E41+Forecast!E40+Forecast!E39</f>
        <v>5750000</v>
      </c>
      <c r="G44" s="27"/>
      <c r="L44" s="34" t="s">
        <v>130</v>
      </c>
    </row>
    <row r="45" spans="2:12" ht="15.75" customHeight="1">
      <c r="B45" s="13" t="str">
        <f>"Budgeted "&amp;B47</f>
        <v>Budgeted Invested Capital</v>
      </c>
      <c r="C45" s="30" t="str">
        <f t="shared" si="3"/>
        <v>$</v>
      </c>
      <c r="D45" s="35"/>
      <c r="E45" s="35">
        <f ca="1">Forecast!E38-Forecast!E42</f>
        <v>19250000</v>
      </c>
      <c r="F45" s="35"/>
      <c r="L45" s="34" t="s">
        <v>131</v>
      </c>
    </row>
    <row r="46" spans="2:12" ht="15.75" customHeight="1">
      <c r="B46" s="13" t="s">
        <v>132</v>
      </c>
      <c r="C46" s="30" t="str">
        <f t="shared" si="3"/>
        <v>$</v>
      </c>
      <c r="D46" s="35"/>
      <c r="E46" s="35">
        <f ca="1">Forecast!E42</f>
        <v>0</v>
      </c>
      <c r="L46" s="34" t="s">
        <v>133</v>
      </c>
    </row>
    <row r="47" spans="2:12" ht="15.75" customHeight="1">
      <c r="B47" s="13" t="s">
        <v>134</v>
      </c>
      <c r="C47" s="30" t="str">
        <f t="shared" si="3"/>
        <v>$</v>
      </c>
      <c r="D47" s="35"/>
      <c r="E47" s="35">
        <f ca="1">E45+E46</f>
        <v>19250000</v>
      </c>
      <c r="L47" s="34" t="s">
        <v>135</v>
      </c>
    </row>
    <row r="48" spans="2:12" ht="15.75" customHeight="1">
      <c r="B48" s="13" t="s">
        <v>136</v>
      </c>
      <c r="C48" s="30" t="str">
        <f t="shared" si="3"/>
        <v>$</v>
      </c>
      <c r="D48" s="35"/>
      <c r="E48" s="35">
        <f ca="1">Forecast!E43</f>
        <v>95200000</v>
      </c>
      <c r="L48" s="13" t="s">
        <v>137</v>
      </c>
    </row>
    <row r="49" spans="2:12" ht="15.75" customHeight="1">
      <c r="B49" s="13" t="s">
        <v>138</v>
      </c>
      <c r="C49" s="30" t="str">
        <f t="shared" si="3"/>
        <v>$</v>
      </c>
      <c r="D49" s="35"/>
      <c r="E49" s="35">
        <f ca="1">Forecast!E134</f>
        <v>14040000</v>
      </c>
      <c r="L49" s="13" t="s">
        <v>137</v>
      </c>
    </row>
    <row r="50" spans="2:12" ht="15.75" customHeight="1">
      <c r="B50" s="13" t="s">
        <v>139</v>
      </c>
      <c r="C50" s="30" t="str">
        <f t="shared" si="3"/>
        <v>$</v>
      </c>
      <c r="D50" s="35"/>
      <c r="E50" s="35">
        <f ca="1">Forecast!E47</f>
        <v>81160000</v>
      </c>
      <c r="L50" s="13" t="s">
        <v>137</v>
      </c>
    </row>
    <row r="51" spans="2:12" ht="15.75" customHeight="1">
      <c r="B51" s="13"/>
      <c r="C51" s="17"/>
      <c r="D51" s="34"/>
      <c r="E51" s="34"/>
    </row>
    <row r="52" spans="2:12" ht="15.75" customHeight="1">
      <c r="B52" s="13" t="s">
        <v>140</v>
      </c>
      <c r="C52" s="17" t="s">
        <v>90</v>
      </c>
      <c r="D52" s="50"/>
      <c r="E52" s="50">
        <f ca="1">Forecast!E97</f>
        <v>4.9454545454545453</v>
      </c>
      <c r="G52" s="39"/>
      <c r="I52" s="13"/>
      <c r="J52" s="13"/>
      <c r="K52" s="13"/>
      <c r="L52" s="13" t="s">
        <v>141</v>
      </c>
    </row>
    <row r="53" spans="2:12" ht="15.75" customHeight="1">
      <c r="B53" s="13" t="s">
        <v>142</v>
      </c>
      <c r="C53" s="17" t="s">
        <v>90</v>
      </c>
      <c r="D53" s="50"/>
      <c r="E53" s="50">
        <f ca="1">Forecast!E101</f>
        <v>3.2464</v>
      </c>
      <c r="I53" s="13"/>
      <c r="J53" s="13"/>
      <c r="K53" s="13"/>
      <c r="L53" s="13" t="s">
        <v>143</v>
      </c>
    </row>
    <row r="54" spans="2:12" ht="13">
      <c r="B54" s="13" t="s">
        <v>144</v>
      </c>
      <c r="C54" s="17" t="s">
        <v>79</v>
      </c>
      <c r="D54" s="51"/>
      <c r="E54" s="51">
        <f ca="1">Forecast!E98</f>
        <v>0.6935253262519836</v>
      </c>
      <c r="I54" s="13"/>
      <c r="J54" s="13"/>
      <c r="K54" s="13"/>
      <c r="L54" s="13" t="s">
        <v>145</v>
      </c>
    </row>
    <row r="55" spans="2:12" ht="13">
      <c r="B55" s="13" t="s">
        <v>146</v>
      </c>
      <c r="C55" s="17" t="s">
        <v>79</v>
      </c>
      <c r="D55" s="51"/>
      <c r="E55" s="51">
        <f ca="1">Forecast!E102</f>
        <v>0.5046204507350921</v>
      </c>
      <c r="I55" s="13"/>
      <c r="J55" s="13"/>
      <c r="K55" s="13"/>
      <c r="L55" s="13" t="s">
        <v>145</v>
      </c>
    </row>
    <row r="56" spans="2:12" ht="13">
      <c r="B56" s="34" t="s">
        <v>147</v>
      </c>
      <c r="C56" s="52" t="s">
        <v>79</v>
      </c>
      <c r="D56" s="51"/>
      <c r="E56" s="51">
        <f ca="1">Forecast!E93</f>
        <v>0.61821038961038965</v>
      </c>
    </row>
    <row r="57" spans="2:12" ht="13">
      <c r="B57" s="13"/>
      <c r="C57"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showGridLines="0" workbookViewId="0"/>
  </sheetViews>
  <sheetFormatPr baseColWidth="10" defaultColWidth="12.6640625" defaultRowHeight="15.75" customHeight="1"/>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R71"/>
  <sheetViews>
    <sheetView showGridLines="0" workbookViewId="0"/>
  </sheetViews>
  <sheetFormatPr baseColWidth="10" defaultColWidth="12.6640625" defaultRowHeight="15.75" customHeight="1"/>
  <cols>
    <col min="1" max="1" width="5.33203125" customWidth="1"/>
    <col min="2" max="2" width="5.5" customWidth="1"/>
    <col min="3" max="3" width="20.5" customWidth="1"/>
    <col min="4" max="4" width="16.1640625" customWidth="1"/>
    <col min="6" max="8" width="13" customWidth="1"/>
    <col min="9" max="9" width="12.5" customWidth="1"/>
    <col min="10" max="18" width="9.83203125" customWidth="1"/>
  </cols>
  <sheetData>
    <row r="2" spans="1:18">
      <c r="B2" s="2" t="s">
        <v>148</v>
      </c>
    </row>
    <row r="3" spans="1:18" ht="15.75" customHeight="1">
      <c r="B3" s="18" t="s">
        <v>149</v>
      </c>
      <c r="K3" s="53" t="s">
        <v>150</v>
      </c>
    </row>
    <row r="4" spans="1:18" ht="15.75" customHeight="1">
      <c r="K4" s="53"/>
      <c r="L4" s="54"/>
      <c r="M4" s="54"/>
      <c r="N4" s="54"/>
      <c r="O4" s="54"/>
      <c r="P4" s="54"/>
      <c r="Q4" s="54"/>
      <c r="R4" s="54"/>
    </row>
    <row r="5" spans="1:18" ht="15.75" customHeight="1">
      <c r="A5" s="55"/>
      <c r="B5" s="56" t="s">
        <v>90</v>
      </c>
      <c r="C5" s="57" t="s">
        <v>151</v>
      </c>
      <c r="D5" s="56" t="s">
        <v>152</v>
      </c>
      <c r="E5" s="58">
        <v>0</v>
      </c>
      <c r="F5" s="56" t="s">
        <v>151</v>
      </c>
      <c r="G5" s="56" t="s">
        <v>136</v>
      </c>
      <c r="H5" s="56" t="s">
        <v>153</v>
      </c>
      <c r="I5" s="56" t="s">
        <v>154</v>
      </c>
      <c r="K5" s="59" t="s">
        <v>155</v>
      </c>
      <c r="L5" s="59" t="s">
        <v>156</v>
      </c>
      <c r="M5" s="59" t="s">
        <v>157</v>
      </c>
      <c r="N5" s="59" t="s">
        <v>158</v>
      </c>
      <c r="O5" s="59" t="s">
        <v>159</v>
      </c>
      <c r="P5" s="59" t="s">
        <v>160</v>
      </c>
      <c r="Q5" s="59" t="s">
        <v>161</v>
      </c>
      <c r="R5" s="60"/>
    </row>
    <row r="6" spans="1:18" ht="15.75" customHeight="1">
      <c r="A6" s="61"/>
      <c r="B6" s="61"/>
      <c r="C6" s="61" t="s">
        <v>162</v>
      </c>
      <c r="D6" s="61"/>
      <c r="E6" s="61"/>
      <c r="F6" s="61" t="s">
        <v>163</v>
      </c>
      <c r="G6" s="61" t="s">
        <v>164</v>
      </c>
      <c r="H6" s="61" t="s">
        <v>165</v>
      </c>
      <c r="I6" s="61" t="s">
        <v>166</v>
      </c>
      <c r="J6" s="61"/>
      <c r="K6" s="61"/>
      <c r="L6" s="61"/>
      <c r="M6" s="61"/>
      <c r="N6" s="61"/>
      <c r="O6" s="61"/>
      <c r="P6" s="61"/>
      <c r="Q6" s="61"/>
      <c r="R6" s="60"/>
    </row>
    <row r="7" spans="1:18" ht="15.75" customHeight="1">
      <c r="B7" s="17">
        <f t="shared" ref="B7:B71" si="0">IF(ISBLANK(C7)=FALSE,B6+1,"")</f>
        <v>1</v>
      </c>
      <c r="C7" s="41" t="s">
        <v>167</v>
      </c>
      <c r="D7" s="41" t="s">
        <v>168</v>
      </c>
      <c r="E7" s="62">
        <v>1</v>
      </c>
      <c r="F7" s="62">
        <v>1000000</v>
      </c>
      <c r="G7" s="62"/>
      <c r="H7" s="62"/>
      <c r="I7" s="62"/>
      <c r="K7" s="62">
        <f t="shared" ref="K7:K71" si="1">IF(ISERROR(H7/L7),0,H7/L7)</f>
        <v>0</v>
      </c>
      <c r="L7" s="63">
        <v>0</v>
      </c>
      <c r="M7" s="62">
        <v>0</v>
      </c>
      <c r="N7" s="64"/>
      <c r="O7" s="65"/>
      <c r="P7" s="62">
        <v>0</v>
      </c>
      <c r="Q7" s="65"/>
      <c r="R7" s="60"/>
    </row>
    <row r="8" spans="1:18" ht="15.75" customHeight="1">
      <c r="B8" s="17">
        <f t="shared" si="0"/>
        <v>2</v>
      </c>
      <c r="C8" s="41" t="s">
        <v>167</v>
      </c>
      <c r="D8" s="41" t="s">
        <v>168</v>
      </c>
      <c r="E8" s="62">
        <v>1</v>
      </c>
      <c r="F8" s="62">
        <v>1000000</v>
      </c>
      <c r="G8" s="62"/>
      <c r="H8" s="62"/>
      <c r="I8" s="62"/>
      <c r="K8" s="62">
        <f t="shared" si="1"/>
        <v>0</v>
      </c>
      <c r="L8" s="63">
        <v>0</v>
      </c>
      <c r="M8" s="62">
        <v>0</v>
      </c>
      <c r="N8" s="64"/>
      <c r="O8" s="65"/>
      <c r="P8" s="62">
        <v>0</v>
      </c>
      <c r="Q8" s="65"/>
      <c r="R8" s="60"/>
    </row>
    <row r="9" spans="1:18" ht="15.75" customHeight="1">
      <c r="B9" s="17">
        <f t="shared" si="0"/>
        <v>3</v>
      </c>
      <c r="C9" s="41" t="s">
        <v>167</v>
      </c>
      <c r="D9" s="41" t="s">
        <v>168</v>
      </c>
      <c r="E9" s="62">
        <v>1</v>
      </c>
      <c r="F9" s="62">
        <v>1000000</v>
      </c>
      <c r="G9" s="62"/>
      <c r="H9" s="62"/>
      <c r="I9" s="62"/>
      <c r="K9" s="62">
        <f t="shared" si="1"/>
        <v>0</v>
      </c>
      <c r="L9" s="63">
        <v>0</v>
      </c>
      <c r="M9" s="62">
        <v>0</v>
      </c>
      <c r="N9" s="64"/>
      <c r="O9" s="65"/>
      <c r="P9" s="62">
        <v>0</v>
      </c>
      <c r="Q9" s="65"/>
      <c r="R9" s="60"/>
    </row>
    <row r="10" spans="1:18" ht="15.75" customHeight="1">
      <c r="B10" s="17">
        <f t="shared" si="0"/>
        <v>4</v>
      </c>
      <c r="C10" s="41" t="s">
        <v>167</v>
      </c>
      <c r="D10" s="41" t="s">
        <v>168</v>
      </c>
      <c r="E10" s="62">
        <v>1</v>
      </c>
      <c r="F10" s="62">
        <v>1000000</v>
      </c>
      <c r="G10" s="62"/>
      <c r="H10" s="62"/>
      <c r="I10" s="62"/>
      <c r="K10" s="62">
        <f t="shared" si="1"/>
        <v>0</v>
      </c>
      <c r="L10" s="63">
        <v>0</v>
      </c>
      <c r="M10" s="62">
        <v>0</v>
      </c>
      <c r="N10" s="64"/>
      <c r="O10" s="65"/>
      <c r="P10" s="62">
        <v>0</v>
      </c>
      <c r="Q10" s="65"/>
    </row>
    <row r="11" spans="1:18" ht="15.75" customHeight="1">
      <c r="B11" s="17">
        <f t="shared" si="0"/>
        <v>5</v>
      </c>
      <c r="C11" s="41" t="s">
        <v>167</v>
      </c>
      <c r="D11" s="41" t="s">
        <v>168</v>
      </c>
      <c r="E11" s="62">
        <v>1</v>
      </c>
      <c r="F11" s="62">
        <v>1000000</v>
      </c>
      <c r="G11" s="62"/>
      <c r="H11" s="62"/>
      <c r="I11" s="62"/>
      <c r="K11" s="62">
        <f t="shared" si="1"/>
        <v>0</v>
      </c>
      <c r="L11" s="63">
        <v>0</v>
      </c>
      <c r="M11" s="62">
        <v>0</v>
      </c>
      <c r="N11" s="64"/>
      <c r="O11" s="65"/>
      <c r="P11" s="62">
        <v>0</v>
      </c>
      <c r="Q11" s="65"/>
    </row>
    <row r="12" spans="1:18" ht="15.75" customHeight="1">
      <c r="B12" s="17">
        <f t="shared" si="0"/>
        <v>6</v>
      </c>
      <c r="C12" s="41" t="s">
        <v>167</v>
      </c>
      <c r="D12" s="41" t="s">
        <v>168</v>
      </c>
      <c r="E12" s="66">
        <f t="shared" ref="E12:E26" si="2">E7+1</f>
        <v>2</v>
      </c>
      <c r="F12" s="62">
        <v>1000000</v>
      </c>
      <c r="G12" s="62"/>
      <c r="H12" s="62"/>
      <c r="I12" s="62"/>
      <c r="K12" s="62">
        <f t="shared" si="1"/>
        <v>0</v>
      </c>
      <c r="L12" s="63">
        <v>0</v>
      </c>
      <c r="M12" s="62">
        <v>0</v>
      </c>
      <c r="N12" s="64"/>
      <c r="O12" s="65"/>
      <c r="P12" s="62">
        <v>0</v>
      </c>
      <c r="Q12" s="65"/>
    </row>
    <row r="13" spans="1:18" ht="15.75" customHeight="1">
      <c r="B13" s="17">
        <f t="shared" si="0"/>
        <v>7</v>
      </c>
      <c r="C13" s="41" t="s">
        <v>167</v>
      </c>
      <c r="D13" s="41" t="s">
        <v>168</v>
      </c>
      <c r="E13" s="66">
        <f t="shared" si="2"/>
        <v>2</v>
      </c>
      <c r="F13" s="62">
        <v>1000000</v>
      </c>
      <c r="G13" s="62"/>
      <c r="H13" s="62"/>
      <c r="I13" s="62"/>
      <c r="K13" s="62">
        <f t="shared" si="1"/>
        <v>0</v>
      </c>
      <c r="L13" s="63">
        <v>0</v>
      </c>
      <c r="M13" s="62">
        <v>0</v>
      </c>
      <c r="N13" s="64"/>
      <c r="O13" s="65"/>
      <c r="P13" s="62">
        <v>0</v>
      </c>
      <c r="Q13" s="65"/>
    </row>
    <row r="14" spans="1:18" ht="15.75" customHeight="1">
      <c r="B14" s="17">
        <f t="shared" si="0"/>
        <v>8</v>
      </c>
      <c r="C14" s="41" t="s">
        <v>167</v>
      </c>
      <c r="D14" s="41" t="s">
        <v>168</v>
      </c>
      <c r="E14" s="66">
        <f t="shared" si="2"/>
        <v>2</v>
      </c>
      <c r="F14" s="62">
        <v>1000000</v>
      </c>
      <c r="G14" s="62"/>
      <c r="H14" s="62"/>
      <c r="I14" s="62"/>
      <c r="K14" s="62">
        <f t="shared" si="1"/>
        <v>0</v>
      </c>
      <c r="L14" s="63">
        <v>0</v>
      </c>
      <c r="M14" s="62">
        <v>0</v>
      </c>
      <c r="N14" s="64"/>
      <c r="O14" s="65"/>
      <c r="P14" s="62">
        <v>0</v>
      </c>
      <c r="Q14" s="65"/>
    </row>
    <row r="15" spans="1:18" ht="15.75" customHeight="1">
      <c r="B15" s="17">
        <f t="shared" si="0"/>
        <v>9</v>
      </c>
      <c r="C15" s="41" t="s">
        <v>167</v>
      </c>
      <c r="D15" s="41" t="s">
        <v>168</v>
      </c>
      <c r="E15" s="66">
        <f t="shared" si="2"/>
        <v>2</v>
      </c>
      <c r="F15" s="62">
        <v>1000000</v>
      </c>
      <c r="G15" s="62"/>
      <c r="H15" s="62"/>
      <c r="I15" s="62"/>
      <c r="K15" s="62">
        <f t="shared" si="1"/>
        <v>0</v>
      </c>
      <c r="L15" s="63">
        <v>0</v>
      </c>
      <c r="M15" s="62">
        <v>0</v>
      </c>
      <c r="N15" s="64"/>
      <c r="O15" s="65"/>
      <c r="P15" s="62">
        <v>0</v>
      </c>
      <c r="Q15" s="65"/>
    </row>
    <row r="16" spans="1:18" ht="15.75" customHeight="1">
      <c r="B16" s="17">
        <f t="shared" si="0"/>
        <v>10</v>
      </c>
      <c r="C16" s="41" t="s">
        <v>167</v>
      </c>
      <c r="D16" s="41" t="s">
        <v>168</v>
      </c>
      <c r="E16" s="66">
        <f t="shared" si="2"/>
        <v>2</v>
      </c>
      <c r="F16" s="62">
        <v>1000000</v>
      </c>
      <c r="G16" s="62"/>
      <c r="H16" s="62"/>
      <c r="I16" s="62"/>
      <c r="K16" s="62">
        <f t="shared" si="1"/>
        <v>0</v>
      </c>
      <c r="L16" s="63">
        <v>0</v>
      </c>
      <c r="M16" s="62">
        <v>0</v>
      </c>
      <c r="N16" s="64"/>
      <c r="O16" s="65"/>
      <c r="P16" s="62">
        <v>0</v>
      </c>
      <c r="Q16" s="65"/>
    </row>
    <row r="17" spans="2:17" ht="15.75" customHeight="1">
      <c r="B17" s="17">
        <f t="shared" si="0"/>
        <v>11</v>
      </c>
      <c r="C17" s="41" t="s">
        <v>167</v>
      </c>
      <c r="D17" s="41" t="s">
        <v>168</v>
      </c>
      <c r="E17" s="66">
        <f t="shared" si="2"/>
        <v>3</v>
      </c>
      <c r="F17" s="62">
        <v>1000000</v>
      </c>
      <c r="G17" s="62"/>
      <c r="H17" s="62"/>
      <c r="I17" s="62"/>
      <c r="K17" s="62">
        <f t="shared" si="1"/>
        <v>0</v>
      </c>
      <c r="L17" s="63">
        <v>0</v>
      </c>
      <c r="M17" s="62">
        <v>0</v>
      </c>
      <c r="N17" s="64"/>
      <c r="O17" s="65"/>
      <c r="P17" s="62">
        <v>0</v>
      </c>
      <c r="Q17" s="65"/>
    </row>
    <row r="18" spans="2:17" ht="15.75" customHeight="1">
      <c r="B18" s="17">
        <f t="shared" si="0"/>
        <v>12</v>
      </c>
      <c r="C18" s="41" t="s">
        <v>167</v>
      </c>
      <c r="D18" s="41" t="s">
        <v>168</v>
      </c>
      <c r="E18" s="66">
        <f t="shared" si="2"/>
        <v>3</v>
      </c>
      <c r="F18" s="62">
        <v>1000000</v>
      </c>
      <c r="G18" s="62"/>
      <c r="H18" s="62"/>
      <c r="I18" s="62"/>
      <c r="K18" s="62">
        <f t="shared" si="1"/>
        <v>0</v>
      </c>
      <c r="L18" s="63">
        <v>0</v>
      </c>
      <c r="M18" s="62">
        <v>0</v>
      </c>
      <c r="N18" s="64"/>
      <c r="O18" s="65"/>
      <c r="P18" s="62">
        <v>0</v>
      </c>
      <c r="Q18" s="65"/>
    </row>
    <row r="19" spans="2:17" ht="15.75" customHeight="1">
      <c r="B19" s="17">
        <f t="shared" si="0"/>
        <v>13</v>
      </c>
      <c r="C19" s="41" t="s">
        <v>167</v>
      </c>
      <c r="D19" s="41" t="s">
        <v>168</v>
      </c>
      <c r="E19" s="66">
        <f t="shared" si="2"/>
        <v>3</v>
      </c>
      <c r="F19" s="62">
        <v>1000000</v>
      </c>
      <c r="G19" s="62"/>
      <c r="H19" s="62"/>
      <c r="I19" s="62"/>
      <c r="K19" s="62">
        <f t="shared" si="1"/>
        <v>0</v>
      </c>
      <c r="L19" s="63">
        <v>0</v>
      </c>
      <c r="M19" s="62">
        <v>0</v>
      </c>
      <c r="N19" s="64"/>
      <c r="O19" s="65"/>
      <c r="P19" s="62">
        <v>0</v>
      </c>
      <c r="Q19" s="65"/>
    </row>
    <row r="20" spans="2:17" ht="15.75" customHeight="1">
      <c r="B20" s="17">
        <f t="shared" si="0"/>
        <v>14</v>
      </c>
      <c r="C20" s="41" t="s">
        <v>167</v>
      </c>
      <c r="D20" s="41" t="s">
        <v>168</v>
      </c>
      <c r="E20" s="66">
        <f t="shared" si="2"/>
        <v>3</v>
      </c>
      <c r="F20" s="62">
        <v>1000000</v>
      </c>
      <c r="G20" s="62"/>
      <c r="H20" s="62"/>
      <c r="I20" s="62"/>
      <c r="K20" s="62">
        <f t="shared" si="1"/>
        <v>0</v>
      </c>
      <c r="L20" s="63">
        <v>0</v>
      </c>
      <c r="M20" s="62">
        <v>0</v>
      </c>
      <c r="N20" s="64"/>
      <c r="O20" s="65"/>
      <c r="P20" s="62">
        <v>0</v>
      </c>
      <c r="Q20" s="65"/>
    </row>
    <row r="21" spans="2:17" ht="15.75" customHeight="1">
      <c r="B21" s="17">
        <f t="shared" si="0"/>
        <v>15</v>
      </c>
      <c r="C21" s="41" t="s">
        <v>167</v>
      </c>
      <c r="D21" s="41" t="s">
        <v>168</v>
      </c>
      <c r="E21" s="66">
        <f t="shared" si="2"/>
        <v>3</v>
      </c>
      <c r="F21" s="62">
        <v>1000000</v>
      </c>
      <c r="G21" s="62"/>
      <c r="H21" s="62"/>
      <c r="I21" s="62"/>
      <c r="K21" s="62">
        <f t="shared" si="1"/>
        <v>0</v>
      </c>
      <c r="L21" s="63">
        <v>0</v>
      </c>
      <c r="M21" s="62">
        <v>0</v>
      </c>
      <c r="N21" s="64"/>
      <c r="O21" s="65"/>
      <c r="P21" s="62">
        <v>0</v>
      </c>
      <c r="Q21" s="65"/>
    </row>
    <row r="22" spans="2:17" ht="15.75" customHeight="1">
      <c r="B22" s="17">
        <f t="shared" si="0"/>
        <v>16</v>
      </c>
      <c r="C22" s="41" t="s">
        <v>167</v>
      </c>
      <c r="D22" s="41" t="s">
        <v>168</v>
      </c>
      <c r="E22" s="66">
        <f t="shared" si="2"/>
        <v>4</v>
      </c>
      <c r="F22" s="62">
        <v>1000000</v>
      </c>
      <c r="G22" s="62"/>
      <c r="H22" s="62"/>
      <c r="I22" s="62"/>
      <c r="K22" s="62">
        <f t="shared" si="1"/>
        <v>0</v>
      </c>
      <c r="L22" s="63">
        <v>0</v>
      </c>
      <c r="M22" s="62">
        <v>0</v>
      </c>
      <c r="N22" s="64"/>
      <c r="O22" s="65"/>
      <c r="P22" s="62">
        <v>0</v>
      </c>
      <c r="Q22" s="65"/>
    </row>
    <row r="23" spans="2:17" ht="15.75" customHeight="1">
      <c r="B23" s="17">
        <f t="shared" si="0"/>
        <v>17</v>
      </c>
      <c r="C23" s="41" t="s">
        <v>167</v>
      </c>
      <c r="D23" s="41" t="s">
        <v>168</v>
      </c>
      <c r="E23" s="66">
        <f t="shared" si="2"/>
        <v>4</v>
      </c>
      <c r="F23" s="62">
        <v>1000000</v>
      </c>
      <c r="G23" s="62"/>
      <c r="H23" s="62"/>
      <c r="I23" s="62"/>
      <c r="K23" s="62">
        <f t="shared" si="1"/>
        <v>0</v>
      </c>
      <c r="L23" s="63">
        <v>0</v>
      </c>
      <c r="M23" s="62">
        <v>0</v>
      </c>
      <c r="N23" s="64"/>
      <c r="O23" s="65"/>
      <c r="P23" s="62">
        <v>0</v>
      </c>
      <c r="Q23" s="65"/>
    </row>
    <row r="24" spans="2:17" ht="15.75" customHeight="1">
      <c r="B24" s="17">
        <f t="shared" si="0"/>
        <v>18</v>
      </c>
      <c r="C24" s="41" t="s">
        <v>167</v>
      </c>
      <c r="D24" s="41" t="s">
        <v>168</v>
      </c>
      <c r="E24" s="66">
        <f t="shared" si="2"/>
        <v>4</v>
      </c>
      <c r="F24" s="62">
        <v>1000000</v>
      </c>
      <c r="G24" s="62"/>
      <c r="H24" s="62"/>
      <c r="I24" s="62"/>
      <c r="K24" s="62">
        <f t="shared" si="1"/>
        <v>0</v>
      </c>
      <c r="L24" s="63">
        <v>0</v>
      </c>
      <c r="M24" s="62">
        <v>0</v>
      </c>
      <c r="N24" s="64"/>
      <c r="O24" s="65"/>
      <c r="P24" s="62">
        <v>0</v>
      </c>
      <c r="Q24" s="65"/>
    </row>
    <row r="25" spans="2:17" ht="15.75" customHeight="1">
      <c r="B25" s="17">
        <f t="shared" si="0"/>
        <v>19</v>
      </c>
      <c r="C25" s="41" t="s">
        <v>167</v>
      </c>
      <c r="D25" s="41" t="s">
        <v>168</v>
      </c>
      <c r="E25" s="66">
        <f t="shared" si="2"/>
        <v>4</v>
      </c>
      <c r="F25" s="62">
        <v>1000000</v>
      </c>
      <c r="G25" s="62"/>
      <c r="H25" s="62"/>
      <c r="I25" s="62"/>
      <c r="K25" s="62">
        <f t="shared" si="1"/>
        <v>0</v>
      </c>
      <c r="L25" s="63">
        <v>0</v>
      </c>
      <c r="M25" s="62">
        <v>0</v>
      </c>
      <c r="N25" s="64"/>
      <c r="O25" s="65"/>
      <c r="P25" s="62">
        <v>0</v>
      </c>
      <c r="Q25" s="65"/>
    </row>
    <row r="26" spans="2:17" ht="15.75" customHeight="1">
      <c r="B26" s="17">
        <f t="shared" si="0"/>
        <v>20</v>
      </c>
      <c r="C26" s="41" t="s">
        <v>167</v>
      </c>
      <c r="D26" s="41" t="s">
        <v>168</v>
      </c>
      <c r="E26" s="66">
        <f t="shared" si="2"/>
        <v>4</v>
      </c>
      <c r="F26" s="62">
        <v>250000</v>
      </c>
      <c r="G26" s="62"/>
      <c r="H26" s="62"/>
      <c r="I26" s="62"/>
      <c r="K26" s="62">
        <f t="shared" si="1"/>
        <v>0</v>
      </c>
      <c r="L26" s="63">
        <v>0</v>
      </c>
      <c r="M26" s="62">
        <v>0</v>
      </c>
      <c r="N26" s="64"/>
      <c r="O26" s="65"/>
      <c r="P26" s="62">
        <v>0</v>
      </c>
      <c r="Q26" s="65"/>
    </row>
    <row r="27" spans="2:17" ht="15.75" customHeight="1">
      <c r="B27" s="17">
        <f t="shared" si="0"/>
        <v>21</v>
      </c>
      <c r="C27" s="41" t="s">
        <v>167</v>
      </c>
      <c r="D27" s="41" t="s">
        <v>136</v>
      </c>
      <c r="E27" s="66">
        <f t="shared" ref="E27:E43" ca="1" si="3">E7+RANDBETWEEN(1,6)</f>
        <v>6</v>
      </c>
      <c r="F27" s="62">
        <f t="shared" ref="F27:F46" si="4">-1*F7</f>
        <v>-1000000</v>
      </c>
      <c r="G27" s="62">
        <v>0</v>
      </c>
      <c r="H27" s="62"/>
      <c r="I27" s="62"/>
      <c r="K27" s="62">
        <f t="shared" si="1"/>
        <v>0</v>
      </c>
      <c r="L27" s="63">
        <v>0</v>
      </c>
      <c r="M27" s="62">
        <v>0</v>
      </c>
      <c r="N27" s="64"/>
      <c r="O27" s="65"/>
      <c r="P27" s="62">
        <v>0</v>
      </c>
      <c r="Q27" s="65"/>
    </row>
    <row r="28" spans="2:17" ht="15.75" customHeight="1">
      <c r="B28" s="17">
        <f t="shared" si="0"/>
        <v>22</v>
      </c>
      <c r="C28" s="41" t="s">
        <v>167</v>
      </c>
      <c r="D28" s="41" t="s">
        <v>136</v>
      </c>
      <c r="E28" s="66">
        <f t="shared" ca="1" si="3"/>
        <v>5</v>
      </c>
      <c r="F28" s="62">
        <f t="shared" si="4"/>
        <v>-1000000</v>
      </c>
      <c r="G28" s="62">
        <v>1000000</v>
      </c>
      <c r="H28" s="62"/>
      <c r="I28" s="62"/>
      <c r="K28" s="62">
        <f t="shared" si="1"/>
        <v>0</v>
      </c>
      <c r="L28" s="63">
        <v>0</v>
      </c>
      <c r="M28" s="62">
        <v>0</v>
      </c>
      <c r="N28" s="64"/>
      <c r="O28" s="65"/>
      <c r="P28" s="62">
        <v>0</v>
      </c>
      <c r="Q28" s="65"/>
    </row>
    <row r="29" spans="2:17" ht="15.75" customHeight="1">
      <c r="B29" s="17">
        <f t="shared" si="0"/>
        <v>23</v>
      </c>
      <c r="C29" s="41" t="s">
        <v>167</v>
      </c>
      <c r="D29" s="41" t="s">
        <v>136</v>
      </c>
      <c r="E29" s="66">
        <f t="shared" ca="1" si="3"/>
        <v>5</v>
      </c>
      <c r="F29" s="62">
        <f t="shared" si="4"/>
        <v>-1000000</v>
      </c>
      <c r="G29" s="62">
        <v>1000000</v>
      </c>
      <c r="H29" s="62"/>
      <c r="I29" s="62"/>
      <c r="K29" s="62">
        <f t="shared" si="1"/>
        <v>0</v>
      </c>
      <c r="L29" s="63">
        <v>0</v>
      </c>
      <c r="M29" s="62">
        <v>0</v>
      </c>
      <c r="N29" s="64"/>
      <c r="O29" s="65"/>
      <c r="P29" s="62">
        <v>0</v>
      </c>
      <c r="Q29" s="65"/>
    </row>
    <row r="30" spans="2:17" ht="15.75" customHeight="1">
      <c r="B30" s="17">
        <f t="shared" si="0"/>
        <v>24</v>
      </c>
      <c r="C30" s="41" t="s">
        <v>167</v>
      </c>
      <c r="D30" s="41" t="s">
        <v>136</v>
      </c>
      <c r="E30" s="66">
        <f t="shared" ca="1" si="3"/>
        <v>4</v>
      </c>
      <c r="F30" s="62">
        <f t="shared" si="4"/>
        <v>-1000000</v>
      </c>
      <c r="G30" s="62">
        <v>4050000</v>
      </c>
      <c r="H30" s="62"/>
      <c r="I30" s="62"/>
      <c r="K30" s="62">
        <f t="shared" si="1"/>
        <v>0</v>
      </c>
      <c r="L30" s="63">
        <v>0</v>
      </c>
      <c r="M30" s="62">
        <v>0</v>
      </c>
      <c r="N30" s="64"/>
      <c r="O30" s="65"/>
      <c r="P30" s="62">
        <v>0</v>
      </c>
      <c r="Q30" s="65"/>
    </row>
    <row r="31" spans="2:17" ht="15.75" customHeight="1">
      <c r="B31" s="17">
        <f t="shared" si="0"/>
        <v>25</v>
      </c>
      <c r="C31" s="41" t="s">
        <v>167</v>
      </c>
      <c r="D31" s="41" t="s">
        <v>136</v>
      </c>
      <c r="E31" s="66">
        <f t="shared" ca="1" si="3"/>
        <v>2</v>
      </c>
      <c r="F31" s="62">
        <f t="shared" si="4"/>
        <v>-1000000</v>
      </c>
      <c r="G31" s="62">
        <v>1350000</v>
      </c>
      <c r="H31" s="62"/>
      <c r="I31" s="62"/>
      <c r="K31" s="62">
        <f t="shared" si="1"/>
        <v>0</v>
      </c>
      <c r="L31" s="63">
        <v>0</v>
      </c>
      <c r="M31" s="62">
        <v>0</v>
      </c>
      <c r="N31" s="64"/>
      <c r="O31" s="65"/>
      <c r="P31" s="62">
        <v>0</v>
      </c>
      <c r="Q31" s="65"/>
    </row>
    <row r="32" spans="2:17" ht="15.75" customHeight="1">
      <c r="B32" s="17">
        <f t="shared" si="0"/>
        <v>26</v>
      </c>
      <c r="C32" s="41" t="s">
        <v>167</v>
      </c>
      <c r="D32" s="41" t="s">
        <v>136</v>
      </c>
      <c r="E32" s="66">
        <f t="shared" ca="1" si="3"/>
        <v>8</v>
      </c>
      <c r="F32" s="62">
        <f t="shared" si="4"/>
        <v>-1000000</v>
      </c>
      <c r="G32" s="62">
        <v>2500000</v>
      </c>
      <c r="H32" s="62"/>
      <c r="I32" s="62"/>
      <c r="K32" s="62">
        <f t="shared" si="1"/>
        <v>0</v>
      </c>
      <c r="L32" s="63">
        <v>0</v>
      </c>
      <c r="M32" s="62">
        <v>0</v>
      </c>
      <c r="N32" s="64"/>
      <c r="O32" s="65"/>
      <c r="P32" s="62">
        <v>0</v>
      </c>
      <c r="Q32" s="65"/>
    </row>
    <row r="33" spans="2:17" ht="15.75" customHeight="1">
      <c r="B33" s="17">
        <f t="shared" si="0"/>
        <v>27</v>
      </c>
      <c r="C33" s="41" t="s">
        <v>167</v>
      </c>
      <c r="D33" s="41" t="s">
        <v>136</v>
      </c>
      <c r="E33" s="66">
        <f t="shared" ca="1" si="3"/>
        <v>4</v>
      </c>
      <c r="F33" s="62">
        <f t="shared" si="4"/>
        <v>-1000000</v>
      </c>
      <c r="G33" s="62">
        <v>2000000</v>
      </c>
      <c r="H33" s="62"/>
      <c r="I33" s="62"/>
      <c r="K33" s="62">
        <f t="shared" si="1"/>
        <v>0</v>
      </c>
      <c r="L33" s="63">
        <v>0</v>
      </c>
      <c r="M33" s="62">
        <v>0</v>
      </c>
      <c r="N33" s="64"/>
      <c r="O33" s="65"/>
      <c r="P33" s="62">
        <v>0</v>
      </c>
      <c r="Q33" s="65"/>
    </row>
    <row r="34" spans="2:17" ht="15.75" customHeight="1">
      <c r="B34" s="17">
        <f t="shared" si="0"/>
        <v>28</v>
      </c>
      <c r="C34" s="41" t="s">
        <v>167</v>
      </c>
      <c r="D34" s="41" t="s">
        <v>136</v>
      </c>
      <c r="E34" s="66">
        <f t="shared" ca="1" si="3"/>
        <v>4</v>
      </c>
      <c r="F34" s="62">
        <f t="shared" si="4"/>
        <v>-1000000</v>
      </c>
      <c r="G34" s="62">
        <v>4000000</v>
      </c>
      <c r="H34" s="62"/>
      <c r="I34" s="62"/>
      <c r="K34" s="62">
        <f t="shared" si="1"/>
        <v>0</v>
      </c>
      <c r="L34" s="63">
        <v>0</v>
      </c>
      <c r="M34" s="62">
        <v>0</v>
      </c>
      <c r="N34" s="64"/>
      <c r="O34" s="65"/>
      <c r="P34" s="62">
        <v>0</v>
      </c>
      <c r="Q34" s="65"/>
    </row>
    <row r="35" spans="2:17" ht="15.75" customHeight="1">
      <c r="B35" s="17">
        <f t="shared" si="0"/>
        <v>29</v>
      </c>
      <c r="C35" s="41" t="s">
        <v>167</v>
      </c>
      <c r="D35" s="41" t="s">
        <v>136</v>
      </c>
      <c r="E35" s="66">
        <f t="shared" ca="1" si="3"/>
        <v>8</v>
      </c>
      <c r="F35" s="62">
        <f t="shared" si="4"/>
        <v>-1000000</v>
      </c>
      <c r="G35" s="62">
        <v>0</v>
      </c>
      <c r="H35" s="62"/>
      <c r="I35" s="62"/>
      <c r="K35" s="62">
        <f t="shared" si="1"/>
        <v>0</v>
      </c>
      <c r="L35" s="63">
        <v>0</v>
      </c>
      <c r="M35" s="62">
        <v>0</v>
      </c>
      <c r="N35" s="64"/>
      <c r="O35" s="65"/>
      <c r="P35" s="62">
        <v>0</v>
      </c>
      <c r="Q35" s="65"/>
    </row>
    <row r="36" spans="2:17" ht="15.75" customHeight="1">
      <c r="B36" s="17">
        <f t="shared" si="0"/>
        <v>30</v>
      </c>
      <c r="C36" s="41" t="s">
        <v>167</v>
      </c>
      <c r="D36" s="41" t="s">
        <v>136</v>
      </c>
      <c r="E36" s="66">
        <f t="shared" ca="1" si="3"/>
        <v>8</v>
      </c>
      <c r="F36" s="62">
        <f t="shared" si="4"/>
        <v>-1000000</v>
      </c>
      <c r="G36" s="62">
        <v>3500000</v>
      </c>
      <c r="H36" s="62"/>
      <c r="I36" s="62"/>
      <c r="K36" s="62">
        <f t="shared" si="1"/>
        <v>0</v>
      </c>
      <c r="L36" s="63">
        <v>0</v>
      </c>
      <c r="M36" s="62">
        <v>0</v>
      </c>
      <c r="N36" s="64"/>
      <c r="O36" s="65"/>
      <c r="P36" s="62">
        <v>0</v>
      </c>
      <c r="Q36" s="65"/>
    </row>
    <row r="37" spans="2:17" ht="15.75" customHeight="1">
      <c r="B37" s="17">
        <f t="shared" si="0"/>
        <v>31</v>
      </c>
      <c r="C37" s="41" t="s">
        <v>167</v>
      </c>
      <c r="D37" s="41" t="s">
        <v>136</v>
      </c>
      <c r="E37" s="66">
        <f t="shared" ca="1" si="3"/>
        <v>4</v>
      </c>
      <c r="F37" s="62">
        <f t="shared" si="4"/>
        <v>-1000000</v>
      </c>
      <c r="G37" s="62">
        <v>3000000</v>
      </c>
      <c r="H37" s="62"/>
      <c r="I37" s="62"/>
      <c r="K37" s="62">
        <f t="shared" si="1"/>
        <v>0</v>
      </c>
      <c r="L37" s="63">
        <v>0</v>
      </c>
      <c r="M37" s="62">
        <v>0</v>
      </c>
      <c r="N37" s="64"/>
      <c r="O37" s="65"/>
      <c r="P37" s="62">
        <v>0</v>
      </c>
      <c r="Q37" s="65"/>
    </row>
    <row r="38" spans="2:17" ht="15.75" customHeight="1">
      <c r="B38" s="17">
        <f t="shared" si="0"/>
        <v>32</v>
      </c>
      <c r="C38" s="41" t="s">
        <v>167</v>
      </c>
      <c r="D38" s="41" t="s">
        <v>136</v>
      </c>
      <c r="E38" s="66">
        <f t="shared" ca="1" si="3"/>
        <v>8</v>
      </c>
      <c r="F38" s="62">
        <f t="shared" si="4"/>
        <v>-1000000</v>
      </c>
      <c r="G38" s="62">
        <v>5000000</v>
      </c>
      <c r="H38" s="62"/>
      <c r="I38" s="62"/>
      <c r="K38" s="62">
        <f t="shared" si="1"/>
        <v>0</v>
      </c>
      <c r="L38" s="63">
        <v>0</v>
      </c>
      <c r="M38" s="62">
        <v>0</v>
      </c>
      <c r="N38" s="64"/>
      <c r="O38" s="65"/>
      <c r="P38" s="62">
        <v>0</v>
      </c>
      <c r="Q38" s="65"/>
    </row>
    <row r="39" spans="2:17" ht="15.75" customHeight="1">
      <c r="B39" s="17">
        <f t="shared" si="0"/>
        <v>33</v>
      </c>
      <c r="C39" s="41" t="s">
        <v>167</v>
      </c>
      <c r="D39" s="41" t="s">
        <v>136</v>
      </c>
      <c r="E39" s="66">
        <f t="shared" ca="1" si="3"/>
        <v>4</v>
      </c>
      <c r="F39" s="62">
        <f t="shared" si="4"/>
        <v>-1000000</v>
      </c>
      <c r="G39" s="62">
        <v>26250000</v>
      </c>
      <c r="H39" s="62"/>
      <c r="I39" s="62"/>
      <c r="K39" s="62">
        <f t="shared" si="1"/>
        <v>0</v>
      </c>
      <c r="L39" s="63">
        <v>0</v>
      </c>
      <c r="M39" s="62">
        <v>0</v>
      </c>
      <c r="N39" s="64"/>
      <c r="O39" s="65"/>
      <c r="P39" s="62">
        <v>0</v>
      </c>
      <c r="Q39" s="65"/>
    </row>
    <row r="40" spans="2:17" ht="15.75" customHeight="1">
      <c r="B40" s="17">
        <f t="shared" si="0"/>
        <v>34</v>
      </c>
      <c r="C40" s="41" t="s">
        <v>167</v>
      </c>
      <c r="D40" s="41" t="s">
        <v>136</v>
      </c>
      <c r="E40" s="66">
        <f t="shared" ca="1" si="3"/>
        <v>5</v>
      </c>
      <c r="F40" s="62">
        <f t="shared" si="4"/>
        <v>-1000000</v>
      </c>
      <c r="G40" s="62">
        <v>4500000</v>
      </c>
      <c r="H40" s="62"/>
      <c r="I40" s="62"/>
      <c r="K40" s="62">
        <f t="shared" si="1"/>
        <v>0</v>
      </c>
      <c r="L40" s="63">
        <v>0</v>
      </c>
      <c r="M40" s="62">
        <v>0</v>
      </c>
      <c r="N40" s="64"/>
      <c r="O40" s="65"/>
      <c r="P40" s="62">
        <v>0</v>
      </c>
      <c r="Q40" s="65"/>
    </row>
    <row r="41" spans="2:17" ht="15.75" customHeight="1">
      <c r="B41" s="17">
        <f t="shared" si="0"/>
        <v>35</v>
      </c>
      <c r="C41" s="41" t="s">
        <v>167</v>
      </c>
      <c r="D41" s="41" t="s">
        <v>136</v>
      </c>
      <c r="E41" s="66">
        <f t="shared" ca="1" si="3"/>
        <v>6</v>
      </c>
      <c r="F41" s="62">
        <f t="shared" si="4"/>
        <v>-1000000</v>
      </c>
      <c r="G41" s="62">
        <v>0</v>
      </c>
      <c r="H41" s="62"/>
      <c r="I41" s="62"/>
      <c r="K41" s="62">
        <f t="shared" si="1"/>
        <v>0</v>
      </c>
      <c r="L41" s="63">
        <v>0</v>
      </c>
      <c r="M41" s="62">
        <v>0</v>
      </c>
      <c r="N41" s="64"/>
      <c r="O41" s="65"/>
      <c r="P41" s="62">
        <v>0</v>
      </c>
      <c r="Q41" s="65"/>
    </row>
    <row r="42" spans="2:17" ht="15.75" customHeight="1">
      <c r="B42" s="17">
        <f t="shared" si="0"/>
        <v>36</v>
      </c>
      <c r="C42" s="41" t="s">
        <v>167</v>
      </c>
      <c r="D42" s="41" t="s">
        <v>136</v>
      </c>
      <c r="E42" s="66">
        <f t="shared" ca="1" si="3"/>
        <v>7</v>
      </c>
      <c r="F42" s="62">
        <f t="shared" si="4"/>
        <v>-1000000</v>
      </c>
      <c r="G42" s="62">
        <v>6000000</v>
      </c>
      <c r="H42" s="62"/>
      <c r="I42" s="62"/>
      <c r="K42" s="62">
        <f t="shared" si="1"/>
        <v>0</v>
      </c>
      <c r="L42" s="63">
        <v>0</v>
      </c>
      <c r="M42" s="62">
        <v>0</v>
      </c>
      <c r="N42" s="64"/>
      <c r="O42" s="65"/>
      <c r="P42" s="62">
        <v>0</v>
      </c>
      <c r="Q42" s="65"/>
    </row>
    <row r="43" spans="2:17" ht="15.75" customHeight="1">
      <c r="B43" s="17">
        <f t="shared" si="0"/>
        <v>37</v>
      </c>
      <c r="C43" s="41" t="s">
        <v>167</v>
      </c>
      <c r="D43" s="41" t="s">
        <v>136</v>
      </c>
      <c r="E43" s="66">
        <f t="shared" ca="1" si="3"/>
        <v>7</v>
      </c>
      <c r="F43" s="62">
        <f t="shared" si="4"/>
        <v>-1000000</v>
      </c>
      <c r="G43" s="62">
        <v>1000000</v>
      </c>
      <c r="H43" s="62"/>
      <c r="I43" s="62"/>
      <c r="K43" s="62">
        <f t="shared" si="1"/>
        <v>0</v>
      </c>
      <c r="L43" s="63">
        <v>0</v>
      </c>
      <c r="M43" s="62">
        <v>0</v>
      </c>
      <c r="N43" s="64"/>
      <c r="O43" s="65"/>
      <c r="P43" s="62">
        <v>0</v>
      </c>
      <c r="Q43" s="65"/>
    </row>
    <row r="44" spans="2:17" ht="15.75" customHeight="1">
      <c r="B44" s="17">
        <f t="shared" si="0"/>
        <v>38</v>
      </c>
      <c r="C44" s="41" t="s">
        <v>167</v>
      </c>
      <c r="D44" s="41" t="s">
        <v>136</v>
      </c>
      <c r="E44" s="66">
        <v>10</v>
      </c>
      <c r="F44" s="62">
        <f t="shared" si="4"/>
        <v>-1000000</v>
      </c>
      <c r="G44" s="62">
        <v>25000000</v>
      </c>
      <c r="H44" s="62"/>
      <c r="I44" s="62"/>
      <c r="K44" s="62">
        <f t="shared" si="1"/>
        <v>0</v>
      </c>
      <c r="L44" s="63">
        <v>0</v>
      </c>
      <c r="M44" s="62">
        <v>0</v>
      </c>
      <c r="N44" s="64"/>
      <c r="O44" s="65"/>
      <c r="P44" s="62">
        <v>0</v>
      </c>
      <c r="Q44" s="65"/>
    </row>
    <row r="45" spans="2:17" ht="15.75" customHeight="1">
      <c r="B45" s="17">
        <f t="shared" si="0"/>
        <v>39</v>
      </c>
      <c r="C45" s="41" t="s">
        <v>167</v>
      </c>
      <c r="D45" s="41" t="s">
        <v>136</v>
      </c>
      <c r="E45" s="66">
        <f t="shared" ref="E45:E46" ca="1" si="5">E25+RANDBETWEEN(1,6)</f>
        <v>8</v>
      </c>
      <c r="F45" s="62">
        <f t="shared" si="4"/>
        <v>-1000000</v>
      </c>
      <c r="G45" s="62">
        <v>4000000</v>
      </c>
      <c r="H45" s="62"/>
      <c r="I45" s="62"/>
      <c r="K45" s="62">
        <f t="shared" si="1"/>
        <v>0</v>
      </c>
      <c r="L45" s="63">
        <v>0</v>
      </c>
      <c r="M45" s="62">
        <v>0</v>
      </c>
      <c r="N45" s="64"/>
      <c r="O45" s="65"/>
      <c r="P45" s="62">
        <v>0</v>
      </c>
      <c r="Q45" s="65"/>
    </row>
    <row r="46" spans="2:17" ht="15.75" customHeight="1">
      <c r="B46" s="17">
        <f t="shared" si="0"/>
        <v>40</v>
      </c>
      <c r="C46" s="41" t="s">
        <v>167</v>
      </c>
      <c r="D46" s="41" t="s">
        <v>136</v>
      </c>
      <c r="E46" s="66">
        <f t="shared" ca="1" si="5"/>
        <v>9</v>
      </c>
      <c r="F46" s="62">
        <f t="shared" si="4"/>
        <v>-250000</v>
      </c>
      <c r="G46" s="62">
        <v>1050000</v>
      </c>
      <c r="H46" s="62"/>
      <c r="I46" s="62"/>
      <c r="K46" s="62">
        <f t="shared" si="1"/>
        <v>0</v>
      </c>
      <c r="L46" s="63">
        <v>0</v>
      </c>
      <c r="M46" s="62">
        <v>0</v>
      </c>
      <c r="N46" s="64"/>
      <c r="O46" s="65"/>
      <c r="P46" s="62">
        <v>0</v>
      </c>
      <c r="Q46" s="65"/>
    </row>
    <row r="47" spans="2:17" ht="15.75" customHeight="1">
      <c r="B47" s="17" t="str">
        <f t="shared" si="0"/>
        <v/>
      </c>
      <c r="C47" s="41"/>
      <c r="D47" s="41" t="s">
        <v>169</v>
      </c>
      <c r="E47" s="66"/>
      <c r="F47" s="62"/>
      <c r="G47" s="62"/>
      <c r="H47" s="62"/>
      <c r="I47" s="62"/>
      <c r="K47" s="62">
        <f t="shared" si="1"/>
        <v>0</v>
      </c>
      <c r="L47" s="63">
        <v>0</v>
      </c>
      <c r="M47" s="62">
        <v>0</v>
      </c>
      <c r="N47" s="64"/>
      <c r="O47" s="65"/>
      <c r="P47" s="62">
        <v>0</v>
      </c>
      <c r="Q47" s="65"/>
    </row>
    <row r="48" spans="2:17" ht="15.75" customHeight="1">
      <c r="B48" s="17" t="str">
        <f t="shared" si="0"/>
        <v/>
      </c>
      <c r="C48" s="41"/>
      <c r="D48" s="41" t="s">
        <v>169</v>
      </c>
      <c r="E48" s="66"/>
      <c r="F48" s="62"/>
      <c r="G48" s="62"/>
      <c r="H48" s="62"/>
      <c r="I48" s="62"/>
      <c r="K48" s="62">
        <f t="shared" si="1"/>
        <v>0</v>
      </c>
      <c r="L48" s="63">
        <v>0</v>
      </c>
      <c r="M48" s="62">
        <v>0</v>
      </c>
      <c r="N48" s="64"/>
      <c r="O48" s="65"/>
      <c r="P48" s="62">
        <v>0</v>
      </c>
      <c r="Q48" s="65"/>
    </row>
    <row r="49" spans="2:17" ht="15.75" customHeight="1">
      <c r="B49" s="17" t="str">
        <f t="shared" si="0"/>
        <v/>
      </c>
      <c r="C49" s="41"/>
      <c r="D49" s="41" t="s">
        <v>169</v>
      </c>
      <c r="E49" s="66"/>
      <c r="F49" s="62"/>
      <c r="G49" s="62"/>
      <c r="H49" s="62"/>
      <c r="I49" s="62"/>
      <c r="K49" s="62">
        <f t="shared" si="1"/>
        <v>0</v>
      </c>
      <c r="L49" s="63">
        <v>0</v>
      </c>
      <c r="M49" s="62">
        <v>0</v>
      </c>
      <c r="N49" s="64"/>
      <c r="O49" s="65"/>
      <c r="P49" s="62">
        <v>0</v>
      </c>
      <c r="Q49" s="65"/>
    </row>
    <row r="50" spans="2:17" ht="15.75" customHeight="1">
      <c r="B50" s="17" t="str">
        <f t="shared" si="0"/>
        <v/>
      </c>
      <c r="C50" s="41"/>
      <c r="D50" s="41" t="s">
        <v>169</v>
      </c>
      <c r="E50" s="66"/>
      <c r="F50" s="62"/>
      <c r="G50" s="62"/>
      <c r="H50" s="62"/>
      <c r="I50" s="62"/>
      <c r="K50" s="62">
        <f t="shared" si="1"/>
        <v>0</v>
      </c>
      <c r="L50" s="63">
        <v>0</v>
      </c>
      <c r="M50" s="62">
        <v>0</v>
      </c>
      <c r="N50" s="64"/>
      <c r="O50" s="65"/>
      <c r="P50" s="62">
        <v>0</v>
      </c>
      <c r="Q50" s="65"/>
    </row>
    <row r="51" spans="2:17" ht="15.75" customHeight="1">
      <c r="B51" s="17" t="str">
        <f t="shared" si="0"/>
        <v/>
      </c>
      <c r="C51" s="41"/>
      <c r="D51" s="41" t="s">
        <v>169</v>
      </c>
      <c r="E51" s="66"/>
      <c r="F51" s="62"/>
      <c r="G51" s="62"/>
      <c r="H51" s="62"/>
      <c r="I51" s="62"/>
      <c r="K51" s="62">
        <f t="shared" si="1"/>
        <v>0</v>
      </c>
      <c r="L51" s="63">
        <v>0</v>
      </c>
      <c r="M51" s="62">
        <v>0</v>
      </c>
      <c r="N51" s="64"/>
      <c r="O51" s="65"/>
      <c r="P51" s="62">
        <v>0</v>
      </c>
      <c r="Q51" s="65"/>
    </row>
    <row r="52" spans="2:17" ht="15.75" customHeight="1">
      <c r="B52" s="17" t="str">
        <f t="shared" si="0"/>
        <v/>
      </c>
      <c r="C52" s="41"/>
      <c r="D52" s="41" t="s">
        <v>169</v>
      </c>
      <c r="E52" s="66"/>
      <c r="F52" s="62"/>
      <c r="G52" s="62"/>
      <c r="H52" s="62"/>
      <c r="I52" s="62"/>
      <c r="K52" s="62">
        <f t="shared" si="1"/>
        <v>0</v>
      </c>
      <c r="L52" s="63">
        <v>0</v>
      </c>
      <c r="M52" s="62">
        <v>0</v>
      </c>
      <c r="N52" s="64"/>
      <c r="O52" s="65"/>
      <c r="P52" s="62">
        <v>0</v>
      </c>
      <c r="Q52" s="65"/>
    </row>
    <row r="53" spans="2:17" ht="15.75" customHeight="1">
      <c r="B53" s="17" t="str">
        <f t="shared" si="0"/>
        <v/>
      </c>
      <c r="C53" s="41"/>
      <c r="D53" s="41" t="s">
        <v>169</v>
      </c>
      <c r="E53" s="66"/>
      <c r="F53" s="62"/>
      <c r="G53" s="62"/>
      <c r="H53" s="62"/>
      <c r="I53" s="62"/>
      <c r="K53" s="62">
        <f t="shared" si="1"/>
        <v>0</v>
      </c>
      <c r="L53" s="63">
        <v>0</v>
      </c>
      <c r="M53" s="62">
        <v>0</v>
      </c>
      <c r="N53" s="64"/>
      <c r="O53" s="65"/>
      <c r="P53" s="62">
        <v>0</v>
      </c>
      <c r="Q53" s="65"/>
    </row>
    <row r="54" spans="2:17" ht="13">
      <c r="B54" s="17" t="str">
        <f t="shared" si="0"/>
        <v/>
      </c>
      <c r="C54" s="41"/>
      <c r="D54" s="41" t="s">
        <v>169</v>
      </c>
      <c r="E54" s="66"/>
      <c r="F54" s="62"/>
      <c r="G54" s="62"/>
      <c r="H54" s="62"/>
      <c r="I54" s="62"/>
      <c r="K54" s="62">
        <f t="shared" si="1"/>
        <v>0</v>
      </c>
      <c r="L54" s="63">
        <v>0</v>
      </c>
      <c r="M54" s="62">
        <v>0</v>
      </c>
      <c r="N54" s="64"/>
      <c r="O54" s="65"/>
      <c r="P54" s="62">
        <v>0</v>
      </c>
      <c r="Q54" s="65"/>
    </row>
    <row r="55" spans="2:17" ht="13">
      <c r="B55" s="17" t="str">
        <f t="shared" si="0"/>
        <v/>
      </c>
      <c r="C55" s="41"/>
      <c r="D55" s="41" t="s">
        <v>169</v>
      </c>
      <c r="E55" s="66"/>
      <c r="F55" s="62"/>
      <c r="G55" s="62"/>
      <c r="H55" s="62"/>
      <c r="I55" s="62"/>
      <c r="K55" s="62">
        <f t="shared" si="1"/>
        <v>0</v>
      </c>
      <c r="L55" s="63">
        <v>0</v>
      </c>
      <c r="M55" s="62">
        <v>0</v>
      </c>
      <c r="N55" s="64"/>
      <c r="O55" s="65"/>
      <c r="P55" s="62">
        <v>0</v>
      </c>
      <c r="Q55" s="65"/>
    </row>
    <row r="56" spans="2:17" ht="13">
      <c r="B56" s="17" t="str">
        <f t="shared" si="0"/>
        <v/>
      </c>
      <c r="C56" s="41"/>
      <c r="D56" s="41" t="s">
        <v>169</v>
      </c>
      <c r="E56" s="66"/>
      <c r="F56" s="62"/>
      <c r="G56" s="62"/>
      <c r="H56" s="62"/>
      <c r="I56" s="62"/>
      <c r="K56" s="62">
        <f t="shared" si="1"/>
        <v>0</v>
      </c>
      <c r="L56" s="63">
        <v>0</v>
      </c>
      <c r="M56" s="62">
        <v>0</v>
      </c>
      <c r="N56" s="64"/>
      <c r="O56" s="65"/>
      <c r="P56" s="62">
        <v>0</v>
      </c>
      <c r="Q56" s="65"/>
    </row>
    <row r="57" spans="2:17" ht="13">
      <c r="B57" s="17" t="str">
        <f t="shared" si="0"/>
        <v/>
      </c>
      <c r="C57" s="41"/>
      <c r="D57" s="41" t="s">
        <v>169</v>
      </c>
      <c r="E57" s="66"/>
      <c r="F57" s="62"/>
      <c r="G57" s="62"/>
      <c r="H57" s="62"/>
      <c r="I57" s="62"/>
      <c r="K57" s="62">
        <f t="shared" si="1"/>
        <v>0</v>
      </c>
      <c r="L57" s="63">
        <v>0</v>
      </c>
      <c r="M57" s="62">
        <v>0</v>
      </c>
      <c r="N57" s="64"/>
      <c r="O57" s="65"/>
      <c r="P57" s="62">
        <v>0</v>
      </c>
      <c r="Q57" s="65"/>
    </row>
    <row r="58" spans="2:17" ht="13">
      <c r="B58" s="17" t="str">
        <f t="shared" si="0"/>
        <v/>
      </c>
      <c r="C58" s="41"/>
      <c r="D58" s="41" t="s">
        <v>169</v>
      </c>
      <c r="E58" s="66"/>
      <c r="F58" s="62"/>
      <c r="G58" s="62"/>
      <c r="H58" s="62"/>
      <c r="I58" s="62"/>
      <c r="K58" s="62">
        <f t="shared" si="1"/>
        <v>0</v>
      </c>
      <c r="L58" s="63">
        <v>0</v>
      </c>
      <c r="M58" s="62">
        <v>0</v>
      </c>
      <c r="N58" s="64"/>
      <c r="O58" s="65"/>
      <c r="P58" s="62">
        <v>0</v>
      </c>
      <c r="Q58" s="65"/>
    </row>
    <row r="59" spans="2:17" ht="13">
      <c r="B59" s="17" t="str">
        <f t="shared" si="0"/>
        <v/>
      </c>
      <c r="C59" s="41"/>
      <c r="D59" s="41" t="s">
        <v>169</v>
      </c>
      <c r="E59" s="66"/>
      <c r="F59" s="62"/>
      <c r="G59" s="62"/>
      <c r="H59" s="62"/>
      <c r="I59" s="62"/>
      <c r="K59" s="62">
        <f t="shared" si="1"/>
        <v>0</v>
      </c>
      <c r="L59" s="63">
        <v>0</v>
      </c>
      <c r="M59" s="62">
        <v>0</v>
      </c>
      <c r="N59" s="64"/>
      <c r="O59" s="65"/>
      <c r="P59" s="62">
        <v>0</v>
      </c>
      <c r="Q59" s="65"/>
    </row>
    <row r="60" spans="2:17" ht="13">
      <c r="B60" s="17" t="str">
        <f t="shared" si="0"/>
        <v/>
      </c>
      <c r="C60" s="41"/>
      <c r="D60" s="41" t="s">
        <v>169</v>
      </c>
      <c r="E60" s="66"/>
      <c r="F60" s="62"/>
      <c r="G60" s="62"/>
      <c r="H60" s="62"/>
      <c r="I60" s="62"/>
      <c r="K60" s="62">
        <f t="shared" si="1"/>
        <v>0</v>
      </c>
      <c r="L60" s="63">
        <v>0</v>
      </c>
      <c r="M60" s="62">
        <v>0</v>
      </c>
      <c r="N60" s="64"/>
      <c r="O60" s="65"/>
      <c r="P60" s="62">
        <v>0</v>
      </c>
      <c r="Q60" s="65"/>
    </row>
    <row r="61" spans="2:17" ht="13">
      <c r="B61" s="17" t="str">
        <f t="shared" si="0"/>
        <v/>
      </c>
      <c r="C61" s="41"/>
      <c r="D61" s="41" t="s">
        <v>169</v>
      </c>
      <c r="E61" s="66"/>
      <c r="F61" s="62"/>
      <c r="G61" s="62"/>
      <c r="H61" s="62"/>
      <c r="I61" s="62"/>
      <c r="K61" s="62">
        <f t="shared" si="1"/>
        <v>0</v>
      </c>
      <c r="L61" s="63">
        <v>0</v>
      </c>
      <c r="M61" s="62">
        <v>0</v>
      </c>
      <c r="N61" s="64"/>
      <c r="O61" s="65"/>
      <c r="P61" s="62">
        <v>0</v>
      </c>
      <c r="Q61" s="65"/>
    </row>
    <row r="62" spans="2:17" ht="13">
      <c r="B62" s="17" t="str">
        <f t="shared" si="0"/>
        <v/>
      </c>
      <c r="C62" s="41"/>
      <c r="D62" s="41" t="s">
        <v>169</v>
      </c>
      <c r="E62" s="66"/>
      <c r="F62" s="62"/>
      <c r="G62" s="62"/>
      <c r="H62" s="62"/>
      <c r="I62" s="62"/>
      <c r="K62" s="62">
        <f t="shared" si="1"/>
        <v>0</v>
      </c>
      <c r="L62" s="63">
        <v>0</v>
      </c>
      <c r="M62" s="62">
        <v>0</v>
      </c>
      <c r="N62" s="64"/>
      <c r="O62" s="65"/>
      <c r="P62" s="62">
        <v>0</v>
      </c>
      <c r="Q62" s="65"/>
    </row>
    <row r="63" spans="2:17" ht="13">
      <c r="B63" s="17" t="str">
        <f t="shared" si="0"/>
        <v/>
      </c>
      <c r="C63" s="41"/>
      <c r="D63" s="41" t="s">
        <v>169</v>
      </c>
      <c r="E63" s="66"/>
      <c r="F63" s="62"/>
      <c r="G63" s="62"/>
      <c r="H63" s="62"/>
      <c r="I63" s="62"/>
      <c r="K63" s="62">
        <f t="shared" si="1"/>
        <v>0</v>
      </c>
      <c r="L63" s="63">
        <v>0</v>
      </c>
      <c r="M63" s="62">
        <v>0</v>
      </c>
      <c r="N63" s="64"/>
      <c r="O63" s="65"/>
      <c r="P63" s="62">
        <v>0</v>
      </c>
      <c r="Q63" s="65"/>
    </row>
    <row r="64" spans="2:17" ht="13">
      <c r="B64" s="17" t="str">
        <f t="shared" si="0"/>
        <v/>
      </c>
      <c r="C64" s="41"/>
      <c r="D64" s="41" t="s">
        <v>169</v>
      </c>
      <c r="E64" s="66"/>
      <c r="F64" s="62"/>
      <c r="G64" s="62"/>
      <c r="H64" s="62"/>
      <c r="I64" s="62"/>
      <c r="K64" s="62">
        <f t="shared" si="1"/>
        <v>0</v>
      </c>
      <c r="L64" s="63">
        <v>0</v>
      </c>
      <c r="M64" s="62">
        <v>0</v>
      </c>
      <c r="N64" s="64"/>
      <c r="O64" s="65"/>
      <c r="P64" s="62">
        <v>0</v>
      </c>
      <c r="Q64" s="65"/>
    </row>
    <row r="65" spans="2:17" ht="13">
      <c r="B65" s="17" t="str">
        <f t="shared" si="0"/>
        <v/>
      </c>
      <c r="C65" s="41"/>
      <c r="D65" s="41" t="s">
        <v>169</v>
      </c>
      <c r="E65" s="66"/>
      <c r="F65" s="62"/>
      <c r="G65" s="62"/>
      <c r="H65" s="62"/>
      <c r="I65" s="62"/>
      <c r="K65" s="62">
        <f t="shared" si="1"/>
        <v>0</v>
      </c>
      <c r="L65" s="63">
        <v>0</v>
      </c>
      <c r="M65" s="62">
        <v>0</v>
      </c>
      <c r="N65" s="64"/>
      <c r="O65" s="65"/>
      <c r="P65" s="62">
        <v>0</v>
      </c>
      <c r="Q65" s="65"/>
    </row>
    <row r="66" spans="2:17" ht="13">
      <c r="B66" s="17" t="str">
        <f t="shared" si="0"/>
        <v/>
      </c>
      <c r="C66" s="41"/>
      <c r="D66" s="41" t="s">
        <v>169</v>
      </c>
      <c r="E66" s="66"/>
      <c r="F66" s="62"/>
      <c r="G66" s="62"/>
      <c r="H66" s="62"/>
      <c r="I66" s="62"/>
      <c r="K66" s="62">
        <f t="shared" si="1"/>
        <v>0</v>
      </c>
      <c r="L66" s="63">
        <v>0</v>
      </c>
      <c r="M66" s="62">
        <v>0</v>
      </c>
      <c r="N66" s="64"/>
      <c r="O66" s="65"/>
      <c r="P66" s="62">
        <v>0</v>
      </c>
      <c r="Q66" s="65"/>
    </row>
    <row r="67" spans="2:17" ht="13">
      <c r="B67" s="17" t="str">
        <f t="shared" si="0"/>
        <v/>
      </c>
      <c r="C67" s="41"/>
      <c r="D67" s="41" t="s">
        <v>169</v>
      </c>
      <c r="E67" s="66"/>
      <c r="F67" s="62"/>
      <c r="G67" s="62"/>
      <c r="H67" s="62"/>
      <c r="I67" s="62"/>
      <c r="K67" s="62">
        <f t="shared" si="1"/>
        <v>0</v>
      </c>
      <c r="L67" s="63">
        <v>0</v>
      </c>
      <c r="M67" s="62">
        <v>0</v>
      </c>
      <c r="N67" s="64"/>
      <c r="O67" s="65"/>
      <c r="P67" s="62">
        <v>0</v>
      </c>
      <c r="Q67" s="65"/>
    </row>
    <row r="68" spans="2:17" ht="13">
      <c r="B68" s="17" t="str">
        <f t="shared" si="0"/>
        <v/>
      </c>
      <c r="C68" s="41"/>
      <c r="D68" s="41" t="s">
        <v>169</v>
      </c>
      <c r="E68" s="66"/>
      <c r="F68" s="62"/>
      <c r="G68" s="62"/>
      <c r="H68" s="62"/>
      <c r="I68" s="62"/>
      <c r="K68" s="62">
        <f t="shared" si="1"/>
        <v>0</v>
      </c>
      <c r="L68" s="63">
        <v>0</v>
      </c>
      <c r="M68" s="62">
        <v>0</v>
      </c>
      <c r="N68" s="64"/>
      <c r="O68" s="65"/>
      <c r="P68" s="62">
        <v>0</v>
      </c>
      <c r="Q68" s="65"/>
    </row>
    <row r="69" spans="2:17" ht="13">
      <c r="B69" s="17" t="str">
        <f t="shared" si="0"/>
        <v/>
      </c>
      <c r="C69" s="41"/>
      <c r="D69" s="41" t="s">
        <v>169</v>
      </c>
      <c r="E69" s="66"/>
      <c r="F69" s="62"/>
      <c r="G69" s="62"/>
      <c r="H69" s="62"/>
      <c r="I69" s="62"/>
      <c r="K69" s="62">
        <f t="shared" si="1"/>
        <v>0</v>
      </c>
      <c r="L69" s="63">
        <v>0</v>
      </c>
      <c r="M69" s="62">
        <v>0</v>
      </c>
      <c r="N69" s="64"/>
      <c r="O69" s="65"/>
      <c r="P69" s="62">
        <v>0</v>
      </c>
      <c r="Q69" s="65"/>
    </row>
    <row r="70" spans="2:17" ht="13">
      <c r="B70" s="17" t="str">
        <f t="shared" si="0"/>
        <v/>
      </c>
      <c r="C70" s="41"/>
      <c r="D70" s="41" t="s">
        <v>169</v>
      </c>
      <c r="E70" s="66"/>
      <c r="F70" s="62"/>
      <c r="G70" s="62"/>
      <c r="H70" s="62"/>
      <c r="I70" s="62"/>
      <c r="K70" s="62">
        <f t="shared" si="1"/>
        <v>0</v>
      </c>
      <c r="L70" s="63">
        <v>0</v>
      </c>
      <c r="M70" s="62">
        <v>0</v>
      </c>
      <c r="N70" s="64"/>
      <c r="O70" s="65"/>
      <c r="P70" s="62">
        <v>0</v>
      </c>
      <c r="Q70" s="65"/>
    </row>
    <row r="71" spans="2:17" ht="13">
      <c r="B71" s="17" t="str">
        <f t="shared" si="0"/>
        <v/>
      </c>
      <c r="C71" s="41"/>
      <c r="D71" s="41" t="s">
        <v>169</v>
      </c>
      <c r="E71" s="66"/>
      <c r="F71" s="62"/>
      <c r="G71" s="62"/>
      <c r="H71" s="62"/>
      <c r="I71" s="62"/>
      <c r="K71" s="62">
        <f t="shared" si="1"/>
        <v>0</v>
      </c>
      <c r="L71" s="63">
        <v>0</v>
      </c>
      <c r="M71" s="62">
        <v>0</v>
      </c>
      <c r="N71" s="64"/>
      <c r="O71" s="65"/>
      <c r="P71" s="62">
        <v>0</v>
      </c>
      <c r="Q71" s="65"/>
    </row>
  </sheetData>
  <dataValidations count="1">
    <dataValidation type="list" allowBlank="1" showErrorMessage="1" sqref="D7:D71" xr:uid="{00000000-0002-0000-0400-000000000000}">
      <formula1>"New Investment,Follow Investment,Unrealized Gain (Loss),Proceeds,..."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43"/>
  <sheetViews>
    <sheetView showGridLines="0" workbookViewId="0">
      <selection activeCell="G8" sqref="G8"/>
    </sheetView>
  </sheetViews>
  <sheetFormatPr baseColWidth="10" defaultColWidth="12.6640625" defaultRowHeight="15.75" customHeight="1" outlineLevelRow="1"/>
  <cols>
    <col min="1" max="1" width="4.33203125" customWidth="1"/>
    <col min="2" max="2" width="27" customWidth="1"/>
    <col min="3" max="3" width="12.5" customWidth="1"/>
    <col min="4" max="4" width="10.33203125" customWidth="1"/>
    <col min="5" max="5" width="11" customWidth="1"/>
    <col min="6" max="6" width="5.1640625" customWidth="1"/>
  </cols>
  <sheetData>
    <row r="1" spans="1:26" ht="13">
      <c r="A1" s="1"/>
      <c r="B1" s="67"/>
    </row>
    <row r="2" spans="1:26" ht="18">
      <c r="B2" s="2" t="s">
        <v>170</v>
      </c>
    </row>
    <row r="4" spans="1:26" ht="13">
      <c r="A4" s="13"/>
      <c r="B4" s="20" t="s">
        <v>171</v>
      </c>
      <c r="C4" s="68"/>
      <c r="D4" s="69"/>
      <c r="E4" s="69"/>
      <c r="F4" s="70"/>
      <c r="G4" s="71">
        <f>1</f>
        <v>1</v>
      </c>
      <c r="H4" s="71">
        <f t="shared" ref="H4:Z4" si="0">G4+1</f>
        <v>2</v>
      </c>
      <c r="I4" s="71">
        <f t="shared" si="0"/>
        <v>3</v>
      </c>
      <c r="J4" s="71">
        <f t="shared" si="0"/>
        <v>4</v>
      </c>
      <c r="K4" s="71">
        <f t="shared" si="0"/>
        <v>5</v>
      </c>
      <c r="L4" s="71">
        <f t="shared" si="0"/>
        <v>6</v>
      </c>
      <c r="M4" s="71">
        <f t="shared" si="0"/>
        <v>7</v>
      </c>
      <c r="N4" s="71">
        <f t="shared" si="0"/>
        <v>8</v>
      </c>
      <c r="O4" s="71">
        <f t="shared" si="0"/>
        <v>9</v>
      </c>
      <c r="P4" s="71">
        <f t="shared" si="0"/>
        <v>10</v>
      </c>
      <c r="Q4" s="71">
        <f t="shared" si="0"/>
        <v>11</v>
      </c>
      <c r="R4" s="71">
        <f t="shared" si="0"/>
        <v>12</v>
      </c>
      <c r="S4" s="71">
        <f t="shared" si="0"/>
        <v>13</v>
      </c>
      <c r="T4" s="71">
        <f t="shared" si="0"/>
        <v>14</v>
      </c>
      <c r="U4" s="71">
        <f t="shared" si="0"/>
        <v>15</v>
      </c>
      <c r="V4" s="71">
        <f t="shared" si="0"/>
        <v>16</v>
      </c>
      <c r="W4" s="71">
        <f t="shared" si="0"/>
        <v>17</v>
      </c>
      <c r="X4" s="71">
        <f t="shared" si="0"/>
        <v>18</v>
      </c>
      <c r="Y4" s="71">
        <f t="shared" si="0"/>
        <v>19</v>
      </c>
      <c r="Z4" s="71">
        <f t="shared" si="0"/>
        <v>20</v>
      </c>
    </row>
    <row r="5" spans="1:26" ht="13">
      <c r="B5" s="13" t="s">
        <v>172</v>
      </c>
      <c r="C5" s="13"/>
      <c r="F5" s="72"/>
      <c r="G5" s="73">
        <f ca="1">DATE(YEAR(TODAY()),12,31)</f>
        <v>46022</v>
      </c>
      <c r="H5" s="74">
        <f t="shared" ref="H5:Z5" ca="1" si="1">EDATE(G5,12)</f>
        <v>46387</v>
      </c>
      <c r="I5" s="74">
        <f t="shared" ca="1" si="1"/>
        <v>46752</v>
      </c>
      <c r="J5" s="74">
        <f t="shared" ca="1" si="1"/>
        <v>47118</v>
      </c>
      <c r="K5" s="74">
        <f t="shared" ca="1" si="1"/>
        <v>47483</v>
      </c>
      <c r="L5" s="74">
        <f t="shared" ca="1" si="1"/>
        <v>47848</v>
      </c>
      <c r="M5" s="74">
        <f t="shared" ca="1" si="1"/>
        <v>48213</v>
      </c>
      <c r="N5" s="74">
        <f t="shared" ca="1" si="1"/>
        <v>48579</v>
      </c>
      <c r="O5" s="74">
        <f t="shared" ca="1" si="1"/>
        <v>48944</v>
      </c>
      <c r="P5" s="74">
        <f t="shared" ca="1" si="1"/>
        <v>49309</v>
      </c>
      <c r="Q5" s="74">
        <f t="shared" ca="1" si="1"/>
        <v>49674</v>
      </c>
      <c r="R5" s="74">
        <f t="shared" ca="1" si="1"/>
        <v>50040</v>
      </c>
      <c r="S5" s="74">
        <f t="shared" ca="1" si="1"/>
        <v>50405</v>
      </c>
      <c r="T5" s="74">
        <f t="shared" ca="1" si="1"/>
        <v>50770</v>
      </c>
      <c r="U5" s="74">
        <f t="shared" ca="1" si="1"/>
        <v>51135</v>
      </c>
      <c r="V5" s="74">
        <f t="shared" ca="1" si="1"/>
        <v>51501</v>
      </c>
      <c r="W5" s="74">
        <f t="shared" ca="1" si="1"/>
        <v>51866</v>
      </c>
      <c r="X5" s="74">
        <f t="shared" ca="1" si="1"/>
        <v>52231</v>
      </c>
      <c r="Y5" s="74">
        <f t="shared" ca="1" si="1"/>
        <v>52596</v>
      </c>
      <c r="Z5" s="74">
        <f t="shared" ca="1" si="1"/>
        <v>52962</v>
      </c>
    </row>
    <row r="6" spans="1:26" ht="13">
      <c r="B6" s="13"/>
      <c r="C6" s="13"/>
      <c r="D6" s="13"/>
      <c r="E6" s="13"/>
      <c r="F6" s="72"/>
      <c r="G6" s="33"/>
      <c r="H6" s="33"/>
      <c r="I6" s="33"/>
      <c r="J6" s="33"/>
      <c r="K6" s="33"/>
      <c r="L6" s="33"/>
      <c r="M6" s="33"/>
      <c r="N6" s="33"/>
      <c r="O6" s="33"/>
      <c r="P6" s="33"/>
      <c r="Q6" s="33"/>
      <c r="R6" s="33"/>
      <c r="S6" s="33"/>
      <c r="T6" s="33"/>
      <c r="U6" s="33"/>
      <c r="V6" s="33"/>
      <c r="W6" s="33"/>
      <c r="X6" s="33"/>
      <c r="Y6" s="33"/>
      <c r="Z6" s="33"/>
    </row>
    <row r="7" spans="1:26" ht="13">
      <c r="B7" s="75" t="s">
        <v>173</v>
      </c>
      <c r="D7" s="13"/>
      <c r="E7" s="13"/>
      <c r="F7" s="27"/>
      <c r="G7" s="27"/>
      <c r="H7" s="27"/>
      <c r="I7" s="27"/>
      <c r="J7" s="27"/>
      <c r="K7" s="27"/>
      <c r="L7" s="27"/>
      <c r="M7" s="27"/>
      <c r="N7" s="27"/>
      <c r="O7" s="27"/>
      <c r="P7" s="27"/>
      <c r="Q7" s="27"/>
      <c r="R7" s="27"/>
      <c r="S7" s="27"/>
      <c r="T7" s="27"/>
      <c r="U7" s="27"/>
      <c r="V7" s="27"/>
      <c r="W7" s="27"/>
      <c r="X7" s="27"/>
      <c r="Y7" s="27"/>
      <c r="Z7" s="27"/>
    </row>
    <row r="8" spans="1:26" ht="13">
      <c r="B8" s="13" t="str">
        <f>'Get Started'!B15</f>
        <v>New Investment time period (years)</v>
      </c>
      <c r="C8" s="13" t="s">
        <v>174</v>
      </c>
      <c r="D8" s="13" t="s">
        <v>175</v>
      </c>
      <c r="E8" s="27">
        <f t="shared" ref="E8:E10" si="2">IF(D8="sum",SUM(G8:Z8),IF(D8="final",Z8,IF(D8="initial",G8,IF(D8="average",AVERAGE(G8:Z8),0))))</f>
        <v>4</v>
      </c>
      <c r="F8" s="27"/>
      <c r="G8" s="27">
        <f>IF(G$4&lt;='Get Started'!$E15,1,0)</f>
        <v>1</v>
      </c>
      <c r="H8" s="27">
        <f>IF(H$4&lt;='Get Started'!$E15,1,0)</f>
        <v>1</v>
      </c>
      <c r="I8" s="27">
        <f>IF(I$4&lt;='Get Started'!$E15,1,0)</f>
        <v>1</v>
      </c>
      <c r="J8" s="27">
        <f>IF(J$4&lt;='Get Started'!$E15,1,0)</f>
        <v>1</v>
      </c>
      <c r="K8" s="27">
        <f>IF(K$4&lt;='Get Started'!$E15,1,0)</f>
        <v>0</v>
      </c>
      <c r="L8" s="27">
        <f>IF(L$4&lt;='Get Started'!$E15,1,0)</f>
        <v>0</v>
      </c>
      <c r="M8" s="27">
        <f>IF(M$4&lt;='Get Started'!$E15,1,0)</f>
        <v>0</v>
      </c>
      <c r="N8" s="27">
        <f>IF(N$4&lt;='Get Started'!$E15,1,0)</f>
        <v>0</v>
      </c>
      <c r="O8" s="27">
        <f>IF(O$4&lt;='Get Started'!$E15,1,0)</f>
        <v>0</v>
      </c>
      <c r="P8" s="27">
        <f>IF(P$4&lt;='Get Started'!$E15,1,0)</f>
        <v>0</v>
      </c>
      <c r="Q8" s="27">
        <f>IF(Q$4&lt;='Get Started'!$E15,1,0)</f>
        <v>0</v>
      </c>
      <c r="R8" s="27">
        <f>IF(R$4&lt;='Get Started'!$E15,1,0)</f>
        <v>0</v>
      </c>
      <c r="S8" s="27">
        <f>IF(S$4&lt;='Get Started'!$E15,1,0)</f>
        <v>0</v>
      </c>
      <c r="T8" s="27">
        <f>IF(T$4&lt;='Get Started'!$E15,1,0)</f>
        <v>0</v>
      </c>
      <c r="U8" s="27">
        <f>IF(U$4&lt;='Get Started'!$E15,1,0)</f>
        <v>0</v>
      </c>
      <c r="V8" s="27">
        <f>IF(V$4&lt;='Get Started'!$E15,1,0)</f>
        <v>0</v>
      </c>
      <c r="W8" s="27">
        <f>IF(W$4&lt;='Get Started'!$E15,1,0)</f>
        <v>0</v>
      </c>
      <c r="X8" s="27">
        <f>IF(X$4&lt;='Get Started'!$E15,1,0)</f>
        <v>0</v>
      </c>
      <c r="Y8" s="27">
        <f>IF(Y$4&lt;='Get Started'!$E15,1,0)</f>
        <v>0</v>
      </c>
      <c r="Z8" s="27">
        <f>IF(Z$4&lt;='Get Started'!$E15,1,0)</f>
        <v>0</v>
      </c>
    </row>
    <row r="9" spans="1:26" ht="13">
      <c r="B9" s="13" t="str">
        <f>'Get Started'!B16</f>
        <v>Fund Duration (Management Fees time period) (years)</v>
      </c>
      <c r="C9" s="76" t="s">
        <v>176</v>
      </c>
      <c r="D9" s="13" t="s">
        <v>175</v>
      </c>
      <c r="E9" s="27">
        <f t="shared" ca="1" si="2"/>
        <v>10</v>
      </c>
      <c r="F9" s="27"/>
      <c r="G9" s="27">
        <f ca="1">IF(G$4&lt;='Get Started'!$E16,1,0)*G10</f>
        <v>1</v>
      </c>
      <c r="H9" s="27">
        <f ca="1">IF(H$4&lt;='Get Started'!$E16,1,0)*H10</f>
        <v>1</v>
      </c>
      <c r="I9" s="27">
        <f ca="1">IF(I$4&lt;='Get Started'!$E16,1,0)*I10</f>
        <v>1</v>
      </c>
      <c r="J9" s="27">
        <f ca="1">IF(J$4&lt;='Get Started'!$E16,1,0)*J10</f>
        <v>1</v>
      </c>
      <c r="K9" s="27">
        <f ca="1">IF(K$4&lt;='Get Started'!$E16,1,0)*K10</f>
        <v>1</v>
      </c>
      <c r="L9" s="27">
        <f ca="1">IF(L$4&lt;='Get Started'!$E16,1,0)*L10</f>
        <v>1</v>
      </c>
      <c r="M9" s="27">
        <f ca="1">IF(M$4&lt;='Get Started'!$E16,1,0)*M10</f>
        <v>1</v>
      </c>
      <c r="N9" s="27">
        <f ca="1">IF(N$4&lt;='Get Started'!$E16,1,0)*N10</f>
        <v>1</v>
      </c>
      <c r="O9" s="27">
        <f ca="1">IF(O$4&lt;='Get Started'!$E16,1,0)*O10</f>
        <v>1</v>
      </c>
      <c r="P9" s="27">
        <f ca="1">IF(P$4&lt;='Get Started'!$E16,1,0)*P10</f>
        <v>1</v>
      </c>
      <c r="Q9" s="27">
        <f ca="1">IF(Q$4&lt;='Get Started'!$E16,1,0)*Q10</f>
        <v>0</v>
      </c>
      <c r="R9" s="27">
        <f ca="1">IF(R$4&lt;='Get Started'!$E16,1,0)*R10</f>
        <v>0</v>
      </c>
      <c r="S9" s="27">
        <f ca="1">IF(S$4&lt;='Get Started'!$E16,1,0)*S10</f>
        <v>0</v>
      </c>
      <c r="T9" s="27">
        <f ca="1">IF(T$4&lt;='Get Started'!$E16,1,0)*T10</f>
        <v>0</v>
      </c>
      <c r="U9" s="27">
        <f ca="1">IF(U$4&lt;='Get Started'!$E16,1,0)*U10</f>
        <v>0</v>
      </c>
      <c r="V9" s="27">
        <f ca="1">IF(V$4&lt;='Get Started'!$E16,1,0)*V10</f>
        <v>0</v>
      </c>
      <c r="W9" s="27">
        <f ca="1">IF(W$4&lt;='Get Started'!$E16,1,0)*W10</f>
        <v>0</v>
      </c>
      <c r="X9" s="27">
        <f ca="1">IF(X$4&lt;='Get Started'!$E16,1,0)*X10</f>
        <v>0</v>
      </c>
      <c r="Y9" s="27">
        <f ca="1">IF(Y$4&lt;='Get Started'!$E16,1,0)*Y10</f>
        <v>0</v>
      </c>
      <c r="Z9" s="27">
        <f ca="1">IF(Z$4&lt;='Get Started'!$E16,1,0)*Z10</f>
        <v>0</v>
      </c>
    </row>
    <row r="10" spans="1:26" ht="13">
      <c r="B10" s="13" t="str">
        <f>'Get Started'!B17</f>
        <v>Fund Operations time period (years)</v>
      </c>
      <c r="C10" s="13"/>
      <c r="D10" s="13" t="s">
        <v>175</v>
      </c>
      <c r="E10" s="27">
        <f t="shared" ca="1" si="2"/>
        <v>10</v>
      </c>
      <c r="F10" s="27"/>
      <c r="G10" s="27">
        <f ca="1">IF(G$4&lt;='Get Started'!$E17,1,0)</f>
        <v>1</v>
      </c>
      <c r="H10" s="27">
        <f ca="1">IF(H$4&lt;='Get Started'!$E17,1,0)</f>
        <v>1</v>
      </c>
      <c r="I10" s="27">
        <f ca="1">IF(I$4&lt;='Get Started'!$E17,1,0)</f>
        <v>1</v>
      </c>
      <c r="J10" s="27">
        <f ca="1">IF(J$4&lt;='Get Started'!$E17,1,0)</f>
        <v>1</v>
      </c>
      <c r="K10" s="27">
        <f ca="1">IF(K$4&lt;='Get Started'!$E17,1,0)</f>
        <v>1</v>
      </c>
      <c r="L10" s="27">
        <f ca="1">IF(L$4&lt;='Get Started'!$E17,1,0)</f>
        <v>1</v>
      </c>
      <c r="M10" s="27">
        <f ca="1">IF(M$4&lt;='Get Started'!$E17,1,0)</f>
        <v>1</v>
      </c>
      <c r="N10" s="27">
        <f ca="1">IF(N$4&lt;='Get Started'!$E17,1,0)</f>
        <v>1</v>
      </c>
      <c r="O10" s="27">
        <f ca="1">IF(O$4&lt;='Get Started'!$E17,1,0)</f>
        <v>1</v>
      </c>
      <c r="P10" s="27">
        <f ca="1">IF(P$4&lt;='Get Started'!$E17,1,0)</f>
        <v>1</v>
      </c>
      <c r="Q10" s="27">
        <f ca="1">IF(Q$4&lt;='Get Started'!$E17,1,0)</f>
        <v>0</v>
      </c>
      <c r="R10" s="27">
        <f ca="1">IF(R$4&lt;='Get Started'!$E17,1,0)</f>
        <v>0</v>
      </c>
      <c r="S10" s="27">
        <f ca="1">IF(S$4&lt;='Get Started'!$E17,1,0)</f>
        <v>0</v>
      </c>
      <c r="T10" s="27">
        <f ca="1">IF(T$4&lt;='Get Started'!$E17,1,0)</f>
        <v>0</v>
      </c>
      <c r="U10" s="27">
        <f ca="1">IF(U$4&lt;='Get Started'!$E17,1,0)</f>
        <v>0</v>
      </c>
      <c r="V10" s="27">
        <f ca="1">IF(V$4&lt;='Get Started'!$E17,1,0)</f>
        <v>0</v>
      </c>
      <c r="W10" s="27">
        <f ca="1">IF(W$4&lt;='Get Started'!$E17,1,0)</f>
        <v>0</v>
      </c>
      <c r="X10" s="27">
        <f ca="1">IF(X$4&lt;='Get Started'!$E17,1,0)</f>
        <v>0</v>
      </c>
      <c r="Y10" s="27">
        <f ca="1">IF(Y$4&lt;='Get Started'!$E17,1,0)</f>
        <v>0</v>
      </c>
      <c r="Z10" s="27">
        <f ca="1">IF(Z$4&lt;='Get Started'!$E17,1,0)</f>
        <v>0</v>
      </c>
    </row>
    <row r="11" spans="1:26" ht="13">
      <c r="B11" s="34" t="s">
        <v>177</v>
      </c>
      <c r="D11" s="34" t="s">
        <v>175</v>
      </c>
      <c r="E11" s="35">
        <f>IF(D11="sum",SUM(G11:CH11),IF(D11="final",CH11,IF(D11="initial",G11,IF(D11="average",AVERAGE(G11:CH11),0))))</f>
        <v>0</v>
      </c>
      <c r="F11" s="77"/>
      <c r="G11" s="78">
        <v>0</v>
      </c>
      <c r="H11" s="78">
        <v>0</v>
      </c>
      <c r="I11" s="78">
        <v>0</v>
      </c>
      <c r="J11" s="78">
        <v>0</v>
      </c>
      <c r="K11" s="78">
        <v>0</v>
      </c>
      <c r="L11" s="78">
        <v>0</v>
      </c>
      <c r="M11" s="78">
        <v>0</v>
      </c>
      <c r="N11" s="78">
        <v>0</v>
      </c>
      <c r="O11" s="78">
        <v>0</v>
      </c>
      <c r="P11" s="78">
        <v>0</v>
      </c>
      <c r="Q11" s="78">
        <v>0</v>
      </c>
      <c r="R11" s="78">
        <v>0</v>
      </c>
      <c r="S11" s="78">
        <v>0</v>
      </c>
      <c r="T11" s="78">
        <v>0</v>
      </c>
      <c r="U11" s="78">
        <v>0</v>
      </c>
      <c r="V11" s="78">
        <v>0</v>
      </c>
      <c r="W11" s="78">
        <v>0</v>
      </c>
      <c r="X11" s="78">
        <v>0</v>
      </c>
      <c r="Y11" s="78">
        <v>0</v>
      </c>
      <c r="Z11" s="78">
        <v>0</v>
      </c>
    </row>
    <row r="12" spans="1:26" ht="13">
      <c r="B12" s="13"/>
      <c r="C12" s="13"/>
      <c r="D12" s="13"/>
      <c r="E12" s="13"/>
      <c r="F12" s="27"/>
      <c r="G12" s="27"/>
      <c r="H12" s="27"/>
      <c r="I12" s="27"/>
      <c r="J12" s="27"/>
      <c r="K12" s="27"/>
      <c r="L12" s="27"/>
      <c r="M12" s="27"/>
      <c r="N12" s="27"/>
      <c r="O12" s="27"/>
      <c r="P12" s="27"/>
      <c r="Q12" s="27"/>
      <c r="R12" s="27"/>
      <c r="S12" s="27"/>
      <c r="T12" s="27"/>
      <c r="U12" s="27"/>
      <c r="V12" s="27"/>
      <c r="W12" s="27"/>
      <c r="X12" s="27"/>
      <c r="Y12" s="27"/>
      <c r="Z12" s="27"/>
    </row>
    <row r="13" spans="1:26" ht="13">
      <c r="B13" s="75" t="s">
        <v>178</v>
      </c>
      <c r="C13" s="13"/>
      <c r="D13" s="13"/>
      <c r="E13" s="13"/>
      <c r="F13" s="27"/>
      <c r="G13" s="27"/>
      <c r="H13" s="27"/>
      <c r="I13" s="27"/>
      <c r="J13" s="27"/>
      <c r="K13" s="27"/>
      <c r="L13" s="27"/>
      <c r="M13" s="27"/>
      <c r="N13" s="27"/>
      <c r="O13" s="27"/>
      <c r="P13" s="27"/>
      <c r="Q13" s="27"/>
      <c r="R13" s="27"/>
      <c r="S13" s="27"/>
      <c r="T13" s="27"/>
      <c r="U13" s="27"/>
      <c r="V13" s="27"/>
      <c r="W13" s="27"/>
      <c r="X13" s="27"/>
      <c r="Y13" s="27"/>
      <c r="Z13" s="27"/>
    </row>
    <row r="14" spans="1:26" ht="13">
      <c r="B14" s="13" t="s">
        <v>179</v>
      </c>
      <c r="D14" s="13" t="s">
        <v>175</v>
      </c>
      <c r="E14" s="79">
        <f t="shared" ref="E14:E17" ca="1" si="3">IF(D14="sum",SUM(G14:Z14),IF(D14="final",Z14,IF(D14="initial",G14,IF(D14="average",AVERAGE(G14:Z14),0))))</f>
        <v>0.19999999999999998</v>
      </c>
      <c r="F14" s="27"/>
      <c r="G14" s="29">
        <f ca="1">IF(G9=1,'Get Started'!$E13,0)</f>
        <v>0.02</v>
      </c>
      <c r="H14" s="29">
        <f ca="1">IF(H9=1,'Get Started'!$E13,0)</f>
        <v>0.02</v>
      </c>
      <c r="I14" s="29">
        <f ca="1">IF(I9=1,'Get Started'!$E13,0)</f>
        <v>0.02</v>
      </c>
      <c r="J14" s="29">
        <f ca="1">IF(J9=1,'Get Started'!$E13,0)</f>
        <v>0.02</v>
      </c>
      <c r="K14" s="29">
        <f ca="1">IF(K9=1,'Get Started'!$E13,0)</f>
        <v>0.02</v>
      </c>
      <c r="L14" s="29">
        <f ca="1">IF(L9=1,'Get Started'!$E13,0)</f>
        <v>0.02</v>
      </c>
      <c r="M14" s="29">
        <f ca="1">IF(M9=1,'Get Started'!$E13,0)</f>
        <v>0.02</v>
      </c>
      <c r="N14" s="29">
        <f ca="1">IF(N9=1,'Get Started'!$E13,0)</f>
        <v>0.02</v>
      </c>
      <c r="O14" s="29">
        <f ca="1">IF(O9=1,'Get Started'!$E13,0)</f>
        <v>0.02</v>
      </c>
      <c r="P14" s="29">
        <f ca="1">IF(P9=1,'Get Started'!$E13,0)</f>
        <v>0.02</v>
      </c>
      <c r="Q14" s="29">
        <f ca="1">IF(Q9=1,'Get Started'!$E13,0)</f>
        <v>0</v>
      </c>
      <c r="R14" s="29">
        <f ca="1">IF(R9=1,'Get Started'!$E13,0)</f>
        <v>0</v>
      </c>
      <c r="S14" s="29">
        <f ca="1">IF(S9=1,'Get Started'!$E13,0)</f>
        <v>0</v>
      </c>
      <c r="T14" s="29">
        <f ca="1">IF(T9=1,'Get Started'!$E13,0)</f>
        <v>0</v>
      </c>
      <c r="U14" s="29">
        <f ca="1">IF(U9=1,'Get Started'!$E13,0)</f>
        <v>0</v>
      </c>
      <c r="V14" s="29">
        <f ca="1">IF(V9=1,'Get Started'!$E13,0)</f>
        <v>0</v>
      </c>
      <c r="W14" s="29">
        <f ca="1">IF(W9=1,'Get Started'!$E13,0)</f>
        <v>0</v>
      </c>
      <c r="X14" s="29">
        <f ca="1">IF(X9=1,'Get Started'!$E13,0)</f>
        <v>0</v>
      </c>
      <c r="Y14" s="29">
        <f ca="1">IF(Y9=1,'Get Started'!$E13,0)</f>
        <v>0</v>
      </c>
      <c r="Z14" s="29">
        <f ca="1">IF(Z9=1,'Get Started'!$E13,0)</f>
        <v>0</v>
      </c>
    </row>
    <row r="15" spans="1:26" ht="13">
      <c r="B15" s="13" t="str">
        <f>"Management Fees based on "&amp;G15&amp;" capital. Can change per period if method for calc changes."</f>
        <v>Management Fees based on committed capital. Can change per period if method for calc changes.</v>
      </c>
      <c r="D15" s="13" t="s">
        <v>175</v>
      </c>
      <c r="E15" s="27">
        <f t="shared" si="3"/>
        <v>0</v>
      </c>
      <c r="F15" s="27"/>
      <c r="G15" s="80" t="s">
        <v>180</v>
      </c>
      <c r="H15" s="80" t="str">
        <f t="shared" ref="H15:Z15" si="4">G15</f>
        <v>committed</v>
      </c>
      <c r="I15" s="80" t="str">
        <f t="shared" si="4"/>
        <v>committed</v>
      </c>
      <c r="J15" s="80" t="str">
        <f t="shared" si="4"/>
        <v>committed</v>
      </c>
      <c r="K15" s="80" t="str">
        <f t="shared" si="4"/>
        <v>committed</v>
      </c>
      <c r="L15" s="80" t="str">
        <f t="shared" si="4"/>
        <v>committed</v>
      </c>
      <c r="M15" s="80" t="str">
        <f t="shared" si="4"/>
        <v>committed</v>
      </c>
      <c r="N15" s="80" t="str">
        <f t="shared" si="4"/>
        <v>committed</v>
      </c>
      <c r="O15" s="80" t="str">
        <f t="shared" si="4"/>
        <v>committed</v>
      </c>
      <c r="P15" s="80" t="str">
        <f t="shared" si="4"/>
        <v>committed</v>
      </c>
      <c r="Q15" s="80" t="str">
        <f t="shared" si="4"/>
        <v>committed</v>
      </c>
      <c r="R15" s="80" t="str">
        <f t="shared" si="4"/>
        <v>committed</v>
      </c>
      <c r="S15" s="80" t="str">
        <f t="shared" si="4"/>
        <v>committed</v>
      </c>
      <c r="T15" s="80" t="str">
        <f t="shared" si="4"/>
        <v>committed</v>
      </c>
      <c r="U15" s="80" t="str">
        <f t="shared" si="4"/>
        <v>committed</v>
      </c>
      <c r="V15" s="80" t="str">
        <f t="shared" si="4"/>
        <v>committed</v>
      </c>
      <c r="W15" s="80" t="str">
        <f t="shared" si="4"/>
        <v>committed</v>
      </c>
      <c r="X15" s="80" t="str">
        <f t="shared" si="4"/>
        <v>committed</v>
      </c>
      <c r="Y15" s="80" t="str">
        <f t="shared" si="4"/>
        <v>committed</v>
      </c>
      <c r="Z15" s="80" t="str">
        <f t="shared" si="4"/>
        <v>committed</v>
      </c>
    </row>
    <row r="16" spans="1:26" ht="13">
      <c r="A16" s="34"/>
      <c r="B16" s="34" t="s">
        <v>181</v>
      </c>
      <c r="C16" s="121" t="b">
        <v>0</v>
      </c>
      <c r="D16" s="13" t="s">
        <v>175</v>
      </c>
      <c r="E16" s="35">
        <f t="shared" si="3"/>
        <v>0</v>
      </c>
      <c r="F16" s="77"/>
      <c r="G16" s="35">
        <f>IF($C16=TRUE,G31*'Get Started'!$E10,0)</f>
        <v>0</v>
      </c>
      <c r="H16" s="35">
        <f>IF($C16=TRUE,H31*'Get Started'!$E10,0)</f>
        <v>0</v>
      </c>
      <c r="I16" s="35">
        <f>IF($C16=TRUE,I31*'Get Started'!$E10,0)</f>
        <v>0</v>
      </c>
      <c r="J16" s="35">
        <f>IF($C16=TRUE,J31*'Get Started'!$E10,0)</f>
        <v>0</v>
      </c>
      <c r="K16" s="35">
        <f>IF($C16=TRUE,K31*'Get Started'!$E10,0)</f>
        <v>0</v>
      </c>
      <c r="L16" s="35">
        <f>IF($C16=TRUE,L31*'Get Started'!$E10,0)</f>
        <v>0</v>
      </c>
      <c r="M16" s="35">
        <f>IF($C16=TRUE,M31*'Get Started'!$E10,0)</f>
        <v>0</v>
      </c>
      <c r="N16" s="35">
        <f>IF($C16=TRUE,N31*'Get Started'!$E10,0)</f>
        <v>0</v>
      </c>
      <c r="O16" s="35">
        <f>IF($C16=TRUE,O31*'Get Started'!$E10,0)</f>
        <v>0</v>
      </c>
      <c r="P16" s="35">
        <f>IF($C16=TRUE,P31*'Get Started'!$E10,0)</f>
        <v>0</v>
      </c>
      <c r="Q16" s="35">
        <f>IF($C16=TRUE,Q31*'Get Started'!$E10,0)</f>
        <v>0</v>
      </c>
      <c r="R16" s="35">
        <f>IF($C16=TRUE,R31*'Get Started'!$E10,0)</f>
        <v>0</v>
      </c>
      <c r="S16" s="35">
        <f>IF($C16=TRUE,S31*'Get Started'!$E10,0)</f>
        <v>0</v>
      </c>
      <c r="T16" s="35">
        <f>IF($C16=TRUE,T31*'Get Started'!$E10,0)</f>
        <v>0</v>
      </c>
      <c r="U16" s="35">
        <f>IF($C16=TRUE,U31*'Get Started'!$E10,0)</f>
        <v>0</v>
      </c>
      <c r="V16" s="35">
        <f>IF($C16=TRUE,V31*'Get Started'!$E10,0)</f>
        <v>0</v>
      </c>
      <c r="W16" s="35">
        <f>IF($C16=TRUE,W31*'Get Started'!$E10,0)</f>
        <v>0</v>
      </c>
      <c r="X16" s="35">
        <f>IF($C16=TRUE,X31*'Get Started'!$E10,0)</f>
        <v>0</v>
      </c>
      <c r="Y16" s="35">
        <f>IF($C16=TRUE,Y31*'Get Started'!$E10,0)</f>
        <v>0</v>
      </c>
      <c r="Z16" s="35">
        <f>IF($C16=TRUE,Z31*'Get Started'!$E10,0)</f>
        <v>0</v>
      </c>
    </row>
    <row r="17" spans="1:26" ht="13">
      <c r="B17" s="13" t="s">
        <v>182</v>
      </c>
      <c r="C17" s="121" t="b">
        <v>1</v>
      </c>
      <c r="D17" s="13" t="s">
        <v>175</v>
      </c>
      <c r="E17" s="35">
        <f t="shared" ca="1" si="3"/>
        <v>500000</v>
      </c>
      <c r="F17" s="27"/>
      <c r="G17" s="35">
        <f ca="1">IF($C17=TRUE,G31*'Get Started'!$E10,0)</f>
        <v>113300</v>
      </c>
      <c r="H17" s="35">
        <f ca="1">IF($C17=TRUE,H31*'Get Started'!$E10,0)</f>
        <v>111300</v>
      </c>
      <c r="I17" s="35">
        <f ca="1">IF($C17=TRUE,I31*'Get Started'!$E10,0)</f>
        <v>111300</v>
      </c>
      <c r="J17" s="35">
        <f ca="1">IF($C17=TRUE,J31*'Get Started'!$E10,0)</f>
        <v>96300</v>
      </c>
      <c r="K17" s="35">
        <f ca="1">IF($C17=TRUE,K31*'Get Started'!$E10,0)</f>
        <v>11300</v>
      </c>
      <c r="L17" s="35">
        <f ca="1">IF($C17=TRUE,L31*'Get Started'!$E10,0)</f>
        <v>11300</v>
      </c>
      <c r="M17" s="35">
        <f ca="1">IF($C17=TRUE,M31*'Get Started'!$E10,0)</f>
        <v>11300</v>
      </c>
      <c r="N17" s="35">
        <f ca="1">IF($C17=TRUE,N31*'Get Started'!$E10,0)</f>
        <v>11300</v>
      </c>
      <c r="O17" s="35">
        <f ca="1">IF($C17=TRUE,O31*'Get Started'!$E10,0)</f>
        <v>11300</v>
      </c>
      <c r="P17" s="35">
        <f ca="1">IF($C17=TRUE,P31*'Get Started'!$E10,0)</f>
        <v>11300</v>
      </c>
      <c r="Q17" s="35">
        <f ca="1">IF($C17=TRUE,Q31*'Get Started'!$E10,0)</f>
        <v>0</v>
      </c>
      <c r="R17" s="35">
        <f ca="1">IF($C17=TRUE,R31*'Get Started'!$E10,0)</f>
        <v>0</v>
      </c>
      <c r="S17" s="35">
        <f ca="1">IF($C17=TRUE,S31*'Get Started'!$E10,0)</f>
        <v>0</v>
      </c>
      <c r="T17" s="35">
        <f ca="1">IF($C17=TRUE,T31*'Get Started'!$E10,0)</f>
        <v>0</v>
      </c>
      <c r="U17" s="35">
        <f ca="1">IF($C17=TRUE,U31*'Get Started'!$E10,0)</f>
        <v>0</v>
      </c>
      <c r="V17" s="35">
        <f ca="1">IF($C17=TRUE,V31*'Get Started'!$E10,0)</f>
        <v>0</v>
      </c>
      <c r="W17" s="35">
        <f ca="1">IF($C17=TRUE,W31*'Get Started'!$E10,0)</f>
        <v>0</v>
      </c>
      <c r="X17" s="35">
        <f ca="1">IF($C17=TRUE,X31*'Get Started'!$E10,0)</f>
        <v>0</v>
      </c>
      <c r="Y17" s="35">
        <f ca="1">IF($C17=TRUE,Y31*'Get Started'!$E10,0)</f>
        <v>0</v>
      </c>
      <c r="Z17" s="35">
        <f ca="1">IF($C17=TRUE,Z31*'Get Started'!$E10,0)</f>
        <v>0</v>
      </c>
    </row>
    <row r="18" spans="1:26" ht="13">
      <c r="A18" s="34"/>
      <c r="B18" s="34" t="s">
        <v>183</v>
      </c>
      <c r="C18" s="34" t="s">
        <v>184</v>
      </c>
      <c r="D18" s="77" t="s">
        <v>185</v>
      </c>
      <c r="E18" s="81">
        <f t="shared" ref="E18:E19" si="5">IF(D18="sum",SUM(G18:CH18),IF(D18="final",CH18,IF(D18="initial",G18,IF(D18="average",AVERAGE(G18:CH18),0))))</f>
        <v>0</v>
      </c>
      <c r="F18" s="77"/>
      <c r="G18" s="82">
        <v>0</v>
      </c>
      <c r="H18" s="82">
        <f t="shared" ref="H18:Z18" si="6">G18</f>
        <v>0</v>
      </c>
      <c r="I18" s="82">
        <f t="shared" si="6"/>
        <v>0</v>
      </c>
      <c r="J18" s="82">
        <f t="shared" si="6"/>
        <v>0</v>
      </c>
      <c r="K18" s="82">
        <f t="shared" si="6"/>
        <v>0</v>
      </c>
      <c r="L18" s="82">
        <f t="shared" si="6"/>
        <v>0</v>
      </c>
      <c r="M18" s="82">
        <f t="shared" si="6"/>
        <v>0</v>
      </c>
      <c r="N18" s="82">
        <f t="shared" si="6"/>
        <v>0</v>
      </c>
      <c r="O18" s="82">
        <f t="shared" si="6"/>
        <v>0</v>
      </c>
      <c r="P18" s="82">
        <f t="shared" si="6"/>
        <v>0</v>
      </c>
      <c r="Q18" s="82">
        <f t="shared" si="6"/>
        <v>0</v>
      </c>
      <c r="R18" s="82">
        <f t="shared" si="6"/>
        <v>0</v>
      </c>
      <c r="S18" s="82">
        <f t="shared" si="6"/>
        <v>0</v>
      </c>
      <c r="T18" s="82">
        <f t="shared" si="6"/>
        <v>0</v>
      </c>
      <c r="U18" s="82">
        <f t="shared" si="6"/>
        <v>0</v>
      </c>
      <c r="V18" s="82">
        <f t="shared" si="6"/>
        <v>0</v>
      </c>
      <c r="W18" s="82">
        <f t="shared" si="6"/>
        <v>0</v>
      </c>
      <c r="X18" s="82">
        <f t="shared" si="6"/>
        <v>0</v>
      </c>
      <c r="Y18" s="82">
        <f t="shared" si="6"/>
        <v>0</v>
      </c>
      <c r="Z18" s="82">
        <f t="shared" si="6"/>
        <v>0</v>
      </c>
    </row>
    <row r="19" spans="1:26" ht="13">
      <c r="A19" s="34"/>
      <c r="B19" s="34" t="s">
        <v>186</v>
      </c>
      <c r="C19" s="34"/>
      <c r="D19" s="77" t="s">
        <v>175</v>
      </c>
      <c r="E19" s="51">
        <f t="shared" si="5"/>
        <v>1</v>
      </c>
      <c r="F19" s="77"/>
      <c r="G19" s="82">
        <v>1</v>
      </c>
      <c r="H19" s="82">
        <v>0</v>
      </c>
      <c r="I19" s="82">
        <v>0</v>
      </c>
      <c r="J19" s="82">
        <v>0</v>
      </c>
      <c r="K19" s="82">
        <v>0</v>
      </c>
      <c r="L19" s="82">
        <v>0</v>
      </c>
      <c r="M19" s="82">
        <v>0</v>
      </c>
      <c r="N19" s="82">
        <v>0</v>
      </c>
      <c r="O19" s="82">
        <v>0</v>
      </c>
      <c r="P19" s="82">
        <v>0</v>
      </c>
      <c r="Q19" s="82">
        <v>0</v>
      </c>
      <c r="R19" s="82">
        <v>0</v>
      </c>
      <c r="S19" s="82">
        <v>0</v>
      </c>
      <c r="T19" s="82">
        <v>0</v>
      </c>
      <c r="U19" s="82">
        <v>0</v>
      </c>
      <c r="V19" s="82">
        <v>0</v>
      </c>
      <c r="W19" s="82">
        <v>0</v>
      </c>
      <c r="X19" s="82">
        <v>0</v>
      </c>
      <c r="Y19" s="82">
        <v>0</v>
      </c>
      <c r="Z19" s="82">
        <v>0</v>
      </c>
    </row>
    <row r="20" spans="1:26" ht="13">
      <c r="A20" s="34"/>
      <c r="B20" s="34" t="s">
        <v>187</v>
      </c>
      <c r="C20" s="34" t="s">
        <v>188</v>
      </c>
      <c r="D20" s="77" t="s">
        <v>175</v>
      </c>
      <c r="E20" s="51">
        <f>IF(D20="sum",SUM(G20:EP20),IF(D20="final",EP20,IF(D20="initial",G20,IF(D20="average",AVERAGE(G20:EP20),0))))</f>
        <v>0</v>
      </c>
      <c r="F20" s="77"/>
      <c r="G20" s="82">
        <v>0</v>
      </c>
      <c r="H20" s="82">
        <v>0</v>
      </c>
      <c r="I20" s="82">
        <v>0</v>
      </c>
      <c r="J20" s="82">
        <v>0</v>
      </c>
      <c r="K20" s="82">
        <v>0</v>
      </c>
      <c r="L20" s="82">
        <v>0</v>
      </c>
      <c r="M20" s="82">
        <v>0</v>
      </c>
      <c r="N20" s="82">
        <v>0</v>
      </c>
      <c r="O20" s="82">
        <v>0</v>
      </c>
      <c r="P20" s="82">
        <v>0</v>
      </c>
      <c r="Q20" s="82">
        <v>0</v>
      </c>
      <c r="R20" s="82">
        <v>0</v>
      </c>
      <c r="S20" s="82">
        <v>0</v>
      </c>
      <c r="T20" s="82">
        <v>0</v>
      </c>
      <c r="U20" s="82">
        <v>0</v>
      </c>
      <c r="V20" s="82">
        <v>0</v>
      </c>
      <c r="W20" s="82">
        <v>0</v>
      </c>
      <c r="X20" s="82">
        <v>0</v>
      </c>
      <c r="Y20" s="82">
        <v>0</v>
      </c>
      <c r="Z20" s="82">
        <v>0</v>
      </c>
    </row>
    <row r="21" spans="1:26" ht="13">
      <c r="B21" s="13"/>
      <c r="C21" s="13"/>
      <c r="D21" s="27"/>
      <c r="E21" s="27"/>
      <c r="F21" s="27"/>
      <c r="G21" s="27"/>
      <c r="H21" s="27"/>
      <c r="I21" s="27"/>
      <c r="J21" s="27"/>
      <c r="K21" s="27"/>
      <c r="L21" s="27"/>
      <c r="M21" s="27"/>
      <c r="N21" s="27"/>
      <c r="O21" s="27"/>
      <c r="P21" s="27"/>
      <c r="Q21" s="27"/>
      <c r="R21" s="27"/>
      <c r="S21" s="27"/>
      <c r="T21" s="27"/>
      <c r="U21" s="27"/>
      <c r="V21" s="27"/>
      <c r="W21" s="27"/>
      <c r="X21" s="27"/>
      <c r="Y21" s="27"/>
      <c r="Z21" s="27"/>
    </row>
    <row r="22" spans="1:26" ht="13">
      <c r="B22" s="13" t="s">
        <v>189</v>
      </c>
      <c r="C22" s="13"/>
      <c r="D22" s="13" t="s">
        <v>190</v>
      </c>
      <c r="E22" s="27">
        <f t="shared" ref="E22:E28" si="7">IF(D22="sum",SUM(G22:Z22),IF(D22="final",Z22,IF(D22="initial",G22,IF(D22="average",AVERAGE(G22:Z22),0))))</f>
        <v>0</v>
      </c>
      <c r="F22" s="27"/>
      <c r="G22" s="27">
        <f t="shared" ref="G22:Z22" si="8">F28</f>
        <v>0</v>
      </c>
      <c r="H22" s="27">
        <f t="shared" ca="1" si="8"/>
        <v>0</v>
      </c>
      <c r="I22" s="27">
        <f t="shared" ca="1" si="8"/>
        <v>0</v>
      </c>
      <c r="J22" s="27">
        <f t="shared" ca="1" si="8"/>
        <v>0</v>
      </c>
      <c r="K22" s="27">
        <f t="shared" ca="1" si="8"/>
        <v>0</v>
      </c>
      <c r="L22" s="27">
        <f t="shared" ca="1" si="8"/>
        <v>0</v>
      </c>
      <c r="M22" s="27">
        <f t="shared" ca="1" si="8"/>
        <v>0</v>
      </c>
      <c r="N22" s="27">
        <f t="shared" ca="1" si="8"/>
        <v>0</v>
      </c>
      <c r="O22" s="27">
        <f t="shared" ca="1" si="8"/>
        <v>0</v>
      </c>
      <c r="P22" s="27">
        <f t="shared" ca="1" si="8"/>
        <v>0</v>
      </c>
      <c r="Q22" s="27">
        <f t="shared" ca="1" si="8"/>
        <v>0</v>
      </c>
      <c r="R22" s="27">
        <f t="shared" ca="1" si="8"/>
        <v>0</v>
      </c>
      <c r="S22" s="27">
        <f t="shared" ca="1" si="8"/>
        <v>0</v>
      </c>
      <c r="T22" s="27">
        <f t="shared" ca="1" si="8"/>
        <v>0</v>
      </c>
      <c r="U22" s="27">
        <f t="shared" ca="1" si="8"/>
        <v>0</v>
      </c>
      <c r="V22" s="27">
        <f t="shared" ca="1" si="8"/>
        <v>0</v>
      </c>
      <c r="W22" s="27">
        <f t="shared" ca="1" si="8"/>
        <v>0</v>
      </c>
      <c r="X22" s="27">
        <f t="shared" ca="1" si="8"/>
        <v>0</v>
      </c>
      <c r="Y22" s="27">
        <f t="shared" ca="1" si="8"/>
        <v>0</v>
      </c>
      <c r="Z22" s="27">
        <f t="shared" ca="1" si="8"/>
        <v>0</v>
      </c>
    </row>
    <row r="23" spans="1:26" ht="13">
      <c r="B23" s="13" t="s">
        <v>191</v>
      </c>
      <c r="C23" s="13"/>
      <c r="D23" s="13" t="s">
        <v>175</v>
      </c>
      <c r="E23" s="27">
        <f t="shared" ca="1" si="7"/>
        <v>25000000</v>
      </c>
      <c r="F23" s="27"/>
      <c r="G23" s="27">
        <f t="shared" ref="G23:Z23" ca="1" si="9">G31</f>
        <v>5665000</v>
      </c>
      <c r="H23" s="27">
        <f t="shared" ca="1" si="9"/>
        <v>5565000</v>
      </c>
      <c r="I23" s="27">
        <f t="shared" ca="1" si="9"/>
        <v>5565000</v>
      </c>
      <c r="J23" s="27">
        <f t="shared" ca="1" si="9"/>
        <v>4815000</v>
      </c>
      <c r="K23" s="27">
        <f t="shared" ca="1" si="9"/>
        <v>565000</v>
      </c>
      <c r="L23" s="27">
        <f t="shared" ca="1" si="9"/>
        <v>565000</v>
      </c>
      <c r="M23" s="27">
        <f t="shared" ca="1" si="9"/>
        <v>565000</v>
      </c>
      <c r="N23" s="27">
        <f t="shared" ca="1" si="9"/>
        <v>565000</v>
      </c>
      <c r="O23" s="27">
        <f t="shared" ca="1" si="9"/>
        <v>565000</v>
      </c>
      <c r="P23" s="27">
        <f t="shared" ca="1" si="9"/>
        <v>565000</v>
      </c>
      <c r="Q23" s="27">
        <f t="shared" ca="1" si="9"/>
        <v>0</v>
      </c>
      <c r="R23" s="27">
        <f t="shared" ca="1" si="9"/>
        <v>0</v>
      </c>
      <c r="S23" s="27">
        <f t="shared" ca="1" si="9"/>
        <v>0</v>
      </c>
      <c r="T23" s="27">
        <f t="shared" ca="1" si="9"/>
        <v>0</v>
      </c>
      <c r="U23" s="27">
        <f t="shared" ca="1" si="9"/>
        <v>0</v>
      </c>
      <c r="V23" s="27">
        <f t="shared" ca="1" si="9"/>
        <v>0</v>
      </c>
      <c r="W23" s="27">
        <f t="shared" ca="1" si="9"/>
        <v>0</v>
      </c>
      <c r="X23" s="27">
        <f t="shared" ca="1" si="9"/>
        <v>0</v>
      </c>
      <c r="Y23" s="27">
        <f t="shared" ca="1" si="9"/>
        <v>0</v>
      </c>
      <c r="Z23" s="27">
        <f t="shared" ca="1" si="9"/>
        <v>0</v>
      </c>
    </row>
    <row r="24" spans="1:26" ht="13">
      <c r="B24" s="13" t="s">
        <v>136</v>
      </c>
      <c r="C24" s="13"/>
      <c r="D24" s="13" t="s">
        <v>175</v>
      </c>
      <c r="E24" s="27">
        <f t="shared" ca="1" si="7"/>
        <v>95200000</v>
      </c>
      <c r="F24" s="27"/>
      <c r="G24" s="27">
        <f t="shared" ref="G24:Z24" ca="1" si="10">G43</f>
        <v>0</v>
      </c>
      <c r="H24" s="27">
        <f t="shared" ca="1" si="10"/>
        <v>1350000</v>
      </c>
      <c r="I24" s="27">
        <f t="shared" ca="1" si="10"/>
        <v>0</v>
      </c>
      <c r="J24" s="27">
        <f t="shared" ca="1" si="10"/>
        <v>39300000</v>
      </c>
      <c r="K24" s="27">
        <f t="shared" ca="1" si="10"/>
        <v>6500000</v>
      </c>
      <c r="L24" s="27">
        <f t="shared" ca="1" si="10"/>
        <v>0</v>
      </c>
      <c r="M24" s="27">
        <f t="shared" ca="1" si="10"/>
        <v>7000000</v>
      </c>
      <c r="N24" s="27">
        <f t="shared" ca="1" si="10"/>
        <v>15000000</v>
      </c>
      <c r="O24" s="27">
        <f t="shared" ca="1" si="10"/>
        <v>1050000</v>
      </c>
      <c r="P24" s="27">
        <f t="shared" ca="1" si="10"/>
        <v>25000000</v>
      </c>
      <c r="Q24" s="27">
        <f t="shared" ca="1" si="10"/>
        <v>0</v>
      </c>
      <c r="R24" s="27">
        <f t="shared" ca="1" si="10"/>
        <v>0</v>
      </c>
      <c r="S24" s="27">
        <f t="shared" ca="1" si="10"/>
        <v>0</v>
      </c>
      <c r="T24" s="27">
        <f t="shared" ca="1" si="10"/>
        <v>0</v>
      </c>
      <c r="U24" s="27">
        <f t="shared" ca="1" si="10"/>
        <v>0</v>
      </c>
      <c r="V24" s="27">
        <f t="shared" ca="1" si="10"/>
        <v>0</v>
      </c>
      <c r="W24" s="27">
        <f t="shared" ca="1" si="10"/>
        <v>0</v>
      </c>
      <c r="X24" s="27">
        <f t="shared" ca="1" si="10"/>
        <v>0</v>
      </c>
      <c r="Y24" s="27">
        <f t="shared" ca="1" si="10"/>
        <v>0</v>
      </c>
      <c r="Z24" s="27">
        <f t="shared" ca="1" si="10"/>
        <v>0</v>
      </c>
    </row>
    <row r="25" spans="1:26" ht="13">
      <c r="B25" s="13" t="s">
        <v>192</v>
      </c>
      <c r="C25" s="13"/>
      <c r="D25" s="13" t="s">
        <v>175</v>
      </c>
      <c r="E25" s="27">
        <f t="shared" ca="1" si="7"/>
        <v>-95200000</v>
      </c>
      <c r="F25" s="27"/>
      <c r="G25" s="27">
        <f t="shared" ref="G25:Z25" ca="1" si="11">SUM(G47,G46,G45)*-1</f>
        <v>0</v>
      </c>
      <c r="H25" s="27">
        <f t="shared" ca="1" si="11"/>
        <v>-1350000</v>
      </c>
      <c r="I25" s="27">
        <f t="shared" ca="1" si="11"/>
        <v>0</v>
      </c>
      <c r="J25" s="27">
        <f t="shared" ca="1" si="11"/>
        <v>-39300000</v>
      </c>
      <c r="K25" s="27">
        <f t="shared" ca="1" si="11"/>
        <v>-6500000</v>
      </c>
      <c r="L25" s="27">
        <f t="shared" ca="1" si="11"/>
        <v>0</v>
      </c>
      <c r="M25" s="27">
        <f t="shared" ca="1" si="11"/>
        <v>-7000000</v>
      </c>
      <c r="N25" s="27">
        <f t="shared" ca="1" si="11"/>
        <v>-15000000</v>
      </c>
      <c r="O25" s="27">
        <f t="shared" ca="1" si="11"/>
        <v>-1050000</v>
      </c>
      <c r="P25" s="27">
        <f t="shared" ca="1" si="11"/>
        <v>-25000000</v>
      </c>
      <c r="Q25" s="27">
        <f t="shared" ca="1" si="11"/>
        <v>0</v>
      </c>
      <c r="R25" s="27">
        <f t="shared" ca="1" si="11"/>
        <v>0</v>
      </c>
      <c r="S25" s="27">
        <f t="shared" ca="1" si="11"/>
        <v>0</v>
      </c>
      <c r="T25" s="27">
        <f t="shared" ca="1" si="11"/>
        <v>0</v>
      </c>
      <c r="U25" s="27">
        <f t="shared" ca="1" si="11"/>
        <v>0</v>
      </c>
      <c r="V25" s="27">
        <f t="shared" ca="1" si="11"/>
        <v>0</v>
      </c>
      <c r="W25" s="27">
        <f t="shared" ca="1" si="11"/>
        <v>0</v>
      </c>
      <c r="X25" s="27">
        <f t="shared" ca="1" si="11"/>
        <v>0</v>
      </c>
      <c r="Y25" s="27">
        <f t="shared" ca="1" si="11"/>
        <v>0</v>
      </c>
      <c r="Z25" s="27">
        <f t="shared" ca="1" si="11"/>
        <v>0</v>
      </c>
    </row>
    <row r="26" spans="1:26" ht="13">
      <c r="B26" s="13" t="s">
        <v>193</v>
      </c>
      <c r="C26" s="13"/>
      <c r="D26" s="13" t="s">
        <v>175</v>
      </c>
      <c r="E26" s="27">
        <f t="shared" ca="1" si="7"/>
        <v>-5750000</v>
      </c>
      <c r="F26" s="27"/>
      <c r="G26" s="27">
        <f t="shared" ref="G26:Z26" ca="1" si="12">SUM(G39,G40,G41)*-1</f>
        <v>-665000</v>
      </c>
      <c r="H26" s="27">
        <f t="shared" ca="1" si="12"/>
        <v>-565000</v>
      </c>
      <c r="I26" s="27">
        <f t="shared" ca="1" si="12"/>
        <v>-565000</v>
      </c>
      <c r="J26" s="27">
        <f t="shared" ca="1" si="12"/>
        <v>-565000</v>
      </c>
      <c r="K26" s="27">
        <f t="shared" ca="1" si="12"/>
        <v>-565000</v>
      </c>
      <c r="L26" s="27">
        <f t="shared" ca="1" si="12"/>
        <v>-565000</v>
      </c>
      <c r="M26" s="27">
        <f t="shared" ca="1" si="12"/>
        <v>-565000</v>
      </c>
      <c r="N26" s="27">
        <f t="shared" ca="1" si="12"/>
        <v>-565000</v>
      </c>
      <c r="O26" s="27">
        <f t="shared" ca="1" si="12"/>
        <v>-565000</v>
      </c>
      <c r="P26" s="27">
        <f t="shared" ca="1" si="12"/>
        <v>-565000</v>
      </c>
      <c r="Q26" s="27">
        <f t="shared" ca="1" si="12"/>
        <v>0</v>
      </c>
      <c r="R26" s="27">
        <f t="shared" ca="1" si="12"/>
        <v>0</v>
      </c>
      <c r="S26" s="27">
        <f t="shared" ca="1" si="12"/>
        <v>0</v>
      </c>
      <c r="T26" s="27">
        <f t="shared" ca="1" si="12"/>
        <v>0</v>
      </c>
      <c r="U26" s="27">
        <f t="shared" ca="1" si="12"/>
        <v>0</v>
      </c>
      <c r="V26" s="27">
        <f t="shared" ca="1" si="12"/>
        <v>0</v>
      </c>
      <c r="W26" s="27">
        <f t="shared" ca="1" si="12"/>
        <v>0</v>
      </c>
      <c r="X26" s="27">
        <f t="shared" ca="1" si="12"/>
        <v>0</v>
      </c>
      <c r="Y26" s="27">
        <f t="shared" ca="1" si="12"/>
        <v>0</v>
      </c>
      <c r="Z26" s="27">
        <f t="shared" ca="1" si="12"/>
        <v>0</v>
      </c>
    </row>
    <row r="27" spans="1:26" ht="13">
      <c r="B27" s="13" t="s">
        <v>194</v>
      </c>
      <c r="C27" s="13"/>
      <c r="D27" s="13" t="s">
        <v>175</v>
      </c>
      <c r="E27" s="27">
        <f t="shared" ca="1" si="7"/>
        <v>-19250000</v>
      </c>
      <c r="F27" s="27"/>
      <c r="G27" s="27">
        <f t="shared" ref="G27:Z27" ca="1" si="13">G38*-1</f>
        <v>-5000000</v>
      </c>
      <c r="H27" s="27">
        <f t="shared" ca="1" si="13"/>
        <v>-5000000</v>
      </c>
      <c r="I27" s="27">
        <f t="shared" ca="1" si="13"/>
        <v>-5000000</v>
      </c>
      <c r="J27" s="27">
        <f t="shared" ca="1" si="13"/>
        <v>-4250000</v>
      </c>
      <c r="K27" s="27">
        <f t="shared" ca="1" si="13"/>
        <v>0</v>
      </c>
      <c r="L27" s="27">
        <f t="shared" ca="1" si="13"/>
        <v>0</v>
      </c>
      <c r="M27" s="27">
        <f t="shared" ca="1" si="13"/>
        <v>0</v>
      </c>
      <c r="N27" s="27">
        <f t="shared" ca="1" si="13"/>
        <v>0</v>
      </c>
      <c r="O27" s="27">
        <f t="shared" ca="1" si="13"/>
        <v>0</v>
      </c>
      <c r="P27" s="27">
        <f t="shared" ca="1" si="13"/>
        <v>0</v>
      </c>
      <c r="Q27" s="27">
        <f t="shared" ca="1" si="13"/>
        <v>0</v>
      </c>
      <c r="R27" s="27">
        <f t="shared" ca="1" si="13"/>
        <v>0</v>
      </c>
      <c r="S27" s="27">
        <f t="shared" ca="1" si="13"/>
        <v>0</v>
      </c>
      <c r="T27" s="27">
        <f t="shared" ca="1" si="13"/>
        <v>0</v>
      </c>
      <c r="U27" s="27">
        <f t="shared" ca="1" si="13"/>
        <v>0</v>
      </c>
      <c r="V27" s="27">
        <f t="shared" ca="1" si="13"/>
        <v>0</v>
      </c>
      <c r="W27" s="27">
        <f t="shared" ca="1" si="13"/>
        <v>0</v>
      </c>
      <c r="X27" s="27">
        <f t="shared" ca="1" si="13"/>
        <v>0</v>
      </c>
      <c r="Y27" s="27">
        <f t="shared" ca="1" si="13"/>
        <v>0</v>
      </c>
      <c r="Z27" s="27">
        <f t="shared" ca="1" si="13"/>
        <v>0</v>
      </c>
    </row>
    <row r="28" spans="1:26" ht="13">
      <c r="B28" s="13" t="s">
        <v>195</v>
      </c>
      <c r="C28" s="13"/>
      <c r="D28" s="13" t="s">
        <v>185</v>
      </c>
      <c r="E28" s="27">
        <f t="shared" ca="1" si="7"/>
        <v>0</v>
      </c>
      <c r="F28" s="27"/>
      <c r="G28" s="83">
        <f t="shared" ref="G28:Z28" ca="1" si="14">SUM(G22:G27)</f>
        <v>0</v>
      </c>
      <c r="H28" s="83">
        <f t="shared" ca="1" si="14"/>
        <v>0</v>
      </c>
      <c r="I28" s="83">
        <f t="shared" ca="1" si="14"/>
        <v>0</v>
      </c>
      <c r="J28" s="83">
        <f t="shared" ca="1" si="14"/>
        <v>0</v>
      </c>
      <c r="K28" s="83">
        <f t="shared" ca="1" si="14"/>
        <v>0</v>
      </c>
      <c r="L28" s="83">
        <f t="shared" ca="1" si="14"/>
        <v>0</v>
      </c>
      <c r="M28" s="83">
        <f t="shared" ca="1" si="14"/>
        <v>0</v>
      </c>
      <c r="N28" s="83">
        <f t="shared" ca="1" si="14"/>
        <v>0</v>
      </c>
      <c r="O28" s="83">
        <f t="shared" ca="1" si="14"/>
        <v>0</v>
      </c>
      <c r="P28" s="83">
        <f t="shared" ca="1" si="14"/>
        <v>0</v>
      </c>
      <c r="Q28" s="83">
        <f t="shared" ca="1" si="14"/>
        <v>0</v>
      </c>
      <c r="R28" s="83">
        <f t="shared" ca="1" si="14"/>
        <v>0</v>
      </c>
      <c r="S28" s="83">
        <f t="shared" ca="1" si="14"/>
        <v>0</v>
      </c>
      <c r="T28" s="83">
        <f t="shared" ca="1" si="14"/>
        <v>0</v>
      </c>
      <c r="U28" s="83">
        <f t="shared" ca="1" si="14"/>
        <v>0</v>
      </c>
      <c r="V28" s="83">
        <f t="shared" ca="1" si="14"/>
        <v>0</v>
      </c>
      <c r="W28" s="83">
        <f t="shared" ca="1" si="14"/>
        <v>0</v>
      </c>
      <c r="X28" s="83">
        <f t="shared" ca="1" si="14"/>
        <v>0</v>
      </c>
      <c r="Y28" s="83">
        <f t="shared" ca="1" si="14"/>
        <v>0</v>
      </c>
      <c r="Z28" s="83">
        <f t="shared" ca="1" si="14"/>
        <v>0</v>
      </c>
    </row>
    <row r="29" spans="1:26" ht="13">
      <c r="B29" s="13"/>
      <c r="C29" s="13"/>
      <c r="D29" s="13"/>
    </row>
    <row r="30" spans="1:26" ht="13">
      <c r="A30" s="34"/>
      <c r="B30" s="34" t="s">
        <v>196</v>
      </c>
      <c r="C30" s="34"/>
      <c r="D30" s="34" t="s">
        <v>175</v>
      </c>
      <c r="E30" s="35">
        <f>IF(D30="sum",SUM(G30:Z30),IF(D30="final",Z30,IF(D30="initial",G30,IF(D30="average",AVERAGE(G30:Z30),0))))</f>
        <v>25000000</v>
      </c>
      <c r="F30" s="77"/>
      <c r="G30" s="35">
        <f>'Get Started'!$E9*G19</f>
        <v>25000000</v>
      </c>
      <c r="H30" s="35">
        <f>'Get Started'!$E9*H19</f>
        <v>0</v>
      </c>
      <c r="I30" s="35">
        <f>'Get Started'!$E9*I19</f>
        <v>0</v>
      </c>
      <c r="J30" s="35">
        <f>'Get Started'!$E9*J19</f>
        <v>0</v>
      </c>
      <c r="K30" s="35">
        <f>'Get Started'!$E9*K19</f>
        <v>0</v>
      </c>
      <c r="L30" s="35">
        <f>'Get Started'!$E9*L19</f>
        <v>0</v>
      </c>
      <c r="M30" s="35">
        <f>'Get Started'!$E9*M19</f>
        <v>0</v>
      </c>
      <c r="N30" s="35">
        <f>'Get Started'!$E9*N19</f>
        <v>0</v>
      </c>
      <c r="O30" s="35">
        <f>'Get Started'!$E9*O19</f>
        <v>0</v>
      </c>
      <c r="P30" s="35">
        <f>'Get Started'!$E9*P19</f>
        <v>0</v>
      </c>
      <c r="Q30" s="35">
        <f>'Get Started'!$E9*Q19</f>
        <v>0</v>
      </c>
      <c r="R30" s="35">
        <f>'Get Started'!$E9*R19</f>
        <v>0</v>
      </c>
      <c r="S30" s="35">
        <f>'Get Started'!$E9*S19</f>
        <v>0</v>
      </c>
      <c r="T30" s="35">
        <f>'Get Started'!$E9*T19</f>
        <v>0</v>
      </c>
      <c r="U30" s="35">
        <f>'Get Started'!$E9*U19</f>
        <v>0</v>
      </c>
      <c r="V30" s="35">
        <f>'Get Started'!$E9*V19</f>
        <v>0</v>
      </c>
      <c r="W30" s="35">
        <f>'Get Started'!$E9*W19</f>
        <v>0</v>
      </c>
      <c r="X30" s="35">
        <f>'Get Started'!$E9*X19</f>
        <v>0</v>
      </c>
      <c r="Y30" s="35">
        <f>'Get Started'!$E9*Y19</f>
        <v>0</v>
      </c>
      <c r="Z30" s="35">
        <f>'Get Started'!$E9*Z19</f>
        <v>0</v>
      </c>
    </row>
    <row r="31" spans="1:26" ht="13">
      <c r="A31" s="34"/>
      <c r="B31" s="34" t="s">
        <v>191</v>
      </c>
      <c r="C31" s="34"/>
      <c r="D31" s="34" t="s">
        <v>175</v>
      </c>
      <c r="E31" s="35">
        <f ca="1">IF(D31="sum",SUM(G31:CH31),IF(D31="final",CH31,IF(D31="initial",G31,IF(D31="average",AVERAGE(G31:CH31),0))))</f>
        <v>25000000</v>
      </c>
      <c r="F31" s="77"/>
      <c r="G31" s="35">
        <f t="shared" ref="G31:Z31" ca="1" si="15">IF($E20&lt;&gt;0,G20*$E30, MIN($E30-F60, MAX(0,G38+G39+G40+G41-G42)))</f>
        <v>5665000</v>
      </c>
      <c r="H31" s="35">
        <f t="shared" ca="1" si="15"/>
        <v>5565000</v>
      </c>
      <c r="I31" s="35">
        <f t="shared" ca="1" si="15"/>
        <v>5565000</v>
      </c>
      <c r="J31" s="35">
        <f t="shared" ca="1" si="15"/>
        <v>4815000</v>
      </c>
      <c r="K31" s="35">
        <f t="shared" ca="1" si="15"/>
        <v>565000</v>
      </c>
      <c r="L31" s="35">
        <f t="shared" ca="1" si="15"/>
        <v>565000</v>
      </c>
      <c r="M31" s="35">
        <f t="shared" ca="1" si="15"/>
        <v>565000</v>
      </c>
      <c r="N31" s="35">
        <f t="shared" ca="1" si="15"/>
        <v>565000</v>
      </c>
      <c r="O31" s="35">
        <f t="shared" ca="1" si="15"/>
        <v>565000</v>
      </c>
      <c r="P31" s="35">
        <f t="shared" ca="1" si="15"/>
        <v>565000</v>
      </c>
      <c r="Q31" s="35">
        <f t="shared" ca="1" si="15"/>
        <v>0</v>
      </c>
      <c r="R31" s="35">
        <f t="shared" ca="1" si="15"/>
        <v>0</v>
      </c>
      <c r="S31" s="35">
        <f t="shared" ca="1" si="15"/>
        <v>0</v>
      </c>
      <c r="T31" s="35">
        <f t="shared" ca="1" si="15"/>
        <v>0</v>
      </c>
      <c r="U31" s="35">
        <f t="shared" ca="1" si="15"/>
        <v>0</v>
      </c>
      <c r="V31" s="35">
        <f t="shared" ca="1" si="15"/>
        <v>0</v>
      </c>
      <c r="W31" s="35">
        <f t="shared" ca="1" si="15"/>
        <v>0</v>
      </c>
      <c r="X31" s="35">
        <f t="shared" ca="1" si="15"/>
        <v>0</v>
      </c>
      <c r="Y31" s="35">
        <f t="shared" ca="1" si="15"/>
        <v>0</v>
      </c>
      <c r="Z31" s="35">
        <f t="shared" ca="1" si="15"/>
        <v>0</v>
      </c>
    </row>
    <row r="32" spans="1:26" ht="13">
      <c r="B32" s="13" t="s">
        <v>197</v>
      </c>
      <c r="C32" s="13"/>
      <c r="D32" s="13" t="s">
        <v>175</v>
      </c>
      <c r="E32" s="27">
        <f t="shared" ref="E32:E34" si="16">IF(D32="sum",SUM(G32:Z32),IF(D32="final",Z32,IF(D32="initial",G32,IF(D32="average",AVERAGE(G32:Z32),0))))</f>
        <v>0</v>
      </c>
      <c r="F32" s="27"/>
      <c r="G32" s="27">
        <v>0</v>
      </c>
      <c r="H32" s="27">
        <v>0</v>
      </c>
      <c r="I32" s="27">
        <v>0</v>
      </c>
      <c r="J32" s="27">
        <v>0</v>
      </c>
      <c r="K32" s="27">
        <v>0</v>
      </c>
      <c r="L32" s="27">
        <v>0</v>
      </c>
      <c r="M32" s="27">
        <v>0</v>
      </c>
      <c r="N32" s="27">
        <v>0</v>
      </c>
      <c r="O32" s="27">
        <v>0</v>
      </c>
      <c r="P32" s="27">
        <v>0</v>
      </c>
      <c r="Q32" s="27">
        <v>0</v>
      </c>
      <c r="R32" s="27">
        <v>0</v>
      </c>
      <c r="S32" s="27">
        <v>0</v>
      </c>
      <c r="T32" s="27">
        <v>0</v>
      </c>
      <c r="U32" s="27">
        <v>0</v>
      </c>
      <c r="V32" s="27">
        <v>0</v>
      </c>
      <c r="W32" s="27">
        <v>0</v>
      </c>
      <c r="X32" s="27">
        <v>0</v>
      </c>
      <c r="Y32" s="27">
        <v>0</v>
      </c>
      <c r="Z32" s="27">
        <v>0</v>
      </c>
    </row>
    <row r="33" spans="1:26" ht="13">
      <c r="B33" s="13" t="s">
        <v>198</v>
      </c>
      <c r="C33" s="13"/>
      <c r="D33" s="13" t="s">
        <v>175</v>
      </c>
      <c r="E33" s="27">
        <f t="shared" ca="1" si="16"/>
        <v>19250000</v>
      </c>
      <c r="F33" s="27"/>
      <c r="G33" s="26">
        <f ca="1">SUMPRODUCT(Portfolio!$F7:$F71, --(Portfolio!$E7:$E71 = G4), --(Portfolio!$F7:$F71 &gt; 0), --(Portfolio!$D7:$D71 = "New Investment"))</f>
        <v>5000000</v>
      </c>
      <c r="H33" s="26">
        <f ca="1">SUMPRODUCT(Portfolio!$F7:$F71, --(Portfolio!$E7:$E71 = H4), --(Portfolio!$F7:$F71 &gt; 0), --(Portfolio!$D7:$D71 = "New Investment"))</f>
        <v>5000000</v>
      </c>
      <c r="I33" s="26">
        <f ca="1">SUMPRODUCT(Portfolio!$F7:$F71, --(Portfolio!$E7:$E71 = I4), --(Portfolio!$F7:$F71 &gt; 0), --(Portfolio!$D7:$D71 = "New Investment"))</f>
        <v>5000000</v>
      </c>
      <c r="J33" s="26">
        <f ca="1">SUMPRODUCT(Portfolio!$F7:$F71, --(Portfolio!$E7:$E71 = J4), --(Portfolio!$F7:$F71 &gt; 0), --(Portfolio!$D7:$D71 = "New Investment"))</f>
        <v>4250000</v>
      </c>
      <c r="K33" s="26">
        <f ca="1">SUMPRODUCT(Portfolio!$F7:$F71, --(Portfolio!$E7:$E71 = K4), --(Portfolio!$F7:$F71 &gt; 0), --(Portfolio!$D7:$D71 = "New Investment"))</f>
        <v>0</v>
      </c>
      <c r="L33" s="26">
        <f ca="1">SUMPRODUCT(Portfolio!$F7:$F71, --(Portfolio!$E7:$E71 = L4), --(Portfolio!$F7:$F71 &gt; 0), --(Portfolio!$D7:$D71 = "New Investment"))</f>
        <v>0</v>
      </c>
      <c r="M33" s="26">
        <f ca="1">SUMPRODUCT(Portfolio!$F7:$F71, --(Portfolio!$E7:$E71 = M4), --(Portfolio!$F7:$F71 &gt; 0), --(Portfolio!$D7:$D71 = "New Investment"))</f>
        <v>0</v>
      </c>
      <c r="N33" s="26">
        <f ca="1">SUMPRODUCT(Portfolio!$F7:$F71, --(Portfolio!$E7:$E71 = N4), --(Portfolio!$F7:$F71 &gt; 0), --(Portfolio!$D7:$D71 = "New Investment"))</f>
        <v>0</v>
      </c>
      <c r="O33" s="26">
        <f ca="1">SUMPRODUCT(Portfolio!$F7:$F71, --(Portfolio!$E7:$E71 = O4), --(Portfolio!$F7:$F71 &gt; 0), --(Portfolio!$D7:$D71 = "New Investment"))</f>
        <v>0</v>
      </c>
      <c r="P33" s="26">
        <f ca="1">SUMPRODUCT(Portfolio!$F7:$F71, --(Portfolio!$E7:$E71 = P4), --(Portfolio!$F7:$F71 &gt; 0), --(Portfolio!$D7:$D71 = "New Investment"))</f>
        <v>0</v>
      </c>
      <c r="Q33" s="26">
        <f ca="1">SUMPRODUCT(Portfolio!$F7:$F71, --(Portfolio!$E7:$E71 = Q4), --(Portfolio!$F7:$F71 &gt; 0), --(Portfolio!$D7:$D71 = "New Investment"))</f>
        <v>0</v>
      </c>
      <c r="R33" s="26">
        <f ca="1">SUMPRODUCT(Portfolio!$F7:$F71, --(Portfolio!$E7:$E71 = R4), --(Portfolio!$F7:$F71 &gt; 0), --(Portfolio!$D7:$D71 = "New Investment"))</f>
        <v>0</v>
      </c>
      <c r="S33" s="26">
        <f ca="1">SUMPRODUCT(Portfolio!$F7:$F71, --(Portfolio!$E7:$E71 = S4), --(Portfolio!$F7:$F71 &gt; 0), --(Portfolio!$D7:$D71 = "New Investment"))</f>
        <v>0</v>
      </c>
      <c r="T33" s="26">
        <f ca="1">SUMPRODUCT(Portfolio!$F7:$F71, --(Portfolio!$E7:$E71 = T4), --(Portfolio!$F7:$F71 &gt; 0), --(Portfolio!$D7:$D71 = "New Investment"))</f>
        <v>0</v>
      </c>
      <c r="U33" s="26">
        <f ca="1">SUMPRODUCT(Portfolio!$F7:$F71, --(Portfolio!$E7:$E71 = U4), --(Portfolio!$F7:$F71 &gt; 0), --(Portfolio!$D7:$D71 = "New Investment"))</f>
        <v>0</v>
      </c>
      <c r="V33" s="26">
        <f ca="1">SUMPRODUCT(Portfolio!$F7:$F71, --(Portfolio!$E7:$E71 = V4), --(Portfolio!$F7:$F71 &gt; 0), --(Portfolio!$D7:$D71 = "New Investment"))</f>
        <v>0</v>
      </c>
      <c r="W33" s="26">
        <f ca="1">SUMPRODUCT(Portfolio!$F7:$F71, --(Portfolio!$E7:$E71 = W4), --(Portfolio!$F7:$F71 &gt; 0), --(Portfolio!$D7:$D71 = "New Investment"))</f>
        <v>0</v>
      </c>
      <c r="X33" s="26">
        <f ca="1">SUMPRODUCT(Portfolio!$F7:$F71, --(Portfolio!$E7:$E71 = X4), --(Portfolio!$F7:$F71 &gt; 0), --(Portfolio!$D7:$D71 = "New Investment"))</f>
        <v>0</v>
      </c>
      <c r="Y33" s="26">
        <f ca="1">SUMPRODUCT(Portfolio!$F7:$F71, --(Portfolio!$E7:$E71 = Y4), --(Portfolio!$F7:$F71 &gt; 0), --(Portfolio!$D7:$D71 = "New Investment"))</f>
        <v>0</v>
      </c>
      <c r="Z33" s="26">
        <f ca="1">SUMPRODUCT(Portfolio!$F7:$F71, --(Portfolio!$E7:$E71 = Z4), --(Portfolio!$F7:$F71 &gt; 0), --(Portfolio!$D7:$D71 = "New Investment"))</f>
        <v>0</v>
      </c>
    </row>
    <row r="34" spans="1:26" ht="13">
      <c r="B34" s="13" t="s">
        <v>199</v>
      </c>
      <c r="C34" s="13"/>
      <c r="D34" s="13" t="s">
        <v>175</v>
      </c>
      <c r="E34" s="27">
        <f t="shared" si="16"/>
        <v>0</v>
      </c>
      <c r="F34" s="27"/>
      <c r="G34" s="35">
        <v>0</v>
      </c>
      <c r="H34" s="35">
        <v>0</v>
      </c>
      <c r="I34" s="35">
        <v>0</v>
      </c>
      <c r="J34" s="35">
        <v>0</v>
      </c>
      <c r="K34" s="35">
        <v>0</v>
      </c>
      <c r="L34" s="35">
        <v>0</v>
      </c>
      <c r="M34" s="35">
        <v>0</v>
      </c>
      <c r="N34" s="35">
        <v>0</v>
      </c>
      <c r="O34" s="35">
        <v>0</v>
      </c>
      <c r="P34" s="35">
        <v>0</v>
      </c>
      <c r="Q34" s="35">
        <v>0</v>
      </c>
      <c r="R34" s="35">
        <v>0</v>
      </c>
      <c r="S34" s="35">
        <v>0</v>
      </c>
      <c r="T34" s="35">
        <v>0</v>
      </c>
      <c r="U34" s="35">
        <v>0</v>
      </c>
      <c r="V34" s="35">
        <v>0</v>
      </c>
      <c r="W34" s="35">
        <v>0</v>
      </c>
      <c r="X34" s="35">
        <v>0</v>
      </c>
      <c r="Y34" s="35">
        <v>0</v>
      </c>
      <c r="Z34" s="35">
        <v>0</v>
      </c>
    </row>
    <row r="35" spans="1:26" ht="13">
      <c r="A35" s="34"/>
      <c r="B35" s="34" t="s">
        <v>200</v>
      </c>
      <c r="C35" s="34" t="s">
        <v>201</v>
      </c>
      <c r="D35" s="34" t="s">
        <v>175</v>
      </c>
      <c r="E35" s="35">
        <f>IF(D35="sum",SUM(G35:CH35),IF(D35="final",CH35,IF(D35="initial",G35,IF(D35="average",AVERAGE(G35:CH35),0))))</f>
        <v>0</v>
      </c>
      <c r="F35" s="77"/>
      <c r="G35" s="35">
        <v>0</v>
      </c>
      <c r="H35" s="35">
        <v>0</v>
      </c>
      <c r="I35" s="35">
        <v>0</v>
      </c>
      <c r="J35" s="35">
        <v>0</v>
      </c>
      <c r="K35" s="35">
        <v>0</v>
      </c>
      <c r="L35" s="35">
        <v>0</v>
      </c>
      <c r="M35" s="35">
        <v>0</v>
      </c>
      <c r="N35" s="35">
        <v>0</v>
      </c>
      <c r="O35" s="35">
        <v>0</v>
      </c>
      <c r="P35" s="35">
        <v>0</v>
      </c>
      <c r="Q35" s="35">
        <v>0</v>
      </c>
      <c r="R35" s="35">
        <v>0</v>
      </c>
      <c r="S35" s="35">
        <v>0</v>
      </c>
      <c r="T35" s="35">
        <v>0</v>
      </c>
      <c r="U35" s="35">
        <v>0</v>
      </c>
      <c r="V35" s="35">
        <v>0</v>
      </c>
      <c r="W35" s="35">
        <v>0</v>
      </c>
      <c r="X35" s="35">
        <v>0</v>
      </c>
      <c r="Y35" s="35">
        <v>0</v>
      </c>
      <c r="Z35" s="35">
        <v>0</v>
      </c>
    </row>
    <row r="36" spans="1:26" ht="13">
      <c r="B36" s="13" t="s">
        <v>202</v>
      </c>
      <c r="C36" s="13"/>
      <c r="D36" s="13" t="s">
        <v>175</v>
      </c>
      <c r="E36" s="27">
        <f t="shared" ref="E36:E87" ca="1" si="17">IF(D36="sum",SUM(G36:Z36),IF(D36="final",Z36,IF(D36="initial",G36,IF(D36="average",AVERAGE(G36:Z36),0))))</f>
        <v>0</v>
      </c>
      <c r="F36" s="27"/>
      <c r="G36" s="26">
        <f ca="1">SUMPRODUCT(Portfolio!$F7:$F71, --(Portfolio!$E7:$E71 = G4), --(Portfolio!$D7:$D71 = "Follow Investment"))</f>
        <v>0</v>
      </c>
      <c r="H36" s="26">
        <f ca="1">SUMPRODUCT(Portfolio!$F7:$F71, --(Portfolio!$E7:$E71 = H4), --(Portfolio!$D7:$D71 = "Follow Investment"))</f>
        <v>0</v>
      </c>
      <c r="I36" s="26">
        <f ca="1">SUMPRODUCT(Portfolio!$F7:$F71, --(Portfolio!$E7:$E71 = I4), --(Portfolio!$D7:$D71 = "Follow Investment"))</f>
        <v>0</v>
      </c>
      <c r="J36" s="26">
        <f ca="1">SUMPRODUCT(Portfolio!$F7:$F71, --(Portfolio!$E7:$E71 = J4), --(Portfolio!$D7:$D71 = "Follow Investment"))</f>
        <v>0</v>
      </c>
      <c r="K36" s="26">
        <f ca="1">SUMPRODUCT(Portfolio!$F7:$F71, --(Portfolio!$E7:$E71 = K4), --(Portfolio!$D7:$D71 = "Follow Investment"))</f>
        <v>0</v>
      </c>
      <c r="L36" s="26">
        <f ca="1">SUMPRODUCT(Portfolio!$F7:$F71, --(Portfolio!$E7:$E71 = L4), --(Portfolio!$D7:$D71 = "Follow Investment"))</f>
        <v>0</v>
      </c>
      <c r="M36" s="26">
        <f ca="1">SUMPRODUCT(Portfolio!$F7:$F71, --(Portfolio!$E7:$E71 = M4), --(Portfolio!$D7:$D71 = "Follow Investment"))</f>
        <v>0</v>
      </c>
      <c r="N36" s="26">
        <f ca="1">SUMPRODUCT(Portfolio!$F7:$F71, --(Portfolio!$E7:$E71 = N4), --(Portfolio!$D7:$D71 = "Follow Investment"))</f>
        <v>0</v>
      </c>
      <c r="O36" s="26">
        <f ca="1">SUMPRODUCT(Portfolio!$F7:$F71, --(Portfolio!$E7:$E71 = O4), --(Portfolio!$D7:$D71 = "Follow Investment"))</f>
        <v>0</v>
      </c>
      <c r="P36" s="26">
        <f ca="1">SUMPRODUCT(Portfolio!$F7:$F71, --(Portfolio!$E7:$E71 = P4), --(Portfolio!$D7:$D71 = "Follow Investment"))</f>
        <v>0</v>
      </c>
      <c r="Q36" s="26">
        <f ca="1">SUMPRODUCT(Portfolio!$F7:$F71, --(Portfolio!$E7:$E71 = Q4), --(Portfolio!$D7:$D71 = "Follow Investment"))</f>
        <v>0</v>
      </c>
      <c r="R36" s="26">
        <f ca="1">SUMPRODUCT(Portfolio!$F7:$F71, --(Portfolio!$E7:$E71 = R4), --(Portfolio!$D7:$D71 = "Follow Investment"))</f>
        <v>0</v>
      </c>
      <c r="S36" s="26">
        <f ca="1">SUMPRODUCT(Portfolio!$F7:$F71, --(Portfolio!$E7:$E71 = S4), --(Portfolio!$D7:$D71 = "Follow Investment"))</f>
        <v>0</v>
      </c>
      <c r="T36" s="26">
        <f ca="1">SUMPRODUCT(Portfolio!$F7:$F71, --(Portfolio!$E7:$E71 = T4), --(Portfolio!$D7:$D71 = "Follow Investment"))</f>
        <v>0</v>
      </c>
      <c r="U36" s="26">
        <f ca="1">SUMPRODUCT(Portfolio!$F7:$F71, --(Portfolio!$E7:$E71 = U4), --(Portfolio!$D7:$D71 = "Follow Investment"))</f>
        <v>0</v>
      </c>
      <c r="V36" s="26">
        <f ca="1">SUMPRODUCT(Portfolio!$F7:$F71, --(Portfolio!$E7:$E71 = V4), --(Portfolio!$D7:$D71 = "Follow Investment"))</f>
        <v>0</v>
      </c>
      <c r="W36" s="26">
        <f ca="1">SUMPRODUCT(Portfolio!$F7:$F71, --(Portfolio!$E7:$E71 = W4), --(Portfolio!$D7:$D71 = "Follow Investment"))</f>
        <v>0</v>
      </c>
      <c r="X36" s="26">
        <f ca="1">SUMPRODUCT(Portfolio!$F7:$F71, --(Portfolio!$E7:$E71 = X4), --(Portfolio!$D7:$D71 = "Follow Investment"))</f>
        <v>0</v>
      </c>
      <c r="Y36" s="26">
        <f ca="1">SUMPRODUCT(Portfolio!$F7:$F71, --(Portfolio!$E7:$E71 = Y4), --(Portfolio!$D7:$D71 = "Follow Investment"))</f>
        <v>0</v>
      </c>
      <c r="Z36" s="26">
        <f ca="1">SUMPRODUCT(Portfolio!$F7:$F71, --(Portfolio!$E7:$E71 = Z4), --(Portfolio!$D7:$D71 = "Follow Investment"))</f>
        <v>0</v>
      </c>
    </row>
    <row r="37" spans="1:26" ht="13">
      <c r="B37" s="13" t="s">
        <v>203</v>
      </c>
      <c r="D37" s="13" t="s">
        <v>175</v>
      </c>
      <c r="E37" s="27">
        <f t="shared" si="17"/>
        <v>0</v>
      </c>
      <c r="F37" s="27"/>
      <c r="G37" s="27">
        <v>0</v>
      </c>
      <c r="H37" s="27">
        <v>0</v>
      </c>
      <c r="I37" s="27">
        <v>0</v>
      </c>
      <c r="J37" s="27">
        <v>0</v>
      </c>
      <c r="K37" s="27">
        <v>0</v>
      </c>
      <c r="L37" s="27">
        <v>0</v>
      </c>
      <c r="M37" s="27">
        <v>0</v>
      </c>
      <c r="N37" s="27">
        <v>0</v>
      </c>
      <c r="O37" s="27">
        <v>0</v>
      </c>
      <c r="P37" s="27">
        <v>0</v>
      </c>
      <c r="Q37" s="27">
        <v>0</v>
      </c>
      <c r="R37" s="27">
        <v>0</v>
      </c>
      <c r="S37" s="27">
        <v>0</v>
      </c>
      <c r="T37" s="27">
        <v>0</v>
      </c>
      <c r="U37" s="27">
        <v>0</v>
      </c>
      <c r="V37" s="27">
        <v>0</v>
      </c>
      <c r="W37" s="27">
        <v>0</v>
      </c>
      <c r="X37" s="27">
        <v>0</v>
      </c>
      <c r="Y37" s="27">
        <v>0</v>
      </c>
      <c r="Z37" s="27">
        <v>0</v>
      </c>
    </row>
    <row r="38" spans="1:26" ht="13">
      <c r="B38" s="13" t="s">
        <v>204</v>
      </c>
      <c r="D38" s="13" t="s">
        <v>175</v>
      </c>
      <c r="E38" s="27">
        <f t="shared" ca="1" si="17"/>
        <v>19250000</v>
      </c>
      <c r="F38" s="27"/>
      <c r="G38" s="27">
        <f t="shared" ref="G38:Z38" ca="1" si="18">SUM(G33,G36,G32)</f>
        <v>5000000</v>
      </c>
      <c r="H38" s="27">
        <f t="shared" ca="1" si="18"/>
        <v>5000000</v>
      </c>
      <c r="I38" s="27">
        <f t="shared" ca="1" si="18"/>
        <v>5000000</v>
      </c>
      <c r="J38" s="27">
        <f t="shared" ca="1" si="18"/>
        <v>4250000</v>
      </c>
      <c r="K38" s="27">
        <f t="shared" ca="1" si="18"/>
        <v>0</v>
      </c>
      <c r="L38" s="27">
        <f t="shared" ca="1" si="18"/>
        <v>0</v>
      </c>
      <c r="M38" s="27">
        <f t="shared" ca="1" si="18"/>
        <v>0</v>
      </c>
      <c r="N38" s="27">
        <f t="shared" ca="1" si="18"/>
        <v>0</v>
      </c>
      <c r="O38" s="27">
        <f t="shared" ca="1" si="18"/>
        <v>0</v>
      </c>
      <c r="P38" s="27">
        <f t="shared" ca="1" si="18"/>
        <v>0</v>
      </c>
      <c r="Q38" s="27">
        <f t="shared" ca="1" si="18"/>
        <v>0</v>
      </c>
      <c r="R38" s="27">
        <f t="shared" ca="1" si="18"/>
        <v>0</v>
      </c>
      <c r="S38" s="27">
        <f t="shared" ca="1" si="18"/>
        <v>0</v>
      </c>
      <c r="T38" s="27">
        <f t="shared" ca="1" si="18"/>
        <v>0</v>
      </c>
      <c r="U38" s="27">
        <f t="shared" ca="1" si="18"/>
        <v>0</v>
      </c>
      <c r="V38" s="27">
        <f t="shared" ca="1" si="18"/>
        <v>0</v>
      </c>
      <c r="W38" s="27">
        <f t="shared" ca="1" si="18"/>
        <v>0</v>
      </c>
      <c r="X38" s="27">
        <f t="shared" ca="1" si="18"/>
        <v>0</v>
      </c>
      <c r="Y38" s="27">
        <f t="shared" ca="1" si="18"/>
        <v>0</v>
      </c>
      <c r="Z38" s="27">
        <f t="shared" ca="1" si="18"/>
        <v>0</v>
      </c>
    </row>
    <row r="39" spans="1:26" ht="13">
      <c r="B39" s="13" t="s">
        <v>205</v>
      </c>
      <c r="D39" s="13" t="s">
        <v>175</v>
      </c>
      <c r="E39" s="27">
        <f t="shared" si="17"/>
        <v>100000</v>
      </c>
      <c r="F39" s="27"/>
      <c r="G39" s="26">
        <f>IF(G4=1,'Get Started'!$E11,0)</f>
        <v>100000</v>
      </c>
      <c r="H39" s="26">
        <f>IF(H4=1,'Get Started'!$E11,0)</f>
        <v>0</v>
      </c>
      <c r="I39" s="26">
        <f>IF(I4=1,'Get Started'!$E11,0)</f>
        <v>0</v>
      </c>
      <c r="J39" s="26">
        <f>IF(J4=1,'Get Started'!$E11,0)</f>
        <v>0</v>
      </c>
      <c r="K39" s="26">
        <f>IF(K4=1,'Get Started'!$E11,0)</f>
        <v>0</v>
      </c>
      <c r="L39" s="26">
        <f>IF(L4=1,'Get Started'!$E11,0)</f>
        <v>0</v>
      </c>
      <c r="M39" s="26">
        <f>IF(M4=1,'Get Started'!$E11,0)</f>
        <v>0</v>
      </c>
      <c r="N39" s="26">
        <f>IF(N4=1,'Get Started'!$E11,0)</f>
        <v>0</v>
      </c>
      <c r="O39" s="26">
        <f>IF(O4=1,'Get Started'!$E11,0)</f>
        <v>0</v>
      </c>
      <c r="P39" s="26">
        <f>IF(P4=1,'Get Started'!$E11,0)</f>
        <v>0</v>
      </c>
      <c r="Q39" s="26">
        <f>IF(Q4=1,'Get Started'!$E11,0)</f>
        <v>0</v>
      </c>
      <c r="R39" s="26">
        <f>IF(R4=1,'Get Started'!$E11,0)</f>
        <v>0</v>
      </c>
      <c r="S39" s="26">
        <f>IF(S4=1,'Get Started'!$E11,0)</f>
        <v>0</v>
      </c>
      <c r="T39" s="26">
        <f>IF(T4=1,'Get Started'!$E11,0)</f>
        <v>0</v>
      </c>
      <c r="U39" s="26">
        <f>IF(U4=1,'Get Started'!$E11,0)</f>
        <v>0</v>
      </c>
      <c r="V39" s="26">
        <f>IF(V4=1,'Get Started'!$E11,0)</f>
        <v>0</v>
      </c>
      <c r="W39" s="26">
        <f>IF(W4=1,'Get Started'!$E11,0)</f>
        <v>0</v>
      </c>
      <c r="X39" s="26">
        <f>IF(X4=1,'Get Started'!$E11,0)</f>
        <v>0</v>
      </c>
      <c r="Y39" s="26">
        <f>IF(Y4=1,'Get Started'!$E11,0)</f>
        <v>0</v>
      </c>
      <c r="Z39" s="26">
        <f>IF(Z4=1,'Get Started'!$E11,0)</f>
        <v>0</v>
      </c>
    </row>
    <row r="40" spans="1:26" ht="13">
      <c r="B40" s="13" t="s">
        <v>206</v>
      </c>
      <c r="C40" s="13"/>
      <c r="D40" s="13" t="s">
        <v>175</v>
      </c>
      <c r="E40" s="27">
        <f t="shared" ca="1" si="17"/>
        <v>750000</v>
      </c>
      <c r="F40" s="27"/>
      <c r="G40" s="26">
        <f ca="1">'Get Started'!$E12*G10</f>
        <v>75000</v>
      </c>
      <c r="H40" s="26">
        <f ca="1">'Get Started'!$E12*H10</f>
        <v>75000</v>
      </c>
      <c r="I40" s="26">
        <f ca="1">'Get Started'!$E12*I10</f>
        <v>75000</v>
      </c>
      <c r="J40" s="26">
        <f ca="1">'Get Started'!$E12*J10</f>
        <v>75000</v>
      </c>
      <c r="K40" s="26">
        <f ca="1">'Get Started'!$E12*K10</f>
        <v>75000</v>
      </c>
      <c r="L40" s="26">
        <f ca="1">'Get Started'!$E12*L10</f>
        <v>75000</v>
      </c>
      <c r="M40" s="26">
        <f ca="1">'Get Started'!$E12*M10</f>
        <v>75000</v>
      </c>
      <c r="N40" s="26">
        <f ca="1">'Get Started'!$E12*N10</f>
        <v>75000</v>
      </c>
      <c r="O40" s="26">
        <f ca="1">'Get Started'!$E12*O10</f>
        <v>75000</v>
      </c>
      <c r="P40" s="26">
        <f ca="1">'Get Started'!$E12*P10</f>
        <v>75000</v>
      </c>
      <c r="Q40" s="26">
        <f ca="1">'Get Started'!$E12*Q10</f>
        <v>0</v>
      </c>
      <c r="R40" s="26">
        <f ca="1">'Get Started'!$E12*R10</f>
        <v>0</v>
      </c>
      <c r="S40" s="26">
        <f ca="1">'Get Started'!$E12*S10</f>
        <v>0</v>
      </c>
      <c r="T40" s="26">
        <f ca="1">'Get Started'!$E12*T10</f>
        <v>0</v>
      </c>
      <c r="U40" s="26">
        <f ca="1">'Get Started'!$E12*U10</f>
        <v>0</v>
      </c>
      <c r="V40" s="26">
        <f ca="1">'Get Started'!$E12*V10</f>
        <v>0</v>
      </c>
      <c r="W40" s="26">
        <f ca="1">'Get Started'!$E12*W10</f>
        <v>0</v>
      </c>
      <c r="X40" s="26">
        <f ca="1">'Get Started'!$E12*X10</f>
        <v>0</v>
      </c>
      <c r="Y40" s="26">
        <f ca="1">'Get Started'!$E12*Y10</f>
        <v>0</v>
      </c>
      <c r="Z40" s="26">
        <f ca="1">'Get Started'!$E12*Z10</f>
        <v>0</v>
      </c>
    </row>
    <row r="41" spans="1:26" ht="13">
      <c r="B41" s="34" t="s">
        <v>179</v>
      </c>
      <c r="C41" s="13" t="s">
        <v>207</v>
      </c>
      <c r="D41" s="34" t="s">
        <v>175</v>
      </c>
      <c r="E41" s="35">
        <f t="shared" ca="1" si="17"/>
        <v>4900000</v>
      </c>
      <c r="F41" s="77"/>
      <c r="G41" s="26">
        <f ca="1">IFERROR(IF(G15="committed",G83*IF($C17=TRUE,1-'Get Started'!$E10,1)*G14+IF(AND(G4&lt;&gt;1,G54*IF($C17=TRUE,1-'Get Started'!$E10,1)&lt;&gt;0,SUM($G54:G54)*IF($C17=TRUE,1-'Get Started'!$E10,1)&lt;&gt;E54*IF($C17=TRUE,1-'Get Started'!$E10,1)),G54*IF($C17=TRUE,1-'Get Started'!$E10,1)*(G4-1)*G14,0),IF(G15="called",G14*((F60+G39+G40+G38)/(1-G14)+F60)/2*IF($C17=TRUE,1-'Get Started'!$E10,1),G14*(G85+F85)/2*IF($C17=TRUE,1-'Get Started'!$E10,1))),0)</f>
        <v>490000</v>
      </c>
      <c r="H41" s="26">
        <f ca="1">IFERROR(IF(H15="committed",H83*IF($C17=TRUE,1-'Get Started'!$E10,1)*H14+IF(AND(H4&lt;&gt;1,H54*IF($C17=TRUE,1-'Get Started'!$E10,1)&lt;&gt;0,SUM($G54:H54)*IF($C17=TRUE,1-'Get Started'!$E10,1)&lt;&gt;F54*IF($C17=TRUE,1-'Get Started'!$E10,1)),H54*IF($C17=TRUE,1-'Get Started'!$E10,1)*(H4-1)*H14,0),IF(H15="called",H14*((G60+H39+H40+H38)/(1-H14)+G60)/2*IF($C17=TRUE,1-'Get Started'!$E10,1),H14*(H85+G85)/2*IF($C17=TRUE,1-'Get Started'!$E10,1))),0)</f>
        <v>490000</v>
      </c>
      <c r="I41" s="26">
        <f ca="1">IFERROR(IF(I15="committed",I83*IF($C17=TRUE,1-'Get Started'!$E10,1)*I14+IF(AND(I4&lt;&gt;1,I54*IF($C17=TRUE,1-'Get Started'!$E10,1)&lt;&gt;0,SUM($G54:I54)*IF($C17=TRUE,1-'Get Started'!$E10,1)&lt;&gt;G54*IF($C17=TRUE,1-'Get Started'!$E10,1)),I54*IF($C17=TRUE,1-'Get Started'!$E10,1)*(I4-1)*I14,0),IF(I15="called",I14*((H60+I39+I40+I38)/(1-I14)+H60)/2*IF($C17=TRUE,1-'Get Started'!$E10,1),I14*(I85+H85)/2*IF($C17=TRUE,1-'Get Started'!$E10,1))),0)</f>
        <v>490000</v>
      </c>
      <c r="J41" s="26">
        <f ca="1">IFERROR(IF(J15="committed",J83*IF($C17=TRUE,1-'Get Started'!$E10,1)*J14+IF(AND(J4&lt;&gt;1,J54*IF($C17=TRUE,1-'Get Started'!$E10,1)&lt;&gt;0,SUM($G54:J54)*IF($C17=TRUE,1-'Get Started'!$E10,1)&lt;&gt;H54*IF($C17=TRUE,1-'Get Started'!$E10,1)),J54*IF($C17=TRUE,1-'Get Started'!$E10,1)*(J4-1)*J14,0),IF(J15="called",J14*((I60+J39+J40+J38)/(1-J14)+I60)/2*IF($C17=TRUE,1-'Get Started'!$E10,1),J14*(J85+I85)/2*IF($C17=TRUE,1-'Get Started'!$E10,1))),0)</f>
        <v>490000</v>
      </c>
      <c r="K41" s="26">
        <f ca="1">IFERROR(IF(K15="committed",K83*IF($C17=TRUE,1-'Get Started'!$E10,1)*K14+IF(AND(K4&lt;&gt;1,K54*IF($C17=TRUE,1-'Get Started'!$E10,1)&lt;&gt;0,SUM($G54:K54)*IF($C17=TRUE,1-'Get Started'!$E10,1)&lt;&gt;I54*IF($C17=TRUE,1-'Get Started'!$E10,1)),K54*IF($C17=TRUE,1-'Get Started'!$E10,1)*(K4-1)*K14,0),IF(K15="called",K14*((J60+K39+K40+K38)/(1-K14)+J60)/2*IF($C17=TRUE,1-'Get Started'!$E10,1),K14*(K85+J85)/2*IF($C17=TRUE,1-'Get Started'!$E10,1))),0)</f>
        <v>490000</v>
      </c>
      <c r="L41" s="26">
        <f ca="1">IFERROR(IF(L15="committed",L83*IF($C17=TRUE,1-'Get Started'!$E10,1)*L14+IF(AND(L4&lt;&gt;1,L54*IF($C17=TRUE,1-'Get Started'!$E10,1)&lt;&gt;0,SUM($G54:L54)*IF($C17=TRUE,1-'Get Started'!$E10,1)&lt;&gt;J54*IF($C17=TRUE,1-'Get Started'!$E10,1)),L54*IF($C17=TRUE,1-'Get Started'!$E10,1)*(L4-1)*L14,0),IF(L15="called",L14*((K60+L39+L40+L38)/(1-L14)+K60)/2*IF($C17=TRUE,1-'Get Started'!$E10,1),L14*(L85+K85)/2*IF($C17=TRUE,1-'Get Started'!$E10,1))),0)</f>
        <v>490000</v>
      </c>
      <c r="M41" s="26">
        <f ca="1">IFERROR(IF(M15="committed",M83*IF($C17=TRUE,1-'Get Started'!$E10,1)*M14+IF(AND(M4&lt;&gt;1,M54*IF($C17=TRUE,1-'Get Started'!$E10,1)&lt;&gt;0,SUM($G54:M54)*IF($C17=TRUE,1-'Get Started'!$E10,1)&lt;&gt;K54*IF($C17=TRUE,1-'Get Started'!$E10,1)),M54*IF($C17=TRUE,1-'Get Started'!$E10,1)*(M4-1)*M14,0),IF(M15="called",M14*((L60+M39+M40+M38)/(1-M14)+L60)/2*IF($C17=TRUE,1-'Get Started'!$E10,1),M14*(M85+L85)/2*IF($C17=TRUE,1-'Get Started'!$E10,1))),0)</f>
        <v>490000</v>
      </c>
      <c r="N41" s="26">
        <f ca="1">IFERROR(IF(N15="committed",N83*IF($C17=TRUE,1-'Get Started'!$E10,1)*N14+IF(AND(N4&lt;&gt;1,N54*IF($C17=TRUE,1-'Get Started'!$E10,1)&lt;&gt;0,SUM($G54:N54)*IF($C17=TRUE,1-'Get Started'!$E10,1)&lt;&gt;L54*IF($C17=TRUE,1-'Get Started'!$E10,1)),N54*IF($C17=TRUE,1-'Get Started'!$E10,1)*(N4-1)*N14,0),IF(N15="called",N14*((M60+N39+N40+N38)/(1-N14)+M60)/2*IF($C17=TRUE,1-'Get Started'!$E10,1),N14*(N85+M85)/2*IF($C17=TRUE,1-'Get Started'!$E10,1))),0)</f>
        <v>490000</v>
      </c>
      <c r="O41" s="26">
        <f ca="1">IFERROR(IF(O15="committed",O83*IF($C17=TRUE,1-'Get Started'!$E10,1)*O14+IF(AND(O4&lt;&gt;1,O54*IF($C17=TRUE,1-'Get Started'!$E10,1)&lt;&gt;0,SUM($G54:O54)*IF($C17=TRUE,1-'Get Started'!$E10,1)&lt;&gt;M54*IF($C17=TRUE,1-'Get Started'!$E10,1)),O54*IF($C17=TRUE,1-'Get Started'!$E10,1)*(O4-1)*O14,0),IF(O15="called",O14*((N60+O39+O40+O38)/(1-O14)+N60)/2*IF($C17=TRUE,1-'Get Started'!$E10,1),O14*(O85+N85)/2*IF($C17=TRUE,1-'Get Started'!$E10,1))),0)</f>
        <v>490000</v>
      </c>
      <c r="P41" s="26">
        <f ca="1">IFERROR(IF(P15="committed",P83*IF($C17=TRUE,1-'Get Started'!$E10,1)*P14+IF(AND(P4&lt;&gt;1,P54*IF($C17=TRUE,1-'Get Started'!$E10,1)&lt;&gt;0,SUM($G54:P54)*IF($C17=TRUE,1-'Get Started'!$E10,1)&lt;&gt;N54*IF($C17=TRUE,1-'Get Started'!$E10,1)),P54*IF($C17=TRUE,1-'Get Started'!$E10,1)*(P4-1)*P14,0),IF(P15="called",P14*((O60+P39+P40+P38)/(1-P14)+O60)/2*IF($C17=TRUE,1-'Get Started'!$E10,1),P14*(P85+O85)/2*IF($C17=TRUE,1-'Get Started'!$E10,1))),0)</f>
        <v>490000</v>
      </c>
      <c r="Q41" s="26">
        <f ca="1">IFERROR(IF(Q15="committed",Q83*IF($C17=TRUE,1-'Get Started'!$E10,1)*Q14+IF(AND(Q4&lt;&gt;1,Q54*IF($C17=TRUE,1-'Get Started'!$E10,1)&lt;&gt;0,SUM($G54:Q54)*IF($C17=TRUE,1-'Get Started'!$E10,1)&lt;&gt;O54*IF($C17=TRUE,1-'Get Started'!$E10,1)),Q54*IF($C17=TRUE,1-'Get Started'!$E10,1)*(Q4-1)*Q14,0),IF(Q15="called",Q14*((P60+Q39+Q40+Q38)/(1-Q14)+P60)/2*IF($C17=TRUE,1-'Get Started'!$E10,1),Q14*(Q85+P85)/2*IF($C17=TRUE,1-'Get Started'!$E10,1))),0)</f>
        <v>0</v>
      </c>
      <c r="R41" s="26">
        <f ca="1">IFERROR(IF(R15="committed",R83*IF($C17=TRUE,1-'Get Started'!$E10,1)*R14+IF(AND(R4&lt;&gt;1,R54*IF($C17=TRUE,1-'Get Started'!$E10,1)&lt;&gt;0,SUM($G54:R54)*IF($C17=TRUE,1-'Get Started'!$E10,1)&lt;&gt;P54*IF($C17=TRUE,1-'Get Started'!$E10,1)),R54*IF($C17=TRUE,1-'Get Started'!$E10,1)*(R4-1)*R14,0),IF(R15="called",R14*((Q60+R39+R40+R38)/(1-R14)+Q60)/2*IF($C17=TRUE,1-'Get Started'!$E10,1),R14*(R85+Q85)/2*IF($C17=TRUE,1-'Get Started'!$E10,1))),0)</f>
        <v>0</v>
      </c>
      <c r="S41" s="26">
        <f ca="1">IFERROR(IF(S15="committed",S83*IF($C17=TRUE,1-'Get Started'!$E10,1)*S14+IF(AND(S4&lt;&gt;1,S54*IF($C17=TRUE,1-'Get Started'!$E10,1)&lt;&gt;0,SUM($G54:S54)*IF($C17=TRUE,1-'Get Started'!$E10,1)&lt;&gt;Q54*IF($C17=TRUE,1-'Get Started'!$E10,1)),S54*IF($C17=TRUE,1-'Get Started'!$E10,1)*(S4-1)*S14,0),IF(S15="called",S14*((R60+S39+S40+S38)/(1-S14)+R60)/2*IF($C17=TRUE,1-'Get Started'!$E10,1),S14*(S85+R85)/2*IF($C17=TRUE,1-'Get Started'!$E10,1))),0)</f>
        <v>0</v>
      </c>
      <c r="T41" s="26">
        <f ca="1">IFERROR(IF(T15="committed",T83*IF($C17=TRUE,1-'Get Started'!$E10,1)*T14+IF(AND(T4&lt;&gt;1,T54*IF($C17=TRUE,1-'Get Started'!$E10,1)&lt;&gt;0,SUM($G54:T54)*IF($C17=TRUE,1-'Get Started'!$E10,1)&lt;&gt;R54*IF($C17=TRUE,1-'Get Started'!$E10,1)),T54*IF($C17=TRUE,1-'Get Started'!$E10,1)*(T4-1)*T14,0),IF(T15="called",T14*((S60+T39+T40+T38)/(1-T14)+S60)/2*IF($C17=TRUE,1-'Get Started'!$E10,1),T14*(T85+S85)/2*IF($C17=TRUE,1-'Get Started'!$E10,1))),0)</f>
        <v>0</v>
      </c>
      <c r="U41" s="26">
        <f ca="1">IFERROR(IF(U15="committed",U83*IF($C17=TRUE,1-'Get Started'!$E10,1)*U14+IF(AND(U4&lt;&gt;1,U54*IF($C17=TRUE,1-'Get Started'!$E10,1)&lt;&gt;0,SUM($G54:U54)*IF($C17=TRUE,1-'Get Started'!$E10,1)&lt;&gt;S54*IF($C17=TRUE,1-'Get Started'!$E10,1)),U54*IF($C17=TRUE,1-'Get Started'!$E10,1)*(U4-1)*U14,0),IF(U15="called",U14*((T60+U39+U40+U38)/(1-U14)+T60)/2*IF($C17=TRUE,1-'Get Started'!$E10,1),U14*(U85+T85)/2*IF($C17=TRUE,1-'Get Started'!$E10,1))),0)</f>
        <v>0</v>
      </c>
      <c r="V41" s="26">
        <f ca="1">IFERROR(IF(V15="committed",V83*IF($C17=TRUE,1-'Get Started'!$E10,1)*V14+IF(AND(V4&lt;&gt;1,V54*IF($C17=TRUE,1-'Get Started'!$E10,1)&lt;&gt;0,SUM($G54:V54)*IF($C17=TRUE,1-'Get Started'!$E10,1)&lt;&gt;T54*IF($C17=TRUE,1-'Get Started'!$E10,1)),V54*IF($C17=TRUE,1-'Get Started'!$E10,1)*(V4-1)*V14,0),IF(V15="called",V14*((U60+V39+V40+V38)/(1-V14)+U60)/2*IF($C17=TRUE,1-'Get Started'!$E10,1),V14*(V85+U85)/2*IF($C17=TRUE,1-'Get Started'!$E10,1))),0)</f>
        <v>0</v>
      </c>
      <c r="W41" s="26">
        <f ca="1">IFERROR(IF(W15="committed",W83*IF($C17=TRUE,1-'Get Started'!$E10,1)*W14+IF(AND(W4&lt;&gt;1,W54*IF($C17=TRUE,1-'Get Started'!$E10,1)&lt;&gt;0,SUM($G54:W54)*IF($C17=TRUE,1-'Get Started'!$E10,1)&lt;&gt;U54*IF($C17=TRUE,1-'Get Started'!$E10,1)),W54*IF($C17=TRUE,1-'Get Started'!$E10,1)*(W4-1)*W14,0),IF(W15="called",W14*((V60+W39+W40+W38)/(1-W14)+V60)/2*IF($C17=TRUE,1-'Get Started'!$E10,1),W14*(W85+V85)/2*IF($C17=TRUE,1-'Get Started'!$E10,1))),0)</f>
        <v>0</v>
      </c>
      <c r="X41" s="26">
        <f ca="1">IFERROR(IF(X15="committed",X83*IF($C17=TRUE,1-'Get Started'!$E10,1)*X14+IF(AND(X4&lt;&gt;1,X54*IF($C17=TRUE,1-'Get Started'!$E10,1)&lt;&gt;0,SUM($G54:X54)*IF($C17=TRUE,1-'Get Started'!$E10,1)&lt;&gt;V54*IF($C17=TRUE,1-'Get Started'!$E10,1)),X54*IF($C17=TRUE,1-'Get Started'!$E10,1)*(X4-1)*X14,0),IF(X15="called",X14*((W60+X39+X40+X38)/(1-X14)+W60)/2*IF($C17=TRUE,1-'Get Started'!$E10,1),X14*(X85+W85)/2*IF($C17=TRUE,1-'Get Started'!$E10,1))),0)</f>
        <v>0</v>
      </c>
      <c r="Y41" s="26">
        <f ca="1">IFERROR(IF(Y15="committed",Y83*IF($C17=TRUE,1-'Get Started'!$E10,1)*Y14+IF(AND(Y4&lt;&gt;1,Y54*IF($C17=TRUE,1-'Get Started'!$E10,1)&lt;&gt;0,SUM($G54:Y54)*IF($C17=TRUE,1-'Get Started'!$E10,1)&lt;&gt;W54*IF($C17=TRUE,1-'Get Started'!$E10,1)),Y54*IF($C17=TRUE,1-'Get Started'!$E10,1)*(Y4-1)*Y14,0),IF(Y15="called",Y14*((X60+Y39+Y40+Y38)/(1-Y14)+X60)/2*IF($C17=TRUE,1-'Get Started'!$E10,1),Y14*(Y85+X85)/2*IF($C17=TRUE,1-'Get Started'!$E10,1))),0)</f>
        <v>0</v>
      </c>
      <c r="Z41" s="26">
        <f ca="1">IFERROR(IF(Z15="committed",Z83*IF($C17=TRUE,1-'Get Started'!$E10,1)*Z14+IF(AND(Z4&lt;&gt;1,Z54*IF($C17=TRUE,1-'Get Started'!$E10,1)&lt;&gt;0,SUM($G54:Z54)*IF($C17=TRUE,1-'Get Started'!$E10,1)&lt;&gt;X54*IF($C17=TRUE,1-'Get Started'!$E10,1)),Z54*IF($C17=TRUE,1-'Get Started'!$E10,1)*(Z4-1)*Z14,0),IF(Z15="called",Z14*((Y60+Z39+Z40+Z38)/(1-Z14)+Y60)/2*IF($C17=TRUE,1-'Get Started'!$E10,1),Z14*(Z85+Y85)/2*IF($C17=TRUE,1-'Get Started'!$E10,1))),0)</f>
        <v>0</v>
      </c>
    </row>
    <row r="42" spans="1:26" ht="13">
      <c r="B42" s="13" t="s">
        <v>132</v>
      </c>
      <c r="D42" s="13" t="s">
        <v>175</v>
      </c>
      <c r="E42" s="27">
        <f t="shared" ca="1" si="17"/>
        <v>0</v>
      </c>
      <c r="F42" s="27"/>
      <c r="G42" s="26">
        <f ca="1">SUMPRODUCT(Portfolio!$I7:$I71, --(Portfolio!$E7:$E71 = G4))</f>
        <v>0</v>
      </c>
      <c r="H42" s="26">
        <f ca="1">SUMPRODUCT(Portfolio!$I7:$I71, --(Portfolio!$E7:$E71 = H4))</f>
        <v>0</v>
      </c>
      <c r="I42" s="26">
        <f ca="1">SUMPRODUCT(Portfolio!$I7:$I71, --(Portfolio!$E7:$E71 = I4))</f>
        <v>0</v>
      </c>
      <c r="J42" s="26">
        <f ca="1">SUMPRODUCT(Portfolio!$I7:$I71, --(Portfolio!$E7:$E71 = J4))</f>
        <v>0</v>
      </c>
      <c r="K42" s="26">
        <f ca="1">SUMPRODUCT(Portfolio!$I7:$I71, --(Portfolio!$E7:$E71 = K4))</f>
        <v>0</v>
      </c>
      <c r="L42" s="26">
        <f ca="1">SUMPRODUCT(Portfolio!$I7:$I71, --(Portfolio!$E7:$E71 = L4))</f>
        <v>0</v>
      </c>
      <c r="M42" s="26">
        <f ca="1">SUMPRODUCT(Portfolio!$I7:$I71, --(Portfolio!$E7:$E71 = M4))</f>
        <v>0</v>
      </c>
      <c r="N42" s="26">
        <f ca="1">SUMPRODUCT(Portfolio!$I7:$I71, --(Portfolio!$E7:$E71 = N4))</f>
        <v>0</v>
      </c>
      <c r="O42" s="26">
        <f ca="1">SUMPRODUCT(Portfolio!$I7:$I71, --(Portfolio!$E7:$E71 = O4))</f>
        <v>0</v>
      </c>
      <c r="P42" s="26">
        <f ca="1">SUMPRODUCT(Portfolio!$I7:$I71, --(Portfolio!$E7:$E71 = P4))</f>
        <v>0</v>
      </c>
      <c r="Q42" s="26">
        <f ca="1">SUMPRODUCT(Portfolio!$I7:$I71, --(Portfolio!$E7:$E71 = Q4))</f>
        <v>0</v>
      </c>
      <c r="R42" s="26">
        <f ca="1">SUMPRODUCT(Portfolio!$I7:$I71, --(Portfolio!$E7:$E71 = R4))</f>
        <v>0</v>
      </c>
      <c r="S42" s="26">
        <f ca="1">SUMPRODUCT(Portfolio!$I7:$I71, --(Portfolio!$E7:$E71 = S4))</f>
        <v>0</v>
      </c>
      <c r="T42" s="26">
        <f ca="1">SUMPRODUCT(Portfolio!$I7:$I71, --(Portfolio!$E7:$E71 = T4))</f>
        <v>0</v>
      </c>
      <c r="U42" s="26">
        <f ca="1">SUMPRODUCT(Portfolio!$I7:$I71, --(Portfolio!$E7:$E71 = U4))</f>
        <v>0</v>
      </c>
      <c r="V42" s="26">
        <f ca="1">SUMPRODUCT(Portfolio!$I7:$I71, --(Portfolio!$E7:$E71 = V4))</f>
        <v>0</v>
      </c>
      <c r="W42" s="26">
        <f ca="1">SUMPRODUCT(Portfolio!$I7:$I71, --(Portfolio!$E7:$E71 = W4))</f>
        <v>0</v>
      </c>
      <c r="X42" s="26">
        <f ca="1">SUMPRODUCT(Portfolio!$I7:$I71, --(Portfolio!$E7:$E71 = X4))</f>
        <v>0</v>
      </c>
      <c r="Y42" s="26">
        <f ca="1">SUMPRODUCT(Portfolio!$I7:$I71, --(Portfolio!$E7:$E71 = Y4))</f>
        <v>0</v>
      </c>
      <c r="Z42" s="26">
        <f ca="1">SUMPRODUCT(Portfolio!$I7:$I71, --(Portfolio!$E7:$E71 = Z4))</f>
        <v>0</v>
      </c>
    </row>
    <row r="43" spans="1:26" ht="13">
      <c r="B43" s="13" t="s">
        <v>136</v>
      </c>
      <c r="D43" s="13" t="s">
        <v>175</v>
      </c>
      <c r="E43" s="27">
        <f t="shared" ca="1" si="17"/>
        <v>95200000</v>
      </c>
      <c r="F43" s="27"/>
      <c r="G43" s="26">
        <f ca="1">SUMPRODUCT(Portfolio!$G7:$G71, --(Portfolio!$E7:$E71 = G4), --(Portfolio!$D7:$D71 = "Proceeds"))</f>
        <v>0</v>
      </c>
      <c r="H43" s="26">
        <f ca="1">SUMPRODUCT(Portfolio!$G7:$G71, --(Portfolio!$E7:$E71 = H4), --(Portfolio!$D7:$D71 = "Proceeds"))</f>
        <v>1350000</v>
      </c>
      <c r="I43" s="26">
        <f ca="1">SUMPRODUCT(Portfolio!$G7:$G71, --(Portfolio!$E7:$E71 = I4), --(Portfolio!$D7:$D71 = "Proceeds"))</f>
        <v>0</v>
      </c>
      <c r="J43" s="26">
        <f ca="1">SUMPRODUCT(Portfolio!$G7:$G71, --(Portfolio!$E7:$E71 = J4), --(Portfolio!$D7:$D71 = "Proceeds"))</f>
        <v>39300000</v>
      </c>
      <c r="K43" s="26">
        <f ca="1">SUMPRODUCT(Portfolio!$G7:$G71, --(Portfolio!$E7:$E71 = K4), --(Portfolio!$D7:$D71 = "Proceeds"))</f>
        <v>6500000</v>
      </c>
      <c r="L43" s="26">
        <f ca="1">SUMPRODUCT(Portfolio!$G7:$G71, --(Portfolio!$E7:$E71 = L4), --(Portfolio!$D7:$D71 = "Proceeds"))</f>
        <v>0</v>
      </c>
      <c r="M43" s="26">
        <f ca="1">SUMPRODUCT(Portfolio!$G7:$G71, --(Portfolio!$E7:$E71 = M4), --(Portfolio!$D7:$D71 = "Proceeds"))</f>
        <v>7000000</v>
      </c>
      <c r="N43" s="26">
        <f ca="1">SUMPRODUCT(Portfolio!$G7:$G71, --(Portfolio!$E7:$E71 = N4), --(Portfolio!$D7:$D71 = "Proceeds"))</f>
        <v>15000000</v>
      </c>
      <c r="O43" s="26">
        <f ca="1">SUMPRODUCT(Portfolio!$G7:$G71, --(Portfolio!$E7:$E71 = O4), --(Portfolio!$D7:$D71 = "Proceeds"))</f>
        <v>1050000</v>
      </c>
      <c r="P43" s="26">
        <f ca="1">SUMPRODUCT(Portfolio!$G7:$G71, --(Portfolio!$E7:$E71 = P4), --(Portfolio!$D7:$D71 = "Proceeds"))</f>
        <v>25000000</v>
      </c>
      <c r="Q43" s="26">
        <f ca="1">SUMPRODUCT(Portfolio!$G7:$G71, --(Portfolio!$E7:$E71 = Q4), --(Portfolio!$D7:$D71 = "Proceeds"))</f>
        <v>0</v>
      </c>
      <c r="R43" s="26">
        <f ca="1">SUMPRODUCT(Portfolio!$G7:$G71, --(Portfolio!$E7:$E71 = R4), --(Portfolio!$D7:$D71 = "Proceeds"))</f>
        <v>0</v>
      </c>
      <c r="S43" s="26">
        <f ca="1">SUMPRODUCT(Portfolio!$G7:$G71, --(Portfolio!$E7:$E71 = S4), --(Portfolio!$D7:$D71 = "Proceeds"))</f>
        <v>0</v>
      </c>
      <c r="T43" s="26">
        <f ca="1">SUMPRODUCT(Portfolio!$G7:$G71, --(Portfolio!$E7:$E71 = T4), --(Portfolio!$D7:$D71 = "Proceeds"))</f>
        <v>0</v>
      </c>
      <c r="U43" s="26">
        <f ca="1">SUMPRODUCT(Portfolio!$G7:$G71, --(Portfolio!$E7:$E71 = U4), --(Portfolio!$D7:$D71 = "Proceeds"))</f>
        <v>0</v>
      </c>
      <c r="V43" s="26">
        <f ca="1">SUMPRODUCT(Portfolio!$G7:$G71, --(Portfolio!$E7:$E71 = V4), --(Portfolio!$D7:$D71 = "Proceeds"))</f>
        <v>0</v>
      </c>
      <c r="W43" s="26">
        <f ca="1">SUMPRODUCT(Portfolio!$G7:$G71, --(Portfolio!$E7:$E71 = W4), --(Portfolio!$D7:$D71 = "Proceeds"))</f>
        <v>0</v>
      </c>
      <c r="X43" s="26">
        <f ca="1">SUMPRODUCT(Portfolio!$G7:$G71, --(Portfolio!$E7:$E71 = X4), --(Portfolio!$D7:$D71 = "Proceeds"))</f>
        <v>0</v>
      </c>
      <c r="Y43" s="26">
        <f ca="1">SUMPRODUCT(Portfolio!$G7:$G71, --(Portfolio!$E7:$E71 = Y4), --(Portfolio!$D7:$D71 = "Proceeds"))</f>
        <v>0</v>
      </c>
      <c r="Z43" s="26">
        <f ca="1">SUMPRODUCT(Portfolio!$G7:$G71, --(Portfolio!$E7:$E71 = Z4), --(Portfolio!$D7:$D71 = "Proceeds"))</f>
        <v>0</v>
      </c>
    </row>
    <row r="44" spans="1:26" ht="13">
      <c r="B44" s="13" t="s">
        <v>208</v>
      </c>
      <c r="D44" s="13" t="s">
        <v>175</v>
      </c>
      <c r="E44" s="27">
        <f t="shared" si="17"/>
        <v>0</v>
      </c>
      <c r="F44" s="27"/>
      <c r="G44" s="27">
        <v>0</v>
      </c>
      <c r="H44" s="27">
        <v>0</v>
      </c>
      <c r="I44" s="27">
        <v>0</v>
      </c>
      <c r="J44" s="27">
        <v>0</v>
      </c>
      <c r="K44" s="27">
        <v>0</v>
      </c>
      <c r="L44" s="27">
        <v>0</v>
      </c>
      <c r="M44" s="27">
        <v>0</v>
      </c>
      <c r="N44" s="27">
        <v>0</v>
      </c>
      <c r="O44" s="27">
        <v>0</v>
      </c>
      <c r="P44" s="27">
        <v>0</v>
      </c>
      <c r="Q44" s="27">
        <v>0</v>
      </c>
      <c r="R44" s="27">
        <v>0</v>
      </c>
      <c r="S44" s="27">
        <v>0</v>
      </c>
      <c r="T44" s="27">
        <v>0</v>
      </c>
      <c r="U44" s="27">
        <v>0</v>
      </c>
      <c r="V44" s="27">
        <v>0</v>
      </c>
      <c r="W44" s="27">
        <v>0</v>
      </c>
      <c r="X44" s="27">
        <v>0</v>
      </c>
      <c r="Y44" s="27">
        <v>0</v>
      </c>
      <c r="Z44" s="27">
        <v>0</v>
      </c>
    </row>
    <row r="45" spans="1:26" ht="13">
      <c r="B45" s="13" t="s">
        <v>209</v>
      </c>
      <c r="D45" s="13" t="s">
        <v>175</v>
      </c>
      <c r="E45" s="27">
        <f t="shared" si="17"/>
        <v>0</v>
      </c>
      <c r="F45" s="27"/>
      <c r="G45" s="27">
        <v>0</v>
      </c>
      <c r="H45" s="27">
        <v>0</v>
      </c>
      <c r="I45" s="27">
        <v>0</v>
      </c>
      <c r="J45" s="27">
        <v>0</v>
      </c>
      <c r="K45" s="27">
        <v>0</v>
      </c>
      <c r="L45" s="27">
        <v>0</v>
      </c>
      <c r="M45" s="27">
        <v>0</v>
      </c>
      <c r="N45" s="27">
        <v>0</v>
      </c>
      <c r="O45" s="27">
        <v>0</v>
      </c>
      <c r="P45" s="27">
        <v>0</v>
      </c>
      <c r="Q45" s="27">
        <v>0</v>
      </c>
      <c r="R45" s="27">
        <v>0</v>
      </c>
      <c r="S45" s="27">
        <v>0</v>
      </c>
      <c r="T45" s="27">
        <v>0</v>
      </c>
      <c r="U45" s="27">
        <v>0</v>
      </c>
      <c r="V45" s="27">
        <v>0</v>
      </c>
      <c r="W45" s="27">
        <v>0</v>
      </c>
      <c r="X45" s="27">
        <v>0</v>
      </c>
      <c r="Y45" s="27">
        <v>0</v>
      </c>
      <c r="Z45" s="27">
        <v>0</v>
      </c>
    </row>
    <row r="46" spans="1:26" ht="13">
      <c r="B46" s="13" t="s">
        <v>138</v>
      </c>
      <c r="D46" s="13" t="s">
        <v>175</v>
      </c>
      <c r="E46" s="27">
        <f t="shared" ca="1" si="17"/>
        <v>14040000</v>
      </c>
      <c r="F46" s="27"/>
      <c r="G46" s="26">
        <f t="shared" ref="G46:Z46" ca="1" si="19">G134</f>
        <v>0</v>
      </c>
      <c r="H46" s="26">
        <f t="shared" ca="1" si="19"/>
        <v>10259.740259740269</v>
      </c>
      <c r="I46" s="26">
        <f t="shared" ca="1" si="19"/>
        <v>0</v>
      </c>
      <c r="J46" s="26">
        <f t="shared" ca="1" si="19"/>
        <v>6561298.7012987025</v>
      </c>
      <c r="K46" s="26">
        <f t="shared" ca="1" si="19"/>
        <v>520779.22077922057</v>
      </c>
      <c r="L46" s="26">
        <f t="shared" ca="1" si="19"/>
        <v>0</v>
      </c>
      <c r="M46" s="26">
        <f t="shared" ca="1" si="19"/>
        <v>361038.96103896131</v>
      </c>
      <c r="N46" s="26">
        <f t="shared" ca="1" si="19"/>
        <v>1701298.7012987011</v>
      </c>
      <c r="O46" s="26">
        <f t="shared" ca="1" si="19"/>
        <v>145064.93506493495</v>
      </c>
      <c r="P46" s="26">
        <f t="shared" ca="1" si="19"/>
        <v>4740259.7402597405</v>
      </c>
      <c r="Q46" s="26">
        <f t="shared" ca="1" si="19"/>
        <v>0</v>
      </c>
      <c r="R46" s="26">
        <f t="shared" ca="1" si="19"/>
        <v>0</v>
      </c>
      <c r="S46" s="26">
        <f t="shared" ca="1" si="19"/>
        <v>0</v>
      </c>
      <c r="T46" s="26">
        <f t="shared" ca="1" si="19"/>
        <v>0</v>
      </c>
      <c r="U46" s="26">
        <f t="shared" ca="1" si="19"/>
        <v>0</v>
      </c>
      <c r="V46" s="26">
        <f t="shared" ca="1" si="19"/>
        <v>0</v>
      </c>
      <c r="W46" s="26">
        <f t="shared" ca="1" si="19"/>
        <v>0</v>
      </c>
      <c r="X46" s="26">
        <f t="shared" ca="1" si="19"/>
        <v>0</v>
      </c>
      <c r="Y46" s="26">
        <f t="shared" ca="1" si="19"/>
        <v>0</v>
      </c>
      <c r="Z46" s="26">
        <f t="shared" ca="1" si="19"/>
        <v>0</v>
      </c>
    </row>
    <row r="47" spans="1:26" ht="13">
      <c r="B47" s="13" t="s">
        <v>139</v>
      </c>
      <c r="C47" s="13"/>
      <c r="D47" s="13" t="s">
        <v>175</v>
      </c>
      <c r="E47" s="27">
        <f t="shared" ca="1" si="17"/>
        <v>81160000</v>
      </c>
      <c r="F47" s="27"/>
      <c r="G47" s="26">
        <f t="shared" ref="G47:Z47" ca="1" si="20">G130+G133-G134</f>
        <v>0</v>
      </c>
      <c r="H47" s="26">
        <f t="shared" ca="1" si="20"/>
        <v>1339740.2597402597</v>
      </c>
      <c r="I47" s="26">
        <f t="shared" ca="1" si="20"/>
        <v>0</v>
      </c>
      <c r="J47" s="26">
        <f t="shared" ca="1" si="20"/>
        <v>32738701.298701297</v>
      </c>
      <c r="K47" s="26">
        <f t="shared" ca="1" si="20"/>
        <v>5979220.7792207794</v>
      </c>
      <c r="L47" s="26">
        <f t="shared" ca="1" si="20"/>
        <v>0</v>
      </c>
      <c r="M47" s="26">
        <f t="shared" ca="1" si="20"/>
        <v>6638961.0389610389</v>
      </c>
      <c r="N47" s="26">
        <f t="shared" ca="1" si="20"/>
        <v>13298701.298701299</v>
      </c>
      <c r="O47" s="26">
        <f t="shared" ca="1" si="20"/>
        <v>904935.06493506511</v>
      </c>
      <c r="P47" s="26">
        <f t="shared" ca="1" si="20"/>
        <v>20259740.259740259</v>
      </c>
      <c r="Q47" s="26">
        <f t="shared" ca="1" si="20"/>
        <v>0</v>
      </c>
      <c r="R47" s="26">
        <f t="shared" ca="1" si="20"/>
        <v>0</v>
      </c>
      <c r="S47" s="26">
        <f t="shared" ca="1" si="20"/>
        <v>0</v>
      </c>
      <c r="T47" s="26">
        <f t="shared" ca="1" si="20"/>
        <v>0</v>
      </c>
      <c r="U47" s="26">
        <f t="shared" ca="1" si="20"/>
        <v>0</v>
      </c>
      <c r="V47" s="26">
        <f t="shared" ca="1" si="20"/>
        <v>0</v>
      </c>
      <c r="W47" s="26">
        <f t="shared" ca="1" si="20"/>
        <v>0</v>
      </c>
      <c r="X47" s="26">
        <f t="shared" ca="1" si="20"/>
        <v>0</v>
      </c>
      <c r="Y47" s="26">
        <f t="shared" ca="1" si="20"/>
        <v>0</v>
      </c>
      <c r="Z47" s="26">
        <f t="shared" ca="1" si="20"/>
        <v>0</v>
      </c>
    </row>
    <row r="48" spans="1:26" ht="13">
      <c r="B48" s="13" t="s">
        <v>210</v>
      </c>
      <c r="C48" s="13"/>
      <c r="D48" s="13" t="s">
        <v>175</v>
      </c>
      <c r="E48" s="27">
        <f t="shared" si="17"/>
        <v>0</v>
      </c>
      <c r="F48" s="27"/>
      <c r="G48" s="26">
        <v>0</v>
      </c>
      <c r="H48" s="26">
        <v>0</v>
      </c>
      <c r="I48" s="26">
        <v>0</v>
      </c>
      <c r="J48" s="26">
        <v>0</v>
      </c>
      <c r="K48" s="26">
        <v>0</v>
      </c>
      <c r="L48" s="26">
        <v>0</v>
      </c>
      <c r="M48" s="26">
        <v>0</v>
      </c>
      <c r="N48" s="26">
        <v>0</v>
      </c>
      <c r="O48" s="26">
        <v>0</v>
      </c>
      <c r="P48" s="26">
        <v>0</v>
      </c>
      <c r="Q48" s="26">
        <v>0</v>
      </c>
      <c r="R48" s="26">
        <v>0</v>
      </c>
      <c r="S48" s="26">
        <v>0</v>
      </c>
      <c r="T48" s="26">
        <v>0</v>
      </c>
      <c r="U48" s="26">
        <v>0</v>
      </c>
      <c r="V48" s="26">
        <v>0</v>
      </c>
      <c r="W48" s="26">
        <v>0</v>
      </c>
      <c r="X48" s="26">
        <v>0</v>
      </c>
      <c r="Y48" s="26">
        <v>0</v>
      </c>
      <c r="Z48" s="26">
        <v>0</v>
      </c>
    </row>
    <row r="49" spans="1:26" ht="13">
      <c r="B49" s="34" t="s">
        <v>211</v>
      </c>
      <c r="C49" s="34" t="s">
        <v>212</v>
      </c>
      <c r="D49" s="13" t="s">
        <v>175</v>
      </c>
      <c r="E49" s="27">
        <f t="shared" ca="1" si="17"/>
        <v>19250000</v>
      </c>
      <c r="F49" s="27"/>
      <c r="G49" s="26">
        <f ca="1">ABS(SUMPRODUCT(Portfolio!$F7:$F71, --(Portfolio!$E7:$E71 = G4),--(Portfolio!$D7:$D71 = "Proceeds")))</f>
        <v>0</v>
      </c>
      <c r="H49" s="26">
        <f ca="1">ABS(SUMPRODUCT(Portfolio!$F7:$F71, --(Portfolio!$E7:$E71 = H4),--(Portfolio!$D7:$D71 = "Proceeds")))</f>
        <v>1000000</v>
      </c>
      <c r="I49" s="26">
        <f ca="1">ABS(SUMPRODUCT(Portfolio!$F7:$F71, --(Portfolio!$E7:$E71 = I4),--(Portfolio!$D7:$D71 = "Proceeds")))</f>
        <v>0</v>
      </c>
      <c r="J49" s="26">
        <f ca="1">ABS(SUMPRODUCT(Portfolio!$F7:$F71, --(Portfolio!$E7:$E71 = J4),--(Portfolio!$D7:$D71 = "Proceeds")))</f>
        <v>5000000</v>
      </c>
      <c r="K49" s="26">
        <f ca="1">ABS(SUMPRODUCT(Portfolio!$F7:$F71, --(Portfolio!$E7:$E71 = K4),--(Portfolio!$D7:$D71 = "Proceeds")))</f>
        <v>3000000</v>
      </c>
      <c r="L49" s="26">
        <f ca="1">ABS(SUMPRODUCT(Portfolio!$F7:$F71, --(Portfolio!$E7:$E71 = L4),--(Portfolio!$D7:$D71 = "Proceeds")))</f>
        <v>2000000</v>
      </c>
      <c r="M49" s="26">
        <f ca="1">ABS(SUMPRODUCT(Portfolio!$F7:$F71, --(Portfolio!$E7:$E71 = M4),--(Portfolio!$D7:$D71 = "Proceeds")))</f>
        <v>2000000</v>
      </c>
      <c r="N49" s="26">
        <f ca="1">ABS(SUMPRODUCT(Portfolio!$F7:$F71, --(Portfolio!$E7:$E71 = N4),--(Portfolio!$D7:$D71 = "Proceeds")))</f>
        <v>5000000</v>
      </c>
      <c r="O49" s="26">
        <f ca="1">ABS(SUMPRODUCT(Portfolio!$F7:$F71, --(Portfolio!$E7:$E71 = O4),--(Portfolio!$D7:$D71 = "Proceeds")))</f>
        <v>250000</v>
      </c>
      <c r="P49" s="26">
        <f ca="1">ABS(SUMPRODUCT(Portfolio!$F7:$F71, --(Portfolio!$E7:$E71 = P4),--(Portfolio!$D7:$D71 = "Proceeds")))</f>
        <v>1000000</v>
      </c>
      <c r="Q49" s="26">
        <f ca="1">ABS(SUMPRODUCT(Portfolio!$F7:$F71, --(Portfolio!$E7:$E71 = Q4),--(Portfolio!$D7:$D71 = "Proceeds")))</f>
        <v>0</v>
      </c>
      <c r="R49" s="26">
        <f ca="1">ABS(SUMPRODUCT(Portfolio!$F7:$F71, --(Portfolio!$E7:$E71 = R4),--(Portfolio!$D7:$D71 = "Proceeds")))</f>
        <v>0</v>
      </c>
      <c r="S49" s="26">
        <f ca="1">ABS(SUMPRODUCT(Portfolio!$F7:$F71, --(Portfolio!$E7:$E71 = S4),--(Portfolio!$D7:$D71 = "Proceeds")))</f>
        <v>0</v>
      </c>
      <c r="T49" s="26">
        <f ca="1">ABS(SUMPRODUCT(Portfolio!$F7:$F71, --(Portfolio!$E7:$E71 = T4),--(Portfolio!$D7:$D71 = "Proceeds")))</f>
        <v>0</v>
      </c>
      <c r="U49" s="26">
        <f ca="1">ABS(SUMPRODUCT(Portfolio!$F7:$F71, --(Portfolio!$E7:$E71 = U4),--(Portfolio!$D7:$D71 = "Proceeds")))</f>
        <v>0</v>
      </c>
      <c r="V49" s="26">
        <f ca="1">ABS(SUMPRODUCT(Portfolio!$F7:$F71, --(Portfolio!$E7:$E71 = V4),--(Portfolio!$D7:$D71 = "Proceeds")))</f>
        <v>0</v>
      </c>
      <c r="W49" s="26">
        <f ca="1">ABS(SUMPRODUCT(Portfolio!$F7:$F71, --(Portfolio!$E7:$E71 = W4),--(Portfolio!$D7:$D71 = "Proceeds")))</f>
        <v>0</v>
      </c>
      <c r="X49" s="26">
        <f ca="1">ABS(SUMPRODUCT(Portfolio!$F7:$F71, --(Portfolio!$E7:$E71 = X4),--(Portfolio!$D7:$D71 = "Proceeds")))</f>
        <v>0</v>
      </c>
      <c r="Y49" s="26">
        <f ca="1">ABS(SUMPRODUCT(Portfolio!$F7:$F71, --(Portfolio!$E7:$E71 = Y4),--(Portfolio!$D7:$D71 = "Proceeds")))</f>
        <v>0</v>
      </c>
      <c r="Z49" s="26">
        <f ca="1">ABS(SUMPRODUCT(Portfolio!$F7:$F71, --(Portfolio!$E7:$E71 = Z4),--(Portfolio!$D7:$D71 = "Proceeds")))</f>
        <v>0</v>
      </c>
    </row>
    <row r="50" spans="1:26" ht="13">
      <c r="B50" s="13" t="s">
        <v>213</v>
      </c>
      <c r="C50" s="13" t="s">
        <v>214</v>
      </c>
      <c r="D50" s="13" t="s">
        <v>175</v>
      </c>
      <c r="E50" s="27">
        <f t="shared" ca="1" si="17"/>
        <v>0</v>
      </c>
      <c r="F50" s="27"/>
      <c r="G50" s="35">
        <f t="shared" ref="G50:Z50" ca="1" si="21">G38+ABS(G48)*-1+ABS(G49)*-1</f>
        <v>5000000</v>
      </c>
      <c r="H50" s="35">
        <f t="shared" ca="1" si="21"/>
        <v>4000000</v>
      </c>
      <c r="I50" s="35">
        <f t="shared" ca="1" si="21"/>
        <v>5000000</v>
      </c>
      <c r="J50" s="35">
        <f t="shared" ca="1" si="21"/>
        <v>-750000</v>
      </c>
      <c r="K50" s="35">
        <f t="shared" ca="1" si="21"/>
        <v>-3000000</v>
      </c>
      <c r="L50" s="35">
        <f t="shared" ca="1" si="21"/>
        <v>-2000000</v>
      </c>
      <c r="M50" s="35">
        <f t="shared" ca="1" si="21"/>
        <v>-2000000</v>
      </c>
      <c r="N50" s="35">
        <f t="shared" ca="1" si="21"/>
        <v>-5000000</v>
      </c>
      <c r="O50" s="35">
        <f t="shared" ca="1" si="21"/>
        <v>-250000</v>
      </c>
      <c r="P50" s="35">
        <f t="shared" ca="1" si="21"/>
        <v>-1000000</v>
      </c>
      <c r="Q50" s="35">
        <f t="shared" ca="1" si="21"/>
        <v>0</v>
      </c>
      <c r="R50" s="35">
        <f t="shared" ca="1" si="21"/>
        <v>0</v>
      </c>
      <c r="S50" s="35">
        <f t="shared" ca="1" si="21"/>
        <v>0</v>
      </c>
      <c r="T50" s="35">
        <f t="shared" ca="1" si="21"/>
        <v>0</v>
      </c>
      <c r="U50" s="35">
        <f t="shared" ca="1" si="21"/>
        <v>0</v>
      </c>
      <c r="V50" s="35">
        <f t="shared" ca="1" si="21"/>
        <v>0</v>
      </c>
      <c r="W50" s="35">
        <f t="shared" ca="1" si="21"/>
        <v>0</v>
      </c>
      <c r="X50" s="35">
        <f t="shared" ca="1" si="21"/>
        <v>0</v>
      </c>
      <c r="Y50" s="35">
        <f t="shared" ca="1" si="21"/>
        <v>0</v>
      </c>
      <c r="Z50" s="35">
        <f t="shared" ca="1" si="21"/>
        <v>0</v>
      </c>
    </row>
    <row r="51" spans="1:26" ht="13">
      <c r="B51" s="13" t="s">
        <v>215</v>
      </c>
      <c r="C51" s="13" t="s">
        <v>216</v>
      </c>
      <c r="D51" s="13" t="s">
        <v>175</v>
      </c>
      <c r="E51" s="27">
        <f t="shared" ca="1" si="17"/>
        <v>0</v>
      </c>
      <c r="F51" s="27"/>
      <c r="G51" s="26">
        <f ca="1">SUMPRODUCT(Portfolio!$H7:$H71, --(Portfolio!$E7:$E71 = G4), --(Portfolio!$D7:$D71 = "Unrealized Gain (Loss)"))</f>
        <v>0</v>
      </c>
      <c r="H51" s="26">
        <f ca="1">SUMPRODUCT(Portfolio!$H7:$H71, --(Portfolio!$E7:$E71 = H4), --(Portfolio!$D7:$D71 = "Unrealized Gain (Loss)"))</f>
        <v>0</v>
      </c>
      <c r="I51" s="26">
        <f ca="1">SUMPRODUCT(Portfolio!$H7:$H71, --(Portfolio!$E7:$E71 = I4), --(Portfolio!$D7:$D71 = "Unrealized Gain (Loss)"))</f>
        <v>0</v>
      </c>
      <c r="J51" s="26">
        <f ca="1">SUMPRODUCT(Portfolio!$H7:$H71, --(Portfolio!$E7:$E71 = J4), --(Portfolio!$D7:$D71 = "Unrealized Gain (Loss)"))</f>
        <v>0</v>
      </c>
      <c r="K51" s="26">
        <f ca="1">SUMPRODUCT(Portfolio!$H7:$H71, --(Portfolio!$E7:$E71 = K4), --(Portfolio!$D7:$D71 = "Unrealized Gain (Loss)"))</f>
        <v>0</v>
      </c>
      <c r="L51" s="26">
        <f ca="1">SUMPRODUCT(Portfolio!$H7:$H71, --(Portfolio!$E7:$E71 = L4), --(Portfolio!$D7:$D71 = "Unrealized Gain (Loss)"))</f>
        <v>0</v>
      </c>
      <c r="M51" s="26">
        <f ca="1">SUMPRODUCT(Portfolio!$H7:$H71, --(Portfolio!$E7:$E71 = M4), --(Portfolio!$D7:$D71 = "Unrealized Gain (Loss)"))</f>
        <v>0</v>
      </c>
      <c r="N51" s="26">
        <f ca="1">SUMPRODUCT(Portfolio!$H7:$H71, --(Portfolio!$E7:$E71 = N4), --(Portfolio!$D7:$D71 = "Unrealized Gain (Loss)"))</f>
        <v>0</v>
      </c>
      <c r="O51" s="26">
        <f ca="1">SUMPRODUCT(Portfolio!$H7:$H71, --(Portfolio!$E7:$E71 = O4), --(Portfolio!$D7:$D71 = "Unrealized Gain (Loss)"))</f>
        <v>0</v>
      </c>
      <c r="P51" s="26">
        <f ca="1">SUMPRODUCT(Portfolio!$H7:$H71, --(Portfolio!$E7:$E71 = P4), --(Portfolio!$D7:$D71 = "Unrealized Gain (Loss)"))</f>
        <v>0</v>
      </c>
      <c r="Q51" s="26">
        <f ca="1">SUMPRODUCT(Portfolio!$H7:$H71, --(Portfolio!$E7:$E71 = Q4), --(Portfolio!$D7:$D71 = "Unrealized Gain (Loss)"))</f>
        <v>0</v>
      </c>
      <c r="R51" s="26">
        <f ca="1">SUMPRODUCT(Portfolio!$H7:$H71, --(Portfolio!$E7:$E71 = R4), --(Portfolio!$D7:$D71 = "Unrealized Gain (Loss)"))</f>
        <v>0</v>
      </c>
      <c r="S51" s="26">
        <f ca="1">SUMPRODUCT(Portfolio!$H7:$H71, --(Portfolio!$E7:$E71 = S4), --(Portfolio!$D7:$D71 = "Unrealized Gain (Loss)"))</f>
        <v>0</v>
      </c>
      <c r="T51" s="26">
        <f ca="1">SUMPRODUCT(Portfolio!$H7:$H71, --(Portfolio!$E7:$E71 = T4), --(Portfolio!$D7:$D71 = "Unrealized Gain (Loss)"))</f>
        <v>0</v>
      </c>
      <c r="U51" s="26">
        <f ca="1">SUMPRODUCT(Portfolio!$H7:$H71, --(Portfolio!$E7:$E71 = U4), --(Portfolio!$D7:$D71 = "Unrealized Gain (Loss)"))</f>
        <v>0</v>
      </c>
      <c r="V51" s="26">
        <f ca="1">SUMPRODUCT(Portfolio!$H7:$H71, --(Portfolio!$E7:$E71 = V4), --(Portfolio!$D7:$D71 = "Unrealized Gain (Loss)"))</f>
        <v>0</v>
      </c>
      <c r="W51" s="26">
        <f ca="1">SUMPRODUCT(Portfolio!$H7:$H71, --(Portfolio!$E7:$E71 = W4), --(Portfolio!$D7:$D71 = "Unrealized Gain (Loss)"))</f>
        <v>0</v>
      </c>
      <c r="X51" s="26">
        <f ca="1">SUMPRODUCT(Portfolio!$H7:$H71, --(Portfolio!$E7:$E71 = X4), --(Portfolio!$D7:$D71 = "Unrealized Gain (Loss)"))</f>
        <v>0</v>
      </c>
      <c r="Y51" s="26">
        <f ca="1">SUMPRODUCT(Portfolio!$H7:$H71, --(Portfolio!$E7:$E71 = Y4), --(Portfolio!$D7:$D71 = "Unrealized Gain (Loss)"))</f>
        <v>0</v>
      </c>
      <c r="Z51" s="26">
        <f ca="1">SUMPRODUCT(Portfolio!$H7:$H71, --(Portfolio!$E7:$E71 = Z4), --(Portfolio!$D7:$D71 = "Unrealized Gain (Loss)"))</f>
        <v>0</v>
      </c>
    </row>
    <row r="52" spans="1:26" ht="13">
      <c r="B52" s="13" t="s">
        <v>217</v>
      </c>
      <c r="C52" s="13" t="s">
        <v>218</v>
      </c>
      <c r="D52" s="13" t="s">
        <v>175</v>
      </c>
      <c r="E52" s="27">
        <f t="shared" ca="1" si="17"/>
        <v>0</v>
      </c>
      <c r="F52" s="27"/>
      <c r="G52" s="27">
        <f t="shared" ref="G52:Z52" ca="1" si="22">G51+G50</f>
        <v>5000000</v>
      </c>
      <c r="H52" s="27">
        <f t="shared" ca="1" si="22"/>
        <v>4000000</v>
      </c>
      <c r="I52" s="27">
        <f t="shared" ca="1" si="22"/>
        <v>5000000</v>
      </c>
      <c r="J52" s="27">
        <f t="shared" ca="1" si="22"/>
        <v>-750000</v>
      </c>
      <c r="K52" s="27">
        <f t="shared" ca="1" si="22"/>
        <v>-3000000</v>
      </c>
      <c r="L52" s="27">
        <f t="shared" ca="1" si="22"/>
        <v>-2000000</v>
      </c>
      <c r="M52" s="27">
        <f t="shared" ca="1" si="22"/>
        <v>-2000000</v>
      </c>
      <c r="N52" s="27">
        <f t="shared" ca="1" si="22"/>
        <v>-5000000</v>
      </c>
      <c r="O52" s="27">
        <f t="shared" ca="1" si="22"/>
        <v>-250000</v>
      </c>
      <c r="P52" s="27">
        <f t="shared" ca="1" si="22"/>
        <v>-1000000</v>
      </c>
      <c r="Q52" s="27">
        <f t="shared" ca="1" si="22"/>
        <v>0</v>
      </c>
      <c r="R52" s="27">
        <f t="shared" ca="1" si="22"/>
        <v>0</v>
      </c>
      <c r="S52" s="27">
        <f t="shared" ca="1" si="22"/>
        <v>0</v>
      </c>
      <c r="T52" s="27">
        <f t="shared" ca="1" si="22"/>
        <v>0</v>
      </c>
      <c r="U52" s="27">
        <f t="shared" ca="1" si="22"/>
        <v>0</v>
      </c>
      <c r="V52" s="27">
        <f t="shared" ca="1" si="22"/>
        <v>0</v>
      </c>
      <c r="W52" s="27">
        <f t="shared" ca="1" si="22"/>
        <v>0</v>
      </c>
      <c r="X52" s="27">
        <f t="shared" ca="1" si="22"/>
        <v>0</v>
      </c>
      <c r="Y52" s="27">
        <f t="shared" ca="1" si="22"/>
        <v>0</v>
      </c>
      <c r="Z52" s="27">
        <f t="shared" ca="1" si="22"/>
        <v>0</v>
      </c>
    </row>
    <row r="53" spans="1:26" ht="13">
      <c r="B53" s="13" t="s">
        <v>219</v>
      </c>
      <c r="C53" s="13"/>
      <c r="D53" s="13" t="s">
        <v>175</v>
      </c>
      <c r="E53" s="27">
        <f t="shared" ca="1" si="17"/>
        <v>0</v>
      </c>
      <c r="F53" s="27"/>
      <c r="G53" s="27">
        <f t="shared" ref="G53:Z53" ca="1" si="23">G30-G31</f>
        <v>19335000</v>
      </c>
      <c r="H53" s="27">
        <f t="shared" ca="1" si="23"/>
        <v>-5565000</v>
      </c>
      <c r="I53" s="27">
        <f t="shared" ca="1" si="23"/>
        <v>-5565000</v>
      </c>
      <c r="J53" s="27">
        <f t="shared" ca="1" si="23"/>
        <v>-4815000</v>
      </c>
      <c r="K53" s="27">
        <f t="shared" ca="1" si="23"/>
        <v>-565000</v>
      </c>
      <c r="L53" s="27">
        <f t="shared" ca="1" si="23"/>
        <v>-565000</v>
      </c>
      <c r="M53" s="27">
        <f t="shared" ca="1" si="23"/>
        <v>-565000</v>
      </c>
      <c r="N53" s="27">
        <f t="shared" ca="1" si="23"/>
        <v>-565000</v>
      </c>
      <c r="O53" s="27">
        <f t="shared" ca="1" si="23"/>
        <v>-565000</v>
      </c>
      <c r="P53" s="27">
        <f t="shared" ca="1" si="23"/>
        <v>-565000</v>
      </c>
      <c r="Q53" s="27">
        <f t="shared" ca="1" si="23"/>
        <v>0</v>
      </c>
      <c r="R53" s="27">
        <f t="shared" ca="1" si="23"/>
        <v>0</v>
      </c>
      <c r="S53" s="27">
        <f t="shared" ca="1" si="23"/>
        <v>0</v>
      </c>
      <c r="T53" s="27">
        <f t="shared" ca="1" si="23"/>
        <v>0</v>
      </c>
      <c r="U53" s="27">
        <f t="shared" ca="1" si="23"/>
        <v>0</v>
      </c>
      <c r="V53" s="27">
        <f t="shared" ca="1" si="23"/>
        <v>0</v>
      </c>
      <c r="W53" s="27">
        <f t="shared" ca="1" si="23"/>
        <v>0</v>
      </c>
      <c r="X53" s="27">
        <f t="shared" ca="1" si="23"/>
        <v>0</v>
      </c>
      <c r="Y53" s="27">
        <f t="shared" ca="1" si="23"/>
        <v>0</v>
      </c>
      <c r="Z53" s="27">
        <f t="shared" ca="1" si="23"/>
        <v>0</v>
      </c>
    </row>
    <row r="54" spans="1:26" ht="13">
      <c r="A54" s="34"/>
      <c r="B54" s="34" t="s">
        <v>220</v>
      </c>
      <c r="C54" s="34"/>
      <c r="D54" s="34" t="s">
        <v>175</v>
      </c>
      <c r="E54" s="35">
        <f t="shared" si="17"/>
        <v>25000000</v>
      </c>
      <c r="F54" s="77"/>
      <c r="G54" s="35">
        <f>IF($C16=TRUE,G30*(1-'Get Started'!$E10),G30)</f>
        <v>25000000</v>
      </c>
      <c r="H54" s="35">
        <f>IF($C16=TRUE,H30*(1-'Get Started'!$E10),H30)</f>
        <v>0</v>
      </c>
      <c r="I54" s="35">
        <f>IF($C16=TRUE,I30*(1-'Get Started'!$E10),I30)</f>
        <v>0</v>
      </c>
      <c r="J54" s="35">
        <f>IF($C16=TRUE,J30*(1-'Get Started'!$E10),J30)</f>
        <v>0</v>
      </c>
      <c r="K54" s="35">
        <f>IF($C16=TRUE,K30*(1-'Get Started'!$E10),K30)</f>
        <v>0</v>
      </c>
      <c r="L54" s="35">
        <f>IF($C16=TRUE,L30*(1-'Get Started'!$E10),L30)</f>
        <v>0</v>
      </c>
      <c r="M54" s="35">
        <f>IF($C16=TRUE,M30*(1-'Get Started'!$E10),M30)</f>
        <v>0</v>
      </c>
      <c r="N54" s="35">
        <f>IF($C16=TRUE,N30*(1-'Get Started'!$E10),N30)</f>
        <v>0</v>
      </c>
      <c r="O54" s="35">
        <f>IF($C16=TRUE,O30*(1-'Get Started'!$E10),O30)</f>
        <v>0</v>
      </c>
      <c r="P54" s="35">
        <f>IF($C16=TRUE,P30*(1-'Get Started'!$E10),P30)</f>
        <v>0</v>
      </c>
      <c r="Q54" s="35">
        <f>IF($C16=TRUE,Q30*(1-'Get Started'!$E10),Q30)</f>
        <v>0</v>
      </c>
      <c r="R54" s="35">
        <f>IF($C16=TRUE,R30*(1-'Get Started'!$E10),R30)</f>
        <v>0</v>
      </c>
      <c r="S54" s="35">
        <f>IF($C16=TRUE,S30*(1-'Get Started'!$E10),S30)</f>
        <v>0</v>
      </c>
      <c r="T54" s="35">
        <f>IF($C16=TRUE,T30*(1-'Get Started'!$E10),T30)</f>
        <v>0</v>
      </c>
      <c r="U54" s="35">
        <f>IF($C16=TRUE,U30*(1-'Get Started'!$E10),U30)</f>
        <v>0</v>
      </c>
      <c r="V54" s="35">
        <f>IF($C16=TRUE,V30*(1-'Get Started'!$E10),V30)</f>
        <v>0</v>
      </c>
      <c r="W54" s="35">
        <f>IF($C16=TRUE,W30*(1-'Get Started'!$E10),W30)</f>
        <v>0</v>
      </c>
      <c r="X54" s="35">
        <f>IF($C16=TRUE,X30*(1-'Get Started'!$E10),X30)</f>
        <v>0</v>
      </c>
      <c r="Y54" s="35">
        <f>IF($C16=TRUE,Y30*(1-'Get Started'!$E10),Y30)</f>
        <v>0</v>
      </c>
      <c r="Z54" s="35">
        <f>IF($C16=TRUE,Z30*(1-'Get Started'!$E10),Z30)</f>
        <v>0</v>
      </c>
    </row>
    <row r="55" spans="1:26" ht="13">
      <c r="A55" s="34"/>
      <c r="B55" s="34" t="s">
        <v>221</v>
      </c>
      <c r="C55" s="34"/>
      <c r="D55" s="34" t="s">
        <v>175</v>
      </c>
      <c r="E55" s="35">
        <f t="shared" ca="1" si="17"/>
        <v>25000000</v>
      </c>
      <c r="F55" s="77"/>
      <c r="G55" s="35">
        <f ca="1">IF($C16=TRUE,G31*(1-'Get Started'!$E10),G31)</f>
        <v>5665000</v>
      </c>
      <c r="H55" s="35">
        <f ca="1">IF($C16=TRUE,H31*(1-'Get Started'!$E10),H31)</f>
        <v>5565000</v>
      </c>
      <c r="I55" s="35">
        <f ca="1">IF($C16=TRUE,I31*(1-'Get Started'!$E10),I31)</f>
        <v>5565000</v>
      </c>
      <c r="J55" s="35">
        <f ca="1">IF($C16=TRUE,J31*(1-'Get Started'!$E10),J31)</f>
        <v>4815000</v>
      </c>
      <c r="K55" s="35">
        <f ca="1">IF($C16=TRUE,K31*(1-'Get Started'!$E10),K31)</f>
        <v>565000</v>
      </c>
      <c r="L55" s="35">
        <f ca="1">IF($C16=TRUE,L31*(1-'Get Started'!$E10),L31)</f>
        <v>565000</v>
      </c>
      <c r="M55" s="35">
        <f ca="1">IF($C16=TRUE,M31*(1-'Get Started'!$E10),M31)</f>
        <v>565000</v>
      </c>
      <c r="N55" s="35">
        <f ca="1">IF($C16=TRUE,N31*(1-'Get Started'!$E10),N31)</f>
        <v>565000</v>
      </c>
      <c r="O55" s="35">
        <f ca="1">IF($C16=TRUE,O31*(1-'Get Started'!$E10),O31)</f>
        <v>565000</v>
      </c>
      <c r="P55" s="35">
        <f ca="1">IF($C16=TRUE,P31*(1-'Get Started'!$E10),P31)</f>
        <v>565000</v>
      </c>
      <c r="Q55" s="35">
        <f ca="1">IF($C16=TRUE,Q31*(1-'Get Started'!$E10),Q31)</f>
        <v>0</v>
      </c>
      <c r="R55" s="35">
        <f ca="1">IF($C16=TRUE,R31*(1-'Get Started'!$E10),R31)</f>
        <v>0</v>
      </c>
      <c r="S55" s="35">
        <f ca="1">IF($C16=TRUE,S31*(1-'Get Started'!$E10),S31)</f>
        <v>0</v>
      </c>
      <c r="T55" s="35">
        <f ca="1">IF($C16=TRUE,T31*(1-'Get Started'!$E10),T31)</f>
        <v>0</v>
      </c>
      <c r="U55" s="35">
        <f ca="1">IF($C16=TRUE,U31*(1-'Get Started'!$E10),U31)</f>
        <v>0</v>
      </c>
      <c r="V55" s="35">
        <f ca="1">IF($C16=TRUE,V31*(1-'Get Started'!$E10),V31)</f>
        <v>0</v>
      </c>
      <c r="W55" s="35">
        <f ca="1">IF($C16=TRUE,W31*(1-'Get Started'!$E10),W31)</f>
        <v>0</v>
      </c>
      <c r="X55" s="35">
        <f ca="1">IF($C16=TRUE,X31*(1-'Get Started'!$E10),X31)</f>
        <v>0</v>
      </c>
      <c r="Y55" s="35">
        <f ca="1">IF($C16=TRUE,Y31*(1-'Get Started'!$E10),Y31)</f>
        <v>0</v>
      </c>
      <c r="Z55" s="35">
        <f ca="1">IF($C16=TRUE,Z31*(1-'Get Started'!$E10),Z31)</f>
        <v>0</v>
      </c>
    </row>
    <row r="56" spans="1:26" ht="13">
      <c r="A56" s="34"/>
      <c r="B56" s="34" t="str">
        <f>B50&amp;", from LPs"</f>
        <v>Change in Invested Capital, from LPs</v>
      </c>
      <c r="C56" s="34"/>
      <c r="D56" s="34" t="s">
        <v>175</v>
      </c>
      <c r="E56" s="35">
        <f t="shared" ca="1" si="17"/>
        <v>0</v>
      </c>
      <c r="F56" s="77"/>
      <c r="G56" s="35">
        <f ca="1">IF($C16=TRUE,G50*(1-'Get Started'!$E10),G50)</f>
        <v>5000000</v>
      </c>
      <c r="H56" s="35">
        <f ca="1">IF($C16=TRUE,H50*(1-'Get Started'!$E10),H50)</f>
        <v>4000000</v>
      </c>
      <c r="I56" s="35">
        <f ca="1">IF($C16=TRUE,I50*(1-'Get Started'!$E10),I50)</f>
        <v>5000000</v>
      </c>
      <c r="J56" s="35">
        <f ca="1">IF($C16=TRUE,J50*(1-'Get Started'!$E10),J50)</f>
        <v>-750000</v>
      </c>
      <c r="K56" s="35">
        <f ca="1">IF($C16=TRUE,K50*(1-'Get Started'!$E10),K50)</f>
        <v>-3000000</v>
      </c>
      <c r="L56" s="35">
        <f ca="1">IF($C16=TRUE,L50*(1-'Get Started'!$E10),L50)</f>
        <v>-2000000</v>
      </c>
      <c r="M56" s="35">
        <f ca="1">IF($C16=TRUE,M50*(1-'Get Started'!$E10),M50)</f>
        <v>-2000000</v>
      </c>
      <c r="N56" s="35">
        <f ca="1">IF($C16=TRUE,N50*(1-'Get Started'!$E10),N50)</f>
        <v>-5000000</v>
      </c>
      <c r="O56" s="35">
        <f ca="1">IF($C16=TRUE,O50*(1-'Get Started'!$E10),O50)</f>
        <v>-250000</v>
      </c>
      <c r="P56" s="35">
        <f ca="1">IF($C16=TRUE,P50*(1-'Get Started'!$E10),P50)</f>
        <v>-1000000</v>
      </c>
      <c r="Q56" s="35">
        <f ca="1">IF($C16=TRUE,Q50*(1-'Get Started'!$E10),Q50)</f>
        <v>0</v>
      </c>
      <c r="R56" s="35">
        <f ca="1">IF($C16=TRUE,R50*(1-'Get Started'!$E10),R50)</f>
        <v>0</v>
      </c>
      <c r="S56" s="35">
        <f ca="1">IF($C16=TRUE,S50*(1-'Get Started'!$E10),S50)</f>
        <v>0</v>
      </c>
      <c r="T56" s="35">
        <f ca="1">IF($C16=TRUE,T50*(1-'Get Started'!$E10),T50)</f>
        <v>0</v>
      </c>
      <c r="U56" s="35">
        <f ca="1">IF($C16=TRUE,U50*(1-'Get Started'!$E10),U50)</f>
        <v>0</v>
      </c>
      <c r="V56" s="35">
        <f ca="1">IF($C16=TRUE,V50*(1-'Get Started'!$E10),V50)</f>
        <v>0</v>
      </c>
      <c r="W56" s="35">
        <f ca="1">IF($C16=TRUE,W50*(1-'Get Started'!$E10),W50)</f>
        <v>0</v>
      </c>
      <c r="X56" s="35">
        <f ca="1">IF($C16=TRUE,X50*(1-'Get Started'!$E10),X50)</f>
        <v>0</v>
      </c>
      <c r="Y56" s="35">
        <f ca="1">IF($C16=TRUE,Y50*(1-'Get Started'!$E10),Y50)</f>
        <v>0</v>
      </c>
      <c r="Z56" s="35">
        <f ca="1">IF($C16=TRUE,Z50*(1-'Get Started'!$E10),Z50)</f>
        <v>0</v>
      </c>
    </row>
    <row r="57" spans="1:26" ht="13">
      <c r="A57" s="34"/>
      <c r="B57" s="34" t="s">
        <v>222</v>
      </c>
      <c r="C57" s="34"/>
      <c r="D57" s="34" t="s">
        <v>175</v>
      </c>
      <c r="E57" s="35">
        <f t="shared" ca="1" si="17"/>
        <v>79536800</v>
      </c>
      <c r="F57" s="77"/>
      <c r="G57" s="35">
        <f t="shared" ref="G57:Z57" ca="1" si="24">G47-G58+G46+G45</f>
        <v>0</v>
      </c>
      <c r="H57" s="35">
        <f t="shared" ca="1" si="24"/>
        <v>1312945.4545454546</v>
      </c>
      <c r="I57" s="35">
        <f t="shared" ca="1" si="24"/>
        <v>0</v>
      </c>
      <c r="J57" s="35">
        <f t="shared" ca="1" si="24"/>
        <v>32083927.27272727</v>
      </c>
      <c r="K57" s="35">
        <f t="shared" ca="1" si="24"/>
        <v>5859636.3636363642</v>
      </c>
      <c r="L57" s="35">
        <f t="shared" ca="1" si="24"/>
        <v>0</v>
      </c>
      <c r="M57" s="35">
        <f t="shared" ca="1" si="24"/>
        <v>6506181.8181818174</v>
      </c>
      <c r="N57" s="35">
        <f t="shared" ca="1" si="24"/>
        <v>13032727.272727273</v>
      </c>
      <c r="O57" s="35">
        <f t="shared" ca="1" si="24"/>
        <v>886836.36363636376</v>
      </c>
      <c r="P57" s="35">
        <f t="shared" ca="1" si="24"/>
        <v>19854545.454545453</v>
      </c>
      <c r="Q57" s="35">
        <f t="shared" ca="1" si="24"/>
        <v>0</v>
      </c>
      <c r="R57" s="35">
        <f t="shared" ca="1" si="24"/>
        <v>0</v>
      </c>
      <c r="S57" s="35">
        <f t="shared" ca="1" si="24"/>
        <v>0</v>
      </c>
      <c r="T57" s="35">
        <f t="shared" ca="1" si="24"/>
        <v>0</v>
      </c>
      <c r="U57" s="35">
        <f t="shared" ca="1" si="24"/>
        <v>0</v>
      </c>
      <c r="V57" s="35">
        <f t="shared" ca="1" si="24"/>
        <v>0</v>
      </c>
      <c r="W57" s="35">
        <f t="shared" ca="1" si="24"/>
        <v>0</v>
      </c>
      <c r="X57" s="35">
        <f t="shared" ca="1" si="24"/>
        <v>0</v>
      </c>
      <c r="Y57" s="35">
        <f t="shared" ca="1" si="24"/>
        <v>0</v>
      </c>
      <c r="Z57" s="35">
        <f t="shared" ca="1" si="24"/>
        <v>0</v>
      </c>
    </row>
    <row r="58" spans="1:26" ht="13">
      <c r="A58" s="34"/>
      <c r="B58" s="34" t="s">
        <v>223</v>
      </c>
      <c r="C58" s="34"/>
      <c r="D58" s="34" t="s">
        <v>175</v>
      </c>
      <c r="E58" s="35">
        <f t="shared" ca="1" si="17"/>
        <v>15663200</v>
      </c>
      <c r="F58" s="77"/>
      <c r="G58" s="35">
        <f ca="1">IF($C16=TRUE,G46+G45,G46+G45+G47*'Get Started'!$E10)</f>
        <v>0</v>
      </c>
      <c r="H58" s="35">
        <f ca="1">IF($C16=TRUE,H46+H45,H46+H45+H47*'Get Started'!$E10)</f>
        <v>37054.545454545463</v>
      </c>
      <c r="I58" s="35">
        <f ca="1">IF($C16=TRUE,I46+I45,I46+I45+I47*'Get Started'!$E10)</f>
        <v>0</v>
      </c>
      <c r="J58" s="35">
        <f ca="1">IF($C16=TRUE,J46+J45,J46+J45+J47*'Get Started'!$E10)</f>
        <v>7216072.7272727285</v>
      </c>
      <c r="K58" s="35">
        <f ca="1">IF($C16=TRUE,K46+K45,K46+K45+K47*'Get Started'!$E10)</f>
        <v>640363.63636363612</v>
      </c>
      <c r="L58" s="35">
        <f ca="1">IF($C16=TRUE,L46+L45,L46+L45+L47*'Get Started'!$E10)</f>
        <v>0</v>
      </c>
      <c r="M58" s="35">
        <f ca="1">IF($C16=TRUE,M46+M45,M46+M45+M47*'Get Started'!$E10)</f>
        <v>493818.18181818211</v>
      </c>
      <c r="N58" s="35">
        <f ca="1">IF($C16=TRUE,N46+N45,N46+N45+N47*'Get Started'!$E10)</f>
        <v>1967272.7272727271</v>
      </c>
      <c r="O58" s="35">
        <f ca="1">IF($C16=TRUE,O46+O45,O46+O45+O47*'Get Started'!$E10)</f>
        <v>163163.63636363627</v>
      </c>
      <c r="P58" s="35">
        <f ca="1">IF($C16=TRUE,P46+P45,P46+P45+P47*'Get Started'!$E10)</f>
        <v>5145454.5454545459</v>
      </c>
      <c r="Q58" s="35">
        <f ca="1">IF($C16=TRUE,Q46+Q45,Q46+Q45+Q47*'Get Started'!$E10)</f>
        <v>0</v>
      </c>
      <c r="R58" s="35">
        <f ca="1">IF($C16=TRUE,R46+R45,R46+R45+R47*'Get Started'!$E10)</f>
        <v>0</v>
      </c>
      <c r="S58" s="35">
        <f ca="1">IF($C16=TRUE,S46+S45,S46+S45+S47*'Get Started'!$E10)</f>
        <v>0</v>
      </c>
      <c r="T58" s="35">
        <f ca="1">IF($C16=TRUE,T46+T45,T46+T45+T47*'Get Started'!$E10)</f>
        <v>0</v>
      </c>
      <c r="U58" s="35">
        <f ca="1">IF($C16=TRUE,U46+U45,U46+U45+U47*'Get Started'!$E10)</f>
        <v>0</v>
      </c>
      <c r="V58" s="35">
        <f ca="1">IF($C16=TRUE,V46+V45,V46+V45+V47*'Get Started'!$E10)</f>
        <v>0</v>
      </c>
      <c r="W58" s="35">
        <f ca="1">IF($C16=TRUE,W46+W45,W46+W45+W47*'Get Started'!$E10)</f>
        <v>0</v>
      </c>
      <c r="X58" s="35">
        <f ca="1">IF($C16=TRUE,X46+X45,X46+X45+X47*'Get Started'!$E10)</f>
        <v>0</v>
      </c>
      <c r="Y58" s="35">
        <f ca="1">IF($C16=TRUE,Y46+Y45,Y46+Y45+Y47*'Get Started'!$E10)</f>
        <v>0</v>
      </c>
      <c r="Z58" s="35">
        <f ca="1">IF($C16=TRUE,Z46+Z45,Z46+Z45+Z47*'Get Started'!$E10)</f>
        <v>0</v>
      </c>
    </row>
    <row r="59" spans="1:26" ht="13">
      <c r="B59" s="13" t="str">
        <f t="shared" ref="B59:B87" si="25">"Cumulative "&amp;B30</f>
        <v>Cumulative Committed Capital</v>
      </c>
      <c r="C59" s="13"/>
      <c r="D59" s="13" t="s">
        <v>185</v>
      </c>
      <c r="E59" s="27">
        <f t="shared" si="17"/>
        <v>25000000</v>
      </c>
      <c r="F59" s="27"/>
      <c r="G59" s="27">
        <f t="shared" ref="G59:Z59" si="26">F59+G30</f>
        <v>25000000</v>
      </c>
      <c r="H59" s="27">
        <f t="shared" si="26"/>
        <v>25000000</v>
      </c>
      <c r="I59" s="27">
        <f t="shared" si="26"/>
        <v>25000000</v>
      </c>
      <c r="J59" s="27">
        <f t="shared" si="26"/>
        <v>25000000</v>
      </c>
      <c r="K59" s="27">
        <f t="shared" si="26"/>
        <v>25000000</v>
      </c>
      <c r="L59" s="27">
        <f t="shared" si="26"/>
        <v>25000000</v>
      </c>
      <c r="M59" s="27">
        <f t="shared" si="26"/>
        <v>25000000</v>
      </c>
      <c r="N59" s="27">
        <f t="shared" si="26"/>
        <v>25000000</v>
      </c>
      <c r="O59" s="27">
        <f t="shared" si="26"/>
        <v>25000000</v>
      </c>
      <c r="P59" s="27">
        <f t="shared" si="26"/>
        <v>25000000</v>
      </c>
      <c r="Q59" s="27">
        <f t="shared" si="26"/>
        <v>25000000</v>
      </c>
      <c r="R59" s="27">
        <f t="shared" si="26"/>
        <v>25000000</v>
      </c>
      <c r="S59" s="27">
        <f t="shared" si="26"/>
        <v>25000000</v>
      </c>
      <c r="T59" s="27">
        <f t="shared" si="26"/>
        <v>25000000</v>
      </c>
      <c r="U59" s="27">
        <f t="shared" si="26"/>
        <v>25000000</v>
      </c>
      <c r="V59" s="27">
        <f t="shared" si="26"/>
        <v>25000000</v>
      </c>
      <c r="W59" s="27">
        <f t="shared" si="26"/>
        <v>25000000</v>
      </c>
      <c r="X59" s="27">
        <f t="shared" si="26"/>
        <v>25000000</v>
      </c>
      <c r="Y59" s="27">
        <f t="shared" si="26"/>
        <v>25000000</v>
      </c>
      <c r="Z59" s="27">
        <f t="shared" si="26"/>
        <v>25000000</v>
      </c>
    </row>
    <row r="60" spans="1:26" ht="13">
      <c r="B60" s="13" t="str">
        <f t="shared" si="25"/>
        <v>Cumulative Called Capital</v>
      </c>
      <c r="C60" s="13"/>
      <c r="D60" s="13" t="s">
        <v>185</v>
      </c>
      <c r="E60" s="27">
        <f t="shared" ca="1" si="17"/>
        <v>25000000</v>
      </c>
      <c r="F60" s="27"/>
      <c r="G60" s="27">
        <f t="shared" ref="G60:Z60" ca="1" si="27">F60+G31</f>
        <v>5665000</v>
      </c>
      <c r="H60" s="27">
        <f t="shared" ca="1" si="27"/>
        <v>11230000</v>
      </c>
      <c r="I60" s="27">
        <f t="shared" ca="1" si="27"/>
        <v>16795000</v>
      </c>
      <c r="J60" s="27">
        <f t="shared" ca="1" si="27"/>
        <v>21610000</v>
      </c>
      <c r="K60" s="27">
        <f t="shared" ca="1" si="27"/>
        <v>22175000</v>
      </c>
      <c r="L60" s="27">
        <f t="shared" ca="1" si="27"/>
        <v>22740000</v>
      </c>
      <c r="M60" s="27">
        <f t="shared" ca="1" si="27"/>
        <v>23305000</v>
      </c>
      <c r="N60" s="27">
        <f t="shared" ca="1" si="27"/>
        <v>23870000</v>
      </c>
      <c r="O60" s="27">
        <f t="shared" ca="1" si="27"/>
        <v>24435000</v>
      </c>
      <c r="P60" s="27">
        <f t="shared" ca="1" si="27"/>
        <v>25000000</v>
      </c>
      <c r="Q60" s="27">
        <f t="shared" ca="1" si="27"/>
        <v>25000000</v>
      </c>
      <c r="R60" s="27">
        <f t="shared" ca="1" si="27"/>
        <v>25000000</v>
      </c>
      <c r="S60" s="27">
        <f t="shared" ca="1" si="27"/>
        <v>25000000</v>
      </c>
      <c r="T60" s="27">
        <f t="shared" ca="1" si="27"/>
        <v>25000000</v>
      </c>
      <c r="U60" s="27">
        <f t="shared" ca="1" si="27"/>
        <v>25000000</v>
      </c>
      <c r="V60" s="27">
        <f t="shared" ca="1" si="27"/>
        <v>25000000</v>
      </c>
      <c r="W60" s="27">
        <f t="shared" ca="1" si="27"/>
        <v>25000000</v>
      </c>
      <c r="X60" s="27">
        <f t="shared" ca="1" si="27"/>
        <v>25000000</v>
      </c>
      <c r="Y60" s="27">
        <f t="shared" ca="1" si="27"/>
        <v>25000000</v>
      </c>
      <c r="Z60" s="27">
        <f t="shared" ca="1" si="27"/>
        <v>25000000</v>
      </c>
    </row>
    <row r="61" spans="1:26" ht="13">
      <c r="B61" s="13" t="str">
        <f t="shared" si="25"/>
        <v>Cumulative Manual Investments</v>
      </c>
      <c r="C61" s="13"/>
      <c r="D61" s="13" t="s">
        <v>185</v>
      </c>
      <c r="E61" s="27">
        <f t="shared" si="17"/>
        <v>0</v>
      </c>
      <c r="F61" s="27"/>
      <c r="G61" s="27">
        <f t="shared" ref="G61:Z61" si="28">F61+G32</f>
        <v>0</v>
      </c>
      <c r="H61" s="27">
        <f t="shared" si="28"/>
        <v>0</v>
      </c>
      <c r="I61" s="27">
        <f t="shared" si="28"/>
        <v>0</v>
      </c>
      <c r="J61" s="27">
        <f t="shared" si="28"/>
        <v>0</v>
      </c>
      <c r="K61" s="27">
        <f t="shared" si="28"/>
        <v>0</v>
      </c>
      <c r="L61" s="27">
        <f t="shared" si="28"/>
        <v>0</v>
      </c>
      <c r="M61" s="27">
        <f t="shared" si="28"/>
        <v>0</v>
      </c>
      <c r="N61" s="27">
        <f t="shared" si="28"/>
        <v>0</v>
      </c>
      <c r="O61" s="27">
        <f t="shared" si="28"/>
        <v>0</v>
      </c>
      <c r="P61" s="27">
        <f t="shared" si="28"/>
        <v>0</v>
      </c>
      <c r="Q61" s="27">
        <f t="shared" si="28"/>
        <v>0</v>
      </c>
      <c r="R61" s="27">
        <f t="shared" si="28"/>
        <v>0</v>
      </c>
      <c r="S61" s="27">
        <f t="shared" si="28"/>
        <v>0</v>
      </c>
      <c r="T61" s="27">
        <f t="shared" si="28"/>
        <v>0</v>
      </c>
      <c r="U61" s="27">
        <f t="shared" si="28"/>
        <v>0</v>
      </c>
      <c r="V61" s="27">
        <f t="shared" si="28"/>
        <v>0</v>
      </c>
      <c r="W61" s="27">
        <f t="shared" si="28"/>
        <v>0</v>
      </c>
      <c r="X61" s="27">
        <f t="shared" si="28"/>
        <v>0</v>
      </c>
      <c r="Y61" s="27">
        <f t="shared" si="28"/>
        <v>0</v>
      </c>
      <c r="Z61" s="27">
        <f t="shared" si="28"/>
        <v>0</v>
      </c>
    </row>
    <row r="62" spans="1:26" ht="13">
      <c r="B62" s="13" t="str">
        <f t="shared" si="25"/>
        <v>Cumulative New Investments</v>
      </c>
      <c r="C62" s="13"/>
      <c r="D62" s="13" t="s">
        <v>185</v>
      </c>
      <c r="E62" s="27">
        <f t="shared" ca="1" si="17"/>
        <v>19250000</v>
      </c>
      <c r="F62" s="27"/>
      <c r="G62" s="27">
        <f t="shared" ref="G62:Z62" ca="1" si="29">F62+G33</f>
        <v>5000000</v>
      </c>
      <c r="H62" s="27">
        <f t="shared" ca="1" si="29"/>
        <v>10000000</v>
      </c>
      <c r="I62" s="27">
        <f t="shared" ca="1" si="29"/>
        <v>15000000</v>
      </c>
      <c r="J62" s="27">
        <f t="shared" ca="1" si="29"/>
        <v>19250000</v>
      </c>
      <c r="K62" s="27">
        <f t="shared" ca="1" si="29"/>
        <v>19250000</v>
      </c>
      <c r="L62" s="27">
        <f t="shared" ca="1" si="29"/>
        <v>19250000</v>
      </c>
      <c r="M62" s="27">
        <f t="shared" ca="1" si="29"/>
        <v>19250000</v>
      </c>
      <c r="N62" s="27">
        <f t="shared" ca="1" si="29"/>
        <v>19250000</v>
      </c>
      <c r="O62" s="27">
        <f t="shared" ca="1" si="29"/>
        <v>19250000</v>
      </c>
      <c r="P62" s="27">
        <f t="shared" ca="1" si="29"/>
        <v>19250000</v>
      </c>
      <c r="Q62" s="27">
        <f t="shared" ca="1" si="29"/>
        <v>19250000</v>
      </c>
      <c r="R62" s="27">
        <f t="shared" ca="1" si="29"/>
        <v>19250000</v>
      </c>
      <c r="S62" s="27">
        <f t="shared" ca="1" si="29"/>
        <v>19250000</v>
      </c>
      <c r="T62" s="27">
        <f t="shared" ca="1" si="29"/>
        <v>19250000</v>
      </c>
      <c r="U62" s="27">
        <f t="shared" ca="1" si="29"/>
        <v>19250000</v>
      </c>
      <c r="V62" s="27">
        <f t="shared" ca="1" si="29"/>
        <v>19250000</v>
      </c>
      <c r="W62" s="27">
        <f t="shared" ca="1" si="29"/>
        <v>19250000</v>
      </c>
      <c r="X62" s="27">
        <f t="shared" ca="1" si="29"/>
        <v>19250000</v>
      </c>
      <c r="Y62" s="27">
        <f t="shared" ca="1" si="29"/>
        <v>19250000</v>
      </c>
      <c r="Z62" s="27">
        <f t="shared" ca="1" si="29"/>
        <v>19250000</v>
      </c>
    </row>
    <row r="63" spans="1:26" ht="13">
      <c r="B63" s="13" t="str">
        <f t="shared" si="25"/>
        <v>Cumulative Prorata Opportunities</v>
      </c>
      <c r="C63" s="13"/>
      <c r="D63" s="13" t="s">
        <v>185</v>
      </c>
      <c r="E63" s="27">
        <f t="shared" si="17"/>
        <v>0</v>
      </c>
      <c r="F63" s="27"/>
      <c r="G63" s="27">
        <f t="shared" ref="G63:Z63" si="30">F63+G34</f>
        <v>0</v>
      </c>
      <c r="H63" s="27">
        <f t="shared" si="30"/>
        <v>0</v>
      </c>
      <c r="I63" s="27">
        <f t="shared" si="30"/>
        <v>0</v>
      </c>
      <c r="J63" s="27">
        <f t="shared" si="30"/>
        <v>0</v>
      </c>
      <c r="K63" s="27">
        <f t="shared" si="30"/>
        <v>0</v>
      </c>
      <c r="L63" s="27">
        <f t="shared" si="30"/>
        <v>0</v>
      </c>
      <c r="M63" s="27">
        <f t="shared" si="30"/>
        <v>0</v>
      </c>
      <c r="N63" s="27">
        <f t="shared" si="30"/>
        <v>0</v>
      </c>
      <c r="O63" s="27">
        <f t="shared" si="30"/>
        <v>0</v>
      </c>
      <c r="P63" s="27">
        <f t="shared" si="30"/>
        <v>0</v>
      </c>
      <c r="Q63" s="27">
        <f t="shared" si="30"/>
        <v>0</v>
      </c>
      <c r="R63" s="27">
        <f t="shared" si="30"/>
        <v>0</v>
      </c>
      <c r="S63" s="27">
        <f t="shared" si="30"/>
        <v>0</v>
      </c>
      <c r="T63" s="27">
        <f t="shared" si="30"/>
        <v>0</v>
      </c>
      <c r="U63" s="27">
        <f t="shared" si="30"/>
        <v>0</v>
      </c>
      <c r="V63" s="27">
        <f t="shared" si="30"/>
        <v>0</v>
      </c>
      <c r="W63" s="27">
        <f t="shared" si="30"/>
        <v>0</v>
      </c>
      <c r="X63" s="27">
        <f t="shared" si="30"/>
        <v>0</v>
      </c>
      <c r="Y63" s="27">
        <f t="shared" si="30"/>
        <v>0</v>
      </c>
      <c r="Z63" s="27">
        <f t="shared" si="30"/>
        <v>0</v>
      </c>
    </row>
    <row r="64" spans="1:26" ht="13">
      <c r="B64" s="13" t="str">
        <f t="shared" si="25"/>
        <v>Cumulative Reserves for Follow on</v>
      </c>
      <c r="C64" s="13"/>
      <c r="D64" s="13" t="s">
        <v>185</v>
      </c>
      <c r="E64" s="27">
        <f t="shared" si="17"/>
        <v>0</v>
      </c>
      <c r="F64" s="27"/>
      <c r="G64" s="27">
        <f t="shared" ref="G64:Z64" si="31">F64+G35</f>
        <v>0</v>
      </c>
      <c r="H64" s="27">
        <f t="shared" si="31"/>
        <v>0</v>
      </c>
      <c r="I64" s="27">
        <f t="shared" si="31"/>
        <v>0</v>
      </c>
      <c r="J64" s="27">
        <f t="shared" si="31"/>
        <v>0</v>
      </c>
      <c r="K64" s="27">
        <f t="shared" si="31"/>
        <v>0</v>
      </c>
      <c r="L64" s="27">
        <f t="shared" si="31"/>
        <v>0</v>
      </c>
      <c r="M64" s="27">
        <f t="shared" si="31"/>
        <v>0</v>
      </c>
      <c r="N64" s="27">
        <f t="shared" si="31"/>
        <v>0</v>
      </c>
      <c r="O64" s="27">
        <f t="shared" si="31"/>
        <v>0</v>
      </c>
      <c r="P64" s="27">
        <f t="shared" si="31"/>
        <v>0</v>
      </c>
      <c r="Q64" s="27">
        <f t="shared" si="31"/>
        <v>0</v>
      </c>
      <c r="R64" s="27">
        <f t="shared" si="31"/>
        <v>0</v>
      </c>
      <c r="S64" s="27">
        <f t="shared" si="31"/>
        <v>0</v>
      </c>
      <c r="T64" s="27">
        <f t="shared" si="31"/>
        <v>0</v>
      </c>
      <c r="U64" s="27">
        <f t="shared" si="31"/>
        <v>0</v>
      </c>
      <c r="V64" s="27">
        <f t="shared" si="31"/>
        <v>0</v>
      </c>
      <c r="W64" s="27">
        <f t="shared" si="31"/>
        <v>0</v>
      </c>
      <c r="X64" s="27">
        <f t="shared" si="31"/>
        <v>0</v>
      </c>
      <c r="Y64" s="27">
        <f t="shared" si="31"/>
        <v>0</v>
      </c>
      <c r="Z64" s="27">
        <f t="shared" si="31"/>
        <v>0</v>
      </c>
    </row>
    <row r="65" spans="2:26" ht="13">
      <c r="B65" s="13" t="str">
        <f t="shared" si="25"/>
        <v>Cumulative Follow on Investments</v>
      </c>
      <c r="C65" s="13"/>
      <c r="D65" s="13" t="s">
        <v>185</v>
      </c>
      <c r="E65" s="27">
        <f t="shared" ca="1" si="17"/>
        <v>0</v>
      </c>
      <c r="F65" s="27"/>
      <c r="G65" s="27">
        <f t="shared" ref="G65:Z65" ca="1" si="32">F65+G36</f>
        <v>0</v>
      </c>
      <c r="H65" s="27">
        <f t="shared" ca="1" si="32"/>
        <v>0</v>
      </c>
      <c r="I65" s="27">
        <f t="shared" ca="1" si="32"/>
        <v>0</v>
      </c>
      <c r="J65" s="27">
        <f t="shared" ca="1" si="32"/>
        <v>0</v>
      </c>
      <c r="K65" s="27">
        <f t="shared" ca="1" si="32"/>
        <v>0</v>
      </c>
      <c r="L65" s="27">
        <f t="shared" ca="1" si="32"/>
        <v>0</v>
      </c>
      <c r="M65" s="27">
        <f t="shared" ca="1" si="32"/>
        <v>0</v>
      </c>
      <c r="N65" s="27">
        <f t="shared" ca="1" si="32"/>
        <v>0</v>
      </c>
      <c r="O65" s="27">
        <f t="shared" ca="1" si="32"/>
        <v>0</v>
      </c>
      <c r="P65" s="27">
        <f t="shared" ca="1" si="32"/>
        <v>0</v>
      </c>
      <c r="Q65" s="27">
        <f t="shared" ca="1" si="32"/>
        <v>0</v>
      </c>
      <c r="R65" s="27">
        <f t="shared" ca="1" si="32"/>
        <v>0</v>
      </c>
      <c r="S65" s="27">
        <f t="shared" ca="1" si="32"/>
        <v>0</v>
      </c>
      <c r="T65" s="27">
        <f t="shared" ca="1" si="32"/>
        <v>0</v>
      </c>
      <c r="U65" s="27">
        <f t="shared" ca="1" si="32"/>
        <v>0</v>
      </c>
      <c r="V65" s="27">
        <f t="shared" ca="1" si="32"/>
        <v>0</v>
      </c>
      <c r="W65" s="27">
        <f t="shared" ca="1" si="32"/>
        <v>0</v>
      </c>
      <c r="X65" s="27">
        <f t="shared" ca="1" si="32"/>
        <v>0</v>
      </c>
      <c r="Y65" s="27">
        <f t="shared" ca="1" si="32"/>
        <v>0</v>
      </c>
      <c r="Z65" s="27">
        <f t="shared" ca="1" si="32"/>
        <v>0</v>
      </c>
    </row>
    <row r="66" spans="2:26" ht="13">
      <c r="B66" s="13" t="str">
        <f t="shared" si="25"/>
        <v>Cumulative Total Investments, by cohort of New Investments</v>
      </c>
      <c r="C66" s="13"/>
      <c r="D66" s="13" t="s">
        <v>185</v>
      </c>
      <c r="E66" s="27">
        <f t="shared" si="17"/>
        <v>0</v>
      </c>
      <c r="F66" s="27"/>
      <c r="G66" s="27">
        <f t="shared" ref="G66:Z66" si="33">F66+G37</f>
        <v>0</v>
      </c>
      <c r="H66" s="27">
        <f t="shared" si="33"/>
        <v>0</v>
      </c>
      <c r="I66" s="27">
        <f t="shared" si="33"/>
        <v>0</v>
      </c>
      <c r="J66" s="27">
        <f t="shared" si="33"/>
        <v>0</v>
      </c>
      <c r="K66" s="27">
        <f t="shared" si="33"/>
        <v>0</v>
      </c>
      <c r="L66" s="27">
        <f t="shared" si="33"/>
        <v>0</v>
      </c>
      <c r="M66" s="27">
        <f t="shared" si="33"/>
        <v>0</v>
      </c>
      <c r="N66" s="27">
        <f t="shared" si="33"/>
        <v>0</v>
      </c>
      <c r="O66" s="27">
        <f t="shared" si="33"/>
        <v>0</v>
      </c>
      <c r="P66" s="27">
        <f t="shared" si="33"/>
        <v>0</v>
      </c>
      <c r="Q66" s="27">
        <f t="shared" si="33"/>
        <v>0</v>
      </c>
      <c r="R66" s="27">
        <f t="shared" si="33"/>
        <v>0</v>
      </c>
      <c r="S66" s="27">
        <f t="shared" si="33"/>
        <v>0</v>
      </c>
      <c r="T66" s="27">
        <f t="shared" si="33"/>
        <v>0</v>
      </c>
      <c r="U66" s="27">
        <f t="shared" si="33"/>
        <v>0</v>
      </c>
      <c r="V66" s="27">
        <f t="shared" si="33"/>
        <v>0</v>
      </c>
      <c r="W66" s="27">
        <f t="shared" si="33"/>
        <v>0</v>
      </c>
      <c r="X66" s="27">
        <f t="shared" si="33"/>
        <v>0</v>
      </c>
      <c r="Y66" s="27">
        <f t="shared" si="33"/>
        <v>0</v>
      </c>
      <c r="Z66" s="27">
        <f t="shared" si="33"/>
        <v>0</v>
      </c>
    </row>
    <row r="67" spans="2:26" ht="13">
      <c r="B67" s="13" t="str">
        <f t="shared" si="25"/>
        <v>Cumulative Total Investments</v>
      </c>
      <c r="C67" s="13"/>
      <c r="D67" s="13" t="s">
        <v>185</v>
      </c>
      <c r="E67" s="27">
        <f t="shared" ca="1" si="17"/>
        <v>19250000</v>
      </c>
      <c r="F67" s="27"/>
      <c r="G67" s="27">
        <f t="shared" ref="G67:Z67" ca="1" si="34">F67+G38</f>
        <v>5000000</v>
      </c>
      <c r="H67" s="27">
        <f t="shared" ca="1" si="34"/>
        <v>10000000</v>
      </c>
      <c r="I67" s="27">
        <f t="shared" ca="1" si="34"/>
        <v>15000000</v>
      </c>
      <c r="J67" s="27">
        <f t="shared" ca="1" si="34"/>
        <v>19250000</v>
      </c>
      <c r="K67" s="27">
        <f t="shared" ca="1" si="34"/>
        <v>19250000</v>
      </c>
      <c r="L67" s="27">
        <f t="shared" ca="1" si="34"/>
        <v>19250000</v>
      </c>
      <c r="M67" s="27">
        <f t="shared" ca="1" si="34"/>
        <v>19250000</v>
      </c>
      <c r="N67" s="27">
        <f t="shared" ca="1" si="34"/>
        <v>19250000</v>
      </c>
      <c r="O67" s="27">
        <f t="shared" ca="1" si="34"/>
        <v>19250000</v>
      </c>
      <c r="P67" s="27">
        <f t="shared" ca="1" si="34"/>
        <v>19250000</v>
      </c>
      <c r="Q67" s="27">
        <f t="shared" ca="1" si="34"/>
        <v>19250000</v>
      </c>
      <c r="R67" s="27">
        <f t="shared" ca="1" si="34"/>
        <v>19250000</v>
      </c>
      <c r="S67" s="27">
        <f t="shared" ca="1" si="34"/>
        <v>19250000</v>
      </c>
      <c r="T67" s="27">
        <f t="shared" ca="1" si="34"/>
        <v>19250000</v>
      </c>
      <c r="U67" s="27">
        <f t="shared" ca="1" si="34"/>
        <v>19250000</v>
      </c>
      <c r="V67" s="27">
        <f t="shared" ca="1" si="34"/>
        <v>19250000</v>
      </c>
      <c r="W67" s="27">
        <f t="shared" ca="1" si="34"/>
        <v>19250000</v>
      </c>
      <c r="X67" s="27">
        <f t="shared" ca="1" si="34"/>
        <v>19250000</v>
      </c>
      <c r="Y67" s="27">
        <f t="shared" ca="1" si="34"/>
        <v>19250000</v>
      </c>
      <c r="Z67" s="27">
        <f t="shared" ca="1" si="34"/>
        <v>19250000</v>
      </c>
    </row>
    <row r="68" spans="2:26" ht="13">
      <c r="B68" s="13" t="str">
        <f t="shared" si="25"/>
        <v>Cumulative Organizational Expenses</v>
      </c>
      <c r="C68" s="13"/>
      <c r="D68" s="13" t="s">
        <v>185</v>
      </c>
      <c r="E68" s="27">
        <f t="shared" si="17"/>
        <v>100000</v>
      </c>
      <c r="F68" s="27"/>
      <c r="G68" s="27">
        <f t="shared" ref="G68:Z68" si="35">F68+G39</f>
        <v>100000</v>
      </c>
      <c r="H68" s="27">
        <f t="shared" si="35"/>
        <v>100000</v>
      </c>
      <c r="I68" s="27">
        <f t="shared" si="35"/>
        <v>100000</v>
      </c>
      <c r="J68" s="27">
        <f t="shared" si="35"/>
        <v>100000</v>
      </c>
      <c r="K68" s="27">
        <f t="shared" si="35"/>
        <v>100000</v>
      </c>
      <c r="L68" s="27">
        <f t="shared" si="35"/>
        <v>100000</v>
      </c>
      <c r="M68" s="27">
        <f t="shared" si="35"/>
        <v>100000</v>
      </c>
      <c r="N68" s="27">
        <f t="shared" si="35"/>
        <v>100000</v>
      </c>
      <c r="O68" s="27">
        <f t="shared" si="35"/>
        <v>100000</v>
      </c>
      <c r="P68" s="27">
        <f t="shared" si="35"/>
        <v>100000</v>
      </c>
      <c r="Q68" s="27">
        <f t="shared" si="35"/>
        <v>100000</v>
      </c>
      <c r="R68" s="27">
        <f t="shared" si="35"/>
        <v>100000</v>
      </c>
      <c r="S68" s="27">
        <f t="shared" si="35"/>
        <v>100000</v>
      </c>
      <c r="T68" s="27">
        <f t="shared" si="35"/>
        <v>100000</v>
      </c>
      <c r="U68" s="27">
        <f t="shared" si="35"/>
        <v>100000</v>
      </c>
      <c r="V68" s="27">
        <f t="shared" si="35"/>
        <v>100000</v>
      </c>
      <c r="W68" s="27">
        <f t="shared" si="35"/>
        <v>100000</v>
      </c>
      <c r="X68" s="27">
        <f t="shared" si="35"/>
        <v>100000</v>
      </c>
      <c r="Y68" s="27">
        <f t="shared" si="35"/>
        <v>100000</v>
      </c>
      <c r="Z68" s="27">
        <f t="shared" si="35"/>
        <v>100000</v>
      </c>
    </row>
    <row r="69" spans="2:26" ht="13">
      <c r="B69" s="13" t="str">
        <f t="shared" si="25"/>
        <v>Cumulative Operational Expenses</v>
      </c>
      <c r="C69" s="13"/>
      <c r="D69" s="13" t="s">
        <v>185</v>
      </c>
      <c r="E69" s="27">
        <f t="shared" ca="1" si="17"/>
        <v>750000</v>
      </c>
      <c r="F69" s="27"/>
      <c r="G69" s="27">
        <f t="shared" ref="G69:Z69" ca="1" si="36">F69+G40</f>
        <v>75000</v>
      </c>
      <c r="H69" s="27">
        <f t="shared" ca="1" si="36"/>
        <v>150000</v>
      </c>
      <c r="I69" s="27">
        <f t="shared" ca="1" si="36"/>
        <v>225000</v>
      </c>
      <c r="J69" s="27">
        <f t="shared" ca="1" si="36"/>
        <v>300000</v>
      </c>
      <c r="K69" s="27">
        <f t="shared" ca="1" si="36"/>
        <v>375000</v>
      </c>
      <c r="L69" s="27">
        <f t="shared" ca="1" si="36"/>
        <v>450000</v>
      </c>
      <c r="M69" s="27">
        <f t="shared" ca="1" si="36"/>
        <v>525000</v>
      </c>
      <c r="N69" s="27">
        <f t="shared" ca="1" si="36"/>
        <v>600000</v>
      </c>
      <c r="O69" s="27">
        <f t="shared" ca="1" si="36"/>
        <v>675000</v>
      </c>
      <c r="P69" s="27">
        <f t="shared" ca="1" si="36"/>
        <v>750000</v>
      </c>
      <c r="Q69" s="27">
        <f t="shared" ca="1" si="36"/>
        <v>750000</v>
      </c>
      <c r="R69" s="27">
        <f t="shared" ca="1" si="36"/>
        <v>750000</v>
      </c>
      <c r="S69" s="27">
        <f t="shared" ca="1" si="36"/>
        <v>750000</v>
      </c>
      <c r="T69" s="27">
        <f t="shared" ca="1" si="36"/>
        <v>750000</v>
      </c>
      <c r="U69" s="27">
        <f t="shared" ca="1" si="36"/>
        <v>750000</v>
      </c>
      <c r="V69" s="27">
        <f t="shared" ca="1" si="36"/>
        <v>750000</v>
      </c>
      <c r="W69" s="27">
        <f t="shared" ca="1" si="36"/>
        <v>750000</v>
      </c>
      <c r="X69" s="27">
        <f t="shared" ca="1" si="36"/>
        <v>750000</v>
      </c>
      <c r="Y69" s="27">
        <f t="shared" ca="1" si="36"/>
        <v>750000</v>
      </c>
      <c r="Z69" s="27">
        <f t="shared" ca="1" si="36"/>
        <v>750000</v>
      </c>
    </row>
    <row r="70" spans="2:26" ht="13">
      <c r="B70" s="13" t="str">
        <f t="shared" si="25"/>
        <v>Cumulative Management Fees</v>
      </c>
      <c r="C70" s="13"/>
      <c r="D70" s="13" t="s">
        <v>185</v>
      </c>
      <c r="E70" s="27">
        <f t="shared" ca="1" si="17"/>
        <v>4900000</v>
      </c>
      <c r="F70" s="27"/>
      <c r="G70" s="27">
        <f t="shared" ref="G70:Z70" ca="1" si="37">F70+G41</f>
        <v>490000</v>
      </c>
      <c r="H70" s="27">
        <f t="shared" ca="1" si="37"/>
        <v>980000</v>
      </c>
      <c r="I70" s="27">
        <f t="shared" ca="1" si="37"/>
        <v>1470000</v>
      </c>
      <c r="J70" s="27">
        <f t="shared" ca="1" si="37"/>
        <v>1960000</v>
      </c>
      <c r="K70" s="27">
        <f t="shared" ca="1" si="37"/>
        <v>2450000</v>
      </c>
      <c r="L70" s="27">
        <f t="shared" ca="1" si="37"/>
        <v>2940000</v>
      </c>
      <c r="M70" s="27">
        <f t="shared" ca="1" si="37"/>
        <v>3430000</v>
      </c>
      <c r="N70" s="27">
        <f t="shared" ca="1" si="37"/>
        <v>3920000</v>
      </c>
      <c r="O70" s="27">
        <f t="shared" ca="1" si="37"/>
        <v>4410000</v>
      </c>
      <c r="P70" s="27">
        <f t="shared" ca="1" si="37"/>
        <v>4900000</v>
      </c>
      <c r="Q70" s="27">
        <f t="shared" ca="1" si="37"/>
        <v>4900000</v>
      </c>
      <c r="R70" s="27">
        <f t="shared" ca="1" si="37"/>
        <v>4900000</v>
      </c>
      <c r="S70" s="27">
        <f t="shared" ca="1" si="37"/>
        <v>4900000</v>
      </c>
      <c r="T70" s="27">
        <f t="shared" ca="1" si="37"/>
        <v>4900000</v>
      </c>
      <c r="U70" s="27">
        <f t="shared" ca="1" si="37"/>
        <v>4900000</v>
      </c>
      <c r="V70" s="27">
        <f t="shared" ca="1" si="37"/>
        <v>4900000</v>
      </c>
      <c r="W70" s="27">
        <f t="shared" ca="1" si="37"/>
        <v>4900000</v>
      </c>
      <c r="X70" s="27">
        <f t="shared" ca="1" si="37"/>
        <v>4900000</v>
      </c>
      <c r="Y70" s="27">
        <f t="shared" ca="1" si="37"/>
        <v>4900000</v>
      </c>
      <c r="Z70" s="27">
        <f t="shared" ca="1" si="37"/>
        <v>4900000</v>
      </c>
    </row>
    <row r="71" spans="2:26" ht="13">
      <c r="B71" s="13" t="str">
        <f t="shared" si="25"/>
        <v>Cumulative Recycled Capital</v>
      </c>
      <c r="C71" s="13"/>
      <c r="D71" s="13" t="s">
        <v>185</v>
      </c>
      <c r="E71" s="27">
        <f t="shared" ca="1" si="17"/>
        <v>0</v>
      </c>
      <c r="F71" s="27"/>
      <c r="G71" s="27">
        <f t="shared" ref="G71:Z71" ca="1" si="38">F71+G42</f>
        <v>0</v>
      </c>
      <c r="H71" s="27">
        <f t="shared" ca="1" si="38"/>
        <v>0</v>
      </c>
      <c r="I71" s="27">
        <f t="shared" ca="1" si="38"/>
        <v>0</v>
      </c>
      <c r="J71" s="27">
        <f t="shared" ca="1" si="38"/>
        <v>0</v>
      </c>
      <c r="K71" s="27">
        <f t="shared" ca="1" si="38"/>
        <v>0</v>
      </c>
      <c r="L71" s="27">
        <f t="shared" ca="1" si="38"/>
        <v>0</v>
      </c>
      <c r="M71" s="27">
        <f t="shared" ca="1" si="38"/>
        <v>0</v>
      </c>
      <c r="N71" s="27">
        <f t="shared" ca="1" si="38"/>
        <v>0</v>
      </c>
      <c r="O71" s="27">
        <f t="shared" ca="1" si="38"/>
        <v>0</v>
      </c>
      <c r="P71" s="27">
        <f t="shared" ca="1" si="38"/>
        <v>0</v>
      </c>
      <c r="Q71" s="27">
        <f t="shared" ca="1" si="38"/>
        <v>0</v>
      </c>
      <c r="R71" s="27">
        <f t="shared" ca="1" si="38"/>
        <v>0</v>
      </c>
      <c r="S71" s="27">
        <f t="shared" ca="1" si="38"/>
        <v>0</v>
      </c>
      <c r="T71" s="27">
        <f t="shared" ca="1" si="38"/>
        <v>0</v>
      </c>
      <c r="U71" s="27">
        <f t="shared" ca="1" si="38"/>
        <v>0</v>
      </c>
      <c r="V71" s="27">
        <f t="shared" ca="1" si="38"/>
        <v>0</v>
      </c>
      <c r="W71" s="27">
        <f t="shared" ca="1" si="38"/>
        <v>0</v>
      </c>
      <c r="X71" s="27">
        <f t="shared" ca="1" si="38"/>
        <v>0</v>
      </c>
      <c r="Y71" s="27">
        <f t="shared" ca="1" si="38"/>
        <v>0</v>
      </c>
      <c r="Z71" s="27">
        <f t="shared" ca="1" si="38"/>
        <v>0</v>
      </c>
    </row>
    <row r="72" spans="2:26" ht="13">
      <c r="B72" s="13" t="str">
        <f t="shared" si="25"/>
        <v>Cumulative Proceeds</v>
      </c>
      <c r="D72" s="13" t="s">
        <v>185</v>
      </c>
      <c r="E72" s="27">
        <f t="shared" ca="1" si="17"/>
        <v>95200000</v>
      </c>
      <c r="F72" s="27"/>
      <c r="G72" s="27">
        <f t="shared" ref="G72:Z72" ca="1" si="39">F72+G43</f>
        <v>0</v>
      </c>
      <c r="H72" s="27">
        <f t="shared" ca="1" si="39"/>
        <v>1350000</v>
      </c>
      <c r="I72" s="27">
        <f t="shared" ca="1" si="39"/>
        <v>1350000</v>
      </c>
      <c r="J72" s="27">
        <f t="shared" ca="1" si="39"/>
        <v>40650000</v>
      </c>
      <c r="K72" s="27">
        <f t="shared" ca="1" si="39"/>
        <v>47150000</v>
      </c>
      <c r="L72" s="27">
        <f t="shared" ca="1" si="39"/>
        <v>47150000</v>
      </c>
      <c r="M72" s="27">
        <f t="shared" ca="1" si="39"/>
        <v>54150000</v>
      </c>
      <c r="N72" s="27">
        <f t="shared" ca="1" si="39"/>
        <v>69150000</v>
      </c>
      <c r="O72" s="27">
        <f t="shared" ca="1" si="39"/>
        <v>70200000</v>
      </c>
      <c r="P72" s="27">
        <f t="shared" ca="1" si="39"/>
        <v>95200000</v>
      </c>
      <c r="Q72" s="27">
        <f t="shared" ca="1" si="39"/>
        <v>95200000</v>
      </c>
      <c r="R72" s="27">
        <f t="shared" ca="1" si="39"/>
        <v>95200000</v>
      </c>
      <c r="S72" s="27">
        <f t="shared" ca="1" si="39"/>
        <v>95200000</v>
      </c>
      <c r="T72" s="27">
        <f t="shared" ca="1" si="39"/>
        <v>95200000</v>
      </c>
      <c r="U72" s="27">
        <f t="shared" ca="1" si="39"/>
        <v>95200000</v>
      </c>
      <c r="V72" s="27">
        <f t="shared" ca="1" si="39"/>
        <v>95200000</v>
      </c>
      <c r="W72" s="27">
        <f t="shared" ca="1" si="39"/>
        <v>95200000</v>
      </c>
      <c r="X72" s="27">
        <f t="shared" ca="1" si="39"/>
        <v>95200000</v>
      </c>
      <c r="Y72" s="27">
        <f t="shared" ca="1" si="39"/>
        <v>95200000</v>
      </c>
      <c r="Z72" s="27">
        <f t="shared" ca="1" si="39"/>
        <v>95200000</v>
      </c>
    </row>
    <row r="73" spans="2:26" ht="13">
      <c r="B73" s="13" t="str">
        <f t="shared" si="25"/>
        <v>Cumulative Preferred Return</v>
      </c>
      <c r="C73" s="13"/>
      <c r="D73" s="13" t="s">
        <v>185</v>
      </c>
      <c r="E73" s="27">
        <f t="shared" si="17"/>
        <v>0</v>
      </c>
      <c r="F73" s="27"/>
      <c r="G73" s="27">
        <f t="shared" ref="G73:Z73" si="40">F73+G44</f>
        <v>0</v>
      </c>
      <c r="H73" s="27">
        <f t="shared" si="40"/>
        <v>0</v>
      </c>
      <c r="I73" s="27">
        <f t="shared" si="40"/>
        <v>0</v>
      </c>
      <c r="J73" s="27">
        <f t="shared" si="40"/>
        <v>0</v>
      </c>
      <c r="K73" s="27">
        <f t="shared" si="40"/>
        <v>0</v>
      </c>
      <c r="L73" s="27">
        <f t="shared" si="40"/>
        <v>0</v>
      </c>
      <c r="M73" s="27">
        <f t="shared" si="40"/>
        <v>0</v>
      </c>
      <c r="N73" s="27">
        <f t="shared" si="40"/>
        <v>0</v>
      </c>
      <c r="O73" s="27">
        <f t="shared" si="40"/>
        <v>0</v>
      </c>
      <c r="P73" s="27">
        <f t="shared" si="40"/>
        <v>0</v>
      </c>
      <c r="Q73" s="27">
        <f t="shared" si="40"/>
        <v>0</v>
      </c>
      <c r="R73" s="27">
        <f t="shared" si="40"/>
        <v>0</v>
      </c>
      <c r="S73" s="27">
        <f t="shared" si="40"/>
        <v>0</v>
      </c>
      <c r="T73" s="27">
        <f t="shared" si="40"/>
        <v>0</v>
      </c>
      <c r="U73" s="27">
        <f t="shared" si="40"/>
        <v>0</v>
      </c>
      <c r="V73" s="27">
        <f t="shared" si="40"/>
        <v>0</v>
      </c>
      <c r="W73" s="27">
        <f t="shared" si="40"/>
        <v>0</v>
      </c>
      <c r="X73" s="27">
        <f t="shared" si="40"/>
        <v>0</v>
      </c>
      <c r="Y73" s="27">
        <f t="shared" si="40"/>
        <v>0</v>
      </c>
      <c r="Z73" s="27">
        <f t="shared" si="40"/>
        <v>0</v>
      </c>
    </row>
    <row r="74" spans="2:26" ht="13">
      <c r="B74" s="13" t="str">
        <f t="shared" si="25"/>
        <v>Cumulative GP Catchup</v>
      </c>
      <c r="D74" s="13" t="s">
        <v>185</v>
      </c>
      <c r="E74" s="27">
        <f t="shared" si="17"/>
        <v>0</v>
      </c>
      <c r="F74" s="27"/>
      <c r="G74" s="27">
        <f t="shared" ref="G74:Z74" si="41">F74+G45</f>
        <v>0</v>
      </c>
      <c r="H74" s="27">
        <f t="shared" si="41"/>
        <v>0</v>
      </c>
      <c r="I74" s="27">
        <f t="shared" si="41"/>
        <v>0</v>
      </c>
      <c r="J74" s="27">
        <f t="shared" si="41"/>
        <v>0</v>
      </c>
      <c r="K74" s="27">
        <f t="shared" si="41"/>
        <v>0</v>
      </c>
      <c r="L74" s="27">
        <f t="shared" si="41"/>
        <v>0</v>
      </c>
      <c r="M74" s="27">
        <f t="shared" si="41"/>
        <v>0</v>
      </c>
      <c r="N74" s="27">
        <f t="shared" si="41"/>
        <v>0</v>
      </c>
      <c r="O74" s="27">
        <f t="shared" si="41"/>
        <v>0</v>
      </c>
      <c r="P74" s="27">
        <f t="shared" si="41"/>
        <v>0</v>
      </c>
      <c r="Q74" s="27">
        <f t="shared" si="41"/>
        <v>0</v>
      </c>
      <c r="R74" s="27">
        <f t="shared" si="41"/>
        <v>0</v>
      </c>
      <c r="S74" s="27">
        <f t="shared" si="41"/>
        <v>0</v>
      </c>
      <c r="T74" s="27">
        <f t="shared" si="41"/>
        <v>0</v>
      </c>
      <c r="U74" s="27">
        <f t="shared" si="41"/>
        <v>0</v>
      </c>
      <c r="V74" s="27">
        <f t="shared" si="41"/>
        <v>0</v>
      </c>
      <c r="W74" s="27">
        <f t="shared" si="41"/>
        <v>0</v>
      </c>
      <c r="X74" s="27">
        <f t="shared" si="41"/>
        <v>0</v>
      </c>
      <c r="Y74" s="27">
        <f t="shared" si="41"/>
        <v>0</v>
      </c>
      <c r="Z74" s="27">
        <f t="shared" si="41"/>
        <v>0</v>
      </c>
    </row>
    <row r="75" spans="2:26" ht="13">
      <c r="B75" s="13" t="str">
        <f t="shared" si="25"/>
        <v>Cumulative Carried Interest</v>
      </c>
      <c r="C75" s="13"/>
      <c r="D75" s="13" t="s">
        <v>185</v>
      </c>
      <c r="E75" s="27">
        <f t="shared" ca="1" si="17"/>
        <v>14040000</v>
      </c>
      <c r="F75" s="27"/>
      <c r="G75" s="27">
        <f t="shared" ref="G75:Z75" ca="1" si="42">F75+G46</f>
        <v>0</v>
      </c>
      <c r="H75" s="27">
        <f t="shared" ca="1" si="42"/>
        <v>10259.740259740269</v>
      </c>
      <c r="I75" s="27">
        <f t="shared" ca="1" si="42"/>
        <v>10259.740259740269</v>
      </c>
      <c r="J75" s="27">
        <f t="shared" ca="1" si="42"/>
        <v>6571558.441558443</v>
      </c>
      <c r="K75" s="27">
        <f t="shared" ca="1" si="42"/>
        <v>7092337.6623376636</v>
      </c>
      <c r="L75" s="27">
        <f t="shared" ca="1" si="42"/>
        <v>7092337.6623376636</v>
      </c>
      <c r="M75" s="27">
        <f t="shared" ca="1" si="42"/>
        <v>7453376.6233766247</v>
      </c>
      <c r="N75" s="27">
        <f t="shared" ca="1" si="42"/>
        <v>9154675.3246753253</v>
      </c>
      <c r="O75" s="27">
        <f t="shared" ca="1" si="42"/>
        <v>9299740.2597402595</v>
      </c>
      <c r="P75" s="27">
        <f t="shared" ca="1" si="42"/>
        <v>14040000</v>
      </c>
      <c r="Q75" s="27">
        <f t="shared" ca="1" si="42"/>
        <v>14040000</v>
      </c>
      <c r="R75" s="27">
        <f t="shared" ca="1" si="42"/>
        <v>14040000</v>
      </c>
      <c r="S75" s="27">
        <f t="shared" ca="1" si="42"/>
        <v>14040000</v>
      </c>
      <c r="T75" s="27">
        <f t="shared" ca="1" si="42"/>
        <v>14040000</v>
      </c>
      <c r="U75" s="27">
        <f t="shared" ca="1" si="42"/>
        <v>14040000</v>
      </c>
      <c r="V75" s="27">
        <f t="shared" ca="1" si="42"/>
        <v>14040000</v>
      </c>
      <c r="W75" s="27">
        <f t="shared" ca="1" si="42"/>
        <v>14040000</v>
      </c>
      <c r="X75" s="27">
        <f t="shared" ca="1" si="42"/>
        <v>14040000</v>
      </c>
      <c r="Y75" s="27">
        <f t="shared" ca="1" si="42"/>
        <v>14040000</v>
      </c>
      <c r="Z75" s="27">
        <f t="shared" ca="1" si="42"/>
        <v>14040000</v>
      </c>
    </row>
    <row r="76" spans="2:26" ht="13">
      <c r="B76" s="13" t="str">
        <f t="shared" si="25"/>
        <v>Cumulative Distributions</v>
      </c>
      <c r="C76" s="13"/>
      <c r="D76" s="13" t="s">
        <v>185</v>
      </c>
      <c r="E76" s="27">
        <f t="shared" ca="1" si="17"/>
        <v>81160000</v>
      </c>
      <c r="F76" s="27"/>
      <c r="G76" s="27">
        <f t="shared" ref="G76:Z76" ca="1" si="43">F76+G47</f>
        <v>0</v>
      </c>
      <c r="H76" s="27">
        <f t="shared" ca="1" si="43"/>
        <v>1339740.2597402597</v>
      </c>
      <c r="I76" s="27">
        <f t="shared" ca="1" si="43"/>
        <v>1339740.2597402597</v>
      </c>
      <c r="J76" s="27">
        <f t="shared" ca="1" si="43"/>
        <v>34078441.558441557</v>
      </c>
      <c r="K76" s="27">
        <f t="shared" ca="1" si="43"/>
        <v>40057662.337662339</v>
      </c>
      <c r="L76" s="27">
        <f t="shared" ca="1" si="43"/>
        <v>40057662.337662339</v>
      </c>
      <c r="M76" s="27">
        <f t="shared" ca="1" si="43"/>
        <v>46696623.376623377</v>
      </c>
      <c r="N76" s="27">
        <f t="shared" ca="1" si="43"/>
        <v>59995324.675324678</v>
      </c>
      <c r="O76" s="27">
        <f t="shared" ca="1" si="43"/>
        <v>60900259.740259744</v>
      </c>
      <c r="P76" s="27">
        <f t="shared" ca="1" si="43"/>
        <v>81160000</v>
      </c>
      <c r="Q76" s="27">
        <f t="shared" ca="1" si="43"/>
        <v>81160000</v>
      </c>
      <c r="R76" s="27">
        <f t="shared" ca="1" si="43"/>
        <v>81160000</v>
      </c>
      <c r="S76" s="27">
        <f t="shared" ca="1" si="43"/>
        <v>81160000</v>
      </c>
      <c r="T76" s="27">
        <f t="shared" ca="1" si="43"/>
        <v>81160000</v>
      </c>
      <c r="U76" s="27">
        <f t="shared" ca="1" si="43"/>
        <v>81160000</v>
      </c>
      <c r="V76" s="27">
        <f t="shared" ca="1" si="43"/>
        <v>81160000</v>
      </c>
      <c r="W76" s="27">
        <f t="shared" ca="1" si="43"/>
        <v>81160000</v>
      </c>
      <c r="X76" s="27">
        <f t="shared" ca="1" si="43"/>
        <v>81160000</v>
      </c>
      <c r="Y76" s="27">
        <f t="shared" ca="1" si="43"/>
        <v>81160000</v>
      </c>
      <c r="Z76" s="27">
        <f t="shared" ca="1" si="43"/>
        <v>81160000</v>
      </c>
    </row>
    <row r="77" spans="2:26" ht="13">
      <c r="B77" s="13" t="str">
        <f t="shared" si="25"/>
        <v>Cumulative Writeoffs</v>
      </c>
      <c r="C77" s="13"/>
      <c r="D77" s="13" t="s">
        <v>185</v>
      </c>
      <c r="E77" s="27">
        <f t="shared" si="17"/>
        <v>0</v>
      </c>
      <c r="F77" s="27"/>
      <c r="G77" s="27">
        <f t="shared" ref="G77:Z77" si="44">F77+G48</f>
        <v>0</v>
      </c>
      <c r="H77" s="27">
        <f t="shared" si="44"/>
        <v>0</v>
      </c>
      <c r="I77" s="27">
        <f t="shared" si="44"/>
        <v>0</v>
      </c>
      <c r="J77" s="27">
        <f t="shared" si="44"/>
        <v>0</v>
      </c>
      <c r="K77" s="27">
        <f t="shared" si="44"/>
        <v>0</v>
      </c>
      <c r="L77" s="27">
        <f t="shared" si="44"/>
        <v>0</v>
      </c>
      <c r="M77" s="27">
        <f t="shared" si="44"/>
        <v>0</v>
      </c>
      <c r="N77" s="27">
        <f t="shared" si="44"/>
        <v>0</v>
      </c>
      <c r="O77" s="27">
        <f t="shared" si="44"/>
        <v>0</v>
      </c>
      <c r="P77" s="27">
        <f t="shared" si="44"/>
        <v>0</v>
      </c>
      <c r="Q77" s="27">
        <f t="shared" si="44"/>
        <v>0</v>
      </c>
      <c r="R77" s="27">
        <f t="shared" si="44"/>
        <v>0</v>
      </c>
      <c r="S77" s="27">
        <f t="shared" si="44"/>
        <v>0</v>
      </c>
      <c r="T77" s="27">
        <f t="shared" si="44"/>
        <v>0</v>
      </c>
      <c r="U77" s="27">
        <f t="shared" si="44"/>
        <v>0</v>
      </c>
      <c r="V77" s="27">
        <f t="shared" si="44"/>
        <v>0</v>
      </c>
      <c r="W77" s="27">
        <f t="shared" si="44"/>
        <v>0</v>
      </c>
      <c r="X77" s="27">
        <f t="shared" si="44"/>
        <v>0</v>
      </c>
      <c r="Y77" s="27">
        <f t="shared" si="44"/>
        <v>0</v>
      </c>
      <c r="Z77" s="27">
        <f t="shared" si="44"/>
        <v>0</v>
      </c>
    </row>
    <row r="78" spans="2:26" ht="13">
      <c r="B78" s="13" t="str">
        <f t="shared" si="25"/>
        <v>Cumulative Invested Capital Exited</v>
      </c>
      <c r="C78" s="13"/>
      <c r="D78" s="13" t="s">
        <v>185</v>
      </c>
      <c r="E78" s="27">
        <f t="shared" ca="1" si="17"/>
        <v>19250000</v>
      </c>
      <c r="F78" s="27"/>
      <c r="G78" s="27">
        <f t="shared" ref="G78:Z78" ca="1" si="45">F78+G49</f>
        <v>0</v>
      </c>
      <c r="H78" s="27">
        <f t="shared" ca="1" si="45"/>
        <v>1000000</v>
      </c>
      <c r="I78" s="27">
        <f t="shared" ca="1" si="45"/>
        <v>1000000</v>
      </c>
      <c r="J78" s="27">
        <f t="shared" ca="1" si="45"/>
        <v>6000000</v>
      </c>
      <c r="K78" s="27">
        <f t="shared" ca="1" si="45"/>
        <v>9000000</v>
      </c>
      <c r="L78" s="27">
        <f t="shared" ca="1" si="45"/>
        <v>11000000</v>
      </c>
      <c r="M78" s="27">
        <f t="shared" ca="1" si="45"/>
        <v>13000000</v>
      </c>
      <c r="N78" s="27">
        <f t="shared" ca="1" si="45"/>
        <v>18000000</v>
      </c>
      <c r="O78" s="27">
        <f t="shared" ca="1" si="45"/>
        <v>18250000</v>
      </c>
      <c r="P78" s="27">
        <f t="shared" ca="1" si="45"/>
        <v>19250000</v>
      </c>
      <c r="Q78" s="27">
        <f t="shared" ca="1" si="45"/>
        <v>19250000</v>
      </c>
      <c r="R78" s="27">
        <f t="shared" ca="1" si="45"/>
        <v>19250000</v>
      </c>
      <c r="S78" s="27">
        <f t="shared" ca="1" si="45"/>
        <v>19250000</v>
      </c>
      <c r="T78" s="27">
        <f t="shared" ca="1" si="45"/>
        <v>19250000</v>
      </c>
      <c r="U78" s="27">
        <f t="shared" ca="1" si="45"/>
        <v>19250000</v>
      </c>
      <c r="V78" s="27">
        <f t="shared" ca="1" si="45"/>
        <v>19250000</v>
      </c>
      <c r="W78" s="27">
        <f t="shared" ca="1" si="45"/>
        <v>19250000</v>
      </c>
      <c r="X78" s="27">
        <f t="shared" ca="1" si="45"/>
        <v>19250000</v>
      </c>
      <c r="Y78" s="27">
        <f t="shared" ca="1" si="45"/>
        <v>19250000</v>
      </c>
      <c r="Z78" s="27">
        <f t="shared" ca="1" si="45"/>
        <v>19250000</v>
      </c>
    </row>
    <row r="79" spans="2:26" ht="13">
      <c r="B79" s="13" t="str">
        <f t="shared" si="25"/>
        <v>Cumulative Change in Invested Capital</v>
      </c>
      <c r="C79" s="13"/>
      <c r="D79" s="13" t="s">
        <v>185</v>
      </c>
      <c r="E79" s="27">
        <f t="shared" ca="1" si="17"/>
        <v>0</v>
      </c>
      <c r="F79" s="27"/>
      <c r="G79" s="27">
        <f t="shared" ref="G79:Z79" ca="1" si="46">F79+G50</f>
        <v>5000000</v>
      </c>
      <c r="H79" s="27">
        <f t="shared" ca="1" si="46"/>
        <v>9000000</v>
      </c>
      <c r="I79" s="27">
        <f t="shared" ca="1" si="46"/>
        <v>14000000</v>
      </c>
      <c r="J79" s="27">
        <f t="shared" ca="1" si="46"/>
        <v>13250000</v>
      </c>
      <c r="K79" s="27">
        <f t="shared" ca="1" si="46"/>
        <v>10250000</v>
      </c>
      <c r="L79" s="27">
        <f t="shared" ca="1" si="46"/>
        <v>8250000</v>
      </c>
      <c r="M79" s="27">
        <f t="shared" ca="1" si="46"/>
        <v>6250000</v>
      </c>
      <c r="N79" s="27">
        <f t="shared" ca="1" si="46"/>
        <v>1250000</v>
      </c>
      <c r="O79" s="27">
        <f t="shared" ca="1" si="46"/>
        <v>1000000</v>
      </c>
      <c r="P79" s="27">
        <f t="shared" ca="1" si="46"/>
        <v>0</v>
      </c>
      <c r="Q79" s="27">
        <f t="shared" ca="1" si="46"/>
        <v>0</v>
      </c>
      <c r="R79" s="27">
        <f t="shared" ca="1" si="46"/>
        <v>0</v>
      </c>
      <c r="S79" s="27">
        <f t="shared" ca="1" si="46"/>
        <v>0</v>
      </c>
      <c r="T79" s="27">
        <f t="shared" ca="1" si="46"/>
        <v>0</v>
      </c>
      <c r="U79" s="27">
        <f t="shared" ca="1" si="46"/>
        <v>0</v>
      </c>
      <c r="V79" s="27">
        <f t="shared" ca="1" si="46"/>
        <v>0</v>
      </c>
      <c r="W79" s="27">
        <f t="shared" ca="1" si="46"/>
        <v>0</v>
      </c>
      <c r="X79" s="27">
        <f t="shared" ca="1" si="46"/>
        <v>0</v>
      </c>
      <c r="Y79" s="27">
        <f t="shared" ca="1" si="46"/>
        <v>0</v>
      </c>
      <c r="Z79" s="27">
        <f t="shared" ca="1" si="46"/>
        <v>0</v>
      </c>
    </row>
    <row r="80" spans="2:26" ht="13">
      <c r="B80" s="13" t="str">
        <f t="shared" si="25"/>
        <v>Cumulative Change in Unrealized Gain (Loss)</v>
      </c>
      <c r="C80" s="13"/>
      <c r="D80" s="13" t="s">
        <v>185</v>
      </c>
      <c r="E80" s="27">
        <f t="shared" ca="1" si="17"/>
        <v>0</v>
      </c>
      <c r="F80" s="27"/>
      <c r="G80" s="27">
        <f t="shared" ref="G80:Z80" ca="1" si="47">F80+G51</f>
        <v>0</v>
      </c>
      <c r="H80" s="27">
        <f t="shared" ca="1" si="47"/>
        <v>0</v>
      </c>
      <c r="I80" s="27">
        <f t="shared" ca="1" si="47"/>
        <v>0</v>
      </c>
      <c r="J80" s="27">
        <f t="shared" ca="1" si="47"/>
        <v>0</v>
      </c>
      <c r="K80" s="27">
        <f t="shared" ca="1" si="47"/>
        <v>0</v>
      </c>
      <c r="L80" s="27">
        <f t="shared" ca="1" si="47"/>
        <v>0</v>
      </c>
      <c r="M80" s="27">
        <f t="shared" ca="1" si="47"/>
        <v>0</v>
      </c>
      <c r="N80" s="27">
        <f t="shared" ca="1" si="47"/>
        <v>0</v>
      </c>
      <c r="O80" s="27">
        <f t="shared" ca="1" si="47"/>
        <v>0</v>
      </c>
      <c r="P80" s="27">
        <f t="shared" ca="1" si="47"/>
        <v>0</v>
      </c>
      <c r="Q80" s="27">
        <f t="shared" ca="1" si="47"/>
        <v>0</v>
      </c>
      <c r="R80" s="27">
        <f t="shared" ca="1" si="47"/>
        <v>0</v>
      </c>
      <c r="S80" s="27">
        <f t="shared" ca="1" si="47"/>
        <v>0</v>
      </c>
      <c r="T80" s="27">
        <f t="shared" ca="1" si="47"/>
        <v>0</v>
      </c>
      <c r="U80" s="27">
        <f t="shared" ca="1" si="47"/>
        <v>0</v>
      </c>
      <c r="V80" s="27">
        <f t="shared" ca="1" si="47"/>
        <v>0</v>
      </c>
      <c r="W80" s="27">
        <f t="shared" ca="1" si="47"/>
        <v>0</v>
      </c>
      <c r="X80" s="27">
        <f t="shared" ca="1" si="47"/>
        <v>0</v>
      </c>
      <c r="Y80" s="27">
        <f t="shared" ca="1" si="47"/>
        <v>0</v>
      </c>
      <c r="Z80" s="27">
        <f t="shared" ca="1" si="47"/>
        <v>0</v>
      </c>
    </row>
    <row r="81" spans="2:26" ht="13">
      <c r="B81" s="13" t="str">
        <f t="shared" si="25"/>
        <v>Cumulative Change in Residual Value</v>
      </c>
      <c r="C81" s="13" t="s">
        <v>224</v>
      </c>
      <c r="D81" s="13" t="s">
        <v>185</v>
      </c>
      <c r="E81" s="27">
        <f t="shared" ca="1" si="17"/>
        <v>0</v>
      </c>
      <c r="F81" s="27"/>
      <c r="G81" s="27">
        <f t="shared" ref="G81:Z81" ca="1" si="48">F81+G52</f>
        <v>5000000</v>
      </c>
      <c r="H81" s="27">
        <f t="shared" ca="1" si="48"/>
        <v>9000000</v>
      </c>
      <c r="I81" s="27">
        <f t="shared" ca="1" si="48"/>
        <v>14000000</v>
      </c>
      <c r="J81" s="27">
        <f t="shared" ca="1" si="48"/>
        <v>13250000</v>
      </c>
      <c r="K81" s="27">
        <f t="shared" ca="1" si="48"/>
        <v>10250000</v>
      </c>
      <c r="L81" s="27">
        <f t="shared" ca="1" si="48"/>
        <v>8250000</v>
      </c>
      <c r="M81" s="27">
        <f t="shared" ca="1" si="48"/>
        <v>6250000</v>
      </c>
      <c r="N81" s="27">
        <f t="shared" ca="1" si="48"/>
        <v>1250000</v>
      </c>
      <c r="O81" s="27">
        <f t="shared" ca="1" si="48"/>
        <v>1000000</v>
      </c>
      <c r="P81" s="27">
        <f t="shared" ca="1" si="48"/>
        <v>0</v>
      </c>
      <c r="Q81" s="27">
        <f t="shared" ca="1" si="48"/>
        <v>0</v>
      </c>
      <c r="R81" s="27">
        <f t="shared" ca="1" si="48"/>
        <v>0</v>
      </c>
      <c r="S81" s="27">
        <f t="shared" ca="1" si="48"/>
        <v>0</v>
      </c>
      <c r="T81" s="27">
        <f t="shared" ca="1" si="48"/>
        <v>0</v>
      </c>
      <c r="U81" s="27">
        <f t="shared" ca="1" si="48"/>
        <v>0</v>
      </c>
      <c r="V81" s="27">
        <f t="shared" ca="1" si="48"/>
        <v>0</v>
      </c>
      <c r="W81" s="27">
        <f t="shared" ca="1" si="48"/>
        <v>0</v>
      </c>
      <c r="X81" s="27">
        <f t="shared" ca="1" si="48"/>
        <v>0</v>
      </c>
      <c r="Y81" s="27">
        <f t="shared" ca="1" si="48"/>
        <v>0</v>
      </c>
      <c r="Z81" s="27">
        <f t="shared" ca="1" si="48"/>
        <v>0</v>
      </c>
    </row>
    <row r="82" spans="2:26" ht="13">
      <c r="B82" s="13" t="str">
        <f t="shared" si="25"/>
        <v>Cumulative Change in Undrawn Capital Commitments</v>
      </c>
      <c r="C82" s="13"/>
      <c r="D82" s="13" t="s">
        <v>185</v>
      </c>
      <c r="E82" s="27">
        <f t="shared" ca="1" si="17"/>
        <v>0</v>
      </c>
      <c r="F82" s="27"/>
      <c r="G82" s="27">
        <f t="shared" ref="G82:Z82" ca="1" si="49">F82+G53</f>
        <v>19335000</v>
      </c>
      <c r="H82" s="27">
        <f t="shared" ca="1" si="49"/>
        <v>13770000</v>
      </c>
      <c r="I82" s="27">
        <f t="shared" ca="1" si="49"/>
        <v>8205000</v>
      </c>
      <c r="J82" s="27">
        <f t="shared" ca="1" si="49"/>
        <v>3390000</v>
      </c>
      <c r="K82" s="27">
        <f t="shared" ca="1" si="49"/>
        <v>2825000</v>
      </c>
      <c r="L82" s="27">
        <f t="shared" ca="1" si="49"/>
        <v>2260000</v>
      </c>
      <c r="M82" s="27">
        <f t="shared" ca="1" si="49"/>
        <v>1695000</v>
      </c>
      <c r="N82" s="27">
        <f t="shared" ca="1" si="49"/>
        <v>1130000</v>
      </c>
      <c r="O82" s="27">
        <f t="shared" ca="1" si="49"/>
        <v>565000</v>
      </c>
      <c r="P82" s="27">
        <f t="shared" ca="1" si="49"/>
        <v>0</v>
      </c>
      <c r="Q82" s="27">
        <f t="shared" ca="1" si="49"/>
        <v>0</v>
      </c>
      <c r="R82" s="27">
        <f t="shared" ca="1" si="49"/>
        <v>0</v>
      </c>
      <c r="S82" s="27">
        <f t="shared" ca="1" si="49"/>
        <v>0</v>
      </c>
      <c r="T82" s="27">
        <f t="shared" ca="1" si="49"/>
        <v>0</v>
      </c>
      <c r="U82" s="27">
        <f t="shared" ca="1" si="49"/>
        <v>0</v>
      </c>
      <c r="V82" s="27">
        <f t="shared" ca="1" si="49"/>
        <v>0</v>
      </c>
      <c r="W82" s="27">
        <f t="shared" ca="1" si="49"/>
        <v>0</v>
      </c>
      <c r="X82" s="27">
        <f t="shared" ca="1" si="49"/>
        <v>0</v>
      </c>
      <c r="Y82" s="27">
        <f t="shared" ca="1" si="49"/>
        <v>0</v>
      </c>
      <c r="Z82" s="27">
        <f t="shared" ca="1" si="49"/>
        <v>0</v>
      </c>
    </row>
    <row r="83" spans="2:26" ht="13">
      <c r="B83" s="13" t="str">
        <f t="shared" si="25"/>
        <v>Cumulative Committed Capital from LPs</v>
      </c>
      <c r="D83" s="13" t="s">
        <v>185</v>
      </c>
      <c r="E83" s="27">
        <f t="shared" si="17"/>
        <v>25000000</v>
      </c>
      <c r="F83" s="27"/>
      <c r="G83" s="27">
        <f t="shared" ref="G83:Z83" si="50">F83+G54</f>
        <v>25000000</v>
      </c>
      <c r="H83" s="27">
        <f t="shared" si="50"/>
        <v>25000000</v>
      </c>
      <c r="I83" s="27">
        <f t="shared" si="50"/>
        <v>25000000</v>
      </c>
      <c r="J83" s="27">
        <f t="shared" si="50"/>
        <v>25000000</v>
      </c>
      <c r="K83" s="27">
        <f t="shared" si="50"/>
        <v>25000000</v>
      </c>
      <c r="L83" s="27">
        <f t="shared" si="50"/>
        <v>25000000</v>
      </c>
      <c r="M83" s="27">
        <f t="shared" si="50"/>
        <v>25000000</v>
      </c>
      <c r="N83" s="27">
        <f t="shared" si="50"/>
        <v>25000000</v>
      </c>
      <c r="O83" s="27">
        <f t="shared" si="50"/>
        <v>25000000</v>
      </c>
      <c r="P83" s="27">
        <f t="shared" si="50"/>
        <v>25000000</v>
      </c>
      <c r="Q83" s="27">
        <f t="shared" si="50"/>
        <v>25000000</v>
      </c>
      <c r="R83" s="27">
        <f t="shared" si="50"/>
        <v>25000000</v>
      </c>
      <c r="S83" s="27">
        <f t="shared" si="50"/>
        <v>25000000</v>
      </c>
      <c r="T83" s="27">
        <f t="shared" si="50"/>
        <v>25000000</v>
      </c>
      <c r="U83" s="27">
        <f t="shared" si="50"/>
        <v>25000000</v>
      </c>
      <c r="V83" s="27">
        <f t="shared" si="50"/>
        <v>25000000</v>
      </c>
      <c r="W83" s="27">
        <f t="shared" si="50"/>
        <v>25000000</v>
      </c>
      <c r="X83" s="27">
        <f t="shared" si="50"/>
        <v>25000000</v>
      </c>
      <c r="Y83" s="27">
        <f t="shared" si="50"/>
        <v>25000000</v>
      </c>
      <c r="Z83" s="27">
        <f t="shared" si="50"/>
        <v>25000000</v>
      </c>
    </row>
    <row r="84" spans="2:26" ht="13">
      <c r="B84" s="13" t="str">
        <f t="shared" si="25"/>
        <v>Cumulative Called Capital from LPs</v>
      </c>
      <c r="D84" s="13" t="s">
        <v>185</v>
      </c>
      <c r="E84" s="27">
        <f t="shared" ca="1" si="17"/>
        <v>25000000</v>
      </c>
      <c r="F84" s="27"/>
      <c r="G84" s="27">
        <f t="shared" ref="G84:Z84" ca="1" si="51">F84+G55</f>
        <v>5665000</v>
      </c>
      <c r="H84" s="27">
        <f t="shared" ca="1" si="51"/>
        <v>11230000</v>
      </c>
      <c r="I84" s="27">
        <f t="shared" ca="1" si="51"/>
        <v>16795000</v>
      </c>
      <c r="J84" s="27">
        <f t="shared" ca="1" si="51"/>
        <v>21610000</v>
      </c>
      <c r="K84" s="27">
        <f t="shared" ca="1" si="51"/>
        <v>22175000</v>
      </c>
      <c r="L84" s="27">
        <f t="shared" ca="1" si="51"/>
        <v>22740000</v>
      </c>
      <c r="M84" s="27">
        <f t="shared" ca="1" si="51"/>
        <v>23305000</v>
      </c>
      <c r="N84" s="27">
        <f t="shared" ca="1" si="51"/>
        <v>23870000</v>
      </c>
      <c r="O84" s="27">
        <f t="shared" ca="1" si="51"/>
        <v>24435000</v>
      </c>
      <c r="P84" s="27">
        <f t="shared" ca="1" si="51"/>
        <v>25000000</v>
      </c>
      <c r="Q84" s="27">
        <f t="shared" ca="1" si="51"/>
        <v>25000000</v>
      </c>
      <c r="R84" s="27">
        <f t="shared" ca="1" si="51"/>
        <v>25000000</v>
      </c>
      <c r="S84" s="27">
        <f t="shared" ca="1" si="51"/>
        <v>25000000</v>
      </c>
      <c r="T84" s="27">
        <f t="shared" ca="1" si="51"/>
        <v>25000000</v>
      </c>
      <c r="U84" s="27">
        <f t="shared" ca="1" si="51"/>
        <v>25000000</v>
      </c>
      <c r="V84" s="27">
        <f t="shared" ca="1" si="51"/>
        <v>25000000</v>
      </c>
      <c r="W84" s="27">
        <f t="shared" ca="1" si="51"/>
        <v>25000000</v>
      </c>
      <c r="X84" s="27">
        <f t="shared" ca="1" si="51"/>
        <v>25000000</v>
      </c>
      <c r="Y84" s="27">
        <f t="shared" ca="1" si="51"/>
        <v>25000000</v>
      </c>
      <c r="Z84" s="27">
        <f t="shared" ca="1" si="51"/>
        <v>25000000</v>
      </c>
    </row>
    <row r="85" spans="2:26" ht="13">
      <c r="B85" s="13" t="str">
        <f t="shared" si="25"/>
        <v>Cumulative Change in Invested Capital, from LPs</v>
      </c>
      <c r="D85" s="13" t="s">
        <v>185</v>
      </c>
      <c r="E85" s="27">
        <f t="shared" ca="1" si="17"/>
        <v>0</v>
      </c>
      <c r="F85" s="27"/>
      <c r="G85" s="27">
        <f t="shared" ref="G85:Z85" ca="1" si="52">F85+G56</f>
        <v>5000000</v>
      </c>
      <c r="H85" s="27">
        <f t="shared" ca="1" si="52"/>
        <v>9000000</v>
      </c>
      <c r="I85" s="27">
        <f t="shared" ca="1" si="52"/>
        <v>14000000</v>
      </c>
      <c r="J85" s="27">
        <f t="shared" ca="1" si="52"/>
        <v>13250000</v>
      </c>
      <c r="K85" s="27">
        <f t="shared" ca="1" si="52"/>
        <v>10250000</v>
      </c>
      <c r="L85" s="27">
        <f t="shared" ca="1" si="52"/>
        <v>8250000</v>
      </c>
      <c r="M85" s="27">
        <f t="shared" ca="1" si="52"/>
        <v>6250000</v>
      </c>
      <c r="N85" s="27">
        <f t="shared" ca="1" si="52"/>
        <v>1250000</v>
      </c>
      <c r="O85" s="27">
        <f t="shared" ca="1" si="52"/>
        <v>1000000</v>
      </c>
      <c r="P85" s="27">
        <f t="shared" ca="1" si="52"/>
        <v>0</v>
      </c>
      <c r="Q85" s="27">
        <f t="shared" ca="1" si="52"/>
        <v>0</v>
      </c>
      <c r="R85" s="27">
        <f t="shared" ca="1" si="52"/>
        <v>0</v>
      </c>
      <c r="S85" s="27">
        <f t="shared" ca="1" si="52"/>
        <v>0</v>
      </c>
      <c r="T85" s="27">
        <f t="shared" ca="1" si="52"/>
        <v>0</v>
      </c>
      <c r="U85" s="27">
        <f t="shared" ca="1" si="52"/>
        <v>0</v>
      </c>
      <c r="V85" s="27">
        <f t="shared" ca="1" si="52"/>
        <v>0</v>
      </c>
      <c r="W85" s="27">
        <f t="shared" ca="1" si="52"/>
        <v>0</v>
      </c>
      <c r="X85" s="27">
        <f t="shared" ca="1" si="52"/>
        <v>0</v>
      </c>
      <c r="Y85" s="27">
        <f t="shared" ca="1" si="52"/>
        <v>0</v>
      </c>
      <c r="Z85" s="27">
        <f t="shared" ca="1" si="52"/>
        <v>0</v>
      </c>
    </row>
    <row r="86" spans="2:26" ht="13">
      <c r="B86" s="13" t="str">
        <f t="shared" si="25"/>
        <v>Cumulative Distributions to LPs</v>
      </c>
      <c r="D86" s="13" t="s">
        <v>185</v>
      </c>
      <c r="E86" s="27">
        <f t="shared" ca="1" si="17"/>
        <v>79536800</v>
      </c>
      <c r="F86" s="27"/>
      <c r="G86" s="27">
        <f t="shared" ref="G86:Z86" ca="1" si="53">F86+G57</f>
        <v>0</v>
      </c>
      <c r="H86" s="27">
        <f t="shared" ca="1" si="53"/>
        <v>1312945.4545454546</v>
      </c>
      <c r="I86" s="27">
        <f t="shared" ca="1" si="53"/>
        <v>1312945.4545454546</v>
      </c>
      <c r="J86" s="27">
        <f t="shared" ca="1" si="53"/>
        <v>33396872.727272723</v>
      </c>
      <c r="K86" s="27">
        <f t="shared" ca="1" si="53"/>
        <v>39256509.090909086</v>
      </c>
      <c r="L86" s="27">
        <f t="shared" ca="1" si="53"/>
        <v>39256509.090909086</v>
      </c>
      <c r="M86" s="27">
        <f t="shared" ca="1" si="53"/>
        <v>45762690.909090906</v>
      </c>
      <c r="N86" s="27">
        <f t="shared" ca="1" si="53"/>
        <v>58795418.18181818</v>
      </c>
      <c r="O86" s="27">
        <f t="shared" ca="1" si="53"/>
        <v>59682254.545454547</v>
      </c>
      <c r="P86" s="27">
        <f t="shared" ca="1" si="53"/>
        <v>79536800</v>
      </c>
      <c r="Q86" s="27">
        <f t="shared" ca="1" si="53"/>
        <v>79536800</v>
      </c>
      <c r="R86" s="27">
        <f t="shared" ca="1" si="53"/>
        <v>79536800</v>
      </c>
      <c r="S86" s="27">
        <f t="shared" ca="1" si="53"/>
        <v>79536800</v>
      </c>
      <c r="T86" s="27">
        <f t="shared" ca="1" si="53"/>
        <v>79536800</v>
      </c>
      <c r="U86" s="27">
        <f t="shared" ca="1" si="53"/>
        <v>79536800</v>
      </c>
      <c r="V86" s="27">
        <f t="shared" ca="1" si="53"/>
        <v>79536800</v>
      </c>
      <c r="W86" s="27">
        <f t="shared" ca="1" si="53"/>
        <v>79536800</v>
      </c>
      <c r="X86" s="27">
        <f t="shared" ca="1" si="53"/>
        <v>79536800</v>
      </c>
      <c r="Y86" s="27">
        <f t="shared" ca="1" si="53"/>
        <v>79536800</v>
      </c>
      <c r="Z86" s="27">
        <f t="shared" ca="1" si="53"/>
        <v>79536800</v>
      </c>
    </row>
    <row r="87" spans="2:26" ht="13">
      <c r="B87" s="13" t="str">
        <f t="shared" si="25"/>
        <v>Cumulative Distributions to GPs</v>
      </c>
      <c r="D87" s="13" t="s">
        <v>185</v>
      </c>
      <c r="E87" s="27">
        <f t="shared" ca="1" si="17"/>
        <v>15663200</v>
      </c>
      <c r="F87" s="27"/>
      <c r="G87" s="27">
        <f t="shared" ref="G87:Z87" ca="1" si="54">F87+G58</f>
        <v>0</v>
      </c>
      <c r="H87" s="27">
        <f t="shared" ca="1" si="54"/>
        <v>37054.545454545463</v>
      </c>
      <c r="I87" s="27">
        <f t="shared" ca="1" si="54"/>
        <v>37054.545454545463</v>
      </c>
      <c r="J87" s="27">
        <f t="shared" ca="1" si="54"/>
        <v>7253127.2727272743</v>
      </c>
      <c r="K87" s="27">
        <f t="shared" ca="1" si="54"/>
        <v>7893490.9090909101</v>
      </c>
      <c r="L87" s="27">
        <f t="shared" ca="1" si="54"/>
        <v>7893490.9090909101</v>
      </c>
      <c r="M87" s="27">
        <f t="shared" ca="1" si="54"/>
        <v>8387309.0909090918</v>
      </c>
      <c r="N87" s="27">
        <f t="shared" ca="1" si="54"/>
        <v>10354581.818181818</v>
      </c>
      <c r="O87" s="27">
        <f t="shared" ca="1" si="54"/>
        <v>10517745.454545455</v>
      </c>
      <c r="P87" s="27">
        <f t="shared" ca="1" si="54"/>
        <v>15663200</v>
      </c>
      <c r="Q87" s="27">
        <f t="shared" ca="1" si="54"/>
        <v>15663200</v>
      </c>
      <c r="R87" s="27">
        <f t="shared" ca="1" si="54"/>
        <v>15663200</v>
      </c>
      <c r="S87" s="27">
        <f t="shared" ca="1" si="54"/>
        <v>15663200</v>
      </c>
      <c r="T87" s="27">
        <f t="shared" ca="1" si="54"/>
        <v>15663200</v>
      </c>
      <c r="U87" s="27">
        <f t="shared" ca="1" si="54"/>
        <v>15663200</v>
      </c>
      <c r="V87" s="27">
        <f t="shared" ca="1" si="54"/>
        <v>15663200</v>
      </c>
      <c r="W87" s="27">
        <f t="shared" ca="1" si="54"/>
        <v>15663200</v>
      </c>
      <c r="X87" s="27">
        <f t="shared" ca="1" si="54"/>
        <v>15663200</v>
      </c>
      <c r="Y87" s="27">
        <f t="shared" ca="1" si="54"/>
        <v>15663200</v>
      </c>
      <c r="Z87" s="27">
        <f t="shared" ca="1" si="54"/>
        <v>15663200</v>
      </c>
    </row>
    <row r="88" spans="2:26" ht="13">
      <c r="E88" s="27"/>
      <c r="F88" s="27"/>
      <c r="G88" s="27"/>
      <c r="H88" s="27"/>
      <c r="I88" s="27"/>
      <c r="J88" s="27"/>
      <c r="K88" s="27"/>
      <c r="L88" s="27"/>
      <c r="M88" s="27"/>
      <c r="N88" s="27"/>
      <c r="O88" s="27"/>
      <c r="P88" s="27"/>
      <c r="Q88" s="27"/>
      <c r="R88" s="27"/>
      <c r="S88" s="27"/>
      <c r="T88" s="27"/>
      <c r="U88" s="27"/>
      <c r="V88" s="27"/>
      <c r="W88" s="27"/>
      <c r="X88" s="27"/>
      <c r="Y88" s="27"/>
      <c r="Z88" s="27"/>
    </row>
    <row r="89" spans="2:26" ht="13">
      <c r="B89" s="13" t="s">
        <v>225</v>
      </c>
      <c r="C89" s="13"/>
      <c r="D89" s="13" t="s">
        <v>185</v>
      </c>
      <c r="E89" s="84">
        <f t="shared" ref="E89:E92" ca="1" si="55">IF(D89="sum",SUM(G89:Z89),IF(D89="final",Z89,IF(D89="initial",G89,IF(D89="average",AVERAGE(G89:Z89),0))))</f>
        <v>1</v>
      </c>
      <c r="F89" s="85" t="str">
        <f t="shared" ref="F89:F92" si="56">B89</f>
        <v>Paid in Capital (PIC)</v>
      </c>
      <c r="G89" s="84">
        <f t="shared" ref="G89:Z89" ca="1" si="57">IFERROR(G60/$E60,0)</f>
        <v>0.2266</v>
      </c>
      <c r="H89" s="84">
        <f t="shared" ca="1" si="57"/>
        <v>0.44919999999999999</v>
      </c>
      <c r="I89" s="84">
        <f t="shared" ca="1" si="57"/>
        <v>0.67179999999999995</v>
      </c>
      <c r="J89" s="84">
        <f t="shared" ca="1" si="57"/>
        <v>0.86439999999999995</v>
      </c>
      <c r="K89" s="84">
        <f t="shared" ca="1" si="57"/>
        <v>0.88700000000000001</v>
      </c>
      <c r="L89" s="84">
        <f t="shared" ca="1" si="57"/>
        <v>0.90959999999999996</v>
      </c>
      <c r="M89" s="84">
        <f t="shared" ca="1" si="57"/>
        <v>0.93220000000000003</v>
      </c>
      <c r="N89" s="84">
        <f t="shared" ca="1" si="57"/>
        <v>0.95479999999999998</v>
      </c>
      <c r="O89" s="84">
        <f t="shared" ca="1" si="57"/>
        <v>0.97740000000000005</v>
      </c>
      <c r="P89" s="84">
        <f t="shared" ca="1" si="57"/>
        <v>1</v>
      </c>
      <c r="Q89" s="84">
        <f t="shared" ca="1" si="57"/>
        <v>1</v>
      </c>
      <c r="R89" s="84">
        <f t="shared" ca="1" si="57"/>
        <v>1</v>
      </c>
      <c r="S89" s="84">
        <f t="shared" ca="1" si="57"/>
        <v>1</v>
      </c>
      <c r="T89" s="84">
        <f t="shared" ca="1" si="57"/>
        <v>1</v>
      </c>
      <c r="U89" s="84">
        <f t="shared" ca="1" si="57"/>
        <v>1</v>
      </c>
      <c r="V89" s="84">
        <f t="shared" ca="1" si="57"/>
        <v>1</v>
      </c>
      <c r="W89" s="84">
        <f t="shared" ca="1" si="57"/>
        <v>1</v>
      </c>
      <c r="X89" s="84">
        <f t="shared" ca="1" si="57"/>
        <v>1</v>
      </c>
      <c r="Y89" s="84">
        <f t="shared" ca="1" si="57"/>
        <v>1</v>
      </c>
      <c r="Z89" s="84">
        <f t="shared" ca="1" si="57"/>
        <v>1</v>
      </c>
    </row>
    <row r="90" spans="2:26" ht="13">
      <c r="B90" s="13" t="s">
        <v>226</v>
      </c>
      <c r="C90" s="13"/>
      <c r="D90" s="13" t="s">
        <v>185</v>
      </c>
      <c r="E90" s="84">
        <f t="shared" ca="1" si="55"/>
        <v>0</v>
      </c>
      <c r="F90" s="85" t="str">
        <f t="shared" si="56"/>
        <v>Residual Value to Paid in Capital (RVPI)</v>
      </c>
      <c r="G90" s="84">
        <f ca="1">IFERROR((G81-(MAX(0,(F81+G51+G50+G72-G71-G60))*'Get Started'!$E14-G75))/G60,0)</f>
        <v>0.88261253309796994</v>
      </c>
      <c r="H90" s="84">
        <f ca="1">IFERROR((H81-(MAX(0,(G81+H51+H50+H72-H71-H60))*'Get Started'!$E14-H75))/H60,0)</f>
        <v>0.80233835621190919</v>
      </c>
      <c r="I90" s="84">
        <f ca="1">IFERROR((I81-(MAX(0,(H81+I51+I50+I72-I71-I60))*'Get Started'!$E14-I75))/I60,0)</f>
        <v>0.83419230367726949</v>
      </c>
      <c r="J90" s="84">
        <f ca="1">IFERROR((J81-(MAX(0,(I81+J51+J50+J72-J71-J60))*'Get Started'!$E14-J75))/J60,0)</f>
        <v>0.61839696629145968</v>
      </c>
      <c r="K90" s="84">
        <f ca="1">IFERROR((K81-(MAX(0,(J81+K51+K50+K72-K71-K60))*'Get Started'!$E14-K75))/K60,0)</f>
        <v>0.46436697462627574</v>
      </c>
      <c r="L90" s="84">
        <f ca="1">IFERROR((L81-(MAX(0,(K81+L51+L50+L72-L71-L60))*'Get Started'!$E14-L75))/L60,0)</f>
        <v>0.38743789192338013</v>
      </c>
      <c r="M90" s="84">
        <f ca="1">IFERROR((M81-(MAX(0,(L81+M51+M50+M72-M71-M60))*'Get Started'!$E14-M75))/M60,0)</f>
        <v>0.26965786841350031</v>
      </c>
      <c r="N90" s="84">
        <f ca="1">IFERROR((N81-(MAX(0,(M81+N51+N50+N72-N71-N60))*'Get Started'!$E14-N75))/N60,0)</f>
        <v>4.6027453903448902E-2</v>
      </c>
      <c r="O90" s="84">
        <f ca="1">IFERROR((O81-(MAX(0,(N81+O51+O50+O72-O71-O60))*'Get Started'!$E14-O75))/O60,0)</f>
        <v>3.8745253109893983E-2</v>
      </c>
      <c r="P90" s="84">
        <f ca="1">IFERROR((P81-(MAX(0,(O81+P51+P50+P72-P71-P60))*'Get Started'!$E14-P75))/P60,0)</f>
        <v>0</v>
      </c>
      <c r="Q90" s="84">
        <f ca="1">IFERROR((Q81-(MAX(0,(P81+Q51+Q50+Q72-Q71-Q60))*'Get Started'!$E14-Q75))/Q60,0)</f>
        <v>0</v>
      </c>
      <c r="R90" s="84">
        <f ca="1">IFERROR((R81-(MAX(0,(Q81+R51+R50+R72-R71-R60))*'Get Started'!$E14-R75))/R60,0)</f>
        <v>0</v>
      </c>
      <c r="S90" s="84">
        <f ca="1">IFERROR((S81-(MAX(0,(R81+S51+S50+S72-S71-S60))*'Get Started'!$E14-S75))/S60,0)</f>
        <v>0</v>
      </c>
      <c r="T90" s="84">
        <f ca="1">IFERROR((T81-(MAX(0,(S81+T51+T50+T72-T71-T60))*'Get Started'!$E14-T75))/T60,0)</f>
        <v>0</v>
      </c>
      <c r="U90" s="84">
        <f ca="1">IFERROR((U81-(MAX(0,(T81+U51+U50+U72-U71-U60))*'Get Started'!$E14-U75))/U60,0)</f>
        <v>0</v>
      </c>
      <c r="V90" s="84">
        <f ca="1">IFERROR((V81-(MAX(0,(U81+V51+V50+V72-V71-V60))*'Get Started'!$E14-V75))/V60,0)</f>
        <v>0</v>
      </c>
      <c r="W90" s="84">
        <f ca="1">IFERROR((W81-(MAX(0,(V81+W51+W50+W72-W71-W60))*'Get Started'!$E14-W75))/W60,0)</f>
        <v>0</v>
      </c>
      <c r="X90" s="84">
        <f ca="1">IFERROR((X81-(MAX(0,(W81+X51+X50+X72-X71-X60))*'Get Started'!$E14-X75))/X60,0)</f>
        <v>0</v>
      </c>
      <c r="Y90" s="84">
        <f ca="1">IFERROR((Y81-(MAX(0,(X81+Y51+Y50+Y72-Y71-Y60))*'Get Started'!$E14-Y75))/Y60,0)</f>
        <v>0</v>
      </c>
      <c r="Z90" s="84">
        <f ca="1">IFERROR((Z81-(MAX(0,(Y81+Z51+Z50+Z72-Z71-Z60))*'Get Started'!$E14-Z75))/Z60,0)</f>
        <v>0</v>
      </c>
    </row>
    <row r="91" spans="2:26" ht="13">
      <c r="B91" s="13" t="s">
        <v>227</v>
      </c>
      <c r="C91" s="13"/>
      <c r="D91" s="13" t="s">
        <v>185</v>
      </c>
      <c r="E91" s="84">
        <f t="shared" ca="1" si="55"/>
        <v>3.2464</v>
      </c>
      <c r="F91" s="85" t="str">
        <f t="shared" si="56"/>
        <v>Distributed Value to Paid in Capital (DVPI)</v>
      </c>
      <c r="G91" s="84">
        <f t="shared" ref="G91:Z91" ca="1" si="58">IFERROR(G76/G60,0)</f>
        <v>0</v>
      </c>
      <c r="H91" s="84">
        <f t="shared" ca="1" si="58"/>
        <v>0.11930011217633657</v>
      </c>
      <c r="I91" s="84">
        <f t="shared" ca="1" si="58"/>
        <v>7.9770185158693649E-2</v>
      </c>
      <c r="J91" s="84">
        <f t="shared" ca="1" si="58"/>
        <v>1.5769755464341304</v>
      </c>
      <c r="K91" s="84">
        <f t="shared" ca="1" si="58"/>
        <v>1.8064334763320107</v>
      </c>
      <c r="L91" s="84">
        <f t="shared" ca="1" si="58"/>
        <v>1.7615506744794345</v>
      </c>
      <c r="M91" s="84">
        <f t="shared" ca="1" si="58"/>
        <v>2.0037169438585445</v>
      </c>
      <c r="N91" s="84">
        <f t="shared" ca="1" si="58"/>
        <v>2.513419550704846</v>
      </c>
      <c r="O91" s="84">
        <f t="shared" ca="1" si="58"/>
        <v>2.4923372105692549</v>
      </c>
      <c r="P91" s="84">
        <f t="shared" ca="1" si="58"/>
        <v>3.2464</v>
      </c>
      <c r="Q91" s="84">
        <f t="shared" ca="1" si="58"/>
        <v>3.2464</v>
      </c>
      <c r="R91" s="84">
        <f t="shared" ca="1" si="58"/>
        <v>3.2464</v>
      </c>
      <c r="S91" s="84">
        <f t="shared" ca="1" si="58"/>
        <v>3.2464</v>
      </c>
      <c r="T91" s="84">
        <f t="shared" ca="1" si="58"/>
        <v>3.2464</v>
      </c>
      <c r="U91" s="84">
        <f t="shared" ca="1" si="58"/>
        <v>3.2464</v>
      </c>
      <c r="V91" s="84">
        <f t="shared" ca="1" si="58"/>
        <v>3.2464</v>
      </c>
      <c r="W91" s="84">
        <f t="shared" ca="1" si="58"/>
        <v>3.2464</v>
      </c>
      <c r="X91" s="84">
        <f t="shared" ca="1" si="58"/>
        <v>3.2464</v>
      </c>
      <c r="Y91" s="84">
        <f t="shared" ca="1" si="58"/>
        <v>3.2464</v>
      </c>
      <c r="Z91" s="84">
        <f t="shared" ca="1" si="58"/>
        <v>3.2464</v>
      </c>
    </row>
    <row r="92" spans="2:26" ht="13">
      <c r="B92" s="13" t="s">
        <v>228</v>
      </c>
      <c r="C92" s="13"/>
      <c r="D92" s="13" t="s">
        <v>185</v>
      </c>
      <c r="E92" s="84">
        <f t="shared" ca="1" si="55"/>
        <v>3.2464</v>
      </c>
      <c r="F92" s="85" t="str">
        <f t="shared" si="56"/>
        <v>Total Value to Paid in Capital (TVPI)</v>
      </c>
      <c r="G92" s="84">
        <f t="shared" ref="G92:Z92" ca="1" si="59">G91+G90</f>
        <v>0.88261253309796994</v>
      </c>
      <c r="H92" s="84">
        <f t="shared" ca="1" si="59"/>
        <v>0.9216384683882457</v>
      </c>
      <c r="I92" s="84">
        <f t="shared" ca="1" si="59"/>
        <v>0.91396248883596309</v>
      </c>
      <c r="J92" s="84">
        <f t="shared" ca="1" si="59"/>
        <v>2.1953725127255899</v>
      </c>
      <c r="K92" s="84">
        <f t="shared" ca="1" si="59"/>
        <v>2.2708004509582862</v>
      </c>
      <c r="L92" s="84">
        <f t="shared" ca="1" si="59"/>
        <v>2.1489885664028145</v>
      </c>
      <c r="M92" s="84">
        <f t="shared" ca="1" si="59"/>
        <v>2.2733748122720447</v>
      </c>
      <c r="N92" s="84">
        <f t="shared" ca="1" si="59"/>
        <v>2.5594470046082951</v>
      </c>
      <c r="O92" s="84">
        <f t="shared" ca="1" si="59"/>
        <v>2.5310824636791489</v>
      </c>
      <c r="P92" s="84">
        <f t="shared" ca="1" si="59"/>
        <v>3.2464</v>
      </c>
      <c r="Q92" s="84">
        <f t="shared" ca="1" si="59"/>
        <v>3.2464</v>
      </c>
      <c r="R92" s="84">
        <f t="shared" ca="1" si="59"/>
        <v>3.2464</v>
      </c>
      <c r="S92" s="84">
        <f t="shared" ca="1" si="59"/>
        <v>3.2464</v>
      </c>
      <c r="T92" s="84">
        <f t="shared" ca="1" si="59"/>
        <v>3.2464</v>
      </c>
      <c r="U92" s="84">
        <f t="shared" ca="1" si="59"/>
        <v>3.2464</v>
      </c>
      <c r="V92" s="84">
        <f t="shared" ca="1" si="59"/>
        <v>3.2464</v>
      </c>
      <c r="W92" s="84">
        <f t="shared" ca="1" si="59"/>
        <v>3.2464</v>
      </c>
      <c r="X92" s="84">
        <f t="shared" ca="1" si="59"/>
        <v>3.2464</v>
      </c>
      <c r="Y92" s="84">
        <f t="shared" ca="1" si="59"/>
        <v>3.2464</v>
      </c>
      <c r="Z92" s="84">
        <f t="shared" ca="1" si="59"/>
        <v>3.2464</v>
      </c>
    </row>
    <row r="93" spans="2:26" ht="13">
      <c r="B93" s="13" t="s">
        <v>229</v>
      </c>
      <c r="C93" s="13" t="s">
        <v>230</v>
      </c>
      <c r="D93" s="13" t="s">
        <v>231</v>
      </c>
      <c r="E93" s="79">
        <f ca="1">IF(D93="max",MAX(G93:Z93),IF(D93="sum",SUM(G93:Z93),IF(D93="final",Z93,IF(D93="initial",G93,IF(D93="average",AVERAGE(G93:Z93),0)))))</f>
        <v>0.61821038961038965</v>
      </c>
      <c r="F93" s="27"/>
      <c r="G93" s="79">
        <f t="shared" ref="G93:Z93" ca="1" si="60">IF(G100&lt;=0,ABS(G100)/G59,0)</f>
        <v>0.2266</v>
      </c>
      <c r="H93" s="79">
        <f t="shared" ca="1" si="60"/>
        <v>0.39561038961038963</v>
      </c>
      <c r="I93" s="79">
        <f t="shared" ca="1" si="60"/>
        <v>0.61821038961038965</v>
      </c>
      <c r="J93" s="79">
        <f t="shared" ca="1" si="60"/>
        <v>0</v>
      </c>
      <c r="K93" s="79">
        <f t="shared" ca="1" si="60"/>
        <v>0</v>
      </c>
      <c r="L93" s="79">
        <f t="shared" ca="1" si="60"/>
        <v>0</v>
      </c>
      <c r="M93" s="79">
        <f t="shared" ca="1" si="60"/>
        <v>0</v>
      </c>
      <c r="N93" s="79">
        <f t="shared" ca="1" si="60"/>
        <v>0</v>
      </c>
      <c r="O93" s="79">
        <f t="shared" ca="1" si="60"/>
        <v>0</v>
      </c>
      <c r="P93" s="79">
        <f t="shared" ca="1" si="60"/>
        <v>0</v>
      </c>
      <c r="Q93" s="79">
        <f t="shared" ca="1" si="60"/>
        <v>0</v>
      </c>
      <c r="R93" s="79">
        <f t="shared" ca="1" si="60"/>
        <v>0</v>
      </c>
      <c r="S93" s="79">
        <f t="shared" ca="1" si="60"/>
        <v>0</v>
      </c>
      <c r="T93" s="79">
        <f t="shared" ca="1" si="60"/>
        <v>0</v>
      </c>
      <c r="U93" s="79">
        <f t="shared" ca="1" si="60"/>
        <v>0</v>
      </c>
      <c r="V93" s="79">
        <f t="shared" ca="1" si="60"/>
        <v>0</v>
      </c>
      <c r="W93" s="79">
        <f t="shared" ca="1" si="60"/>
        <v>0</v>
      </c>
      <c r="X93" s="79">
        <f t="shared" ca="1" si="60"/>
        <v>0</v>
      </c>
      <c r="Y93" s="79">
        <f t="shared" ca="1" si="60"/>
        <v>0</v>
      </c>
      <c r="Z93" s="79">
        <f t="shared" ca="1" si="60"/>
        <v>0</v>
      </c>
    </row>
    <row r="94" spans="2:26" ht="13">
      <c r="B94" s="13"/>
      <c r="C94" s="13"/>
      <c r="D94" s="13"/>
      <c r="E94" s="13"/>
      <c r="F94" s="27"/>
      <c r="G94" s="27"/>
      <c r="H94" s="27"/>
      <c r="I94" s="27"/>
      <c r="J94" s="27"/>
      <c r="K94" s="27"/>
      <c r="L94" s="27"/>
      <c r="M94" s="27"/>
      <c r="N94" s="27"/>
      <c r="O94" s="27"/>
      <c r="P94" s="27"/>
      <c r="Q94" s="27"/>
      <c r="R94" s="27"/>
      <c r="S94" s="27"/>
      <c r="T94" s="27"/>
      <c r="U94" s="27"/>
      <c r="V94" s="27"/>
      <c r="W94" s="27"/>
      <c r="X94" s="27"/>
      <c r="Y94" s="27"/>
      <c r="Z94" s="27"/>
    </row>
    <row r="95" spans="2:26" ht="13">
      <c r="B95" s="13" t="s">
        <v>232</v>
      </c>
      <c r="C95" s="34" t="s">
        <v>233</v>
      </c>
      <c r="D95" s="13" t="s">
        <v>175</v>
      </c>
      <c r="E95" s="27">
        <f t="shared" ref="E95:E125" ca="1" si="61">IF(D95="sum",SUM(G95:Z95),IF(D95="final",Z95,IF(D95="initial",G95,IF(D95="average",AVERAGE(G95:Z95),0))))</f>
        <v>75950000</v>
      </c>
      <c r="F95" s="27"/>
      <c r="G95" s="27">
        <f t="shared" ref="G95:Z95" ca="1" si="62">-1*G38+G43</f>
        <v>-5000000</v>
      </c>
      <c r="H95" s="27">
        <f t="shared" ca="1" si="62"/>
        <v>-3650000</v>
      </c>
      <c r="I95" s="27">
        <f t="shared" ca="1" si="62"/>
        <v>-5000000</v>
      </c>
      <c r="J95" s="27">
        <f t="shared" ca="1" si="62"/>
        <v>35050000</v>
      </c>
      <c r="K95" s="27">
        <f t="shared" ca="1" si="62"/>
        <v>6500000</v>
      </c>
      <c r="L95" s="27">
        <f t="shared" ca="1" si="62"/>
        <v>0</v>
      </c>
      <c r="M95" s="27">
        <f t="shared" ca="1" si="62"/>
        <v>7000000</v>
      </c>
      <c r="N95" s="27">
        <f t="shared" ca="1" si="62"/>
        <v>15000000</v>
      </c>
      <c r="O95" s="27">
        <f t="shared" ca="1" si="62"/>
        <v>1050000</v>
      </c>
      <c r="P95" s="27">
        <f t="shared" ca="1" si="62"/>
        <v>25000000</v>
      </c>
      <c r="Q95" s="27">
        <f t="shared" ca="1" si="62"/>
        <v>0</v>
      </c>
      <c r="R95" s="27">
        <f t="shared" ca="1" si="62"/>
        <v>0</v>
      </c>
      <c r="S95" s="27">
        <f t="shared" ca="1" si="62"/>
        <v>0</v>
      </c>
      <c r="T95" s="27">
        <f t="shared" ca="1" si="62"/>
        <v>0</v>
      </c>
      <c r="U95" s="27">
        <f t="shared" ca="1" si="62"/>
        <v>0</v>
      </c>
      <c r="V95" s="27">
        <f t="shared" ca="1" si="62"/>
        <v>0</v>
      </c>
      <c r="W95" s="27">
        <f t="shared" ca="1" si="62"/>
        <v>0</v>
      </c>
      <c r="X95" s="27">
        <f t="shared" ca="1" si="62"/>
        <v>0</v>
      </c>
      <c r="Y95" s="27">
        <f t="shared" ca="1" si="62"/>
        <v>0</v>
      </c>
      <c r="Z95" s="27">
        <f t="shared" ca="1" si="62"/>
        <v>0</v>
      </c>
    </row>
    <row r="96" spans="2:26" ht="13">
      <c r="B96" s="13" t="str">
        <f>"Cumulative "&amp;B95</f>
        <v>Cumulative Net (Investments) Proceeds</v>
      </c>
      <c r="C96" s="34" t="s">
        <v>233</v>
      </c>
      <c r="D96" s="13" t="s">
        <v>185</v>
      </c>
      <c r="E96" s="27">
        <f t="shared" ca="1" si="61"/>
        <v>75950000</v>
      </c>
      <c r="F96" s="27"/>
      <c r="G96" s="27">
        <f t="shared" ref="G96:Z96" ca="1" si="63">F96+G95</f>
        <v>-5000000</v>
      </c>
      <c r="H96" s="27">
        <f t="shared" ca="1" si="63"/>
        <v>-8650000</v>
      </c>
      <c r="I96" s="27">
        <f t="shared" ca="1" si="63"/>
        <v>-13650000</v>
      </c>
      <c r="J96" s="27">
        <f t="shared" ca="1" si="63"/>
        <v>21400000</v>
      </c>
      <c r="K96" s="27">
        <f t="shared" ca="1" si="63"/>
        <v>27900000</v>
      </c>
      <c r="L96" s="27">
        <f t="shared" ca="1" si="63"/>
        <v>27900000</v>
      </c>
      <c r="M96" s="27">
        <f t="shared" ca="1" si="63"/>
        <v>34900000</v>
      </c>
      <c r="N96" s="27">
        <f t="shared" ca="1" si="63"/>
        <v>49900000</v>
      </c>
      <c r="O96" s="27">
        <f t="shared" ca="1" si="63"/>
        <v>50950000</v>
      </c>
      <c r="P96" s="27">
        <f t="shared" ca="1" si="63"/>
        <v>75950000</v>
      </c>
      <c r="Q96" s="27">
        <f t="shared" ca="1" si="63"/>
        <v>75950000</v>
      </c>
      <c r="R96" s="27">
        <f t="shared" ca="1" si="63"/>
        <v>75950000</v>
      </c>
      <c r="S96" s="27">
        <f t="shared" ca="1" si="63"/>
        <v>75950000</v>
      </c>
      <c r="T96" s="27">
        <f t="shared" ca="1" si="63"/>
        <v>75950000</v>
      </c>
      <c r="U96" s="27">
        <f t="shared" ca="1" si="63"/>
        <v>75950000</v>
      </c>
      <c r="V96" s="27">
        <f t="shared" ca="1" si="63"/>
        <v>75950000</v>
      </c>
      <c r="W96" s="27">
        <f t="shared" ca="1" si="63"/>
        <v>75950000</v>
      </c>
      <c r="X96" s="27">
        <f t="shared" ca="1" si="63"/>
        <v>75950000</v>
      </c>
      <c r="Y96" s="27">
        <f t="shared" ca="1" si="63"/>
        <v>75950000</v>
      </c>
      <c r="Z96" s="27">
        <f t="shared" ca="1" si="63"/>
        <v>75950000</v>
      </c>
    </row>
    <row r="97" spans="2:26" ht="13">
      <c r="B97" s="13" t="s">
        <v>140</v>
      </c>
      <c r="C97" s="34" t="s">
        <v>233</v>
      </c>
      <c r="D97" s="13" t="s">
        <v>185</v>
      </c>
      <c r="E97" s="84">
        <f t="shared" ca="1" si="61"/>
        <v>4.9454545454545453</v>
      </c>
      <c r="F97" s="27"/>
      <c r="G97" s="84">
        <f t="shared" ref="G97:Z97" ca="1" si="64">IFERROR(G72/G67,0)</f>
        <v>0</v>
      </c>
      <c r="H97" s="84">
        <f t="shared" ca="1" si="64"/>
        <v>0.13500000000000001</v>
      </c>
      <c r="I97" s="84">
        <f t="shared" ca="1" si="64"/>
        <v>0.09</v>
      </c>
      <c r="J97" s="84">
        <f t="shared" ca="1" si="64"/>
        <v>2.1116883116883116</v>
      </c>
      <c r="K97" s="84">
        <f t="shared" ca="1" si="64"/>
        <v>2.4493506493506492</v>
      </c>
      <c r="L97" s="84">
        <f t="shared" ca="1" si="64"/>
        <v>2.4493506493506492</v>
      </c>
      <c r="M97" s="84">
        <f t="shared" ca="1" si="64"/>
        <v>2.8129870129870129</v>
      </c>
      <c r="N97" s="84">
        <f t="shared" ca="1" si="64"/>
        <v>3.5922077922077924</v>
      </c>
      <c r="O97" s="84">
        <f t="shared" ca="1" si="64"/>
        <v>3.6467532467532466</v>
      </c>
      <c r="P97" s="84">
        <f t="shared" ca="1" si="64"/>
        <v>4.9454545454545453</v>
      </c>
      <c r="Q97" s="84">
        <f t="shared" ca="1" si="64"/>
        <v>4.9454545454545453</v>
      </c>
      <c r="R97" s="84">
        <f t="shared" ca="1" si="64"/>
        <v>4.9454545454545453</v>
      </c>
      <c r="S97" s="84">
        <f t="shared" ca="1" si="64"/>
        <v>4.9454545454545453</v>
      </c>
      <c r="T97" s="84">
        <f t="shared" ca="1" si="64"/>
        <v>4.9454545454545453</v>
      </c>
      <c r="U97" s="84">
        <f t="shared" ca="1" si="64"/>
        <v>4.9454545454545453</v>
      </c>
      <c r="V97" s="84">
        <f t="shared" ca="1" si="64"/>
        <v>4.9454545454545453</v>
      </c>
      <c r="W97" s="84">
        <f t="shared" ca="1" si="64"/>
        <v>4.9454545454545453</v>
      </c>
      <c r="X97" s="84">
        <f t="shared" ca="1" si="64"/>
        <v>4.9454545454545453</v>
      </c>
      <c r="Y97" s="84">
        <f t="shared" ca="1" si="64"/>
        <v>4.9454545454545453</v>
      </c>
      <c r="Z97" s="84">
        <f t="shared" ca="1" si="64"/>
        <v>4.9454545454545453</v>
      </c>
    </row>
    <row r="98" spans="2:26" ht="13">
      <c r="B98" s="13" t="s">
        <v>144</v>
      </c>
      <c r="C98" s="34" t="s">
        <v>233</v>
      </c>
      <c r="D98" s="13" t="s">
        <v>185</v>
      </c>
      <c r="E98" s="79">
        <f t="shared" ca="1" si="61"/>
        <v>0.6935253262519836</v>
      </c>
      <c r="F98" s="27"/>
      <c r="G98" s="86" t="str">
        <f t="shared" ref="G98:Z98" ca="1" si="65">IFERROR(XIRR(INDIRECT(""&amp;ADDRESS(ROW($D95),COLUMN($G95)+MATCH(INDEX($G95:$Z95,MATCH(TRUE,INDEX($G95:$Z95&lt;&gt;0,),0)),$G95:$Z95,0)-1,4)&amp;":"&amp;ADDRESS(ROW($G95),COLUMN($G95)+MATCH(F$5,$G$5:$Z$5,1),4)),INDIRECT(""&amp;ADDRESS(ROW(F$5),COLUMN($G95)+MATCH(INDEX($G95:$Z95,MATCH(TRUE,INDEX($G95:$Z95&lt;&gt;0,),0)),$G95:$Z95,0)-1,4) &amp; ":" &amp; ADDRESS(ROW($G$5),COLUMN($G95)+MATCH(F$5,$G$5:$Z$5,1),4))),"na")</f>
        <v>na</v>
      </c>
      <c r="H98" s="86" t="str">
        <f t="shared" ca="1" si="65"/>
        <v>na</v>
      </c>
      <c r="I98" s="86" t="str">
        <f t="shared" ca="1" si="65"/>
        <v>na</v>
      </c>
      <c r="J98" s="86">
        <f t="shared" ca="1" si="65"/>
        <v>0.54750590920448283</v>
      </c>
      <c r="K98" s="86">
        <f t="shared" ca="1" si="65"/>
        <v>0.62126011252403279</v>
      </c>
      <c r="L98" s="86">
        <f t="shared" ca="1" si="65"/>
        <v>0.62126011252403279</v>
      </c>
      <c r="M98" s="86">
        <f t="shared" ca="1" si="65"/>
        <v>0.64753323197364809</v>
      </c>
      <c r="N98" s="86">
        <f t="shared" ca="1" si="65"/>
        <v>0.67718520760536183</v>
      </c>
      <c r="O98" s="86">
        <f t="shared" ca="1" si="65"/>
        <v>0.67832481265068079</v>
      </c>
      <c r="P98" s="86">
        <f t="shared" ca="1" si="65"/>
        <v>0.6935253262519836</v>
      </c>
      <c r="Q98" s="86">
        <f t="shared" ca="1" si="65"/>
        <v>0.6935253262519836</v>
      </c>
      <c r="R98" s="86">
        <f t="shared" ca="1" si="65"/>
        <v>0.6935253262519836</v>
      </c>
      <c r="S98" s="86">
        <f t="shared" ca="1" si="65"/>
        <v>0.6935253262519836</v>
      </c>
      <c r="T98" s="86">
        <f t="shared" ca="1" si="65"/>
        <v>0.6935253262519836</v>
      </c>
      <c r="U98" s="86">
        <f t="shared" ca="1" si="65"/>
        <v>0.6935253262519836</v>
      </c>
      <c r="V98" s="86">
        <f t="shared" ca="1" si="65"/>
        <v>0.6935253262519836</v>
      </c>
      <c r="W98" s="86">
        <f t="shared" ca="1" si="65"/>
        <v>0.6935253262519836</v>
      </c>
      <c r="X98" s="86">
        <f t="shared" ca="1" si="65"/>
        <v>0.6935253262519836</v>
      </c>
      <c r="Y98" s="86">
        <f t="shared" ca="1" si="65"/>
        <v>0.6935253262519836</v>
      </c>
      <c r="Z98" s="86">
        <f t="shared" ca="1" si="65"/>
        <v>0.6935253262519836</v>
      </c>
    </row>
    <row r="99" spans="2:26" ht="13">
      <c r="B99" s="13" t="s">
        <v>234</v>
      </c>
      <c r="C99" s="34" t="s">
        <v>233</v>
      </c>
      <c r="D99" s="13" t="s">
        <v>175</v>
      </c>
      <c r="E99" s="27">
        <f t="shared" ca="1" si="61"/>
        <v>56160000</v>
      </c>
      <c r="F99" s="27"/>
      <c r="G99" s="27">
        <f t="shared" ref="G99:Z99" ca="1" si="66">-1*G31+G47</f>
        <v>-5665000</v>
      </c>
      <c r="H99" s="27">
        <f t="shared" ca="1" si="66"/>
        <v>-4225259.7402597405</v>
      </c>
      <c r="I99" s="27">
        <f t="shared" ca="1" si="66"/>
        <v>-5565000</v>
      </c>
      <c r="J99" s="27">
        <f t="shared" ca="1" si="66"/>
        <v>27923701.298701297</v>
      </c>
      <c r="K99" s="27">
        <f t="shared" ca="1" si="66"/>
        <v>5414220.7792207794</v>
      </c>
      <c r="L99" s="27">
        <f t="shared" ca="1" si="66"/>
        <v>-565000</v>
      </c>
      <c r="M99" s="27">
        <f t="shared" ca="1" si="66"/>
        <v>6073961.0389610389</v>
      </c>
      <c r="N99" s="27">
        <f t="shared" ca="1" si="66"/>
        <v>12733701.298701299</v>
      </c>
      <c r="O99" s="27">
        <f t="shared" ca="1" si="66"/>
        <v>339935.06493506511</v>
      </c>
      <c r="P99" s="27">
        <f t="shared" ca="1" si="66"/>
        <v>19694740.259740259</v>
      </c>
      <c r="Q99" s="27">
        <f t="shared" ca="1" si="66"/>
        <v>0</v>
      </c>
      <c r="R99" s="27">
        <f t="shared" ca="1" si="66"/>
        <v>0</v>
      </c>
      <c r="S99" s="27">
        <f t="shared" ca="1" si="66"/>
        <v>0</v>
      </c>
      <c r="T99" s="27">
        <f t="shared" ca="1" si="66"/>
        <v>0</v>
      </c>
      <c r="U99" s="27">
        <f t="shared" ca="1" si="66"/>
        <v>0</v>
      </c>
      <c r="V99" s="27">
        <f t="shared" ca="1" si="66"/>
        <v>0</v>
      </c>
      <c r="W99" s="27">
        <f t="shared" ca="1" si="66"/>
        <v>0</v>
      </c>
      <c r="X99" s="27">
        <f t="shared" ca="1" si="66"/>
        <v>0</v>
      </c>
      <c r="Y99" s="27">
        <f t="shared" ca="1" si="66"/>
        <v>0</v>
      </c>
      <c r="Z99" s="27">
        <f t="shared" ca="1" si="66"/>
        <v>0</v>
      </c>
    </row>
    <row r="100" spans="2:26" ht="13">
      <c r="B100" s="13" t="str">
        <f>"Cumulative "&amp;B99</f>
        <v>Cumulative Net (Called Capital) Distributions</v>
      </c>
      <c r="C100" s="34" t="s">
        <v>233</v>
      </c>
      <c r="D100" s="13" t="s">
        <v>185</v>
      </c>
      <c r="E100" s="27">
        <f t="shared" ca="1" si="61"/>
        <v>56160000</v>
      </c>
      <c r="F100" s="27"/>
      <c r="G100" s="27">
        <f t="shared" ref="G100:Z100" ca="1" si="67">F100+G99</f>
        <v>-5665000</v>
      </c>
      <c r="H100" s="27">
        <f t="shared" ca="1" si="67"/>
        <v>-9890259.7402597405</v>
      </c>
      <c r="I100" s="27">
        <f t="shared" ca="1" si="67"/>
        <v>-15455259.740259741</v>
      </c>
      <c r="J100" s="27">
        <f t="shared" ca="1" si="67"/>
        <v>12468441.558441557</v>
      </c>
      <c r="K100" s="27">
        <f t="shared" ca="1" si="67"/>
        <v>17882662.337662335</v>
      </c>
      <c r="L100" s="27">
        <f t="shared" ca="1" si="67"/>
        <v>17317662.337662335</v>
      </c>
      <c r="M100" s="27">
        <f t="shared" ca="1" si="67"/>
        <v>23391623.376623373</v>
      </c>
      <c r="N100" s="27">
        <f t="shared" ca="1" si="67"/>
        <v>36125324.675324671</v>
      </c>
      <c r="O100" s="27">
        <f t="shared" ca="1" si="67"/>
        <v>36465259.740259737</v>
      </c>
      <c r="P100" s="27">
        <f t="shared" ca="1" si="67"/>
        <v>56160000</v>
      </c>
      <c r="Q100" s="27">
        <f t="shared" ca="1" si="67"/>
        <v>56160000</v>
      </c>
      <c r="R100" s="27">
        <f t="shared" ca="1" si="67"/>
        <v>56160000</v>
      </c>
      <c r="S100" s="27">
        <f t="shared" ca="1" si="67"/>
        <v>56160000</v>
      </c>
      <c r="T100" s="27">
        <f t="shared" ca="1" si="67"/>
        <v>56160000</v>
      </c>
      <c r="U100" s="27">
        <f t="shared" ca="1" si="67"/>
        <v>56160000</v>
      </c>
      <c r="V100" s="27">
        <f t="shared" ca="1" si="67"/>
        <v>56160000</v>
      </c>
      <c r="W100" s="27">
        <f t="shared" ca="1" si="67"/>
        <v>56160000</v>
      </c>
      <c r="X100" s="27">
        <f t="shared" ca="1" si="67"/>
        <v>56160000</v>
      </c>
      <c r="Y100" s="27">
        <f t="shared" ca="1" si="67"/>
        <v>56160000</v>
      </c>
      <c r="Z100" s="27">
        <f t="shared" ca="1" si="67"/>
        <v>56160000</v>
      </c>
    </row>
    <row r="101" spans="2:26" ht="13">
      <c r="B101" s="13" t="s">
        <v>142</v>
      </c>
      <c r="C101" s="34" t="s">
        <v>233</v>
      </c>
      <c r="D101" s="13" t="s">
        <v>185</v>
      </c>
      <c r="E101" s="84">
        <f t="shared" ca="1" si="61"/>
        <v>3.2464</v>
      </c>
      <c r="F101" s="27"/>
      <c r="G101" s="84">
        <f t="shared" ref="G101:Z101" ca="1" si="68">IFERROR(G76/G60,0)</f>
        <v>0</v>
      </c>
      <c r="H101" s="84">
        <f t="shared" ca="1" si="68"/>
        <v>0.11930011217633657</v>
      </c>
      <c r="I101" s="84">
        <f t="shared" ca="1" si="68"/>
        <v>7.9770185158693649E-2</v>
      </c>
      <c r="J101" s="84">
        <f t="shared" ca="1" si="68"/>
        <v>1.5769755464341304</v>
      </c>
      <c r="K101" s="84">
        <f t="shared" ca="1" si="68"/>
        <v>1.8064334763320107</v>
      </c>
      <c r="L101" s="84">
        <f t="shared" ca="1" si="68"/>
        <v>1.7615506744794345</v>
      </c>
      <c r="M101" s="84">
        <f t="shared" ca="1" si="68"/>
        <v>2.0037169438585445</v>
      </c>
      <c r="N101" s="84">
        <f t="shared" ca="1" si="68"/>
        <v>2.513419550704846</v>
      </c>
      <c r="O101" s="84">
        <f t="shared" ca="1" si="68"/>
        <v>2.4923372105692549</v>
      </c>
      <c r="P101" s="84">
        <f t="shared" ca="1" si="68"/>
        <v>3.2464</v>
      </c>
      <c r="Q101" s="84">
        <f t="shared" ca="1" si="68"/>
        <v>3.2464</v>
      </c>
      <c r="R101" s="84">
        <f t="shared" ca="1" si="68"/>
        <v>3.2464</v>
      </c>
      <c r="S101" s="84">
        <f t="shared" ca="1" si="68"/>
        <v>3.2464</v>
      </c>
      <c r="T101" s="84">
        <f t="shared" ca="1" si="68"/>
        <v>3.2464</v>
      </c>
      <c r="U101" s="84">
        <f t="shared" ca="1" si="68"/>
        <v>3.2464</v>
      </c>
      <c r="V101" s="84">
        <f t="shared" ca="1" si="68"/>
        <v>3.2464</v>
      </c>
      <c r="W101" s="84">
        <f t="shared" ca="1" si="68"/>
        <v>3.2464</v>
      </c>
      <c r="X101" s="84">
        <f t="shared" ca="1" si="68"/>
        <v>3.2464</v>
      </c>
      <c r="Y101" s="84">
        <f t="shared" ca="1" si="68"/>
        <v>3.2464</v>
      </c>
      <c r="Z101" s="84">
        <f t="shared" ca="1" si="68"/>
        <v>3.2464</v>
      </c>
    </row>
    <row r="102" spans="2:26" ht="13">
      <c r="B102" s="13" t="s">
        <v>146</v>
      </c>
      <c r="C102" s="34" t="s">
        <v>233</v>
      </c>
      <c r="D102" s="13" t="s">
        <v>185</v>
      </c>
      <c r="E102" s="86">
        <f t="shared" ca="1" si="61"/>
        <v>0.5046204507350921</v>
      </c>
      <c r="F102" s="27"/>
      <c r="G102" s="86" t="str">
        <f t="shared" ref="G102:Z102" ca="1" si="69">IFERROR(XIRR(INDIRECT(""&amp;ADDRESS(ROW($D99),COLUMN($G99)+MATCH(INDEX($G99:$Z99,MATCH(TRUE,INDEX($G99:$Z99&lt;&gt;0,),0)),$G99:$Z99,0)-1,4)&amp;":"&amp;ADDRESS(ROW($G99),COLUMN($G99)+MATCH(F$5,$G$5:$Z$5,1),4)),INDIRECT(""&amp;ADDRESS(ROW(F$5),COLUMN($G99)+MATCH(INDEX($G99:$Z99,MATCH(TRUE,INDEX($G99:$Z99&lt;&gt;0,),0)),$G99:$Z99,0)-1,4) &amp; ":" &amp; ADDRESS(ROW($G$5),COLUMN($G99)+MATCH(F$5,$G$5:$Z$5,1),4))),"na")</f>
        <v>na</v>
      </c>
      <c r="H102" s="86" t="str">
        <f t="shared" ca="1" si="69"/>
        <v>na</v>
      </c>
      <c r="I102" s="86" t="str">
        <f t="shared" ca="1" si="69"/>
        <v>na</v>
      </c>
      <c r="J102" s="86">
        <f t="shared" ca="1" si="69"/>
        <v>0.32355512976646428</v>
      </c>
      <c r="K102" s="86">
        <f t="shared" ca="1" si="69"/>
        <v>0.40269487500190726</v>
      </c>
      <c r="L102" s="86">
        <f t="shared" ca="1" si="69"/>
        <v>0.39729358553886418</v>
      </c>
      <c r="M102" s="86">
        <f t="shared" ca="1" si="69"/>
        <v>0.4353060185909271</v>
      </c>
      <c r="N102" s="86">
        <f t="shared" ca="1" si="69"/>
        <v>0.47933375239372256</v>
      </c>
      <c r="O102" s="86">
        <f t="shared" ca="1" si="69"/>
        <v>0.48003172278404227</v>
      </c>
      <c r="P102" s="86">
        <f t="shared" ca="1" si="69"/>
        <v>0.5046204507350921</v>
      </c>
      <c r="Q102" s="86">
        <f t="shared" ca="1" si="69"/>
        <v>0.5046204507350921</v>
      </c>
      <c r="R102" s="86">
        <f t="shared" ca="1" si="69"/>
        <v>0.5046204507350921</v>
      </c>
      <c r="S102" s="86">
        <f t="shared" ca="1" si="69"/>
        <v>0.5046204507350921</v>
      </c>
      <c r="T102" s="86">
        <f t="shared" ca="1" si="69"/>
        <v>0.5046204507350921</v>
      </c>
      <c r="U102" s="86">
        <f t="shared" ca="1" si="69"/>
        <v>0.5046204507350921</v>
      </c>
      <c r="V102" s="86">
        <f t="shared" ca="1" si="69"/>
        <v>0.5046204507350921</v>
      </c>
      <c r="W102" s="86">
        <f t="shared" ca="1" si="69"/>
        <v>0.5046204507350921</v>
      </c>
      <c r="X102" s="86">
        <f t="shared" ca="1" si="69"/>
        <v>0.5046204507350921</v>
      </c>
      <c r="Y102" s="86">
        <f t="shared" ca="1" si="69"/>
        <v>0.5046204507350921</v>
      </c>
      <c r="Z102" s="86">
        <f t="shared" ca="1" si="69"/>
        <v>0.5046204507350921</v>
      </c>
    </row>
    <row r="103" spans="2:26" ht="13" collapsed="1">
      <c r="B103" s="13" t="s">
        <v>235</v>
      </c>
      <c r="C103" s="34" t="s">
        <v>236</v>
      </c>
      <c r="D103" s="13" t="s">
        <v>185</v>
      </c>
      <c r="E103" s="79">
        <f t="shared" ca="1" si="61"/>
        <v>0.50523224503967912</v>
      </c>
      <c r="F103" s="27"/>
      <c r="G103" s="79">
        <f t="shared" ref="G103:Z103" ca="1" si="70">INDEX($C104:$C123,G4)</f>
        <v>0</v>
      </c>
      <c r="H103" s="79">
        <f t="shared" ca="1" si="70"/>
        <v>-0.15715088089315798</v>
      </c>
      <c r="I103" s="79">
        <f t="shared" ca="1" si="70"/>
        <v>-9.6979353764910403E-2</v>
      </c>
      <c r="J103" s="79">
        <f t="shared" ca="1" si="70"/>
        <v>0.57162677122548544</v>
      </c>
      <c r="K103" s="79">
        <f t="shared" ca="1" si="70"/>
        <v>0.52176553566862705</v>
      </c>
      <c r="L103" s="79">
        <f t="shared" ca="1" si="70"/>
        <v>0.46769880626341132</v>
      </c>
      <c r="M103" s="79">
        <f t="shared" ca="1" si="70"/>
        <v>0.46875172954435884</v>
      </c>
      <c r="N103" s="79">
        <f t="shared" ca="1" si="70"/>
        <v>0.48370699880043877</v>
      </c>
      <c r="O103" s="79">
        <f t="shared" ca="1" si="70"/>
        <v>0.4826709248015475</v>
      </c>
      <c r="P103" s="79">
        <f t="shared" ca="1" si="70"/>
        <v>0.50523224503967912</v>
      </c>
      <c r="Q103" s="79">
        <f t="shared" ca="1" si="70"/>
        <v>0.50523224503967912</v>
      </c>
      <c r="R103" s="79">
        <f t="shared" ca="1" si="70"/>
        <v>0.50523224503967912</v>
      </c>
      <c r="S103" s="79">
        <f t="shared" ca="1" si="70"/>
        <v>0.50523224503967912</v>
      </c>
      <c r="T103" s="79">
        <f t="shared" ca="1" si="70"/>
        <v>0.50523224503967912</v>
      </c>
      <c r="U103" s="79">
        <f t="shared" ca="1" si="70"/>
        <v>0.50523224503967912</v>
      </c>
      <c r="V103" s="79">
        <f t="shared" ca="1" si="70"/>
        <v>0.50523224503967912</v>
      </c>
      <c r="W103" s="79">
        <f t="shared" ca="1" si="70"/>
        <v>0.50523224503967912</v>
      </c>
      <c r="X103" s="79">
        <f t="shared" ca="1" si="70"/>
        <v>0.50523224503967912</v>
      </c>
      <c r="Y103" s="79">
        <f t="shared" ca="1" si="70"/>
        <v>0.50523224503967912</v>
      </c>
      <c r="Z103" s="79">
        <f t="shared" ca="1" si="70"/>
        <v>0.50523224503967912</v>
      </c>
    </row>
    <row r="104" spans="2:26" ht="13" hidden="1" outlineLevel="1">
      <c r="B104" s="87">
        <v>1</v>
      </c>
      <c r="C104" s="51">
        <f ca="1">IFERROR(IRR(F104:Z104),0)</f>
        <v>0</v>
      </c>
      <c r="D104" s="34" t="s">
        <v>175</v>
      </c>
      <c r="E104" s="35">
        <f t="shared" ca="1" si="61"/>
        <v>5000000</v>
      </c>
      <c r="F104" s="27"/>
      <c r="G104" s="35">
        <f ca="1">IF($B104=G$4,G$81,0)</f>
        <v>5000000</v>
      </c>
      <c r="H104" s="27">
        <f t="shared" ref="H104:Z104" si="71">IF(H$4&lt;=$B104,ABS(H$31)*-1+H$47,0)+IF($B104=H$4,H$81,0)</f>
        <v>0</v>
      </c>
      <c r="I104" s="27">
        <f t="shared" si="71"/>
        <v>0</v>
      </c>
      <c r="J104" s="27">
        <f t="shared" si="71"/>
        <v>0</v>
      </c>
      <c r="K104" s="27">
        <f t="shared" si="71"/>
        <v>0</v>
      </c>
      <c r="L104" s="27">
        <f t="shared" si="71"/>
        <v>0</v>
      </c>
      <c r="M104" s="27">
        <f t="shared" si="71"/>
        <v>0</v>
      </c>
      <c r="N104" s="27">
        <f t="shared" si="71"/>
        <v>0</v>
      </c>
      <c r="O104" s="27">
        <f t="shared" si="71"/>
        <v>0</v>
      </c>
      <c r="P104" s="27">
        <f t="shared" si="71"/>
        <v>0</v>
      </c>
      <c r="Q104" s="27">
        <f t="shared" si="71"/>
        <v>0</v>
      </c>
      <c r="R104" s="27">
        <f t="shared" si="71"/>
        <v>0</v>
      </c>
      <c r="S104" s="27">
        <f t="shared" si="71"/>
        <v>0</v>
      </c>
      <c r="T104" s="27">
        <f t="shared" si="71"/>
        <v>0</v>
      </c>
      <c r="U104" s="27">
        <f t="shared" si="71"/>
        <v>0</v>
      </c>
      <c r="V104" s="27">
        <f t="shared" si="71"/>
        <v>0</v>
      </c>
      <c r="W104" s="27">
        <f t="shared" si="71"/>
        <v>0</v>
      </c>
      <c r="X104" s="27">
        <f t="shared" si="71"/>
        <v>0</v>
      </c>
      <c r="Y104" s="27">
        <f t="shared" si="71"/>
        <v>0</v>
      </c>
      <c r="Z104" s="27">
        <f t="shared" si="71"/>
        <v>0</v>
      </c>
    </row>
    <row r="105" spans="2:26" ht="13" hidden="1" outlineLevel="1">
      <c r="B105" s="87">
        <f t="shared" ref="B105:B123" si="72">B104+1</f>
        <v>2</v>
      </c>
      <c r="C105" s="51">
        <f t="shared" ref="C105:C123" ca="1" si="73">IFERROR(IRR(G105:Z105),0)</f>
        <v>-0.15715088089315798</v>
      </c>
      <c r="D105" s="13" t="s">
        <v>175</v>
      </c>
      <c r="E105" s="27">
        <f t="shared" ca="1" si="61"/>
        <v>-890259.7402597405</v>
      </c>
      <c r="F105" s="27"/>
      <c r="G105" s="27">
        <f t="shared" ref="G105:Z105" ca="1" si="74">IF(G$4&lt;=$B105,ABS(G$31)*-1+G$47,0)+IF($B105=G$4,G$81,0)</f>
        <v>-5665000</v>
      </c>
      <c r="H105" s="27">
        <f t="shared" ca="1" si="74"/>
        <v>4774740.2597402595</v>
      </c>
      <c r="I105" s="27">
        <f t="shared" si="74"/>
        <v>0</v>
      </c>
      <c r="J105" s="27">
        <f t="shared" si="74"/>
        <v>0</v>
      </c>
      <c r="K105" s="27">
        <f t="shared" si="74"/>
        <v>0</v>
      </c>
      <c r="L105" s="27">
        <f t="shared" si="74"/>
        <v>0</v>
      </c>
      <c r="M105" s="27">
        <f t="shared" si="74"/>
        <v>0</v>
      </c>
      <c r="N105" s="27">
        <f t="shared" si="74"/>
        <v>0</v>
      </c>
      <c r="O105" s="27">
        <f t="shared" si="74"/>
        <v>0</v>
      </c>
      <c r="P105" s="27">
        <f t="shared" si="74"/>
        <v>0</v>
      </c>
      <c r="Q105" s="27">
        <f t="shared" si="74"/>
        <v>0</v>
      </c>
      <c r="R105" s="27">
        <f t="shared" si="74"/>
        <v>0</v>
      </c>
      <c r="S105" s="27">
        <f t="shared" si="74"/>
        <v>0</v>
      </c>
      <c r="T105" s="27">
        <f t="shared" si="74"/>
        <v>0</v>
      </c>
      <c r="U105" s="27">
        <f t="shared" si="74"/>
        <v>0</v>
      </c>
      <c r="V105" s="27">
        <f t="shared" si="74"/>
        <v>0</v>
      </c>
      <c r="W105" s="27">
        <f t="shared" si="74"/>
        <v>0</v>
      </c>
      <c r="X105" s="27">
        <f t="shared" si="74"/>
        <v>0</v>
      </c>
      <c r="Y105" s="27">
        <f t="shared" si="74"/>
        <v>0</v>
      </c>
      <c r="Z105" s="27">
        <f t="shared" si="74"/>
        <v>0</v>
      </c>
    </row>
    <row r="106" spans="2:26" ht="13" hidden="1" outlineLevel="1">
      <c r="B106" s="87">
        <f t="shared" si="72"/>
        <v>3</v>
      </c>
      <c r="C106" s="51">
        <f t="shared" ca="1" si="73"/>
        <v>-9.6979353764910403E-2</v>
      </c>
      <c r="D106" s="13" t="s">
        <v>175</v>
      </c>
      <c r="E106" s="27">
        <f t="shared" ca="1" si="61"/>
        <v>-1455259.7402597405</v>
      </c>
      <c r="F106" s="27"/>
      <c r="G106" s="27">
        <f t="shared" ref="G106:Z106" ca="1" si="75">IF(G$4&lt;=$B106,ABS(G$31)*-1+G$47,0)+IF($B106=G$4,G$81,0)</f>
        <v>-5665000</v>
      </c>
      <c r="H106" s="27">
        <f t="shared" ca="1" si="75"/>
        <v>-4225259.7402597405</v>
      </c>
      <c r="I106" s="27">
        <f t="shared" ca="1" si="75"/>
        <v>8435000</v>
      </c>
      <c r="J106" s="27">
        <f t="shared" si="75"/>
        <v>0</v>
      </c>
      <c r="K106" s="27">
        <f t="shared" si="75"/>
        <v>0</v>
      </c>
      <c r="L106" s="27">
        <f t="shared" si="75"/>
        <v>0</v>
      </c>
      <c r="M106" s="27">
        <f t="shared" si="75"/>
        <v>0</v>
      </c>
      <c r="N106" s="27">
        <f t="shared" si="75"/>
        <v>0</v>
      </c>
      <c r="O106" s="27">
        <f t="shared" si="75"/>
        <v>0</v>
      </c>
      <c r="P106" s="27">
        <f t="shared" si="75"/>
        <v>0</v>
      </c>
      <c r="Q106" s="27">
        <f t="shared" si="75"/>
        <v>0</v>
      </c>
      <c r="R106" s="27">
        <f t="shared" si="75"/>
        <v>0</v>
      </c>
      <c r="S106" s="27">
        <f t="shared" si="75"/>
        <v>0</v>
      </c>
      <c r="T106" s="27">
        <f t="shared" si="75"/>
        <v>0</v>
      </c>
      <c r="U106" s="27">
        <f t="shared" si="75"/>
        <v>0</v>
      </c>
      <c r="V106" s="27">
        <f t="shared" si="75"/>
        <v>0</v>
      </c>
      <c r="W106" s="27">
        <f t="shared" si="75"/>
        <v>0</v>
      </c>
      <c r="X106" s="27">
        <f t="shared" si="75"/>
        <v>0</v>
      </c>
      <c r="Y106" s="27">
        <f t="shared" si="75"/>
        <v>0</v>
      </c>
      <c r="Z106" s="27">
        <f t="shared" si="75"/>
        <v>0</v>
      </c>
    </row>
    <row r="107" spans="2:26" ht="13" hidden="1" outlineLevel="1">
      <c r="B107" s="87">
        <f t="shared" si="72"/>
        <v>4</v>
      </c>
      <c r="C107" s="51">
        <f t="shared" ca="1" si="73"/>
        <v>0.57162677122548544</v>
      </c>
      <c r="D107" s="13" t="s">
        <v>175</v>
      </c>
      <c r="E107" s="27">
        <f t="shared" ca="1" si="61"/>
        <v>25718441.558441561</v>
      </c>
      <c r="F107" s="27"/>
      <c r="G107" s="27">
        <f t="shared" ref="G107:Z107" ca="1" si="76">IF(G$4&lt;=$B107,ABS(G$31)*-1+G$47,0)+IF($B107=G$4,G$81,0)</f>
        <v>-5665000</v>
      </c>
      <c r="H107" s="27">
        <f t="shared" ca="1" si="76"/>
        <v>-4225259.7402597405</v>
      </c>
      <c r="I107" s="27">
        <f t="shared" ca="1" si="76"/>
        <v>-5565000</v>
      </c>
      <c r="J107" s="27">
        <f t="shared" ca="1" si="76"/>
        <v>41173701.298701301</v>
      </c>
      <c r="K107" s="27">
        <f t="shared" si="76"/>
        <v>0</v>
      </c>
      <c r="L107" s="27">
        <f t="shared" si="76"/>
        <v>0</v>
      </c>
      <c r="M107" s="27">
        <f t="shared" si="76"/>
        <v>0</v>
      </c>
      <c r="N107" s="27">
        <f t="shared" si="76"/>
        <v>0</v>
      </c>
      <c r="O107" s="27">
        <f t="shared" si="76"/>
        <v>0</v>
      </c>
      <c r="P107" s="27">
        <f t="shared" si="76"/>
        <v>0</v>
      </c>
      <c r="Q107" s="27">
        <f t="shared" si="76"/>
        <v>0</v>
      </c>
      <c r="R107" s="27">
        <f t="shared" si="76"/>
        <v>0</v>
      </c>
      <c r="S107" s="27">
        <f t="shared" si="76"/>
        <v>0</v>
      </c>
      <c r="T107" s="27">
        <f t="shared" si="76"/>
        <v>0</v>
      </c>
      <c r="U107" s="27">
        <f t="shared" si="76"/>
        <v>0</v>
      </c>
      <c r="V107" s="27">
        <f t="shared" si="76"/>
        <v>0</v>
      </c>
      <c r="W107" s="27">
        <f t="shared" si="76"/>
        <v>0</v>
      </c>
      <c r="X107" s="27">
        <f t="shared" si="76"/>
        <v>0</v>
      </c>
      <c r="Y107" s="27">
        <f t="shared" si="76"/>
        <v>0</v>
      </c>
      <c r="Z107" s="27">
        <f t="shared" si="76"/>
        <v>0</v>
      </c>
    </row>
    <row r="108" spans="2:26" ht="13" hidden="1" outlineLevel="1">
      <c r="B108" s="87">
        <f t="shared" si="72"/>
        <v>5</v>
      </c>
      <c r="C108" s="51">
        <f t="shared" ca="1" si="73"/>
        <v>0.52176553566862705</v>
      </c>
      <c r="D108" s="13" t="s">
        <v>175</v>
      </c>
      <c r="E108" s="27">
        <f t="shared" ca="1" si="61"/>
        <v>28132662.337662335</v>
      </c>
      <c r="F108" s="27"/>
      <c r="G108" s="27">
        <f t="shared" ref="G108:Z108" ca="1" si="77">IF(G$4&lt;=$B108,ABS(G$31)*-1+G$47,0)+IF($B108=G$4,G$81,0)</f>
        <v>-5665000</v>
      </c>
      <c r="H108" s="27">
        <f t="shared" ca="1" si="77"/>
        <v>-4225259.7402597405</v>
      </c>
      <c r="I108" s="27">
        <f t="shared" ca="1" si="77"/>
        <v>-5565000</v>
      </c>
      <c r="J108" s="27">
        <f t="shared" ca="1" si="77"/>
        <v>27923701.298701297</v>
      </c>
      <c r="K108" s="27">
        <f t="shared" ca="1" si="77"/>
        <v>15664220.779220778</v>
      </c>
      <c r="L108" s="27">
        <f t="shared" si="77"/>
        <v>0</v>
      </c>
      <c r="M108" s="27">
        <f t="shared" si="77"/>
        <v>0</v>
      </c>
      <c r="N108" s="27">
        <f t="shared" si="77"/>
        <v>0</v>
      </c>
      <c r="O108" s="27">
        <f t="shared" si="77"/>
        <v>0</v>
      </c>
      <c r="P108" s="27">
        <f t="shared" si="77"/>
        <v>0</v>
      </c>
      <c r="Q108" s="27">
        <f t="shared" si="77"/>
        <v>0</v>
      </c>
      <c r="R108" s="27">
        <f t="shared" si="77"/>
        <v>0</v>
      </c>
      <c r="S108" s="27">
        <f t="shared" si="77"/>
        <v>0</v>
      </c>
      <c r="T108" s="27">
        <f t="shared" si="77"/>
        <v>0</v>
      </c>
      <c r="U108" s="27">
        <f t="shared" si="77"/>
        <v>0</v>
      </c>
      <c r="V108" s="27">
        <f t="shared" si="77"/>
        <v>0</v>
      </c>
      <c r="W108" s="27">
        <f t="shared" si="77"/>
        <v>0</v>
      </c>
      <c r="X108" s="27">
        <f t="shared" si="77"/>
        <v>0</v>
      </c>
      <c r="Y108" s="27">
        <f t="shared" si="77"/>
        <v>0</v>
      </c>
      <c r="Z108" s="27">
        <f t="shared" si="77"/>
        <v>0</v>
      </c>
    </row>
    <row r="109" spans="2:26" ht="13" hidden="1" outlineLevel="1">
      <c r="B109" s="87">
        <f t="shared" si="72"/>
        <v>6</v>
      </c>
      <c r="C109" s="51">
        <f t="shared" ca="1" si="73"/>
        <v>0.46769880626341132</v>
      </c>
      <c r="D109" s="13" t="s">
        <v>175</v>
      </c>
      <c r="E109" s="27">
        <f t="shared" ca="1" si="61"/>
        <v>25567662.337662335</v>
      </c>
      <c r="F109" s="27"/>
      <c r="G109" s="27">
        <f t="shared" ref="G109:Z109" ca="1" si="78">IF(G$4&lt;=$B109,ABS(G$31)*-1+G$47,0)+IF($B109=G$4,G$81,0)</f>
        <v>-5665000</v>
      </c>
      <c r="H109" s="27">
        <f t="shared" ca="1" si="78"/>
        <v>-4225259.7402597405</v>
      </c>
      <c r="I109" s="27">
        <f t="shared" ca="1" si="78"/>
        <v>-5565000</v>
      </c>
      <c r="J109" s="27">
        <f t="shared" ca="1" si="78"/>
        <v>27923701.298701297</v>
      </c>
      <c r="K109" s="27">
        <f t="shared" ca="1" si="78"/>
        <v>5414220.7792207794</v>
      </c>
      <c r="L109" s="27">
        <f t="shared" ca="1" si="78"/>
        <v>7685000</v>
      </c>
      <c r="M109" s="27">
        <f t="shared" si="78"/>
        <v>0</v>
      </c>
      <c r="N109" s="27">
        <f t="shared" si="78"/>
        <v>0</v>
      </c>
      <c r="O109" s="27">
        <f t="shared" si="78"/>
        <v>0</v>
      </c>
      <c r="P109" s="27">
        <f t="shared" si="78"/>
        <v>0</v>
      </c>
      <c r="Q109" s="27">
        <f t="shared" si="78"/>
        <v>0</v>
      </c>
      <c r="R109" s="27">
        <f t="shared" si="78"/>
        <v>0</v>
      </c>
      <c r="S109" s="27">
        <f t="shared" si="78"/>
        <v>0</v>
      </c>
      <c r="T109" s="27">
        <f t="shared" si="78"/>
        <v>0</v>
      </c>
      <c r="U109" s="27">
        <f t="shared" si="78"/>
        <v>0</v>
      </c>
      <c r="V109" s="27">
        <f t="shared" si="78"/>
        <v>0</v>
      </c>
      <c r="W109" s="27">
        <f t="shared" si="78"/>
        <v>0</v>
      </c>
      <c r="X109" s="27">
        <f t="shared" si="78"/>
        <v>0</v>
      </c>
      <c r="Y109" s="27">
        <f t="shared" si="78"/>
        <v>0</v>
      </c>
      <c r="Z109" s="27">
        <f t="shared" si="78"/>
        <v>0</v>
      </c>
    </row>
    <row r="110" spans="2:26" ht="13" hidden="1" outlineLevel="1">
      <c r="B110" s="87">
        <f t="shared" si="72"/>
        <v>7</v>
      </c>
      <c r="C110" s="51">
        <f t="shared" ca="1" si="73"/>
        <v>0.46875172954435884</v>
      </c>
      <c r="D110" s="13" t="s">
        <v>175</v>
      </c>
      <c r="E110" s="27">
        <f t="shared" ca="1" si="61"/>
        <v>29641623.376623373</v>
      </c>
      <c r="F110" s="27"/>
      <c r="G110" s="27">
        <f t="shared" ref="G110:Z110" ca="1" si="79">IF(G$4&lt;=$B110,ABS(G$31)*-1+G$47,0)+IF($B110=G$4,G$81,0)</f>
        <v>-5665000</v>
      </c>
      <c r="H110" s="27">
        <f t="shared" ca="1" si="79"/>
        <v>-4225259.7402597405</v>
      </c>
      <c r="I110" s="27">
        <f t="shared" ca="1" si="79"/>
        <v>-5565000</v>
      </c>
      <c r="J110" s="27">
        <f t="shared" ca="1" si="79"/>
        <v>27923701.298701297</v>
      </c>
      <c r="K110" s="27">
        <f t="shared" ca="1" si="79"/>
        <v>5414220.7792207794</v>
      </c>
      <c r="L110" s="27">
        <f t="shared" ca="1" si="79"/>
        <v>-565000</v>
      </c>
      <c r="M110" s="27">
        <f t="shared" ca="1" si="79"/>
        <v>12323961.038961038</v>
      </c>
      <c r="N110" s="27">
        <f t="shared" si="79"/>
        <v>0</v>
      </c>
      <c r="O110" s="27">
        <f t="shared" si="79"/>
        <v>0</v>
      </c>
      <c r="P110" s="27">
        <f t="shared" si="79"/>
        <v>0</v>
      </c>
      <c r="Q110" s="27">
        <f t="shared" si="79"/>
        <v>0</v>
      </c>
      <c r="R110" s="27">
        <f t="shared" si="79"/>
        <v>0</v>
      </c>
      <c r="S110" s="27">
        <f t="shared" si="79"/>
        <v>0</v>
      </c>
      <c r="T110" s="27">
        <f t="shared" si="79"/>
        <v>0</v>
      </c>
      <c r="U110" s="27">
        <f t="shared" si="79"/>
        <v>0</v>
      </c>
      <c r="V110" s="27">
        <f t="shared" si="79"/>
        <v>0</v>
      </c>
      <c r="W110" s="27">
        <f t="shared" si="79"/>
        <v>0</v>
      </c>
      <c r="X110" s="27">
        <f t="shared" si="79"/>
        <v>0</v>
      </c>
      <c r="Y110" s="27">
        <f t="shared" si="79"/>
        <v>0</v>
      </c>
      <c r="Z110" s="27">
        <f t="shared" si="79"/>
        <v>0</v>
      </c>
    </row>
    <row r="111" spans="2:26" ht="13" hidden="1" outlineLevel="1">
      <c r="B111" s="87">
        <f t="shared" si="72"/>
        <v>8</v>
      </c>
      <c r="C111" s="51">
        <f t="shared" ca="1" si="73"/>
        <v>0.48370699880043877</v>
      </c>
      <c r="D111" s="13" t="s">
        <v>175</v>
      </c>
      <c r="E111" s="27">
        <f t="shared" ca="1" si="61"/>
        <v>37375324.675324671</v>
      </c>
      <c r="F111" s="27"/>
      <c r="G111" s="27">
        <f t="shared" ref="G111:Z111" ca="1" si="80">IF(G$4&lt;=$B111,ABS(G$31)*-1+G$47,0)+IF($B111=G$4,G$81,0)</f>
        <v>-5665000</v>
      </c>
      <c r="H111" s="27">
        <f t="shared" ca="1" si="80"/>
        <v>-4225259.7402597405</v>
      </c>
      <c r="I111" s="27">
        <f t="shared" ca="1" si="80"/>
        <v>-5565000</v>
      </c>
      <c r="J111" s="27">
        <f t="shared" ca="1" si="80"/>
        <v>27923701.298701297</v>
      </c>
      <c r="K111" s="27">
        <f t="shared" ca="1" si="80"/>
        <v>5414220.7792207794</v>
      </c>
      <c r="L111" s="27">
        <f t="shared" ca="1" si="80"/>
        <v>-565000</v>
      </c>
      <c r="M111" s="27">
        <f t="shared" ca="1" si="80"/>
        <v>6073961.0389610389</v>
      </c>
      <c r="N111" s="27">
        <f t="shared" ca="1" si="80"/>
        <v>13983701.298701299</v>
      </c>
      <c r="O111" s="27">
        <f t="shared" si="80"/>
        <v>0</v>
      </c>
      <c r="P111" s="27">
        <f t="shared" si="80"/>
        <v>0</v>
      </c>
      <c r="Q111" s="27">
        <f t="shared" si="80"/>
        <v>0</v>
      </c>
      <c r="R111" s="27">
        <f t="shared" si="80"/>
        <v>0</v>
      </c>
      <c r="S111" s="27">
        <f t="shared" si="80"/>
        <v>0</v>
      </c>
      <c r="T111" s="27">
        <f t="shared" si="80"/>
        <v>0</v>
      </c>
      <c r="U111" s="27">
        <f t="shared" si="80"/>
        <v>0</v>
      </c>
      <c r="V111" s="27">
        <f t="shared" si="80"/>
        <v>0</v>
      </c>
      <c r="W111" s="27">
        <f t="shared" si="80"/>
        <v>0</v>
      </c>
      <c r="X111" s="27">
        <f t="shared" si="80"/>
        <v>0</v>
      </c>
      <c r="Y111" s="27">
        <f t="shared" si="80"/>
        <v>0</v>
      </c>
      <c r="Z111" s="27">
        <f t="shared" si="80"/>
        <v>0</v>
      </c>
    </row>
    <row r="112" spans="2:26" ht="13" hidden="1" outlineLevel="1">
      <c r="B112" s="87">
        <f t="shared" si="72"/>
        <v>9</v>
      </c>
      <c r="C112" s="51">
        <f t="shared" ca="1" si="73"/>
        <v>0.4826709248015475</v>
      </c>
      <c r="D112" s="13" t="s">
        <v>175</v>
      </c>
      <c r="E112" s="27">
        <f t="shared" ca="1" si="61"/>
        <v>37465259.740259737</v>
      </c>
      <c r="F112" s="27"/>
      <c r="G112" s="27">
        <f t="shared" ref="G112:Z112" ca="1" si="81">IF(G$4&lt;=$B112,ABS(G$31)*-1+G$47,0)+IF($B112=G$4,G$81,0)</f>
        <v>-5665000</v>
      </c>
      <c r="H112" s="27">
        <f t="shared" ca="1" si="81"/>
        <v>-4225259.7402597405</v>
      </c>
      <c r="I112" s="27">
        <f t="shared" ca="1" si="81"/>
        <v>-5565000</v>
      </c>
      <c r="J112" s="27">
        <f t="shared" ca="1" si="81"/>
        <v>27923701.298701297</v>
      </c>
      <c r="K112" s="27">
        <f t="shared" ca="1" si="81"/>
        <v>5414220.7792207794</v>
      </c>
      <c r="L112" s="27">
        <f t="shared" ca="1" si="81"/>
        <v>-565000</v>
      </c>
      <c r="M112" s="27">
        <f t="shared" ca="1" si="81"/>
        <v>6073961.0389610389</v>
      </c>
      <c r="N112" s="27">
        <f t="shared" ca="1" si="81"/>
        <v>12733701.298701299</v>
      </c>
      <c r="O112" s="27">
        <f t="shared" ca="1" si="81"/>
        <v>1339935.0649350651</v>
      </c>
      <c r="P112" s="27">
        <f t="shared" si="81"/>
        <v>0</v>
      </c>
      <c r="Q112" s="27">
        <f t="shared" si="81"/>
        <v>0</v>
      </c>
      <c r="R112" s="27">
        <f t="shared" si="81"/>
        <v>0</v>
      </c>
      <c r="S112" s="27">
        <f t="shared" si="81"/>
        <v>0</v>
      </c>
      <c r="T112" s="27">
        <f t="shared" si="81"/>
        <v>0</v>
      </c>
      <c r="U112" s="27">
        <f t="shared" si="81"/>
        <v>0</v>
      </c>
      <c r="V112" s="27">
        <f t="shared" si="81"/>
        <v>0</v>
      </c>
      <c r="W112" s="27">
        <f t="shared" si="81"/>
        <v>0</v>
      </c>
      <c r="X112" s="27">
        <f t="shared" si="81"/>
        <v>0</v>
      </c>
      <c r="Y112" s="27">
        <f t="shared" si="81"/>
        <v>0</v>
      </c>
      <c r="Z112" s="27">
        <f t="shared" si="81"/>
        <v>0</v>
      </c>
    </row>
    <row r="113" spans="1:26" ht="13" hidden="1" outlineLevel="1">
      <c r="B113" s="87">
        <f t="shared" si="72"/>
        <v>10</v>
      </c>
      <c r="C113" s="51">
        <f t="shared" ca="1" si="73"/>
        <v>0.50523224503967912</v>
      </c>
      <c r="D113" s="13" t="s">
        <v>175</v>
      </c>
      <c r="E113" s="27">
        <f t="shared" ca="1" si="61"/>
        <v>56160000</v>
      </c>
      <c r="F113" s="27"/>
      <c r="G113" s="27">
        <f t="shared" ref="G113:Z113" ca="1" si="82">IF(G$4&lt;=$B113,ABS(G$31)*-1+G$47,0)+IF($B113=G$4,G$81,0)</f>
        <v>-5665000</v>
      </c>
      <c r="H113" s="27">
        <f t="shared" ca="1" si="82"/>
        <v>-4225259.7402597405</v>
      </c>
      <c r="I113" s="27">
        <f t="shared" ca="1" si="82"/>
        <v>-5565000</v>
      </c>
      <c r="J113" s="27">
        <f t="shared" ca="1" si="82"/>
        <v>27923701.298701297</v>
      </c>
      <c r="K113" s="27">
        <f t="shared" ca="1" si="82"/>
        <v>5414220.7792207794</v>
      </c>
      <c r="L113" s="27">
        <f t="shared" ca="1" si="82"/>
        <v>-565000</v>
      </c>
      <c r="M113" s="27">
        <f t="shared" ca="1" si="82"/>
        <v>6073961.0389610389</v>
      </c>
      <c r="N113" s="27">
        <f t="shared" ca="1" si="82"/>
        <v>12733701.298701299</v>
      </c>
      <c r="O113" s="27">
        <f t="shared" ca="1" si="82"/>
        <v>339935.06493506511</v>
      </c>
      <c r="P113" s="27">
        <f t="shared" ca="1" si="82"/>
        <v>19694740.259740259</v>
      </c>
      <c r="Q113" s="27">
        <f t="shared" si="82"/>
        <v>0</v>
      </c>
      <c r="R113" s="27">
        <f t="shared" si="82"/>
        <v>0</v>
      </c>
      <c r="S113" s="27">
        <f t="shared" si="82"/>
        <v>0</v>
      </c>
      <c r="T113" s="27">
        <f t="shared" si="82"/>
        <v>0</v>
      </c>
      <c r="U113" s="27">
        <f t="shared" si="82"/>
        <v>0</v>
      </c>
      <c r="V113" s="27">
        <f t="shared" si="82"/>
        <v>0</v>
      </c>
      <c r="W113" s="27">
        <f t="shared" si="82"/>
        <v>0</v>
      </c>
      <c r="X113" s="27">
        <f t="shared" si="82"/>
        <v>0</v>
      </c>
      <c r="Y113" s="27">
        <f t="shared" si="82"/>
        <v>0</v>
      </c>
      <c r="Z113" s="27">
        <f t="shared" si="82"/>
        <v>0</v>
      </c>
    </row>
    <row r="114" spans="1:26" ht="13" hidden="1" outlineLevel="1">
      <c r="B114" s="87">
        <f t="shared" si="72"/>
        <v>11</v>
      </c>
      <c r="C114" s="51">
        <f t="shared" ca="1" si="73"/>
        <v>0.50523224503967912</v>
      </c>
      <c r="D114" s="13" t="s">
        <v>175</v>
      </c>
      <c r="E114" s="27">
        <f t="shared" ca="1" si="61"/>
        <v>56160000</v>
      </c>
      <c r="F114" s="27"/>
      <c r="G114" s="27">
        <f t="shared" ref="G114:Z114" ca="1" si="83">IF(G$4&lt;=$B114,ABS(G$31)*-1+G$47,0)+IF($B114=G$4,G$81,0)</f>
        <v>-5665000</v>
      </c>
      <c r="H114" s="27">
        <f t="shared" ca="1" si="83"/>
        <v>-4225259.7402597405</v>
      </c>
      <c r="I114" s="27">
        <f t="shared" ca="1" si="83"/>
        <v>-5565000</v>
      </c>
      <c r="J114" s="27">
        <f t="shared" ca="1" si="83"/>
        <v>27923701.298701297</v>
      </c>
      <c r="K114" s="27">
        <f t="shared" ca="1" si="83"/>
        <v>5414220.7792207794</v>
      </c>
      <c r="L114" s="27">
        <f t="shared" ca="1" si="83"/>
        <v>-565000</v>
      </c>
      <c r="M114" s="27">
        <f t="shared" ca="1" si="83"/>
        <v>6073961.0389610389</v>
      </c>
      <c r="N114" s="27">
        <f t="shared" ca="1" si="83"/>
        <v>12733701.298701299</v>
      </c>
      <c r="O114" s="27">
        <f t="shared" ca="1" si="83"/>
        <v>339935.06493506511</v>
      </c>
      <c r="P114" s="27">
        <f t="shared" ca="1" si="83"/>
        <v>19694740.259740259</v>
      </c>
      <c r="Q114" s="27">
        <f t="shared" ca="1" si="83"/>
        <v>0</v>
      </c>
      <c r="R114" s="27">
        <f t="shared" si="83"/>
        <v>0</v>
      </c>
      <c r="S114" s="27">
        <f t="shared" si="83"/>
        <v>0</v>
      </c>
      <c r="T114" s="27">
        <f t="shared" si="83"/>
        <v>0</v>
      </c>
      <c r="U114" s="27">
        <f t="shared" si="83"/>
        <v>0</v>
      </c>
      <c r="V114" s="27">
        <f t="shared" si="83"/>
        <v>0</v>
      </c>
      <c r="W114" s="27">
        <f t="shared" si="83"/>
        <v>0</v>
      </c>
      <c r="X114" s="27">
        <f t="shared" si="83"/>
        <v>0</v>
      </c>
      <c r="Y114" s="27">
        <f t="shared" si="83"/>
        <v>0</v>
      </c>
      <c r="Z114" s="27">
        <f t="shared" si="83"/>
        <v>0</v>
      </c>
    </row>
    <row r="115" spans="1:26" ht="13" hidden="1" outlineLevel="1">
      <c r="B115" s="87">
        <f t="shared" si="72"/>
        <v>12</v>
      </c>
      <c r="C115" s="51">
        <f t="shared" ca="1" si="73"/>
        <v>0.50523224503967912</v>
      </c>
      <c r="D115" s="13" t="s">
        <v>175</v>
      </c>
      <c r="E115" s="27">
        <f t="shared" ca="1" si="61"/>
        <v>56160000</v>
      </c>
      <c r="F115" s="27"/>
      <c r="G115" s="27">
        <f t="shared" ref="G115:Z115" ca="1" si="84">IF(G$4&lt;=$B115,ABS(G$31)*-1+G$47,0)+IF($B115=G$4,G$81,0)</f>
        <v>-5665000</v>
      </c>
      <c r="H115" s="27">
        <f t="shared" ca="1" si="84"/>
        <v>-4225259.7402597405</v>
      </c>
      <c r="I115" s="27">
        <f t="shared" ca="1" si="84"/>
        <v>-5565000</v>
      </c>
      <c r="J115" s="27">
        <f t="shared" ca="1" si="84"/>
        <v>27923701.298701297</v>
      </c>
      <c r="K115" s="27">
        <f t="shared" ca="1" si="84"/>
        <v>5414220.7792207794</v>
      </c>
      <c r="L115" s="27">
        <f t="shared" ca="1" si="84"/>
        <v>-565000</v>
      </c>
      <c r="M115" s="27">
        <f t="shared" ca="1" si="84"/>
        <v>6073961.0389610389</v>
      </c>
      <c r="N115" s="27">
        <f t="shared" ca="1" si="84"/>
        <v>12733701.298701299</v>
      </c>
      <c r="O115" s="27">
        <f t="shared" ca="1" si="84"/>
        <v>339935.06493506511</v>
      </c>
      <c r="P115" s="27">
        <f t="shared" ca="1" si="84"/>
        <v>19694740.259740259</v>
      </c>
      <c r="Q115" s="27">
        <f t="shared" ca="1" si="84"/>
        <v>0</v>
      </c>
      <c r="R115" s="27">
        <f t="shared" ca="1" si="84"/>
        <v>0</v>
      </c>
      <c r="S115" s="27">
        <f t="shared" si="84"/>
        <v>0</v>
      </c>
      <c r="T115" s="27">
        <f t="shared" si="84"/>
        <v>0</v>
      </c>
      <c r="U115" s="27">
        <f t="shared" si="84"/>
        <v>0</v>
      </c>
      <c r="V115" s="27">
        <f t="shared" si="84"/>
        <v>0</v>
      </c>
      <c r="W115" s="27">
        <f t="shared" si="84"/>
        <v>0</v>
      </c>
      <c r="X115" s="27">
        <f t="shared" si="84"/>
        <v>0</v>
      </c>
      <c r="Y115" s="27">
        <f t="shared" si="84"/>
        <v>0</v>
      </c>
      <c r="Z115" s="27">
        <f t="shared" si="84"/>
        <v>0</v>
      </c>
    </row>
    <row r="116" spans="1:26" ht="13" hidden="1" outlineLevel="1">
      <c r="B116" s="87">
        <f t="shared" si="72"/>
        <v>13</v>
      </c>
      <c r="C116" s="51">
        <f t="shared" ca="1" si="73"/>
        <v>0.50523224503967912</v>
      </c>
      <c r="D116" s="13" t="s">
        <v>175</v>
      </c>
      <c r="E116" s="27">
        <f t="shared" ca="1" si="61"/>
        <v>56160000</v>
      </c>
      <c r="F116" s="27"/>
      <c r="G116" s="27">
        <f t="shared" ref="G116:Z116" ca="1" si="85">IF(G$4&lt;=$B116,ABS(G$31)*-1+G$47,0)+IF($B116=G$4,G$81,0)</f>
        <v>-5665000</v>
      </c>
      <c r="H116" s="27">
        <f t="shared" ca="1" si="85"/>
        <v>-4225259.7402597405</v>
      </c>
      <c r="I116" s="27">
        <f t="shared" ca="1" si="85"/>
        <v>-5565000</v>
      </c>
      <c r="J116" s="27">
        <f t="shared" ca="1" si="85"/>
        <v>27923701.298701297</v>
      </c>
      <c r="K116" s="27">
        <f t="shared" ca="1" si="85"/>
        <v>5414220.7792207794</v>
      </c>
      <c r="L116" s="27">
        <f t="shared" ca="1" si="85"/>
        <v>-565000</v>
      </c>
      <c r="M116" s="27">
        <f t="shared" ca="1" si="85"/>
        <v>6073961.0389610389</v>
      </c>
      <c r="N116" s="27">
        <f t="shared" ca="1" si="85"/>
        <v>12733701.298701299</v>
      </c>
      <c r="O116" s="27">
        <f t="shared" ca="1" si="85"/>
        <v>339935.06493506511</v>
      </c>
      <c r="P116" s="27">
        <f t="shared" ca="1" si="85"/>
        <v>19694740.259740259</v>
      </c>
      <c r="Q116" s="27">
        <f t="shared" ca="1" si="85"/>
        <v>0</v>
      </c>
      <c r="R116" s="27">
        <f t="shared" ca="1" si="85"/>
        <v>0</v>
      </c>
      <c r="S116" s="27">
        <f t="shared" ca="1" si="85"/>
        <v>0</v>
      </c>
      <c r="T116" s="27">
        <f t="shared" si="85"/>
        <v>0</v>
      </c>
      <c r="U116" s="27">
        <f t="shared" si="85"/>
        <v>0</v>
      </c>
      <c r="V116" s="27">
        <f t="shared" si="85"/>
        <v>0</v>
      </c>
      <c r="W116" s="27">
        <f t="shared" si="85"/>
        <v>0</v>
      </c>
      <c r="X116" s="27">
        <f t="shared" si="85"/>
        <v>0</v>
      </c>
      <c r="Y116" s="27">
        <f t="shared" si="85"/>
        <v>0</v>
      </c>
      <c r="Z116" s="27">
        <f t="shared" si="85"/>
        <v>0</v>
      </c>
    </row>
    <row r="117" spans="1:26" ht="13" hidden="1" outlineLevel="1">
      <c r="B117" s="87">
        <f t="shared" si="72"/>
        <v>14</v>
      </c>
      <c r="C117" s="51">
        <f t="shared" ca="1" si="73"/>
        <v>0.50523224503967912</v>
      </c>
      <c r="D117" s="13" t="s">
        <v>175</v>
      </c>
      <c r="E117" s="27">
        <f t="shared" ca="1" si="61"/>
        <v>56160000</v>
      </c>
      <c r="F117" s="27"/>
      <c r="G117" s="27">
        <f t="shared" ref="G117:Z117" ca="1" si="86">IF(G$4&lt;=$B117,ABS(G$31)*-1+G$47,0)+IF($B117=G$4,G$81,0)</f>
        <v>-5665000</v>
      </c>
      <c r="H117" s="27">
        <f t="shared" ca="1" si="86"/>
        <v>-4225259.7402597405</v>
      </c>
      <c r="I117" s="27">
        <f t="shared" ca="1" si="86"/>
        <v>-5565000</v>
      </c>
      <c r="J117" s="27">
        <f t="shared" ca="1" si="86"/>
        <v>27923701.298701297</v>
      </c>
      <c r="K117" s="27">
        <f t="shared" ca="1" si="86"/>
        <v>5414220.7792207794</v>
      </c>
      <c r="L117" s="27">
        <f t="shared" ca="1" si="86"/>
        <v>-565000</v>
      </c>
      <c r="M117" s="27">
        <f t="shared" ca="1" si="86"/>
        <v>6073961.0389610389</v>
      </c>
      <c r="N117" s="27">
        <f t="shared" ca="1" si="86"/>
        <v>12733701.298701299</v>
      </c>
      <c r="O117" s="27">
        <f t="shared" ca="1" si="86"/>
        <v>339935.06493506511</v>
      </c>
      <c r="P117" s="27">
        <f t="shared" ca="1" si="86"/>
        <v>19694740.259740259</v>
      </c>
      <c r="Q117" s="27">
        <f t="shared" ca="1" si="86"/>
        <v>0</v>
      </c>
      <c r="R117" s="27">
        <f t="shared" ca="1" si="86"/>
        <v>0</v>
      </c>
      <c r="S117" s="27">
        <f t="shared" ca="1" si="86"/>
        <v>0</v>
      </c>
      <c r="T117" s="27">
        <f t="shared" ca="1" si="86"/>
        <v>0</v>
      </c>
      <c r="U117" s="27">
        <f t="shared" si="86"/>
        <v>0</v>
      </c>
      <c r="V117" s="27">
        <f t="shared" si="86"/>
        <v>0</v>
      </c>
      <c r="W117" s="27">
        <f t="shared" si="86"/>
        <v>0</v>
      </c>
      <c r="X117" s="27">
        <f t="shared" si="86"/>
        <v>0</v>
      </c>
      <c r="Y117" s="27">
        <f t="shared" si="86"/>
        <v>0</v>
      </c>
      <c r="Z117" s="27">
        <f t="shared" si="86"/>
        <v>0</v>
      </c>
    </row>
    <row r="118" spans="1:26" ht="13" hidden="1" outlineLevel="1">
      <c r="B118" s="87">
        <f t="shared" si="72"/>
        <v>15</v>
      </c>
      <c r="C118" s="51">
        <f t="shared" ca="1" si="73"/>
        <v>0.50523224503967912</v>
      </c>
      <c r="D118" s="13" t="s">
        <v>175</v>
      </c>
      <c r="E118" s="27">
        <f t="shared" ca="1" si="61"/>
        <v>56160000</v>
      </c>
      <c r="F118" s="27"/>
      <c r="G118" s="27">
        <f t="shared" ref="G118:Z118" ca="1" si="87">IF(G$4&lt;=$B118,ABS(G$31)*-1+G$47,0)+IF($B118=G$4,G$81,0)</f>
        <v>-5665000</v>
      </c>
      <c r="H118" s="27">
        <f t="shared" ca="1" si="87"/>
        <v>-4225259.7402597405</v>
      </c>
      <c r="I118" s="27">
        <f t="shared" ca="1" si="87"/>
        <v>-5565000</v>
      </c>
      <c r="J118" s="27">
        <f t="shared" ca="1" si="87"/>
        <v>27923701.298701297</v>
      </c>
      <c r="K118" s="27">
        <f t="shared" ca="1" si="87"/>
        <v>5414220.7792207794</v>
      </c>
      <c r="L118" s="27">
        <f t="shared" ca="1" si="87"/>
        <v>-565000</v>
      </c>
      <c r="M118" s="27">
        <f t="shared" ca="1" si="87"/>
        <v>6073961.0389610389</v>
      </c>
      <c r="N118" s="27">
        <f t="shared" ca="1" si="87"/>
        <v>12733701.298701299</v>
      </c>
      <c r="O118" s="27">
        <f t="shared" ca="1" si="87"/>
        <v>339935.06493506511</v>
      </c>
      <c r="P118" s="27">
        <f t="shared" ca="1" si="87"/>
        <v>19694740.259740259</v>
      </c>
      <c r="Q118" s="27">
        <f t="shared" ca="1" si="87"/>
        <v>0</v>
      </c>
      <c r="R118" s="27">
        <f t="shared" ca="1" si="87"/>
        <v>0</v>
      </c>
      <c r="S118" s="27">
        <f t="shared" ca="1" si="87"/>
        <v>0</v>
      </c>
      <c r="T118" s="27">
        <f t="shared" ca="1" si="87"/>
        <v>0</v>
      </c>
      <c r="U118" s="27">
        <f t="shared" ca="1" si="87"/>
        <v>0</v>
      </c>
      <c r="V118" s="27">
        <f t="shared" si="87"/>
        <v>0</v>
      </c>
      <c r="W118" s="27">
        <f t="shared" si="87"/>
        <v>0</v>
      </c>
      <c r="X118" s="27">
        <f t="shared" si="87"/>
        <v>0</v>
      </c>
      <c r="Y118" s="27">
        <f t="shared" si="87"/>
        <v>0</v>
      </c>
      <c r="Z118" s="27">
        <f t="shared" si="87"/>
        <v>0</v>
      </c>
    </row>
    <row r="119" spans="1:26" ht="13" hidden="1" outlineLevel="1">
      <c r="B119" s="87">
        <f t="shared" si="72"/>
        <v>16</v>
      </c>
      <c r="C119" s="51">
        <f t="shared" ca="1" si="73"/>
        <v>0.50523224503967912</v>
      </c>
      <c r="D119" s="13" t="s">
        <v>175</v>
      </c>
      <c r="E119" s="27">
        <f t="shared" ca="1" si="61"/>
        <v>56160000</v>
      </c>
      <c r="F119" s="27"/>
      <c r="G119" s="27">
        <f t="shared" ref="G119:Z119" ca="1" si="88">IF(G$4&lt;=$B119,ABS(G$31)*-1+G$47,0)+IF($B119=G$4,G$81,0)</f>
        <v>-5665000</v>
      </c>
      <c r="H119" s="27">
        <f t="shared" ca="1" si="88"/>
        <v>-4225259.7402597405</v>
      </c>
      <c r="I119" s="27">
        <f t="shared" ca="1" si="88"/>
        <v>-5565000</v>
      </c>
      <c r="J119" s="27">
        <f t="shared" ca="1" si="88"/>
        <v>27923701.298701297</v>
      </c>
      <c r="K119" s="27">
        <f t="shared" ca="1" si="88"/>
        <v>5414220.7792207794</v>
      </c>
      <c r="L119" s="27">
        <f t="shared" ca="1" si="88"/>
        <v>-565000</v>
      </c>
      <c r="M119" s="27">
        <f t="shared" ca="1" si="88"/>
        <v>6073961.0389610389</v>
      </c>
      <c r="N119" s="27">
        <f t="shared" ca="1" si="88"/>
        <v>12733701.298701299</v>
      </c>
      <c r="O119" s="27">
        <f t="shared" ca="1" si="88"/>
        <v>339935.06493506511</v>
      </c>
      <c r="P119" s="27">
        <f t="shared" ca="1" si="88"/>
        <v>19694740.259740259</v>
      </c>
      <c r="Q119" s="27">
        <f t="shared" ca="1" si="88"/>
        <v>0</v>
      </c>
      <c r="R119" s="27">
        <f t="shared" ca="1" si="88"/>
        <v>0</v>
      </c>
      <c r="S119" s="27">
        <f t="shared" ca="1" si="88"/>
        <v>0</v>
      </c>
      <c r="T119" s="27">
        <f t="shared" ca="1" si="88"/>
        <v>0</v>
      </c>
      <c r="U119" s="27">
        <f t="shared" ca="1" si="88"/>
        <v>0</v>
      </c>
      <c r="V119" s="27">
        <f t="shared" ca="1" si="88"/>
        <v>0</v>
      </c>
      <c r="W119" s="27">
        <f t="shared" si="88"/>
        <v>0</v>
      </c>
      <c r="X119" s="27">
        <f t="shared" si="88"/>
        <v>0</v>
      </c>
      <c r="Y119" s="27">
        <f t="shared" si="88"/>
        <v>0</v>
      </c>
      <c r="Z119" s="27">
        <f t="shared" si="88"/>
        <v>0</v>
      </c>
    </row>
    <row r="120" spans="1:26" ht="13" hidden="1" outlineLevel="1">
      <c r="B120" s="87">
        <f t="shared" si="72"/>
        <v>17</v>
      </c>
      <c r="C120" s="51">
        <f t="shared" ca="1" si="73"/>
        <v>0.50523224503967912</v>
      </c>
      <c r="D120" s="13" t="s">
        <v>175</v>
      </c>
      <c r="E120" s="27">
        <f t="shared" ca="1" si="61"/>
        <v>56160000</v>
      </c>
      <c r="F120" s="27"/>
      <c r="G120" s="27">
        <f t="shared" ref="G120:Z120" ca="1" si="89">IF(G$4&lt;=$B120,ABS(G$31)*-1+G$47,0)+IF($B120=G$4,G$81,0)</f>
        <v>-5665000</v>
      </c>
      <c r="H120" s="27">
        <f t="shared" ca="1" si="89"/>
        <v>-4225259.7402597405</v>
      </c>
      <c r="I120" s="27">
        <f t="shared" ca="1" si="89"/>
        <v>-5565000</v>
      </c>
      <c r="J120" s="27">
        <f t="shared" ca="1" si="89"/>
        <v>27923701.298701297</v>
      </c>
      <c r="K120" s="27">
        <f t="shared" ca="1" si="89"/>
        <v>5414220.7792207794</v>
      </c>
      <c r="L120" s="27">
        <f t="shared" ca="1" si="89"/>
        <v>-565000</v>
      </c>
      <c r="M120" s="27">
        <f t="shared" ca="1" si="89"/>
        <v>6073961.0389610389</v>
      </c>
      <c r="N120" s="27">
        <f t="shared" ca="1" si="89"/>
        <v>12733701.298701299</v>
      </c>
      <c r="O120" s="27">
        <f t="shared" ca="1" si="89"/>
        <v>339935.06493506511</v>
      </c>
      <c r="P120" s="27">
        <f t="shared" ca="1" si="89"/>
        <v>19694740.259740259</v>
      </c>
      <c r="Q120" s="27">
        <f t="shared" ca="1" si="89"/>
        <v>0</v>
      </c>
      <c r="R120" s="27">
        <f t="shared" ca="1" si="89"/>
        <v>0</v>
      </c>
      <c r="S120" s="27">
        <f t="shared" ca="1" si="89"/>
        <v>0</v>
      </c>
      <c r="T120" s="27">
        <f t="shared" ca="1" si="89"/>
        <v>0</v>
      </c>
      <c r="U120" s="27">
        <f t="shared" ca="1" si="89"/>
        <v>0</v>
      </c>
      <c r="V120" s="27">
        <f t="shared" ca="1" si="89"/>
        <v>0</v>
      </c>
      <c r="W120" s="27">
        <f t="shared" ca="1" si="89"/>
        <v>0</v>
      </c>
      <c r="X120" s="27">
        <f t="shared" si="89"/>
        <v>0</v>
      </c>
      <c r="Y120" s="27">
        <f t="shared" si="89"/>
        <v>0</v>
      </c>
      <c r="Z120" s="27">
        <f t="shared" si="89"/>
        <v>0</v>
      </c>
    </row>
    <row r="121" spans="1:26" ht="13" hidden="1" outlineLevel="1">
      <c r="B121" s="87">
        <f t="shared" si="72"/>
        <v>18</v>
      </c>
      <c r="C121" s="51">
        <f t="shared" ca="1" si="73"/>
        <v>0.50523224503967912</v>
      </c>
      <c r="D121" s="13" t="s">
        <v>175</v>
      </c>
      <c r="E121" s="27">
        <f t="shared" ca="1" si="61"/>
        <v>56160000</v>
      </c>
      <c r="F121" s="27"/>
      <c r="G121" s="27">
        <f t="shared" ref="G121:Z121" ca="1" si="90">IF(G$4&lt;=$B121,ABS(G$31)*-1+G$47,0)+IF($B121=G$4,G$81,0)</f>
        <v>-5665000</v>
      </c>
      <c r="H121" s="27">
        <f t="shared" ca="1" si="90"/>
        <v>-4225259.7402597405</v>
      </c>
      <c r="I121" s="27">
        <f t="shared" ca="1" si="90"/>
        <v>-5565000</v>
      </c>
      <c r="J121" s="27">
        <f t="shared" ca="1" si="90"/>
        <v>27923701.298701297</v>
      </c>
      <c r="K121" s="27">
        <f t="shared" ca="1" si="90"/>
        <v>5414220.7792207794</v>
      </c>
      <c r="L121" s="27">
        <f t="shared" ca="1" si="90"/>
        <v>-565000</v>
      </c>
      <c r="M121" s="27">
        <f t="shared" ca="1" si="90"/>
        <v>6073961.0389610389</v>
      </c>
      <c r="N121" s="27">
        <f t="shared" ca="1" si="90"/>
        <v>12733701.298701299</v>
      </c>
      <c r="O121" s="27">
        <f t="shared" ca="1" si="90"/>
        <v>339935.06493506511</v>
      </c>
      <c r="P121" s="27">
        <f t="shared" ca="1" si="90"/>
        <v>19694740.259740259</v>
      </c>
      <c r="Q121" s="27">
        <f t="shared" ca="1" si="90"/>
        <v>0</v>
      </c>
      <c r="R121" s="27">
        <f t="shared" ca="1" si="90"/>
        <v>0</v>
      </c>
      <c r="S121" s="27">
        <f t="shared" ca="1" si="90"/>
        <v>0</v>
      </c>
      <c r="T121" s="27">
        <f t="shared" ca="1" si="90"/>
        <v>0</v>
      </c>
      <c r="U121" s="27">
        <f t="shared" ca="1" si="90"/>
        <v>0</v>
      </c>
      <c r="V121" s="27">
        <f t="shared" ca="1" si="90"/>
        <v>0</v>
      </c>
      <c r="W121" s="27">
        <f t="shared" ca="1" si="90"/>
        <v>0</v>
      </c>
      <c r="X121" s="27">
        <f t="shared" ca="1" si="90"/>
        <v>0</v>
      </c>
      <c r="Y121" s="27">
        <f t="shared" si="90"/>
        <v>0</v>
      </c>
      <c r="Z121" s="27">
        <f t="shared" si="90"/>
        <v>0</v>
      </c>
    </row>
    <row r="122" spans="1:26" ht="13" hidden="1" outlineLevel="1">
      <c r="B122" s="87">
        <f t="shared" si="72"/>
        <v>19</v>
      </c>
      <c r="C122" s="51">
        <f t="shared" ca="1" si="73"/>
        <v>0.50523224503967912</v>
      </c>
      <c r="D122" s="13" t="s">
        <v>175</v>
      </c>
      <c r="E122" s="27">
        <f t="shared" ca="1" si="61"/>
        <v>56160000</v>
      </c>
      <c r="F122" s="27"/>
      <c r="G122" s="27">
        <f t="shared" ref="G122:Z122" ca="1" si="91">IF(G$4&lt;=$B122,ABS(G$31)*-1+G$47,0)+IF($B122=G$4,G$81,0)</f>
        <v>-5665000</v>
      </c>
      <c r="H122" s="27">
        <f t="shared" ca="1" si="91"/>
        <v>-4225259.7402597405</v>
      </c>
      <c r="I122" s="27">
        <f t="shared" ca="1" si="91"/>
        <v>-5565000</v>
      </c>
      <c r="J122" s="27">
        <f t="shared" ca="1" si="91"/>
        <v>27923701.298701297</v>
      </c>
      <c r="K122" s="27">
        <f t="shared" ca="1" si="91"/>
        <v>5414220.7792207794</v>
      </c>
      <c r="L122" s="27">
        <f t="shared" ca="1" si="91"/>
        <v>-565000</v>
      </c>
      <c r="M122" s="27">
        <f t="shared" ca="1" si="91"/>
        <v>6073961.0389610389</v>
      </c>
      <c r="N122" s="27">
        <f t="shared" ca="1" si="91"/>
        <v>12733701.298701299</v>
      </c>
      <c r="O122" s="27">
        <f t="shared" ca="1" si="91"/>
        <v>339935.06493506511</v>
      </c>
      <c r="P122" s="27">
        <f t="shared" ca="1" si="91"/>
        <v>19694740.259740259</v>
      </c>
      <c r="Q122" s="27">
        <f t="shared" ca="1" si="91"/>
        <v>0</v>
      </c>
      <c r="R122" s="27">
        <f t="shared" ca="1" si="91"/>
        <v>0</v>
      </c>
      <c r="S122" s="27">
        <f t="shared" ca="1" si="91"/>
        <v>0</v>
      </c>
      <c r="T122" s="27">
        <f t="shared" ca="1" si="91"/>
        <v>0</v>
      </c>
      <c r="U122" s="27">
        <f t="shared" ca="1" si="91"/>
        <v>0</v>
      </c>
      <c r="V122" s="27">
        <f t="shared" ca="1" si="91"/>
        <v>0</v>
      </c>
      <c r="W122" s="27">
        <f t="shared" ca="1" si="91"/>
        <v>0</v>
      </c>
      <c r="X122" s="27">
        <f t="shared" ca="1" si="91"/>
        <v>0</v>
      </c>
      <c r="Y122" s="27">
        <f t="shared" ca="1" si="91"/>
        <v>0</v>
      </c>
      <c r="Z122" s="27">
        <f t="shared" si="91"/>
        <v>0</v>
      </c>
    </row>
    <row r="123" spans="1:26" ht="13" hidden="1" outlineLevel="1">
      <c r="B123" s="87">
        <f t="shared" si="72"/>
        <v>20</v>
      </c>
      <c r="C123" s="51">
        <f t="shared" ca="1" si="73"/>
        <v>0.50523224503967912</v>
      </c>
      <c r="D123" s="13" t="s">
        <v>175</v>
      </c>
      <c r="E123" s="27">
        <f t="shared" ca="1" si="61"/>
        <v>56160000</v>
      </c>
      <c r="F123" s="27"/>
      <c r="G123" s="27">
        <f t="shared" ref="G123:Z123" ca="1" si="92">IF(G$4&lt;=$B123,ABS(G$31)*-1+G$47,0)+IF($B123=G$4,G$81,0)</f>
        <v>-5665000</v>
      </c>
      <c r="H123" s="27">
        <f t="shared" ca="1" si="92"/>
        <v>-4225259.7402597405</v>
      </c>
      <c r="I123" s="27">
        <f t="shared" ca="1" si="92"/>
        <v>-5565000</v>
      </c>
      <c r="J123" s="27">
        <f t="shared" ca="1" si="92"/>
        <v>27923701.298701297</v>
      </c>
      <c r="K123" s="27">
        <f t="shared" ca="1" si="92"/>
        <v>5414220.7792207794</v>
      </c>
      <c r="L123" s="27">
        <f t="shared" ca="1" si="92"/>
        <v>-565000</v>
      </c>
      <c r="M123" s="27">
        <f t="shared" ca="1" si="92"/>
        <v>6073961.0389610389</v>
      </c>
      <c r="N123" s="27">
        <f t="shared" ca="1" si="92"/>
        <v>12733701.298701299</v>
      </c>
      <c r="O123" s="27">
        <f t="shared" ca="1" si="92"/>
        <v>339935.06493506511</v>
      </c>
      <c r="P123" s="27">
        <f t="shared" ca="1" si="92"/>
        <v>19694740.259740259</v>
      </c>
      <c r="Q123" s="27">
        <f t="shared" ca="1" si="92"/>
        <v>0</v>
      </c>
      <c r="R123" s="27">
        <f t="shared" ca="1" si="92"/>
        <v>0</v>
      </c>
      <c r="S123" s="27">
        <f t="shared" ca="1" si="92"/>
        <v>0</v>
      </c>
      <c r="T123" s="27">
        <f t="shared" ca="1" si="92"/>
        <v>0</v>
      </c>
      <c r="U123" s="27">
        <f t="shared" ca="1" si="92"/>
        <v>0</v>
      </c>
      <c r="V123" s="27">
        <f t="shared" ca="1" si="92"/>
        <v>0</v>
      </c>
      <c r="W123" s="27">
        <f t="shared" ca="1" si="92"/>
        <v>0</v>
      </c>
      <c r="X123" s="27">
        <f t="shared" ca="1" si="92"/>
        <v>0</v>
      </c>
      <c r="Y123" s="27">
        <f t="shared" ca="1" si="92"/>
        <v>0</v>
      </c>
      <c r="Z123" s="27">
        <f t="shared" ca="1" si="92"/>
        <v>0</v>
      </c>
    </row>
    <row r="124" spans="1:26" ht="13">
      <c r="A124" s="34"/>
      <c r="B124" s="34" t="s">
        <v>237</v>
      </c>
      <c r="C124" s="34" t="s">
        <v>238</v>
      </c>
      <c r="D124" s="34" t="s">
        <v>185</v>
      </c>
      <c r="E124" s="42">
        <f t="shared" ca="1" si="61"/>
        <v>4.9454545454545453</v>
      </c>
      <c r="F124" s="77"/>
      <c r="G124" s="42">
        <f t="shared" ref="G124:Z124" ca="1" si="93">IFERROR((G81+G72)/G67,0)</f>
        <v>1</v>
      </c>
      <c r="H124" s="42">
        <f t="shared" ca="1" si="93"/>
        <v>1.0349999999999999</v>
      </c>
      <c r="I124" s="42">
        <f t="shared" ca="1" si="93"/>
        <v>1.0233333333333334</v>
      </c>
      <c r="J124" s="42">
        <f t="shared" ca="1" si="93"/>
        <v>2.8</v>
      </c>
      <c r="K124" s="42">
        <f t="shared" ca="1" si="93"/>
        <v>2.9818181818181819</v>
      </c>
      <c r="L124" s="42">
        <f t="shared" ca="1" si="93"/>
        <v>2.877922077922078</v>
      </c>
      <c r="M124" s="42">
        <f t="shared" ca="1" si="93"/>
        <v>3.1376623376623378</v>
      </c>
      <c r="N124" s="42">
        <f t="shared" ca="1" si="93"/>
        <v>3.657142857142857</v>
      </c>
      <c r="O124" s="42">
        <f t="shared" ca="1" si="93"/>
        <v>3.6987012987012986</v>
      </c>
      <c r="P124" s="42">
        <f t="shared" ca="1" si="93"/>
        <v>4.9454545454545453</v>
      </c>
      <c r="Q124" s="42">
        <f t="shared" ca="1" si="93"/>
        <v>4.9454545454545453</v>
      </c>
      <c r="R124" s="42">
        <f t="shared" ca="1" si="93"/>
        <v>4.9454545454545453</v>
      </c>
      <c r="S124" s="42">
        <f t="shared" ca="1" si="93"/>
        <v>4.9454545454545453</v>
      </c>
      <c r="T124" s="42">
        <f t="shared" ca="1" si="93"/>
        <v>4.9454545454545453</v>
      </c>
      <c r="U124" s="42">
        <f t="shared" ca="1" si="93"/>
        <v>4.9454545454545453</v>
      </c>
      <c r="V124" s="42">
        <f t="shared" ca="1" si="93"/>
        <v>4.9454545454545453</v>
      </c>
      <c r="W124" s="42">
        <f t="shared" ca="1" si="93"/>
        <v>4.9454545454545453</v>
      </c>
      <c r="X124" s="42">
        <f t="shared" ca="1" si="93"/>
        <v>4.9454545454545453</v>
      </c>
      <c r="Y124" s="42">
        <f t="shared" ca="1" si="93"/>
        <v>4.9454545454545453</v>
      </c>
      <c r="Z124" s="42">
        <f t="shared" ca="1" si="93"/>
        <v>4.9454545454545453</v>
      </c>
    </row>
    <row r="125" spans="1:26" ht="13">
      <c r="A125" s="34"/>
      <c r="B125" s="34" t="s">
        <v>239</v>
      </c>
      <c r="C125" s="34" t="s">
        <v>240</v>
      </c>
      <c r="D125" s="34" t="s">
        <v>185</v>
      </c>
      <c r="E125" s="42">
        <f t="shared" ca="1" si="61"/>
        <v>3.2464</v>
      </c>
      <c r="F125" s="77"/>
      <c r="G125" s="42">
        <f ca="1">IFERROR((IFERROR((G81-(MAX(0,(F81+G51+G50+G72-G71-G60))*'Get Started'!$E14-G75)),0)+G76)/G60,0)</f>
        <v>0.88261253309796994</v>
      </c>
      <c r="H125" s="42">
        <f ca="1">IFERROR((IFERROR((H81-(MAX(0,(G81+H51+H50+H72-H71-H60))*'Get Started'!$E14-H75)),0)+H76)/H60,0)</f>
        <v>0.92163846838824581</v>
      </c>
      <c r="I125" s="42">
        <f ca="1">IFERROR((IFERROR((I81-(MAX(0,(H81+I51+I50+I72-I71-I60))*'Get Started'!$E14-I75)),0)+I76)/I60,0)</f>
        <v>0.91396248883596309</v>
      </c>
      <c r="J125" s="42">
        <f ca="1">IFERROR((IFERROR((J81-(MAX(0,(I81+J51+J50+J72-J71-J60))*'Get Started'!$E14-J75)),0)+J76)/J60,0)</f>
        <v>2.1953725127255899</v>
      </c>
      <c r="K125" s="42">
        <f ca="1">IFERROR((IFERROR((K81-(MAX(0,(J81+K51+K50+K72-K71-K60))*'Get Started'!$E14-K75)),0)+K76)/K60,0)</f>
        <v>2.2708004509582862</v>
      </c>
      <c r="L125" s="42">
        <f ca="1">IFERROR((IFERROR((L81-(MAX(0,(K81+L51+L50+L72-L71-L60))*'Get Started'!$E14-L75)),0)+L76)/L60,0)</f>
        <v>2.1489885664028145</v>
      </c>
      <c r="M125" s="42">
        <f ca="1">IFERROR((IFERROR((M81-(MAX(0,(L81+M51+M50+M72-M71-M60))*'Get Started'!$E14-M75)),0)+M76)/M60,0)</f>
        <v>2.2733748122720447</v>
      </c>
      <c r="N125" s="42">
        <f ca="1">IFERROR((IFERROR((N81-(MAX(0,(M81+N51+N50+N72-N71-N60))*'Get Started'!$E14-N75)),0)+N76)/N60,0)</f>
        <v>2.5594470046082951</v>
      </c>
      <c r="O125" s="42">
        <f ca="1">IFERROR((IFERROR((O81-(MAX(0,(N81+O51+O50+O72-O71-O60))*'Get Started'!$E14-O75)),0)+O76)/O60,0)</f>
        <v>2.5310824636791489</v>
      </c>
      <c r="P125" s="42">
        <f ca="1">IFERROR((IFERROR((P81-(MAX(0,(O81+P51+P50+P72-P71-P60))*'Get Started'!$E14-P75)),0)+P76)/P60,0)</f>
        <v>3.2464</v>
      </c>
      <c r="Q125" s="42">
        <f ca="1">IFERROR((IFERROR((Q81-(MAX(0,(P81+Q51+Q50+Q72-Q71-Q60))*'Get Started'!$E14-Q75)),0)+Q76)/Q60,0)</f>
        <v>3.2464</v>
      </c>
      <c r="R125" s="42">
        <f ca="1">IFERROR((IFERROR((R81-(MAX(0,(Q81+R51+R50+R72-R71-R60))*'Get Started'!$E14-R75)),0)+R76)/R60,0)</f>
        <v>3.2464</v>
      </c>
      <c r="S125" s="42">
        <f ca="1">IFERROR((IFERROR((S81-(MAX(0,(R81+S51+S50+S72-S71-S60))*'Get Started'!$E14-S75)),0)+S76)/S60,0)</f>
        <v>3.2464</v>
      </c>
      <c r="T125" s="42">
        <f ca="1">IFERROR((IFERROR((T81-(MAX(0,(S81+T51+T50+T72-T71-T60))*'Get Started'!$E14-T75)),0)+T76)/T60,0)</f>
        <v>3.2464</v>
      </c>
      <c r="U125" s="42">
        <f ca="1">IFERROR((IFERROR((U81-(MAX(0,(T81+U51+U50+U72-U71-U60))*'Get Started'!$E14-U75)),0)+U76)/U60,0)</f>
        <v>3.2464</v>
      </c>
      <c r="V125" s="42">
        <f ca="1">IFERROR((IFERROR((V81-(MAX(0,(U81+V51+V50+V72-V71-V60))*'Get Started'!$E14-V75)),0)+V76)/V60,0)</f>
        <v>3.2464</v>
      </c>
      <c r="W125" s="42">
        <f ca="1">IFERROR((IFERROR((W81-(MAX(0,(V81+W51+W50+W72-W71-W60))*'Get Started'!$E14-W75)),0)+W76)/W60,0)</f>
        <v>3.2464</v>
      </c>
      <c r="X125" s="42">
        <f ca="1">IFERROR((IFERROR((X81-(MAX(0,(W81+X51+X50+X72-X71-X60))*'Get Started'!$E14-X75)),0)+X76)/X60,0)</f>
        <v>3.2464</v>
      </c>
      <c r="Y125" s="42">
        <f ca="1">IFERROR((IFERROR((Y81-(MAX(0,(X81+Y51+Y50+Y72-Y71-Y60))*'Get Started'!$E14-Y75)),0)+Y76)/Y60,0)</f>
        <v>3.2464</v>
      </c>
      <c r="Z125" s="42">
        <f ca="1">IFERROR((IFERROR((Z81-(MAX(0,(Y81+Z51+Z50+Z72-Z71-Z60))*'Get Started'!$E14-Z75)),0)+Z76)/Z60,0)</f>
        <v>3.2464</v>
      </c>
    </row>
    <row r="126" spans="1:26" ht="13">
      <c r="C126" s="13"/>
      <c r="D126" s="13"/>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
      <c r="B127" s="88" t="str">
        <f>"Waterfall, "&amp;C127&amp;""</f>
        <v>Waterfall, Deal-by-deal with clawback (American)</v>
      </c>
      <c r="C127" s="89" t="s">
        <v>241</v>
      </c>
      <c r="D127" s="13"/>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
      <c r="B128" s="13" t="s">
        <v>242</v>
      </c>
      <c r="C128" s="13" t="s">
        <v>243</v>
      </c>
      <c r="D128" s="13" t="s">
        <v>175</v>
      </c>
      <c r="E128" s="27">
        <f t="shared" ref="E128:E134" ca="1" si="94">IF(D128="sum",SUM(G128:Z128),IF(D128="final",Z128,IF(D128="initial",G128,IF(D128="average",AVERAGE(G128:Z128),0))))</f>
        <v>95200000</v>
      </c>
      <c r="F128" s="79"/>
      <c r="G128" s="35">
        <f t="shared" ref="G128:Z128" ca="1" si="95">IF($E20&gt;0,  MAX(0, MIN(G24, SUM(G22,G24,G26,G27) )), MAX(0,SUM(G22,G23,G24,G26,G27)) )</f>
        <v>0</v>
      </c>
      <c r="H128" s="35">
        <f t="shared" ca="1" si="95"/>
        <v>1350000</v>
      </c>
      <c r="I128" s="35">
        <f t="shared" ca="1" si="95"/>
        <v>0</v>
      </c>
      <c r="J128" s="35">
        <f t="shared" ca="1" si="95"/>
        <v>39300000</v>
      </c>
      <c r="K128" s="35">
        <f t="shared" ca="1" si="95"/>
        <v>6500000</v>
      </c>
      <c r="L128" s="35">
        <f t="shared" ca="1" si="95"/>
        <v>0</v>
      </c>
      <c r="M128" s="35">
        <f t="shared" ca="1" si="95"/>
        <v>7000000</v>
      </c>
      <c r="N128" s="35">
        <f t="shared" ca="1" si="95"/>
        <v>15000000</v>
      </c>
      <c r="O128" s="35">
        <f t="shared" ca="1" si="95"/>
        <v>1050000</v>
      </c>
      <c r="P128" s="35">
        <f t="shared" ca="1" si="95"/>
        <v>25000000</v>
      </c>
      <c r="Q128" s="35">
        <f t="shared" ca="1" si="95"/>
        <v>0</v>
      </c>
      <c r="R128" s="35">
        <f t="shared" ca="1" si="95"/>
        <v>0</v>
      </c>
      <c r="S128" s="35">
        <f t="shared" ca="1" si="95"/>
        <v>0</v>
      </c>
      <c r="T128" s="35">
        <f t="shared" ca="1" si="95"/>
        <v>0</v>
      </c>
      <c r="U128" s="35">
        <f t="shared" ca="1" si="95"/>
        <v>0</v>
      </c>
      <c r="V128" s="35">
        <f t="shared" ca="1" si="95"/>
        <v>0</v>
      </c>
      <c r="W128" s="35">
        <f t="shared" ca="1" si="95"/>
        <v>0</v>
      </c>
      <c r="X128" s="35">
        <f t="shared" ca="1" si="95"/>
        <v>0</v>
      </c>
      <c r="Y128" s="35">
        <f t="shared" ca="1" si="95"/>
        <v>0</v>
      </c>
      <c r="Z128" s="35">
        <f t="shared" ca="1" si="95"/>
        <v>0</v>
      </c>
    </row>
    <row r="129" spans="1:26" ht="13">
      <c r="A129" s="34"/>
      <c r="B129" s="34" t="s">
        <v>244</v>
      </c>
      <c r="C129" s="34" t="s">
        <v>245</v>
      </c>
      <c r="D129" s="13" t="s">
        <v>175</v>
      </c>
      <c r="E129" s="27">
        <f t="shared" ca="1" si="94"/>
        <v>25000000</v>
      </c>
      <c r="F129" s="77"/>
      <c r="G129" s="35">
        <f t="shared" ref="G129:Z129" ca="1" si="96">IF(OR($C127="total fund (european)",$C127="Deal-by-deal with clawback (American)"),G48/($E38/$E31)+G49/($E38/$E31),G49/($E38/$E31))</f>
        <v>0</v>
      </c>
      <c r="H129" s="35">
        <f t="shared" ca="1" si="96"/>
        <v>1298701.2987012987</v>
      </c>
      <c r="I129" s="35">
        <f t="shared" ca="1" si="96"/>
        <v>0</v>
      </c>
      <c r="J129" s="35">
        <f t="shared" ca="1" si="96"/>
        <v>6493506.493506493</v>
      </c>
      <c r="K129" s="35">
        <f t="shared" ca="1" si="96"/>
        <v>3896103.8961038962</v>
      </c>
      <c r="L129" s="35">
        <f t="shared" ca="1" si="96"/>
        <v>2597402.5974025973</v>
      </c>
      <c r="M129" s="35">
        <f t="shared" ca="1" si="96"/>
        <v>2597402.5974025973</v>
      </c>
      <c r="N129" s="35">
        <f t="shared" ca="1" si="96"/>
        <v>6493506.493506493</v>
      </c>
      <c r="O129" s="35">
        <f t="shared" ca="1" si="96"/>
        <v>324675.32467532466</v>
      </c>
      <c r="P129" s="35">
        <f t="shared" ca="1" si="96"/>
        <v>1298701.2987012987</v>
      </c>
      <c r="Q129" s="35">
        <f t="shared" ca="1" si="96"/>
        <v>0</v>
      </c>
      <c r="R129" s="35">
        <f t="shared" ca="1" si="96"/>
        <v>0</v>
      </c>
      <c r="S129" s="35">
        <f t="shared" ca="1" si="96"/>
        <v>0</v>
      </c>
      <c r="T129" s="35">
        <f t="shared" ca="1" si="96"/>
        <v>0</v>
      </c>
      <c r="U129" s="35">
        <f t="shared" ca="1" si="96"/>
        <v>0</v>
      </c>
      <c r="V129" s="35">
        <f t="shared" ca="1" si="96"/>
        <v>0</v>
      </c>
      <c r="W129" s="35">
        <f t="shared" ca="1" si="96"/>
        <v>0</v>
      </c>
      <c r="X129" s="35">
        <f t="shared" ca="1" si="96"/>
        <v>0</v>
      </c>
      <c r="Y129" s="35">
        <f t="shared" ca="1" si="96"/>
        <v>0</v>
      </c>
      <c r="Z129" s="35">
        <f t="shared" ca="1" si="96"/>
        <v>0</v>
      </c>
    </row>
    <row r="130" spans="1:26" ht="13">
      <c r="A130" s="34"/>
      <c r="B130" s="34" t="s">
        <v>246</v>
      </c>
      <c r="C130" s="34" t="s">
        <v>247</v>
      </c>
      <c r="D130" s="34" t="s">
        <v>175</v>
      </c>
      <c r="E130" s="35">
        <f t="shared" ca="1" si="94"/>
        <v>25000000</v>
      </c>
      <c r="F130" s="77"/>
      <c r="G130" s="35">
        <f t="shared" ref="G130:Z130" ca="1" si="97">IF($C127="total fund (european)",MIN(G84-F131,G128),IF($C127="Deal-by-deal with clawback (American)",MIN(SUM($G129:G129)-F131,G128),G129))</f>
        <v>0</v>
      </c>
      <c r="H130" s="35">
        <f t="shared" ca="1" si="97"/>
        <v>1298701.2987012987</v>
      </c>
      <c r="I130" s="35">
        <f t="shared" ca="1" si="97"/>
        <v>0</v>
      </c>
      <c r="J130" s="35">
        <f t="shared" ca="1" si="97"/>
        <v>6493506.493506493</v>
      </c>
      <c r="K130" s="35">
        <f t="shared" ca="1" si="97"/>
        <v>3896103.8961038971</v>
      </c>
      <c r="L130" s="35">
        <f t="shared" ca="1" si="97"/>
        <v>0</v>
      </c>
      <c r="M130" s="35">
        <f t="shared" ca="1" si="97"/>
        <v>5194805.1948051937</v>
      </c>
      <c r="N130" s="35">
        <f t="shared" ca="1" si="97"/>
        <v>6493506.4935064949</v>
      </c>
      <c r="O130" s="35">
        <f t="shared" ca="1" si="97"/>
        <v>324675.3246753253</v>
      </c>
      <c r="P130" s="35">
        <f t="shared" ca="1" si="97"/>
        <v>1298701.2987012975</v>
      </c>
      <c r="Q130" s="35">
        <f t="shared" ca="1" si="97"/>
        <v>0</v>
      </c>
      <c r="R130" s="35">
        <f t="shared" ca="1" si="97"/>
        <v>0</v>
      </c>
      <c r="S130" s="35">
        <f t="shared" ca="1" si="97"/>
        <v>0</v>
      </c>
      <c r="T130" s="35">
        <f t="shared" ca="1" si="97"/>
        <v>0</v>
      </c>
      <c r="U130" s="35">
        <f t="shared" ca="1" si="97"/>
        <v>0</v>
      </c>
      <c r="V130" s="35">
        <f t="shared" ca="1" si="97"/>
        <v>0</v>
      </c>
      <c r="W130" s="35">
        <f t="shared" ca="1" si="97"/>
        <v>0</v>
      </c>
      <c r="X130" s="35">
        <f t="shared" ca="1" si="97"/>
        <v>0</v>
      </c>
      <c r="Y130" s="35">
        <f t="shared" ca="1" si="97"/>
        <v>0</v>
      </c>
      <c r="Z130" s="35">
        <f t="shared" ca="1" si="97"/>
        <v>0</v>
      </c>
    </row>
    <row r="131" spans="1:26" ht="13">
      <c r="A131" s="34"/>
      <c r="B131" s="34" t="s">
        <v>248</v>
      </c>
      <c r="C131" s="34" t="s">
        <v>249</v>
      </c>
      <c r="D131" s="34" t="s">
        <v>185</v>
      </c>
      <c r="E131" s="35">
        <f t="shared" ca="1" si="94"/>
        <v>25000000</v>
      </c>
      <c r="F131" s="77"/>
      <c r="G131" s="35">
        <f t="shared" ref="G131:Z131" ca="1" si="98">F131+G130</f>
        <v>0</v>
      </c>
      <c r="H131" s="35">
        <f t="shared" ca="1" si="98"/>
        <v>1298701.2987012987</v>
      </c>
      <c r="I131" s="35">
        <f t="shared" ca="1" si="98"/>
        <v>1298701.2987012987</v>
      </c>
      <c r="J131" s="35">
        <f t="shared" ca="1" si="98"/>
        <v>7792207.7922077915</v>
      </c>
      <c r="K131" s="35">
        <f t="shared" ca="1" si="98"/>
        <v>11688311.688311689</v>
      </c>
      <c r="L131" s="35">
        <f t="shared" ca="1" si="98"/>
        <v>11688311.688311689</v>
      </c>
      <c r="M131" s="35">
        <f t="shared" ca="1" si="98"/>
        <v>16883116.883116882</v>
      </c>
      <c r="N131" s="35">
        <f t="shared" ca="1" si="98"/>
        <v>23376623.376623377</v>
      </c>
      <c r="O131" s="35">
        <f t="shared" ca="1" si="98"/>
        <v>23701298.701298703</v>
      </c>
      <c r="P131" s="35">
        <f t="shared" ca="1" si="98"/>
        <v>25000000</v>
      </c>
      <c r="Q131" s="35">
        <f t="shared" ca="1" si="98"/>
        <v>25000000</v>
      </c>
      <c r="R131" s="35">
        <f t="shared" ca="1" si="98"/>
        <v>25000000</v>
      </c>
      <c r="S131" s="35">
        <f t="shared" ca="1" si="98"/>
        <v>25000000</v>
      </c>
      <c r="T131" s="35">
        <f t="shared" ca="1" si="98"/>
        <v>25000000</v>
      </c>
      <c r="U131" s="35">
        <f t="shared" ca="1" si="98"/>
        <v>25000000</v>
      </c>
      <c r="V131" s="35">
        <f t="shared" ca="1" si="98"/>
        <v>25000000</v>
      </c>
      <c r="W131" s="35">
        <f t="shared" ca="1" si="98"/>
        <v>25000000</v>
      </c>
      <c r="X131" s="35">
        <f t="shared" ca="1" si="98"/>
        <v>25000000</v>
      </c>
      <c r="Y131" s="35">
        <f t="shared" ca="1" si="98"/>
        <v>25000000</v>
      </c>
      <c r="Z131" s="35">
        <f t="shared" ca="1" si="98"/>
        <v>25000000</v>
      </c>
    </row>
    <row r="132" spans="1:26" ht="13">
      <c r="A132" s="34"/>
      <c r="B132" s="34" t="s">
        <v>250</v>
      </c>
      <c r="C132" s="34" t="s">
        <v>251</v>
      </c>
      <c r="D132" s="34" t="s">
        <v>185</v>
      </c>
      <c r="E132" s="35">
        <f t="shared" ca="1" si="94"/>
        <v>0</v>
      </c>
      <c r="F132" s="77"/>
      <c r="G132" s="35">
        <f t="shared" ref="G132:Z132" ca="1" si="99">G84-G131</f>
        <v>5665000</v>
      </c>
      <c r="H132" s="35">
        <f t="shared" ca="1" si="99"/>
        <v>9931298.7012987006</v>
      </c>
      <c r="I132" s="35">
        <f t="shared" ca="1" si="99"/>
        <v>15496298.701298701</v>
      </c>
      <c r="J132" s="35">
        <f t="shared" ca="1" si="99"/>
        <v>13817792.207792208</v>
      </c>
      <c r="K132" s="35">
        <f t="shared" ca="1" si="99"/>
        <v>10486688.311688311</v>
      </c>
      <c r="L132" s="35">
        <f t="shared" ca="1" si="99"/>
        <v>11051688.311688311</v>
      </c>
      <c r="M132" s="35">
        <f t="shared" ca="1" si="99"/>
        <v>6421883.1168831177</v>
      </c>
      <c r="N132" s="35">
        <f t="shared" ca="1" si="99"/>
        <v>493376.6233766228</v>
      </c>
      <c r="O132" s="35">
        <f t="shared" ca="1" si="99"/>
        <v>733701.29870129749</v>
      </c>
      <c r="P132" s="35">
        <f t="shared" ca="1" si="99"/>
        <v>0</v>
      </c>
      <c r="Q132" s="35">
        <f t="shared" ca="1" si="99"/>
        <v>0</v>
      </c>
      <c r="R132" s="35">
        <f t="shared" ca="1" si="99"/>
        <v>0</v>
      </c>
      <c r="S132" s="35">
        <f t="shared" ca="1" si="99"/>
        <v>0</v>
      </c>
      <c r="T132" s="35">
        <f t="shared" ca="1" si="99"/>
        <v>0</v>
      </c>
      <c r="U132" s="35">
        <f t="shared" ca="1" si="99"/>
        <v>0</v>
      </c>
      <c r="V132" s="35">
        <f t="shared" ca="1" si="99"/>
        <v>0</v>
      </c>
      <c r="W132" s="35">
        <f t="shared" ca="1" si="99"/>
        <v>0</v>
      </c>
      <c r="X132" s="35">
        <f t="shared" ca="1" si="99"/>
        <v>0</v>
      </c>
      <c r="Y132" s="35">
        <f t="shared" ca="1" si="99"/>
        <v>0</v>
      </c>
      <c r="Z132" s="35">
        <f t="shared" ca="1" si="99"/>
        <v>0</v>
      </c>
    </row>
    <row r="133" spans="1:26" ht="13">
      <c r="B133" s="13" t="s">
        <v>252</v>
      </c>
      <c r="C133" s="13" t="s">
        <v>253</v>
      </c>
      <c r="D133" s="13" t="s">
        <v>175</v>
      </c>
      <c r="E133" s="27">
        <f t="shared" ca="1" si="94"/>
        <v>70200000</v>
      </c>
      <c r="F133" s="27"/>
      <c r="G133" s="35">
        <f t="shared" ref="G133:Z133" ca="1" si="100">G128-G130</f>
        <v>0</v>
      </c>
      <c r="H133" s="35">
        <f t="shared" ca="1" si="100"/>
        <v>51298.701298701344</v>
      </c>
      <c r="I133" s="35">
        <f t="shared" ca="1" si="100"/>
        <v>0</v>
      </c>
      <c r="J133" s="35">
        <f t="shared" ca="1" si="100"/>
        <v>32806493.506493509</v>
      </c>
      <c r="K133" s="35">
        <f t="shared" ca="1" si="100"/>
        <v>2603896.1038961029</v>
      </c>
      <c r="L133" s="35">
        <f t="shared" ca="1" si="100"/>
        <v>0</v>
      </c>
      <c r="M133" s="35">
        <f t="shared" ca="1" si="100"/>
        <v>1805194.8051948063</v>
      </c>
      <c r="N133" s="35">
        <f t="shared" ca="1" si="100"/>
        <v>8506493.5064935051</v>
      </c>
      <c r="O133" s="35">
        <f t="shared" ca="1" si="100"/>
        <v>725324.6753246747</v>
      </c>
      <c r="P133" s="35">
        <f t="shared" ca="1" si="100"/>
        <v>23701298.701298703</v>
      </c>
      <c r="Q133" s="35">
        <f t="shared" ca="1" si="100"/>
        <v>0</v>
      </c>
      <c r="R133" s="35">
        <f t="shared" ca="1" si="100"/>
        <v>0</v>
      </c>
      <c r="S133" s="35">
        <f t="shared" ca="1" si="100"/>
        <v>0</v>
      </c>
      <c r="T133" s="35">
        <f t="shared" ca="1" si="100"/>
        <v>0</v>
      </c>
      <c r="U133" s="35">
        <f t="shared" ca="1" si="100"/>
        <v>0</v>
      </c>
      <c r="V133" s="35">
        <f t="shared" ca="1" si="100"/>
        <v>0</v>
      </c>
      <c r="W133" s="35">
        <f t="shared" ca="1" si="100"/>
        <v>0</v>
      </c>
      <c r="X133" s="35">
        <f t="shared" ca="1" si="100"/>
        <v>0</v>
      </c>
      <c r="Y133" s="35">
        <f t="shared" ca="1" si="100"/>
        <v>0</v>
      </c>
      <c r="Z133" s="35">
        <f t="shared" ca="1" si="100"/>
        <v>0</v>
      </c>
    </row>
    <row r="134" spans="1:26" ht="13">
      <c r="B134" s="13" t="s">
        <v>138</v>
      </c>
      <c r="C134" s="13" t="s">
        <v>254</v>
      </c>
      <c r="D134" s="13" t="s">
        <v>175</v>
      </c>
      <c r="E134" s="27">
        <f t="shared" ca="1" si="94"/>
        <v>14040000</v>
      </c>
      <c r="F134" s="27"/>
      <c r="G134" s="35">
        <f ca="1">G133*'Get Started'!$E14</f>
        <v>0</v>
      </c>
      <c r="H134" s="35">
        <f ca="1">H133*'Get Started'!$E14</f>
        <v>10259.740259740269</v>
      </c>
      <c r="I134" s="35">
        <f ca="1">I133*'Get Started'!$E14</f>
        <v>0</v>
      </c>
      <c r="J134" s="35">
        <f ca="1">J133*'Get Started'!$E14</f>
        <v>6561298.7012987025</v>
      </c>
      <c r="K134" s="35">
        <f ca="1">K133*'Get Started'!$E14</f>
        <v>520779.22077922057</v>
      </c>
      <c r="L134" s="35">
        <f ca="1">L133*'Get Started'!$E14</f>
        <v>0</v>
      </c>
      <c r="M134" s="35">
        <f ca="1">M133*'Get Started'!$E14</f>
        <v>361038.96103896131</v>
      </c>
      <c r="N134" s="35">
        <f ca="1">N133*'Get Started'!$E14</f>
        <v>1701298.7012987011</v>
      </c>
      <c r="O134" s="35">
        <f ca="1">O133*'Get Started'!$E14</f>
        <v>145064.93506493495</v>
      </c>
      <c r="P134" s="35">
        <f ca="1">P133*'Get Started'!$E14</f>
        <v>4740259.7402597405</v>
      </c>
      <c r="Q134" s="35">
        <f ca="1">Q133*'Get Started'!$E14</f>
        <v>0</v>
      </c>
      <c r="R134" s="35">
        <f ca="1">R133*'Get Started'!$E14</f>
        <v>0</v>
      </c>
      <c r="S134" s="35">
        <f ca="1">S133*'Get Started'!$E14</f>
        <v>0</v>
      </c>
      <c r="T134" s="35">
        <f ca="1">T133*'Get Started'!$E14</f>
        <v>0</v>
      </c>
      <c r="U134" s="35">
        <f ca="1">U133*'Get Started'!$E14</f>
        <v>0</v>
      </c>
      <c r="V134" s="35">
        <f ca="1">V133*'Get Started'!$E14</f>
        <v>0</v>
      </c>
      <c r="W134" s="35">
        <f ca="1">W133*'Get Started'!$E14</f>
        <v>0</v>
      </c>
      <c r="X134" s="35">
        <f ca="1">X133*'Get Started'!$E14</f>
        <v>0</v>
      </c>
      <c r="Y134" s="35">
        <f ca="1">Y133*'Get Started'!$E14</f>
        <v>0</v>
      </c>
      <c r="Z134" s="35">
        <f ca="1">Z133*'Get Started'!$E14</f>
        <v>0</v>
      </c>
    </row>
    <row r="135" spans="1:26" ht="13">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
      <c r="B136" s="75" t="s">
        <v>255</v>
      </c>
      <c r="C136" s="13"/>
      <c r="D136" s="13"/>
      <c r="E136" s="79"/>
      <c r="F136" s="27"/>
      <c r="G136" s="27"/>
      <c r="H136" s="27"/>
      <c r="I136" s="27"/>
      <c r="J136" s="27"/>
      <c r="K136" s="27"/>
      <c r="L136" s="27"/>
      <c r="M136" s="27"/>
      <c r="N136" s="27"/>
      <c r="O136" s="27"/>
      <c r="P136" s="27"/>
      <c r="Q136" s="27"/>
      <c r="R136" s="27"/>
      <c r="S136" s="27"/>
      <c r="T136" s="27"/>
      <c r="U136" s="27"/>
      <c r="V136" s="27"/>
      <c r="W136" s="27"/>
      <c r="X136" s="27"/>
      <c r="Y136" s="27"/>
      <c r="Z136" s="27"/>
    </row>
    <row r="137" spans="1:26" ht="13">
      <c r="B137" s="13" t="s">
        <v>198</v>
      </c>
      <c r="C137" s="13"/>
      <c r="D137" s="13" t="s">
        <v>175</v>
      </c>
      <c r="E137" s="27">
        <f t="shared" ref="E137:E141" ca="1" si="101">IF(D137="sum",SUM(G137:Z137),IF(D137="final",Z137,IF(D137="initial",G137,IF(D137="average",AVERAGE(G137:Z137),0))))</f>
        <v>-19250000</v>
      </c>
      <c r="F137" s="85" t="str">
        <f t="shared" ref="F137:F141" si="102">B137</f>
        <v>New Investments</v>
      </c>
      <c r="G137" s="27">
        <f t="shared" ref="G137:Z137" ca="1" si="103">-1*G33</f>
        <v>-5000000</v>
      </c>
      <c r="H137" s="27">
        <f t="shared" ca="1" si="103"/>
        <v>-5000000</v>
      </c>
      <c r="I137" s="27">
        <f t="shared" ca="1" si="103"/>
        <v>-5000000</v>
      </c>
      <c r="J137" s="27">
        <f t="shared" ca="1" si="103"/>
        <v>-4250000</v>
      </c>
      <c r="K137" s="27">
        <f t="shared" ca="1" si="103"/>
        <v>0</v>
      </c>
      <c r="L137" s="27">
        <f t="shared" ca="1" si="103"/>
        <v>0</v>
      </c>
      <c r="M137" s="27">
        <f t="shared" ca="1" si="103"/>
        <v>0</v>
      </c>
      <c r="N137" s="27">
        <f t="shared" ca="1" si="103"/>
        <v>0</v>
      </c>
      <c r="O137" s="27">
        <f t="shared" ca="1" si="103"/>
        <v>0</v>
      </c>
      <c r="P137" s="27">
        <f t="shared" ca="1" si="103"/>
        <v>0</v>
      </c>
      <c r="Q137" s="27">
        <f t="shared" ca="1" si="103"/>
        <v>0</v>
      </c>
      <c r="R137" s="27">
        <f t="shared" ca="1" si="103"/>
        <v>0</v>
      </c>
      <c r="S137" s="27">
        <f t="shared" ca="1" si="103"/>
        <v>0</v>
      </c>
      <c r="T137" s="27">
        <f t="shared" ca="1" si="103"/>
        <v>0</v>
      </c>
      <c r="U137" s="27">
        <f t="shared" ca="1" si="103"/>
        <v>0</v>
      </c>
      <c r="V137" s="27">
        <f t="shared" ca="1" si="103"/>
        <v>0</v>
      </c>
      <c r="W137" s="27">
        <f t="shared" ca="1" si="103"/>
        <v>0</v>
      </c>
      <c r="X137" s="27">
        <f t="shared" ca="1" si="103"/>
        <v>0</v>
      </c>
      <c r="Y137" s="27">
        <f t="shared" ca="1" si="103"/>
        <v>0</v>
      </c>
      <c r="Z137" s="27">
        <f t="shared" ca="1" si="103"/>
        <v>0</v>
      </c>
    </row>
    <row r="138" spans="1:26" ht="13">
      <c r="B138" s="13" t="s">
        <v>202</v>
      </c>
      <c r="C138" s="13"/>
      <c r="D138" s="13" t="s">
        <v>175</v>
      </c>
      <c r="E138" s="27">
        <f t="shared" ca="1" si="101"/>
        <v>0</v>
      </c>
      <c r="F138" s="85" t="str">
        <f t="shared" si="102"/>
        <v>Follow on Investments</v>
      </c>
      <c r="G138" s="27">
        <f t="shared" ref="G138:Z138" ca="1" si="104">-1*G36</f>
        <v>0</v>
      </c>
      <c r="H138" s="27">
        <f t="shared" ca="1" si="104"/>
        <v>0</v>
      </c>
      <c r="I138" s="27">
        <f t="shared" ca="1" si="104"/>
        <v>0</v>
      </c>
      <c r="J138" s="27">
        <f t="shared" ca="1" si="104"/>
        <v>0</v>
      </c>
      <c r="K138" s="27">
        <f t="shared" ca="1" si="104"/>
        <v>0</v>
      </c>
      <c r="L138" s="27">
        <f t="shared" ca="1" si="104"/>
        <v>0</v>
      </c>
      <c r="M138" s="27">
        <f t="shared" ca="1" si="104"/>
        <v>0</v>
      </c>
      <c r="N138" s="27">
        <f t="shared" ca="1" si="104"/>
        <v>0</v>
      </c>
      <c r="O138" s="27">
        <f t="shared" ca="1" si="104"/>
        <v>0</v>
      </c>
      <c r="P138" s="27">
        <f t="shared" ca="1" si="104"/>
        <v>0</v>
      </c>
      <c r="Q138" s="27">
        <f t="shared" ca="1" si="104"/>
        <v>0</v>
      </c>
      <c r="R138" s="27">
        <f t="shared" ca="1" si="104"/>
        <v>0</v>
      </c>
      <c r="S138" s="27">
        <f t="shared" ca="1" si="104"/>
        <v>0</v>
      </c>
      <c r="T138" s="27">
        <f t="shared" ca="1" si="104"/>
        <v>0</v>
      </c>
      <c r="U138" s="27">
        <f t="shared" ca="1" si="104"/>
        <v>0</v>
      </c>
      <c r="V138" s="27">
        <f t="shared" ca="1" si="104"/>
        <v>0</v>
      </c>
      <c r="W138" s="27">
        <f t="shared" ca="1" si="104"/>
        <v>0</v>
      </c>
      <c r="X138" s="27">
        <f t="shared" ca="1" si="104"/>
        <v>0</v>
      </c>
      <c r="Y138" s="27">
        <f t="shared" ca="1" si="104"/>
        <v>0</v>
      </c>
      <c r="Z138" s="27">
        <f t="shared" ca="1" si="104"/>
        <v>0</v>
      </c>
    </row>
    <row r="139" spans="1:26" ht="13">
      <c r="B139" s="13" t="s">
        <v>193</v>
      </c>
      <c r="C139" s="13"/>
      <c r="D139" s="13" t="s">
        <v>175</v>
      </c>
      <c r="E139" s="27">
        <f t="shared" ca="1" si="101"/>
        <v>-5750000</v>
      </c>
      <c r="F139" s="85" t="str">
        <f t="shared" si="102"/>
        <v>Fees</v>
      </c>
      <c r="G139" s="27">
        <f t="shared" ref="G139:Z139" ca="1" si="105">SUM(G39,G40,G41)*-1</f>
        <v>-665000</v>
      </c>
      <c r="H139" s="27">
        <f t="shared" ca="1" si="105"/>
        <v>-565000</v>
      </c>
      <c r="I139" s="27">
        <f t="shared" ca="1" si="105"/>
        <v>-565000</v>
      </c>
      <c r="J139" s="27">
        <f t="shared" ca="1" si="105"/>
        <v>-565000</v>
      </c>
      <c r="K139" s="27">
        <f t="shared" ca="1" si="105"/>
        <v>-565000</v>
      </c>
      <c r="L139" s="27">
        <f t="shared" ca="1" si="105"/>
        <v>-565000</v>
      </c>
      <c r="M139" s="27">
        <f t="shared" ca="1" si="105"/>
        <v>-565000</v>
      </c>
      <c r="N139" s="27">
        <f t="shared" ca="1" si="105"/>
        <v>-565000</v>
      </c>
      <c r="O139" s="27">
        <f t="shared" ca="1" si="105"/>
        <v>-565000</v>
      </c>
      <c r="P139" s="27">
        <f t="shared" ca="1" si="105"/>
        <v>-565000</v>
      </c>
      <c r="Q139" s="27">
        <f t="shared" ca="1" si="105"/>
        <v>0</v>
      </c>
      <c r="R139" s="27">
        <f t="shared" ca="1" si="105"/>
        <v>0</v>
      </c>
      <c r="S139" s="27">
        <f t="shared" ca="1" si="105"/>
        <v>0</v>
      </c>
      <c r="T139" s="27">
        <f t="shared" ca="1" si="105"/>
        <v>0</v>
      </c>
      <c r="U139" s="27">
        <f t="shared" ca="1" si="105"/>
        <v>0</v>
      </c>
      <c r="V139" s="27">
        <f t="shared" ca="1" si="105"/>
        <v>0</v>
      </c>
      <c r="W139" s="27">
        <f t="shared" ca="1" si="105"/>
        <v>0</v>
      </c>
      <c r="X139" s="27">
        <f t="shared" ca="1" si="105"/>
        <v>0</v>
      </c>
      <c r="Y139" s="27">
        <f t="shared" ca="1" si="105"/>
        <v>0</v>
      </c>
      <c r="Z139" s="27">
        <f t="shared" ca="1" si="105"/>
        <v>0</v>
      </c>
    </row>
    <row r="140" spans="1:26" ht="13">
      <c r="B140" s="13" t="s">
        <v>139</v>
      </c>
      <c r="C140" s="13"/>
      <c r="D140" s="13" t="s">
        <v>175</v>
      </c>
      <c r="E140" s="27">
        <f t="shared" ca="1" si="101"/>
        <v>81160000</v>
      </c>
      <c r="F140" s="85" t="str">
        <f t="shared" si="102"/>
        <v>Distributions</v>
      </c>
      <c r="G140" s="27">
        <f t="shared" ref="G140:Z140" ca="1" si="106">G47</f>
        <v>0</v>
      </c>
      <c r="H140" s="27">
        <f t="shared" ca="1" si="106"/>
        <v>1339740.2597402597</v>
      </c>
      <c r="I140" s="27">
        <f t="shared" ca="1" si="106"/>
        <v>0</v>
      </c>
      <c r="J140" s="27">
        <f t="shared" ca="1" si="106"/>
        <v>32738701.298701297</v>
      </c>
      <c r="K140" s="27">
        <f t="shared" ca="1" si="106"/>
        <v>5979220.7792207794</v>
      </c>
      <c r="L140" s="27">
        <f t="shared" ca="1" si="106"/>
        <v>0</v>
      </c>
      <c r="M140" s="27">
        <f t="shared" ca="1" si="106"/>
        <v>6638961.0389610389</v>
      </c>
      <c r="N140" s="27">
        <f t="shared" ca="1" si="106"/>
        <v>13298701.298701299</v>
      </c>
      <c r="O140" s="27">
        <f t="shared" ca="1" si="106"/>
        <v>904935.06493506511</v>
      </c>
      <c r="P140" s="27">
        <f t="shared" ca="1" si="106"/>
        <v>20259740.259740259</v>
      </c>
      <c r="Q140" s="27">
        <f t="shared" ca="1" si="106"/>
        <v>0</v>
      </c>
      <c r="R140" s="27">
        <f t="shared" ca="1" si="106"/>
        <v>0</v>
      </c>
      <c r="S140" s="27">
        <f t="shared" ca="1" si="106"/>
        <v>0</v>
      </c>
      <c r="T140" s="27">
        <f t="shared" ca="1" si="106"/>
        <v>0</v>
      </c>
      <c r="U140" s="27">
        <f t="shared" ca="1" si="106"/>
        <v>0</v>
      </c>
      <c r="V140" s="27">
        <f t="shared" ca="1" si="106"/>
        <v>0</v>
      </c>
      <c r="W140" s="27">
        <f t="shared" ca="1" si="106"/>
        <v>0</v>
      </c>
      <c r="X140" s="27">
        <f t="shared" ca="1" si="106"/>
        <v>0</v>
      </c>
      <c r="Y140" s="27">
        <f t="shared" ca="1" si="106"/>
        <v>0</v>
      </c>
      <c r="Z140" s="27">
        <f t="shared" ca="1" si="106"/>
        <v>0</v>
      </c>
    </row>
    <row r="141" spans="1:26" ht="13">
      <c r="B141" s="13" t="s">
        <v>138</v>
      </c>
      <c r="C141" s="13"/>
      <c r="D141" s="13" t="s">
        <v>175</v>
      </c>
      <c r="E141" s="27">
        <f t="shared" ca="1" si="101"/>
        <v>14040000</v>
      </c>
      <c r="F141" s="85" t="str">
        <f t="shared" si="102"/>
        <v>Carried Interest</v>
      </c>
      <c r="G141" s="27">
        <f t="shared" ref="G141:Z141" ca="1" si="107">G46+G45</f>
        <v>0</v>
      </c>
      <c r="H141" s="27">
        <f t="shared" ca="1" si="107"/>
        <v>10259.740259740269</v>
      </c>
      <c r="I141" s="27">
        <f t="shared" ca="1" si="107"/>
        <v>0</v>
      </c>
      <c r="J141" s="27">
        <f t="shared" ca="1" si="107"/>
        <v>6561298.7012987025</v>
      </c>
      <c r="K141" s="27">
        <f t="shared" ca="1" si="107"/>
        <v>520779.22077922057</v>
      </c>
      <c r="L141" s="27">
        <f t="shared" ca="1" si="107"/>
        <v>0</v>
      </c>
      <c r="M141" s="27">
        <f t="shared" ca="1" si="107"/>
        <v>361038.96103896131</v>
      </c>
      <c r="N141" s="27">
        <f t="shared" ca="1" si="107"/>
        <v>1701298.7012987011</v>
      </c>
      <c r="O141" s="27">
        <f t="shared" ca="1" si="107"/>
        <v>145064.93506493495</v>
      </c>
      <c r="P141" s="27">
        <f t="shared" ca="1" si="107"/>
        <v>4740259.7402597405</v>
      </c>
      <c r="Q141" s="27">
        <f t="shared" ca="1" si="107"/>
        <v>0</v>
      </c>
      <c r="R141" s="27">
        <f t="shared" ca="1" si="107"/>
        <v>0</v>
      </c>
      <c r="S141" s="27">
        <f t="shared" ca="1" si="107"/>
        <v>0</v>
      </c>
      <c r="T141" s="27">
        <f t="shared" ca="1" si="107"/>
        <v>0</v>
      </c>
      <c r="U141" s="27">
        <f t="shared" ca="1" si="107"/>
        <v>0</v>
      </c>
      <c r="V141" s="27">
        <f t="shared" ca="1" si="107"/>
        <v>0</v>
      </c>
      <c r="W141" s="27">
        <f t="shared" ca="1" si="107"/>
        <v>0</v>
      </c>
      <c r="X141" s="27">
        <f t="shared" ca="1" si="107"/>
        <v>0</v>
      </c>
      <c r="Y141" s="27">
        <f t="shared" ca="1" si="107"/>
        <v>0</v>
      </c>
      <c r="Z141" s="27">
        <f t="shared" ca="1" si="107"/>
        <v>0</v>
      </c>
    </row>
    <row r="142" spans="1:26" ht="13">
      <c r="B142" s="13"/>
      <c r="C142" s="13"/>
      <c r="D142" s="13"/>
      <c r="E142" s="13"/>
      <c r="F142" s="27"/>
      <c r="G142" s="84"/>
      <c r="H142" s="84"/>
      <c r="I142" s="84"/>
      <c r="J142" s="84"/>
      <c r="K142" s="84"/>
      <c r="L142" s="84"/>
      <c r="M142" s="84"/>
      <c r="N142" s="84"/>
      <c r="O142" s="84"/>
      <c r="P142" s="84"/>
      <c r="Q142" s="84"/>
      <c r="R142" s="84"/>
      <c r="S142" s="84"/>
      <c r="T142" s="84"/>
      <c r="U142" s="84"/>
      <c r="V142" s="84"/>
      <c r="W142" s="84"/>
      <c r="X142" s="84"/>
      <c r="Y142" s="84"/>
      <c r="Z142" s="84"/>
    </row>
    <row r="143" spans="1:26" ht="13">
      <c r="B143" s="13"/>
      <c r="C143" s="13"/>
      <c r="D143" s="13"/>
      <c r="E143" s="27"/>
      <c r="F143" s="27"/>
      <c r="G143" s="27"/>
      <c r="H143" s="27"/>
      <c r="I143" s="27"/>
      <c r="J143" s="27"/>
      <c r="K143" s="27"/>
      <c r="L143" s="27"/>
      <c r="M143" s="27"/>
      <c r="N143" s="27"/>
      <c r="O143" s="27"/>
      <c r="P143" s="27"/>
      <c r="Q143" s="27"/>
      <c r="R143" s="27"/>
      <c r="S143" s="27"/>
      <c r="T143" s="27"/>
      <c r="U143" s="27"/>
      <c r="V143" s="27"/>
      <c r="W143" s="27"/>
      <c r="X143" s="27"/>
      <c r="Y143" s="27"/>
      <c r="Z143" s="27"/>
    </row>
  </sheetData>
  <dataValidations count="4">
    <dataValidation type="list" allowBlank="1" sqref="D93" xr:uid="{00000000-0002-0000-0500-000000000000}">
      <formula1>"sum,final,initial,average,max"</formula1>
    </dataValidation>
    <dataValidation type="list" allowBlank="1" sqref="D8:D11 D14:D20 D22:D28 D30:D87 D89:D92 D95:D125 D128:D134 D137:D141" xr:uid="{00000000-0002-0000-0500-000001000000}">
      <formula1>"sum,final,initial,average"</formula1>
    </dataValidation>
    <dataValidation type="list" allowBlank="1" showInputMessage="1" showErrorMessage="1" prompt="You can change the method used to calculate management fees per year. Note, if you choose &quot;called&quot; or &quot;assets under management&quot; (specifically, current invested capital), that creates a circular reference given the nature of how those fees are calculated (" sqref="G15:Z15" xr:uid="{00000000-0002-0000-0500-000002000000}">
      <formula1>"committed,called,assets under management"</formula1>
    </dataValidation>
    <dataValidation type="list" allowBlank="1" sqref="C127" xr:uid="{00000000-0002-0000-0500-000003000000}">
      <formula1>"Total Fund (European),Deal-by-deal with clawback (American),Deal-by-deal no clawback (SPVs)"</formula1>
    </dataValidation>
  </dataValidations>
  <hyperlinks>
    <hyperlink ref="C9"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27"/>
  <sheetViews>
    <sheetView showGridLines="0" workbookViewId="0"/>
  </sheetViews>
  <sheetFormatPr baseColWidth="10" defaultColWidth="12.6640625" defaultRowHeight="15.75" customHeight="1"/>
  <cols>
    <col min="1" max="1" width="4.5" customWidth="1"/>
    <col min="2" max="2" width="37.6640625" customWidth="1"/>
    <col min="3" max="3" width="43.33203125" customWidth="1"/>
    <col min="4" max="4" width="70.1640625" customWidth="1"/>
  </cols>
  <sheetData>
    <row r="1" spans="1:6" ht="15.75" customHeight="1">
      <c r="A1" s="34"/>
      <c r="B1" s="34"/>
      <c r="C1" s="34"/>
      <c r="D1" s="34"/>
      <c r="E1" s="34"/>
      <c r="F1" s="34"/>
    </row>
    <row r="2" spans="1:6">
      <c r="A2" s="34"/>
      <c r="B2" s="90" t="s">
        <v>256</v>
      </c>
      <c r="C2" s="34"/>
      <c r="D2" s="34"/>
      <c r="E2" s="34"/>
      <c r="F2" s="34"/>
    </row>
    <row r="3" spans="1:6" ht="15.75" customHeight="1">
      <c r="A3" s="34"/>
      <c r="B3" s="91" t="s">
        <v>257</v>
      </c>
      <c r="C3" s="92"/>
      <c r="D3" s="34"/>
      <c r="E3" s="34"/>
      <c r="F3" s="34"/>
    </row>
    <row r="4" spans="1:6" ht="15.75" customHeight="1">
      <c r="A4" s="34"/>
      <c r="B4" s="34"/>
      <c r="C4" s="34"/>
      <c r="D4" s="34"/>
      <c r="E4" s="34"/>
      <c r="F4" s="34"/>
    </row>
    <row r="5" spans="1:6" ht="15.75" customHeight="1">
      <c r="A5" s="34"/>
      <c r="B5" s="93" t="s">
        <v>258</v>
      </c>
      <c r="C5" s="93" t="s">
        <v>259</v>
      </c>
      <c r="D5" s="93" t="s">
        <v>260</v>
      </c>
      <c r="E5" s="34"/>
      <c r="F5" s="34"/>
    </row>
    <row r="6" spans="1:6" ht="15.75" customHeight="1">
      <c r="A6" s="34"/>
      <c r="B6" s="34"/>
      <c r="C6" s="34"/>
      <c r="D6" s="34"/>
      <c r="E6" s="34"/>
      <c r="F6" s="34"/>
    </row>
    <row r="7" spans="1:6" ht="15.75" customHeight="1">
      <c r="A7" s="34"/>
      <c r="B7" s="94" t="s">
        <v>261</v>
      </c>
      <c r="C7" s="94" t="s">
        <v>262</v>
      </c>
      <c r="D7" s="95" t="s">
        <v>263</v>
      </c>
      <c r="E7" s="34"/>
      <c r="F7" s="34"/>
    </row>
    <row r="8" spans="1:6" ht="15.75" customHeight="1">
      <c r="A8" s="34"/>
      <c r="B8" s="96" t="s">
        <v>264</v>
      </c>
      <c r="C8" s="96" t="s">
        <v>265</v>
      </c>
      <c r="D8" s="97" t="s">
        <v>266</v>
      </c>
      <c r="E8" s="34"/>
      <c r="F8" s="34"/>
    </row>
    <row r="9" spans="1:6" ht="15.75" customHeight="1">
      <c r="A9" s="34"/>
      <c r="B9" s="94" t="s">
        <v>267</v>
      </c>
      <c r="C9" s="94" t="s">
        <v>268</v>
      </c>
      <c r="D9" s="95" t="s">
        <v>269</v>
      </c>
      <c r="E9" s="34"/>
      <c r="F9" s="34"/>
    </row>
    <row r="10" spans="1:6" ht="15.75" customHeight="1">
      <c r="A10" s="34"/>
      <c r="B10" s="96" t="s">
        <v>270</v>
      </c>
      <c r="C10" s="96" t="s">
        <v>271</v>
      </c>
      <c r="D10" s="97" t="s">
        <v>272</v>
      </c>
      <c r="E10" s="34"/>
      <c r="F10" s="34"/>
    </row>
    <row r="11" spans="1:6" ht="15.75" customHeight="1">
      <c r="A11" s="34"/>
      <c r="B11" s="94" t="s">
        <v>273</v>
      </c>
      <c r="C11" s="94" t="s">
        <v>274</v>
      </c>
      <c r="D11" s="95" t="s">
        <v>275</v>
      </c>
      <c r="E11" s="34"/>
      <c r="F11" s="34"/>
    </row>
    <row r="12" spans="1:6" ht="15.75" customHeight="1">
      <c r="A12" s="34"/>
      <c r="B12" s="96" t="s">
        <v>276</v>
      </c>
      <c r="C12" s="96" t="s">
        <v>277</v>
      </c>
      <c r="D12" s="97" t="s">
        <v>278</v>
      </c>
      <c r="E12" s="34"/>
      <c r="F12" s="34"/>
    </row>
    <row r="13" spans="1:6" ht="15.75" customHeight="1">
      <c r="A13" s="34"/>
      <c r="B13" s="94" t="s">
        <v>279</v>
      </c>
      <c r="C13" s="94" t="s">
        <v>280</v>
      </c>
      <c r="D13" s="98" t="s">
        <v>281</v>
      </c>
      <c r="E13" s="34"/>
      <c r="F13" s="34"/>
    </row>
    <row r="14" spans="1:6" ht="15.75" customHeight="1">
      <c r="A14" s="34"/>
      <c r="B14" s="96" t="s">
        <v>279</v>
      </c>
      <c r="C14" s="96" t="s">
        <v>282</v>
      </c>
      <c r="D14" s="99" t="s">
        <v>281</v>
      </c>
      <c r="E14" s="34"/>
      <c r="F14" s="34"/>
    </row>
    <row r="15" spans="1:6" ht="15.75" customHeight="1">
      <c r="A15" s="34"/>
      <c r="B15" s="94" t="s">
        <v>283</v>
      </c>
      <c r="C15" s="94" t="s">
        <v>284</v>
      </c>
      <c r="D15" s="98" t="s">
        <v>281</v>
      </c>
      <c r="E15" s="34"/>
      <c r="F15" s="34"/>
    </row>
    <row r="16" spans="1:6" ht="15.75" customHeight="1">
      <c r="A16" s="34"/>
      <c r="B16" s="96" t="s">
        <v>285</v>
      </c>
      <c r="C16" s="96" t="s">
        <v>286</v>
      </c>
      <c r="D16" s="99" t="s">
        <v>281</v>
      </c>
      <c r="E16" s="34"/>
      <c r="F16" s="34"/>
    </row>
    <row r="17" spans="1:6" ht="15.75" customHeight="1">
      <c r="A17" s="34"/>
      <c r="B17" s="94" t="s">
        <v>287</v>
      </c>
      <c r="C17" s="94" t="s">
        <v>288</v>
      </c>
      <c r="D17" s="95" t="s">
        <v>289</v>
      </c>
      <c r="E17" s="34"/>
      <c r="F17" s="34"/>
    </row>
    <row r="18" spans="1:6" ht="15.75" customHeight="1">
      <c r="A18" s="34"/>
      <c r="B18" s="96" t="s">
        <v>290</v>
      </c>
      <c r="C18" s="96" t="s">
        <v>291</v>
      </c>
      <c r="D18" s="99" t="s">
        <v>281</v>
      </c>
      <c r="E18" s="34"/>
      <c r="F18" s="34"/>
    </row>
    <row r="19" spans="1:6" ht="15.75" customHeight="1">
      <c r="A19" s="34"/>
      <c r="B19" s="94" t="s">
        <v>292</v>
      </c>
      <c r="C19" s="94" t="s">
        <v>293</v>
      </c>
      <c r="D19" s="100" t="s">
        <v>294</v>
      </c>
      <c r="E19" s="34"/>
      <c r="F19" s="34"/>
    </row>
    <row r="20" spans="1:6" ht="15.75" customHeight="1">
      <c r="A20" s="34"/>
      <c r="B20" s="96" t="s">
        <v>295</v>
      </c>
      <c r="C20" s="96" t="s">
        <v>296</v>
      </c>
      <c r="D20" s="99" t="s">
        <v>297</v>
      </c>
      <c r="E20" s="34"/>
      <c r="F20" s="34"/>
    </row>
    <row r="21" spans="1:6" ht="15.75" customHeight="1">
      <c r="A21" s="34"/>
      <c r="B21" s="94" t="s">
        <v>298</v>
      </c>
      <c r="C21" s="94" t="s">
        <v>299</v>
      </c>
      <c r="D21" s="95" t="s">
        <v>300</v>
      </c>
      <c r="E21" s="34"/>
      <c r="F21" s="34"/>
    </row>
    <row r="22" spans="1:6" ht="15.75" customHeight="1">
      <c r="A22" s="34"/>
      <c r="B22" s="96" t="s">
        <v>301</v>
      </c>
      <c r="C22" s="96" t="s">
        <v>302</v>
      </c>
      <c r="D22" s="97" t="s">
        <v>303</v>
      </c>
      <c r="E22" s="34"/>
      <c r="F22" s="34"/>
    </row>
    <row r="23" spans="1:6" ht="15.75" customHeight="1">
      <c r="A23" s="34"/>
      <c r="B23" s="94" t="s">
        <v>304</v>
      </c>
      <c r="C23" s="94" t="s">
        <v>305</v>
      </c>
      <c r="D23" s="95" t="s">
        <v>306</v>
      </c>
      <c r="E23" s="34"/>
      <c r="F23" s="34"/>
    </row>
    <row r="24" spans="1:6" ht="15.75" customHeight="1">
      <c r="A24" s="34"/>
      <c r="B24" s="96" t="s">
        <v>307</v>
      </c>
      <c r="C24" s="96" t="s">
        <v>308</v>
      </c>
      <c r="D24" s="97" t="s">
        <v>309</v>
      </c>
      <c r="E24" s="34"/>
      <c r="F24" s="34"/>
    </row>
    <row r="25" spans="1:6" ht="15.75" customHeight="1">
      <c r="A25" s="34"/>
      <c r="B25" s="94" t="s">
        <v>310</v>
      </c>
      <c r="C25" s="94" t="s">
        <v>311</v>
      </c>
      <c r="D25" s="101" t="s">
        <v>312</v>
      </c>
      <c r="E25" s="34"/>
      <c r="F25" s="34"/>
    </row>
    <row r="26" spans="1:6" ht="15.75" customHeight="1">
      <c r="A26" s="34"/>
      <c r="B26" s="96" t="s">
        <v>313</v>
      </c>
      <c r="C26" s="96" t="s">
        <v>314</v>
      </c>
      <c r="D26" s="102" t="s">
        <v>315</v>
      </c>
      <c r="E26" s="34"/>
      <c r="F26" s="34"/>
    </row>
    <row r="27" spans="1:6" ht="15.75" customHeight="1">
      <c r="A27" s="34"/>
      <c r="B27" s="34"/>
      <c r="C27" s="34"/>
      <c r="D27" s="34"/>
      <c r="E27" s="34"/>
      <c r="F27" s="34"/>
    </row>
  </sheetData>
  <hyperlinks>
    <hyperlink ref="D7" r:id="rId1" xr:uid="{00000000-0004-0000-0600-000000000000}"/>
    <hyperlink ref="D8" r:id="rId2" xr:uid="{00000000-0004-0000-0600-000001000000}"/>
    <hyperlink ref="D9" r:id="rId3" xr:uid="{00000000-0004-0000-0600-000002000000}"/>
    <hyperlink ref="D10" r:id="rId4" xr:uid="{00000000-0004-0000-0600-000003000000}"/>
    <hyperlink ref="D11" r:id="rId5" xr:uid="{00000000-0004-0000-0600-000004000000}"/>
    <hyperlink ref="D12" r:id="rId6" xr:uid="{00000000-0004-0000-0600-000005000000}"/>
    <hyperlink ref="D13" r:id="rId7" xr:uid="{00000000-0004-0000-0600-000006000000}"/>
    <hyperlink ref="D14" r:id="rId8" xr:uid="{00000000-0004-0000-0600-000007000000}"/>
    <hyperlink ref="D15" r:id="rId9" xr:uid="{00000000-0004-0000-0600-000008000000}"/>
    <hyperlink ref="D16" r:id="rId10" xr:uid="{00000000-0004-0000-0600-000009000000}"/>
    <hyperlink ref="D17" r:id="rId11" xr:uid="{00000000-0004-0000-0600-00000A000000}"/>
    <hyperlink ref="D18" r:id="rId12" xr:uid="{00000000-0004-0000-0600-00000B000000}"/>
    <hyperlink ref="D20" r:id="rId13" xr:uid="{00000000-0004-0000-0600-00000C000000}"/>
    <hyperlink ref="D21" r:id="rId14" xr:uid="{00000000-0004-0000-0600-00000D000000}"/>
    <hyperlink ref="D22" r:id="rId15" xr:uid="{00000000-0004-0000-0600-00000E000000}"/>
    <hyperlink ref="D23" r:id="rId16" xr:uid="{00000000-0004-0000-0600-00000F000000}"/>
    <hyperlink ref="D24" r:id="rId17" xr:uid="{00000000-0004-0000-0600-000010000000}"/>
    <hyperlink ref="D25" r:id="rId18" xr:uid="{00000000-0004-0000-0600-000011000000}"/>
    <hyperlink ref="D26" r:id="rId19" xr:uid="{00000000-0004-0000-0600-000012000000}"/>
  </hyperlinks>
  <pageMargins left="0.7" right="0.7" top="0.75" bottom="0.75" header="0.3" footer="0.3"/>
  <tableParts count="1">
    <tablePart r:id="rId2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V20"/>
  <sheetViews>
    <sheetView showGridLines="0" workbookViewId="0">
      <selection activeCell="D12" sqref="D12"/>
    </sheetView>
  </sheetViews>
  <sheetFormatPr baseColWidth="10" defaultColWidth="12.6640625" defaultRowHeight="15.75" customHeight="1"/>
  <cols>
    <col min="1" max="1" width="5.1640625" customWidth="1"/>
    <col min="2" max="2" width="28.6640625" customWidth="1"/>
    <col min="3" max="3" width="21.1640625" customWidth="1"/>
    <col min="4" max="4" width="16.33203125" customWidth="1"/>
    <col min="5" max="5" width="11.33203125" customWidth="1"/>
    <col min="6" max="13" width="12.6640625" customWidth="1"/>
    <col min="14" max="14" width="15.33203125" customWidth="1"/>
    <col min="15" max="19" width="12.6640625" customWidth="1"/>
  </cols>
  <sheetData>
    <row r="1" spans="1:22" ht="15.75" customHeight="1">
      <c r="A1" s="34"/>
      <c r="B1" s="34"/>
      <c r="C1" s="34"/>
      <c r="D1" s="34"/>
      <c r="E1" s="34"/>
      <c r="F1" s="34"/>
      <c r="G1" s="34"/>
      <c r="H1" s="34"/>
      <c r="I1" s="34"/>
      <c r="J1" s="34"/>
      <c r="K1" s="34"/>
      <c r="L1" s="34"/>
      <c r="M1" s="34"/>
      <c r="N1" s="34"/>
      <c r="O1" s="34"/>
      <c r="P1" s="34"/>
      <c r="Q1" s="34"/>
      <c r="R1" s="34"/>
      <c r="S1" s="34"/>
      <c r="T1" s="34"/>
      <c r="U1" s="34"/>
      <c r="V1" s="34"/>
    </row>
    <row r="2" spans="1:22">
      <c r="A2" s="34"/>
      <c r="B2" s="90" t="s">
        <v>316</v>
      </c>
      <c r="C2" s="34"/>
      <c r="D2" s="34"/>
      <c r="E2" s="34"/>
      <c r="F2" s="34"/>
      <c r="G2" s="34"/>
      <c r="H2" s="34"/>
      <c r="I2" s="34"/>
      <c r="J2" s="34"/>
      <c r="K2" s="34"/>
      <c r="L2" s="34"/>
      <c r="M2" s="34"/>
      <c r="N2" s="34"/>
      <c r="O2" s="34"/>
      <c r="P2" s="34"/>
      <c r="Q2" s="34"/>
      <c r="R2" s="34"/>
      <c r="S2" s="34"/>
      <c r="T2" s="34"/>
      <c r="U2" s="34"/>
      <c r="V2" s="34"/>
    </row>
    <row r="3" spans="1:22" ht="15.75" customHeight="1">
      <c r="A3" s="34"/>
      <c r="B3" s="53" t="s">
        <v>317</v>
      </c>
      <c r="C3" s="34"/>
      <c r="D3" s="34"/>
      <c r="E3" s="34"/>
      <c r="F3" s="34"/>
      <c r="G3" s="34"/>
      <c r="H3" s="34"/>
      <c r="I3" s="34"/>
      <c r="J3" s="34"/>
      <c r="K3" s="34"/>
      <c r="L3" s="34"/>
      <c r="M3" s="34"/>
      <c r="N3" s="34"/>
      <c r="O3" s="34"/>
      <c r="P3" s="34"/>
      <c r="Q3" s="34"/>
      <c r="R3" s="34"/>
      <c r="S3" s="34"/>
      <c r="T3" s="34"/>
      <c r="U3" s="34"/>
      <c r="V3" s="34"/>
    </row>
    <row r="4" spans="1:22" ht="15.75" customHeight="1">
      <c r="A4" s="34"/>
      <c r="B4" s="34"/>
      <c r="C4" s="34"/>
      <c r="D4" s="34"/>
      <c r="E4" s="34"/>
      <c r="F4" s="34"/>
      <c r="G4" s="34"/>
      <c r="H4" s="34"/>
      <c r="I4" s="34"/>
      <c r="J4" s="34"/>
      <c r="K4" s="34"/>
      <c r="L4" s="34"/>
      <c r="M4" s="34"/>
      <c r="N4" s="34"/>
      <c r="O4" s="34"/>
      <c r="P4" s="34"/>
      <c r="Q4" s="34"/>
      <c r="R4" s="34"/>
      <c r="S4" s="34"/>
      <c r="T4" s="34"/>
      <c r="U4" s="34"/>
      <c r="V4" s="34"/>
    </row>
    <row r="5" spans="1:22" ht="15.75" customHeight="1">
      <c r="A5" s="34"/>
      <c r="B5" s="103" t="s">
        <v>318</v>
      </c>
      <c r="C5" s="103" t="s">
        <v>260</v>
      </c>
      <c r="D5" s="103" t="s">
        <v>319</v>
      </c>
      <c r="E5" s="103" t="s">
        <v>320</v>
      </c>
      <c r="F5" s="104" t="s">
        <v>321</v>
      </c>
      <c r="G5" s="104" t="s">
        <v>322</v>
      </c>
      <c r="H5" s="104" t="s">
        <v>323</v>
      </c>
      <c r="I5" s="104" t="s">
        <v>324</v>
      </c>
      <c r="J5" s="104" t="s">
        <v>97</v>
      </c>
      <c r="K5" s="104" t="s">
        <v>325</v>
      </c>
      <c r="L5" s="104" t="s">
        <v>326</v>
      </c>
      <c r="M5" s="104" t="s">
        <v>327</v>
      </c>
      <c r="N5" s="104" t="s">
        <v>328</v>
      </c>
      <c r="O5" s="104" t="s">
        <v>329</v>
      </c>
      <c r="P5" s="104" t="s">
        <v>330</v>
      </c>
      <c r="Q5" s="104" t="s">
        <v>331</v>
      </c>
      <c r="R5" s="104" t="s">
        <v>332</v>
      </c>
      <c r="S5" s="104" t="s">
        <v>333</v>
      </c>
      <c r="T5" s="104" t="s">
        <v>334</v>
      </c>
      <c r="U5" s="104" t="s">
        <v>335</v>
      </c>
      <c r="V5" s="34"/>
    </row>
    <row r="6" spans="1:22" ht="15.75" customHeight="1">
      <c r="A6" s="105"/>
      <c r="B6" s="105"/>
      <c r="C6" s="105"/>
      <c r="D6" s="105"/>
      <c r="E6" s="105"/>
      <c r="F6" s="105"/>
      <c r="G6" s="105"/>
      <c r="H6" s="105"/>
      <c r="I6" s="105"/>
      <c r="J6" s="105"/>
      <c r="K6" s="105"/>
      <c r="L6" s="105"/>
      <c r="M6" s="105"/>
      <c r="N6" s="105"/>
      <c r="O6" s="105"/>
      <c r="P6" s="105"/>
      <c r="Q6" s="105"/>
      <c r="R6" s="105"/>
      <c r="S6" s="105"/>
      <c r="T6" s="105"/>
      <c r="U6" s="105"/>
      <c r="V6" s="105"/>
    </row>
    <row r="7" spans="1:22" ht="41" customHeight="1">
      <c r="A7" s="105"/>
      <c r="B7" s="96" t="s">
        <v>336</v>
      </c>
      <c r="C7" s="106" t="s">
        <v>337</v>
      </c>
      <c r="D7" s="96" t="s">
        <v>338</v>
      </c>
      <c r="E7" s="96" t="s">
        <v>339</v>
      </c>
      <c r="F7" s="119" t="b">
        <v>1</v>
      </c>
      <c r="G7" s="119" t="b">
        <v>0</v>
      </c>
      <c r="H7" s="119" t="b">
        <v>0</v>
      </c>
      <c r="I7" s="119" t="b">
        <v>1</v>
      </c>
      <c r="J7" s="119" t="b">
        <v>0</v>
      </c>
      <c r="K7" s="119" t="b">
        <v>0</v>
      </c>
      <c r="L7" s="119" t="b">
        <v>0</v>
      </c>
      <c r="M7" s="119" t="b">
        <v>0</v>
      </c>
      <c r="N7" s="119" t="b">
        <v>0</v>
      </c>
      <c r="O7" s="119" t="b">
        <v>0</v>
      </c>
      <c r="P7" s="119" t="b">
        <v>0</v>
      </c>
      <c r="Q7" s="119" t="b">
        <v>0</v>
      </c>
      <c r="R7" s="119" t="b">
        <v>0</v>
      </c>
      <c r="S7" s="119" t="b">
        <v>0</v>
      </c>
      <c r="T7" s="119" t="b">
        <v>0</v>
      </c>
      <c r="U7" s="119" t="b">
        <v>0</v>
      </c>
      <c r="V7" s="105"/>
    </row>
    <row r="8" spans="1:22" ht="41" customHeight="1">
      <c r="A8" s="105"/>
      <c r="B8" s="94" t="s">
        <v>283</v>
      </c>
      <c r="C8" s="107" t="s">
        <v>340</v>
      </c>
      <c r="D8" s="94" t="s">
        <v>338</v>
      </c>
      <c r="E8" s="94" t="s">
        <v>341</v>
      </c>
      <c r="F8" s="120" t="b">
        <v>1</v>
      </c>
      <c r="G8" s="120" t="b">
        <v>1</v>
      </c>
      <c r="H8" s="120" t="b">
        <v>0</v>
      </c>
      <c r="I8" s="120" t="b">
        <v>1</v>
      </c>
      <c r="J8" s="120" t="b">
        <v>0</v>
      </c>
      <c r="K8" s="120" t="b">
        <v>0</v>
      </c>
      <c r="L8" s="120" t="b">
        <v>0</v>
      </c>
      <c r="M8" s="120" t="b">
        <v>0</v>
      </c>
      <c r="N8" s="120" t="b">
        <v>0</v>
      </c>
      <c r="O8" s="120" t="b">
        <v>0</v>
      </c>
      <c r="P8" s="120" t="b">
        <v>0</v>
      </c>
      <c r="Q8" s="120" t="b">
        <v>0</v>
      </c>
      <c r="R8" s="120" t="b">
        <v>0</v>
      </c>
      <c r="S8" s="120" t="b">
        <v>0</v>
      </c>
      <c r="T8" s="120" t="b">
        <v>0</v>
      </c>
      <c r="U8" s="120" t="b">
        <v>0</v>
      </c>
      <c r="V8" s="105"/>
    </row>
    <row r="9" spans="1:22" ht="41" customHeight="1">
      <c r="A9" s="105"/>
      <c r="B9" s="96" t="s">
        <v>342</v>
      </c>
      <c r="C9" s="106" t="s">
        <v>343</v>
      </c>
      <c r="D9" s="96" t="s">
        <v>338</v>
      </c>
      <c r="E9" s="96" t="s">
        <v>341</v>
      </c>
      <c r="F9" s="119" t="b">
        <v>1</v>
      </c>
      <c r="G9" s="119" t="b">
        <v>1</v>
      </c>
      <c r="H9" s="119" t="b">
        <v>0</v>
      </c>
      <c r="I9" s="119" t="b">
        <v>1</v>
      </c>
      <c r="J9" s="119" t="b">
        <v>1</v>
      </c>
      <c r="K9" s="119" t="b">
        <v>1</v>
      </c>
      <c r="L9" s="119" t="b">
        <v>0</v>
      </c>
      <c r="M9" s="119" t="b">
        <v>0</v>
      </c>
      <c r="N9" s="119" t="b">
        <v>0</v>
      </c>
      <c r="O9" s="119" t="b">
        <v>0</v>
      </c>
      <c r="P9" s="119" t="b">
        <v>0</v>
      </c>
      <c r="Q9" s="119" t="b">
        <v>0</v>
      </c>
      <c r="R9" s="119" t="b">
        <v>0</v>
      </c>
      <c r="S9" s="119" t="b">
        <v>0</v>
      </c>
      <c r="T9" s="119" t="b">
        <v>0</v>
      </c>
      <c r="U9" s="119" t="b">
        <v>0</v>
      </c>
      <c r="V9" s="105"/>
    </row>
    <row r="10" spans="1:22" ht="41" customHeight="1">
      <c r="A10" s="105"/>
      <c r="B10" s="94" t="s">
        <v>344</v>
      </c>
      <c r="C10" s="107" t="s">
        <v>345</v>
      </c>
      <c r="D10" s="94" t="s">
        <v>346</v>
      </c>
      <c r="E10" s="108" t="s">
        <v>341</v>
      </c>
      <c r="F10" s="120" t="b">
        <v>1</v>
      </c>
      <c r="G10" s="120" t="b">
        <v>1</v>
      </c>
      <c r="H10" s="120" t="b">
        <v>0</v>
      </c>
      <c r="I10" s="120" t="b">
        <v>1</v>
      </c>
      <c r="J10" s="120" t="b">
        <v>1</v>
      </c>
      <c r="K10" s="120" t="b">
        <v>0</v>
      </c>
      <c r="L10" s="120" t="b">
        <v>0</v>
      </c>
      <c r="M10" s="120" t="b">
        <v>1</v>
      </c>
      <c r="N10" s="120" t="b">
        <v>0</v>
      </c>
      <c r="O10" s="120" t="b">
        <v>0</v>
      </c>
      <c r="P10" s="120" t="b">
        <v>0</v>
      </c>
      <c r="Q10" s="120" t="b">
        <v>0</v>
      </c>
      <c r="R10" s="120" t="b">
        <v>0</v>
      </c>
      <c r="S10" s="120" t="b">
        <v>0</v>
      </c>
      <c r="T10" s="120" t="b">
        <v>0</v>
      </c>
      <c r="U10" s="120" t="b">
        <v>0</v>
      </c>
      <c r="V10" s="105"/>
    </row>
    <row r="11" spans="1:22" ht="41" customHeight="1">
      <c r="A11" s="105"/>
      <c r="B11" s="96" t="s">
        <v>347</v>
      </c>
      <c r="C11" s="106" t="s">
        <v>348</v>
      </c>
      <c r="D11" s="96" t="s">
        <v>346</v>
      </c>
      <c r="E11" s="109" t="s">
        <v>341</v>
      </c>
      <c r="F11" s="119" t="b">
        <v>1</v>
      </c>
      <c r="G11" s="119" t="b">
        <v>1</v>
      </c>
      <c r="H11" s="119" t="b">
        <v>0</v>
      </c>
      <c r="I11" s="119" t="b">
        <v>1</v>
      </c>
      <c r="J11" s="119" t="b">
        <v>1</v>
      </c>
      <c r="K11" s="119" t="b">
        <v>0</v>
      </c>
      <c r="L11" s="119" t="b">
        <v>0</v>
      </c>
      <c r="M11" s="119" t="b">
        <v>0</v>
      </c>
      <c r="N11" s="119" t="b">
        <v>0</v>
      </c>
      <c r="O11" s="119" t="b">
        <v>0</v>
      </c>
      <c r="P11" s="119" t="b">
        <v>0</v>
      </c>
      <c r="Q11" s="119" t="b">
        <v>0</v>
      </c>
      <c r="R11" s="119" t="b">
        <v>0</v>
      </c>
      <c r="S11" s="119" t="b">
        <v>1</v>
      </c>
      <c r="T11" s="119" t="b">
        <v>1</v>
      </c>
      <c r="U11" s="119" t="b">
        <v>0</v>
      </c>
      <c r="V11" s="105"/>
    </row>
    <row r="12" spans="1:22" ht="41" customHeight="1">
      <c r="A12" s="105"/>
      <c r="B12" s="94" t="s">
        <v>349</v>
      </c>
      <c r="C12" s="107" t="s">
        <v>350</v>
      </c>
      <c r="D12" s="94" t="s">
        <v>346</v>
      </c>
      <c r="E12" s="108" t="s">
        <v>351</v>
      </c>
      <c r="F12" s="120" t="b">
        <v>1</v>
      </c>
      <c r="G12" s="120" t="b">
        <v>1</v>
      </c>
      <c r="H12" s="120" t="b">
        <v>0</v>
      </c>
      <c r="I12" s="120" t="b">
        <v>1</v>
      </c>
      <c r="J12" s="120" t="b">
        <v>1</v>
      </c>
      <c r="K12" s="120" t="b">
        <v>1</v>
      </c>
      <c r="L12" s="120" t="b">
        <v>0</v>
      </c>
      <c r="M12" s="120" t="b">
        <v>0</v>
      </c>
      <c r="N12" s="120" t="b">
        <v>0</v>
      </c>
      <c r="O12" s="120" t="b">
        <v>0</v>
      </c>
      <c r="P12" s="120" t="b">
        <v>0</v>
      </c>
      <c r="Q12" s="120" t="b">
        <v>0</v>
      </c>
      <c r="R12" s="120" t="b">
        <v>0</v>
      </c>
      <c r="S12" s="120" t="b">
        <v>0</v>
      </c>
      <c r="T12" s="120" t="b">
        <v>1</v>
      </c>
      <c r="U12" s="120" t="b">
        <v>0</v>
      </c>
      <c r="V12" s="105"/>
    </row>
    <row r="13" spans="1:22" ht="41" customHeight="1">
      <c r="A13" s="105"/>
      <c r="B13" s="96" t="s">
        <v>352</v>
      </c>
      <c r="C13" s="106" t="s">
        <v>289</v>
      </c>
      <c r="D13" s="96" t="s">
        <v>346</v>
      </c>
      <c r="E13" s="109" t="s">
        <v>353</v>
      </c>
      <c r="F13" s="119" t="b">
        <v>1</v>
      </c>
      <c r="G13" s="119" t="b">
        <v>1</v>
      </c>
      <c r="H13" s="119" t="b">
        <v>1</v>
      </c>
      <c r="I13" s="119" t="b">
        <v>1</v>
      </c>
      <c r="J13" s="119" t="b">
        <v>1</v>
      </c>
      <c r="K13" s="119" t="b">
        <v>0</v>
      </c>
      <c r="L13" s="119" t="b">
        <v>1</v>
      </c>
      <c r="M13" s="119" t="b">
        <v>0</v>
      </c>
      <c r="N13" s="119" t="b">
        <v>0</v>
      </c>
      <c r="O13" s="119" t="b">
        <v>1</v>
      </c>
      <c r="P13" s="119" t="b">
        <v>1</v>
      </c>
      <c r="Q13" s="119" t="b">
        <v>0</v>
      </c>
      <c r="R13" s="119" t="b">
        <v>0</v>
      </c>
      <c r="S13" s="119" t="b">
        <v>0</v>
      </c>
      <c r="T13" s="119" t="b">
        <v>1</v>
      </c>
      <c r="U13" s="119" t="b">
        <v>0</v>
      </c>
      <c r="V13" s="105"/>
    </row>
    <row r="14" spans="1:22" ht="41" customHeight="1">
      <c r="A14" s="105"/>
      <c r="B14" s="94" t="s">
        <v>354</v>
      </c>
      <c r="C14" s="107" t="s">
        <v>355</v>
      </c>
      <c r="D14" s="94" t="s">
        <v>346</v>
      </c>
      <c r="E14" s="94" t="s">
        <v>341</v>
      </c>
      <c r="F14" s="120" t="b">
        <v>1</v>
      </c>
      <c r="G14" s="120" t="b">
        <v>1</v>
      </c>
      <c r="H14" s="120" t="b">
        <v>0</v>
      </c>
      <c r="I14" s="120" t="b">
        <v>1</v>
      </c>
      <c r="J14" s="120" t="b">
        <v>1</v>
      </c>
      <c r="K14" s="120" t="b">
        <v>0</v>
      </c>
      <c r="L14" s="120" t="b">
        <v>0</v>
      </c>
      <c r="M14" s="120" t="b">
        <v>0</v>
      </c>
      <c r="N14" s="120" t="b">
        <v>0</v>
      </c>
      <c r="O14" s="120" t="b">
        <v>0</v>
      </c>
      <c r="P14" s="120" t="b">
        <v>0</v>
      </c>
      <c r="Q14" s="120" t="b">
        <v>0</v>
      </c>
      <c r="R14" s="120" t="b">
        <v>0</v>
      </c>
      <c r="S14" s="120" t="b">
        <v>0</v>
      </c>
      <c r="T14" s="120" t="b">
        <v>0</v>
      </c>
      <c r="U14" s="120" t="b">
        <v>1</v>
      </c>
      <c r="V14" s="105"/>
    </row>
    <row r="15" spans="1:22" ht="41" customHeight="1">
      <c r="A15" s="105"/>
      <c r="B15" s="96" t="s">
        <v>356</v>
      </c>
      <c r="C15" s="106" t="s">
        <v>357</v>
      </c>
      <c r="D15" s="96" t="s">
        <v>346</v>
      </c>
      <c r="E15" s="96" t="s">
        <v>341</v>
      </c>
      <c r="F15" s="119" t="b">
        <v>1</v>
      </c>
      <c r="G15" s="119" t="b">
        <v>1</v>
      </c>
      <c r="H15" s="119" t="b">
        <v>1</v>
      </c>
      <c r="I15" s="119" t="b">
        <v>1</v>
      </c>
      <c r="J15" s="119" t="b">
        <v>1</v>
      </c>
      <c r="K15" s="119" t="b">
        <v>0</v>
      </c>
      <c r="L15" s="119" t="b">
        <v>0</v>
      </c>
      <c r="M15" s="119" t="b">
        <v>0</v>
      </c>
      <c r="N15" s="119" t="b">
        <v>0</v>
      </c>
      <c r="O15" s="119" t="b">
        <v>0</v>
      </c>
      <c r="P15" s="119" t="b">
        <v>0</v>
      </c>
      <c r="Q15" s="119" t="b">
        <v>1</v>
      </c>
      <c r="R15" s="119" t="b">
        <v>0</v>
      </c>
      <c r="S15" s="119" t="b">
        <v>0</v>
      </c>
      <c r="T15" s="119" t="b">
        <v>0</v>
      </c>
      <c r="U15" s="119" t="b">
        <v>0</v>
      </c>
      <c r="V15" s="105"/>
    </row>
    <row r="16" spans="1:22" ht="41" customHeight="1">
      <c r="A16" s="105"/>
      <c r="B16" s="94" t="s">
        <v>301</v>
      </c>
      <c r="C16" s="107" t="s">
        <v>303</v>
      </c>
      <c r="D16" s="94" t="s">
        <v>358</v>
      </c>
      <c r="E16" s="94" t="s">
        <v>341</v>
      </c>
      <c r="F16" s="120" t="b">
        <v>0</v>
      </c>
      <c r="G16" s="120" t="b">
        <v>0</v>
      </c>
      <c r="H16" s="120" t="b">
        <v>0</v>
      </c>
      <c r="I16" s="120" t="b">
        <v>0</v>
      </c>
      <c r="J16" s="120" t="b">
        <v>0</v>
      </c>
      <c r="K16" s="120" t="b">
        <v>0</v>
      </c>
      <c r="L16" s="120" t="b">
        <v>0</v>
      </c>
      <c r="M16" s="120" t="b">
        <v>0</v>
      </c>
      <c r="N16" s="120" t="b">
        <v>0</v>
      </c>
      <c r="O16" s="120" t="b">
        <v>0</v>
      </c>
      <c r="P16" s="120" t="b">
        <v>0</v>
      </c>
      <c r="Q16" s="120" t="b">
        <v>0</v>
      </c>
      <c r="R16" s="120" t="b">
        <v>1</v>
      </c>
      <c r="S16" s="120" t="b">
        <v>0</v>
      </c>
      <c r="T16" s="120" t="b">
        <v>0</v>
      </c>
      <c r="U16" s="120" t="b">
        <v>0</v>
      </c>
      <c r="V16" s="105"/>
    </row>
    <row r="17" spans="1:22" ht="41" customHeight="1">
      <c r="A17" s="105"/>
      <c r="B17" s="96" t="s">
        <v>304</v>
      </c>
      <c r="C17" s="110" t="s">
        <v>359</v>
      </c>
      <c r="D17" s="96" t="s">
        <v>358</v>
      </c>
      <c r="E17" s="96" t="s">
        <v>341</v>
      </c>
      <c r="F17" s="119" t="b">
        <v>0</v>
      </c>
      <c r="G17" s="119" t="b">
        <v>0</v>
      </c>
      <c r="H17" s="119" t="b">
        <v>0</v>
      </c>
      <c r="I17" s="119" t="b">
        <v>0</v>
      </c>
      <c r="J17" s="119" t="b">
        <v>0</v>
      </c>
      <c r="K17" s="119" t="b">
        <v>0</v>
      </c>
      <c r="L17" s="119" t="b">
        <v>0</v>
      </c>
      <c r="M17" s="119" t="b">
        <v>0</v>
      </c>
      <c r="N17" s="119" t="b">
        <v>0</v>
      </c>
      <c r="O17" s="119" t="b">
        <v>0</v>
      </c>
      <c r="P17" s="119" t="b">
        <v>0</v>
      </c>
      <c r="Q17" s="119" t="b">
        <v>0</v>
      </c>
      <c r="R17" s="119" t="b">
        <v>1</v>
      </c>
      <c r="S17" s="119" t="b">
        <v>0</v>
      </c>
      <c r="T17" s="119" t="b">
        <v>0</v>
      </c>
      <c r="U17" s="119" t="b">
        <v>0</v>
      </c>
      <c r="V17" s="105"/>
    </row>
    <row r="18" spans="1:22" ht="41" customHeight="1">
      <c r="A18" s="105"/>
      <c r="B18" s="94" t="s">
        <v>360</v>
      </c>
      <c r="C18" s="111" t="s">
        <v>361</v>
      </c>
      <c r="D18" s="94" t="s">
        <v>358</v>
      </c>
      <c r="E18" s="94" t="s">
        <v>341</v>
      </c>
      <c r="F18" s="120" t="b">
        <v>0</v>
      </c>
      <c r="G18" s="120" t="b">
        <v>0</v>
      </c>
      <c r="H18" s="120" t="b">
        <v>0</v>
      </c>
      <c r="I18" s="120" t="b">
        <v>0</v>
      </c>
      <c r="J18" s="120" t="b">
        <v>0</v>
      </c>
      <c r="K18" s="120" t="b">
        <v>0</v>
      </c>
      <c r="L18" s="120" t="b">
        <v>0</v>
      </c>
      <c r="M18" s="120" t="b">
        <v>0</v>
      </c>
      <c r="N18" s="120" t="b">
        <v>0</v>
      </c>
      <c r="O18" s="120" t="b">
        <v>0</v>
      </c>
      <c r="P18" s="120" t="b">
        <v>0</v>
      </c>
      <c r="Q18" s="120" t="b">
        <v>0</v>
      </c>
      <c r="R18" s="120" t="b">
        <v>0</v>
      </c>
      <c r="S18" s="120" t="b">
        <v>0</v>
      </c>
      <c r="T18" s="120" t="b">
        <v>1</v>
      </c>
      <c r="U18" s="120" t="b">
        <v>0</v>
      </c>
      <c r="V18" s="105"/>
    </row>
    <row r="19" spans="1:22" ht="41" customHeight="1">
      <c r="A19" s="34"/>
      <c r="B19" s="96" t="s">
        <v>362</v>
      </c>
      <c r="C19" s="110" t="s">
        <v>294</v>
      </c>
      <c r="D19" s="96" t="s">
        <v>363</v>
      </c>
      <c r="E19" s="96" t="s">
        <v>364</v>
      </c>
      <c r="F19" s="119" t="b">
        <v>0</v>
      </c>
      <c r="G19" s="119" t="b">
        <v>0</v>
      </c>
      <c r="H19" s="119" t="b">
        <v>0</v>
      </c>
      <c r="I19" s="119" t="b">
        <v>0</v>
      </c>
      <c r="J19" s="119" t="b">
        <v>0</v>
      </c>
      <c r="K19" s="119" t="b">
        <v>0</v>
      </c>
      <c r="L19" s="119" t="b">
        <v>0</v>
      </c>
      <c r="M19" s="119" t="b">
        <v>0</v>
      </c>
      <c r="N19" s="119" t="b">
        <v>0</v>
      </c>
      <c r="O19" s="119" t="b">
        <v>0</v>
      </c>
      <c r="P19" s="119" t="b">
        <v>0</v>
      </c>
      <c r="Q19" s="119" t="b">
        <v>0</v>
      </c>
      <c r="R19" s="119" t="b">
        <v>0</v>
      </c>
      <c r="S19" s="119" t="b">
        <v>0</v>
      </c>
      <c r="T19" s="119" t="b">
        <v>0</v>
      </c>
      <c r="U19" s="119" t="b">
        <v>0</v>
      </c>
      <c r="V19" s="105"/>
    </row>
    <row r="20" spans="1:22" ht="15.75" customHeight="1">
      <c r="A20" s="34"/>
      <c r="B20" s="34"/>
      <c r="C20" s="34"/>
      <c r="D20" s="34"/>
      <c r="E20" s="34"/>
      <c r="F20" s="34"/>
      <c r="G20" s="34"/>
      <c r="H20" s="34"/>
      <c r="I20" s="34"/>
      <c r="J20" s="34"/>
      <c r="K20" s="34"/>
      <c r="L20" s="34"/>
      <c r="M20" s="34"/>
      <c r="N20" s="34"/>
      <c r="O20" s="34"/>
      <c r="P20" s="34"/>
      <c r="Q20" s="34"/>
      <c r="R20" s="34"/>
      <c r="S20" s="34"/>
      <c r="T20" s="34"/>
      <c r="U20" s="34"/>
      <c r="V20" s="34"/>
    </row>
  </sheetData>
  <hyperlinks>
    <hyperlink ref="C7" r:id="rId1" xr:uid="{00000000-0004-0000-0700-000000000000}"/>
    <hyperlink ref="C8" r:id="rId2" xr:uid="{00000000-0004-0000-0700-000001000000}"/>
    <hyperlink ref="C9" r:id="rId3" xr:uid="{00000000-0004-0000-0700-000002000000}"/>
    <hyperlink ref="C10" r:id="rId4" xr:uid="{00000000-0004-0000-0700-000003000000}"/>
    <hyperlink ref="C11" r:id="rId5" xr:uid="{00000000-0004-0000-0700-000004000000}"/>
    <hyperlink ref="C12" r:id="rId6" xr:uid="{00000000-0004-0000-0700-000005000000}"/>
    <hyperlink ref="C13" r:id="rId7" xr:uid="{00000000-0004-0000-0700-000006000000}"/>
    <hyperlink ref="C14" r:id="rId8" xr:uid="{00000000-0004-0000-0700-000007000000}"/>
    <hyperlink ref="C15" r:id="rId9" xr:uid="{00000000-0004-0000-0700-000008000000}"/>
    <hyperlink ref="C16" r:id="rId10" xr:uid="{00000000-0004-0000-0700-000009000000}"/>
    <hyperlink ref="C17" r:id="rId11" xr:uid="{00000000-0004-0000-0700-00000A000000}"/>
    <hyperlink ref="C18" r:id="rId12" xr:uid="{00000000-0004-0000-0700-00000B000000}"/>
    <hyperlink ref="C19" r:id="rId13" xr:uid="{00000000-0004-0000-0700-00000C000000}"/>
  </hyperlinks>
  <pageMargins left="0.7" right="0.7" top="0.75" bottom="0.75" header="0.3" footer="0.3"/>
  <tableParts count="1">
    <tablePart r:id="rId1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C42"/>
  <sheetViews>
    <sheetView showGridLines="0" workbookViewId="0"/>
  </sheetViews>
  <sheetFormatPr baseColWidth="10" defaultColWidth="12.6640625" defaultRowHeight="15.75" customHeight="1"/>
  <cols>
    <col min="1" max="1" width="5.5" customWidth="1"/>
    <col min="2" max="2" width="31.6640625" customWidth="1"/>
    <col min="3" max="3" width="80.1640625" customWidth="1"/>
  </cols>
  <sheetData>
    <row r="2" spans="2:3">
      <c r="B2" s="2" t="s">
        <v>43</v>
      </c>
    </row>
    <row r="3" spans="2:3" ht="15.75" customHeight="1">
      <c r="B3" s="18" t="s">
        <v>365</v>
      </c>
    </row>
    <row r="4" spans="2:3" ht="15.75" customHeight="1">
      <c r="B4" s="13"/>
    </row>
    <row r="5" spans="2:3" ht="15.75" customHeight="1">
      <c r="B5" s="20" t="s">
        <v>366</v>
      </c>
      <c r="C5" s="20" t="s">
        <v>367</v>
      </c>
    </row>
    <row r="6" spans="2:3" ht="15.75" customHeight="1">
      <c r="B6" s="11"/>
      <c r="C6" s="11"/>
    </row>
    <row r="7" spans="2:3" ht="15.75" customHeight="1">
      <c r="B7" s="11" t="s">
        <v>368</v>
      </c>
      <c r="C7" s="11" t="s">
        <v>369</v>
      </c>
    </row>
    <row r="8" spans="2:3" ht="15.75" customHeight="1">
      <c r="B8" s="11" t="s">
        <v>370</v>
      </c>
      <c r="C8" s="11" t="s">
        <v>371</v>
      </c>
    </row>
    <row r="9" spans="2:3" ht="15.75" customHeight="1">
      <c r="B9" s="11" t="s">
        <v>372</v>
      </c>
      <c r="C9" s="11" t="s">
        <v>373</v>
      </c>
    </row>
    <row r="10" spans="2:3" ht="15.75" customHeight="1">
      <c r="B10" s="11" t="s">
        <v>374</v>
      </c>
      <c r="C10" s="11" t="s">
        <v>375</v>
      </c>
    </row>
    <row r="11" spans="2:3" ht="15.75" customHeight="1">
      <c r="B11" s="11" t="s">
        <v>196</v>
      </c>
      <c r="C11" s="11" t="s">
        <v>376</v>
      </c>
    </row>
    <row r="12" spans="2:3" ht="15.75" customHeight="1">
      <c r="B12" s="11" t="s">
        <v>191</v>
      </c>
      <c r="C12" s="11" t="s">
        <v>377</v>
      </c>
    </row>
    <row r="13" spans="2:3" ht="15.75" customHeight="1">
      <c r="B13" s="11" t="s">
        <v>378</v>
      </c>
      <c r="C13" s="11" t="s">
        <v>379</v>
      </c>
    </row>
    <row r="14" spans="2:3" ht="15.75" customHeight="1">
      <c r="B14" s="11" t="s">
        <v>205</v>
      </c>
      <c r="C14" s="11" t="s">
        <v>380</v>
      </c>
    </row>
    <row r="15" spans="2:3" ht="15.75" customHeight="1">
      <c r="B15" s="11" t="s">
        <v>206</v>
      </c>
      <c r="C15" s="11" t="s">
        <v>381</v>
      </c>
    </row>
    <row r="16" spans="2:3" ht="15.75" customHeight="1">
      <c r="B16" s="11" t="s">
        <v>179</v>
      </c>
      <c r="C16" s="11" t="s">
        <v>382</v>
      </c>
    </row>
    <row r="17" spans="2:3" ht="15.75" customHeight="1">
      <c r="B17" s="11" t="s">
        <v>383</v>
      </c>
      <c r="C17" s="11" t="s">
        <v>384</v>
      </c>
    </row>
    <row r="18" spans="2:3" ht="15.75" customHeight="1">
      <c r="B18" s="112" t="s">
        <v>136</v>
      </c>
      <c r="C18" s="11" t="s">
        <v>385</v>
      </c>
    </row>
    <row r="19" spans="2:3" ht="15.75" customHeight="1">
      <c r="B19" s="112" t="s">
        <v>208</v>
      </c>
      <c r="C19" s="11" t="s">
        <v>386</v>
      </c>
    </row>
    <row r="20" spans="2:3" ht="15.75" customHeight="1">
      <c r="B20" s="112" t="s">
        <v>209</v>
      </c>
      <c r="C20" s="11" t="s">
        <v>387</v>
      </c>
    </row>
    <row r="21" spans="2:3" ht="15.75" customHeight="1">
      <c r="B21" s="112" t="s">
        <v>138</v>
      </c>
      <c r="C21" s="11" t="s">
        <v>388</v>
      </c>
    </row>
    <row r="22" spans="2:3" ht="15.75" customHeight="1">
      <c r="B22" s="112" t="s">
        <v>389</v>
      </c>
      <c r="C22" s="11" t="s">
        <v>390</v>
      </c>
    </row>
    <row r="23" spans="2:3" ht="15.75" customHeight="1">
      <c r="B23" s="112" t="s">
        <v>391</v>
      </c>
      <c r="C23" s="11" t="s">
        <v>392</v>
      </c>
    </row>
    <row r="24" spans="2:3" ht="15.75" customHeight="1">
      <c r="B24" s="112" t="s">
        <v>393</v>
      </c>
      <c r="C24" s="11" t="s">
        <v>394</v>
      </c>
    </row>
    <row r="25" spans="2:3" ht="15.75" customHeight="1">
      <c r="B25" s="112" t="s">
        <v>139</v>
      </c>
      <c r="C25" s="11" t="s">
        <v>395</v>
      </c>
    </row>
    <row r="26" spans="2:3" ht="15.75" customHeight="1">
      <c r="B26" s="112" t="s">
        <v>210</v>
      </c>
      <c r="C26" s="11" t="s">
        <v>396</v>
      </c>
    </row>
    <row r="27" spans="2:3" ht="15.75" customHeight="1">
      <c r="B27" s="112" t="s">
        <v>213</v>
      </c>
      <c r="C27" s="11" t="s">
        <v>214</v>
      </c>
    </row>
    <row r="28" spans="2:3" ht="15.75" customHeight="1">
      <c r="B28" s="112" t="s">
        <v>215</v>
      </c>
      <c r="C28" s="11" t="s">
        <v>397</v>
      </c>
    </row>
    <row r="29" spans="2:3" ht="15.75" customHeight="1">
      <c r="B29" s="112" t="s">
        <v>217</v>
      </c>
      <c r="C29" s="11" t="s">
        <v>218</v>
      </c>
    </row>
    <row r="30" spans="2:3" ht="15.75" customHeight="1">
      <c r="B30" s="112" t="s">
        <v>225</v>
      </c>
      <c r="C30" s="11" t="s">
        <v>398</v>
      </c>
    </row>
    <row r="31" spans="2:3" ht="15.75" customHeight="1">
      <c r="B31" s="112" t="s">
        <v>226</v>
      </c>
      <c r="C31" s="11" t="s">
        <v>399</v>
      </c>
    </row>
    <row r="32" spans="2:3" ht="15.75" customHeight="1">
      <c r="B32" s="112" t="s">
        <v>227</v>
      </c>
      <c r="C32" s="11" t="s">
        <v>400</v>
      </c>
    </row>
    <row r="33" spans="2:3" ht="15.75" customHeight="1">
      <c r="B33" s="112" t="s">
        <v>228</v>
      </c>
      <c r="C33" s="11" t="s">
        <v>401</v>
      </c>
    </row>
    <row r="34" spans="2:3" ht="15.75" customHeight="1">
      <c r="B34" s="112" t="s">
        <v>232</v>
      </c>
      <c r="C34" s="11" t="s">
        <v>402</v>
      </c>
    </row>
    <row r="35" spans="2:3" ht="15.75" customHeight="1">
      <c r="B35" s="112" t="s">
        <v>140</v>
      </c>
      <c r="C35" s="11" t="s">
        <v>403</v>
      </c>
    </row>
    <row r="36" spans="2:3" ht="15.75" customHeight="1">
      <c r="B36" s="112" t="s">
        <v>144</v>
      </c>
      <c r="C36" s="11" t="s">
        <v>404</v>
      </c>
    </row>
    <row r="37" spans="2:3" ht="15.75" customHeight="1">
      <c r="B37" s="112" t="s">
        <v>234</v>
      </c>
      <c r="C37" s="11" t="s">
        <v>405</v>
      </c>
    </row>
    <row r="38" spans="2:3" ht="15.75" customHeight="1">
      <c r="B38" s="112" t="s">
        <v>142</v>
      </c>
      <c r="C38" s="11" t="s">
        <v>406</v>
      </c>
    </row>
    <row r="39" spans="2:3" ht="15.75" customHeight="1">
      <c r="B39" s="112" t="s">
        <v>146</v>
      </c>
      <c r="C39" s="11" t="s">
        <v>407</v>
      </c>
    </row>
    <row r="40" spans="2:3" ht="15.75" customHeight="1">
      <c r="B40" s="112" t="s">
        <v>235</v>
      </c>
      <c r="C40" s="11" t="s">
        <v>408</v>
      </c>
    </row>
    <row r="41" spans="2:3" ht="15.75" customHeight="1">
      <c r="B41" s="11" t="s">
        <v>409</v>
      </c>
      <c r="C41" s="11" t="s">
        <v>410</v>
      </c>
    </row>
    <row r="42" spans="2:3" ht="15.75" customHeight="1">
      <c r="B42" s="11" t="s">
        <v>411</v>
      </c>
      <c r="C42" s="11" t="s">
        <v>412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1:D23"/>
  <sheetViews>
    <sheetView showGridLines="0" workbookViewId="0"/>
  </sheetViews>
  <sheetFormatPr baseColWidth="10" defaultColWidth="12.6640625" defaultRowHeight="15.75" customHeight="1"/>
  <cols>
    <col min="1" max="1" width="5.5" customWidth="1"/>
    <col min="2" max="2" width="17.6640625" customWidth="1"/>
    <col min="3" max="3" width="16" customWidth="1"/>
    <col min="4" max="4" width="87.5" customWidth="1"/>
  </cols>
  <sheetData>
    <row r="1" spans="2:4" ht="15.75" customHeight="1">
      <c r="C1" s="113"/>
    </row>
    <row r="2" spans="2:4">
      <c r="B2" s="2" t="s">
        <v>45</v>
      </c>
      <c r="C2" s="113"/>
    </row>
    <row r="3" spans="2:4" ht="15.75" customHeight="1">
      <c r="B3" s="18" t="s">
        <v>413</v>
      </c>
      <c r="C3" s="113"/>
    </row>
    <row r="4" spans="2:4" ht="15.75" customHeight="1">
      <c r="B4" s="13"/>
      <c r="C4" s="113"/>
    </row>
    <row r="5" spans="2:4" ht="15.75" customHeight="1">
      <c r="B5" s="20" t="s">
        <v>414</v>
      </c>
      <c r="C5" s="23" t="s">
        <v>415</v>
      </c>
      <c r="D5" s="20" t="s">
        <v>367</v>
      </c>
    </row>
    <row r="6" spans="2:4" ht="15.75" customHeight="1">
      <c r="B6" s="11"/>
      <c r="C6" s="114"/>
      <c r="D6" s="11"/>
    </row>
    <row r="7" spans="2:4" ht="15.75" customHeight="1">
      <c r="B7" s="94" t="s">
        <v>416</v>
      </c>
      <c r="C7" s="115">
        <v>45715</v>
      </c>
      <c r="D7" s="94" t="s">
        <v>417</v>
      </c>
    </row>
    <row r="8" spans="2:4" ht="15.75" customHeight="1">
      <c r="B8" s="94" t="s">
        <v>418</v>
      </c>
      <c r="C8" s="115">
        <v>45527</v>
      </c>
      <c r="D8" s="94" t="s">
        <v>419</v>
      </c>
    </row>
    <row r="9" spans="2:4" ht="15.75" customHeight="1">
      <c r="B9" s="112" t="s">
        <v>418</v>
      </c>
      <c r="C9" s="115">
        <v>45525</v>
      </c>
      <c r="D9" s="112" t="s">
        <v>420</v>
      </c>
    </row>
    <row r="10" spans="2:4" ht="15.75" customHeight="1">
      <c r="B10" s="112" t="s">
        <v>421</v>
      </c>
      <c r="C10" s="115">
        <v>45524</v>
      </c>
      <c r="D10" s="112" t="s">
        <v>422</v>
      </c>
    </row>
    <row r="11" spans="2:4" ht="15.75" customHeight="1">
      <c r="B11" s="112" t="s">
        <v>423</v>
      </c>
      <c r="C11" s="115">
        <v>45356</v>
      </c>
      <c r="D11" s="112" t="s">
        <v>424</v>
      </c>
    </row>
    <row r="12" spans="2:4" ht="15.75" customHeight="1">
      <c r="B12" s="112" t="s">
        <v>425</v>
      </c>
      <c r="C12" s="115">
        <v>45276</v>
      </c>
      <c r="D12" s="112" t="s">
        <v>426</v>
      </c>
    </row>
    <row r="13" spans="2:4" ht="15.75" customHeight="1">
      <c r="B13" s="112" t="s">
        <v>427</v>
      </c>
      <c r="C13" s="115">
        <v>45272</v>
      </c>
      <c r="D13" s="112" t="s">
        <v>428</v>
      </c>
    </row>
    <row r="14" spans="2:4" ht="15.75" customHeight="1">
      <c r="B14" s="112" t="s">
        <v>429</v>
      </c>
      <c r="C14" s="115">
        <v>45268</v>
      </c>
      <c r="D14" s="112" t="s">
        <v>430</v>
      </c>
    </row>
    <row r="15" spans="2:4" ht="15.75" customHeight="1">
      <c r="B15" s="112" t="s">
        <v>431</v>
      </c>
      <c r="C15" s="115">
        <v>45266</v>
      </c>
      <c r="D15" s="112" t="s">
        <v>432</v>
      </c>
    </row>
    <row r="16" spans="2:4" ht="15.75" customHeight="1">
      <c r="B16" s="112" t="s">
        <v>433</v>
      </c>
      <c r="C16" s="115">
        <v>45248</v>
      </c>
      <c r="D16" s="112" t="s">
        <v>434</v>
      </c>
    </row>
    <row r="17" spans="2:4" ht="15.75" customHeight="1">
      <c r="B17" s="112" t="s">
        <v>435</v>
      </c>
      <c r="C17" s="115">
        <v>45238</v>
      </c>
      <c r="D17" s="112" t="s">
        <v>436</v>
      </c>
    </row>
    <row r="18" spans="2:4" ht="15.75" customHeight="1">
      <c r="B18" s="112" t="s">
        <v>437</v>
      </c>
      <c r="C18" s="115">
        <v>44924</v>
      </c>
      <c r="D18" s="116" t="s">
        <v>438</v>
      </c>
    </row>
    <row r="19" spans="2:4" ht="15.75" customHeight="1">
      <c r="B19" s="112" t="s">
        <v>439</v>
      </c>
      <c r="C19" s="115">
        <v>44861</v>
      </c>
      <c r="D19" s="112" t="s">
        <v>440</v>
      </c>
    </row>
    <row r="20" spans="2:4" ht="15.75" customHeight="1">
      <c r="B20" s="11" t="s">
        <v>441</v>
      </c>
      <c r="C20" s="117">
        <v>44669</v>
      </c>
      <c r="D20" s="11" t="s">
        <v>442</v>
      </c>
    </row>
    <row r="21" spans="2:4" ht="15.75" customHeight="1">
      <c r="B21" s="11" t="s">
        <v>443</v>
      </c>
      <c r="C21" s="117">
        <v>44624</v>
      </c>
      <c r="D21" s="11" t="s">
        <v>444</v>
      </c>
    </row>
    <row r="22" spans="2:4" ht="15.75" customHeight="1">
      <c r="B22" s="11" t="s">
        <v>445</v>
      </c>
      <c r="C22" s="117">
        <v>44470</v>
      </c>
      <c r="D22" s="118" t="s">
        <v>446</v>
      </c>
    </row>
    <row r="23" spans="2:4" ht="15.75" customHeight="1">
      <c r="C23" s="113"/>
    </row>
  </sheetData>
  <hyperlinks>
    <hyperlink ref="D18" r:id="rId1" xr:uid="{00000000-0004-0000-0900-000000000000}"/>
    <hyperlink ref="D22" r:id="rId2" xr:uid="{00000000-0004-0000-09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License</vt:lpstr>
      <vt:lpstr>Get Started</vt:lpstr>
      <vt:lpstr>Key Reports</vt:lpstr>
      <vt:lpstr>Portfolio</vt:lpstr>
      <vt:lpstr>Forecast</vt:lpstr>
      <vt:lpstr>Resources</vt:lpstr>
      <vt:lpstr>Model Comparison</vt:lpstr>
      <vt:lpstr>Glossary</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2025-02-28T01:22:57Z</dcterms:modified>
</cp:coreProperties>
</file>