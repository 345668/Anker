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icense" sheetId="2" r:id="rId5"/>
    <sheet state="visible" name="Venture Valuation" sheetId="3" r:id="rId6"/>
    <sheet state="visible" name="Simple Venture Valuation" sheetId="4" r:id="rId7"/>
    <sheet state="visible" name="Resources" sheetId="5" r:id="rId8"/>
    <sheet state="visible" name="Model Comparison" sheetId="6" r:id="rId9"/>
    <sheet state="visible" name="Changelog" sheetId="7" r:id="rId10"/>
  </sheets>
  <definedNames/>
  <calcPr/>
</workbook>
</file>

<file path=xl/sharedStrings.xml><?xml version="1.0" encoding="utf-8"?>
<sst xmlns="http://schemas.openxmlformats.org/spreadsheetml/2006/main" count="463" uniqueCount="338">
  <si>
    <t>Venture Valuation Tool, by Foresight</t>
  </si>
  <si>
    <t>Copyright &amp; Contact</t>
  </si>
  <si>
    <t xml:space="preserve">👋  This was created by Taylor Davidson (@tdavidson) of Foresight.
© 2024, Unstructured Ventures, LLC.
Questions, contact taylor@foresight.is or @tdavidson
</t>
  </si>
  <si>
    <t>License</t>
  </si>
  <si>
    <r>
      <rPr>
        <color rgb="FF000000"/>
      </rPr>
      <t xml:space="preserve">tl:dr; You can modify, edit, use, and share within your company (and with third-parties as needed to operate your business). You may not redistribute, resell, give away to others. </t>
    </r>
    <r>
      <rPr>
        <color rgb="FF1155CC"/>
        <u/>
      </rPr>
      <t xml:space="preserve">Full license.
</t>
    </r>
  </si>
  <si>
    <t>Goal</t>
  </si>
  <si>
    <r>
      <rPr/>
      <t xml:space="preserve">Model to help understand potential returns from an investment based on probably graduation rates, valuations, capital raised, and dilution. The inverse to the VC Method of valuation (good resource, </t>
    </r>
    <r>
      <rPr>
        <color rgb="FF1155CC"/>
        <u/>
      </rPr>
      <t>https://vcmethod.com</t>
    </r>
    <r>
      <rPr/>
      <t xml:space="preserve">).
</t>
    </r>
  </si>
  <si>
    <t>Copy to Google Sheets or Download to Excel</t>
  </si>
  <si>
    <r>
      <rPr/>
      <t xml:space="preserve">File &gt; Make a Copy to copy it to your own Google Drive, or File &gt; Download to download this to use in Excel or other spreadsheet programs. </t>
    </r>
    <r>
      <rPr>
        <color rgb="FF1155CC"/>
        <u/>
      </rPr>
      <t xml:space="preserve">See License for warranties and liabilities.
</t>
    </r>
  </si>
  <si>
    <t>Support</t>
  </si>
  <si>
    <t xml:space="preserve">Questions, happy to assist, contact anytime. More details on how I provide support: https://foresight.is/help/
</t>
  </si>
  <si>
    <t>Missing a feature you need?</t>
  </si>
  <si>
    <r>
      <rPr/>
      <t xml:space="preserve">Check out the </t>
    </r>
    <r>
      <rPr>
        <color rgb="FF1155CC"/>
        <u/>
      </rPr>
      <t>Resources</t>
    </r>
    <r>
      <rPr/>
      <t xml:space="preserve"> for other resources for modeling venture funds, and check out Foresight's </t>
    </r>
    <r>
      <rPr>
        <color rgb="FF1155CC"/>
        <u/>
      </rPr>
      <t>Venture Investor Model</t>
    </r>
    <r>
      <rPr/>
      <t xml:space="preserve"> for a more detailed fund model with financial statements, management company budgeting, and more.
</t>
    </r>
  </si>
  <si>
    <t>Quickstart</t>
  </si>
  <si>
    <t xml:space="preserve">Input assumptions on investment rounds, valuations, and rates of rasie/fail/exit, then evaluate the returns and expected value. Details at https://www.loom.com/share/34ac5955f7e640238389f0b628fa9e78
</t>
  </si>
  <si>
    <t>Video Overview</t>
  </si>
  <si>
    <t>https://www.loom.com/share/34ac5955f7e640238389f0b628fa9e78</t>
  </si>
  <si>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</si>
  <si>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</si>
  <si>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</si>
  <si>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</si>
  <si>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</si>
  <si>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</si>
  <si>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Venture Valuation</t>
  </si>
  <si>
    <t>All inputs and calculations. Details at Loom link shared above</t>
  </si>
  <si>
    <t>Resources</t>
  </si>
  <si>
    <t>Links to other models and resources for modeling venture capital funds and investments, from around the web. Safe to delete or hide.</t>
  </si>
  <si>
    <t>Model Comparison</t>
  </si>
  <si>
    <t>Detailed feature comparison of the range of Foresight models for venture investors</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</si>
  <si>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</si>
  <si>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</si>
  <si>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</si>
  <si>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</si>
  <si>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</si>
  <si>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</si>
  <si>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</si>
  <si>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</si>
  <si>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</si>
  <si>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</si>
  <si>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</si>
  <si>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</si>
  <si>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</si>
  <si>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</si>
  <si>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</si>
  <si>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</si>
  <si>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</si>
  <si>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</si>
  <si>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</si>
  <si>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</si>
  <si>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</si>
  <si>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</si>
  <si>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</si>
  <si>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Scenario Planning for a Cap Table, Dilution, and Valuations</t>
  </si>
  <si>
    <r>
      <rPr>
        <color rgb="FF666666"/>
      </rPr>
      <t xml:space="preserve">Seeing a #REF error from a circular reference? Turn on iterative calculations. Context at </t>
    </r>
    <r>
      <rPr>
        <color rgb="FF1155CC"/>
        <u/>
      </rPr>
      <t>https://foresight.is/circulars</t>
    </r>
  </si>
  <si>
    <t>Planning future fundraising rounds, exits, and returns</t>
  </si>
  <si>
    <t>Rounds per Average Investment</t>
  </si>
  <si>
    <t>Seed</t>
  </si>
  <si>
    <t>Series A</t>
  </si>
  <si>
    <t>Series B</t>
  </si>
  <si>
    <t>Series C</t>
  </si>
  <si>
    <t>Series D</t>
  </si>
  <si>
    <t>Series E</t>
  </si>
  <si>
    <t>Series F+</t>
  </si>
  <si>
    <t>Exit or Total</t>
  </si>
  <si>
    <t>Notes</t>
  </si>
  <si>
    <t>Modeling the Cap Table for an Average Investment</t>
  </si>
  <si>
    <t>SAFEs and Notes Converting, per Round</t>
  </si>
  <si>
    <t>Seeing a #REF error from a circular reference? Turn on iterative calculations. Context at https://foresight.is/circulars</t>
  </si>
  <si>
    <t>Converting per Round, Investor</t>
  </si>
  <si>
    <t>Premoney SAFEs and Convertible Notes converting per round</t>
  </si>
  <si>
    <t>assuming investor friendly conversion by default; feel free to edit for different conversion methods</t>
  </si>
  <si>
    <t xml:space="preserve">   Discount Rate</t>
  </si>
  <si>
    <t>optional, if used, calculates equity price * (1 - discount rate)</t>
  </si>
  <si>
    <t xml:space="preserve">   Valuation Cap</t>
  </si>
  <si>
    <t>optional, if used, sets a max valuation on this investment</t>
  </si>
  <si>
    <t xml:space="preserve">   Share Price</t>
  </si>
  <si>
    <t>minimum of equity price, price if using valuation cap, price if using discount rate</t>
  </si>
  <si>
    <t xml:space="preserve">   Shares</t>
  </si>
  <si>
    <t>amount invested / share price</t>
  </si>
  <si>
    <t>Postmoney SAFEs converting per round</t>
  </si>
  <si>
    <t>using default YC standard for postmoney SAFEs and treatment</t>
  </si>
  <si>
    <t>Converting per Round, All other Preferred</t>
  </si>
  <si>
    <t>New Preferred Equity Investment, per Round</t>
  </si>
  <si>
    <t>Investor, amount converted</t>
  </si>
  <si>
    <t>Convertibles</t>
  </si>
  <si>
    <t>Investor, new Preferred Equity</t>
  </si>
  <si>
    <t>Equity</t>
  </si>
  <si>
    <t>new equity investment from modeled investor, per round (separate from any conversions from notes or SAFEs)</t>
  </si>
  <si>
    <t>Investor, all other Preferred</t>
  </si>
  <si>
    <t>new equity investment from all other preferred investors, per round (separate from any conversions from notes or SAFEs)</t>
  </si>
  <si>
    <t>Total Investment Round</t>
  </si>
  <si>
    <t>Option Pool, as % of postmoney capitalization</t>
  </si>
  <si>
    <t>option pool, assuming all options pools represent the % of postmoney capitalization, full dilutive effect of issuing the options is borne by existing shareholders prior to the round, and assumes all options new each round are granted before the next round</t>
  </si>
  <si>
    <t>Premoney Valuation</t>
  </si>
  <si>
    <t>assumption, create your own rationale for expected future rounds</t>
  </si>
  <si>
    <t>Postmoney Valuation</t>
  </si>
  <si>
    <t>total amount invested in round + premoney valuation</t>
  </si>
  <si>
    <t>% of Company Sold in each round</t>
  </si>
  <si>
    <t>calculated from the amount invested and postmoney valuations</t>
  </si>
  <si>
    <t># Shares issued to Investor in round</t>
  </si>
  <si>
    <t>new shares issued to Investor in round, including convertibles converted in round</t>
  </si>
  <si>
    <t># Shares issued to all investors in round</t>
  </si>
  <si>
    <t>new shares issued to all investors in round, including convertibles converted in round</t>
  </si>
  <si>
    <t>Share Price</t>
  </si>
  <si>
    <t>assuming no rounding for this analysis</t>
  </si>
  <si>
    <t>Blended Share Price, including Convertibles</t>
  </si>
  <si>
    <t>Ownership %, Investor</t>
  </si>
  <si>
    <t>ownership %, for just the modeled investor</t>
  </si>
  <si>
    <t>Ownership %, all other Preferred</t>
  </si>
  <si>
    <t>ownership % of all other preferred investors</t>
  </si>
  <si>
    <t>Ownership %, all Preferred</t>
  </si>
  <si>
    <t>sum of % owned by the modeled investor plus the % owned by other preferred investors</t>
  </si>
  <si>
    <t>Proforma Cap Table</t>
  </si>
  <si>
    <t>Common</t>
  </si>
  <si>
    <t>assumes no change in total common shares over time, feel free to change if needed</t>
  </si>
  <si>
    <t>Investor</t>
  </si>
  <si>
    <t>new shares issued to investor in round + shares previously owned</t>
  </si>
  <si>
    <t>All other Preferred</t>
  </si>
  <si>
    <t>Options and RSU Available</t>
  </si>
  <si>
    <t>assumes all options are granted after each round, merely as a simplifying assumption</t>
  </si>
  <si>
    <t>Options, New in Round</t>
  </si>
  <si>
    <t>options new in round, from the new option pool assumption. requires circular references to work correctly</t>
  </si>
  <si>
    <t>Fully-Diluted Shares, after Round</t>
  </si>
  <si>
    <t>sum of common, preferred, and options, at the end of the round</t>
  </si>
  <si>
    <t>Modeling Graduation Rates and Exits from Equity Investment</t>
  </si>
  <si>
    <t>After each round...</t>
  </si>
  <si>
    <t>% of Companies that Graduate</t>
  </si>
  <si>
    <t>% of companies that "graduate" to raise the next round of funding</t>
  </si>
  <si>
    <t>% of Companies that Fail</t>
  </si>
  <si>
    <t>% of companies from each stage that fail, meaning go out of business, return 0x of capital</t>
  </si>
  <si>
    <t>% of Companies that Exit</t>
  </si>
  <si>
    <t>% of companies from each stage that exit, meaning return &gt;0x of capital</t>
  </si>
  <si>
    <t>Raise next round</t>
  </si>
  <si>
    <t>based on 1 new investment, the portion of investments that raise the next round after this round</t>
  </si>
  <si>
    <t>Fail after this round</t>
  </si>
  <si>
    <t>the portion of investments that fail after this stage</t>
  </si>
  <si>
    <t>Exit after this round</t>
  </si>
  <si>
    <t>the portion of investments that exit after this stage</t>
  </si>
  <si>
    <t>Modeling Proceeds and Returns from Equity Investment</t>
  </si>
  <si>
    <t>Exit Price, as a multiple of last Postmoney Valuation</t>
  </si>
  <si>
    <t>based on the multiples and the % allocations above, the average exit valuation, as a multiple of the last postmoney valuation raised</t>
  </si>
  <si>
    <t>Exit Price</t>
  </si>
  <si>
    <t>calculated as a multiple of the last postmoney valuation. you can also directly input valuations here</t>
  </si>
  <si>
    <t>Total Liquidation Preferences</t>
  </si>
  <si>
    <t>sum of all invested capital, up to this round, assuming 1x liquidation preferences on preferred</t>
  </si>
  <si>
    <t>Shares converting to Common</t>
  </si>
  <si>
    <r>
      <rPr>
        <rFont val="Arial"/>
      </rPr>
      <t xml:space="preserve">simple waterfall, assuming nonparticipating preferred, 1x liquidation preferences, each senior to the previous round (no pari-passu), all options exercise, etc. more complicated waterfall available at </t>
    </r>
    <r>
      <rPr>
        <rFont val="Arial"/>
        <color rgb="FF1155CC"/>
        <u/>
      </rPr>
      <t>https://foresight.is/cap-table</t>
    </r>
  </si>
  <si>
    <t>Options</t>
  </si>
  <si>
    <t>Total</t>
  </si>
  <si>
    <t>Shares not converting to Common</t>
  </si>
  <si>
    <t>Proceeds from Liquidation Preferences</t>
  </si>
  <si>
    <t>if taking liquidation preferences results in greater proceeds than converting to common, for each share class</t>
  </si>
  <si>
    <t>total of all proceeds from distributions to preferred shares</t>
  </si>
  <si>
    <t>Proceeds from Distributions to Common</t>
  </si>
  <si>
    <t>if converting to common results in taking liquidation preferences, for each share class</t>
  </si>
  <si>
    <t>total of all proceeds from distributions to common shares</t>
  </si>
  <si>
    <t>Check (total proceeds = total exit)</t>
  </si>
  <si>
    <t>should equal zero for all columns</t>
  </si>
  <si>
    <t>Proceeds per Share</t>
  </si>
  <si>
    <t>(proceeds from liquidation preferences + converting to common) / number of shares in each share class</t>
  </si>
  <si>
    <t>Proceeds, Gross Return Multiples, and Expected Value for Investor from Equity Investment</t>
  </si>
  <si>
    <t>Investment per Share, for Investor</t>
  </si>
  <si>
    <t>Proceeds per Share, for Investor</t>
  </si>
  <si>
    <t>proceeds per share to the Investor</t>
  </si>
  <si>
    <t>Proceeds per Company, for Investor, if exited per stage</t>
  </si>
  <si>
    <t>proceeds to Investor, based on shares purchased in different rounds</t>
  </si>
  <si>
    <t>Average total invested per type of company</t>
  </si>
  <si>
    <t>Total Proceeds, by type of exit</t>
  </si>
  <si>
    <t>Gross Return Multiple, if exit at each stage</t>
  </si>
  <si>
    <t>Gross Multiple per round, if invested through round (down) and held until Exit after this Round (to the right)</t>
  </si>
  <si>
    <t>if the exit happened after each round, if investor invested in the round</t>
  </si>
  <si>
    <t>Expected Value per round, if invested through round (down) and held until Exit after this Round (to the right)</t>
  </si>
  <si>
    <t>Total Expected Value from making an X investment</t>
  </si>
  <si>
    <t>adjusting for probability of exits, expected value from making an investment</t>
  </si>
  <si>
    <t>Simple tool to evaluate returns for an individual investment</t>
  </si>
  <si>
    <t>Simple tool to evaluate potential returns for an equity investment. For a detailed approach that can handle convertibles and a range of liquidation scenarios, see Venture Valuation sheet</t>
  </si>
  <si>
    <t>Detail</t>
  </si>
  <si>
    <t>Unit</t>
  </si>
  <si>
    <t>Assumption</t>
  </si>
  <si>
    <t>Date</t>
  </si>
  <si>
    <t>optional</t>
  </si>
  <si>
    <t>Total Liquidation Preferences, pre-investment</t>
  </si>
  <si>
    <t>$</t>
  </si>
  <si>
    <t>Total liquidation preferences from all investors prior to the initial modeled investment</t>
  </si>
  <si>
    <t>Modeled Round</t>
  </si>
  <si>
    <t>Amount invested in round, Investor</t>
  </si>
  <si>
    <t>Amount invested by modeled investor in the modeled round. Dates are optional, and the default is just dummy data, please overwrite with your assumption</t>
  </si>
  <si>
    <t>Amount invested in round, All other investors</t>
  </si>
  <si>
    <t>Amount invested by other investors in the modeled round</t>
  </si>
  <si>
    <t>Premoney valuation in the modeled round</t>
  </si>
  <si>
    <t>Postmoney valuation in the modeled round</t>
  </si>
  <si>
    <t>Ownership % of Investor, post-investment</t>
  </si>
  <si>
    <t>%</t>
  </si>
  <si>
    <t>Calculated from the amount invested and premoney valuation above</t>
  </si>
  <si>
    <t>Additional Investments</t>
  </si>
  <si>
    <t>Additional raises by the company, post-investment by investor, including ones participated in and not participated in</t>
  </si>
  <si>
    <t>Additional amount invested, Investor</t>
  </si>
  <si>
    <t>Additional amount invested by modeled investor, in all subsequent rounds. Dates are optional, and the default is just dummy data, please overwrite with your assumption</t>
  </si>
  <si>
    <t>Additional amount invested, All other investors</t>
  </si>
  <si>
    <t>Additional amount invested by all other investors, in all subsequent rounds</t>
  </si>
  <si>
    <t>Additional ownership % purchased, Investor</t>
  </si>
  <si>
    <t>This is an intentional shortcut, to not need to model each individual investment round. For a more detaile structure, use the Venture Valuation sheet</t>
  </si>
  <si>
    <t>Dilution from Additional invested, All Other Investors</t>
  </si>
  <si>
    <t>Dilution from Additional Option Pools</t>
  </si>
  <si>
    <t>An intentinoal shortcut to account for option pool dilution after original modeled investment round. By default this is applied to the modeled investment round only, although it could make sense to apply to all investments by the modeled investor</t>
  </si>
  <si>
    <t>Ownership % of Investor, post-all investment</t>
  </si>
  <si>
    <t>Ownership of modeled investor, at exit. This is an intentional shortcut for this simple analysis structure, for a more complete structure use the Venture Valuation sheet</t>
  </si>
  <si>
    <t>Proceeds from Exits</t>
  </si>
  <si>
    <t>by default this is calculated using liquidation preferences to create the first few breakpoints and a simple estimate or larger exit amounts, but feel free to overwrite with your own inputs to evaluation the range of exits you want to evaluate</t>
  </si>
  <si>
    <t>Liquidation Preferences</t>
  </si>
  <si>
    <t>calculated from liquidation preferences above</t>
  </si>
  <si>
    <t>Proceeds to Investor</t>
  </si>
  <si>
    <t>Proceeds from Liquidation Preferences (additional invested)</t>
  </si>
  <si>
    <t>estimated from the liquidation preferences above. this is not exact in all situations because of the shortcut taken to estimate the future rounds and series of liquidation preferences</t>
  </si>
  <si>
    <t>Proceeds from Liquidation Preferences (modeled round)</t>
  </si>
  <si>
    <t>Total Proceeds to Investor</t>
  </si>
  <si>
    <t>sum of the above</t>
  </si>
  <si>
    <t>Gross Multiple</t>
  </si>
  <si>
    <t>#</t>
  </si>
  <si>
    <t>gross return on investment, equivalent to MOIC</t>
  </si>
  <si>
    <t>Probability of Exit</t>
  </si>
  <si>
    <t>this is used to create a "most likely" outcome or expected value by weighting the probability of exits at different exit sizes. the current inputs are only dummy data and do not represent market norms or any market data</t>
  </si>
  <si>
    <t>Expected Proceeds to Investor</t>
  </si>
  <si>
    <t>uses the probabilities above to create a probability-weighted metric</t>
  </si>
  <si>
    <t>Expected Gross Multiple</t>
  </si>
  <si>
    <t>Expected Gross IRR (example)</t>
  </si>
  <si>
    <t>you may need to change this to deal with additional investment amounts at different dates, or to calculate different exit amounts at different dates, so this should be treated as an estimate and an example for you to apply or change as needed for your situation.</t>
  </si>
  <si>
    <t>Details for IRR calculations</t>
  </si>
  <si>
    <t>Investment</t>
  </si>
  <si>
    <t>Proceeds</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</si>
  <si>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</si>
  <si>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</si>
  <si>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</si>
  <si>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</si>
  <si>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</si>
  <si>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</si>
  <si>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</si>
  <si>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</si>
  <si>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</si>
  <si>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</si>
  <si>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</si>
  <si>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</si>
  <si>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</si>
  <si>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</si>
  <si>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</si>
  <si>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</si>
  <si>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</si>
  <si>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</si>
  <si>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</si>
  <si>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</si>
  <si>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</si>
  <si>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</si>
  <si>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</si>
  <si>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</si>
  <si>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</si>
  <si>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</si>
  <si>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</si>
  <si>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</si>
  <si>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</si>
  <si>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</si>
  <si>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</si>
  <si>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</si>
  <si>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</si>
  <si>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</si>
  <si>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</si>
  <si>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</si>
  <si>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</si>
  <si>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</si>
  <si>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</si>
  <si>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</si>
  <si>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</si>
  <si>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</si>
  <si>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</si>
  <si>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</si>
  <si>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</si>
  <si>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</si>
  <si>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</si>
  <si>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</si>
  <si>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</si>
  <si>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</si>
  <si>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</si>
  <si>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</si>
  <si>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</si>
  <si>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</si>
  <si>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</si>
  <si>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</si>
  <si>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</si>
  <si>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</si>
  <si>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</si>
  <si>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</si>
  <si>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</si>
  <si>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</si>
  <si>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Software</t>
  </si>
  <si>
    <t>Price</t>
  </si>
  <si>
    <t>Overall Portfolio Forecast</t>
  </si>
  <si>
    <t>Annual Portfolio Forecast</t>
  </si>
  <si>
    <t>Quarterly Portfolio Forecast</t>
  </si>
  <si>
    <t>Fund Performance Metrics</t>
  </si>
  <si>
    <t>Portfolio Construction</t>
  </si>
  <si>
    <t>Financial Statements</t>
  </si>
  <si>
    <t>Track Actual Investments</t>
  </si>
  <si>
    <t>Budget v. Actuals, and rolling Forecast</t>
  </si>
  <si>
    <t>Waterfall (Total Fund, American, SPVs)</t>
  </si>
  <si>
    <t>Multi-tiered Carried Interest</t>
  </si>
  <si>
    <t>Preferred Return (and GP Catchup)</t>
  </si>
  <si>
    <t>Rolling Funds</t>
  </si>
  <si>
    <t>Individual Investment Evaluation</t>
  </si>
  <si>
    <t>Management Company Budgeting</t>
  </si>
  <si>
    <t>Fund-of-Funds</t>
  </si>
  <si>
    <t>Venture Capital Model, Overall Portfolio, by Foresight</t>
  </si>
  <si>
    <t>Google Sheets, download to Excel</t>
  </si>
  <si>
    <t>Free</t>
  </si>
  <si>
    <t>European</t>
  </si>
  <si>
    <t>Causal</t>
  </si>
  <si>
    <t>Venture Capital Model, Annual forecast using Portfolio Model, by Foresight</t>
  </si>
  <si>
    <t>Venture Fund Model, Quarterly, by Foresight</t>
  </si>
  <si>
    <t>$349 USD</t>
  </si>
  <si>
    <t>All</t>
  </si>
  <si>
    <t>$479 USD</t>
  </si>
  <si>
    <t>Fund-of-(Venture) Funds</t>
  </si>
  <si>
    <t>Excel, upload to Google Sheets</t>
  </si>
  <si>
    <t>na</t>
  </si>
  <si>
    <t>Runway and Cash Budget Tool</t>
  </si>
  <si>
    <t>https://foresight.is/runway-cash-forecasting</t>
  </si>
  <si>
    <t>Custom Services</t>
  </si>
  <si>
    <t>Customization, edits to models, and custom services in Excel, Google Sheets, Causal</t>
  </si>
  <si>
    <t>Quote</t>
  </si>
  <si>
    <t>Here's what has changed.</t>
  </si>
  <si>
    <t>Version</t>
  </si>
  <si>
    <t>Definition</t>
  </si>
  <si>
    <t>v1.1.2</t>
  </si>
  <si>
    <t>Edits to the Simple Venture Valuation sheet to edit the liquidation preferences calculation, default exit prices, and add in option pool dilution</t>
  </si>
  <si>
    <t>v1.1.1</t>
  </si>
  <si>
    <t>Added a new Simple Venture Valuation sheet to provide an alternative example of doing the math. All analysis involves a tradeoff and a set of decisions around the complexity of the analysis and the pros and cons of complexity and insight; the method in this sheet is built using a set of tradeoffs that makes sense to me to help with analysis, but will not work for all situations, so treat it as an instructional resource to help you build your own analysis for your specific situation.</t>
  </si>
  <si>
    <t>v1.1.0</t>
  </si>
  <si>
    <t>Edited to fix issue with calculating shares and returns if original investment was through tokens</t>
  </si>
  <si>
    <t>v1.0.0</t>
  </si>
  <si>
    <t>This tool used to exist inside the Cap Table and Exit Waterfall Tool, and was later leveraged for the advanced Portfolio Construction approach in the Venture Investor Model. This new version of the Venture Valuation Tool takes a fresh look at how an investor and founder can best use a tool like this for modeling returns.
Feedback, questions, comments, taylor@foresight.is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</si>
</sst>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_);(#,##0);_(&quot;-&quot;_);_(@_)"/>
    <numFmt numFmtId="165" formatCode="#,##0.000_);(#,##0.000);_(&quot;-&quot;_);_(@_)"/>
    <numFmt numFmtId="166" formatCode="#,##0.00_);(#,##0.00);_(&quot;-&quot;_);_(@_)"/>
    <numFmt numFmtId="167" formatCode="#,##0;(#,##0)"/>
    <numFmt numFmtId="168" formatCode="&quot;$&quot;#,##0"/>
    <numFmt numFmtId="169" formatCode="m/d/yyyy"/>
  </numFmts>
  <fonts count="33">
    <font>
      <sz val="10.0"/>
      <color rgb="FF000000"/>
      <name val="Arial"/>
      <scheme val="minor"/>
    </font>
    <font>
      <color theme="1"/>
      <name val="Arial"/>
      <scheme val="minor"/>
    </font>
    <font>
      <b/>
      <sz val="14.0"/>
      <color theme="1"/>
      <name val="Arial"/>
      <scheme val="minor"/>
    </font>
    <font>
      <color rgb="FF000000"/>
      <name val="Arial"/>
      <scheme val="minor"/>
    </font>
    <font>
      <b/>
      <color theme="1"/>
      <name val="Arial"/>
      <scheme val="minor"/>
    </font>
    <font>
      <color rgb="FF000000"/>
    </font>
    <font>
      <u/>
      <color rgb="FF0000FF"/>
    </font>
    <font>
      <b/>
      <sz val="12.0"/>
      <color theme="1"/>
      <name val="Arial"/>
      <scheme val="minor"/>
    </font>
    <font>
      <u/>
      <color rgb="FF0000FF"/>
    </font>
    <font>
      <i/>
      <sz val="10.0"/>
      <color rgb="FF000000"/>
      <name val="&quot;Avenir Book&quot;"/>
    </font>
    <font>
      <u/>
      <sz val="10.0"/>
      <color rgb="FF1155CC"/>
      <name val="Arial"/>
    </font>
    <font>
      <sz val="10.0"/>
      <color rgb="FF000000"/>
      <name val="&quot;Avenir Book&quot;"/>
    </font>
    <font>
      <u/>
      <color rgb="FF666666"/>
    </font>
    <font>
      <color rgb="FF666666"/>
      <name val="Arial"/>
      <scheme val="minor"/>
    </font>
    <font>
      <color rgb="FF0000FF"/>
      <name val="Arial"/>
      <scheme val="minor"/>
    </font>
    <font>
      <color theme="1"/>
      <name val="Arial"/>
    </font>
    <font>
      <i/>
      <color theme="1"/>
      <name val="Arial"/>
      <scheme val="minor"/>
    </font>
    <font>
      <color theme="0"/>
      <name val="Arial"/>
      <scheme val="minor"/>
    </font>
    <font>
      <color rgb="FFFFFFFF"/>
      <name val="Arial"/>
      <scheme val="minor"/>
    </font>
    <font>
      <color rgb="FF000000"/>
      <name val="Arial"/>
    </font>
    <font>
      <u/>
      <color rgb="FF0000FF"/>
      <name val="Arial"/>
    </font>
    <font>
      <i/>
      <color theme="1"/>
      <name val="Arial"/>
    </font>
    <font>
      <sz val="8.0"/>
      <color theme="1"/>
      <name val="Arial"/>
      <scheme val="minor"/>
    </font>
    <font>
      <color rgb="FF0000FF"/>
      <name val="Arial"/>
    </font>
    <font>
      <i/>
      <color rgb="FF0000FF"/>
      <name val="Arial"/>
      <scheme val="minor"/>
    </font>
    <font>
      <b/>
      <sz val="14.0"/>
      <color theme="1"/>
      <name val="Arial"/>
    </font>
    <font>
      <color rgb="FF666666"/>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s>
  <fills count="7">
    <fill>
      <patternFill patternType="none"/>
    </fill>
    <fill>
      <patternFill patternType="lightGray"/>
    </fill>
    <fill>
      <patternFill patternType="solid">
        <fgColor rgb="FFF3F3F3"/>
        <bgColor rgb="FFF3F3F3"/>
      </patternFill>
    </fill>
    <fill>
      <patternFill patternType="solid">
        <fgColor rgb="FFFFF3D0"/>
        <bgColor rgb="FFFFF3D0"/>
      </patternFill>
    </fill>
    <fill>
      <patternFill patternType="solid">
        <fgColor rgb="FFFFFDF4"/>
        <bgColor rgb="FFFFFDF4"/>
      </patternFill>
    </fill>
    <fill>
      <patternFill patternType="solid">
        <fgColor rgb="FFFFFFFF"/>
        <bgColor rgb="FFFFFFFF"/>
      </patternFill>
    </fill>
    <fill>
      <patternFill patternType="solid">
        <fgColor rgb="FFFFFCF2"/>
        <bgColor rgb="FFFFFCF2"/>
      </patternFill>
    </fill>
  </fills>
  <borders count="4">
    <border/>
    <border>
      <bottom style="thin">
        <color rgb="FF000000"/>
      </bottom>
    </border>
    <border>
      <top style="thin">
        <color rgb="FF000000"/>
      </top>
    </border>
    <border>
      <right/>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vertical="top" wrapText="1"/>
    </xf>
    <xf borderId="0" fillId="0" fontId="3" numFmtId="0" xfId="0" applyAlignment="1" applyFont="1">
      <alignment readingOrder="0" shrinkToFit="0"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7"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vertical="top"/>
    </xf>
    <xf borderId="0" fillId="0" fontId="3"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1"/>
    </xf>
    <xf borderId="0" fillId="0" fontId="8"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readingOrder="0"/>
    </xf>
    <xf borderId="0" fillId="0" fontId="1" numFmtId="0" xfId="0" applyAlignment="1" applyFont="1">
      <alignment readingOrder="0" shrinkToFit="0" vertical="top"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 numFmtId="0" xfId="0" applyAlignment="1" applyFont="1">
      <alignment horizontal="right" readingOrder="0" shrinkToFit="0" wrapText="1"/>
    </xf>
    <xf borderId="0" fillId="0" fontId="12" numFmtId="0" xfId="0" applyAlignment="1" applyFont="1">
      <alignment readingOrder="0"/>
    </xf>
    <xf borderId="0" fillId="0" fontId="13" numFmtId="0" xfId="0" applyAlignment="1" applyFont="1">
      <alignment readingOrder="0"/>
    </xf>
    <xf borderId="1" fillId="0" fontId="1" numFmtId="0" xfId="0" applyAlignment="1" applyBorder="1" applyFont="1">
      <alignment readingOrder="0"/>
    </xf>
    <xf borderId="1" fillId="2" fontId="14" numFmtId="164" xfId="0" applyAlignment="1" applyBorder="1" applyFill="1" applyFont="1" applyNumberFormat="1">
      <alignment horizontal="right" readingOrder="0"/>
    </xf>
    <xf borderId="1" fillId="0" fontId="1" numFmtId="0" xfId="0" applyAlignment="1" applyBorder="1" applyFont="1">
      <alignment horizontal="right" readingOrder="0" shrinkToFit="0" wrapText="1"/>
    </xf>
    <xf borderId="1" fillId="0" fontId="1" numFmtId="0" xfId="0" applyBorder="1" applyFont="1"/>
    <xf borderId="0" fillId="0" fontId="1" numFmtId="0" xfId="0" applyAlignment="1" applyFont="1">
      <alignment horizontal="center" readingOrder="0"/>
    </xf>
    <xf borderId="0" fillId="0" fontId="4" numFmtId="0" xfId="0" applyAlignment="1" applyFont="1">
      <alignment readingOrder="0"/>
    </xf>
    <xf borderId="0" fillId="0" fontId="1" numFmtId="164" xfId="0" applyFont="1" applyNumberFormat="1"/>
    <xf borderId="0" fillId="0" fontId="15" numFmtId="0" xfId="0" applyAlignment="1" applyFont="1">
      <alignment readingOrder="0" shrinkToFit="0" vertical="bottom" wrapText="0"/>
    </xf>
    <xf borderId="0" fillId="0" fontId="16" numFmtId="0" xfId="0" applyAlignment="1" applyFont="1">
      <alignment readingOrder="0"/>
    </xf>
    <xf borderId="0" fillId="0" fontId="1" numFmtId="0" xfId="0" applyAlignment="1" applyFont="1">
      <alignment readingOrder="0"/>
    </xf>
    <xf borderId="0" fillId="2" fontId="14" numFmtId="164" xfId="0" applyAlignment="1" applyFont="1" applyNumberFormat="1">
      <alignment readingOrder="0"/>
    </xf>
    <xf borderId="0" fillId="2" fontId="14" numFmtId="9" xfId="0" applyAlignment="1" applyFont="1" applyNumberFormat="1">
      <alignment readingOrder="0"/>
    </xf>
    <xf borderId="0" fillId="0" fontId="1" numFmtId="165" xfId="0" applyFont="1" applyNumberFormat="1"/>
    <xf borderId="0" fillId="0" fontId="17" numFmtId="164" xfId="0" applyAlignment="1" applyFont="1" applyNumberFormat="1">
      <alignment readingOrder="0"/>
    </xf>
    <xf borderId="0" fillId="0" fontId="1" numFmtId="9" xfId="0" applyAlignment="1" applyFont="1" applyNumberFormat="1">
      <alignment readingOrder="0"/>
    </xf>
    <xf borderId="0" fillId="0" fontId="18" numFmtId="164" xfId="0" applyFont="1" applyNumberFormat="1"/>
    <xf borderId="0" fillId="0" fontId="1" numFmtId="10" xfId="0" applyFont="1" applyNumberFormat="1"/>
    <xf borderId="0" fillId="0" fontId="15" numFmtId="164" xfId="0" applyAlignment="1" applyFont="1" applyNumberFormat="1">
      <alignment horizontal="right" vertical="bottom"/>
    </xf>
    <xf borderId="0" fillId="0" fontId="19" numFmtId="0" xfId="0" applyAlignment="1" applyFont="1">
      <alignment horizontal="left" readingOrder="0" shrinkToFit="0" vertical="bottom" wrapText="0"/>
    </xf>
    <xf borderId="0" fillId="0" fontId="19" numFmtId="164" xfId="0" applyAlignment="1" applyFont="1" applyNumberFormat="1">
      <alignment horizontal="right" readingOrder="0" shrinkToFit="0" vertical="bottom" wrapText="0"/>
    </xf>
    <xf borderId="2" fillId="0" fontId="1" numFmtId="164" xfId="0" applyBorder="1" applyFont="1" applyNumberFormat="1"/>
    <xf borderId="0" fillId="0" fontId="16" numFmtId="0" xfId="0" applyAlignment="1" applyFont="1">
      <alignment readingOrder="0"/>
    </xf>
    <xf borderId="0" fillId="0" fontId="15" numFmtId="166" xfId="0" applyAlignment="1" applyFont="1" applyNumberFormat="1">
      <alignment horizontal="right" vertical="bottom"/>
    </xf>
    <xf borderId="0" fillId="2" fontId="14" numFmtId="166" xfId="0" applyAlignment="1" applyFont="1" applyNumberFormat="1">
      <alignment readingOrder="0"/>
    </xf>
    <xf borderId="0" fillId="0" fontId="1" numFmtId="166" xfId="0" applyFont="1" applyNumberFormat="1"/>
    <xf borderId="0" fillId="0" fontId="1" numFmtId="164" xfId="0" applyAlignment="1" applyFont="1" applyNumberFormat="1">
      <alignment readingOrder="0"/>
    </xf>
    <xf borderId="0" fillId="0" fontId="20" numFmtId="0" xfId="0" applyAlignment="1" applyFont="1">
      <alignment readingOrder="0" shrinkToFit="0" vertical="bottom" wrapText="0"/>
    </xf>
    <xf borderId="0" fillId="0" fontId="15" numFmtId="167" xfId="0" applyAlignment="1" applyFont="1" applyNumberFormat="1">
      <alignment vertical="bottom"/>
    </xf>
    <xf borderId="0" fillId="0" fontId="15" numFmtId="0" xfId="0" applyAlignment="1" applyFont="1">
      <alignment readingOrder="0" shrinkToFit="0" vertical="bottom" wrapText="0"/>
    </xf>
    <xf borderId="0" fillId="0" fontId="1" numFmtId="166" xfId="0" applyAlignment="1" applyFont="1" applyNumberFormat="1">
      <alignment readingOrder="0"/>
    </xf>
    <xf borderId="2" fillId="0" fontId="1" numFmtId="164" xfId="0" applyAlignment="1" applyBorder="1" applyFont="1" applyNumberFormat="1">
      <alignment readingOrder="0"/>
    </xf>
    <xf borderId="0" fillId="0" fontId="15" numFmtId="167" xfId="0" applyAlignment="1" applyFont="1" applyNumberFormat="1">
      <alignment readingOrder="0" vertical="bottom"/>
    </xf>
    <xf borderId="0" fillId="0" fontId="1" numFmtId="0" xfId="0" applyAlignment="1" applyFont="1">
      <alignment horizontal="right" readingOrder="0"/>
    </xf>
    <xf borderId="0" fillId="0" fontId="1" numFmtId="9" xfId="0" applyFont="1" applyNumberFormat="1"/>
    <xf borderId="0" fillId="0" fontId="21" numFmtId="0" xfId="0" applyAlignment="1" applyFont="1">
      <alignment shrinkToFit="0" vertical="bottom" wrapText="0"/>
    </xf>
    <xf borderId="0" fillId="0" fontId="15" numFmtId="164" xfId="0" applyAlignment="1" applyFont="1" applyNumberFormat="1">
      <alignment vertical="bottom"/>
    </xf>
    <xf borderId="0" fillId="3" fontId="15" numFmtId="166" xfId="0" applyAlignment="1" applyFill="1" applyFont="1" applyNumberFormat="1">
      <alignment horizontal="right" vertical="bottom"/>
    </xf>
    <xf borderId="0" fillId="4" fontId="15" numFmtId="166" xfId="0" applyAlignment="1" applyFill="1" applyFont="1" applyNumberFormat="1">
      <alignment horizontal="right" readingOrder="0" vertical="bottom"/>
    </xf>
    <xf borderId="0" fillId="5" fontId="15" numFmtId="166" xfId="0" applyAlignment="1" applyFill="1" applyFont="1" applyNumberFormat="1">
      <alignment horizontal="right" vertical="bottom"/>
    </xf>
    <xf borderId="0" fillId="6" fontId="15" numFmtId="166" xfId="0" applyAlignment="1" applyFill="1" applyFont="1" applyNumberFormat="1">
      <alignment horizontal="right" readingOrder="0" vertical="bottom"/>
    </xf>
    <xf borderId="0" fillId="0" fontId="21" numFmtId="0" xfId="0" applyAlignment="1" applyFont="1">
      <alignment vertical="bottom"/>
    </xf>
    <xf borderId="1" fillId="0" fontId="15" numFmtId="0" xfId="0" applyAlignment="1" applyBorder="1" applyFont="1">
      <alignment vertical="bottom"/>
    </xf>
    <xf borderId="0" fillId="0" fontId="1" numFmtId="0" xfId="0" applyAlignment="1" applyFont="1">
      <alignment horizontal="center"/>
    </xf>
    <xf borderId="0" fillId="0" fontId="15" numFmtId="0" xfId="0" applyAlignment="1" applyFont="1">
      <alignment horizontal="left" readingOrder="0" vertical="bottom"/>
    </xf>
    <xf borderId="0" fillId="0" fontId="15" numFmtId="10" xfId="0" applyAlignment="1" applyFont="1" applyNumberFormat="1">
      <alignment horizontal="center" vertical="bottom"/>
    </xf>
    <xf borderId="1" fillId="0" fontId="15" numFmtId="0" xfId="0" applyAlignment="1" applyBorder="1" applyFont="1">
      <alignment horizontal="left" readingOrder="0" vertical="bottom"/>
    </xf>
    <xf borderId="1" fillId="0" fontId="15" numFmtId="10" xfId="0" applyAlignment="1" applyBorder="1" applyFont="1" applyNumberFormat="1">
      <alignment horizontal="center" vertical="bottom"/>
    </xf>
    <xf borderId="1" fillId="0" fontId="1" numFmtId="0" xfId="0" applyAlignment="1" applyBorder="1" applyFont="1">
      <alignment horizontal="right" readingOrder="0"/>
    </xf>
    <xf borderId="0" fillId="0" fontId="22" numFmtId="0" xfId="0" applyAlignment="1" applyFont="1">
      <alignment horizontal="right" readingOrder="0" vertical="top"/>
    </xf>
    <xf borderId="0" fillId="2" fontId="23" numFmtId="167" xfId="0" applyAlignment="1" applyFont="1" applyNumberFormat="1">
      <alignment horizontal="center" vertical="bottom"/>
    </xf>
    <xf borderId="0" fillId="0" fontId="1" numFmtId="10" xfId="0" applyAlignment="1" applyFont="1" applyNumberFormat="1">
      <alignment horizontal="center"/>
    </xf>
    <xf borderId="0" fillId="2" fontId="14" numFmtId="14" xfId="0" applyFont="1" applyNumberFormat="1"/>
    <xf borderId="0" fillId="0" fontId="16" numFmtId="0" xfId="0" applyFont="1"/>
    <xf borderId="0" fillId="0" fontId="16" numFmtId="0" xfId="0" applyAlignment="1" applyFont="1">
      <alignment horizontal="center" readingOrder="0"/>
    </xf>
    <xf borderId="0" fillId="0" fontId="16" numFmtId="10" xfId="0" applyFont="1" applyNumberFormat="1"/>
    <xf borderId="0" fillId="2" fontId="24" numFmtId="14" xfId="0" applyFont="1" applyNumberFormat="1"/>
    <xf borderId="0" fillId="0" fontId="1" numFmtId="14" xfId="0" applyFont="1" applyNumberFormat="1"/>
    <xf borderId="0" fillId="0" fontId="15" numFmtId="0" xfId="0" applyAlignment="1" applyFont="1">
      <alignment vertical="bottom"/>
    </xf>
    <xf borderId="0" fillId="0" fontId="25" numFmtId="0" xfId="0" applyAlignment="1" applyFont="1">
      <alignment vertical="bottom"/>
    </xf>
    <xf borderId="3" fillId="0" fontId="26" numFmtId="0" xfId="0" applyAlignment="1" applyBorder="1" applyFont="1">
      <alignment shrinkToFit="0" vertical="bottom" wrapText="0"/>
    </xf>
    <xf borderId="3" fillId="0" fontId="15" numFmtId="0" xfId="0" applyAlignment="1" applyBorder="1" applyFont="1">
      <alignment vertical="bottom"/>
    </xf>
    <xf borderId="0" fillId="0" fontId="15" numFmtId="0" xfId="0" applyAlignment="1" applyFont="1">
      <alignment vertical="bottom"/>
    </xf>
    <xf borderId="1" fillId="0" fontId="15" numFmtId="0" xfId="0" applyAlignment="1" applyBorder="1" applyFont="1">
      <alignment vertical="bottom"/>
    </xf>
    <xf borderId="0" fillId="2" fontId="15" numFmtId="0" xfId="0" applyAlignment="1" applyFont="1">
      <alignment shrinkToFit="0" vertical="top" wrapText="1"/>
    </xf>
    <xf borderId="0" fillId="2" fontId="27" numFmtId="0" xfId="0" applyAlignment="1" applyFont="1">
      <alignment vertical="top"/>
    </xf>
    <xf borderId="0" fillId="5" fontId="15" numFmtId="0" xfId="0" applyAlignment="1" applyFont="1">
      <alignment shrinkToFit="0" vertical="top" wrapText="1"/>
    </xf>
    <xf borderId="0" fillId="5" fontId="28" numFmtId="0" xfId="0" applyAlignment="1" applyFont="1">
      <alignment vertical="top"/>
    </xf>
    <xf borderId="0" fillId="0" fontId="15" numFmtId="0" xfId="0" applyFont="1"/>
    <xf borderId="0" fillId="0" fontId="15" numFmtId="0" xfId="0" applyFont="1"/>
    <xf borderId="3" fillId="2" fontId="29" numFmtId="0" xfId="0" applyAlignment="1" applyBorder="1" applyFont="1">
      <alignment vertical="top"/>
    </xf>
    <xf borderId="3" fillId="5" fontId="30" numFmtId="0" xfId="0" applyAlignment="1" applyBorder="1" applyFont="1">
      <alignment vertical="top"/>
    </xf>
    <xf borderId="0" fillId="2" fontId="15" numFmtId="0" xfId="0" applyAlignment="1" applyFont="1">
      <alignment shrinkToFit="0" vertical="top" wrapText="1"/>
    </xf>
    <xf borderId="0" fillId="2" fontId="15" numFmtId="0" xfId="0" applyAlignment="1" applyFont="1">
      <alignment vertical="top"/>
    </xf>
    <xf borderId="0" fillId="2" fontId="31" numFmtId="0" xfId="0" applyAlignment="1" applyFont="1">
      <alignment vertical="top"/>
    </xf>
    <xf borderId="0" fillId="5" fontId="15" numFmtId="0" xfId="0" applyAlignment="1" applyFont="1">
      <alignment shrinkToFit="0" vertical="top" wrapText="1"/>
    </xf>
    <xf borderId="0" fillId="5" fontId="32" numFmtId="0" xfId="0" applyAlignment="1" applyFont="1">
      <alignment vertical="top"/>
    </xf>
    <xf borderId="3" fillId="0" fontId="25" numFmtId="0" xfId="0" applyAlignment="1" applyBorder="1" applyFont="1">
      <alignment shrinkToFit="0" vertical="bottom" wrapText="0"/>
    </xf>
    <xf borderId="3" fillId="0" fontId="15" numFmtId="0" xfId="0" applyAlignment="1" applyBorder="1" applyFont="1">
      <alignment vertical="bottom"/>
    </xf>
    <xf borderId="1" fillId="0" fontId="15" numFmtId="0" xfId="0" applyAlignment="1" applyBorder="1" applyFont="1">
      <alignment shrinkToFit="0" vertical="bottom" wrapText="1"/>
    </xf>
    <xf borderId="1" fillId="0" fontId="15" numFmtId="0" xfId="0" applyAlignment="1" applyBorder="1" applyFont="1">
      <alignment horizontal="center" shrinkToFit="0" vertical="bottom" wrapText="1"/>
    </xf>
    <xf borderId="0" fillId="0" fontId="15" numFmtId="0" xfId="0" applyAlignment="1" applyFont="1">
      <alignment vertical="top"/>
    </xf>
    <xf borderId="0" fillId="0" fontId="15" numFmtId="0" xfId="0" applyAlignment="1" applyFont="1">
      <alignment vertical="top"/>
    </xf>
    <xf borderId="0" fillId="2" fontId="15" numFmtId="0" xfId="0" applyFont="1"/>
    <xf borderId="0" fillId="2" fontId="15" numFmtId="0" xfId="0" applyFont="1"/>
    <xf borderId="0" fillId="2" fontId="15" numFmtId="0" xfId="0" applyAlignment="1" applyFont="1">
      <alignment horizontal="center" vertical="center"/>
    </xf>
    <xf borderId="0" fillId="5" fontId="15" numFmtId="0" xfId="0" applyFont="1"/>
    <xf borderId="0" fillId="5" fontId="15" numFmtId="0" xfId="0" applyFont="1"/>
    <xf borderId="0" fillId="5" fontId="15" numFmtId="0" xfId="0" applyAlignment="1" applyFont="1">
      <alignment horizontal="center" vertical="center"/>
    </xf>
    <xf borderId="0" fillId="5" fontId="15" numFmtId="168" xfId="0" applyAlignment="1" applyFont="1" applyNumberFormat="1">
      <alignment shrinkToFit="0" vertical="top" wrapText="1"/>
    </xf>
    <xf borderId="0" fillId="2" fontId="15" numFmtId="168" xfId="0" applyAlignment="1" applyFont="1" applyNumberFormat="1">
      <alignment shrinkToFit="0" vertical="top" wrapText="1"/>
    </xf>
    <xf borderId="0" fillId="2" fontId="15" numFmtId="0" xfId="0" applyAlignment="1" applyFont="1">
      <alignment horizontal="center" vertical="center"/>
    </xf>
    <xf borderId="0" fillId="5" fontId="15" numFmtId="0" xfId="0" applyAlignment="1" applyFont="1">
      <alignment horizontal="center" vertical="center"/>
    </xf>
    <xf borderId="0" fillId="5" fontId="15" numFmtId="0" xfId="0" applyAlignment="1" applyFont="1">
      <alignment vertical="top"/>
    </xf>
    <xf borderId="0" fillId="0" fontId="1" numFmtId="0" xfId="0" applyAlignment="1" applyFont="1">
      <alignment horizontal="left"/>
    </xf>
    <xf borderId="1" fillId="0" fontId="1" numFmtId="0" xfId="0" applyAlignment="1" applyBorder="1" applyFont="1">
      <alignment horizontal="left" readingOrder="0"/>
    </xf>
    <xf borderId="0" fillId="0" fontId="1" numFmtId="0" xfId="0" applyAlignment="1" applyFont="1">
      <alignment horizontal="left" readingOrder="0" shrinkToFit="0" vertical="top" wrapText="1"/>
    </xf>
    <xf borderId="0" fillId="0" fontId="19" numFmtId="0" xfId="0" applyAlignment="1" applyFont="1">
      <alignment horizontal="left" readingOrder="0" vertical="top"/>
    </xf>
    <xf borderId="0" fillId="0" fontId="19" numFmtId="169" xfId="0" applyAlignment="1" applyFont="1" applyNumberFormat="1">
      <alignment horizontal="left" readingOrder="0" vertical="top"/>
    </xf>
    <xf borderId="0" fillId="0" fontId="19" numFmtId="0" xfId="0" applyAlignment="1" applyFont="1">
      <alignment horizontal="left" readingOrder="0" shrinkToFit="0" vertical="top" wrapText="1"/>
    </xf>
    <xf borderId="0" fillId="0" fontId="19" numFmtId="0" xfId="0" applyAlignment="1" applyFont="1">
      <alignment horizontal="left" readingOrder="0" vertical="top"/>
    </xf>
    <xf borderId="0" fillId="0" fontId="19" numFmtId="169" xfId="0" applyAlignment="1" applyFont="1" applyNumberFormat="1">
      <alignment horizontal="left" readingOrder="0" vertical="top"/>
    </xf>
    <xf borderId="0" fillId="0" fontId="1" numFmtId="169" xfId="0" applyAlignment="1" applyFont="1" applyNumberForma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B7E1CD"/>
          <bgColor rgb="FFB7E1CD"/>
        </patternFill>
      </fill>
      <border/>
    </dxf>
  </dxfs>
  <tableStyles count="5">
    <tableStyle count="3" pivot="0" name="README-style">
      <tableStyleElement dxfId="1" type="headerRow"/>
      <tableStyleElement dxfId="2" type="firstRowStripe"/>
      <tableStyleElement dxfId="1" type="secondRowStripe"/>
    </tableStyle>
    <tableStyle count="3" pivot="0" name="README-style 2">
      <tableStyleElement dxfId="3" type="headerRow"/>
      <tableStyleElement dxfId="2" type="firstRowStripe"/>
      <tableStyleElement dxfId="3" type="secondRowStripe"/>
    </tableStyle>
    <tableStyle count="3" pivot="0" name="Resources-style">
      <tableStyleElement dxfId="1" type="headerRow"/>
      <tableStyleElement dxfId="2" type="firstRowStripe"/>
      <tableStyleElement dxfId="1" type="secondRowStripe"/>
    </tableStyle>
    <tableStyle count="3" pivot="0" name="Model Comparison-style">
      <tableStyleElement dxfId="1" type="headerRow"/>
      <tableStyleElement dxfId="2" type="firstRowStripe"/>
      <tableStyleElement dxfId="1" type="secondRowStripe"/>
    </tableStyle>
    <tableStyle count="2" pivot="0" name="Changelog-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Investments by Outcome</a:t>
            </a:r>
          </a:p>
        </c:rich>
      </c:tx>
      <c:overlay val="0"/>
    </c:title>
    <c:plotArea>
      <c:layout/>
      <c:bubbleChart>
        <c:ser>
          <c:idx val="0"/>
          <c:order val="0"/>
          <c:tx>
            <c:strRef>
              <c:f>'Venture Valuation'!$C$144</c:f>
            </c:strRef>
          </c:tx>
          <c:dLbls>
            <c:dLblPos val="ctr"/>
            <c:showLegendKey val="0"/>
            <c:showVal val="0"/>
            <c:showCatName val="0"/>
            <c:showSerName val="1"/>
            <c:showPercent val="0"/>
            <c:showBubbleSize val="0"/>
          </c:dLbls>
          <c:xVal>
            <c:strRef>
              <c:f>'Venture Valuation'!$C$68</c:f>
            </c:strRef>
          </c:xVal>
          <c:yVal>
            <c:numRef>
              <c:f>'Venture Valuation'!$C$5</c:f>
              <c:numCache/>
            </c:numRef>
          </c:yVal>
          <c:bubbleSize>
            <c:numLit>
              <c:ptCount val="1"/>
              <c:pt idx="0">
                <c:v>1</c:v>
              </c:pt>
            </c:numLit>
          </c:bubbleSize>
        </c:ser>
        <c:axId val="138451053"/>
        <c:axId val="1937904349"/>
      </c:bubbleChart>
      <c:valAx>
        <c:axId val="138451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7904349"/>
      </c:valAx>
      <c:valAx>
        <c:axId val="1937904349"/>
        <c:scaling>
          <c:orientation val="minMax"/>
          <c:max val="0.08"/>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451053"/>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Investment per company</a:t>
            </a:r>
          </a:p>
        </c:rich>
      </c:tx>
      <c:overlay val="0"/>
    </c:title>
    <c:plotArea>
      <c:layout/>
      <c:barChart>
        <c:barDir val="col"/>
        <c:ser>
          <c:idx val="0"/>
          <c:order val="0"/>
          <c:tx>
            <c:strRef>
              <c:f>'Venture Valuation'!$C$36</c:f>
            </c:strRef>
          </c:tx>
          <c:spPr>
            <a:solidFill>
              <a:schemeClr val="accent1"/>
            </a:solidFill>
            <a:ln cmpd="sng">
              <a:solidFill>
                <a:srgbClr val="000000"/>
              </a:solidFill>
            </a:ln>
          </c:spPr>
          <c:cat>
            <c:strRef>
              <c:f>'Venture Valuation'!$D$5:$J$5</c:f>
            </c:strRef>
          </c:cat>
          <c:val>
            <c:numRef>
              <c:f>'Venture Valuation'!$D$36:$J$36</c:f>
              <c:numCache/>
            </c:numRef>
          </c:val>
        </c:ser>
        <c:ser>
          <c:idx val="1"/>
          <c:order val="1"/>
          <c:tx>
            <c:strRef>
              <c:f>'Venture Valuation'!$C$35</c:f>
            </c:strRef>
          </c:tx>
          <c:spPr>
            <a:solidFill>
              <a:schemeClr val="accent2"/>
            </a:solidFill>
            <a:ln cmpd="sng">
              <a:solidFill>
                <a:srgbClr val="000000"/>
              </a:solidFill>
            </a:ln>
          </c:spPr>
          <c:cat>
            <c:strRef>
              <c:f>'Venture Valuation'!$D$5:$J$5</c:f>
            </c:strRef>
          </c:cat>
          <c:val>
            <c:numRef>
              <c:f>'Venture Valuation'!$D$35:$J$35</c:f>
              <c:numCache/>
            </c:numRef>
          </c:val>
        </c:ser>
        <c:axId val="2052650626"/>
        <c:axId val="359318856"/>
      </c:barChart>
      <c:catAx>
        <c:axId val="2052650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9318856"/>
      </c:catAx>
      <c:valAx>
        <c:axId val="359318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2650626"/>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Ownership Percentage</a:t>
            </a:r>
          </a:p>
        </c:rich>
      </c:tx>
      <c:overlay val="0"/>
    </c:title>
    <c:plotArea>
      <c:layout/>
      <c:barChart>
        <c:barDir val="col"/>
        <c:ser>
          <c:idx val="0"/>
          <c:order val="0"/>
          <c:tx>
            <c:strRef>
              <c:f>'Venture Valuation'!$C$47</c:f>
            </c:strRef>
          </c:tx>
          <c:spPr>
            <a:solidFill>
              <a:srgbClr val="38761D"/>
            </a:solidFill>
            <a:ln cmpd="sng">
              <a:solidFill>
                <a:srgbClr val="000000"/>
              </a:solidFill>
            </a:ln>
          </c:spPr>
          <c:cat>
            <c:strRef>
              <c:f>'Venture Valuation'!$D$5:$J$5</c:f>
            </c:strRef>
          </c:cat>
          <c:val>
            <c:numRef>
              <c:f>'Venture Valuation'!$D$47:$J$47</c:f>
              <c:numCache/>
            </c:numRef>
          </c:val>
        </c:ser>
        <c:axId val="2041551706"/>
        <c:axId val="1073803770"/>
      </c:barChart>
      <c:catAx>
        <c:axId val="20415517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73803770"/>
      </c:catAx>
      <c:valAx>
        <c:axId val="10738037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1551706"/>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Portfolio Graduation</a:t>
            </a:r>
          </a:p>
        </c:rich>
      </c:tx>
      <c:overlay val="0"/>
    </c:title>
    <c:plotArea>
      <c:layout/>
      <c:barChart>
        <c:barDir val="bar"/>
        <c:grouping val="stacked"/>
        <c:ser>
          <c:idx val="0"/>
          <c:order val="0"/>
          <c:tx>
            <c:strRef>
              <c:f>'Venture Valuation'!$B$66</c:f>
            </c:strRef>
          </c:tx>
          <c:spPr>
            <a:solidFill>
              <a:schemeClr val="accent1"/>
            </a:solidFill>
            <a:ln cmpd="sng">
              <a:solidFill>
                <a:srgbClr val="000000"/>
              </a:solidFill>
            </a:ln>
          </c:spPr>
          <c:cat>
            <c:strRef>
              <c:f>'Venture Valuation'!$C$5:$J$5</c:f>
            </c:strRef>
          </c:cat>
          <c:val>
            <c:numRef>
              <c:f>'Venture Valuation'!$C$66:$J$66</c:f>
              <c:numCache/>
            </c:numRef>
          </c:val>
        </c:ser>
        <c:ser>
          <c:idx val="1"/>
          <c:order val="1"/>
          <c:tx>
            <c:strRef>
              <c:f>'Venture Valuation'!$B$67</c:f>
            </c:strRef>
          </c:tx>
          <c:spPr>
            <a:solidFill>
              <a:schemeClr val="accent2"/>
            </a:solidFill>
            <a:ln cmpd="sng">
              <a:solidFill>
                <a:srgbClr val="000000"/>
              </a:solidFill>
            </a:ln>
          </c:spPr>
          <c:cat>
            <c:strRef>
              <c:f>'Venture Valuation'!$C$5:$J$5</c:f>
            </c:strRef>
          </c:cat>
          <c:val>
            <c:numRef>
              <c:f>'Venture Valuation'!$C$67:$J$67</c:f>
              <c:numCache/>
            </c:numRef>
          </c:val>
        </c:ser>
        <c:ser>
          <c:idx val="2"/>
          <c:order val="2"/>
          <c:tx>
            <c:strRef>
              <c:f>'Venture Valuation'!$B$68</c:f>
            </c:strRef>
          </c:tx>
          <c:spPr>
            <a:solidFill>
              <a:schemeClr val="accent3"/>
            </a:solidFill>
            <a:ln cmpd="sng">
              <a:solidFill>
                <a:srgbClr val="000000"/>
              </a:solidFill>
            </a:ln>
          </c:spPr>
          <c:cat>
            <c:strRef>
              <c:f>'Venture Valuation'!$C$5:$J$5</c:f>
            </c:strRef>
          </c:cat>
          <c:val>
            <c:numRef>
              <c:f>'Venture Valuation'!$C$68:$J$68</c:f>
              <c:numCache/>
            </c:numRef>
          </c:val>
        </c:ser>
        <c:overlap val="100"/>
        <c:axId val="1716309079"/>
        <c:axId val="1508375653"/>
      </c:barChart>
      <c:catAx>
        <c:axId val="17163090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8375653"/>
      </c:catAx>
      <c:valAx>
        <c:axId val="15083756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6309079"/>
        <c:crosses val="max"/>
      </c:valAx>
    </c:plotArea>
    <c:legend>
      <c:legendPos val="b"/>
      <c:overlay val="0"/>
      <c:txPr>
        <a:bodyPr/>
        <a:lstStyle/>
        <a:p>
          <a:pPr lvl="0">
            <a:defRPr b="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10</xdr:row>
      <xdr:rowOff>0</xdr:rowOff>
    </xdr:from>
    <xdr:ext cx="5000625" cy="3105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164</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809625</xdr:colOff>
      <xdr:row>164</xdr:row>
      <xdr:rowOff>76200</xdr:rowOff>
    </xdr:from>
    <xdr:ext cx="57816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390525</xdr:colOff>
      <xdr:row>184</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809625</xdr:colOff>
      <xdr:row>184</xdr:row>
      <xdr:rowOff>76200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2" displayName="Table_1" name="Table_1" id="1">
  <tableColumns count="2">
    <tableColumn name="Copyright &amp; Contact" id="1"/>
    <tableColumn name="👋  This was created by Taylor Davidson (@tdavidson) of Foresight._x000a_© 2024, Unstructured Ventures, LLC._x000a_Questions, contact taylor@foresight.is or @tdavidson_x000a_" id="2"/>
  </tableColumns>
  <tableStyleInfo name="README-style" showColumnStripes="0" showFirstColumn="1" showLastColumn="1" showRowStripes="1"/>
</table>
</file>

<file path=xl/tables/table2.xml><?xml version="1.0" encoding="utf-8"?>
<table xmlns="http://schemas.openxmlformats.org/spreadsheetml/2006/main" ref="B16:C22" displayName="Table_2" name="Table_2" id="2">
  <tableColumns count="2">
    <tableColumn name="README" id="1"/>
    <tableColumn name="Contact into, overview on model. Safe to delete or hide." id="2"/>
  </tableColumns>
  <tableStyleInfo name="README-style 2" showColumnStripes="0" showFirstColumn="1" showLastColumn="1" showRowStripes="1"/>
</table>
</file>

<file path=xl/tables/table3.xml><?xml version="1.0" encoding="utf-8"?>
<table xmlns="http://schemas.openxmlformats.org/spreadsheetml/2006/main" ref="B7:D25" displayName="Table_3" name="Table_3" id="3">
  <tableColumns count="3">
    <tableColumn name="How to Model a Venture Capital Fund" id="1"/>
    <tableColumn name="Post detailing how to model a venture capital fund, detailing all the components, methods, considerations, and links to template models to review" id="2"/>
    <tableColumn name="https://openvc.app/blog/how-to-model-a-venture-capital-fund" id="3"/>
  </tableColumns>
  <tableStyleInfo name="Resources-style" showColumnStripes="0" showFirstColumn="1" showLastColumn="1" showRowStripes="1"/>
</table>
</file>

<file path=xl/tables/table4.xml><?xml version="1.0" encoding="utf-8"?>
<table xmlns="http://schemas.openxmlformats.org/spreadsheetml/2006/main" headerRowCount="0" ref="B7:T21"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Model Comparis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6:D10" displayName="Table_5" name="Table_5" id="5">
  <tableColumns count="3">
    <tableColumn name="Column1" id="1"/>
    <tableColumn name="Column2" id="2"/>
    <tableColumn name="Column3" id="3"/>
  </tableColumns>
  <tableStyleInfo name="Change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cmethod.com/" TargetMode="External"/><Relationship Id="rId2" Type="http://schemas.openxmlformats.org/officeDocument/2006/relationships/hyperlink" Target="https://www.loom.com/share/34ac5955f7e640238389f0b628fa9e78" TargetMode="External"/><Relationship Id="rId3" Type="http://schemas.openxmlformats.org/officeDocument/2006/relationships/hyperlink" Target="https://foresight.is/learn/colors-and-formatting" TargetMode="External"/><Relationship Id="rId4" Type="http://schemas.openxmlformats.org/officeDocument/2006/relationships/hyperlink" Target="https://foresight.is/license" TargetMode="External"/><Relationship Id="rId9" Type="http://schemas.openxmlformats.org/officeDocument/2006/relationships/table" Target="../tables/table2.xml"/><Relationship Id="rId5"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esight.is/circulars" TargetMode="External"/><Relationship Id="rId2" Type="http://schemas.openxmlformats.org/officeDocument/2006/relationships/hyperlink" Target="https://foresight.is/cap-tabl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foresight.is/venture-fund-model" TargetMode="External"/><Relationship Id="rId22" Type="http://schemas.openxmlformats.org/officeDocument/2006/relationships/table" Target="../tables/table3.xml"/><Relationship Id="rId10"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2" Type="http://schemas.openxmlformats.org/officeDocument/2006/relationships/hyperlink" Target="https://foresight.is/vc" TargetMode="External"/><Relationship Id="rId1" Type="http://schemas.openxmlformats.org/officeDocument/2006/relationships/hyperlink" Target="https://openvc.app/blog/how-to-model-a-venture-capital-fund" TargetMode="External"/><Relationship Id="rId2" Type="http://schemas.openxmlformats.org/officeDocument/2006/relationships/hyperlink" Target="https://eniacvc.medium.com/seed-fund-portfolio-construction-for-dummies-9ec5b4d152dc" TargetMode="External"/><Relationship Id="rId3" Type="http://schemas.openxmlformats.org/officeDocument/2006/relationships/hyperlink" Target="https://vc.tactyc.io/"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5" Type="http://schemas.openxmlformats.org/officeDocument/2006/relationships/hyperlink" Target="https://foresight.is/cap-table" TargetMode="External"/><Relationship Id="rId14" Type="http://schemas.openxmlformats.org/officeDocument/2006/relationships/hyperlink" Target="https://www.angellist.com/blog/rolling-fund-budget" TargetMode="External"/><Relationship Id="rId17" Type="http://schemas.openxmlformats.org/officeDocument/2006/relationships/hyperlink" Target="https://angel.co/v/venture/calculator" TargetMode="External"/><Relationship Id="rId16" Type="http://schemas.openxmlformats.org/officeDocument/2006/relationships/hyperlink" Target="https://foresight.is/learn/venture-valuation" TargetMode="External"/><Relationship Id="rId5" Type="http://schemas.openxmlformats.org/officeDocument/2006/relationships/hyperlink" Target="https://medium.com/@gerstenzang/open-source-venture-model-osvm-v1-55bebf3eda9" TargetMode="External"/><Relationship Id="rId19" Type="http://schemas.openxmlformats.org/officeDocument/2006/relationships/hyperlink" Target="https://vcmethod.com/" TargetMode="External"/><Relationship Id="rId6" Type="http://schemas.openxmlformats.org/officeDocument/2006/relationships/hyperlink" Target="https://airstreamalpha.com/financial-model/" TargetMode="External"/><Relationship Id="rId18" Type="http://schemas.openxmlformats.org/officeDocument/2006/relationships/hyperlink" Target="https://avc.com/2008/08/venture-fund-1/" TargetMode="External"/><Relationship Id="rId7" Type="http://schemas.openxmlformats.org/officeDocument/2006/relationships/hyperlink" Target="https://foresight.is/vc" TargetMode="External"/><Relationship Id="rId8" Type="http://schemas.openxmlformats.org/officeDocument/2006/relationships/hyperlink" Target="https://foresight.is/vc"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foresight.is/cap-table" TargetMode="External"/><Relationship Id="rId10" Type="http://schemas.openxmlformats.org/officeDocument/2006/relationships/hyperlink" Target="https://www.angellist.com/blog/rolling-fund-budget" TargetMode="External"/><Relationship Id="rId13" Type="http://schemas.openxmlformats.org/officeDocument/2006/relationships/hyperlink" Target="https://foresight.is/runway-cash-forecasting" TargetMode="External"/><Relationship Id="rId12" Type="http://schemas.openxmlformats.org/officeDocument/2006/relationships/hyperlink" Target="https://foresight.is/learn/venture-valuation" TargetMode="External"/><Relationship Id="rId1" Type="http://schemas.openxmlformats.org/officeDocument/2006/relationships/hyperlink" Target="http://foresight.is/vc" TargetMode="External"/><Relationship Id="rId2" Type="http://schemas.openxmlformats.org/officeDocument/2006/relationships/hyperlink" Target="http://foresight.is/vc" TargetMode="External"/><Relationship Id="rId3" Type="http://schemas.openxmlformats.org/officeDocument/2006/relationships/hyperlink" Target="https://foresight.is/vc" TargetMode="External"/><Relationship Id="rId4" Type="http://schemas.openxmlformats.org/officeDocument/2006/relationships/hyperlink" Target="http://foresight.is/vc" TargetMode="External"/><Relationship Id="rId9" Type="http://schemas.openxmlformats.org/officeDocument/2006/relationships/hyperlink" Target="https://foresight.is/venture-portfolio-model" TargetMode="External"/><Relationship Id="rId14" Type="http://schemas.openxmlformats.org/officeDocument/2006/relationships/drawing" Target="../drawings/drawing6.xml"/><Relationship Id="rId16" Type="http://schemas.openxmlformats.org/officeDocument/2006/relationships/table" Target="../tables/table4.xml"/><Relationship Id="rId5" Type="http://schemas.openxmlformats.org/officeDocument/2006/relationships/hyperlink" Target="http://foresight.is/vc" TargetMode="External"/><Relationship Id="rId6" Type="http://schemas.openxmlformats.org/officeDocument/2006/relationships/hyperlink" Target="https://foresight.is/venture-fund-model" TargetMode="External"/><Relationship Id="rId7" Type="http://schemas.openxmlformats.org/officeDocument/2006/relationships/hyperlink" Target="http://foresight.is/vc" TargetMode="External"/><Relationship Id="rId8" Type="http://schemas.openxmlformats.org/officeDocument/2006/relationships/hyperlink" Target="http://foresight.is/vc"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35.13"/>
    <col customWidth="1" min="3" max="3" width="65.63"/>
    <col customWidth="1" min="4" max="5" width="22.75"/>
  </cols>
  <sheetData>
    <row r="1">
      <c r="A1" s="1"/>
    </row>
    <row r="2">
      <c r="B2" s="2" t="s">
        <v>0</v>
      </c>
    </row>
    <row r="3">
      <c r="B3" s="3"/>
    </row>
    <row r="4">
      <c r="B4" s="4" t="s">
        <v>1</v>
      </c>
      <c r="C4" s="5" t="s">
        <v>2</v>
      </c>
    </row>
    <row r="5">
      <c r="B5" s="4" t="s">
        <v>3</v>
      </c>
      <c r="C5" s="6" t="s">
        <v>4</v>
      </c>
    </row>
    <row r="6">
      <c r="B6" s="4" t="s">
        <v>5</v>
      </c>
      <c r="C6" s="7" t="s">
        <v>6</v>
      </c>
    </row>
    <row r="7">
      <c r="B7" s="8" t="s">
        <v>7</v>
      </c>
      <c r="C7" s="7" t="s">
        <v>8</v>
      </c>
    </row>
    <row r="8">
      <c r="B8" s="8" t="s">
        <v>9</v>
      </c>
      <c r="C8" s="9" t="s">
        <v>10</v>
      </c>
    </row>
    <row r="9">
      <c r="B9" s="8" t="s">
        <v>11</v>
      </c>
      <c r="C9" s="7" t="s">
        <v>12</v>
      </c>
    </row>
    <row r="10">
      <c r="B10" s="4" t="s">
        <v>13</v>
      </c>
      <c r="C10" s="9" t="s">
        <v>14</v>
      </c>
    </row>
    <row r="11" ht="249.0" customHeight="1">
      <c r="B11" s="8" t="s">
        <v>15</v>
      </c>
      <c r="C11" s="10"/>
    </row>
    <row r="12">
      <c r="B12" s="11"/>
      <c r="C12" s="7" t="s">
        <v>16</v>
      </c>
    </row>
    <row r="13">
      <c r="B13" s="12"/>
      <c r="C13" s="13"/>
    </row>
    <row r="14">
      <c r="B14" s="12" t="s">
        <v>17</v>
      </c>
      <c r="C14" s="13"/>
    </row>
    <row r="15">
      <c r="B15" s="14"/>
      <c r="C15" s="15"/>
    </row>
    <row r="16">
      <c r="B16" s="16" t="s">
        <v>18</v>
      </c>
      <c r="C16" s="16" t="s">
        <v>19</v>
      </c>
    </row>
    <row r="17">
      <c r="B17" s="16" t="s">
        <v>20</v>
      </c>
      <c r="C17" s="17" t="s">
        <v>21</v>
      </c>
    </row>
    <row r="18">
      <c r="B18" s="16" t="s">
        <v>3</v>
      </c>
      <c r="C18" s="17" t="s">
        <v>22</v>
      </c>
    </row>
    <row r="19">
      <c r="B19" s="18" t="s">
        <v>23</v>
      </c>
      <c r="C19" s="18" t="s">
        <v>24</v>
      </c>
    </row>
    <row r="20">
      <c r="B20" s="16" t="s">
        <v>25</v>
      </c>
      <c r="C20" s="16" t="s">
        <v>26</v>
      </c>
    </row>
    <row r="21">
      <c r="B21" s="16" t="s">
        <v>27</v>
      </c>
      <c r="C21" s="16" t="s">
        <v>28</v>
      </c>
    </row>
    <row r="22">
      <c r="B22" s="16" t="s">
        <v>29</v>
      </c>
      <c r="C22" s="16" t="s">
        <v>30</v>
      </c>
    </row>
    <row r="23">
      <c r="B23" s="19"/>
      <c r="C23" s="20"/>
    </row>
  </sheetData>
  <hyperlinks>
    <hyperlink display="tl:dr; You can modify, edit, use, and share within your company (and with third-parties as needed to operate your business). You may not redistribute, resell, give away to others. Full license.&#10;" location="null!A1" ref="C5"/>
    <hyperlink r:id="rId1" ref="C6"/>
    <hyperlink display="File &gt; Make a Copy to copy it to your own Google Drive, or File &gt; Download to download this to use in Excel or other spreadsheet programs. See License for warranties and liabilities.&#10;" location="null!A1" ref="C7"/>
    <hyperlink display="Check out the Resources for other resources for modeling venture funds, and check out Foresight's Venture Investor Model for a more detailed fund model with financial statements, management company budgeting, and more.&#10;" location="null!A1" ref="C9"/>
    <hyperlink r:id="rId2" ref="C12"/>
    <hyperlink r:id="rId3" ref="C17"/>
    <hyperlink r:id="rId4" ref="C18"/>
  </hyperlinks>
  <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79.13"/>
  </cols>
  <sheetData>
    <row r="1" ht="29.25" customHeight="1">
      <c r="A1" s="2"/>
      <c r="B1" s="2" t="s">
        <v>31</v>
      </c>
    </row>
    <row r="2" ht="19.5" customHeight="1">
      <c r="A2" s="21"/>
      <c r="B2" s="22" t="s">
        <v>32</v>
      </c>
    </row>
    <row r="3">
      <c r="A3" s="23"/>
      <c r="B3" s="23"/>
    </row>
    <row r="4">
      <c r="A4" s="24"/>
      <c r="B4" s="24" t="s">
        <v>33</v>
      </c>
    </row>
    <row r="5">
      <c r="A5" s="23"/>
      <c r="B5" s="23"/>
    </row>
    <row r="6">
      <c r="A6" s="24"/>
      <c r="B6" s="24" t="s">
        <v>34</v>
      </c>
    </row>
    <row r="7">
      <c r="A7" s="23"/>
      <c r="B7" s="23"/>
    </row>
    <row r="8">
      <c r="A8" s="24"/>
      <c r="B8" s="24" t="s">
        <v>35</v>
      </c>
    </row>
    <row r="9">
      <c r="A9" s="24"/>
      <c r="B9" s="24" t="s">
        <v>36</v>
      </c>
    </row>
    <row r="10">
      <c r="A10" s="24"/>
      <c r="B10" s="24" t="s">
        <v>37</v>
      </c>
    </row>
    <row r="11">
      <c r="A11" s="24"/>
      <c r="B11" s="24" t="s">
        <v>38</v>
      </c>
    </row>
    <row r="12">
      <c r="A12" s="24"/>
      <c r="B12" s="24" t="s">
        <v>39</v>
      </c>
    </row>
    <row r="13">
      <c r="A13" s="23"/>
      <c r="B13" s="23"/>
    </row>
    <row r="14">
      <c r="A14" s="24"/>
      <c r="B14" s="24" t="s">
        <v>40</v>
      </c>
    </row>
    <row r="15">
      <c r="A15" s="24"/>
      <c r="B15" s="24" t="s">
        <v>41</v>
      </c>
    </row>
    <row r="16">
      <c r="A16" s="24"/>
      <c r="B16" s="24" t="s">
        <v>42</v>
      </c>
    </row>
    <row r="17">
      <c r="A17" s="24"/>
      <c r="B17" s="24" t="s">
        <v>43</v>
      </c>
    </row>
    <row r="18">
      <c r="A18" s="24"/>
      <c r="B18" s="24" t="s">
        <v>44</v>
      </c>
    </row>
    <row r="19">
      <c r="A19" s="24"/>
      <c r="B19" s="24" t="s">
        <v>45</v>
      </c>
    </row>
    <row r="20">
      <c r="A20" s="24"/>
      <c r="B20" s="24" t="s">
        <v>46</v>
      </c>
    </row>
    <row r="21">
      <c r="A21" s="24"/>
      <c r="B21" s="24" t="s">
        <v>47</v>
      </c>
    </row>
    <row r="22">
      <c r="A22" s="23"/>
      <c r="B22" s="23"/>
    </row>
    <row r="23">
      <c r="A23" s="24"/>
      <c r="B23" s="24" t="s">
        <v>48</v>
      </c>
    </row>
    <row r="24">
      <c r="A24" s="23"/>
      <c r="B24" s="23"/>
    </row>
    <row r="25">
      <c r="A25" s="24"/>
      <c r="B25" s="24" t="s">
        <v>49</v>
      </c>
    </row>
    <row r="26">
      <c r="A26" s="23"/>
      <c r="B26" s="23"/>
    </row>
    <row r="27">
      <c r="A27" s="24"/>
      <c r="B27" s="24" t="s">
        <v>50</v>
      </c>
    </row>
    <row r="28">
      <c r="A28" s="23"/>
      <c r="B28" s="23"/>
    </row>
    <row r="29">
      <c r="A29" s="24"/>
      <c r="B29" s="24" t="s">
        <v>51</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5.5"/>
    <col customWidth="1" min="2" max="2" width="40.88"/>
    <col customWidth="1" min="3" max="10" width="14.25"/>
    <col customWidth="1" min="11" max="11" width="10.5"/>
    <col customWidth="1" min="12" max="12" width="5.75"/>
    <col customWidth="1" min="13" max="13" width="87.88"/>
  </cols>
  <sheetData>
    <row r="1">
      <c r="B1" s="19"/>
      <c r="C1" s="25"/>
      <c r="D1" s="25"/>
      <c r="E1" s="25"/>
      <c r="F1" s="25"/>
      <c r="G1" s="25"/>
      <c r="H1" s="25"/>
      <c r="I1" s="25"/>
      <c r="J1" s="25"/>
    </row>
    <row r="2">
      <c r="B2" s="2" t="s">
        <v>52</v>
      </c>
      <c r="C2" s="25"/>
      <c r="D2" s="25"/>
      <c r="E2" s="26" t="s">
        <v>53</v>
      </c>
      <c r="F2" s="25"/>
      <c r="G2" s="25"/>
      <c r="H2" s="25"/>
      <c r="I2" s="25"/>
      <c r="J2" s="25"/>
    </row>
    <row r="3">
      <c r="B3" s="27" t="s">
        <v>54</v>
      </c>
      <c r="C3" s="25"/>
      <c r="D3" s="25"/>
      <c r="E3" s="25"/>
      <c r="F3" s="25"/>
      <c r="G3" s="25"/>
      <c r="H3" s="25"/>
      <c r="I3" s="25"/>
      <c r="J3" s="25"/>
    </row>
    <row r="4">
      <c r="B4" s="19"/>
      <c r="C4" s="25"/>
      <c r="D4" s="25"/>
      <c r="E4" s="25"/>
      <c r="F4" s="25"/>
      <c r="G4" s="25"/>
      <c r="H4" s="25"/>
      <c r="I4" s="25"/>
      <c r="J4" s="25"/>
    </row>
    <row r="5">
      <c r="B5" s="28" t="s">
        <v>55</v>
      </c>
      <c r="C5" s="29" t="str">
        <f>"Before "&amp;D5</f>
        <v>Before Seed</v>
      </c>
      <c r="D5" s="29" t="s">
        <v>56</v>
      </c>
      <c r="E5" s="29" t="s">
        <v>57</v>
      </c>
      <c r="F5" s="29" t="s">
        <v>58</v>
      </c>
      <c r="G5" s="29" t="s">
        <v>59</v>
      </c>
      <c r="H5" s="29" t="s">
        <v>60</v>
      </c>
      <c r="I5" s="29" t="s">
        <v>61</v>
      </c>
      <c r="J5" s="29" t="s">
        <v>62</v>
      </c>
      <c r="K5" s="30" t="s">
        <v>63</v>
      </c>
      <c r="L5" s="31"/>
      <c r="M5" s="28" t="s">
        <v>64</v>
      </c>
    </row>
    <row r="6">
      <c r="B6" s="19"/>
      <c r="C6" s="32"/>
      <c r="D6" s="32"/>
      <c r="E6" s="32"/>
      <c r="F6" s="32"/>
      <c r="G6" s="32"/>
      <c r="H6" s="32"/>
      <c r="I6" s="32"/>
      <c r="J6" s="32"/>
    </row>
    <row r="7">
      <c r="B7" s="33" t="s">
        <v>65</v>
      </c>
      <c r="C7" s="34"/>
      <c r="D7" s="34"/>
      <c r="E7" s="34"/>
      <c r="F7" s="34"/>
      <c r="G7" s="34"/>
      <c r="H7" s="34"/>
      <c r="I7" s="34"/>
      <c r="J7" s="34"/>
      <c r="L7" s="35"/>
      <c r="M7" s="35"/>
    </row>
    <row r="8">
      <c r="B8" s="19"/>
      <c r="C8" s="34"/>
      <c r="D8" s="34"/>
      <c r="E8" s="34"/>
      <c r="F8" s="34"/>
      <c r="G8" s="34"/>
      <c r="H8" s="34"/>
      <c r="I8" s="34"/>
      <c r="J8" s="34"/>
      <c r="L8" s="35"/>
      <c r="M8" s="35"/>
    </row>
    <row r="9">
      <c r="B9" s="36" t="s">
        <v>66</v>
      </c>
      <c r="C9" s="34"/>
      <c r="D9" s="34"/>
      <c r="E9" s="34"/>
      <c r="F9" s="34"/>
      <c r="G9" s="34"/>
      <c r="H9" s="34"/>
      <c r="I9" s="34"/>
      <c r="J9" s="34"/>
      <c r="L9" s="35"/>
      <c r="M9" s="35" t="s">
        <v>67</v>
      </c>
    </row>
    <row r="10" outlineLevel="1">
      <c r="B10" s="37" t="s">
        <v>68</v>
      </c>
      <c r="C10" s="34"/>
      <c r="D10" s="34"/>
      <c r="E10" s="34"/>
      <c r="F10" s="34"/>
      <c r="G10" s="34"/>
      <c r="H10" s="34"/>
      <c r="I10" s="34"/>
      <c r="J10" s="34"/>
      <c r="L10" s="35"/>
      <c r="M10" s="35"/>
    </row>
    <row r="11" outlineLevel="1">
      <c r="B11" s="19" t="s">
        <v>69</v>
      </c>
      <c r="C11" s="34"/>
      <c r="D11" s="38">
        <v>250000.0</v>
      </c>
      <c r="E11" s="38">
        <v>0.0</v>
      </c>
      <c r="F11" s="38">
        <v>0.0</v>
      </c>
      <c r="G11" s="38">
        <v>0.0</v>
      </c>
      <c r="H11" s="38">
        <v>0.0</v>
      </c>
      <c r="I11" s="38">
        <v>0.0</v>
      </c>
      <c r="J11" s="38">
        <v>0.0</v>
      </c>
      <c r="L11" s="35"/>
      <c r="M11" s="35" t="s">
        <v>70</v>
      </c>
    </row>
    <row r="12" outlineLevel="1">
      <c r="B12" s="19" t="s">
        <v>71</v>
      </c>
      <c r="C12" s="34"/>
      <c r="D12" s="39">
        <v>0.2</v>
      </c>
      <c r="E12" s="39">
        <v>0.0</v>
      </c>
      <c r="F12" s="39">
        <v>0.0</v>
      </c>
      <c r="G12" s="39">
        <v>0.0</v>
      </c>
      <c r="H12" s="39">
        <v>0.0</v>
      </c>
      <c r="I12" s="39">
        <v>0.0</v>
      </c>
      <c r="J12" s="39">
        <v>0.0</v>
      </c>
      <c r="L12" s="35"/>
      <c r="M12" s="35" t="s">
        <v>72</v>
      </c>
    </row>
    <row r="13" outlineLevel="1">
      <c r="B13" s="19" t="s">
        <v>73</v>
      </c>
      <c r="C13" s="34"/>
      <c r="D13" s="38">
        <v>0.0</v>
      </c>
      <c r="E13" s="38">
        <v>0.0</v>
      </c>
      <c r="F13" s="38">
        <v>0.0</v>
      </c>
      <c r="G13" s="38">
        <v>0.0</v>
      </c>
      <c r="H13" s="38">
        <v>0.0</v>
      </c>
      <c r="I13" s="38">
        <v>0.0</v>
      </c>
      <c r="J13" s="38">
        <v>0.0</v>
      </c>
      <c r="L13" s="35"/>
      <c r="M13" s="35" t="s">
        <v>74</v>
      </c>
    </row>
    <row r="14" outlineLevel="1">
      <c r="B14" s="19" t="s">
        <v>75</v>
      </c>
      <c r="C14" s="34"/>
      <c r="D14" s="40">
        <f t="shared" ref="D14:J14" si="1">if(D11&lt;&gt;0,min(D$45,if(D13=0,D$45,D13/(C$57+D$56)),D$45*(1-D12)),0)</f>
        <v>0.455</v>
      </c>
      <c r="E14" s="40">
        <f t="shared" si="1"/>
        <v>0</v>
      </c>
      <c r="F14" s="40">
        <f t="shared" si="1"/>
        <v>0</v>
      </c>
      <c r="G14" s="40">
        <f t="shared" si="1"/>
        <v>0</v>
      </c>
      <c r="H14" s="40">
        <f t="shared" si="1"/>
        <v>0</v>
      </c>
      <c r="I14" s="40">
        <f t="shared" si="1"/>
        <v>0</v>
      </c>
      <c r="J14" s="40">
        <f t="shared" si="1"/>
        <v>0</v>
      </c>
      <c r="L14" s="35"/>
      <c r="M14" s="35" t="s">
        <v>76</v>
      </c>
    </row>
    <row r="15" outlineLevel="1">
      <c r="B15" s="19" t="s">
        <v>77</v>
      </c>
      <c r="C15" s="34"/>
      <c r="D15" s="34">
        <f t="shared" ref="D15:J15" si="2">iferror(D11/D14,0)</f>
        <v>549450.5495</v>
      </c>
      <c r="E15" s="34">
        <f t="shared" si="2"/>
        <v>0</v>
      </c>
      <c r="F15" s="34">
        <f t="shared" si="2"/>
        <v>0</v>
      </c>
      <c r="G15" s="34">
        <f t="shared" si="2"/>
        <v>0</v>
      </c>
      <c r="H15" s="34">
        <f t="shared" si="2"/>
        <v>0</v>
      </c>
      <c r="I15" s="34">
        <f t="shared" si="2"/>
        <v>0</v>
      </c>
      <c r="J15" s="34">
        <f t="shared" si="2"/>
        <v>0</v>
      </c>
      <c r="L15" s="35"/>
      <c r="M15" s="35" t="s">
        <v>78</v>
      </c>
    </row>
    <row r="16" outlineLevel="1">
      <c r="B16" s="19" t="s">
        <v>79</v>
      </c>
      <c r="C16" s="34"/>
      <c r="D16" s="38">
        <v>0.0</v>
      </c>
      <c r="E16" s="38">
        <v>0.0</v>
      </c>
      <c r="F16" s="38">
        <v>0.0</v>
      </c>
      <c r="G16" s="38">
        <v>0.0</v>
      </c>
      <c r="H16" s="38">
        <v>0.0</v>
      </c>
      <c r="I16" s="38">
        <v>0.0</v>
      </c>
      <c r="J16" s="38">
        <v>0.0</v>
      </c>
      <c r="L16" s="35"/>
      <c r="M16" s="35" t="s">
        <v>80</v>
      </c>
    </row>
    <row r="17" outlineLevel="1">
      <c r="B17" s="19" t="s">
        <v>71</v>
      </c>
      <c r="C17" s="34"/>
      <c r="D17" s="39">
        <v>0.0</v>
      </c>
      <c r="E17" s="39">
        <v>0.0</v>
      </c>
      <c r="F17" s="39">
        <v>0.0</v>
      </c>
      <c r="G17" s="39">
        <v>0.0</v>
      </c>
      <c r="H17" s="39">
        <v>0.0</v>
      </c>
      <c r="I17" s="39">
        <v>0.0</v>
      </c>
      <c r="J17" s="39">
        <v>0.0</v>
      </c>
      <c r="L17" s="35"/>
      <c r="M17" s="35" t="s">
        <v>72</v>
      </c>
    </row>
    <row r="18" outlineLevel="1">
      <c r="B18" s="19" t="s">
        <v>73</v>
      </c>
      <c r="C18" s="34"/>
      <c r="D18" s="38">
        <v>0.0</v>
      </c>
      <c r="E18" s="38">
        <v>0.0</v>
      </c>
      <c r="F18" s="38">
        <v>0.0</v>
      </c>
      <c r="G18" s="38">
        <v>0.0</v>
      </c>
      <c r="H18" s="38">
        <v>0.0</v>
      </c>
      <c r="I18" s="38">
        <v>0.0</v>
      </c>
      <c r="J18" s="38">
        <v>0.0</v>
      </c>
      <c r="L18" s="35"/>
      <c r="M18" s="35" t="s">
        <v>74</v>
      </c>
    </row>
    <row r="19" outlineLevel="1">
      <c r="B19" s="19" t="s">
        <v>75</v>
      </c>
      <c r="C19" s="34"/>
      <c r="D19" s="40">
        <f t="shared" ref="D19:J19" si="3">if(D16&lt;&gt;0,min(D$45,if(D18=0,D$45,D18/(C$57+D$20+D$32)),D$45*(1-D17)),0)</f>
        <v>0</v>
      </c>
      <c r="E19" s="40">
        <f t="shared" si="3"/>
        <v>0</v>
      </c>
      <c r="F19" s="40">
        <f t="shared" si="3"/>
        <v>0</v>
      </c>
      <c r="G19" s="40">
        <f t="shared" si="3"/>
        <v>0</v>
      </c>
      <c r="H19" s="40">
        <f t="shared" si="3"/>
        <v>0</v>
      </c>
      <c r="I19" s="40">
        <f t="shared" si="3"/>
        <v>0</v>
      </c>
      <c r="J19" s="40">
        <f t="shared" si="3"/>
        <v>0</v>
      </c>
      <c r="K19" s="34"/>
      <c r="L19" s="35"/>
      <c r="M19" s="35" t="s">
        <v>76</v>
      </c>
    </row>
    <row r="20" outlineLevel="1">
      <c r="B20" s="19" t="s">
        <v>77</v>
      </c>
      <c r="C20" s="34"/>
      <c r="D20" s="34">
        <f t="shared" ref="D20:J20" si="4">iferror(D16/D19,0)</f>
        <v>0</v>
      </c>
      <c r="E20" s="34">
        <f t="shared" si="4"/>
        <v>0</v>
      </c>
      <c r="F20" s="34">
        <f t="shared" si="4"/>
        <v>0</v>
      </c>
      <c r="G20" s="34">
        <f t="shared" si="4"/>
        <v>0</v>
      </c>
      <c r="H20" s="34">
        <f t="shared" si="4"/>
        <v>0</v>
      </c>
      <c r="I20" s="34">
        <f t="shared" si="4"/>
        <v>0</v>
      </c>
      <c r="J20" s="34">
        <f t="shared" si="4"/>
        <v>0</v>
      </c>
      <c r="L20" s="35"/>
      <c r="M20" s="35" t="s">
        <v>78</v>
      </c>
    </row>
    <row r="21" outlineLevel="1">
      <c r="B21" s="19"/>
      <c r="C21" s="34"/>
      <c r="D21" s="34"/>
      <c r="E21" s="34"/>
      <c r="F21" s="34"/>
      <c r="G21" s="34"/>
      <c r="H21" s="34"/>
      <c r="I21" s="34"/>
      <c r="J21" s="34"/>
      <c r="L21" s="35"/>
      <c r="M21" s="35"/>
    </row>
    <row r="22" outlineLevel="1">
      <c r="B22" s="37" t="s">
        <v>81</v>
      </c>
      <c r="C22" s="34"/>
      <c r="D22" s="34"/>
      <c r="E22" s="34"/>
      <c r="F22" s="34"/>
      <c r="G22" s="34"/>
      <c r="H22" s="34"/>
      <c r="I22" s="34"/>
      <c r="J22" s="34"/>
      <c r="L22" s="35"/>
      <c r="M22" s="35"/>
    </row>
    <row r="23" outlineLevel="1">
      <c r="B23" s="19" t="s">
        <v>69</v>
      </c>
      <c r="C23" s="34"/>
      <c r="D23" s="38">
        <v>0.0</v>
      </c>
      <c r="E23" s="38">
        <v>0.0</v>
      </c>
      <c r="F23" s="38">
        <v>0.0</v>
      </c>
      <c r="G23" s="38">
        <v>0.0</v>
      </c>
      <c r="H23" s="38">
        <v>0.0</v>
      </c>
      <c r="I23" s="38">
        <v>0.0</v>
      </c>
      <c r="J23" s="38">
        <v>0.0</v>
      </c>
      <c r="L23" s="35"/>
      <c r="M23" s="35" t="s">
        <v>70</v>
      </c>
    </row>
    <row r="24" outlineLevel="1">
      <c r="B24" s="19" t="s">
        <v>71</v>
      </c>
      <c r="C24" s="34"/>
      <c r="D24" s="39">
        <v>0.0</v>
      </c>
      <c r="E24" s="39">
        <v>0.0</v>
      </c>
      <c r="F24" s="39">
        <v>0.0</v>
      </c>
      <c r="G24" s="39">
        <v>0.0</v>
      </c>
      <c r="H24" s="39">
        <v>0.0</v>
      </c>
      <c r="I24" s="39">
        <v>0.0</v>
      </c>
      <c r="J24" s="39">
        <v>0.0</v>
      </c>
      <c r="L24" s="35"/>
      <c r="M24" s="35" t="s">
        <v>72</v>
      </c>
    </row>
    <row r="25" outlineLevel="1">
      <c r="B25" s="19" t="s">
        <v>73</v>
      </c>
      <c r="C25" s="34"/>
      <c r="D25" s="38">
        <v>0.0</v>
      </c>
      <c r="E25" s="38">
        <v>0.0</v>
      </c>
      <c r="F25" s="38">
        <v>0.0</v>
      </c>
      <c r="G25" s="38">
        <v>0.0</v>
      </c>
      <c r="H25" s="38">
        <v>0.0</v>
      </c>
      <c r="I25" s="38">
        <v>0.0</v>
      </c>
      <c r="J25" s="38">
        <v>0.0</v>
      </c>
      <c r="L25" s="35"/>
      <c r="M25" s="35" t="s">
        <v>74</v>
      </c>
    </row>
    <row r="26" outlineLevel="1">
      <c r="B26" s="19" t="s">
        <v>75</v>
      </c>
      <c r="C26" s="34"/>
      <c r="D26" s="40">
        <f t="shared" ref="D26:J26" si="5">if(D23&lt;&gt;0,min(D$45,if(D25=0,D$45,D25/(C$57+D$56)),D$45*(1-D24)),0)</f>
        <v>0</v>
      </c>
      <c r="E26" s="40">
        <f t="shared" si="5"/>
        <v>0</v>
      </c>
      <c r="F26" s="40">
        <f t="shared" si="5"/>
        <v>0</v>
      </c>
      <c r="G26" s="40">
        <f t="shared" si="5"/>
        <v>0</v>
      </c>
      <c r="H26" s="40">
        <f t="shared" si="5"/>
        <v>0</v>
      </c>
      <c r="I26" s="40">
        <f t="shared" si="5"/>
        <v>0</v>
      </c>
      <c r="J26" s="40">
        <f t="shared" si="5"/>
        <v>0</v>
      </c>
      <c r="K26" s="34"/>
      <c r="L26" s="35"/>
      <c r="M26" s="35" t="s">
        <v>76</v>
      </c>
    </row>
    <row r="27" outlineLevel="1">
      <c r="B27" s="19" t="s">
        <v>77</v>
      </c>
      <c r="C27" s="34"/>
      <c r="D27" s="34">
        <f t="shared" ref="D27:J27" si="6">iferror(D23/D26,0)</f>
        <v>0</v>
      </c>
      <c r="E27" s="34">
        <f t="shared" si="6"/>
        <v>0</v>
      </c>
      <c r="F27" s="34">
        <f t="shared" si="6"/>
        <v>0</v>
      </c>
      <c r="G27" s="34">
        <f t="shared" si="6"/>
        <v>0</v>
      </c>
      <c r="H27" s="34">
        <f t="shared" si="6"/>
        <v>0</v>
      </c>
      <c r="I27" s="34">
        <f t="shared" si="6"/>
        <v>0</v>
      </c>
      <c r="J27" s="34">
        <f t="shared" si="6"/>
        <v>0</v>
      </c>
      <c r="K27" s="34"/>
      <c r="L27" s="35"/>
      <c r="M27" s="35" t="s">
        <v>78</v>
      </c>
    </row>
    <row r="28" outlineLevel="1">
      <c r="B28" s="19" t="s">
        <v>79</v>
      </c>
      <c r="C28" s="34"/>
      <c r="D28" s="38">
        <v>0.0</v>
      </c>
      <c r="E28" s="38">
        <v>0.0</v>
      </c>
      <c r="F28" s="38">
        <v>0.0</v>
      </c>
      <c r="G28" s="38">
        <v>0.0</v>
      </c>
      <c r="H28" s="38">
        <v>0.0</v>
      </c>
      <c r="I28" s="38">
        <v>0.0</v>
      </c>
      <c r="J28" s="38">
        <v>0.0</v>
      </c>
      <c r="L28" s="35"/>
      <c r="M28" s="35" t="s">
        <v>80</v>
      </c>
    </row>
    <row r="29" outlineLevel="1">
      <c r="B29" s="19" t="s">
        <v>71</v>
      </c>
      <c r="C29" s="34"/>
      <c r="D29" s="39">
        <v>0.0</v>
      </c>
      <c r="E29" s="39">
        <v>0.0</v>
      </c>
      <c r="F29" s="39">
        <v>0.0</v>
      </c>
      <c r="G29" s="39">
        <v>0.0</v>
      </c>
      <c r="H29" s="39">
        <v>0.0</v>
      </c>
      <c r="I29" s="39">
        <v>0.0</v>
      </c>
      <c r="J29" s="39">
        <v>0.0</v>
      </c>
      <c r="L29" s="35"/>
      <c r="M29" s="35" t="s">
        <v>72</v>
      </c>
    </row>
    <row r="30" outlineLevel="1">
      <c r="B30" s="19" t="s">
        <v>73</v>
      </c>
      <c r="C30" s="34"/>
      <c r="D30" s="38">
        <v>0.0</v>
      </c>
      <c r="E30" s="38">
        <v>0.0</v>
      </c>
      <c r="F30" s="38">
        <v>0.0</v>
      </c>
      <c r="G30" s="38">
        <v>0.0</v>
      </c>
      <c r="H30" s="38">
        <v>0.0</v>
      </c>
      <c r="I30" s="38">
        <v>0.0</v>
      </c>
      <c r="J30" s="38">
        <v>0.0</v>
      </c>
      <c r="L30" s="35"/>
      <c r="M30" s="35" t="s">
        <v>74</v>
      </c>
    </row>
    <row r="31" outlineLevel="1">
      <c r="B31" s="19" t="s">
        <v>75</v>
      </c>
      <c r="C31" s="34"/>
      <c r="D31" s="40">
        <f t="shared" ref="D31:J31" si="7">if(D28&lt;&gt;0,min(D$45,if(D30=0,D$45,D30/(C$57+D$20+D$32)),D$45*(1-D29)),0)</f>
        <v>0</v>
      </c>
      <c r="E31" s="40">
        <f t="shared" si="7"/>
        <v>0</v>
      </c>
      <c r="F31" s="40">
        <f t="shared" si="7"/>
        <v>0</v>
      </c>
      <c r="G31" s="40">
        <f t="shared" si="7"/>
        <v>0</v>
      </c>
      <c r="H31" s="40">
        <f t="shared" si="7"/>
        <v>0</v>
      </c>
      <c r="I31" s="40">
        <f t="shared" si="7"/>
        <v>0</v>
      </c>
      <c r="J31" s="40">
        <f t="shared" si="7"/>
        <v>0</v>
      </c>
      <c r="K31" s="19"/>
      <c r="L31" s="35"/>
      <c r="M31" s="35" t="s">
        <v>76</v>
      </c>
    </row>
    <row r="32" outlineLevel="1">
      <c r="B32" s="19" t="s">
        <v>77</v>
      </c>
      <c r="C32" s="34"/>
      <c r="D32" s="34">
        <f t="shared" ref="D32:J32" si="8">iferror(D28/D31,0)</f>
        <v>0</v>
      </c>
      <c r="E32" s="34">
        <f t="shared" si="8"/>
        <v>0</v>
      </c>
      <c r="F32" s="34">
        <f t="shared" si="8"/>
        <v>0</v>
      </c>
      <c r="G32" s="34">
        <f t="shared" si="8"/>
        <v>0</v>
      </c>
      <c r="H32" s="34">
        <f t="shared" si="8"/>
        <v>0</v>
      </c>
      <c r="I32" s="34">
        <f t="shared" si="8"/>
        <v>0</v>
      </c>
      <c r="J32" s="34">
        <f t="shared" si="8"/>
        <v>0</v>
      </c>
      <c r="K32" s="19"/>
      <c r="L32" s="35"/>
      <c r="M32" s="35" t="s">
        <v>78</v>
      </c>
    </row>
    <row r="33">
      <c r="B33" s="19"/>
      <c r="C33" s="34"/>
      <c r="D33" s="19"/>
      <c r="E33" s="19"/>
      <c r="F33" s="19"/>
      <c r="G33" s="19"/>
      <c r="H33" s="19"/>
      <c r="I33" s="19"/>
      <c r="J33" s="19"/>
      <c r="K33" s="19"/>
      <c r="L33" s="19"/>
      <c r="M33" s="19"/>
    </row>
    <row r="34">
      <c r="B34" s="36" t="s">
        <v>82</v>
      </c>
      <c r="C34" s="34"/>
      <c r="D34" s="19"/>
      <c r="E34" s="19"/>
      <c r="F34" s="19"/>
      <c r="G34" s="19"/>
      <c r="H34" s="19"/>
      <c r="I34" s="19"/>
      <c r="J34" s="19"/>
      <c r="L34" s="35"/>
      <c r="M34" s="35"/>
    </row>
    <row r="35" outlineLevel="1">
      <c r="B35" s="19" t="s">
        <v>83</v>
      </c>
      <c r="C35" s="41" t="s">
        <v>84</v>
      </c>
      <c r="D35" s="34">
        <f t="shared" ref="D35:J35" si="9">D11+D16</f>
        <v>250000</v>
      </c>
      <c r="E35" s="34">
        <f t="shared" si="9"/>
        <v>0</v>
      </c>
      <c r="F35" s="34">
        <f t="shared" si="9"/>
        <v>0</v>
      </c>
      <c r="G35" s="34">
        <f t="shared" si="9"/>
        <v>0</v>
      </c>
      <c r="H35" s="34">
        <f t="shared" si="9"/>
        <v>0</v>
      </c>
      <c r="I35" s="34">
        <f t="shared" si="9"/>
        <v>0</v>
      </c>
      <c r="J35" s="34">
        <f t="shared" si="9"/>
        <v>0</v>
      </c>
      <c r="L35" s="35"/>
      <c r="M35" s="35"/>
    </row>
    <row r="36" outlineLevel="1">
      <c r="B36" s="19" t="s">
        <v>85</v>
      </c>
      <c r="C36" s="41" t="s">
        <v>86</v>
      </c>
      <c r="D36" s="38">
        <v>0.0</v>
      </c>
      <c r="E36" s="38">
        <f>D47*E38</f>
        <v>187500</v>
      </c>
      <c r="F36" s="38">
        <v>0.0</v>
      </c>
      <c r="G36" s="38">
        <v>0.0</v>
      </c>
      <c r="H36" s="38">
        <v>0.0</v>
      </c>
      <c r="I36" s="38">
        <v>0.0</v>
      </c>
      <c r="J36" s="38">
        <v>0.0</v>
      </c>
      <c r="L36" s="35"/>
      <c r="M36" s="35" t="s">
        <v>87</v>
      </c>
    </row>
    <row r="37" outlineLevel="1">
      <c r="B37" s="19" t="s">
        <v>88</v>
      </c>
      <c r="C37" s="34"/>
      <c r="D37" s="34">
        <f t="shared" ref="D37:J37" si="10">D38-D36</f>
        <v>2000000</v>
      </c>
      <c r="E37" s="34">
        <f t="shared" si="10"/>
        <v>5812500</v>
      </c>
      <c r="F37" s="34">
        <f t="shared" si="10"/>
        <v>18000000</v>
      </c>
      <c r="G37" s="34">
        <f t="shared" si="10"/>
        <v>54000000</v>
      </c>
      <c r="H37" s="34">
        <f t="shared" si="10"/>
        <v>108000000</v>
      </c>
      <c r="I37" s="34">
        <f t="shared" si="10"/>
        <v>189000000</v>
      </c>
      <c r="J37" s="34">
        <f t="shared" si="10"/>
        <v>283500000</v>
      </c>
      <c r="L37" s="35"/>
      <c r="M37" s="35" t="s">
        <v>89</v>
      </c>
    </row>
    <row r="38" outlineLevel="1">
      <c r="B38" s="19" t="s">
        <v>90</v>
      </c>
      <c r="C38" s="34"/>
      <c r="D38" s="38">
        <f t="shared" ref="D38:J38" si="11">0.2*D40/(1-0.2)</f>
        <v>2000000</v>
      </c>
      <c r="E38" s="38">
        <f t="shared" si="11"/>
        <v>6000000</v>
      </c>
      <c r="F38" s="38">
        <f t="shared" si="11"/>
        <v>18000000</v>
      </c>
      <c r="G38" s="38">
        <f t="shared" si="11"/>
        <v>54000000</v>
      </c>
      <c r="H38" s="38">
        <f t="shared" si="11"/>
        <v>108000000</v>
      </c>
      <c r="I38" s="38">
        <f t="shared" si="11"/>
        <v>189000000</v>
      </c>
      <c r="J38" s="38">
        <f t="shared" si="11"/>
        <v>283500000</v>
      </c>
      <c r="L38" s="35"/>
      <c r="M38" s="35"/>
    </row>
    <row r="39" outlineLevel="1">
      <c r="B39" s="19" t="s">
        <v>91</v>
      </c>
      <c r="C39" s="34"/>
      <c r="D39" s="39">
        <v>0.2</v>
      </c>
      <c r="E39" s="39">
        <v>0.1</v>
      </c>
      <c r="F39" s="39">
        <v>0.1</v>
      </c>
      <c r="G39" s="39">
        <v>0.05</v>
      </c>
      <c r="H39" s="39">
        <v>0.05</v>
      </c>
      <c r="I39" s="39">
        <v>0.05</v>
      </c>
      <c r="J39" s="39">
        <v>0.05</v>
      </c>
      <c r="L39" s="35"/>
      <c r="M39" s="35" t="s">
        <v>92</v>
      </c>
    </row>
    <row r="40" outlineLevel="1">
      <c r="B40" s="19" t="s">
        <v>93</v>
      </c>
      <c r="C40" s="34"/>
      <c r="D40" s="38">
        <v>8000000.0</v>
      </c>
      <c r="E40" s="38">
        <f t="shared" ref="E40:G40" si="12">D40*3</f>
        <v>24000000</v>
      </c>
      <c r="F40" s="38">
        <f t="shared" si="12"/>
        <v>72000000</v>
      </c>
      <c r="G40" s="38">
        <f t="shared" si="12"/>
        <v>216000000</v>
      </c>
      <c r="H40" s="38">
        <f>G40*2</f>
        <v>432000000</v>
      </c>
      <c r="I40" s="38">
        <f>H40*1.75</f>
        <v>756000000</v>
      </c>
      <c r="J40" s="38">
        <f>I40*1.5</f>
        <v>1134000000</v>
      </c>
      <c r="L40" s="35"/>
      <c r="M40" s="35" t="s">
        <v>94</v>
      </c>
    </row>
    <row r="41" outlineLevel="1">
      <c r="B41" s="19" t="s">
        <v>95</v>
      </c>
      <c r="C41" s="34"/>
      <c r="D41" s="34">
        <f t="shared" ref="D41:J41" si="13">D40+D38</f>
        <v>10000000</v>
      </c>
      <c r="E41" s="34">
        <f t="shared" si="13"/>
        <v>30000000</v>
      </c>
      <c r="F41" s="34">
        <f t="shared" si="13"/>
        <v>90000000</v>
      </c>
      <c r="G41" s="34">
        <f t="shared" si="13"/>
        <v>270000000</v>
      </c>
      <c r="H41" s="34">
        <f t="shared" si="13"/>
        <v>540000000</v>
      </c>
      <c r="I41" s="34">
        <f t="shared" si="13"/>
        <v>945000000</v>
      </c>
      <c r="J41" s="34">
        <f t="shared" si="13"/>
        <v>1417500000</v>
      </c>
      <c r="L41" s="35"/>
      <c r="M41" s="35" t="s">
        <v>96</v>
      </c>
    </row>
    <row r="42" outlineLevel="1">
      <c r="B42" s="19" t="s">
        <v>97</v>
      </c>
      <c r="C42" s="34"/>
      <c r="D42" s="42">
        <f t="shared" ref="D42:J42" si="14">iferror(D38/D41,0)</f>
        <v>0.2</v>
      </c>
      <c r="E42" s="42">
        <f t="shared" si="14"/>
        <v>0.2</v>
      </c>
      <c r="F42" s="42">
        <f t="shared" si="14"/>
        <v>0.2</v>
      </c>
      <c r="G42" s="42">
        <f t="shared" si="14"/>
        <v>0.2</v>
      </c>
      <c r="H42" s="42">
        <f t="shared" si="14"/>
        <v>0.2</v>
      </c>
      <c r="I42" s="42">
        <f t="shared" si="14"/>
        <v>0.2</v>
      </c>
      <c r="J42" s="42">
        <f t="shared" si="14"/>
        <v>0.2</v>
      </c>
      <c r="L42" s="35"/>
      <c r="M42" s="35" t="s">
        <v>98</v>
      </c>
    </row>
    <row r="43" outlineLevel="1">
      <c r="B43" s="19" t="s">
        <v>99</v>
      </c>
      <c r="C43" s="43"/>
      <c r="D43" s="34">
        <f t="shared" ref="D43:J43" si="15">D53-C53</f>
        <v>549450.5495</v>
      </c>
      <c r="E43" s="34">
        <f t="shared" si="15"/>
        <v>156985.8713</v>
      </c>
      <c r="F43" s="34">
        <f t="shared" si="15"/>
        <v>0</v>
      </c>
      <c r="G43" s="34">
        <f t="shared" si="15"/>
        <v>0</v>
      </c>
      <c r="H43" s="34">
        <f t="shared" si="15"/>
        <v>0</v>
      </c>
      <c r="I43" s="34">
        <f t="shared" si="15"/>
        <v>0</v>
      </c>
      <c r="J43" s="34">
        <f t="shared" si="15"/>
        <v>0</v>
      </c>
      <c r="L43" s="35"/>
      <c r="M43" s="35" t="s">
        <v>100</v>
      </c>
    </row>
    <row r="44" outlineLevel="1">
      <c r="B44" s="19" t="s">
        <v>101</v>
      </c>
      <c r="C44" s="43"/>
      <c r="D44" s="34">
        <f t="shared" ref="D44:J44" si="16">D53+D54-C53-C54</f>
        <v>4065934.066</v>
      </c>
      <c r="E44" s="34">
        <f t="shared" si="16"/>
        <v>5023547.881</v>
      </c>
      <c r="F44" s="34">
        <f t="shared" si="16"/>
        <v>7176496.972</v>
      </c>
      <c r="G44" s="34">
        <f t="shared" si="16"/>
        <v>9568662.63</v>
      </c>
      <c r="H44" s="34">
        <f t="shared" si="16"/>
        <v>12758216.84</v>
      </c>
      <c r="I44" s="34">
        <f t="shared" si="16"/>
        <v>17010955.79</v>
      </c>
      <c r="J44" s="34">
        <f t="shared" si="16"/>
        <v>22681274.38</v>
      </c>
      <c r="L44" s="35"/>
      <c r="M44" s="35" t="s">
        <v>102</v>
      </c>
    </row>
    <row r="45" outlineLevel="1">
      <c r="B45" s="19" t="s">
        <v>103</v>
      </c>
      <c r="C45" s="43"/>
      <c r="D45" s="40">
        <f t="shared" ref="D45:J45" si="17">iferror((D40-D41*D39)/(C57+D20+D32+D27+D15),0)</f>
        <v>0.56875</v>
      </c>
      <c r="E45" s="40">
        <f t="shared" si="17"/>
        <v>1.194375</v>
      </c>
      <c r="F45" s="40">
        <f t="shared" si="17"/>
        <v>2.5081875</v>
      </c>
      <c r="G45" s="40">
        <f t="shared" si="17"/>
        <v>5.643421875</v>
      </c>
      <c r="H45" s="40">
        <f t="shared" si="17"/>
        <v>8.465132813</v>
      </c>
      <c r="I45" s="40">
        <f t="shared" si="17"/>
        <v>11.11048682</v>
      </c>
      <c r="J45" s="40">
        <f t="shared" si="17"/>
        <v>12.49929767</v>
      </c>
      <c r="L45" s="35"/>
      <c r="M45" s="35" t="s">
        <v>104</v>
      </c>
    </row>
    <row r="46" outlineLevel="1">
      <c r="B46" s="19" t="s">
        <v>105</v>
      </c>
      <c r="C46" s="43"/>
      <c r="D46" s="40">
        <f t="shared" ref="D46:J46" si="18">iferror((D38+D28+D23+D11+D16)/D44,0)</f>
        <v>0.5533783784</v>
      </c>
      <c r="E46" s="40">
        <f t="shared" si="18"/>
        <v>1.194375</v>
      </c>
      <c r="F46" s="40">
        <f t="shared" si="18"/>
        <v>2.5081875</v>
      </c>
      <c r="G46" s="40">
        <f t="shared" si="18"/>
        <v>5.643421875</v>
      </c>
      <c r="H46" s="40">
        <f t="shared" si="18"/>
        <v>8.465132813</v>
      </c>
      <c r="I46" s="40">
        <f t="shared" si="18"/>
        <v>11.11048682</v>
      </c>
      <c r="J46" s="40">
        <f t="shared" si="18"/>
        <v>12.49929767</v>
      </c>
      <c r="L46" s="35"/>
      <c r="M46" s="35"/>
    </row>
    <row r="47" outlineLevel="1">
      <c r="B47" s="19" t="s">
        <v>106</v>
      </c>
      <c r="C47" s="43" t="str">
        <f>B47</f>
        <v>Ownership %, Investor</v>
      </c>
      <c r="D47" s="44">
        <f t="shared" ref="D47:J47" si="19">iferror(D53/D57,0)</f>
        <v>0.03125</v>
      </c>
      <c r="E47" s="44">
        <f t="shared" si="19"/>
        <v>0.028125</v>
      </c>
      <c r="F47" s="44">
        <f t="shared" si="19"/>
        <v>0.0196875</v>
      </c>
      <c r="G47" s="44">
        <f t="shared" si="19"/>
        <v>0.014765625</v>
      </c>
      <c r="H47" s="44">
        <f t="shared" si="19"/>
        <v>0.01107421875</v>
      </c>
      <c r="I47" s="44">
        <f t="shared" si="19"/>
        <v>0.008305664063</v>
      </c>
      <c r="J47" s="44">
        <f t="shared" si="19"/>
        <v>0.006229248047</v>
      </c>
      <c r="L47" s="35"/>
      <c r="M47" s="35" t="s">
        <v>107</v>
      </c>
    </row>
    <row r="48" outlineLevel="1">
      <c r="B48" s="19" t="s">
        <v>108</v>
      </c>
      <c r="C48" s="34"/>
      <c r="D48" s="44">
        <f t="shared" ref="D48:J48" si="20">iferror(D54/D57,0)</f>
        <v>0.2</v>
      </c>
      <c r="E48" s="44">
        <f t="shared" si="20"/>
        <v>0.33375</v>
      </c>
      <c r="F48" s="44">
        <f t="shared" si="20"/>
        <v>0.433625</v>
      </c>
      <c r="G48" s="44">
        <f t="shared" si="20"/>
        <v>0.52521875</v>
      </c>
      <c r="H48" s="44">
        <f t="shared" si="20"/>
        <v>0.5939140625</v>
      </c>
      <c r="I48" s="44">
        <f t="shared" si="20"/>
        <v>0.6454355469</v>
      </c>
      <c r="J48" s="44">
        <f t="shared" si="20"/>
        <v>0.6840766602</v>
      </c>
      <c r="L48" s="35"/>
      <c r="M48" s="35" t="s">
        <v>109</v>
      </c>
    </row>
    <row r="49" outlineLevel="1">
      <c r="B49" s="19" t="s">
        <v>110</v>
      </c>
      <c r="C49" s="34"/>
      <c r="D49" s="44">
        <f t="shared" ref="D49:J49" si="21">D48+D47</f>
        <v>0.23125</v>
      </c>
      <c r="E49" s="44">
        <f t="shared" si="21"/>
        <v>0.361875</v>
      </c>
      <c r="F49" s="44">
        <f t="shared" si="21"/>
        <v>0.4533125</v>
      </c>
      <c r="G49" s="44">
        <f t="shared" si="21"/>
        <v>0.539984375</v>
      </c>
      <c r="H49" s="44">
        <f t="shared" si="21"/>
        <v>0.6049882813</v>
      </c>
      <c r="I49" s="44">
        <f t="shared" si="21"/>
        <v>0.6537412109</v>
      </c>
      <c r="J49" s="44">
        <f t="shared" si="21"/>
        <v>0.6903059082</v>
      </c>
      <c r="L49" s="35"/>
      <c r="M49" s="35" t="s">
        <v>111</v>
      </c>
    </row>
    <row r="50">
      <c r="B50" s="19"/>
      <c r="C50" s="34"/>
      <c r="D50" s="34"/>
      <c r="E50" s="34"/>
      <c r="F50" s="34"/>
      <c r="G50" s="34"/>
      <c r="H50" s="34"/>
      <c r="I50" s="34"/>
      <c r="J50" s="34"/>
      <c r="L50" s="35"/>
      <c r="M50" s="35"/>
    </row>
    <row r="51">
      <c r="B51" s="36" t="s">
        <v>112</v>
      </c>
      <c r="C51" s="34"/>
      <c r="D51" s="34"/>
      <c r="E51" s="34"/>
      <c r="F51" s="34"/>
      <c r="G51" s="34"/>
      <c r="H51" s="34"/>
      <c r="I51" s="34"/>
      <c r="J51" s="34"/>
      <c r="L51" s="35"/>
      <c r="M51" s="35"/>
    </row>
    <row r="52" outlineLevel="1">
      <c r="B52" s="19" t="s">
        <v>113</v>
      </c>
      <c r="C52" s="38">
        <v>1.0E7</v>
      </c>
      <c r="D52" s="34">
        <f t="shared" ref="D52:J52" si="22">C52</f>
        <v>10000000</v>
      </c>
      <c r="E52" s="34">
        <f t="shared" si="22"/>
        <v>10000000</v>
      </c>
      <c r="F52" s="34">
        <f t="shared" si="22"/>
        <v>10000000</v>
      </c>
      <c r="G52" s="34">
        <f t="shared" si="22"/>
        <v>10000000</v>
      </c>
      <c r="H52" s="34">
        <f t="shared" si="22"/>
        <v>10000000</v>
      </c>
      <c r="I52" s="34">
        <f t="shared" si="22"/>
        <v>10000000</v>
      </c>
      <c r="J52" s="34">
        <f t="shared" si="22"/>
        <v>10000000</v>
      </c>
      <c r="L52" s="35"/>
      <c r="M52" s="35" t="s">
        <v>114</v>
      </c>
    </row>
    <row r="53" outlineLevel="1">
      <c r="B53" s="19" t="s">
        <v>115</v>
      </c>
      <c r="C53" s="38">
        <v>0.0</v>
      </c>
      <c r="D53" s="34">
        <f t="shared" ref="D53:J53" si="23">iferror(D36/D$45,0)+C53+D15+D20</f>
        <v>549450.5495</v>
      </c>
      <c r="E53" s="34">
        <f t="shared" si="23"/>
        <v>706436.4207</v>
      </c>
      <c r="F53" s="34">
        <f t="shared" si="23"/>
        <v>706436.4207</v>
      </c>
      <c r="G53" s="34">
        <f t="shared" si="23"/>
        <v>706436.4207</v>
      </c>
      <c r="H53" s="34">
        <f t="shared" si="23"/>
        <v>706436.4207</v>
      </c>
      <c r="I53" s="34">
        <f t="shared" si="23"/>
        <v>706436.4207</v>
      </c>
      <c r="J53" s="34">
        <f t="shared" si="23"/>
        <v>706436.4207</v>
      </c>
      <c r="L53" s="35"/>
      <c r="M53" s="35" t="s">
        <v>116</v>
      </c>
    </row>
    <row r="54" outlineLevel="1">
      <c r="B54" s="19" t="s">
        <v>117</v>
      </c>
      <c r="C54" s="38">
        <v>0.0</v>
      </c>
      <c r="D54" s="34">
        <f t="shared" ref="D54:J54" si="24">iferror(D37/D$45,0)+D27+D32+C54</f>
        <v>3516483.516</v>
      </c>
      <c r="E54" s="34">
        <f t="shared" si="24"/>
        <v>8383045.526</v>
      </c>
      <c r="F54" s="34">
        <f t="shared" si="24"/>
        <v>15559542.5</v>
      </c>
      <c r="G54" s="34">
        <f t="shared" si="24"/>
        <v>25128205.13</v>
      </c>
      <c r="H54" s="34">
        <f t="shared" si="24"/>
        <v>37886421.97</v>
      </c>
      <c r="I54" s="34">
        <f t="shared" si="24"/>
        <v>54897377.75</v>
      </c>
      <c r="J54" s="34">
        <f t="shared" si="24"/>
        <v>77578652.14</v>
      </c>
      <c r="L54" s="35"/>
      <c r="M54" s="35" t="s">
        <v>116</v>
      </c>
    </row>
    <row r="55" outlineLevel="1">
      <c r="B55" s="19" t="s">
        <v>118</v>
      </c>
      <c r="C55" s="38">
        <v>0.0</v>
      </c>
      <c r="D55" s="34">
        <f t="shared" ref="D55:J55" si="25">C55+C56</f>
        <v>0</v>
      </c>
      <c r="E55" s="34">
        <f t="shared" si="25"/>
        <v>3516483.516</v>
      </c>
      <c r="F55" s="45">
        <f t="shared" si="25"/>
        <v>6028257.457</v>
      </c>
      <c r="G55" s="45">
        <f t="shared" si="25"/>
        <v>9616505.943</v>
      </c>
      <c r="H55" s="45">
        <f t="shared" si="25"/>
        <v>12008671.6</v>
      </c>
      <c r="I55" s="45">
        <f t="shared" si="25"/>
        <v>15198225.81</v>
      </c>
      <c r="J55" s="45">
        <f t="shared" si="25"/>
        <v>19450964.76</v>
      </c>
      <c r="L55" s="35"/>
      <c r="M55" s="46" t="s">
        <v>119</v>
      </c>
    </row>
    <row r="56" outlineLevel="1">
      <c r="B56" s="19" t="s">
        <v>120</v>
      </c>
      <c r="C56" s="38">
        <v>0.0</v>
      </c>
      <c r="D56" s="47">
        <f t="shared" ref="D56:J56" si="26">max(0,sum(D52:D55)*D39/(1-D39))</f>
        <v>3516483.516</v>
      </c>
      <c r="E56" s="47">
        <f t="shared" si="26"/>
        <v>2511773.94</v>
      </c>
      <c r="F56" s="47">
        <f t="shared" si="26"/>
        <v>3588248.486</v>
      </c>
      <c r="G56" s="47">
        <f t="shared" si="26"/>
        <v>2392165.657</v>
      </c>
      <c r="H56" s="47">
        <f t="shared" si="26"/>
        <v>3189554.21</v>
      </c>
      <c r="I56" s="47">
        <f t="shared" si="26"/>
        <v>4252738.947</v>
      </c>
      <c r="J56" s="47">
        <f t="shared" si="26"/>
        <v>5670318.595</v>
      </c>
      <c r="L56" s="35"/>
      <c r="M56" s="46" t="s">
        <v>121</v>
      </c>
    </row>
    <row r="57" outlineLevel="1">
      <c r="B57" s="19" t="s">
        <v>122</v>
      </c>
      <c r="C57" s="48">
        <f t="shared" ref="C57:J57" si="27">sum(C52:C56)</f>
        <v>10000000</v>
      </c>
      <c r="D57" s="48">
        <f t="shared" si="27"/>
        <v>17582417.58</v>
      </c>
      <c r="E57" s="48">
        <f t="shared" si="27"/>
        <v>25117739.4</v>
      </c>
      <c r="F57" s="48">
        <f t="shared" si="27"/>
        <v>35882484.86</v>
      </c>
      <c r="G57" s="48">
        <f t="shared" si="27"/>
        <v>47843313.15</v>
      </c>
      <c r="H57" s="48">
        <f t="shared" si="27"/>
        <v>63791084.2</v>
      </c>
      <c r="I57" s="48">
        <f t="shared" si="27"/>
        <v>85054778.93</v>
      </c>
      <c r="J57" s="48">
        <f t="shared" si="27"/>
        <v>113406371.9</v>
      </c>
      <c r="L57" s="35"/>
      <c r="M57" s="35" t="s">
        <v>123</v>
      </c>
    </row>
    <row r="58">
      <c r="B58" s="36"/>
      <c r="C58" s="34"/>
      <c r="D58" s="34"/>
      <c r="E58" s="34"/>
      <c r="F58" s="34"/>
      <c r="G58" s="34"/>
      <c r="H58" s="34"/>
      <c r="I58" s="34"/>
      <c r="J58" s="34"/>
      <c r="L58" s="35"/>
      <c r="M58" s="35"/>
    </row>
    <row r="59">
      <c r="B59" s="33" t="s">
        <v>124</v>
      </c>
    </row>
    <row r="60">
      <c r="B60" s="19"/>
      <c r="C60" s="34"/>
      <c r="D60" s="34"/>
      <c r="E60" s="34"/>
      <c r="F60" s="34"/>
      <c r="G60" s="34"/>
      <c r="H60" s="34"/>
      <c r="I60" s="34"/>
      <c r="J60" s="34"/>
      <c r="L60" s="35"/>
      <c r="M60" s="35"/>
    </row>
    <row r="61">
      <c r="B61" s="49" t="s">
        <v>125</v>
      </c>
      <c r="C61" s="34"/>
      <c r="D61" s="34"/>
      <c r="E61" s="34"/>
      <c r="F61" s="34"/>
      <c r="G61" s="34"/>
      <c r="H61" s="34"/>
      <c r="I61" s="34"/>
      <c r="J61" s="34"/>
      <c r="L61" s="35"/>
      <c r="M61" s="35"/>
    </row>
    <row r="62">
      <c r="B62" s="19" t="s">
        <v>126</v>
      </c>
      <c r="C62" s="42">
        <f t="shared" ref="C62:J62" si="28">1-C63-C64</f>
        <v>1</v>
      </c>
      <c r="D62" s="42">
        <f t="shared" si="28"/>
        <v>0.5</v>
      </c>
      <c r="E62" s="42">
        <f t="shared" si="28"/>
        <v>0.55</v>
      </c>
      <c r="F62" s="42">
        <f t="shared" si="28"/>
        <v>0.55</v>
      </c>
      <c r="G62" s="42">
        <f t="shared" si="28"/>
        <v>0.5</v>
      </c>
      <c r="H62" s="42">
        <f t="shared" si="28"/>
        <v>0.5</v>
      </c>
      <c r="I62" s="42">
        <f t="shared" si="28"/>
        <v>0.5</v>
      </c>
      <c r="J62" s="42">
        <f t="shared" si="28"/>
        <v>0</v>
      </c>
      <c r="L62" s="35"/>
      <c r="M62" s="35" t="s">
        <v>127</v>
      </c>
    </row>
    <row r="63">
      <c r="B63" s="19" t="s">
        <v>128</v>
      </c>
      <c r="C63" s="39">
        <v>0.0</v>
      </c>
      <c r="D63" s="39">
        <v>0.45</v>
      </c>
      <c r="E63" s="39">
        <v>0.35</v>
      </c>
      <c r="F63" s="39">
        <v>0.2</v>
      </c>
      <c r="G63" s="39">
        <v>0.1</v>
      </c>
      <c r="H63" s="39">
        <v>0.05</v>
      </c>
      <c r="I63" s="39">
        <v>0.0</v>
      </c>
      <c r="J63" s="39">
        <v>0.0</v>
      </c>
      <c r="L63" s="35"/>
      <c r="M63" s="35" t="s">
        <v>129</v>
      </c>
    </row>
    <row r="64">
      <c r="B64" s="19" t="s">
        <v>130</v>
      </c>
      <c r="C64" s="39">
        <v>0.0</v>
      </c>
      <c r="D64" s="39">
        <v>0.05</v>
      </c>
      <c r="E64" s="39">
        <v>0.1</v>
      </c>
      <c r="F64" s="39">
        <v>0.25</v>
      </c>
      <c r="G64" s="39">
        <v>0.4</v>
      </c>
      <c r="H64" s="39">
        <v>0.45</v>
      </c>
      <c r="I64" s="39">
        <v>0.5</v>
      </c>
      <c r="J64" s="39">
        <v>1.0</v>
      </c>
      <c r="L64" s="35"/>
      <c r="M64" s="35" t="s">
        <v>131</v>
      </c>
    </row>
    <row r="65">
      <c r="B65" s="19"/>
      <c r="C65" s="34"/>
      <c r="D65" s="34"/>
      <c r="E65" s="34"/>
      <c r="F65" s="34"/>
      <c r="G65" s="34"/>
      <c r="H65" s="34"/>
      <c r="I65" s="34"/>
      <c r="J65" s="34"/>
      <c r="L65" s="35"/>
      <c r="M65" s="35"/>
    </row>
    <row r="66">
      <c r="B66" s="19" t="s">
        <v>132</v>
      </c>
      <c r="C66" s="42">
        <f t="shared" ref="C66:C67" si="30">C62</f>
        <v>1</v>
      </c>
      <c r="D66" s="42">
        <f t="shared" ref="D66:J66" si="29">C66*D62</f>
        <v>0.5</v>
      </c>
      <c r="E66" s="42">
        <f t="shared" si="29"/>
        <v>0.275</v>
      </c>
      <c r="F66" s="42">
        <f t="shared" si="29"/>
        <v>0.15125</v>
      </c>
      <c r="G66" s="42">
        <f t="shared" si="29"/>
        <v>0.075625</v>
      </c>
      <c r="H66" s="42">
        <f t="shared" si="29"/>
        <v>0.0378125</v>
      </c>
      <c r="I66" s="42">
        <f t="shared" si="29"/>
        <v>0.01890625</v>
      </c>
      <c r="J66" s="42">
        <f t="shared" si="29"/>
        <v>0</v>
      </c>
      <c r="K66" s="42"/>
      <c r="L66" s="35"/>
      <c r="M66" s="35" t="s">
        <v>133</v>
      </c>
    </row>
    <row r="67">
      <c r="B67" s="19" t="s">
        <v>134</v>
      </c>
      <c r="C67" s="42">
        <f t="shared" si="30"/>
        <v>0</v>
      </c>
      <c r="D67" s="42">
        <f t="shared" ref="D67:J67" si="31">C66*D63</f>
        <v>0.45</v>
      </c>
      <c r="E67" s="42">
        <f t="shared" si="31"/>
        <v>0.175</v>
      </c>
      <c r="F67" s="42">
        <f t="shared" si="31"/>
        <v>0.055</v>
      </c>
      <c r="G67" s="42">
        <f t="shared" si="31"/>
        <v>0.015125</v>
      </c>
      <c r="H67" s="42">
        <f t="shared" si="31"/>
        <v>0.00378125</v>
      </c>
      <c r="I67" s="42">
        <f t="shared" si="31"/>
        <v>0</v>
      </c>
      <c r="J67" s="42">
        <f t="shared" si="31"/>
        <v>0</v>
      </c>
      <c r="K67" s="42">
        <f>SUM(C67:J67)</f>
        <v>0.69890625</v>
      </c>
      <c r="L67" s="35"/>
      <c r="M67" s="35" t="s">
        <v>135</v>
      </c>
    </row>
    <row r="68">
      <c r="B68" s="19" t="s">
        <v>136</v>
      </c>
      <c r="C68" s="42">
        <v>0.0</v>
      </c>
      <c r="D68" s="42">
        <f t="shared" ref="D68:J68" si="32">C66*D64</f>
        <v>0.05</v>
      </c>
      <c r="E68" s="42">
        <f t="shared" si="32"/>
        <v>0.05</v>
      </c>
      <c r="F68" s="42">
        <f t="shared" si="32"/>
        <v>0.06875</v>
      </c>
      <c r="G68" s="42">
        <f t="shared" si="32"/>
        <v>0.0605</v>
      </c>
      <c r="H68" s="42">
        <f t="shared" si="32"/>
        <v>0.03403125</v>
      </c>
      <c r="I68" s="42">
        <f t="shared" si="32"/>
        <v>0.01890625</v>
      </c>
      <c r="J68" s="42">
        <f t="shared" si="32"/>
        <v>0.01890625</v>
      </c>
      <c r="K68" s="42">
        <f>SUM(D68:J68)</f>
        <v>0.30109375</v>
      </c>
      <c r="L68" s="35"/>
      <c r="M68" s="35" t="s">
        <v>137</v>
      </c>
    </row>
    <row r="69">
      <c r="C69" s="34"/>
      <c r="D69" s="34"/>
      <c r="E69" s="34"/>
      <c r="F69" s="34"/>
      <c r="G69" s="34"/>
      <c r="H69" s="34"/>
      <c r="I69" s="34"/>
      <c r="J69" s="34"/>
      <c r="L69" s="35"/>
      <c r="M69" s="35"/>
    </row>
    <row r="70">
      <c r="B70" s="33" t="s">
        <v>138</v>
      </c>
      <c r="C70" s="34"/>
      <c r="D70" s="34"/>
      <c r="E70" s="34"/>
      <c r="F70" s="34"/>
      <c r="G70" s="34"/>
      <c r="H70" s="34"/>
      <c r="I70" s="34"/>
      <c r="J70" s="34"/>
      <c r="L70" s="35"/>
      <c r="M70" s="35"/>
    </row>
    <row r="71">
      <c r="B71" s="19"/>
      <c r="C71" s="34"/>
      <c r="D71" s="34"/>
      <c r="E71" s="34"/>
      <c r="F71" s="34"/>
      <c r="G71" s="34"/>
      <c r="H71" s="34"/>
      <c r="I71" s="34"/>
      <c r="J71" s="34"/>
      <c r="L71" s="35"/>
      <c r="M71" s="35"/>
    </row>
    <row r="72">
      <c r="B72" s="19" t="s">
        <v>139</v>
      </c>
      <c r="C72" s="50">
        <v>0.0</v>
      </c>
      <c r="D72" s="51">
        <v>1.5</v>
      </c>
      <c r="E72" s="51">
        <v>1.5</v>
      </c>
      <c r="F72" s="51">
        <v>1.5</v>
      </c>
      <c r="G72" s="51">
        <v>0.85</v>
      </c>
      <c r="H72" s="51">
        <v>0.75</v>
      </c>
      <c r="I72" s="51">
        <v>1.15</v>
      </c>
      <c r="J72" s="51">
        <v>1.25</v>
      </c>
      <c r="L72" s="35"/>
      <c r="M72" s="35" t="s">
        <v>140</v>
      </c>
    </row>
    <row r="73">
      <c r="B73" s="19" t="s">
        <v>141</v>
      </c>
      <c r="C73" s="38">
        <f t="shared" ref="C73:J73" si="33">C72*C41</f>
        <v>0</v>
      </c>
      <c r="D73" s="38">
        <f t="shared" si="33"/>
        <v>15000000</v>
      </c>
      <c r="E73" s="38">
        <f t="shared" si="33"/>
        <v>45000000</v>
      </c>
      <c r="F73" s="38">
        <f t="shared" si="33"/>
        <v>135000000</v>
      </c>
      <c r="G73" s="38">
        <f t="shared" si="33"/>
        <v>229500000</v>
      </c>
      <c r="H73" s="38">
        <f t="shared" si="33"/>
        <v>405000000</v>
      </c>
      <c r="I73" s="38">
        <f t="shared" si="33"/>
        <v>1086750000</v>
      </c>
      <c r="J73" s="38">
        <f t="shared" si="33"/>
        <v>1771875000</v>
      </c>
      <c r="L73" s="35"/>
      <c r="M73" s="35" t="s">
        <v>142</v>
      </c>
    </row>
    <row r="74">
      <c r="B74" s="19" t="s">
        <v>143</v>
      </c>
      <c r="C74" s="52"/>
      <c r="D74" s="53">
        <f t="shared" ref="D74:J74" si="34">sum($D38:D38)</f>
        <v>2000000</v>
      </c>
      <c r="E74" s="53">
        <f t="shared" si="34"/>
        <v>8000000</v>
      </c>
      <c r="F74" s="53">
        <f t="shared" si="34"/>
        <v>26000000</v>
      </c>
      <c r="G74" s="53">
        <f t="shared" si="34"/>
        <v>80000000</v>
      </c>
      <c r="H74" s="53">
        <f t="shared" si="34"/>
        <v>188000000</v>
      </c>
      <c r="I74" s="53">
        <f t="shared" si="34"/>
        <v>377000000</v>
      </c>
      <c r="J74" s="53">
        <f t="shared" si="34"/>
        <v>660500000</v>
      </c>
      <c r="L74" s="35"/>
      <c r="M74" s="35" t="s">
        <v>144</v>
      </c>
    </row>
    <row r="75">
      <c r="B75" s="19"/>
      <c r="C75" s="52"/>
      <c r="D75" s="52"/>
      <c r="E75" s="52"/>
      <c r="F75" s="52"/>
      <c r="G75" s="52"/>
      <c r="H75" s="52"/>
      <c r="I75" s="52"/>
      <c r="J75" s="52"/>
      <c r="L75" s="35"/>
    </row>
    <row r="76" outlineLevel="1">
      <c r="B76" s="19" t="s">
        <v>145</v>
      </c>
      <c r="C76" s="52"/>
      <c r="D76" s="52"/>
      <c r="E76" s="52"/>
      <c r="F76" s="52"/>
      <c r="G76" s="52"/>
      <c r="H76" s="52"/>
      <c r="I76" s="52"/>
      <c r="J76" s="52"/>
      <c r="L76" s="35"/>
      <c r="M76" s="54" t="s">
        <v>146</v>
      </c>
    </row>
    <row r="77" outlineLevel="1">
      <c r="B77" s="55" t="str">
        <f>D$5</f>
        <v>Seed</v>
      </c>
      <c r="C77" s="52"/>
      <c r="D77" s="34">
        <f t="shared" ref="D77:J77" si="35">if($D$38&gt;(D$73-sum(D102:D$109))*$D$44/(D$57-sum(D90:D$97)),0,$D$44)</f>
        <v>4065934.066</v>
      </c>
      <c r="E77" s="34">
        <f t="shared" si="35"/>
        <v>4065934.066</v>
      </c>
      <c r="F77" s="34">
        <f t="shared" si="35"/>
        <v>4065934.066</v>
      </c>
      <c r="G77" s="34">
        <f t="shared" si="35"/>
        <v>4065934.066</v>
      </c>
      <c r="H77" s="34">
        <f t="shared" si="35"/>
        <v>4065934.066</v>
      </c>
      <c r="I77" s="34">
        <f t="shared" si="35"/>
        <v>4065934.066</v>
      </c>
      <c r="J77" s="34">
        <f t="shared" si="35"/>
        <v>4065934.066</v>
      </c>
      <c r="L77" s="35"/>
      <c r="M77" s="56"/>
    </row>
    <row r="78" outlineLevel="1">
      <c r="B78" s="55" t="str">
        <f>E$5</f>
        <v>Series A</v>
      </c>
      <c r="C78" s="52"/>
      <c r="D78" s="34">
        <v>0.0</v>
      </c>
      <c r="E78" s="34">
        <f t="shared" ref="E78:J78" si="36">if($E$38&gt;(E$73-sum(E103:E$109))*$E$44/(E$57-sum(E91:E$97)),0,$E$44)</f>
        <v>5023547.881</v>
      </c>
      <c r="F78" s="34">
        <f t="shared" si="36"/>
        <v>5023547.881</v>
      </c>
      <c r="G78" s="34">
        <f t="shared" si="36"/>
        <v>5023547.881</v>
      </c>
      <c r="H78" s="34">
        <f t="shared" si="36"/>
        <v>5023547.881</v>
      </c>
      <c r="I78" s="34">
        <f t="shared" si="36"/>
        <v>5023547.881</v>
      </c>
      <c r="J78" s="34">
        <f t="shared" si="36"/>
        <v>5023547.881</v>
      </c>
      <c r="L78" s="35"/>
      <c r="M78" s="56"/>
    </row>
    <row r="79" outlineLevel="1">
      <c r="B79" s="55" t="str">
        <f>F$5</f>
        <v>Series B</v>
      </c>
      <c r="C79" s="52"/>
      <c r="D79" s="34">
        <v>0.0</v>
      </c>
      <c r="E79" s="34">
        <v>0.0</v>
      </c>
      <c r="F79" s="34">
        <f t="shared" ref="F79:J79" si="37">if($F$38&gt;(F$73-sum(F104:F$109))*$F$44/(F$57-sum(F92:F$97)),0,$F$44)</f>
        <v>7176496.972</v>
      </c>
      <c r="G79" s="34">
        <f t="shared" si="37"/>
        <v>7176496.972</v>
      </c>
      <c r="H79" s="34">
        <f t="shared" si="37"/>
        <v>7176496.972</v>
      </c>
      <c r="I79" s="34">
        <f t="shared" si="37"/>
        <v>7176496.972</v>
      </c>
      <c r="J79" s="34">
        <f t="shared" si="37"/>
        <v>7176496.972</v>
      </c>
      <c r="L79" s="35"/>
      <c r="M79" s="56"/>
    </row>
    <row r="80" outlineLevel="1">
      <c r="B80" s="55" t="str">
        <f>G$5</f>
        <v>Series C</v>
      </c>
      <c r="C80" s="52"/>
      <c r="D80" s="57">
        <v>0.0</v>
      </c>
      <c r="E80" s="57">
        <v>0.0</v>
      </c>
      <c r="F80" s="57">
        <v>0.0</v>
      </c>
      <c r="G80" s="34">
        <f t="shared" ref="G80:J80" si="38">if($G$38&gt;(G$73-sum(G105:G$109))*$G$44/(G$57-sum(G93:G$97)),0,$G$44)</f>
        <v>0</v>
      </c>
      <c r="H80" s="34">
        <f t="shared" si="38"/>
        <v>9568662.63</v>
      </c>
      <c r="I80" s="34">
        <f t="shared" si="38"/>
        <v>9568662.63</v>
      </c>
      <c r="J80" s="34">
        <f t="shared" si="38"/>
        <v>9568662.63</v>
      </c>
      <c r="L80" s="35"/>
      <c r="M80" s="56"/>
    </row>
    <row r="81" outlineLevel="1">
      <c r="B81" s="55" t="str">
        <f>H$5</f>
        <v>Series D</v>
      </c>
      <c r="C81" s="52"/>
      <c r="D81" s="57">
        <v>0.0</v>
      </c>
      <c r="E81" s="57">
        <v>0.0</v>
      </c>
      <c r="F81" s="57">
        <v>0.0</v>
      </c>
      <c r="G81" s="57">
        <v>0.0</v>
      </c>
      <c r="H81" s="34">
        <f t="shared" ref="H81:J81" si="39">if($H$38&gt;(H$73-sum(H106:H$109))*$H$44/(H$57-sum(H94:H$97)),0,$H$44)</f>
        <v>0</v>
      </c>
      <c r="I81" s="34">
        <f t="shared" si="39"/>
        <v>12758216.84</v>
      </c>
      <c r="J81" s="34">
        <f t="shared" si="39"/>
        <v>12758216.84</v>
      </c>
      <c r="L81" s="35"/>
      <c r="M81" s="56"/>
    </row>
    <row r="82" outlineLevel="1">
      <c r="B82" s="55" t="str">
        <f>I$5</f>
        <v>Series E</v>
      </c>
      <c r="C82" s="52"/>
      <c r="D82" s="57">
        <v>0.0</v>
      </c>
      <c r="E82" s="57">
        <v>0.0</v>
      </c>
      <c r="F82" s="57">
        <v>0.0</v>
      </c>
      <c r="G82" s="57">
        <v>0.0</v>
      </c>
      <c r="H82" s="57">
        <v>0.0</v>
      </c>
      <c r="I82" s="34">
        <f t="shared" ref="I82:J82" si="40">if($I$38&gt;(I$73-sum(I107:I$109))*$I$44/(I$57-sum(I95:I$97)),0,$I$44)</f>
        <v>17010955.79</v>
      </c>
      <c r="J82" s="34">
        <f t="shared" si="40"/>
        <v>17010955.79</v>
      </c>
      <c r="L82" s="35"/>
      <c r="M82" s="56"/>
    </row>
    <row r="83" outlineLevel="1">
      <c r="B83" s="55" t="str">
        <f>J$5</f>
        <v>Series F+</v>
      </c>
      <c r="C83" s="52"/>
      <c r="D83" s="57">
        <v>0.0</v>
      </c>
      <c r="E83" s="57">
        <v>0.0</v>
      </c>
      <c r="F83" s="57">
        <v>0.0</v>
      </c>
      <c r="G83" s="57">
        <v>0.0</v>
      </c>
      <c r="H83" s="57">
        <v>0.0</v>
      </c>
      <c r="I83" s="57">
        <v>0.0</v>
      </c>
      <c r="J83" s="34">
        <f>if($J$38&gt;(J$73-sum(J108:J$109))*$J$44/(J$57-sum(J96:J$97)),0,$J$44)</f>
        <v>22681274.38</v>
      </c>
      <c r="L83" s="35"/>
      <c r="M83" s="56"/>
    </row>
    <row r="84" outlineLevel="1">
      <c r="B84" s="19" t="s">
        <v>113</v>
      </c>
      <c r="C84" s="52"/>
      <c r="D84" s="34">
        <f t="shared" ref="D84:J84" si="41">D52</f>
        <v>10000000</v>
      </c>
      <c r="E84" s="34">
        <f t="shared" si="41"/>
        <v>10000000</v>
      </c>
      <c r="F84" s="34">
        <f t="shared" si="41"/>
        <v>10000000</v>
      </c>
      <c r="G84" s="34">
        <f t="shared" si="41"/>
        <v>10000000</v>
      </c>
      <c r="H84" s="34">
        <f t="shared" si="41"/>
        <v>10000000</v>
      </c>
      <c r="I84" s="34">
        <f t="shared" si="41"/>
        <v>10000000</v>
      </c>
      <c r="J84" s="34">
        <f t="shared" si="41"/>
        <v>10000000</v>
      </c>
      <c r="L84" s="35"/>
      <c r="M84" s="56"/>
    </row>
    <row r="85" outlineLevel="1">
      <c r="B85" s="19" t="s">
        <v>147</v>
      </c>
      <c r="C85" s="52"/>
      <c r="D85" s="34">
        <f t="shared" ref="D85:J85" si="42">D55+D56</f>
        <v>3516483.516</v>
      </c>
      <c r="E85" s="34">
        <f t="shared" si="42"/>
        <v>6028257.457</v>
      </c>
      <c r="F85" s="34">
        <f t="shared" si="42"/>
        <v>9616505.943</v>
      </c>
      <c r="G85" s="34">
        <f t="shared" si="42"/>
        <v>12008671.6</v>
      </c>
      <c r="H85" s="34">
        <f t="shared" si="42"/>
        <v>15198225.81</v>
      </c>
      <c r="I85" s="34">
        <f t="shared" si="42"/>
        <v>19450964.76</v>
      </c>
      <c r="J85" s="34">
        <f t="shared" si="42"/>
        <v>25121283.35</v>
      </c>
      <c r="L85" s="35"/>
      <c r="M85" s="56"/>
    </row>
    <row r="86" outlineLevel="1">
      <c r="B86" s="19" t="s">
        <v>148</v>
      </c>
      <c r="C86" s="52"/>
      <c r="D86" s="58">
        <f t="shared" ref="D86:J86" si="43">SUM(D77:D85)</f>
        <v>17582417.58</v>
      </c>
      <c r="E86" s="58">
        <f t="shared" si="43"/>
        <v>25117739.4</v>
      </c>
      <c r="F86" s="58">
        <f t="shared" si="43"/>
        <v>35882484.86</v>
      </c>
      <c r="G86" s="58">
        <f t="shared" si="43"/>
        <v>38274650.52</v>
      </c>
      <c r="H86" s="58">
        <f t="shared" si="43"/>
        <v>51032867.36</v>
      </c>
      <c r="I86" s="58">
        <f t="shared" si="43"/>
        <v>85054778.93</v>
      </c>
      <c r="J86" s="58">
        <f t="shared" si="43"/>
        <v>113406371.9</v>
      </c>
      <c r="L86" s="35"/>
      <c r="M86" s="56"/>
    </row>
    <row r="87" outlineLevel="1">
      <c r="B87" s="19"/>
      <c r="C87" s="52"/>
      <c r="D87" s="52"/>
      <c r="E87" s="52"/>
      <c r="F87" s="52"/>
      <c r="G87" s="52"/>
      <c r="H87" s="52"/>
      <c r="I87" s="52"/>
      <c r="J87" s="52"/>
      <c r="L87" s="35"/>
      <c r="M87" s="56"/>
    </row>
    <row r="88" outlineLevel="1">
      <c r="B88" s="19" t="s">
        <v>149</v>
      </c>
      <c r="C88" s="52"/>
      <c r="D88" s="52"/>
      <c r="E88" s="52"/>
      <c r="F88" s="52"/>
      <c r="G88" s="52"/>
      <c r="H88" s="34"/>
      <c r="I88" s="52"/>
      <c r="J88" s="52"/>
      <c r="L88" s="35"/>
      <c r="M88" s="19"/>
    </row>
    <row r="89" outlineLevel="1">
      <c r="B89" s="55" t="str">
        <f>D$5</f>
        <v>Seed</v>
      </c>
      <c r="C89" s="52"/>
      <c r="D89" s="34">
        <f t="shared" ref="D89:J89" si="44">if(D101&lt;&gt;0,$D$44,0)</f>
        <v>0</v>
      </c>
      <c r="E89" s="34">
        <f t="shared" si="44"/>
        <v>0</v>
      </c>
      <c r="F89" s="34">
        <f t="shared" si="44"/>
        <v>0</v>
      </c>
      <c r="G89" s="34">
        <f t="shared" si="44"/>
        <v>0</v>
      </c>
      <c r="H89" s="34">
        <f t="shared" si="44"/>
        <v>0</v>
      </c>
      <c r="I89" s="34">
        <f t="shared" si="44"/>
        <v>0</v>
      </c>
      <c r="J89" s="34">
        <f t="shared" si="44"/>
        <v>0</v>
      </c>
      <c r="L89" s="35"/>
      <c r="M89" s="19"/>
    </row>
    <row r="90" outlineLevel="1">
      <c r="B90" s="55" t="str">
        <f>E$5</f>
        <v>Series A</v>
      </c>
      <c r="C90" s="52"/>
      <c r="D90" s="34">
        <f t="shared" ref="D90:J90" si="45">if(D102&lt;&gt;0,$E$44,0)</f>
        <v>0</v>
      </c>
      <c r="E90" s="34">
        <f t="shared" si="45"/>
        <v>0</v>
      </c>
      <c r="F90" s="34">
        <f t="shared" si="45"/>
        <v>0</v>
      </c>
      <c r="G90" s="34">
        <f t="shared" si="45"/>
        <v>0</v>
      </c>
      <c r="H90" s="34">
        <f t="shared" si="45"/>
        <v>0</v>
      </c>
      <c r="I90" s="34">
        <f t="shared" si="45"/>
        <v>0</v>
      </c>
      <c r="J90" s="34">
        <f t="shared" si="45"/>
        <v>0</v>
      </c>
      <c r="L90" s="35"/>
      <c r="M90" s="19"/>
    </row>
    <row r="91" outlineLevel="1">
      <c r="B91" s="55" t="str">
        <f>F$5</f>
        <v>Series B</v>
      </c>
      <c r="C91" s="52"/>
      <c r="D91" s="34">
        <f t="shared" ref="D91:J91" si="46">if(D103&lt;&gt;0,$F$44,0)</f>
        <v>0</v>
      </c>
      <c r="E91" s="34">
        <f t="shared" si="46"/>
        <v>0</v>
      </c>
      <c r="F91" s="34">
        <f t="shared" si="46"/>
        <v>0</v>
      </c>
      <c r="G91" s="34">
        <f t="shared" si="46"/>
        <v>0</v>
      </c>
      <c r="H91" s="34">
        <f t="shared" si="46"/>
        <v>0</v>
      </c>
      <c r="I91" s="34">
        <f t="shared" si="46"/>
        <v>0</v>
      </c>
      <c r="J91" s="34">
        <f t="shared" si="46"/>
        <v>0</v>
      </c>
      <c r="L91" s="35"/>
      <c r="M91" s="19"/>
    </row>
    <row r="92" outlineLevel="1">
      <c r="B92" s="55" t="str">
        <f>G$5</f>
        <v>Series C</v>
      </c>
      <c r="C92" s="52"/>
      <c r="D92" s="34">
        <f t="shared" ref="D92:J92" si="47">if(D104&lt;&gt;0,$G$44,0)</f>
        <v>0</v>
      </c>
      <c r="E92" s="34">
        <f t="shared" si="47"/>
        <v>0</v>
      </c>
      <c r="F92" s="34">
        <f t="shared" si="47"/>
        <v>0</v>
      </c>
      <c r="G92" s="34">
        <f t="shared" si="47"/>
        <v>9568662.63</v>
      </c>
      <c r="H92" s="34">
        <f t="shared" si="47"/>
        <v>0</v>
      </c>
      <c r="I92" s="34">
        <f t="shared" si="47"/>
        <v>0</v>
      </c>
      <c r="J92" s="34">
        <f t="shared" si="47"/>
        <v>0</v>
      </c>
      <c r="L92" s="35"/>
      <c r="M92" s="19"/>
    </row>
    <row r="93" outlineLevel="1">
      <c r="B93" s="55" t="str">
        <f>H$5</f>
        <v>Series D</v>
      </c>
      <c r="C93" s="52"/>
      <c r="D93" s="34">
        <f t="shared" ref="D93:J93" si="48">if(D105&lt;&gt;0,$H$44,0)</f>
        <v>0</v>
      </c>
      <c r="E93" s="34">
        <f t="shared" si="48"/>
        <v>0</v>
      </c>
      <c r="F93" s="34">
        <f t="shared" si="48"/>
        <v>0</v>
      </c>
      <c r="G93" s="34">
        <f t="shared" si="48"/>
        <v>0</v>
      </c>
      <c r="H93" s="34">
        <f t="shared" si="48"/>
        <v>12758216.84</v>
      </c>
      <c r="I93" s="34">
        <f t="shared" si="48"/>
        <v>0</v>
      </c>
      <c r="J93" s="34">
        <f t="shared" si="48"/>
        <v>0</v>
      </c>
      <c r="L93" s="35"/>
      <c r="M93" s="19"/>
    </row>
    <row r="94" outlineLevel="1">
      <c r="B94" s="55" t="str">
        <f>I$5</f>
        <v>Series E</v>
      </c>
      <c r="C94" s="52"/>
      <c r="D94" s="34">
        <f t="shared" ref="D94:J94" si="49">if(D106&lt;&gt;0,$I$44,0)</f>
        <v>0</v>
      </c>
      <c r="E94" s="34">
        <f t="shared" si="49"/>
        <v>0</v>
      </c>
      <c r="F94" s="34">
        <f t="shared" si="49"/>
        <v>0</v>
      </c>
      <c r="G94" s="34">
        <f t="shared" si="49"/>
        <v>0</v>
      </c>
      <c r="H94" s="34">
        <f t="shared" si="49"/>
        <v>0</v>
      </c>
      <c r="I94" s="34">
        <f t="shared" si="49"/>
        <v>0</v>
      </c>
      <c r="J94" s="34">
        <f t="shared" si="49"/>
        <v>0</v>
      </c>
      <c r="L94" s="35"/>
      <c r="M94" s="19"/>
    </row>
    <row r="95" outlineLevel="1">
      <c r="B95" s="55" t="str">
        <f>J$5</f>
        <v>Series F+</v>
      </c>
      <c r="C95" s="52"/>
      <c r="D95" s="34">
        <f t="shared" ref="D95:J95" si="50">if(D107&lt;&gt;0,$J$44,0)</f>
        <v>0</v>
      </c>
      <c r="E95" s="34">
        <f t="shared" si="50"/>
        <v>0</v>
      </c>
      <c r="F95" s="34">
        <f t="shared" si="50"/>
        <v>0</v>
      </c>
      <c r="G95" s="34">
        <f t="shared" si="50"/>
        <v>0</v>
      </c>
      <c r="H95" s="34">
        <f t="shared" si="50"/>
        <v>0</v>
      </c>
      <c r="I95" s="34">
        <f t="shared" si="50"/>
        <v>0</v>
      </c>
      <c r="J95" s="34">
        <f t="shared" si="50"/>
        <v>0</v>
      </c>
      <c r="L95" s="35"/>
      <c r="M95" s="19"/>
    </row>
    <row r="96" outlineLevel="1">
      <c r="B96" s="19" t="s">
        <v>113</v>
      </c>
      <c r="C96" s="52"/>
      <c r="D96" s="53">
        <v>0.0</v>
      </c>
      <c r="E96" s="53">
        <v>0.0</v>
      </c>
      <c r="F96" s="53">
        <v>0.0</v>
      </c>
      <c r="G96" s="53">
        <v>0.0</v>
      </c>
      <c r="H96" s="53">
        <v>0.0</v>
      </c>
      <c r="I96" s="53">
        <v>0.0</v>
      </c>
      <c r="J96" s="53">
        <v>0.0</v>
      </c>
      <c r="L96" s="35"/>
      <c r="M96" s="19"/>
    </row>
    <row r="97" outlineLevel="1">
      <c r="B97" s="19" t="s">
        <v>147</v>
      </c>
      <c r="C97" s="52"/>
      <c r="D97" s="53">
        <v>0.0</v>
      </c>
      <c r="E97" s="53">
        <v>0.0</v>
      </c>
      <c r="F97" s="53">
        <v>0.0</v>
      </c>
      <c r="G97" s="53">
        <v>0.0</v>
      </c>
      <c r="H97" s="53">
        <v>0.0</v>
      </c>
      <c r="I97" s="53">
        <v>0.0</v>
      </c>
      <c r="J97" s="53">
        <v>0.0</v>
      </c>
      <c r="L97" s="35"/>
      <c r="M97" s="19"/>
    </row>
    <row r="98" outlineLevel="1">
      <c r="B98" s="19" t="s">
        <v>148</v>
      </c>
      <c r="C98" s="52"/>
      <c r="D98" s="58">
        <f t="shared" ref="D98:J98" si="51">SUM(D89:D97)</f>
        <v>0</v>
      </c>
      <c r="E98" s="58">
        <f t="shared" si="51"/>
        <v>0</v>
      </c>
      <c r="F98" s="58">
        <f t="shared" si="51"/>
        <v>0</v>
      </c>
      <c r="G98" s="58">
        <f t="shared" si="51"/>
        <v>9568662.63</v>
      </c>
      <c r="H98" s="58">
        <f t="shared" si="51"/>
        <v>12758216.84</v>
      </c>
      <c r="I98" s="58">
        <f t="shared" si="51"/>
        <v>0</v>
      </c>
      <c r="J98" s="58">
        <f t="shared" si="51"/>
        <v>0</v>
      </c>
      <c r="L98" s="35"/>
      <c r="M98" s="19"/>
    </row>
    <row r="99" outlineLevel="1">
      <c r="B99" s="19"/>
      <c r="C99" s="52"/>
      <c r="D99" s="52"/>
      <c r="E99" s="52"/>
      <c r="F99" s="52"/>
      <c r="G99" s="52"/>
      <c r="H99" s="52"/>
      <c r="I99" s="52"/>
      <c r="J99" s="52"/>
      <c r="L99" s="35"/>
      <c r="M99" s="19"/>
    </row>
    <row r="100" outlineLevel="1">
      <c r="B100" s="19" t="s">
        <v>150</v>
      </c>
      <c r="C100" s="52"/>
      <c r="D100" s="52"/>
      <c r="E100" s="52"/>
      <c r="F100" s="52"/>
      <c r="G100" s="52"/>
      <c r="H100" s="52"/>
      <c r="I100" s="52"/>
      <c r="J100" s="52"/>
      <c r="L100" s="35"/>
      <c r="M100" s="19" t="s">
        <v>151</v>
      </c>
    </row>
    <row r="101" outlineLevel="1">
      <c r="B101" s="55" t="str">
        <f>D$5</f>
        <v>Seed</v>
      </c>
      <c r="C101" s="52"/>
      <c r="D101" s="34">
        <f t="shared" ref="D101:J101" si="52">if(D77=0,min($D$38,D$73-sum(D102:D$109)),0)</f>
        <v>0</v>
      </c>
      <c r="E101" s="34">
        <f t="shared" si="52"/>
        <v>0</v>
      </c>
      <c r="F101" s="34">
        <f t="shared" si="52"/>
        <v>0</v>
      </c>
      <c r="G101" s="34">
        <f t="shared" si="52"/>
        <v>0</v>
      </c>
      <c r="H101" s="34">
        <f t="shared" si="52"/>
        <v>0</v>
      </c>
      <c r="I101" s="34">
        <f t="shared" si="52"/>
        <v>0</v>
      </c>
      <c r="J101" s="34">
        <f t="shared" si="52"/>
        <v>0</v>
      </c>
      <c r="L101" s="35"/>
      <c r="M101" s="35"/>
    </row>
    <row r="102" outlineLevel="1">
      <c r="B102" s="55" t="str">
        <f>E$5</f>
        <v>Series A</v>
      </c>
      <c r="C102" s="52"/>
      <c r="D102" s="57">
        <v>0.0</v>
      </c>
      <c r="E102" s="34">
        <f t="shared" ref="E102:J102" si="53">if(E78=0,min($E$38,E$73-sum(E103:E$109)),0)</f>
        <v>0</v>
      </c>
      <c r="F102" s="34">
        <f t="shared" si="53"/>
        <v>0</v>
      </c>
      <c r="G102" s="34">
        <f t="shared" si="53"/>
        <v>0</v>
      </c>
      <c r="H102" s="34">
        <f t="shared" si="53"/>
        <v>0</v>
      </c>
      <c r="I102" s="34">
        <f t="shared" si="53"/>
        <v>0</v>
      </c>
      <c r="J102" s="34">
        <f t="shared" si="53"/>
        <v>0</v>
      </c>
      <c r="L102" s="35"/>
      <c r="M102" s="35"/>
    </row>
    <row r="103" outlineLevel="1">
      <c r="B103" s="55" t="str">
        <f>F$5</f>
        <v>Series B</v>
      </c>
      <c r="C103" s="52"/>
      <c r="D103" s="57">
        <v>0.0</v>
      </c>
      <c r="E103" s="57">
        <v>0.0</v>
      </c>
      <c r="F103" s="34">
        <f t="shared" ref="F103:J103" si="54">if(F79=0,min($F$38,F$73-sum(F104:F$109)),0)</f>
        <v>0</v>
      </c>
      <c r="G103" s="34">
        <f t="shared" si="54"/>
        <v>0</v>
      </c>
      <c r="H103" s="34">
        <f t="shared" si="54"/>
        <v>0</v>
      </c>
      <c r="I103" s="34">
        <f t="shared" si="54"/>
        <v>0</v>
      </c>
      <c r="J103" s="34">
        <f t="shared" si="54"/>
        <v>0</v>
      </c>
      <c r="L103" s="35"/>
      <c r="M103" s="35"/>
    </row>
    <row r="104" outlineLevel="1">
      <c r="B104" s="55" t="str">
        <f>G$5</f>
        <v>Series C</v>
      </c>
      <c r="C104" s="52"/>
      <c r="D104" s="57">
        <v>0.0</v>
      </c>
      <c r="E104" s="57">
        <v>0.0</v>
      </c>
      <c r="F104" s="53">
        <v>0.0</v>
      </c>
      <c r="G104" s="34">
        <f t="shared" ref="G104:J104" si="55">if(G80=0,min($G$38,G$73-sum(G105:G$109)),0)</f>
        <v>54000000</v>
      </c>
      <c r="H104" s="34">
        <f t="shared" si="55"/>
        <v>0</v>
      </c>
      <c r="I104" s="34">
        <f t="shared" si="55"/>
        <v>0</v>
      </c>
      <c r="J104" s="34">
        <f t="shared" si="55"/>
        <v>0</v>
      </c>
      <c r="L104" s="35"/>
      <c r="M104" s="35"/>
    </row>
    <row r="105" outlineLevel="1">
      <c r="B105" s="55" t="str">
        <f>H$5</f>
        <v>Series D</v>
      </c>
      <c r="C105" s="52"/>
      <c r="D105" s="57">
        <v>0.0</v>
      </c>
      <c r="E105" s="57">
        <v>0.0</v>
      </c>
      <c r="F105" s="53">
        <v>0.0</v>
      </c>
      <c r="G105" s="53">
        <v>0.0</v>
      </c>
      <c r="H105" s="34">
        <f t="shared" ref="H105:J105" si="56">if(H81=0,min($H$38,H$73-sum(H106:H$109)),0)</f>
        <v>108000000</v>
      </c>
      <c r="I105" s="34">
        <f t="shared" si="56"/>
        <v>0</v>
      </c>
      <c r="J105" s="34">
        <f t="shared" si="56"/>
        <v>0</v>
      </c>
      <c r="L105" s="35"/>
      <c r="M105" s="35"/>
    </row>
    <row r="106" outlineLevel="1">
      <c r="B106" s="55" t="str">
        <f>I$5</f>
        <v>Series E</v>
      </c>
      <c r="C106" s="52"/>
      <c r="D106" s="57">
        <v>0.0</v>
      </c>
      <c r="E106" s="57">
        <v>0.0</v>
      </c>
      <c r="F106" s="53">
        <v>0.0</v>
      </c>
      <c r="G106" s="53">
        <v>0.0</v>
      </c>
      <c r="H106" s="53">
        <v>0.0</v>
      </c>
      <c r="I106" s="34">
        <f t="shared" ref="I106:J106" si="57">if(I82=0,min($I$38,I$73-sum(I107:I$109)),0)</f>
        <v>0</v>
      </c>
      <c r="J106" s="34">
        <f t="shared" si="57"/>
        <v>0</v>
      </c>
      <c r="L106" s="35"/>
      <c r="M106" s="35"/>
    </row>
    <row r="107" outlineLevel="1">
      <c r="B107" s="55" t="str">
        <f>J$5</f>
        <v>Series F+</v>
      </c>
      <c r="C107" s="52"/>
      <c r="D107" s="57">
        <v>0.0</v>
      </c>
      <c r="E107" s="57">
        <v>0.0</v>
      </c>
      <c r="F107" s="57">
        <v>0.0</v>
      </c>
      <c r="G107" s="57">
        <v>0.0</v>
      </c>
      <c r="H107" s="57">
        <v>0.0</v>
      </c>
      <c r="I107" s="57">
        <v>0.0</v>
      </c>
      <c r="J107" s="34">
        <f>if(J83=0,min($J$38,J$73-sum(J108:J$109)),0)</f>
        <v>0</v>
      </c>
      <c r="L107" s="35"/>
      <c r="M107" s="35"/>
    </row>
    <row r="108" outlineLevel="1">
      <c r="B108" s="19" t="s">
        <v>113</v>
      </c>
      <c r="C108" s="52"/>
      <c r="D108" s="57">
        <v>0.0</v>
      </c>
      <c r="E108" s="57">
        <v>0.0</v>
      </c>
      <c r="F108" s="57">
        <v>0.0</v>
      </c>
      <c r="G108" s="57">
        <v>0.0</v>
      </c>
      <c r="H108" s="57">
        <v>0.0</v>
      </c>
      <c r="I108" s="57">
        <v>0.0</v>
      </c>
      <c r="J108" s="57">
        <v>0.0</v>
      </c>
      <c r="L108" s="35"/>
      <c r="M108" s="35"/>
    </row>
    <row r="109" outlineLevel="1">
      <c r="B109" s="19" t="s">
        <v>147</v>
      </c>
      <c r="C109" s="52"/>
      <c r="D109" s="57">
        <v>0.0</v>
      </c>
      <c r="E109" s="57">
        <v>0.0</v>
      </c>
      <c r="F109" s="57">
        <v>0.0</v>
      </c>
      <c r="G109" s="57">
        <v>0.0</v>
      </c>
      <c r="H109" s="57">
        <v>0.0</v>
      </c>
      <c r="I109" s="57">
        <v>0.0</v>
      </c>
      <c r="J109" s="57">
        <v>0.0</v>
      </c>
      <c r="L109" s="35"/>
      <c r="M109" s="35"/>
    </row>
    <row r="110" outlineLevel="1">
      <c r="B110" s="19" t="s">
        <v>148</v>
      </c>
      <c r="C110" s="52"/>
      <c r="D110" s="58">
        <f t="shared" ref="D110:J110" si="58">SUM(D101:D109)</f>
        <v>0</v>
      </c>
      <c r="E110" s="58">
        <f t="shared" si="58"/>
        <v>0</v>
      </c>
      <c r="F110" s="58">
        <f t="shared" si="58"/>
        <v>0</v>
      </c>
      <c r="G110" s="58">
        <f t="shared" si="58"/>
        <v>54000000</v>
      </c>
      <c r="H110" s="58">
        <f t="shared" si="58"/>
        <v>108000000</v>
      </c>
      <c r="I110" s="58">
        <f t="shared" si="58"/>
        <v>0</v>
      </c>
      <c r="J110" s="58">
        <f t="shared" si="58"/>
        <v>0</v>
      </c>
      <c r="L110" s="35"/>
      <c r="M110" s="35" t="s">
        <v>152</v>
      </c>
    </row>
    <row r="111" outlineLevel="1">
      <c r="B111" s="59"/>
      <c r="C111" s="52"/>
      <c r="D111" s="52"/>
      <c r="E111" s="52"/>
      <c r="F111" s="52"/>
      <c r="G111" s="52"/>
      <c r="H111" s="52"/>
      <c r="I111" s="52"/>
      <c r="J111" s="52"/>
      <c r="L111" s="35"/>
      <c r="M111" s="35"/>
    </row>
    <row r="112" outlineLevel="1">
      <c r="B112" s="59" t="s">
        <v>153</v>
      </c>
      <c r="C112" s="52"/>
      <c r="D112" s="52"/>
      <c r="E112" s="52"/>
      <c r="F112" s="52"/>
      <c r="G112" s="52"/>
      <c r="H112" s="52"/>
      <c r="I112" s="52"/>
      <c r="J112" s="52"/>
      <c r="L112" s="35"/>
      <c r="M112" s="19" t="s">
        <v>154</v>
      </c>
    </row>
    <row r="113" outlineLevel="1">
      <c r="B113" s="55" t="str">
        <f>D$5</f>
        <v>Seed</v>
      </c>
      <c r="C113" s="52"/>
      <c r="D113" s="34">
        <f t="shared" ref="D113:J113" si="59">if(D101=0,(D$73-D$110)*D77/D$86,0)</f>
        <v>3468750</v>
      </c>
      <c r="E113" s="34">
        <f t="shared" si="59"/>
        <v>7284375</v>
      </c>
      <c r="F113" s="34">
        <f t="shared" si="59"/>
        <v>15297187.5</v>
      </c>
      <c r="G113" s="34">
        <f t="shared" si="59"/>
        <v>18643447.27</v>
      </c>
      <c r="H113" s="34">
        <f t="shared" si="59"/>
        <v>23662836.91</v>
      </c>
      <c r="I113" s="34">
        <f t="shared" si="59"/>
        <v>51950682.86</v>
      </c>
      <c r="J113" s="34">
        <f t="shared" si="59"/>
        <v>63526650.24</v>
      </c>
      <c r="L113" s="35"/>
      <c r="M113" s="35"/>
    </row>
    <row r="114" outlineLevel="1">
      <c r="B114" s="55" t="str">
        <f>E$5</f>
        <v>Series A</v>
      </c>
      <c r="C114" s="52"/>
      <c r="D114" s="34">
        <f t="shared" ref="D114:J114" si="60">if(D102=0,(D$73-D$110)*D78/D$86,0)</f>
        <v>0</v>
      </c>
      <c r="E114" s="34">
        <f t="shared" si="60"/>
        <v>9000000</v>
      </c>
      <c r="F114" s="34">
        <f t="shared" si="60"/>
        <v>18900000</v>
      </c>
      <c r="G114" s="34">
        <f t="shared" si="60"/>
        <v>23034375</v>
      </c>
      <c r="H114" s="34">
        <f t="shared" si="60"/>
        <v>29235937.5</v>
      </c>
      <c r="I114" s="34">
        <f t="shared" si="60"/>
        <v>64186171.88</v>
      </c>
      <c r="J114" s="34">
        <f t="shared" si="60"/>
        <v>78488525.39</v>
      </c>
      <c r="L114" s="35"/>
      <c r="M114" s="35"/>
    </row>
    <row r="115" outlineLevel="1">
      <c r="B115" s="55" t="str">
        <f>F$5</f>
        <v>Series B</v>
      </c>
      <c r="C115" s="52"/>
      <c r="D115" s="34">
        <f t="shared" ref="D115:J115" si="61">if(D103=0,(D$73-D$110)*D79/D$86,0)</f>
        <v>0</v>
      </c>
      <c r="E115" s="34">
        <f t="shared" si="61"/>
        <v>0</v>
      </c>
      <c r="F115" s="34">
        <f t="shared" si="61"/>
        <v>27000000</v>
      </c>
      <c r="G115" s="34">
        <f t="shared" si="61"/>
        <v>32906250</v>
      </c>
      <c r="H115" s="34">
        <f t="shared" si="61"/>
        <v>41765625</v>
      </c>
      <c r="I115" s="34">
        <f t="shared" si="61"/>
        <v>91694531.25</v>
      </c>
      <c r="J115" s="34">
        <f t="shared" si="61"/>
        <v>112126464.8</v>
      </c>
      <c r="L115" s="35"/>
      <c r="M115" s="35"/>
    </row>
    <row r="116" outlineLevel="1">
      <c r="B116" s="55" t="str">
        <f>G$5</f>
        <v>Series C</v>
      </c>
      <c r="C116" s="52"/>
      <c r="D116" s="34">
        <f t="shared" ref="D116:J116" si="62">if(D104=0,(D$73-D$110)*D80/D$86,0)</f>
        <v>0</v>
      </c>
      <c r="E116" s="34">
        <f t="shared" si="62"/>
        <v>0</v>
      </c>
      <c r="F116" s="34">
        <f t="shared" si="62"/>
        <v>0</v>
      </c>
      <c r="G116" s="34">
        <f t="shared" si="62"/>
        <v>0</v>
      </c>
      <c r="H116" s="34">
        <f t="shared" si="62"/>
        <v>55687500</v>
      </c>
      <c r="I116" s="34">
        <f t="shared" si="62"/>
        <v>122259375</v>
      </c>
      <c r="J116" s="34">
        <f t="shared" si="62"/>
        <v>149501953.1</v>
      </c>
      <c r="L116" s="35"/>
      <c r="M116" s="35"/>
    </row>
    <row r="117" outlineLevel="1">
      <c r="B117" s="55" t="str">
        <f>H$5</f>
        <v>Series D</v>
      </c>
      <c r="C117" s="52"/>
      <c r="D117" s="34">
        <f t="shared" ref="D117:J117" si="63">if(D105=0,(D$73-D$110)*D81/D$86,0)</f>
        <v>0</v>
      </c>
      <c r="E117" s="34">
        <f t="shared" si="63"/>
        <v>0</v>
      </c>
      <c r="F117" s="34">
        <f t="shared" si="63"/>
        <v>0</v>
      </c>
      <c r="G117" s="34">
        <f t="shared" si="63"/>
        <v>0</v>
      </c>
      <c r="H117" s="34">
        <f t="shared" si="63"/>
        <v>0</v>
      </c>
      <c r="I117" s="34">
        <f t="shared" si="63"/>
        <v>163012500</v>
      </c>
      <c r="J117" s="34">
        <f t="shared" si="63"/>
        <v>199335937.5</v>
      </c>
      <c r="L117" s="35"/>
      <c r="M117" s="35"/>
    </row>
    <row r="118" outlineLevel="1">
      <c r="B118" s="55" t="str">
        <f>I$5</f>
        <v>Series E</v>
      </c>
      <c r="C118" s="52"/>
      <c r="D118" s="34">
        <f t="shared" ref="D118:J118" si="64">if(D106=0,(D$73-D$110)*D82/D$86,0)</f>
        <v>0</v>
      </c>
      <c r="E118" s="34">
        <f t="shared" si="64"/>
        <v>0</v>
      </c>
      <c r="F118" s="34">
        <f t="shared" si="64"/>
        <v>0</v>
      </c>
      <c r="G118" s="34">
        <f t="shared" si="64"/>
        <v>0</v>
      </c>
      <c r="H118" s="34">
        <f t="shared" si="64"/>
        <v>0</v>
      </c>
      <c r="I118" s="34">
        <f t="shared" si="64"/>
        <v>217350000</v>
      </c>
      <c r="J118" s="34">
        <f t="shared" si="64"/>
        <v>265781250</v>
      </c>
      <c r="L118" s="35"/>
      <c r="M118" s="35"/>
    </row>
    <row r="119" outlineLevel="1">
      <c r="B119" s="55" t="str">
        <f>J$5</f>
        <v>Series F+</v>
      </c>
      <c r="C119" s="52"/>
      <c r="D119" s="34">
        <f t="shared" ref="D119:J119" si="65">if(D107=0,(D$73-D$110)*D83/D$86,0)</f>
        <v>0</v>
      </c>
      <c r="E119" s="34">
        <f t="shared" si="65"/>
        <v>0</v>
      </c>
      <c r="F119" s="34">
        <f t="shared" si="65"/>
        <v>0</v>
      </c>
      <c r="G119" s="34">
        <f t="shared" si="65"/>
        <v>0</v>
      </c>
      <c r="H119" s="34">
        <f t="shared" si="65"/>
        <v>0</v>
      </c>
      <c r="I119" s="34">
        <f t="shared" si="65"/>
        <v>0</v>
      </c>
      <c r="J119" s="34">
        <f t="shared" si="65"/>
        <v>354375000</v>
      </c>
      <c r="L119" s="35"/>
      <c r="M119" s="35"/>
    </row>
    <row r="120" outlineLevel="1">
      <c r="B120" s="19" t="s">
        <v>113</v>
      </c>
      <c r="C120" s="52"/>
      <c r="D120" s="34">
        <f t="shared" ref="D120:J120" si="66">if(D108=0,(D$73-D$110)*D84/D$86,0)</f>
        <v>8531250</v>
      </c>
      <c r="E120" s="34">
        <f t="shared" si="66"/>
        <v>17915625</v>
      </c>
      <c r="F120" s="34">
        <f t="shared" si="66"/>
        <v>37622812.5</v>
      </c>
      <c r="G120" s="34">
        <f t="shared" si="66"/>
        <v>45852802.73</v>
      </c>
      <c r="H120" s="34">
        <f t="shared" si="66"/>
        <v>58197788.09</v>
      </c>
      <c r="I120" s="34">
        <f t="shared" si="66"/>
        <v>127770598.4</v>
      </c>
      <c r="J120" s="34">
        <f t="shared" si="66"/>
        <v>156241220.9</v>
      </c>
      <c r="L120" s="35"/>
      <c r="M120" s="35"/>
    </row>
    <row r="121" outlineLevel="1">
      <c r="B121" s="19" t="s">
        <v>147</v>
      </c>
      <c r="C121" s="52"/>
      <c r="D121" s="34">
        <f t="shared" ref="D121:J121" si="67">if(D109=0,(D$73-D$110)*D85/D$86,0)</f>
        <v>3000000</v>
      </c>
      <c r="E121" s="34">
        <f t="shared" si="67"/>
        <v>10800000</v>
      </c>
      <c r="F121" s="34">
        <f t="shared" si="67"/>
        <v>36180000</v>
      </c>
      <c r="G121" s="34">
        <f t="shared" si="67"/>
        <v>55063125</v>
      </c>
      <c r="H121" s="34">
        <f t="shared" si="67"/>
        <v>88450312.5</v>
      </c>
      <c r="I121" s="34">
        <f t="shared" si="67"/>
        <v>248526140.6</v>
      </c>
      <c r="J121" s="34">
        <f t="shared" si="67"/>
        <v>392497998</v>
      </c>
      <c r="L121" s="35"/>
      <c r="M121" s="35"/>
    </row>
    <row r="122" outlineLevel="1">
      <c r="B122" s="19" t="s">
        <v>148</v>
      </c>
      <c r="C122" s="52"/>
      <c r="D122" s="58">
        <f t="shared" ref="D122:J122" si="68">SUM(D113:D121)</f>
        <v>15000000</v>
      </c>
      <c r="E122" s="58">
        <f t="shared" si="68"/>
        <v>45000000</v>
      </c>
      <c r="F122" s="58">
        <f t="shared" si="68"/>
        <v>135000000</v>
      </c>
      <c r="G122" s="58">
        <f t="shared" si="68"/>
        <v>175500000</v>
      </c>
      <c r="H122" s="58">
        <f t="shared" si="68"/>
        <v>297000000</v>
      </c>
      <c r="I122" s="58">
        <f t="shared" si="68"/>
        <v>1086750000</v>
      </c>
      <c r="J122" s="58">
        <f t="shared" si="68"/>
        <v>1771875000</v>
      </c>
      <c r="L122" s="35"/>
      <c r="M122" s="19" t="s">
        <v>155</v>
      </c>
    </row>
    <row r="123" outlineLevel="1">
      <c r="B123" s="19" t="s">
        <v>156</v>
      </c>
      <c r="C123" s="52"/>
      <c r="D123" s="52">
        <f t="shared" ref="D123:J123" si="69">D122+D110-D73</f>
        <v>0</v>
      </c>
      <c r="E123" s="52">
        <f t="shared" si="69"/>
        <v>0</v>
      </c>
      <c r="F123" s="52">
        <f t="shared" si="69"/>
        <v>0</v>
      </c>
      <c r="G123" s="52">
        <f t="shared" si="69"/>
        <v>0.00000002980232239</v>
      </c>
      <c r="H123" s="52">
        <f t="shared" si="69"/>
        <v>0</v>
      </c>
      <c r="I123" s="52">
        <f t="shared" si="69"/>
        <v>0</v>
      </c>
      <c r="J123" s="52">
        <f t="shared" si="69"/>
        <v>0.0000002384185791</v>
      </c>
      <c r="L123" s="35"/>
      <c r="M123" s="35" t="s">
        <v>157</v>
      </c>
    </row>
    <row r="124" outlineLevel="1">
      <c r="B124" s="19"/>
      <c r="C124" s="52"/>
      <c r="D124" s="52"/>
      <c r="E124" s="52"/>
      <c r="F124" s="52"/>
      <c r="G124" s="52"/>
      <c r="H124" s="52"/>
      <c r="I124" s="52"/>
      <c r="J124" s="52"/>
      <c r="L124" s="35"/>
      <c r="M124" s="35"/>
    </row>
    <row r="125" outlineLevel="1">
      <c r="B125" s="19" t="s">
        <v>158</v>
      </c>
      <c r="C125" s="52"/>
      <c r="D125" s="52"/>
      <c r="E125" s="52"/>
      <c r="F125" s="52"/>
      <c r="G125" s="52"/>
      <c r="H125" s="52"/>
      <c r="I125" s="52"/>
      <c r="J125" s="52"/>
      <c r="L125" s="35"/>
      <c r="M125" s="35" t="s">
        <v>159</v>
      </c>
    </row>
    <row r="126" outlineLevel="1">
      <c r="B126" s="55" t="str">
        <f>D$5</f>
        <v>Seed</v>
      </c>
      <c r="C126" s="52"/>
      <c r="D126" s="52">
        <f t="shared" ref="D126:J126" si="70">iferror((D113+D101)/$D44,0)</f>
        <v>0.853125</v>
      </c>
      <c r="E126" s="52">
        <f t="shared" si="70"/>
        <v>1.7915625</v>
      </c>
      <c r="F126" s="52">
        <f t="shared" si="70"/>
        <v>3.76228125</v>
      </c>
      <c r="G126" s="52">
        <f t="shared" si="70"/>
        <v>4.585280273</v>
      </c>
      <c r="H126" s="52">
        <f t="shared" si="70"/>
        <v>5.819778809</v>
      </c>
      <c r="I126" s="52">
        <f t="shared" si="70"/>
        <v>12.77705984</v>
      </c>
      <c r="J126" s="52">
        <f t="shared" si="70"/>
        <v>15.62412209</v>
      </c>
      <c r="L126" s="35"/>
      <c r="M126" s="35"/>
    </row>
    <row r="127" outlineLevel="1">
      <c r="B127" s="55" t="str">
        <f>E$5</f>
        <v>Series A</v>
      </c>
      <c r="C127" s="52"/>
      <c r="D127" s="57">
        <v>0.0</v>
      </c>
      <c r="E127" s="52">
        <f t="shared" ref="E127:J127" si="71">iferror((E114+E102)/$E44,0)</f>
        <v>1.7915625</v>
      </c>
      <c r="F127" s="52">
        <f t="shared" si="71"/>
        <v>3.76228125</v>
      </c>
      <c r="G127" s="52">
        <f t="shared" si="71"/>
        <v>4.585280273</v>
      </c>
      <c r="H127" s="52">
        <f t="shared" si="71"/>
        <v>5.819778809</v>
      </c>
      <c r="I127" s="52">
        <f t="shared" si="71"/>
        <v>12.77705984</v>
      </c>
      <c r="J127" s="52">
        <f t="shared" si="71"/>
        <v>15.62412209</v>
      </c>
      <c r="L127" s="35"/>
      <c r="M127" s="35"/>
    </row>
    <row r="128" outlineLevel="1">
      <c r="B128" s="55" t="str">
        <f>F$5</f>
        <v>Series B</v>
      </c>
      <c r="C128" s="52"/>
      <c r="D128" s="57">
        <v>0.0</v>
      </c>
      <c r="E128" s="57">
        <v>0.0</v>
      </c>
      <c r="F128" s="52">
        <f t="shared" ref="F128:J128" si="72">iferror((F115+F103)/$F44,0)</f>
        <v>3.76228125</v>
      </c>
      <c r="G128" s="52">
        <f t="shared" si="72"/>
        <v>4.585280273</v>
      </c>
      <c r="H128" s="52">
        <f t="shared" si="72"/>
        <v>5.819778809</v>
      </c>
      <c r="I128" s="52">
        <f t="shared" si="72"/>
        <v>12.77705984</v>
      </c>
      <c r="J128" s="52">
        <f t="shared" si="72"/>
        <v>15.62412209</v>
      </c>
      <c r="L128" s="35"/>
      <c r="M128" s="35"/>
    </row>
    <row r="129" outlineLevel="1">
      <c r="B129" s="55" t="str">
        <f>G$5</f>
        <v>Series C</v>
      </c>
      <c r="C129" s="52"/>
      <c r="D129" s="57">
        <v>0.0</v>
      </c>
      <c r="E129" s="57">
        <v>0.0</v>
      </c>
      <c r="F129" s="57">
        <v>0.0</v>
      </c>
      <c r="G129" s="52">
        <f t="shared" ref="G129:J129" si="73">iferror((G116+G104)/$G44,0)</f>
        <v>5.643421875</v>
      </c>
      <c r="H129" s="52">
        <f t="shared" si="73"/>
        <v>5.819778809</v>
      </c>
      <c r="I129" s="52">
        <f t="shared" si="73"/>
        <v>12.77705984</v>
      </c>
      <c r="J129" s="52">
        <f t="shared" si="73"/>
        <v>15.62412209</v>
      </c>
      <c r="L129" s="35"/>
      <c r="M129" s="35"/>
    </row>
    <row r="130" outlineLevel="1">
      <c r="B130" s="55" t="str">
        <f>H$5</f>
        <v>Series D</v>
      </c>
      <c r="C130" s="52"/>
      <c r="D130" s="57">
        <v>0.0</v>
      </c>
      <c r="E130" s="57">
        <v>0.0</v>
      </c>
      <c r="F130" s="57">
        <v>0.0</v>
      </c>
      <c r="G130" s="57">
        <v>0.0</v>
      </c>
      <c r="H130" s="52">
        <f t="shared" ref="H130:J130" si="74">iferror((H117+H105)/$H44,0)</f>
        <v>8.465132813</v>
      </c>
      <c r="I130" s="52">
        <f t="shared" si="74"/>
        <v>12.77705984</v>
      </c>
      <c r="J130" s="52">
        <f t="shared" si="74"/>
        <v>15.62412209</v>
      </c>
      <c r="L130" s="35"/>
      <c r="M130" s="35"/>
    </row>
    <row r="131" outlineLevel="1">
      <c r="B131" s="55" t="str">
        <f>I$5</f>
        <v>Series E</v>
      </c>
      <c r="C131" s="52"/>
      <c r="D131" s="57">
        <v>0.0</v>
      </c>
      <c r="E131" s="57">
        <v>0.0</v>
      </c>
      <c r="F131" s="57">
        <v>0.0</v>
      </c>
      <c r="G131" s="57">
        <v>0.0</v>
      </c>
      <c r="H131" s="57">
        <v>0.0</v>
      </c>
      <c r="I131" s="52">
        <f t="shared" ref="I131:J131" si="75">iferror((I118+I106)/$I44,0)</f>
        <v>12.77705984</v>
      </c>
      <c r="J131" s="52">
        <f t="shared" si="75"/>
        <v>15.62412209</v>
      </c>
      <c r="L131" s="35"/>
      <c r="M131" s="35"/>
    </row>
    <row r="132" outlineLevel="1">
      <c r="B132" s="55" t="str">
        <f>J$5</f>
        <v>Series F+</v>
      </c>
      <c r="C132" s="52"/>
      <c r="D132" s="57">
        <v>0.0</v>
      </c>
      <c r="E132" s="57">
        <v>0.0</v>
      </c>
      <c r="F132" s="57">
        <v>0.0</v>
      </c>
      <c r="G132" s="57">
        <v>0.0</v>
      </c>
      <c r="H132" s="57">
        <v>0.0</v>
      </c>
      <c r="I132" s="57">
        <v>0.0</v>
      </c>
      <c r="J132" s="52">
        <f>iferror((J119+J107)/$J44,0)</f>
        <v>15.62412209</v>
      </c>
      <c r="L132" s="35"/>
      <c r="M132" s="35"/>
    </row>
    <row r="133" outlineLevel="1">
      <c r="B133" s="19" t="s">
        <v>113</v>
      </c>
      <c r="C133" s="52"/>
      <c r="D133" s="52">
        <f t="shared" ref="D133:J133" si="76">iferror((D120+D108)/D84,0)</f>
        <v>0.853125</v>
      </c>
      <c r="E133" s="52">
        <f t="shared" si="76"/>
        <v>1.7915625</v>
      </c>
      <c r="F133" s="52">
        <f t="shared" si="76"/>
        <v>3.76228125</v>
      </c>
      <c r="G133" s="52">
        <f t="shared" si="76"/>
        <v>4.585280273</v>
      </c>
      <c r="H133" s="52">
        <f t="shared" si="76"/>
        <v>5.819778809</v>
      </c>
      <c r="I133" s="52">
        <f t="shared" si="76"/>
        <v>12.77705984</v>
      </c>
      <c r="J133" s="52">
        <f t="shared" si="76"/>
        <v>15.62412209</v>
      </c>
      <c r="L133" s="35"/>
      <c r="M133" s="35"/>
    </row>
    <row r="134" outlineLevel="1">
      <c r="B134" s="19" t="s">
        <v>147</v>
      </c>
      <c r="C134" s="52"/>
      <c r="D134" s="52">
        <f t="shared" ref="D134:J134" si="77">iferror((D121+D109)/D85,0)</f>
        <v>0.853125</v>
      </c>
      <c r="E134" s="52">
        <f t="shared" si="77"/>
        <v>1.7915625</v>
      </c>
      <c r="F134" s="52">
        <f t="shared" si="77"/>
        <v>3.76228125</v>
      </c>
      <c r="G134" s="52">
        <f t="shared" si="77"/>
        <v>4.585280273</v>
      </c>
      <c r="H134" s="52">
        <f t="shared" si="77"/>
        <v>5.819778809</v>
      </c>
      <c r="I134" s="52">
        <f t="shared" si="77"/>
        <v>12.77705984</v>
      </c>
      <c r="J134" s="52">
        <f t="shared" si="77"/>
        <v>15.62412209</v>
      </c>
      <c r="L134" s="35"/>
      <c r="M134" s="35"/>
    </row>
    <row r="135" outlineLevel="1">
      <c r="B135" s="19"/>
      <c r="C135" s="52"/>
      <c r="D135" s="52"/>
      <c r="E135" s="52"/>
      <c r="F135" s="52"/>
      <c r="G135" s="52"/>
      <c r="H135" s="52"/>
      <c r="I135" s="52"/>
      <c r="J135" s="52"/>
      <c r="L135" s="35"/>
      <c r="M135" s="35"/>
    </row>
    <row r="136">
      <c r="B136" s="33" t="s">
        <v>160</v>
      </c>
      <c r="C136" s="52"/>
      <c r="D136" s="52"/>
      <c r="E136" s="52"/>
      <c r="F136" s="52"/>
      <c r="G136" s="52"/>
      <c r="H136" s="52"/>
      <c r="I136" s="52"/>
      <c r="J136" s="52"/>
      <c r="L136" s="35"/>
      <c r="M136" s="35"/>
    </row>
    <row r="137">
      <c r="B137" s="19"/>
      <c r="C137" s="52"/>
      <c r="D137" s="52"/>
      <c r="E137" s="52"/>
      <c r="F137" s="52"/>
      <c r="G137" s="52"/>
      <c r="H137" s="52"/>
      <c r="I137" s="52"/>
      <c r="J137" s="52"/>
      <c r="L137" s="35"/>
      <c r="M137" s="35"/>
    </row>
    <row r="138">
      <c r="B138" s="19" t="s">
        <v>161</v>
      </c>
      <c r="C138" s="52">
        <f t="shared" ref="C138:C139" si="79">iferror(C72/C56,0)</f>
        <v>0</v>
      </c>
      <c r="D138" s="52">
        <f t="shared" ref="D138:J138" si="78">iferror((D36+D11+D16)/D43,0)</f>
        <v>0.455</v>
      </c>
      <c r="E138" s="52">
        <f t="shared" si="78"/>
        <v>1.194375</v>
      </c>
      <c r="F138" s="52">
        <f t="shared" si="78"/>
        <v>0</v>
      </c>
      <c r="G138" s="52">
        <f t="shared" si="78"/>
        <v>0</v>
      </c>
      <c r="H138" s="52">
        <f t="shared" si="78"/>
        <v>0</v>
      </c>
      <c r="I138" s="52">
        <f t="shared" si="78"/>
        <v>0</v>
      </c>
      <c r="J138" s="52">
        <f t="shared" si="78"/>
        <v>0</v>
      </c>
      <c r="L138" s="35"/>
      <c r="M138" s="35"/>
    </row>
    <row r="139">
      <c r="B139" s="19" t="s">
        <v>162</v>
      </c>
      <c r="C139" s="52">
        <f t="shared" si="79"/>
        <v>0</v>
      </c>
      <c r="D139" s="52">
        <f t="shared" ref="D139:J139" si="80">iferror(D140/D53,0)</f>
        <v>0.853125</v>
      </c>
      <c r="E139" s="52">
        <f t="shared" si="80"/>
        <v>1.7915625</v>
      </c>
      <c r="F139" s="52">
        <f t="shared" si="80"/>
        <v>3.76228125</v>
      </c>
      <c r="G139" s="52">
        <f t="shared" si="80"/>
        <v>4.585280273</v>
      </c>
      <c r="H139" s="52">
        <f t="shared" si="80"/>
        <v>5.819778809</v>
      </c>
      <c r="I139" s="52">
        <f t="shared" si="80"/>
        <v>12.77705984</v>
      </c>
      <c r="J139" s="52">
        <f t="shared" si="80"/>
        <v>15.62412209</v>
      </c>
      <c r="L139" s="35"/>
      <c r="M139" s="35" t="s">
        <v>163</v>
      </c>
    </row>
    <row r="140">
      <c r="B140" s="19" t="s">
        <v>164</v>
      </c>
      <c r="C140" s="34">
        <f>C139*C53</f>
        <v>0</v>
      </c>
      <c r="D140" s="34">
        <f>iferror(D126*$D43,0)</f>
        <v>468750</v>
      </c>
      <c r="E140" s="34">
        <f>iferror(E126*$D43+E127*$E43,0)</f>
        <v>1265625</v>
      </c>
      <c r="F140" s="34">
        <f>iferror(F126*$D43+F127*$E43+F128*$F43,0)</f>
        <v>2657812.5</v>
      </c>
      <c r="G140" s="34">
        <f>iferror(G126*$D43+G127*$E43+G128*$F43+G129*$G43,0)</f>
        <v>3239208.984</v>
      </c>
      <c r="H140" s="34">
        <f>iferror(H126*$D43+H127*$E43+H128*$F43+H129*$G43+H130*$H43,0)</f>
        <v>4111303.711</v>
      </c>
      <c r="I140" s="34">
        <f>iferror(I126*$D43+I127*$E43+I128*$F43+I129*$G43+I130*$H43+I131*$I43,0)</f>
        <v>9026180.42</v>
      </c>
      <c r="J140" s="34">
        <f>iferror(J126*$D43+J127*$E43+J128*$F43+J129*$G43+J130*$H43+J131*$I43+J132*$J43,0)</f>
        <v>11037448.88</v>
      </c>
      <c r="K140" s="60"/>
      <c r="L140" s="35"/>
      <c r="M140" s="35" t="s">
        <v>165</v>
      </c>
    </row>
    <row r="141">
      <c r="B141" s="19" t="s">
        <v>166</v>
      </c>
      <c r="C141" s="38">
        <v>0.0</v>
      </c>
      <c r="D141" s="34">
        <f t="shared" ref="D141:J141" si="81">(D36+D11+D16)*C62+C141</f>
        <v>250000</v>
      </c>
      <c r="E141" s="34">
        <f t="shared" si="81"/>
        <v>343750</v>
      </c>
      <c r="F141" s="34">
        <f t="shared" si="81"/>
        <v>343750</v>
      </c>
      <c r="G141" s="34">
        <f t="shared" si="81"/>
        <v>343750</v>
      </c>
      <c r="H141" s="34">
        <f t="shared" si="81"/>
        <v>343750</v>
      </c>
      <c r="I141" s="34">
        <f t="shared" si="81"/>
        <v>343750</v>
      </c>
      <c r="J141" s="34">
        <f t="shared" si="81"/>
        <v>343750</v>
      </c>
      <c r="L141" s="35"/>
      <c r="M141" s="35"/>
    </row>
    <row r="142">
      <c r="B142" s="19" t="s">
        <v>167</v>
      </c>
      <c r="C142" s="34">
        <f t="shared" ref="C142:J142" si="82">C140*C68</f>
        <v>0</v>
      </c>
      <c r="D142" s="34">
        <f t="shared" si="82"/>
        <v>23437.5</v>
      </c>
      <c r="E142" s="34">
        <f t="shared" si="82"/>
        <v>63281.25</v>
      </c>
      <c r="F142" s="34">
        <f t="shared" si="82"/>
        <v>182724.6094</v>
      </c>
      <c r="G142" s="34">
        <f t="shared" si="82"/>
        <v>195972.1436</v>
      </c>
      <c r="H142" s="34">
        <f t="shared" si="82"/>
        <v>139912.8044</v>
      </c>
      <c r="I142" s="34">
        <f t="shared" si="82"/>
        <v>170651.2236</v>
      </c>
      <c r="J142" s="34">
        <f t="shared" si="82"/>
        <v>208676.7679</v>
      </c>
      <c r="L142" s="35"/>
      <c r="M142" s="35"/>
    </row>
    <row r="143">
      <c r="B143" s="19" t="str">
        <f>"% of "&amp;B142</f>
        <v>% of Total Proceeds, by type of exit</v>
      </c>
      <c r="C143" s="61">
        <f t="shared" ref="C143:J143" si="83">iferror(C142/sum($D142:$J142),0)</f>
        <v>0</v>
      </c>
      <c r="D143" s="61">
        <f t="shared" si="83"/>
        <v>0.02380272185</v>
      </c>
      <c r="E143" s="61">
        <f t="shared" si="83"/>
        <v>0.064267349</v>
      </c>
      <c r="F143" s="61">
        <f t="shared" si="83"/>
        <v>0.1855719702</v>
      </c>
      <c r="G143" s="61">
        <f t="shared" si="83"/>
        <v>0.1990259381</v>
      </c>
      <c r="H143" s="61">
        <f t="shared" si="83"/>
        <v>0.1420930375</v>
      </c>
      <c r="I143" s="61">
        <f t="shared" si="83"/>
        <v>0.1733104473</v>
      </c>
      <c r="J143" s="61">
        <f t="shared" si="83"/>
        <v>0.2119285361</v>
      </c>
      <c r="L143" s="35"/>
      <c r="M143" s="35"/>
    </row>
    <row r="144">
      <c r="B144" s="19" t="s">
        <v>168</v>
      </c>
      <c r="C144" s="52">
        <f t="shared" ref="C144:J144" si="84">iferror(C140/C141,0)</f>
        <v>0</v>
      </c>
      <c r="D144" s="52">
        <f t="shared" si="84"/>
        <v>1.875</v>
      </c>
      <c r="E144" s="52">
        <f t="shared" si="84"/>
        <v>3.681818182</v>
      </c>
      <c r="F144" s="52">
        <f t="shared" si="84"/>
        <v>7.731818182</v>
      </c>
      <c r="G144" s="52">
        <f t="shared" si="84"/>
        <v>9.423153409</v>
      </c>
      <c r="H144" s="52">
        <f t="shared" si="84"/>
        <v>11.96015625</v>
      </c>
      <c r="I144" s="52">
        <f t="shared" si="84"/>
        <v>26.2579794</v>
      </c>
      <c r="J144" s="52">
        <f t="shared" si="84"/>
        <v>32.10894221</v>
      </c>
      <c r="K144" s="52"/>
      <c r="L144" s="35"/>
      <c r="M144" s="35"/>
    </row>
    <row r="145">
      <c r="B145" s="19"/>
      <c r="C145" s="34"/>
      <c r="D145" s="34"/>
      <c r="E145" s="34"/>
      <c r="F145" s="34"/>
      <c r="G145" s="34"/>
      <c r="H145" s="34"/>
      <c r="I145" s="34"/>
      <c r="J145" s="34"/>
      <c r="L145" s="35"/>
      <c r="M145" s="35"/>
    </row>
    <row r="146">
      <c r="B146" s="62" t="s">
        <v>169</v>
      </c>
      <c r="C146" s="34"/>
      <c r="D146" s="63"/>
      <c r="E146" s="63"/>
      <c r="F146" s="63"/>
      <c r="G146" s="63"/>
      <c r="H146" s="63"/>
      <c r="I146" s="63"/>
      <c r="J146" s="63"/>
      <c r="L146" s="35"/>
      <c r="M146" s="35" t="s">
        <v>170</v>
      </c>
    </row>
    <row r="147">
      <c r="B147" s="55" t="str">
        <f>D$5</f>
        <v>Seed</v>
      </c>
      <c r="C147" s="34"/>
      <c r="D147" s="64">
        <f t="shared" ref="D147:J147" si="85">iferror(D$139/if($D$138=0,$D$46,$D138),0)</f>
        <v>1.875</v>
      </c>
      <c r="E147" s="64">
        <f t="shared" si="85"/>
        <v>3.9375</v>
      </c>
      <c r="F147" s="64">
        <f t="shared" si="85"/>
        <v>8.26875</v>
      </c>
      <c r="G147" s="64">
        <f t="shared" si="85"/>
        <v>10.07753906</v>
      </c>
      <c r="H147" s="64">
        <f t="shared" si="85"/>
        <v>12.79072266</v>
      </c>
      <c r="I147" s="64">
        <f t="shared" si="85"/>
        <v>28.0814502</v>
      </c>
      <c r="J147" s="64">
        <f t="shared" si="85"/>
        <v>34.33872986</v>
      </c>
      <c r="L147" s="35"/>
    </row>
    <row r="148">
      <c r="B148" s="55" t="str">
        <f>E$5</f>
        <v>Series A</v>
      </c>
      <c r="C148" s="34"/>
      <c r="D148" s="65">
        <v>0.0</v>
      </c>
      <c r="E148" s="64">
        <f t="shared" ref="E148:J148" si="86">iferror(E$139/if($E$138=0,$E$46,$E139),0)</f>
        <v>1</v>
      </c>
      <c r="F148" s="64">
        <f t="shared" si="86"/>
        <v>2.1</v>
      </c>
      <c r="G148" s="64">
        <f t="shared" si="86"/>
        <v>2.559375</v>
      </c>
      <c r="H148" s="64">
        <f t="shared" si="86"/>
        <v>3.2484375</v>
      </c>
      <c r="I148" s="64">
        <f t="shared" si="86"/>
        <v>7.131796875</v>
      </c>
      <c r="J148" s="64">
        <f t="shared" si="86"/>
        <v>8.720947266</v>
      </c>
      <c r="L148" s="35"/>
    </row>
    <row r="149">
      <c r="B149" s="55" t="str">
        <f>F$5</f>
        <v>Series B</v>
      </c>
      <c r="C149" s="34"/>
      <c r="D149" s="66">
        <v>0.0</v>
      </c>
      <c r="E149" s="67">
        <v>0.0</v>
      </c>
      <c r="F149" s="64">
        <f t="shared" ref="F149:J149" si="87">iferror(F$139/if($F$138=0,$F$46,$F140),0)</f>
        <v>1.5</v>
      </c>
      <c r="G149" s="64">
        <f t="shared" si="87"/>
        <v>1.828125</v>
      </c>
      <c r="H149" s="64">
        <f t="shared" si="87"/>
        <v>2.3203125</v>
      </c>
      <c r="I149" s="64">
        <f t="shared" si="87"/>
        <v>5.094140625</v>
      </c>
      <c r="J149" s="64">
        <f t="shared" si="87"/>
        <v>6.229248047</v>
      </c>
      <c r="L149" s="35"/>
    </row>
    <row r="150">
      <c r="B150" s="55" t="str">
        <f>G$5</f>
        <v>Series C</v>
      </c>
      <c r="C150" s="34"/>
      <c r="D150" s="66">
        <v>0.0</v>
      </c>
      <c r="E150" s="67">
        <v>0.0</v>
      </c>
      <c r="F150" s="67">
        <v>0.0</v>
      </c>
      <c r="G150" s="64">
        <f t="shared" ref="G150:J150" si="88">iferror(G$139/if($G$138=0,$G$46,$G141),0)</f>
        <v>0.8125</v>
      </c>
      <c r="H150" s="64">
        <f t="shared" si="88"/>
        <v>1.03125</v>
      </c>
      <c r="I150" s="64">
        <f t="shared" si="88"/>
        <v>2.2640625</v>
      </c>
      <c r="J150" s="64">
        <f t="shared" si="88"/>
        <v>2.768554688</v>
      </c>
      <c r="L150" s="35"/>
    </row>
    <row r="151">
      <c r="B151" s="55" t="str">
        <f>H$5</f>
        <v>Series D</v>
      </c>
      <c r="C151" s="34"/>
      <c r="D151" s="66">
        <v>0.0</v>
      </c>
      <c r="E151" s="66">
        <v>0.0</v>
      </c>
      <c r="F151" s="66">
        <v>0.0</v>
      </c>
      <c r="G151" s="66">
        <v>0.0</v>
      </c>
      <c r="H151" s="64">
        <f t="shared" ref="H151:J151" si="89">iferror(H$139/if($H$138=0,$H$46,$H142),0)</f>
        <v>0.6875</v>
      </c>
      <c r="I151" s="64">
        <f t="shared" si="89"/>
        <v>1.509375</v>
      </c>
      <c r="J151" s="64">
        <f t="shared" si="89"/>
        <v>1.845703125</v>
      </c>
      <c r="L151" s="35"/>
    </row>
    <row r="152">
      <c r="B152" s="55" t="str">
        <f>G$5</f>
        <v>Series C</v>
      </c>
      <c r="C152" s="34"/>
      <c r="D152" s="66">
        <v>0.0</v>
      </c>
      <c r="E152" s="66">
        <v>0.0</v>
      </c>
      <c r="F152" s="66">
        <v>0.0</v>
      </c>
      <c r="G152" s="66">
        <v>0.0</v>
      </c>
      <c r="H152" s="66">
        <v>0.0</v>
      </c>
      <c r="I152" s="64">
        <f t="shared" ref="I152:J152" si="90">iferror(I$139/if($I$138=0,$I$46,$I143),0)</f>
        <v>1.15</v>
      </c>
      <c r="J152" s="64">
        <f t="shared" si="90"/>
        <v>1.40625</v>
      </c>
      <c r="L152" s="35"/>
    </row>
    <row r="153">
      <c r="B153" s="55" t="str">
        <f>J$5</f>
        <v>Series F+</v>
      </c>
      <c r="C153" s="34"/>
      <c r="D153" s="66">
        <v>0.0</v>
      </c>
      <c r="E153" s="66">
        <v>0.0</v>
      </c>
      <c r="F153" s="66">
        <v>0.0</v>
      </c>
      <c r="G153" s="66">
        <v>0.0</v>
      </c>
      <c r="H153" s="66">
        <v>0.0</v>
      </c>
      <c r="I153" s="66">
        <v>0.0</v>
      </c>
      <c r="J153" s="64">
        <f>iferror(J$139/if($J$138=0,$J$46,$J144),0)</f>
        <v>1.25</v>
      </c>
      <c r="L153" s="35"/>
    </row>
    <row r="154">
      <c r="B154" s="68"/>
      <c r="C154" s="55"/>
      <c r="D154" s="55"/>
      <c r="E154" s="55"/>
      <c r="F154" s="55"/>
      <c r="G154" s="55"/>
      <c r="H154" s="55"/>
      <c r="I154" s="55"/>
      <c r="J154" s="55"/>
      <c r="K154" s="50"/>
      <c r="L154" s="35"/>
    </row>
    <row r="155">
      <c r="B155" s="62" t="s">
        <v>171</v>
      </c>
      <c r="C155" s="55"/>
      <c r="D155" s="55"/>
      <c r="E155" s="55"/>
      <c r="F155" s="55"/>
      <c r="G155" s="55"/>
      <c r="H155" s="55"/>
      <c r="I155" s="55"/>
      <c r="J155" s="55"/>
      <c r="K155" s="69" t="s">
        <v>172</v>
      </c>
      <c r="L155" s="35"/>
      <c r="M155" s="19" t="s">
        <v>173</v>
      </c>
    </row>
    <row r="156">
      <c r="B156" s="55" t="str">
        <f>D$5</f>
        <v>Seed</v>
      </c>
      <c r="C156" s="34"/>
      <c r="D156" s="64">
        <f t="shared" ref="D156:J156" si="91">iferror(D147*D$68/$C$66,0)</f>
        <v>0.09375</v>
      </c>
      <c r="E156" s="64">
        <f t="shared" si="91"/>
        <v>0.196875</v>
      </c>
      <c r="F156" s="64">
        <f t="shared" si="91"/>
        <v>0.5684765625</v>
      </c>
      <c r="G156" s="64">
        <f t="shared" si="91"/>
        <v>0.6096911133</v>
      </c>
      <c r="H156" s="64">
        <f t="shared" si="91"/>
        <v>0.4352842804</v>
      </c>
      <c r="I156" s="64">
        <f t="shared" si="91"/>
        <v>0.5309149178</v>
      </c>
      <c r="J156" s="64">
        <f t="shared" si="91"/>
        <v>0.6492166114</v>
      </c>
      <c r="K156" s="50">
        <f t="shared" ref="K156:K162" si="93">sum(D156:J156)</f>
        <v>3.084208485</v>
      </c>
      <c r="L156" s="35"/>
      <c r="M156" s="34"/>
    </row>
    <row r="157">
      <c r="B157" s="55" t="str">
        <f>E$5</f>
        <v>Series A</v>
      </c>
      <c r="C157" s="34"/>
      <c r="D157" s="66">
        <v>0.0</v>
      </c>
      <c r="E157" s="64">
        <f t="shared" ref="E157:J157" si="92">iferror(E148*E$68/$D$66,0)</f>
        <v>0.1</v>
      </c>
      <c r="F157" s="64">
        <f t="shared" si="92"/>
        <v>0.28875</v>
      </c>
      <c r="G157" s="64">
        <f t="shared" si="92"/>
        <v>0.309684375</v>
      </c>
      <c r="H157" s="64">
        <f t="shared" si="92"/>
        <v>0.2210967773</v>
      </c>
      <c r="I157" s="64">
        <f t="shared" si="92"/>
        <v>0.2696710693</v>
      </c>
      <c r="J157" s="64">
        <f t="shared" si="92"/>
        <v>0.3297608185</v>
      </c>
      <c r="K157" s="50">
        <f t="shared" si="93"/>
        <v>1.51896304</v>
      </c>
      <c r="L157" s="35"/>
      <c r="M157" s="34"/>
    </row>
    <row r="158">
      <c r="B158" s="55" t="str">
        <f>F$5</f>
        <v>Series B</v>
      </c>
      <c r="C158" s="34"/>
      <c r="D158" s="66">
        <v>0.0</v>
      </c>
      <c r="E158" s="66">
        <v>0.0</v>
      </c>
      <c r="F158" s="64">
        <f t="shared" ref="F158:J158" si="94">iferror(F149*F$68/$E$66,0)</f>
        <v>0.375</v>
      </c>
      <c r="G158" s="64">
        <f t="shared" si="94"/>
        <v>0.4021875</v>
      </c>
      <c r="H158" s="64">
        <f t="shared" si="94"/>
        <v>0.2871386719</v>
      </c>
      <c r="I158" s="64">
        <f t="shared" si="94"/>
        <v>0.350222168</v>
      </c>
      <c r="J158" s="64">
        <f t="shared" si="94"/>
        <v>0.4282608032</v>
      </c>
      <c r="K158" s="50">
        <f t="shared" si="93"/>
        <v>1.842809143</v>
      </c>
      <c r="L158" s="35"/>
      <c r="M158" s="34"/>
    </row>
    <row r="159">
      <c r="B159" s="55" t="str">
        <f>G$5</f>
        <v>Series C</v>
      </c>
      <c r="C159" s="34"/>
      <c r="D159" s="66">
        <v>0.0</v>
      </c>
      <c r="E159" s="66">
        <v>0.0</v>
      </c>
      <c r="F159" s="66">
        <v>0.0</v>
      </c>
      <c r="G159" s="64">
        <f t="shared" ref="G159:J159" si="95">iferror(G150*G$68/$F$66,0)</f>
        <v>0.325</v>
      </c>
      <c r="H159" s="64">
        <f t="shared" si="95"/>
        <v>0.23203125</v>
      </c>
      <c r="I159" s="64">
        <f t="shared" si="95"/>
        <v>0.2830078125</v>
      </c>
      <c r="J159" s="64">
        <f t="shared" si="95"/>
        <v>0.3460693359</v>
      </c>
      <c r="K159" s="50">
        <f t="shared" si="93"/>
        <v>1.186108398</v>
      </c>
      <c r="L159" s="35"/>
      <c r="M159" s="34"/>
    </row>
    <row r="160">
      <c r="B160" s="55" t="str">
        <f>H$5</f>
        <v>Series D</v>
      </c>
      <c r="C160" s="34"/>
      <c r="D160" s="66">
        <v>0.0</v>
      </c>
      <c r="E160" s="66">
        <v>0.0</v>
      </c>
      <c r="F160" s="66">
        <v>0.0</v>
      </c>
      <c r="G160" s="66">
        <v>0.0</v>
      </c>
      <c r="H160" s="64">
        <f t="shared" ref="H160:J160" si="96">iferror(H151*H$68/$G$66,0)</f>
        <v>0.309375</v>
      </c>
      <c r="I160" s="64">
        <f t="shared" si="96"/>
        <v>0.37734375</v>
      </c>
      <c r="J160" s="64">
        <f t="shared" si="96"/>
        <v>0.4614257813</v>
      </c>
      <c r="K160" s="50">
        <f t="shared" si="93"/>
        <v>1.148144531</v>
      </c>
      <c r="L160" s="35"/>
      <c r="M160" s="34"/>
    </row>
    <row r="161">
      <c r="B161" s="55" t="str">
        <f>G$5</f>
        <v>Series C</v>
      </c>
      <c r="C161" s="34"/>
      <c r="D161" s="66">
        <v>0.0</v>
      </c>
      <c r="E161" s="66">
        <v>0.0</v>
      </c>
      <c r="F161" s="66">
        <v>0.0</v>
      </c>
      <c r="G161" s="66">
        <v>0.0</v>
      </c>
      <c r="H161" s="66">
        <v>0.0</v>
      </c>
      <c r="I161" s="64">
        <f t="shared" ref="I161:J161" si="97">iferror(I152*I$68/$H$66,0)</f>
        <v>0.575</v>
      </c>
      <c r="J161" s="64">
        <f t="shared" si="97"/>
        <v>0.703125</v>
      </c>
      <c r="K161" s="50">
        <f t="shared" si="93"/>
        <v>1.278125</v>
      </c>
      <c r="L161" s="35"/>
      <c r="M161" s="34"/>
    </row>
    <row r="162">
      <c r="B162" s="55" t="str">
        <f>J$5</f>
        <v>Series F+</v>
      </c>
      <c r="C162" s="34"/>
      <c r="D162" s="66">
        <v>0.0</v>
      </c>
      <c r="E162" s="66">
        <v>0.0</v>
      </c>
      <c r="F162" s="66">
        <v>0.0</v>
      </c>
      <c r="G162" s="66">
        <v>0.0</v>
      </c>
      <c r="H162" s="66">
        <v>0.0</v>
      </c>
      <c r="I162" s="66">
        <v>0.0</v>
      </c>
      <c r="J162" s="64">
        <f>iferror(J153*J$68/$I$66,0)</f>
        <v>1.25</v>
      </c>
      <c r="K162" s="50">
        <f t="shared" si="93"/>
        <v>1.25</v>
      </c>
      <c r="L162" s="35"/>
      <c r="M162" s="34"/>
    </row>
    <row r="163">
      <c r="B163" s="33"/>
      <c r="C163" s="52"/>
      <c r="D163" s="52"/>
      <c r="E163" s="52"/>
      <c r="F163" s="52"/>
      <c r="G163" s="52"/>
      <c r="H163" s="52"/>
      <c r="I163" s="52"/>
      <c r="J163" s="52"/>
      <c r="L163" s="35"/>
      <c r="M163" s="35"/>
    </row>
    <row r="164">
      <c r="B164" s="33"/>
      <c r="C164" s="52"/>
      <c r="D164" s="52"/>
      <c r="E164" s="52"/>
      <c r="F164" s="52"/>
      <c r="G164" s="52"/>
      <c r="H164" s="52"/>
      <c r="I164" s="52"/>
      <c r="J164" s="52"/>
      <c r="L164" s="35"/>
      <c r="M164" s="35"/>
    </row>
    <row r="165">
      <c r="L165" s="35"/>
    </row>
  </sheetData>
  <conditionalFormatting sqref="D147:J153">
    <cfRule type="colorScale" priority="1">
      <colorScale>
        <cfvo type="min"/>
        <cfvo type="percent" val="50"/>
        <cfvo type="max"/>
        <color rgb="FFFFFFFF"/>
        <color rgb="FFFBBC04"/>
        <color rgb="FF34A853"/>
      </colorScale>
    </cfRule>
  </conditionalFormatting>
  <conditionalFormatting sqref="D147:J153">
    <cfRule type="notContainsBlanks" dxfId="4" priority="2">
      <formula>LEN(TRIM(D147))&gt;0</formula>
    </cfRule>
  </conditionalFormatting>
  <conditionalFormatting sqref="D156:J162">
    <cfRule type="colorScale" priority="3">
      <colorScale>
        <cfvo type="min"/>
        <cfvo type="percent" val="50"/>
        <cfvo type="max"/>
        <color rgb="FFFFFFFF"/>
        <color rgb="FFFBBC04"/>
        <color rgb="FF34A853"/>
      </colorScale>
    </cfRule>
  </conditionalFormatting>
  <hyperlinks>
    <hyperlink r:id="rId1" ref="E2"/>
    <hyperlink r:id="rId2" ref="M7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5.63"/>
    <col customWidth="1" min="2" max="2" width="37.63"/>
    <col customWidth="1" min="3" max="3" width="5.88"/>
    <col customWidth="1" min="9" max="9" width="5.75"/>
  </cols>
  <sheetData>
    <row r="1">
      <c r="C1" s="70"/>
    </row>
    <row r="2">
      <c r="B2" s="2" t="s">
        <v>174</v>
      </c>
      <c r="C2" s="70"/>
    </row>
    <row r="3">
      <c r="B3" s="27" t="s">
        <v>175</v>
      </c>
      <c r="C3" s="70"/>
    </row>
    <row r="4">
      <c r="C4" s="70"/>
    </row>
    <row r="5">
      <c r="B5" s="71"/>
      <c r="C5" s="72"/>
      <c r="D5" s="60"/>
      <c r="E5" s="19"/>
      <c r="F5" s="19"/>
      <c r="G5" s="19"/>
      <c r="H5" s="19"/>
      <c r="I5" s="19"/>
      <c r="J5" s="19"/>
    </row>
    <row r="6">
      <c r="B6" s="73" t="s">
        <v>176</v>
      </c>
      <c r="C6" s="74" t="s">
        <v>177</v>
      </c>
      <c r="D6" s="75" t="s">
        <v>178</v>
      </c>
      <c r="E6" s="75" t="s">
        <v>179</v>
      </c>
      <c r="F6" s="28"/>
      <c r="G6" s="28"/>
      <c r="H6" s="28"/>
      <c r="I6" s="28"/>
      <c r="J6" s="28" t="s">
        <v>64</v>
      </c>
    </row>
    <row r="7">
      <c r="B7" s="19"/>
      <c r="E7" s="76" t="s">
        <v>180</v>
      </c>
    </row>
    <row r="8">
      <c r="B8" s="19" t="s">
        <v>181</v>
      </c>
      <c r="C8" s="77" t="s">
        <v>182</v>
      </c>
      <c r="D8" s="38">
        <v>1000000.0</v>
      </c>
      <c r="I8" s="19"/>
      <c r="J8" s="19" t="s">
        <v>183</v>
      </c>
    </row>
    <row r="9">
      <c r="C9" s="78"/>
    </row>
    <row r="10">
      <c r="B10" s="49" t="s">
        <v>184</v>
      </c>
      <c r="C10" s="78"/>
      <c r="I10" s="19"/>
      <c r="J10" s="19"/>
    </row>
    <row r="11">
      <c r="B11" s="19" t="s">
        <v>185</v>
      </c>
      <c r="C11" s="78" t="str">
        <f t="shared" ref="C11:C14" si="1">C$8</f>
        <v>$</v>
      </c>
      <c r="D11" s="38">
        <v>500000.0</v>
      </c>
      <c r="E11" s="79">
        <f>today()-4*12*30</f>
        <v>43940</v>
      </c>
      <c r="I11" s="19"/>
      <c r="J11" s="19" t="s">
        <v>186</v>
      </c>
    </row>
    <row r="12">
      <c r="B12" s="19" t="s">
        <v>187</v>
      </c>
      <c r="C12" s="78" t="str">
        <f t="shared" si="1"/>
        <v>$</v>
      </c>
      <c r="D12" s="38">
        <v>0.0</v>
      </c>
      <c r="I12" s="19"/>
      <c r="J12" s="19" t="s">
        <v>188</v>
      </c>
    </row>
    <row r="13">
      <c r="B13" s="19" t="s">
        <v>93</v>
      </c>
      <c r="C13" s="78" t="str">
        <f t="shared" si="1"/>
        <v>$</v>
      </c>
      <c r="D13" s="38">
        <v>6000000.0</v>
      </c>
      <c r="I13" s="19"/>
      <c r="J13" s="19" t="s">
        <v>189</v>
      </c>
    </row>
    <row r="14">
      <c r="B14" s="19" t="s">
        <v>95</v>
      </c>
      <c r="C14" s="78" t="str">
        <f t="shared" si="1"/>
        <v>$</v>
      </c>
      <c r="D14" s="34">
        <f>SUM(D11:D13)</f>
        <v>6500000</v>
      </c>
      <c r="I14" s="19"/>
      <c r="J14" s="19" t="s">
        <v>190</v>
      </c>
    </row>
    <row r="15">
      <c r="B15" s="19" t="s">
        <v>191</v>
      </c>
      <c r="C15" s="32" t="s">
        <v>192</v>
      </c>
      <c r="D15" s="44">
        <f>iferror(D11/D14,0)</f>
        <v>0.07692307692</v>
      </c>
      <c r="I15" s="19"/>
      <c r="J15" s="19" t="s">
        <v>193</v>
      </c>
    </row>
    <row r="16">
      <c r="C16" s="70"/>
    </row>
    <row r="17">
      <c r="B17" s="49" t="s">
        <v>194</v>
      </c>
      <c r="C17" s="70"/>
      <c r="I17" s="19"/>
      <c r="J17" s="19" t="s">
        <v>195</v>
      </c>
    </row>
    <row r="18">
      <c r="B18" s="19" t="s">
        <v>196</v>
      </c>
      <c r="C18" s="78" t="str">
        <f t="shared" ref="C18:C19" si="2">C$8</f>
        <v>$</v>
      </c>
      <c r="D18" s="38">
        <v>0.0</v>
      </c>
      <c r="E18" s="79">
        <f>today()-1.5*12*30</f>
        <v>44840</v>
      </c>
      <c r="J18" s="19" t="s">
        <v>197</v>
      </c>
    </row>
    <row r="19">
      <c r="B19" s="19" t="s">
        <v>198</v>
      </c>
      <c r="C19" s="78" t="str">
        <f t="shared" si="2"/>
        <v>$</v>
      </c>
      <c r="D19" s="38">
        <v>3000000.0</v>
      </c>
      <c r="J19" s="19" t="s">
        <v>199</v>
      </c>
    </row>
    <row r="20">
      <c r="B20" s="19" t="s">
        <v>200</v>
      </c>
      <c r="C20" s="32" t="s">
        <v>192</v>
      </c>
      <c r="D20" s="39">
        <v>0.0</v>
      </c>
      <c r="J20" s="19" t="s">
        <v>201</v>
      </c>
    </row>
    <row r="21">
      <c r="B21" s="19" t="s">
        <v>202</v>
      </c>
      <c r="C21" s="32" t="s">
        <v>192</v>
      </c>
      <c r="D21" s="39">
        <v>0.3</v>
      </c>
      <c r="I21" s="19"/>
      <c r="J21" s="19" t="s">
        <v>201</v>
      </c>
    </row>
    <row r="22">
      <c r="B22" s="19" t="s">
        <v>203</v>
      </c>
      <c r="C22" s="32" t="s">
        <v>192</v>
      </c>
      <c r="D22" s="39">
        <v>0.2</v>
      </c>
      <c r="J22" s="19" t="s">
        <v>204</v>
      </c>
    </row>
    <row r="23">
      <c r="B23" s="19" t="s">
        <v>205</v>
      </c>
      <c r="C23" s="32" t="s">
        <v>192</v>
      </c>
      <c r="D23" s="44">
        <f>D20+(1-D21)*D15*(1-D22)</f>
        <v>0.04307692308</v>
      </c>
      <c r="J23" s="19" t="s">
        <v>206</v>
      </c>
    </row>
    <row r="24">
      <c r="C24" s="70"/>
    </row>
    <row r="25">
      <c r="B25" s="49" t="s">
        <v>207</v>
      </c>
    </row>
    <row r="26">
      <c r="B26" s="19" t="s">
        <v>141</v>
      </c>
      <c r="C26" s="78" t="str">
        <f t="shared" ref="C26:C27" si="4">C$8</f>
        <v>$</v>
      </c>
      <c r="D26" s="38">
        <f>sum(D18:D19)</f>
        <v>3000000</v>
      </c>
      <c r="E26" s="38">
        <f>sum(D18:D19,D11:D12)</f>
        <v>3500000</v>
      </c>
      <c r="F26" s="38">
        <f>sum(D18:D19,D11:D12,D8)</f>
        <v>4500000</v>
      </c>
      <c r="G26" s="38">
        <f t="shared" ref="G26:H26" si="3">F26*3</f>
        <v>13500000</v>
      </c>
      <c r="H26" s="38">
        <f t="shared" si="3"/>
        <v>40500000</v>
      </c>
      <c r="J26" s="19" t="s">
        <v>208</v>
      </c>
    </row>
    <row r="27">
      <c r="B27" s="19" t="s">
        <v>209</v>
      </c>
      <c r="C27" s="78" t="str">
        <f t="shared" si="4"/>
        <v>$</v>
      </c>
      <c r="D27" s="34">
        <f>sum(D8,D11:D12,D18:D19)</f>
        <v>4500000</v>
      </c>
      <c r="E27" s="34">
        <f t="shared" ref="E27:H27" si="5">D27</f>
        <v>4500000</v>
      </c>
      <c r="F27" s="34">
        <f t="shared" si="5"/>
        <v>4500000</v>
      </c>
      <c r="G27" s="34">
        <f t="shared" si="5"/>
        <v>4500000</v>
      </c>
      <c r="H27" s="34">
        <f t="shared" si="5"/>
        <v>4500000</v>
      </c>
      <c r="I27" s="19"/>
      <c r="J27" s="19" t="s">
        <v>210</v>
      </c>
    </row>
    <row r="28">
      <c r="B28" s="49"/>
      <c r="C28" s="70"/>
    </row>
    <row r="29">
      <c r="B29" s="49" t="s">
        <v>211</v>
      </c>
      <c r="C29" s="70"/>
    </row>
    <row r="30">
      <c r="B30" s="19" t="s">
        <v>212</v>
      </c>
      <c r="C30" s="78" t="str">
        <f t="shared" ref="C30:C33" si="7">C$8</f>
        <v>$</v>
      </c>
      <c r="D30" s="34">
        <f t="shared" ref="D30:H30" si="6">if(D26&gt;D27,0,min($D18,$D18/sum($D18:$D19)*D26))</f>
        <v>0</v>
      </c>
      <c r="E30" s="34">
        <f t="shared" si="6"/>
        <v>0</v>
      </c>
      <c r="F30" s="34">
        <f t="shared" si="6"/>
        <v>0</v>
      </c>
      <c r="G30" s="34">
        <f t="shared" si="6"/>
        <v>0</v>
      </c>
      <c r="H30" s="34">
        <f t="shared" si="6"/>
        <v>0</v>
      </c>
      <c r="J30" s="19" t="s">
        <v>213</v>
      </c>
    </row>
    <row r="31">
      <c r="B31" s="19" t="s">
        <v>214</v>
      </c>
      <c r="C31" s="78" t="str">
        <f t="shared" si="7"/>
        <v>$</v>
      </c>
      <c r="D31" s="34">
        <f t="shared" ref="D31:H31" si="8">if(D26&gt;sum($D18:$D19,$D11:$D12,$D8), 0, if(D26&lt;=sum($D18,$D19),0, min($D11,$D11/sum($D11:$D12,$D8)*D26)))</f>
        <v>0</v>
      </c>
      <c r="E31" s="34">
        <f t="shared" si="8"/>
        <v>500000</v>
      </c>
      <c r="F31" s="34">
        <f t="shared" si="8"/>
        <v>500000</v>
      </c>
      <c r="G31" s="34">
        <f t="shared" si="8"/>
        <v>0</v>
      </c>
      <c r="H31" s="34">
        <f t="shared" si="8"/>
        <v>0</v>
      </c>
      <c r="J31" s="19" t="s">
        <v>213</v>
      </c>
    </row>
    <row r="32">
      <c r="B32" s="59" t="s">
        <v>153</v>
      </c>
      <c r="C32" s="78" t="str">
        <f t="shared" si="7"/>
        <v>$</v>
      </c>
      <c r="D32" s="34">
        <f t="shared" ref="D32:H32" si="9">max(0,D26-D27)*$D23</f>
        <v>0</v>
      </c>
      <c r="E32" s="34">
        <f t="shared" si="9"/>
        <v>0</v>
      </c>
      <c r="F32" s="34">
        <f t="shared" si="9"/>
        <v>0</v>
      </c>
      <c r="G32" s="34">
        <f t="shared" si="9"/>
        <v>387692.3077</v>
      </c>
      <c r="H32" s="34">
        <f t="shared" si="9"/>
        <v>1550769.231</v>
      </c>
      <c r="J32" s="19" t="s">
        <v>213</v>
      </c>
    </row>
    <row r="33">
      <c r="B33" s="19" t="s">
        <v>215</v>
      </c>
      <c r="C33" s="78" t="str">
        <f t="shared" si="7"/>
        <v>$</v>
      </c>
      <c r="D33" s="34">
        <f t="shared" ref="D33:H33" si="10">sum(D30:D32)</f>
        <v>0</v>
      </c>
      <c r="E33" s="34">
        <f t="shared" si="10"/>
        <v>500000</v>
      </c>
      <c r="F33" s="34">
        <f t="shared" si="10"/>
        <v>500000</v>
      </c>
      <c r="G33" s="34">
        <f t="shared" si="10"/>
        <v>387692.3077</v>
      </c>
      <c r="H33" s="34">
        <f t="shared" si="10"/>
        <v>1550769.231</v>
      </c>
      <c r="J33" s="19" t="s">
        <v>216</v>
      </c>
    </row>
    <row r="34">
      <c r="C34" s="70"/>
    </row>
    <row r="35">
      <c r="B35" s="19" t="s">
        <v>217</v>
      </c>
      <c r="C35" s="32" t="s">
        <v>218</v>
      </c>
      <c r="D35" s="52">
        <f t="shared" ref="D35:H35" si="11">D33/sum($D18,$D11)</f>
        <v>0</v>
      </c>
      <c r="E35" s="52">
        <f t="shared" si="11"/>
        <v>1</v>
      </c>
      <c r="F35" s="52">
        <f t="shared" si="11"/>
        <v>1</v>
      </c>
      <c r="G35" s="52">
        <f t="shared" si="11"/>
        <v>0.7753846154</v>
      </c>
      <c r="H35" s="52">
        <f t="shared" si="11"/>
        <v>3.101538462</v>
      </c>
      <c r="J35" s="19" t="s">
        <v>219</v>
      </c>
    </row>
    <row r="36">
      <c r="B36" s="19" t="s">
        <v>220</v>
      </c>
      <c r="C36" s="32" t="s">
        <v>192</v>
      </c>
      <c r="D36" s="39">
        <v>0.0</v>
      </c>
      <c r="E36" s="39">
        <v>0.0</v>
      </c>
      <c r="F36" s="39">
        <v>0.0</v>
      </c>
      <c r="G36" s="39">
        <v>0.0</v>
      </c>
      <c r="H36" s="61">
        <f>1-sum(D36:G36)</f>
        <v>1</v>
      </c>
      <c r="J36" s="19" t="s">
        <v>221</v>
      </c>
    </row>
    <row r="37">
      <c r="B37" s="19" t="s">
        <v>222</v>
      </c>
      <c r="C37" s="78" t="str">
        <f>C$8</f>
        <v>$</v>
      </c>
      <c r="D37" s="34">
        <f>sumproduct(D36:H36,D33:H33)</f>
        <v>1550769.231</v>
      </c>
      <c r="J37" s="19" t="s">
        <v>223</v>
      </c>
    </row>
    <row r="38">
      <c r="B38" s="19" t="s">
        <v>224</v>
      </c>
      <c r="C38" s="32" t="s">
        <v>218</v>
      </c>
      <c r="D38" s="52">
        <f>D37/sum($D18,$D11)</f>
        <v>3.101538462</v>
      </c>
      <c r="J38" s="19" t="s">
        <v>223</v>
      </c>
    </row>
    <row r="39" collapsed="1">
      <c r="A39" s="80"/>
      <c r="B39" s="49" t="s">
        <v>225</v>
      </c>
      <c r="C39" s="81" t="s">
        <v>218</v>
      </c>
      <c r="D39" s="82">
        <f>xirr(D42:D44,E42:E44)</f>
        <v>0.3322973313</v>
      </c>
      <c r="E39" s="83">
        <f>today()</f>
        <v>45380</v>
      </c>
      <c r="F39" s="80"/>
      <c r="G39" s="80"/>
      <c r="H39" s="80"/>
      <c r="I39" s="80"/>
      <c r="J39" s="49" t="s">
        <v>226</v>
      </c>
      <c r="K39" s="80"/>
      <c r="L39" s="80"/>
      <c r="M39" s="80"/>
      <c r="N39" s="80"/>
      <c r="O39" s="80"/>
      <c r="P39" s="80"/>
      <c r="Q39" s="80"/>
      <c r="R39" s="80"/>
      <c r="S39" s="80"/>
      <c r="T39" s="80"/>
      <c r="U39" s="80"/>
      <c r="V39" s="80"/>
      <c r="W39" s="80"/>
      <c r="X39" s="80"/>
      <c r="Y39" s="80"/>
      <c r="Z39" s="80"/>
      <c r="AA39" s="80"/>
      <c r="AB39" s="80"/>
    </row>
    <row r="40" hidden="1" outlineLevel="1">
      <c r="C40" s="70"/>
    </row>
    <row r="41" hidden="1" outlineLevel="1">
      <c r="B41" s="19" t="s">
        <v>227</v>
      </c>
      <c r="C41" s="70"/>
    </row>
    <row r="42" hidden="1" outlineLevel="1">
      <c r="B42" s="19" t="s">
        <v>228</v>
      </c>
      <c r="C42" s="78" t="str">
        <f t="shared" ref="C42:C44" si="12">C$8</f>
        <v>$</v>
      </c>
      <c r="D42" s="34">
        <f>D11*-1</f>
        <v>-500000</v>
      </c>
      <c r="E42" s="84">
        <f>E11</f>
        <v>43940</v>
      </c>
    </row>
    <row r="43" hidden="1" outlineLevel="1">
      <c r="B43" s="19" t="s">
        <v>228</v>
      </c>
      <c r="C43" s="78" t="str">
        <f t="shared" si="12"/>
        <v>$</v>
      </c>
      <c r="D43" s="34">
        <f>D18*-1</f>
        <v>0</v>
      </c>
      <c r="E43" s="84">
        <f>E18</f>
        <v>44840</v>
      </c>
    </row>
    <row r="44" hidden="1" outlineLevel="1">
      <c r="B44" s="19" t="s">
        <v>229</v>
      </c>
      <c r="C44" s="78" t="str">
        <f t="shared" si="12"/>
        <v>$</v>
      </c>
      <c r="D44" s="34">
        <f>D37</f>
        <v>1550769.231</v>
      </c>
      <c r="E44" s="84">
        <f>E39</f>
        <v>45380</v>
      </c>
    </row>
    <row r="45">
      <c r="C45" s="70"/>
    </row>
    <row r="46">
      <c r="C46" s="7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2" width="37.75"/>
    <col customWidth="1" min="3" max="3" width="43.38"/>
    <col customWidth="1" min="4" max="4" width="70.13"/>
  </cols>
  <sheetData>
    <row r="1">
      <c r="A1" s="85"/>
      <c r="B1" s="85"/>
      <c r="C1" s="85"/>
      <c r="D1" s="85"/>
      <c r="E1" s="85"/>
      <c r="F1" s="85"/>
    </row>
    <row r="2">
      <c r="A2" s="85"/>
      <c r="B2" s="86" t="s">
        <v>230</v>
      </c>
      <c r="C2" s="85"/>
      <c r="D2" s="85"/>
      <c r="E2" s="85"/>
      <c r="F2" s="85"/>
    </row>
    <row r="3">
      <c r="A3" s="85"/>
      <c r="B3" s="87" t="s">
        <v>231</v>
      </c>
      <c r="C3" s="88"/>
      <c r="D3" s="89"/>
      <c r="E3" s="85"/>
      <c r="F3" s="85"/>
    </row>
    <row r="4">
      <c r="A4" s="85"/>
      <c r="B4" s="89"/>
      <c r="C4" s="89"/>
      <c r="D4" s="89"/>
      <c r="E4" s="85"/>
      <c r="F4" s="85"/>
    </row>
    <row r="5">
      <c r="A5" s="85"/>
      <c r="B5" s="90" t="s">
        <v>232</v>
      </c>
      <c r="C5" s="90" t="s">
        <v>233</v>
      </c>
      <c r="D5" s="90" t="s">
        <v>234</v>
      </c>
      <c r="E5" s="85"/>
      <c r="F5" s="85"/>
    </row>
    <row r="6">
      <c r="A6" s="85"/>
      <c r="B6" s="89"/>
      <c r="C6" s="89"/>
      <c r="D6" s="89"/>
      <c r="E6" s="85"/>
      <c r="F6" s="85"/>
    </row>
    <row r="7">
      <c r="A7" s="85"/>
      <c r="B7" s="91" t="s">
        <v>235</v>
      </c>
      <c r="C7" s="91" t="s">
        <v>236</v>
      </c>
      <c r="D7" s="92" t="s">
        <v>237</v>
      </c>
      <c r="E7" s="85"/>
      <c r="F7" s="85"/>
    </row>
    <row r="8">
      <c r="A8" s="85"/>
      <c r="B8" s="93" t="s">
        <v>238</v>
      </c>
      <c r="C8" s="93" t="s">
        <v>239</v>
      </c>
      <c r="D8" s="94" t="s">
        <v>240</v>
      </c>
      <c r="E8" s="85"/>
      <c r="F8" s="85"/>
    </row>
    <row r="9">
      <c r="A9" s="85"/>
      <c r="B9" s="91" t="s">
        <v>241</v>
      </c>
      <c r="C9" s="91" t="s">
        <v>242</v>
      </c>
      <c r="D9" s="92" t="s">
        <v>243</v>
      </c>
      <c r="E9" s="85"/>
      <c r="F9" s="85"/>
    </row>
    <row r="10">
      <c r="A10" s="85"/>
      <c r="B10" s="93" t="s">
        <v>244</v>
      </c>
      <c r="C10" s="93" t="s">
        <v>245</v>
      </c>
      <c r="D10" s="94" t="s">
        <v>246</v>
      </c>
      <c r="E10" s="85"/>
      <c r="F10" s="85"/>
    </row>
    <row r="11">
      <c r="A11" s="89"/>
      <c r="B11" s="91" t="s">
        <v>247</v>
      </c>
      <c r="C11" s="91" t="s">
        <v>248</v>
      </c>
      <c r="D11" s="92" t="s">
        <v>249</v>
      </c>
      <c r="E11" s="85"/>
      <c r="F11" s="85"/>
    </row>
    <row r="12">
      <c r="A12" s="95"/>
      <c r="B12" s="93" t="s">
        <v>250</v>
      </c>
      <c r="C12" s="93" t="s">
        <v>251</v>
      </c>
      <c r="D12" s="94" t="s">
        <v>252</v>
      </c>
      <c r="E12" s="85"/>
      <c r="F12" s="85"/>
    </row>
    <row r="13">
      <c r="A13" s="96"/>
      <c r="B13" s="91" t="s">
        <v>253</v>
      </c>
      <c r="C13" s="91" t="s">
        <v>254</v>
      </c>
      <c r="D13" s="97" t="s">
        <v>255</v>
      </c>
      <c r="E13" s="85"/>
      <c r="F13" s="85"/>
    </row>
    <row r="14">
      <c r="A14" s="85"/>
      <c r="B14" s="93" t="s">
        <v>253</v>
      </c>
      <c r="C14" s="93" t="s">
        <v>256</v>
      </c>
      <c r="D14" s="98" t="s">
        <v>255</v>
      </c>
      <c r="E14" s="85"/>
      <c r="F14" s="85"/>
    </row>
    <row r="15">
      <c r="A15" s="89"/>
      <c r="B15" s="91" t="s">
        <v>257</v>
      </c>
      <c r="C15" s="91" t="s">
        <v>258</v>
      </c>
      <c r="D15" s="97" t="s">
        <v>255</v>
      </c>
      <c r="E15" s="85"/>
      <c r="F15" s="85"/>
    </row>
    <row r="16">
      <c r="A16" s="95"/>
      <c r="B16" s="93" t="s">
        <v>259</v>
      </c>
      <c r="C16" s="93" t="s">
        <v>260</v>
      </c>
      <c r="D16" s="98" t="s">
        <v>255</v>
      </c>
      <c r="E16" s="85"/>
      <c r="F16" s="85"/>
    </row>
    <row r="17">
      <c r="A17" s="96"/>
      <c r="B17" s="91" t="s">
        <v>261</v>
      </c>
      <c r="C17" s="91" t="s">
        <v>262</v>
      </c>
      <c r="D17" s="92" t="s">
        <v>263</v>
      </c>
      <c r="E17" s="85"/>
      <c r="F17" s="85"/>
    </row>
    <row r="18">
      <c r="A18" s="85"/>
      <c r="B18" s="93" t="s">
        <v>264</v>
      </c>
      <c r="C18" s="93" t="s">
        <v>265</v>
      </c>
      <c r="D18" s="98" t="s">
        <v>255</v>
      </c>
      <c r="E18" s="85"/>
      <c r="F18" s="85"/>
    </row>
    <row r="19">
      <c r="A19" s="85"/>
      <c r="B19" s="99" t="s">
        <v>266</v>
      </c>
      <c r="C19" s="91" t="s">
        <v>267</v>
      </c>
      <c r="D19" s="100" t="s">
        <v>268</v>
      </c>
      <c r="E19" s="85"/>
      <c r="F19" s="85"/>
    </row>
    <row r="20">
      <c r="A20" s="85"/>
      <c r="B20" s="93" t="s">
        <v>269</v>
      </c>
      <c r="C20" s="93" t="s">
        <v>270</v>
      </c>
      <c r="D20" s="98" t="s">
        <v>271</v>
      </c>
      <c r="E20" s="85"/>
      <c r="F20" s="85"/>
    </row>
    <row r="21">
      <c r="A21" s="85"/>
      <c r="B21" s="91" t="s">
        <v>272</v>
      </c>
      <c r="C21" s="91" t="s">
        <v>273</v>
      </c>
      <c r="D21" s="92" t="s">
        <v>274</v>
      </c>
      <c r="E21" s="85"/>
      <c r="F21" s="85"/>
    </row>
    <row r="22">
      <c r="A22" s="85"/>
      <c r="B22" s="93" t="s">
        <v>275</v>
      </c>
      <c r="C22" s="93" t="s">
        <v>276</v>
      </c>
      <c r="D22" s="94" t="s">
        <v>277</v>
      </c>
      <c r="E22" s="85"/>
      <c r="F22" s="85"/>
    </row>
    <row r="23">
      <c r="A23" s="85"/>
      <c r="B23" s="91" t="s">
        <v>0</v>
      </c>
      <c r="C23" s="91" t="s">
        <v>278</v>
      </c>
      <c r="D23" s="92" t="s">
        <v>279</v>
      </c>
      <c r="E23" s="85"/>
      <c r="F23" s="85"/>
    </row>
    <row r="24">
      <c r="A24" s="85"/>
      <c r="B24" s="93" t="s">
        <v>280</v>
      </c>
      <c r="C24" s="93" t="s">
        <v>281</v>
      </c>
      <c r="D24" s="94" t="s">
        <v>282</v>
      </c>
      <c r="E24" s="85"/>
      <c r="F24" s="85"/>
    </row>
    <row r="25">
      <c r="A25" s="85"/>
      <c r="B25" s="99" t="s">
        <v>283</v>
      </c>
      <c r="C25" s="99" t="s">
        <v>284</v>
      </c>
      <c r="D25" s="101" t="s">
        <v>285</v>
      </c>
      <c r="E25" s="85"/>
      <c r="F25" s="85"/>
    </row>
    <row r="26">
      <c r="A26" s="85"/>
      <c r="B26" s="102" t="s">
        <v>286</v>
      </c>
      <c r="C26" s="102" t="s">
        <v>287</v>
      </c>
      <c r="D26" s="103" t="s">
        <v>288</v>
      </c>
      <c r="E26" s="85"/>
      <c r="F26" s="85"/>
    </row>
    <row r="27">
      <c r="A27" s="85"/>
      <c r="B27" s="85"/>
      <c r="C27" s="85"/>
      <c r="D27" s="85"/>
      <c r="E27" s="85"/>
      <c r="F27" s="85"/>
    </row>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20"/>
    <hyperlink r:id="rId14" ref="D21"/>
    <hyperlink r:id="rId15" ref="D22"/>
    <hyperlink r:id="rId16" ref="D23"/>
    <hyperlink r:id="rId17" ref="D24"/>
    <hyperlink r:id="rId18" ref="D25"/>
    <hyperlink r:id="rId19" ref="D26"/>
  </hyperlinks>
  <drawing r:id="rId20"/>
  <tableParts count="1">
    <tablePart r:id="rId2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8.63"/>
    <col customWidth="1" min="3" max="3" width="21.13"/>
    <col customWidth="1" min="4" max="4" width="16.38"/>
    <col customWidth="1" min="5" max="5" width="11.38"/>
    <col customWidth="1" min="6" max="13" width="12.63"/>
    <col customWidth="1" min="14" max="14" width="15.38"/>
    <col customWidth="1" min="15" max="20" width="12.63"/>
  </cols>
  <sheetData>
    <row r="1">
      <c r="A1" s="85"/>
      <c r="B1" s="85"/>
      <c r="C1" s="85"/>
      <c r="D1" s="85"/>
      <c r="E1" s="85"/>
      <c r="F1" s="85"/>
      <c r="G1" s="85"/>
      <c r="H1" s="85"/>
      <c r="I1" s="85"/>
      <c r="J1" s="85"/>
      <c r="K1" s="85"/>
      <c r="L1" s="85"/>
      <c r="M1" s="85"/>
      <c r="N1" s="85"/>
      <c r="O1" s="85"/>
      <c r="P1" s="85"/>
      <c r="Q1" s="85"/>
      <c r="R1" s="85"/>
      <c r="S1" s="85"/>
      <c r="T1" s="85"/>
      <c r="U1" s="85"/>
    </row>
    <row r="2">
      <c r="A2" s="85"/>
      <c r="B2" s="104" t="s">
        <v>289</v>
      </c>
      <c r="C2" s="85"/>
      <c r="D2" s="85"/>
      <c r="E2" s="85"/>
      <c r="F2" s="85"/>
      <c r="G2" s="85"/>
      <c r="H2" s="85"/>
      <c r="I2" s="85"/>
      <c r="J2" s="85"/>
      <c r="K2" s="85"/>
      <c r="L2" s="85"/>
      <c r="M2" s="85"/>
      <c r="N2" s="85"/>
      <c r="O2" s="85"/>
      <c r="P2" s="85"/>
      <c r="Q2" s="85"/>
      <c r="R2" s="85"/>
      <c r="S2" s="85"/>
      <c r="T2" s="85"/>
      <c r="U2" s="85"/>
    </row>
    <row r="3">
      <c r="A3" s="85"/>
      <c r="B3" s="87" t="s">
        <v>290</v>
      </c>
      <c r="C3" s="105"/>
      <c r="D3" s="105"/>
      <c r="E3" s="105"/>
      <c r="F3" s="85"/>
      <c r="G3" s="85"/>
      <c r="H3" s="85"/>
      <c r="I3" s="85"/>
      <c r="J3" s="85"/>
      <c r="K3" s="85"/>
      <c r="L3" s="85"/>
      <c r="M3" s="85"/>
      <c r="N3" s="85"/>
      <c r="O3" s="85"/>
      <c r="P3" s="85"/>
      <c r="Q3" s="85"/>
      <c r="R3" s="85"/>
      <c r="S3" s="85"/>
      <c r="T3" s="85"/>
      <c r="U3" s="85"/>
    </row>
    <row r="4">
      <c r="A4" s="85"/>
      <c r="B4" s="85"/>
      <c r="C4" s="85"/>
      <c r="D4" s="85"/>
      <c r="E4" s="85"/>
      <c r="F4" s="85"/>
      <c r="G4" s="85"/>
      <c r="H4" s="85"/>
      <c r="I4" s="85"/>
      <c r="J4" s="85"/>
      <c r="K4" s="85"/>
      <c r="L4" s="85"/>
      <c r="M4" s="85"/>
      <c r="N4" s="85"/>
      <c r="O4" s="85"/>
      <c r="P4" s="85"/>
      <c r="Q4" s="85"/>
      <c r="R4" s="85"/>
      <c r="S4" s="85"/>
      <c r="T4" s="85"/>
      <c r="U4" s="85"/>
    </row>
    <row r="5">
      <c r="A5" s="85"/>
      <c r="B5" s="106" t="s">
        <v>291</v>
      </c>
      <c r="C5" s="106" t="s">
        <v>234</v>
      </c>
      <c r="D5" s="106" t="s">
        <v>292</v>
      </c>
      <c r="E5" s="106" t="s">
        <v>293</v>
      </c>
      <c r="F5" s="107" t="s">
        <v>294</v>
      </c>
      <c r="G5" s="107" t="s">
        <v>295</v>
      </c>
      <c r="H5" s="107" t="s">
        <v>296</v>
      </c>
      <c r="I5" s="107" t="s">
        <v>297</v>
      </c>
      <c r="J5" s="107" t="s">
        <v>298</v>
      </c>
      <c r="K5" s="107" t="s">
        <v>299</v>
      </c>
      <c r="L5" s="107" t="s">
        <v>300</v>
      </c>
      <c r="M5" s="107" t="s">
        <v>301</v>
      </c>
      <c r="N5" s="107" t="s">
        <v>302</v>
      </c>
      <c r="O5" s="107" t="s">
        <v>303</v>
      </c>
      <c r="P5" s="107" t="s">
        <v>304</v>
      </c>
      <c r="Q5" s="107" t="s">
        <v>305</v>
      </c>
      <c r="R5" s="107" t="s">
        <v>306</v>
      </c>
      <c r="S5" s="107" t="s">
        <v>307</v>
      </c>
      <c r="T5" s="107" t="s">
        <v>308</v>
      </c>
      <c r="U5" s="85"/>
    </row>
    <row r="6">
      <c r="A6" s="108"/>
      <c r="B6" s="108"/>
      <c r="C6" s="108"/>
      <c r="D6" s="109"/>
      <c r="E6" s="109"/>
      <c r="F6" s="109"/>
      <c r="G6" s="108"/>
      <c r="H6" s="109"/>
      <c r="I6" s="109"/>
      <c r="J6" s="108"/>
      <c r="K6" s="108"/>
      <c r="L6" s="108"/>
      <c r="M6" s="108"/>
      <c r="N6" s="108"/>
      <c r="O6" s="108"/>
      <c r="P6" s="108"/>
      <c r="Q6" s="108"/>
      <c r="R6" s="108"/>
      <c r="S6" s="108"/>
      <c r="T6" s="108"/>
      <c r="U6" s="108"/>
    </row>
    <row r="7">
      <c r="A7" s="108"/>
      <c r="B7" s="99" t="s">
        <v>309</v>
      </c>
      <c r="C7" s="92" t="s">
        <v>255</v>
      </c>
      <c r="D7" s="91" t="s">
        <v>310</v>
      </c>
      <c r="E7" s="91" t="s">
        <v>311</v>
      </c>
      <c r="F7" s="110" t="b">
        <v>1</v>
      </c>
      <c r="G7" s="111" t="b">
        <v>0</v>
      </c>
      <c r="H7" s="110" t="b">
        <v>0</v>
      </c>
      <c r="I7" s="110" t="b">
        <v>1</v>
      </c>
      <c r="J7" s="111" t="b">
        <v>0</v>
      </c>
      <c r="K7" s="111" t="b">
        <v>0</v>
      </c>
      <c r="L7" s="111" t="b">
        <v>0</v>
      </c>
      <c r="M7" s="111" t="b">
        <v>0</v>
      </c>
      <c r="N7" s="112" t="s">
        <v>312</v>
      </c>
      <c r="O7" s="111" t="b">
        <v>0</v>
      </c>
      <c r="P7" s="111" t="b">
        <v>0</v>
      </c>
      <c r="Q7" s="111" t="b">
        <v>0</v>
      </c>
      <c r="R7" s="111" t="b">
        <v>0</v>
      </c>
      <c r="S7" s="111" t="b">
        <v>0</v>
      </c>
      <c r="T7" s="111" t="b">
        <v>0</v>
      </c>
      <c r="U7" s="108"/>
    </row>
    <row r="8">
      <c r="A8" s="108"/>
      <c r="B8" s="102" t="s">
        <v>253</v>
      </c>
      <c r="C8" s="94" t="s">
        <v>255</v>
      </c>
      <c r="D8" s="93" t="s">
        <v>313</v>
      </c>
      <c r="E8" s="93" t="s">
        <v>311</v>
      </c>
      <c r="F8" s="113" t="b">
        <v>1</v>
      </c>
      <c r="G8" s="114" t="b">
        <v>0</v>
      </c>
      <c r="H8" s="113" t="b">
        <v>0</v>
      </c>
      <c r="I8" s="113" t="b">
        <v>1</v>
      </c>
      <c r="J8" s="114" t="b">
        <v>0</v>
      </c>
      <c r="K8" s="114" t="b">
        <v>0</v>
      </c>
      <c r="L8" s="114" t="b">
        <v>0</v>
      </c>
      <c r="M8" s="114" t="b">
        <v>0</v>
      </c>
      <c r="N8" s="115" t="s">
        <v>312</v>
      </c>
      <c r="O8" s="114" t="b">
        <v>0</v>
      </c>
      <c r="P8" s="114" t="b">
        <v>0</v>
      </c>
      <c r="Q8" s="114" t="b">
        <v>0</v>
      </c>
      <c r="R8" s="114" t="b">
        <v>0</v>
      </c>
      <c r="S8" s="114" t="b">
        <v>0</v>
      </c>
      <c r="T8" s="114" t="b">
        <v>0</v>
      </c>
      <c r="U8" s="108"/>
    </row>
    <row r="9">
      <c r="A9" s="108"/>
      <c r="B9" s="99" t="s">
        <v>257</v>
      </c>
      <c r="C9" s="92" t="s">
        <v>255</v>
      </c>
      <c r="D9" s="91" t="s">
        <v>310</v>
      </c>
      <c r="E9" s="91" t="s">
        <v>311</v>
      </c>
      <c r="F9" s="110" t="b">
        <v>1</v>
      </c>
      <c r="G9" s="110" t="b">
        <v>1</v>
      </c>
      <c r="H9" s="110" t="b">
        <v>0</v>
      </c>
      <c r="I9" s="110" t="b">
        <v>1</v>
      </c>
      <c r="J9" s="111" t="b">
        <v>0</v>
      </c>
      <c r="K9" s="111" t="b">
        <v>0</v>
      </c>
      <c r="L9" s="110" t="b">
        <v>0</v>
      </c>
      <c r="M9" s="111" t="b">
        <v>0</v>
      </c>
      <c r="N9" s="112" t="s">
        <v>312</v>
      </c>
      <c r="O9" s="110" t="b">
        <v>0</v>
      </c>
      <c r="P9" s="111" t="b">
        <v>0</v>
      </c>
      <c r="Q9" s="111" t="b">
        <v>0</v>
      </c>
      <c r="R9" s="111" t="b">
        <v>0</v>
      </c>
      <c r="S9" s="111" t="b">
        <v>0</v>
      </c>
      <c r="T9" s="111" t="b">
        <v>0</v>
      </c>
      <c r="U9" s="108"/>
    </row>
    <row r="10">
      <c r="A10" s="108"/>
      <c r="B10" s="102" t="s">
        <v>257</v>
      </c>
      <c r="C10" s="94" t="s">
        <v>255</v>
      </c>
      <c r="D10" s="93" t="s">
        <v>313</v>
      </c>
      <c r="E10" s="93" t="s">
        <v>311</v>
      </c>
      <c r="F10" s="113" t="b">
        <v>1</v>
      </c>
      <c r="G10" s="113" t="b">
        <v>1</v>
      </c>
      <c r="H10" s="113" t="b">
        <v>0</v>
      </c>
      <c r="I10" s="113" t="b">
        <v>1</v>
      </c>
      <c r="J10" s="114" t="b">
        <v>0</v>
      </c>
      <c r="K10" s="114" t="b">
        <v>0</v>
      </c>
      <c r="L10" s="113" t="b">
        <v>0</v>
      </c>
      <c r="M10" s="113" t="b">
        <v>0</v>
      </c>
      <c r="N10" s="115" t="s">
        <v>312</v>
      </c>
      <c r="O10" s="114" t="b">
        <v>0</v>
      </c>
      <c r="P10" s="114" t="b">
        <v>0</v>
      </c>
      <c r="Q10" s="114" t="b">
        <v>0</v>
      </c>
      <c r="R10" s="114" t="b">
        <v>0</v>
      </c>
      <c r="S10" s="114" t="b">
        <v>0</v>
      </c>
      <c r="T10" s="114" t="b">
        <v>0</v>
      </c>
      <c r="U10" s="108"/>
    </row>
    <row r="11">
      <c r="A11" s="108"/>
      <c r="B11" s="99" t="s">
        <v>314</v>
      </c>
      <c r="C11" s="92" t="s">
        <v>255</v>
      </c>
      <c r="D11" s="91" t="s">
        <v>310</v>
      </c>
      <c r="E11" s="91" t="s">
        <v>311</v>
      </c>
      <c r="F11" s="110" t="b">
        <v>1</v>
      </c>
      <c r="G11" s="110" t="b">
        <v>1</v>
      </c>
      <c r="H11" s="110" t="b">
        <v>0</v>
      </c>
      <c r="I11" s="110" t="b">
        <v>1</v>
      </c>
      <c r="J11" s="111" t="b">
        <v>1</v>
      </c>
      <c r="K11" s="111" t="b">
        <v>0</v>
      </c>
      <c r="L11" s="110" t="b">
        <v>0</v>
      </c>
      <c r="M11" s="110" t="b">
        <v>0</v>
      </c>
      <c r="N11" s="112" t="s">
        <v>312</v>
      </c>
      <c r="O11" s="111" t="b">
        <v>0</v>
      </c>
      <c r="P11" s="111" t="b">
        <v>0</v>
      </c>
      <c r="Q11" s="111" t="b">
        <v>0</v>
      </c>
      <c r="R11" s="111" t="b">
        <v>0</v>
      </c>
      <c r="S11" s="111" t="b">
        <v>0</v>
      </c>
      <c r="T11" s="111" t="b">
        <v>0</v>
      </c>
      <c r="U11" s="108"/>
    </row>
    <row r="12">
      <c r="A12" s="108"/>
      <c r="B12" s="102" t="s">
        <v>315</v>
      </c>
      <c r="C12" s="94" t="s">
        <v>263</v>
      </c>
      <c r="D12" s="93" t="s">
        <v>310</v>
      </c>
      <c r="E12" s="116" t="s">
        <v>316</v>
      </c>
      <c r="F12" s="113" t="b">
        <v>1</v>
      </c>
      <c r="G12" s="113" t="b">
        <v>1</v>
      </c>
      <c r="H12" s="113" t="b">
        <v>1</v>
      </c>
      <c r="I12" s="113" t="b">
        <v>1</v>
      </c>
      <c r="J12" s="114" t="b">
        <v>1</v>
      </c>
      <c r="K12" s="114" t="b">
        <v>1</v>
      </c>
      <c r="L12" s="113" t="b">
        <v>0</v>
      </c>
      <c r="M12" s="113" t="b">
        <v>0</v>
      </c>
      <c r="N12" s="115" t="s">
        <v>317</v>
      </c>
      <c r="O12" s="114" t="b">
        <v>1</v>
      </c>
      <c r="P12" s="114" t="b">
        <v>1</v>
      </c>
      <c r="Q12" s="114" t="b">
        <v>0</v>
      </c>
      <c r="R12" s="114" t="b">
        <v>0</v>
      </c>
      <c r="S12" s="114" t="b">
        <v>0</v>
      </c>
      <c r="T12" s="114" t="b">
        <v>0</v>
      </c>
      <c r="U12" s="108"/>
    </row>
    <row r="13">
      <c r="A13" s="108"/>
      <c r="B13" s="91" t="s">
        <v>264</v>
      </c>
      <c r="C13" s="92" t="s">
        <v>255</v>
      </c>
      <c r="D13" s="91" t="s">
        <v>310</v>
      </c>
      <c r="E13" s="117" t="s">
        <v>318</v>
      </c>
      <c r="F13" s="110" t="b">
        <v>1</v>
      </c>
      <c r="G13" s="110" t="b">
        <v>1</v>
      </c>
      <c r="H13" s="110" t="b">
        <v>1</v>
      </c>
      <c r="I13" s="110" t="b">
        <v>1</v>
      </c>
      <c r="J13" s="110" t="b">
        <v>1</v>
      </c>
      <c r="K13" s="110" t="b">
        <v>1</v>
      </c>
      <c r="L13" s="110" t="b">
        <v>1</v>
      </c>
      <c r="M13" s="110" t="b">
        <v>1</v>
      </c>
      <c r="N13" s="118" t="s">
        <v>312</v>
      </c>
      <c r="O13" s="110" t="b">
        <v>1</v>
      </c>
      <c r="P13" s="110" t="b">
        <v>1</v>
      </c>
      <c r="Q13" s="111" t="b">
        <v>0</v>
      </c>
      <c r="R13" s="110" t="b">
        <v>0</v>
      </c>
      <c r="S13" s="111" t="b">
        <v>0</v>
      </c>
      <c r="T13" s="111" t="b">
        <v>0</v>
      </c>
      <c r="U13" s="108"/>
    </row>
    <row r="14">
      <c r="A14" s="108"/>
      <c r="B14" s="93" t="s">
        <v>319</v>
      </c>
      <c r="C14" s="94" t="s">
        <v>255</v>
      </c>
      <c r="D14" s="93" t="s">
        <v>310</v>
      </c>
      <c r="E14" s="116" t="s">
        <v>311</v>
      </c>
      <c r="F14" s="113" t="b">
        <v>1</v>
      </c>
      <c r="G14" s="113" t="b">
        <v>1</v>
      </c>
      <c r="H14" s="113" t="b">
        <v>0</v>
      </c>
      <c r="I14" s="113" t="b">
        <v>1</v>
      </c>
      <c r="J14" s="113" t="b">
        <v>0</v>
      </c>
      <c r="K14" s="113" t="b">
        <v>0</v>
      </c>
      <c r="L14" s="113" t="b">
        <v>0</v>
      </c>
      <c r="M14" s="113" t="b">
        <v>0</v>
      </c>
      <c r="N14" s="119" t="s">
        <v>312</v>
      </c>
      <c r="O14" s="113" t="b">
        <v>0</v>
      </c>
      <c r="P14" s="113" t="b">
        <v>0</v>
      </c>
      <c r="Q14" s="114" t="b">
        <v>0</v>
      </c>
      <c r="R14" s="113" t="b">
        <v>0</v>
      </c>
      <c r="S14" s="114" t="b">
        <v>0</v>
      </c>
      <c r="T14" s="114" t="b">
        <v>1</v>
      </c>
      <c r="U14" s="108"/>
    </row>
    <row r="15">
      <c r="A15" s="108"/>
      <c r="B15" s="99" t="s">
        <v>269</v>
      </c>
      <c r="C15" s="92" t="s">
        <v>271</v>
      </c>
      <c r="D15" s="91" t="s">
        <v>310</v>
      </c>
      <c r="E15" s="91" t="s">
        <v>311</v>
      </c>
      <c r="F15" s="110" t="b">
        <v>1</v>
      </c>
      <c r="G15" s="110" t="b">
        <v>0</v>
      </c>
      <c r="H15" s="111" t="b">
        <v>0</v>
      </c>
      <c r="I15" s="111" t="b">
        <v>1</v>
      </c>
      <c r="J15" s="111" t="b">
        <v>0</v>
      </c>
      <c r="K15" s="111" t="b">
        <v>0</v>
      </c>
      <c r="L15" s="111" t="b">
        <v>1</v>
      </c>
      <c r="M15" s="111" t="b">
        <v>0</v>
      </c>
      <c r="N15" s="112" t="s">
        <v>312</v>
      </c>
      <c r="O15" s="111" t="b">
        <v>0</v>
      </c>
      <c r="P15" s="111" t="b">
        <v>0</v>
      </c>
      <c r="Q15" s="110" t="b">
        <v>0</v>
      </c>
      <c r="R15" s="110" t="b">
        <v>0</v>
      </c>
      <c r="S15" s="111" t="b">
        <v>0</v>
      </c>
      <c r="T15" s="111" t="b">
        <v>0</v>
      </c>
      <c r="U15" s="108"/>
    </row>
    <row r="16">
      <c r="A16" s="108"/>
      <c r="B16" s="93" t="s">
        <v>266</v>
      </c>
      <c r="C16" s="120" t="s">
        <v>268</v>
      </c>
      <c r="D16" s="93" t="s">
        <v>320</v>
      </c>
      <c r="E16" s="93" t="s">
        <v>311</v>
      </c>
      <c r="F16" s="113" t="b">
        <v>0</v>
      </c>
      <c r="G16" s="113" t="b">
        <v>0</v>
      </c>
      <c r="H16" s="114" t="b">
        <v>0</v>
      </c>
      <c r="I16" s="114" t="b">
        <v>0</v>
      </c>
      <c r="J16" s="113" t="b">
        <v>1</v>
      </c>
      <c r="K16" s="113" t="b">
        <v>0</v>
      </c>
      <c r="L16" s="114" t="b">
        <v>0</v>
      </c>
      <c r="M16" s="114" t="b">
        <v>0</v>
      </c>
      <c r="N16" s="115" t="s">
        <v>321</v>
      </c>
      <c r="O16" s="114" t="b">
        <v>0</v>
      </c>
      <c r="P16" s="114" t="b">
        <v>0</v>
      </c>
      <c r="Q16" s="113" t="b">
        <v>0</v>
      </c>
      <c r="R16" s="113" t="b">
        <v>1</v>
      </c>
      <c r="S16" s="114" t="b">
        <v>0</v>
      </c>
      <c r="T16" s="114" t="b">
        <v>0</v>
      </c>
      <c r="U16" s="108"/>
    </row>
    <row r="17">
      <c r="A17" s="108"/>
      <c r="B17" s="99" t="s">
        <v>272</v>
      </c>
      <c r="C17" s="92" t="s">
        <v>274</v>
      </c>
      <c r="D17" s="91" t="s">
        <v>310</v>
      </c>
      <c r="E17" s="91" t="s">
        <v>311</v>
      </c>
      <c r="F17" s="110" t="b">
        <v>1</v>
      </c>
      <c r="G17" s="110" t="b">
        <v>1</v>
      </c>
      <c r="H17" s="111" t="b">
        <v>0</v>
      </c>
      <c r="I17" s="111" t="b">
        <v>0</v>
      </c>
      <c r="J17" s="111" t="b">
        <v>0</v>
      </c>
      <c r="K17" s="111" t="b">
        <v>0</v>
      </c>
      <c r="L17" s="111" t="b">
        <v>0</v>
      </c>
      <c r="M17" s="111" t="b">
        <v>0</v>
      </c>
      <c r="N17" s="112" t="s">
        <v>321</v>
      </c>
      <c r="O17" s="111" t="b">
        <v>0</v>
      </c>
      <c r="P17" s="111" t="b">
        <v>0</v>
      </c>
      <c r="Q17" s="110" t="b">
        <v>1</v>
      </c>
      <c r="R17" s="111" t="b">
        <v>0</v>
      </c>
      <c r="S17" s="111" t="b">
        <v>0</v>
      </c>
      <c r="T17" s="111" t="b">
        <v>0</v>
      </c>
      <c r="U17" s="108"/>
    </row>
    <row r="18">
      <c r="A18" s="108"/>
      <c r="B18" s="102" t="s">
        <v>275</v>
      </c>
      <c r="C18" s="94" t="s">
        <v>277</v>
      </c>
      <c r="D18" s="93" t="s">
        <v>320</v>
      </c>
      <c r="E18" s="93" t="s">
        <v>311</v>
      </c>
      <c r="F18" s="114" t="b">
        <v>0</v>
      </c>
      <c r="G18" s="114" t="b">
        <v>0</v>
      </c>
      <c r="H18" s="114" t="b">
        <v>0</v>
      </c>
      <c r="I18" s="114" t="b">
        <v>0</v>
      </c>
      <c r="J18" s="114" t="b">
        <v>0</v>
      </c>
      <c r="K18" s="114" t="b">
        <v>0</v>
      </c>
      <c r="L18" s="114" t="b">
        <v>0</v>
      </c>
      <c r="M18" s="114" t="b">
        <v>0</v>
      </c>
      <c r="N18" s="115" t="s">
        <v>321</v>
      </c>
      <c r="O18" s="114" t="b">
        <v>0</v>
      </c>
      <c r="P18" s="114" t="b">
        <v>0</v>
      </c>
      <c r="Q18" s="114" t="b">
        <v>0</v>
      </c>
      <c r="R18" s="113" t="b">
        <v>1</v>
      </c>
      <c r="S18" s="114" t="b">
        <v>0</v>
      </c>
      <c r="T18" s="114" t="b">
        <v>0</v>
      </c>
      <c r="U18" s="108"/>
    </row>
    <row r="19">
      <c r="A19" s="108"/>
      <c r="B19" s="99" t="s">
        <v>0</v>
      </c>
      <c r="C19" s="92" t="s">
        <v>279</v>
      </c>
      <c r="D19" s="91" t="s">
        <v>320</v>
      </c>
      <c r="E19" s="91" t="s">
        <v>311</v>
      </c>
      <c r="F19" s="111" t="b">
        <v>0</v>
      </c>
      <c r="G19" s="111" t="b">
        <v>0</v>
      </c>
      <c r="H19" s="111" t="b">
        <v>0</v>
      </c>
      <c r="I19" s="111" t="b">
        <v>0</v>
      </c>
      <c r="J19" s="111" t="b">
        <v>0</v>
      </c>
      <c r="K19" s="111" t="b">
        <v>0</v>
      </c>
      <c r="L19" s="111" t="b">
        <v>0</v>
      </c>
      <c r="M19" s="111" t="b">
        <v>0</v>
      </c>
      <c r="N19" s="112" t="s">
        <v>321</v>
      </c>
      <c r="O19" s="111" t="b">
        <v>0</v>
      </c>
      <c r="P19" s="111" t="b">
        <v>0</v>
      </c>
      <c r="Q19" s="111" t="b">
        <v>0</v>
      </c>
      <c r="R19" s="110" t="b">
        <v>1</v>
      </c>
      <c r="S19" s="111" t="b">
        <v>0</v>
      </c>
      <c r="T19" s="111" t="b">
        <v>0</v>
      </c>
      <c r="U19" s="108"/>
    </row>
    <row r="20">
      <c r="A20" s="108"/>
      <c r="B20" s="93" t="s">
        <v>322</v>
      </c>
      <c r="C20" s="94" t="s">
        <v>323</v>
      </c>
      <c r="D20" s="93" t="s">
        <v>320</v>
      </c>
      <c r="E20" s="93" t="s">
        <v>311</v>
      </c>
      <c r="F20" s="113" t="b">
        <v>0</v>
      </c>
      <c r="G20" s="114" t="b">
        <v>0</v>
      </c>
      <c r="H20" s="114" t="b">
        <v>0</v>
      </c>
      <c r="I20" s="114" t="b">
        <v>0</v>
      </c>
      <c r="J20" s="114" t="b">
        <v>0</v>
      </c>
      <c r="K20" s="114" t="b">
        <v>0</v>
      </c>
      <c r="L20" s="114" t="b">
        <v>0</v>
      </c>
      <c r="M20" s="114" t="b">
        <v>0</v>
      </c>
      <c r="N20" s="115" t="s">
        <v>321</v>
      </c>
      <c r="O20" s="114" t="b">
        <v>0</v>
      </c>
      <c r="P20" s="114" t="b">
        <v>0</v>
      </c>
      <c r="Q20" s="114" t="b">
        <v>0</v>
      </c>
      <c r="R20" s="114" t="b">
        <v>0</v>
      </c>
      <c r="S20" s="113" t="b">
        <v>1</v>
      </c>
      <c r="T20" s="113" t="b">
        <v>0</v>
      </c>
      <c r="U20" s="108"/>
    </row>
    <row r="21">
      <c r="A21" s="85"/>
      <c r="B21" s="99" t="s">
        <v>324</v>
      </c>
      <c r="C21" s="100" t="s">
        <v>268</v>
      </c>
      <c r="D21" s="99" t="s">
        <v>325</v>
      </c>
      <c r="E21" s="99" t="s">
        <v>326</v>
      </c>
      <c r="F21" s="110" t="b">
        <v>0</v>
      </c>
      <c r="G21" s="111" t="b">
        <v>0</v>
      </c>
      <c r="H21" s="111" t="b">
        <v>0</v>
      </c>
      <c r="I21" s="111" t="b">
        <v>0</v>
      </c>
      <c r="J21" s="111" t="b">
        <v>0</v>
      </c>
      <c r="K21" s="111" t="b">
        <v>0</v>
      </c>
      <c r="L21" s="111" t="b">
        <v>0</v>
      </c>
      <c r="M21" s="111" t="b">
        <v>0</v>
      </c>
      <c r="N21" s="112" t="s">
        <v>317</v>
      </c>
      <c r="O21" s="111" t="b">
        <v>0</v>
      </c>
      <c r="P21" s="111" t="b">
        <v>0</v>
      </c>
      <c r="Q21" s="111" t="b">
        <v>0</v>
      </c>
      <c r="R21" s="111" t="b">
        <v>0</v>
      </c>
      <c r="S21" s="110" t="b">
        <v>0</v>
      </c>
      <c r="T21" s="110" t="b">
        <v>0</v>
      </c>
      <c r="U21" s="85"/>
    </row>
    <row r="22">
      <c r="A22" s="85"/>
      <c r="B22" s="85"/>
      <c r="C22" s="85"/>
      <c r="D22" s="85"/>
      <c r="E22" s="85"/>
      <c r="F22" s="85"/>
      <c r="G22" s="85"/>
      <c r="H22" s="85"/>
      <c r="I22" s="85"/>
      <c r="J22" s="85"/>
      <c r="K22" s="85"/>
      <c r="L22" s="85"/>
      <c r="M22" s="85"/>
      <c r="N22" s="85"/>
      <c r="O22" s="85"/>
      <c r="P22" s="85"/>
      <c r="Q22" s="85"/>
      <c r="R22" s="85"/>
      <c r="S22" s="85"/>
      <c r="T22" s="85"/>
      <c r="U22" s="85"/>
    </row>
  </sheetData>
  <hyperlinks>
    <hyperlink r:id="rId1" ref="C7"/>
    <hyperlink r:id="rId2" ref="C8"/>
    <hyperlink r:id="rId3" ref="C9"/>
    <hyperlink r:id="rId4" ref="C10"/>
    <hyperlink r:id="rId5" ref="C11"/>
    <hyperlink r:id="rId6" ref="C12"/>
    <hyperlink r:id="rId7" ref="C13"/>
    <hyperlink r:id="rId8" ref="C14"/>
    <hyperlink r:id="rId9" ref="C15"/>
    <hyperlink r:id="rId10" ref="C17"/>
    <hyperlink r:id="rId11" ref="C18"/>
    <hyperlink r:id="rId12" ref="C19"/>
    <hyperlink r:id="rId13" ref="C20"/>
  </hyperlinks>
  <drawing r:id="rId14"/>
  <tableParts count="1">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7.63"/>
    <col customWidth="1" min="3" max="3" width="16.0"/>
    <col customWidth="1" min="4" max="4" width="87.5"/>
  </cols>
  <sheetData>
    <row r="1">
      <c r="C1" s="121"/>
    </row>
    <row r="2">
      <c r="B2" s="2" t="s">
        <v>29</v>
      </c>
      <c r="C2" s="121"/>
    </row>
    <row r="3">
      <c r="B3" s="27" t="s">
        <v>327</v>
      </c>
      <c r="C3" s="121"/>
    </row>
    <row r="4">
      <c r="B4" s="19"/>
      <c r="C4" s="121"/>
    </row>
    <row r="5">
      <c r="B5" s="28" t="s">
        <v>328</v>
      </c>
      <c r="C5" s="122" t="s">
        <v>179</v>
      </c>
      <c r="D5" s="28" t="s">
        <v>329</v>
      </c>
    </row>
    <row r="6">
      <c r="B6" s="18"/>
      <c r="C6" s="123"/>
      <c r="D6" s="18"/>
    </row>
    <row r="7">
      <c r="B7" s="124" t="s">
        <v>330</v>
      </c>
      <c r="C7" s="125">
        <v>45380.0</v>
      </c>
      <c r="D7" s="126" t="s">
        <v>331</v>
      </c>
    </row>
    <row r="8">
      <c r="B8" s="124" t="s">
        <v>332</v>
      </c>
      <c r="C8" s="125">
        <v>45379.0</v>
      </c>
      <c r="D8" s="126" t="s">
        <v>333</v>
      </c>
    </row>
    <row r="9">
      <c r="B9" s="127" t="s">
        <v>334</v>
      </c>
      <c r="C9" s="128">
        <v>44973.0</v>
      </c>
      <c r="D9" s="127" t="s">
        <v>335</v>
      </c>
    </row>
    <row r="10">
      <c r="B10" s="18" t="s">
        <v>336</v>
      </c>
      <c r="C10" s="129">
        <v>44965.0</v>
      </c>
      <c r="D10" s="9" t="s">
        <v>337</v>
      </c>
    </row>
    <row r="11">
      <c r="C11" s="121"/>
    </row>
  </sheetData>
  <drawing r:id="rId1"/>
  <tableParts count="1">
    <tablePart r:id="rId3"/>
  </tableParts>
</worksheet>
</file>